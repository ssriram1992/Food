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iram\GDrive\Work\Sauleh\Code\Food\NewModel\Data\"/>
    </mc:Choice>
  </mc:AlternateContent>
  <bookViews>
    <workbookView xWindow="0" yWindow="465" windowWidth="20220" windowHeight="7065" tabRatio="664" activeTab="15"/>
  </bookViews>
  <sheets>
    <sheet name="index" sheetId="1" r:id="rId1"/>
    <sheet name="Explained" sheetId="16" r:id="rId2"/>
    <sheet name="Cattle" sheetId="8" r:id="rId3"/>
    <sheet name="sets" sheetId="3" r:id="rId4"/>
    <sheet name="Roads" sheetId="5" r:id="rId5"/>
    <sheet name="ElecLine" sheetId="10" r:id="rId6"/>
    <sheet name="DiscFact" sheetId="6" r:id="rId7"/>
    <sheet name="Crop" sheetId="7" r:id="rId8"/>
    <sheet name="CYF" sheetId="4" r:id="rId9"/>
    <sheet name="aFAO" sheetId="11" r:id="rId10"/>
    <sheet name="DemInt" sheetId="14" r:id="rId11"/>
    <sheet name="DemSlope" sheetId="15" r:id="rId12"/>
    <sheet name="DemElas" sheetId="17" r:id="rId13"/>
    <sheet name="TargetConsumption" sheetId="19" r:id="rId14"/>
    <sheet name="Target Price" sheetId="20" r:id="rId15"/>
    <sheet name="Elec" sheetId="9" r:id="rId16"/>
    <sheet name="Basic Feasibility" sheetId="18" r:id="rId17"/>
  </sheets>
  <definedNames>
    <definedName name="_xlnm._FilterDatabase" localSheetId="5" hidden="1">ElecLine!$A$21:$B$86</definedName>
    <definedName name="_xlnm._FilterDatabase" localSheetId="0" hidden="1">index!$A$1:$E$29</definedName>
    <definedName name="_xlnm._FilterDatabase" localSheetId="4" hidden="1">Roads!$A$21:$B$86</definedName>
    <definedName name="_xlnm._FilterDatabase" localSheetId="3" hidden="1">sets!$F$2:$F$13</definedName>
    <definedName name="Crops">sets!$J$3:$J$62</definedName>
    <definedName name="Food">sets!$H$3:$H$62</definedName>
    <definedName name="Nodes">sets!$F$3:$F$62</definedName>
    <definedName name="Profit_Margin">'Basic Feasibility'!$C$1</definedName>
    <definedName name="RoadList" localSheetId="5">ElecLine!$A$21</definedName>
    <definedName name="RoadList">Roads!$A$21</definedName>
    <definedName name="Seasons">sets!$D$3:$D$62</definedName>
    <definedName name="Years">sets!$B$3:$B$62</definedName>
  </definedNames>
  <calcPr calcId="171027"/>
</workbook>
</file>

<file path=xl/calcChain.xml><?xml version="1.0" encoding="utf-8"?>
<calcChain xmlns="http://schemas.openxmlformats.org/spreadsheetml/2006/main">
  <c r="C39" i="16" l="1"/>
  <c r="D39" i="16" l="1"/>
  <c r="E39" i="16"/>
  <c r="C38" i="16"/>
  <c r="F39" i="16" l="1"/>
  <c r="E38" i="16"/>
  <c r="D38" i="16"/>
  <c r="G39" i="16"/>
  <c r="C37" i="16"/>
  <c r="F38" i="16" l="1"/>
  <c r="E37" i="16"/>
  <c r="D37" i="16"/>
  <c r="G38" i="16"/>
  <c r="C36" i="16"/>
  <c r="F37" i="16" l="1"/>
  <c r="E36" i="16"/>
  <c r="D36" i="16"/>
  <c r="G37" i="16"/>
  <c r="C35" i="16"/>
  <c r="F36" i="16" l="1"/>
  <c r="E35" i="16"/>
  <c r="D35" i="16"/>
  <c r="G36" i="16"/>
  <c r="C34" i="16"/>
  <c r="F35" i="16" l="1"/>
  <c r="E34" i="16"/>
  <c r="D34" i="16"/>
  <c r="G35" i="16"/>
  <c r="C33" i="16"/>
  <c r="F34" i="16" l="1"/>
  <c r="E33" i="16"/>
  <c r="D33" i="16"/>
  <c r="G34" i="16"/>
  <c r="C32" i="16"/>
  <c r="F33" i="16" l="1"/>
  <c r="D32" i="16"/>
  <c r="E32" i="16"/>
  <c r="G33" i="16"/>
  <c r="C31" i="16"/>
  <c r="F32" i="16" l="1"/>
  <c r="E31" i="16"/>
  <c r="D31" i="16"/>
  <c r="G32" i="16"/>
  <c r="C30" i="16"/>
  <c r="F31" i="16" l="1"/>
  <c r="E30" i="16"/>
  <c r="D30" i="16"/>
  <c r="G31" i="16"/>
  <c r="C29" i="16"/>
  <c r="F30" i="16" l="1"/>
  <c r="E29" i="16"/>
  <c r="D29" i="16"/>
  <c r="G30" i="16"/>
  <c r="C28" i="16"/>
  <c r="F29" i="16" l="1"/>
  <c r="E28" i="16"/>
  <c r="D28" i="16"/>
  <c r="G29" i="16"/>
  <c r="C27" i="16"/>
  <c r="F28" i="16" l="1"/>
  <c r="E27" i="16"/>
  <c r="D27" i="16"/>
  <c r="G28" i="16"/>
  <c r="C26" i="16"/>
  <c r="F27" i="16" l="1"/>
  <c r="E26" i="16"/>
  <c r="D26" i="16"/>
  <c r="G27" i="16"/>
  <c r="C25" i="16"/>
  <c r="F26" i="16" l="1"/>
  <c r="D25" i="16"/>
  <c r="E25" i="16"/>
  <c r="G26" i="16"/>
  <c r="C24" i="16"/>
  <c r="F25" i="16" l="1"/>
  <c r="E24" i="16"/>
  <c r="D24" i="16"/>
  <c r="G25" i="16"/>
  <c r="C23" i="16"/>
  <c r="F24" i="16" l="1"/>
  <c r="E23" i="16"/>
  <c r="D23" i="16"/>
  <c r="G24" i="16"/>
  <c r="C22" i="16"/>
  <c r="F23" i="16" l="1"/>
  <c r="E22" i="16"/>
  <c r="D22" i="16"/>
  <c r="G23" i="16"/>
  <c r="C21" i="16"/>
  <c r="F22" i="16" l="1"/>
  <c r="E21" i="16"/>
  <c r="D21" i="16"/>
  <c r="G22" i="16"/>
  <c r="C20" i="16"/>
  <c r="F21" i="16" l="1"/>
  <c r="E20" i="16"/>
  <c r="D20" i="16"/>
  <c r="G21" i="16"/>
  <c r="C19" i="16"/>
  <c r="F20" i="16" l="1"/>
  <c r="E19" i="16"/>
  <c r="D19" i="16"/>
  <c r="G20" i="16"/>
  <c r="C18" i="16"/>
  <c r="F19" i="16" l="1"/>
  <c r="E18" i="16"/>
  <c r="D18" i="16"/>
  <c r="G19" i="16"/>
  <c r="C17" i="16"/>
  <c r="F18" i="16" l="1"/>
  <c r="D17" i="16"/>
  <c r="E17" i="16"/>
  <c r="G18" i="16"/>
  <c r="C16" i="16"/>
  <c r="F17" i="16" l="1"/>
  <c r="E16" i="16"/>
  <c r="D16" i="16"/>
  <c r="G17" i="16"/>
  <c r="C15" i="16"/>
  <c r="F16" i="16" l="1"/>
  <c r="D15" i="16"/>
  <c r="E15" i="16"/>
  <c r="G16" i="16"/>
  <c r="C14" i="16"/>
  <c r="F15" i="16" l="1"/>
  <c r="E14" i="16"/>
  <c r="D14" i="16"/>
  <c r="G15" i="16"/>
  <c r="C13" i="16"/>
  <c r="F14" i="16" l="1"/>
  <c r="E13" i="16"/>
  <c r="D13" i="16"/>
  <c r="G14" i="16"/>
  <c r="C12" i="16"/>
  <c r="F13" i="16" l="1"/>
  <c r="E12" i="16"/>
  <c r="D12" i="16"/>
  <c r="G13" i="16"/>
  <c r="C11" i="16"/>
  <c r="F12" i="16" l="1"/>
  <c r="D11" i="16"/>
  <c r="E11" i="16"/>
  <c r="G12" i="16"/>
  <c r="C10" i="16"/>
  <c r="F11" i="16" l="1"/>
  <c r="E10" i="16"/>
  <c r="D10" i="16"/>
  <c r="G11" i="16"/>
  <c r="C9" i="16"/>
  <c r="F10" i="16" l="1"/>
  <c r="D9" i="16"/>
  <c r="E9" i="16"/>
  <c r="G10" i="16"/>
  <c r="C8" i="16"/>
  <c r="F9" i="16" l="1"/>
  <c r="E8" i="16"/>
  <c r="D8" i="16"/>
  <c r="G9" i="16"/>
  <c r="C7" i="16"/>
  <c r="F8" i="16" l="1"/>
  <c r="E7" i="16"/>
  <c r="D7" i="16"/>
  <c r="G8" i="16"/>
  <c r="C6" i="16"/>
  <c r="F7" i="16" l="1"/>
  <c r="D6" i="16"/>
  <c r="E6" i="16"/>
  <c r="G7" i="16"/>
  <c r="C5" i="16"/>
  <c r="F6" i="16" l="1"/>
  <c r="E5" i="16"/>
  <c r="D5" i="16"/>
  <c r="G6" i="16"/>
  <c r="C4" i="16"/>
  <c r="F5" i="16" l="1"/>
  <c r="E4" i="16"/>
  <c r="D4" i="16"/>
  <c r="G5" i="16"/>
  <c r="C3" i="16"/>
  <c r="F4" i="16" l="1"/>
  <c r="E3" i="16"/>
  <c r="D3" i="16"/>
  <c r="G4" i="16"/>
  <c r="C2" i="16"/>
  <c r="F3" i="16" l="1"/>
  <c r="E2" i="16"/>
  <c r="D2" i="16"/>
  <c r="S10" i="5"/>
  <c r="V9" i="5"/>
  <c r="Y8" i="5"/>
  <c r="AA2" i="5"/>
  <c r="Y2" i="5"/>
  <c r="AE3" i="5"/>
  <c r="AF3" i="5"/>
  <c r="AI3" i="5"/>
  <c r="AJ3" i="5"/>
  <c r="AK3" i="5"/>
  <c r="AM3" i="5"/>
  <c r="AN3" i="5"/>
  <c r="AE4" i="5"/>
  <c r="AG4" i="5"/>
  <c r="AI4" i="5"/>
  <c r="AJ4" i="5"/>
  <c r="AK4" i="5"/>
  <c r="AM4" i="5"/>
  <c r="AN4" i="5"/>
  <c r="AE5" i="5"/>
  <c r="AF5" i="5"/>
  <c r="AI5" i="5"/>
  <c r="AJ5" i="5"/>
  <c r="AK5" i="5"/>
  <c r="AM5" i="5"/>
  <c r="AN5" i="5"/>
  <c r="AO5" i="5"/>
  <c r="AE6" i="5"/>
  <c r="AF6" i="5"/>
  <c r="AG6" i="5"/>
  <c r="AI6" i="5"/>
  <c r="AJ6" i="5"/>
  <c r="AN6" i="5"/>
  <c r="AO6" i="5"/>
  <c r="AE7" i="5"/>
  <c r="AF7" i="5"/>
  <c r="AG7" i="5"/>
  <c r="AI7" i="5"/>
  <c r="AJ7" i="5"/>
  <c r="AK7" i="5"/>
  <c r="AM7" i="5"/>
  <c r="AO7" i="5"/>
  <c r="AE8" i="5"/>
  <c r="AF8" i="5"/>
  <c r="AG8" i="5"/>
  <c r="AJ8" i="5"/>
  <c r="AK8" i="5"/>
  <c r="AN8" i="5"/>
  <c r="AO8" i="5"/>
  <c r="AL9" i="5"/>
  <c r="AO9" i="5"/>
  <c r="AE10" i="5"/>
  <c r="AG10" i="5"/>
  <c r="AJ10" i="5"/>
  <c r="AM10" i="5"/>
  <c r="AN10" i="5"/>
  <c r="AO10" i="5"/>
  <c r="AF11" i="5"/>
  <c r="AG11" i="5"/>
  <c r="AI11" i="5"/>
  <c r="AK11" i="5"/>
  <c r="AM11" i="5"/>
  <c r="AN11" i="5"/>
  <c r="AO11" i="5"/>
  <c r="AE12" i="5"/>
  <c r="AI12" i="5"/>
  <c r="AJ12" i="5"/>
  <c r="AK12" i="5"/>
  <c r="AL12" i="5"/>
  <c r="AM12" i="5"/>
  <c r="AN12" i="5"/>
  <c r="AO12" i="5"/>
  <c r="AF2" i="5"/>
  <c r="AG2" i="5"/>
  <c r="AI2" i="5"/>
  <c r="AJ2" i="5"/>
  <c r="AK2" i="5"/>
  <c r="AM2" i="5"/>
  <c r="AO2" i="5"/>
  <c r="AE2" i="5"/>
  <c r="AG3" i="5"/>
  <c r="AL3" i="5"/>
  <c r="AO3" i="5"/>
  <c r="AF4" i="5"/>
  <c r="AL4" i="5"/>
  <c r="AO4" i="5"/>
  <c r="AG5" i="5"/>
  <c r="AL5" i="5"/>
  <c r="AK6" i="5"/>
  <c r="AL6" i="5"/>
  <c r="AM6" i="5"/>
  <c r="AL7" i="5"/>
  <c r="AN7" i="5"/>
  <c r="AI8" i="5"/>
  <c r="AL8" i="5"/>
  <c r="AM8" i="5"/>
  <c r="AE9" i="5"/>
  <c r="AF9" i="5"/>
  <c r="AG9" i="5"/>
  <c r="AI9" i="5"/>
  <c r="AJ9" i="5"/>
  <c r="AK9" i="5"/>
  <c r="AM9" i="5"/>
  <c r="AN9" i="5"/>
  <c r="AF10" i="5"/>
  <c r="AI10" i="5"/>
  <c r="AK10" i="5"/>
  <c r="AL10" i="5"/>
  <c r="AE11" i="5"/>
  <c r="AJ11" i="5"/>
  <c r="AL11" i="5"/>
  <c r="AF12" i="5"/>
  <c r="AG12" i="5"/>
  <c r="AL2" i="5"/>
  <c r="AN2" i="5"/>
  <c r="R3" i="5"/>
  <c r="S3" i="5"/>
  <c r="V3" i="5"/>
  <c r="W3" i="5"/>
  <c r="X3" i="5"/>
  <c r="Z3" i="5"/>
  <c r="AA3" i="5"/>
  <c r="R4" i="5"/>
  <c r="T4" i="5"/>
  <c r="V4" i="5"/>
  <c r="W4" i="5"/>
  <c r="X4" i="5"/>
  <c r="Z4" i="5"/>
  <c r="AA4" i="5"/>
  <c r="R5" i="5"/>
  <c r="S5" i="5"/>
  <c r="V5" i="5"/>
  <c r="W5" i="5"/>
  <c r="X5" i="5"/>
  <c r="Z5" i="5"/>
  <c r="AA5" i="5"/>
  <c r="AB5" i="5"/>
  <c r="R6" i="5"/>
  <c r="S6" i="5"/>
  <c r="T6" i="5"/>
  <c r="V6" i="5"/>
  <c r="W6" i="5"/>
  <c r="AA6" i="5"/>
  <c r="AB6" i="5"/>
  <c r="R7" i="5"/>
  <c r="S7" i="5"/>
  <c r="T7" i="5"/>
  <c r="V7" i="5"/>
  <c r="W7" i="5"/>
  <c r="X7" i="5"/>
  <c r="Z7" i="5"/>
  <c r="AB7" i="5"/>
  <c r="R8" i="5"/>
  <c r="S8" i="5"/>
  <c r="T8" i="5"/>
  <c r="W8" i="5"/>
  <c r="X8" i="5"/>
  <c r="AA8" i="5"/>
  <c r="AB8" i="5"/>
  <c r="Y9" i="5"/>
  <c r="AB9" i="5"/>
  <c r="R10" i="5"/>
  <c r="T10" i="5"/>
  <c r="W10" i="5"/>
  <c r="Z10" i="5"/>
  <c r="AA10" i="5"/>
  <c r="AB10" i="5"/>
  <c r="S11" i="5"/>
  <c r="T11" i="5"/>
  <c r="V11" i="5"/>
  <c r="X11" i="5"/>
  <c r="Z11" i="5"/>
  <c r="AA11" i="5"/>
  <c r="AB11" i="5"/>
  <c r="R12" i="5"/>
  <c r="V12" i="5"/>
  <c r="W12" i="5"/>
  <c r="X12" i="5"/>
  <c r="Y12" i="5"/>
  <c r="Z12" i="5"/>
  <c r="AA12" i="5"/>
  <c r="AB12" i="5"/>
  <c r="S2" i="5"/>
  <c r="T2" i="5"/>
  <c r="V2" i="5"/>
  <c r="W2" i="5"/>
  <c r="X2" i="5"/>
  <c r="Z2" i="5"/>
  <c r="AB2" i="5"/>
  <c r="R2" i="5"/>
  <c r="T3" i="5"/>
  <c r="Y3" i="5"/>
  <c r="AB3" i="5"/>
  <c r="S4" i="5"/>
  <c r="Y4" i="5"/>
  <c r="AB4" i="5"/>
  <c r="T5" i="5"/>
  <c r="Y5" i="5"/>
  <c r="X6" i="5"/>
  <c r="Y6" i="5"/>
  <c r="Z6" i="5"/>
  <c r="Y7" i="5"/>
  <c r="AA7" i="5"/>
  <c r="V8" i="5"/>
  <c r="Z8" i="5"/>
  <c r="S9" i="5"/>
  <c r="T9" i="5"/>
  <c r="W9" i="5"/>
  <c r="X9" i="5"/>
  <c r="Z9" i="5"/>
  <c r="AA9" i="5"/>
  <c r="V10" i="5"/>
  <c r="X10" i="5"/>
  <c r="Y10" i="5"/>
  <c r="W11" i="5"/>
  <c r="Y11" i="5"/>
  <c r="S12" i="5"/>
  <c r="T12" i="5"/>
  <c r="R9" i="5"/>
  <c r="R11" i="5"/>
  <c r="G3" i="16"/>
  <c r="F2" i="16" l="1"/>
  <c r="G2" i="16"/>
  <c r="D9" i="11" l="1"/>
  <c r="C20" i="1"/>
  <c r="C23" i="1"/>
  <c r="C15" i="1"/>
  <c r="C21" i="1"/>
  <c r="C26" i="1"/>
  <c r="C35" i="1"/>
  <c r="C14" i="1"/>
  <c r="C7" i="1"/>
  <c r="C29" i="1"/>
  <c r="C17" i="1"/>
  <c r="C18" i="1"/>
  <c r="C5" i="1"/>
  <c r="C12" i="1"/>
  <c r="C4" i="1"/>
  <c r="C28" i="1"/>
  <c r="C3" i="1"/>
  <c r="C39" i="1"/>
  <c r="C33" i="1"/>
  <c r="C13" i="1"/>
  <c r="C37" i="1"/>
  <c r="C38" i="1"/>
  <c r="C24" i="1"/>
  <c r="C22" i="1"/>
  <c r="C19" i="1"/>
  <c r="C25" i="1"/>
  <c r="C2" i="1"/>
  <c r="C32" i="1"/>
  <c r="C30" i="1"/>
  <c r="C36" i="1"/>
  <c r="C16" i="1"/>
  <c r="C6" i="1"/>
  <c r="C11" i="1"/>
  <c r="C9" i="1"/>
  <c r="C31" i="1"/>
  <c r="C8" i="1"/>
  <c r="C34" i="1"/>
  <c r="C81" i="20" l="1"/>
  <c r="D81" i="20"/>
  <c r="E81" i="20"/>
  <c r="E81" i="15" s="1"/>
  <c r="F81" i="20"/>
  <c r="F81" i="15" s="1"/>
  <c r="G81" i="20"/>
  <c r="G81" i="15" s="1"/>
  <c r="H81" i="20"/>
  <c r="H81" i="15" s="1"/>
  <c r="I81" i="20"/>
  <c r="I81" i="15" s="1"/>
  <c r="J81" i="20"/>
  <c r="J81" i="15" s="1"/>
  <c r="K81" i="20"/>
  <c r="K81" i="15" s="1"/>
  <c r="L81" i="20"/>
  <c r="L81" i="15" s="1"/>
  <c r="M81" i="20"/>
  <c r="M81" i="15" s="1"/>
  <c r="N81" i="20"/>
  <c r="N81" i="15" s="1"/>
  <c r="O81" i="20"/>
  <c r="O81" i="15" s="1"/>
  <c r="P81" i="20"/>
  <c r="P81" i="15" s="1"/>
  <c r="Q81" i="20"/>
  <c r="Q81" i="15" s="1"/>
  <c r="R81" i="20"/>
  <c r="R81" i="15" s="1"/>
  <c r="S81" i="20"/>
  <c r="S81" i="15" s="1"/>
  <c r="T81" i="20"/>
  <c r="T81" i="15" s="1"/>
  <c r="U81" i="20"/>
  <c r="U81" i="15" s="1"/>
  <c r="V81" i="20"/>
  <c r="V81" i="15" s="1"/>
  <c r="W81" i="20"/>
  <c r="W81" i="15" s="1"/>
  <c r="X81" i="20"/>
  <c r="X81" i="15" s="1"/>
  <c r="Y81" i="20"/>
  <c r="Y81" i="15" s="1"/>
  <c r="Z81" i="20"/>
  <c r="Z81" i="15" s="1"/>
  <c r="AA81" i="20"/>
  <c r="AA81" i="15" s="1"/>
  <c r="AB81" i="20"/>
  <c r="AB81" i="15" s="1"/>
  <c r="AC81" i="20"/>
  <c r="AC81" i="15" s="1"/>
  <c r="AD81" i="20"/>
  <c r="AD81" i="15" s="1"/>
  <c r="AE81" i="20"/>
  <c r="AE81" i="15" s="1"/>
  <c r="AF81" i="20"/>
  <c r="AF81" i="15" s="1"/>
  <c r="AG81" i="20"/>
  <c r="AG81" i="15" s="1"/>
  <c r="AH81" i="20"/>
  <c r="AH81" i="15" s="1"/>
  <c r="C82" i="20"/>
  <c r="D82" i="20"/>
  <c r="E82" i="20"/>
  <c r="E82" i="15" s="1"/>
  <c r="F82" i="20"/>
  <c r="F82" i="15" s="1"/>
  <c r="G82" i="20"/>
  <c r="G82" i="15" s="1"/>
  <c r="H82" i="20"/>
  <c r="H82" i="15" s="1"/>
  <c r="I82" i="20"/>
  <c r="I82" i="15" s="1"/>
  <c r="J82" i="20"/>
  <c r="J82" i="15" s="1"/>
  <c r="K82" i="20"/>
  <c r="K82" i="15" s="1"/>
  <c r="L82" i="20"/>
  <c r="L82" i="15" s="1"/>
  <c r="M82" i="20"/>
  <c r="M82" i="15" s="1"/>
  <c r="N82" i="20"/>
  <c r="N82" i="15" s="1"/>
  <c r="O82" i="20"/>
  <c r="O82" i="15" s="1"/>
  <c r="P82" i="20"/>
  <c r="P82" i="15" s="1"/>
  <c r="Q82" i="20"/>
  <c r="Q82" i="15" s="1"/>
  <c r="R82" i="20"/>
  <c r="R82" i="15" s="1"/>
  <c r="S82" i="20"/>
  <c r="S82" i="15" s="1"/>
  <c r="T82" i="20"/>
  <c r="T82" i="15" s="1"/>
  <c r="U82" i="20"/>
  <c r="U82" i="15" s="1"/>
  <c r="V82" i="20"/>
  <c r="V82" i="15" s="1"/>
  <c r="W82" i="20"/>
  <c r="W82" i="15" s="1"/>
  <c r="X82" i="20"/>
  <c r="X82" i="15" s="1"/>
  <c r="Y82" i="20"/>
  <c r="Y82" i="15" s="1"/>
  <c r="Z82" i="20"/>
  <c r="Z82" i="15" s="1"/>
  <c r="AA82" i="20"/>
  <c r="AA82" i="15" s="1"/>
  <c r="AB82" i="20"/>
  <c r="AB82" i="15" s="1"/>
  <c r="AC82" i="20"/>
  <c r="AC82" i="15" s="1"/>
  <c r="AD82" i="20"/>
  <c r="AD82" i="15" s="1"/>
  <c r="AE82" i="20"/>
  <c r="AE82" i="15" s="1"/>
  <c r="AF82" i="20"/>
  <c r="AF82" i="15" s="1"/>
  <c r="AG82" i="20"/>
  <c r="AG82" i="15" s="1"/>
  <c r="AH82" i="20"/>
  <c r="AH82" i="15" s="1"/>
  <c r="C83" i="20"/>
  <c r="D83" i="20"/>
  <c r="E83" i="20"/>
  <c r="E83" i="15" s="1"/>
  <c r="F83" i="20"/>
  <c r="F83" i="15" s="1"/>
  <c r="G83" i="20"/>
  <c r="G83" i="15" s="1"/>
  <c r="H83" i="20"/>
  <c r="H83" i="15" s="1"/>
  <c r="I83" i="20"/>
  <c r="I83" i="15" s="1"/>
  <c r="J83" i="20"/>
  <c r="J83" i="15" s="1"/>
  <c r="K83" i="20"/>
  <c r="K83" i="15" s="1"/>
  <c r="L83" i="20"/>
  <c r="L83" i="15" s="1"/>
  <c r="M83" i="20"/>
  <c r="M83" i="15" s="1"/>
  <c r="N83" i="20"/>
  <c r="N83" i="15" s="1"/>
  <c r="O83" i="20"/>
  <c r="O83" i="15" s="1"/>
  <c r="P83" i="20"/>
  <c r="P83" i="15" s="1"/>
  <c r="Q83" i="20"/>
  <c r="Q83" i="15" s="1"/>
  <c r="R83" i="20"/>
  <c r="R83" i="15" s="1"/>
  <c r="S83" i="20"/>
  <c r="S83" i="15" s="1"/>
  <c r="T83" i="20"/>
  <c r="T83" i="15" s="1"/>
  <c r="U83" i="20"/>
  <c r="U83" i="15" s="1"/>
  <c r="V83" i="20"/>
  <c r="V83" i="15" s="1"/>
  <c r="W83" i="20"/>
  <c r="W83" i="15" s="1"/>
  <c r="X83" i="20"/>
  <c r="X83" i="15" s="1"/>
  <c r="Y83" i="20"/>
  <c r="Y83" i="15" s="1"/>
  <c r="Z83" i="20"/>
  <c r="Z83" i="15" s="1"/>
  <c r="AA83" i="20"/>
  <c r="AA83" i="15" s="1"/>
  <c r="AB83" i="20"/>
  <c r="AB83" i="15" s="1"/>
  <c r="AC83" i="20"/>
  <c r="AC83" i="15" s="1"/>
  <c r="AD83" i="20"/>
  <c r="AD83" i="15" s="1"/>
  <c r="AE83" i="20"/>
  <c r="AE83" i="15" s="1"/>
  <c r="AF83" i="20"/>
  <c r="AF83" i="15" s="1"/>
  <c r="AG83" i="20"/>
  <c r="AG83" i="15" s="1"/>
  <c r="AH83" i="20"/>
  <c r="AH83" i="15" s="1"/>
  <c r="C84" i="20"/>
  <c r="D84" i="20"/>
  <c r="E84" i="20"/>
  <c r="E84" i="15" s="1"/>
  <c r="F84" i="20"/>
  <c r="F84" i="15" s="1"/>
  <c r="G84" i="20"/>
  <c r="G84" i="15" s="1"/>
  <c r="H84" i="20"/>
  <c r="H84" i="15" s="1"/>
  <c r="I84" i="20"/>
  <c r="I84" i="15" s="1"/>
  <c r="J84" i="20"/>
  <c r="J84" i="15" s="1"/>
  <c r="K84" i="20"/>
  <c r="K84" i="15" s="1"/>
  <c r="L84" i="20"/>
  <c r="L84" i="15" s="1"/>
  <c r="M84" i="20"/>
  <c r="M84" i="15" s="1"/>
  <c r="N84" i="20"/>
  <c r="N84" i="15" s="1"/>
  <c r="O84" i="20"/>
  <c r="O84" i="15" s="1"/>
  <c r="P84" i="20"/>
  <c r="P84" i="15" s="1"/>
  <c r="Q84" i="20"/>
  <c r="Q84" i="15" s="1"/>
  <c r="R84" i="20"/>
  <c r="R84" i="15" s="1"/>
  <c r="S84" i="20"/>
  <c r="S84" i="15" s="1"/>
  <c r="T84" i="20"/>
  <c r="T84" i="15" s="1"/>
  <c r="U84" i="20"/>
  <c r="U84" i="15" s="1"/>
  <c r="V84" i="20"/>
  <c r="V84" i="15" s="1"/>
  <c r="W84" i="20"/>
  <c r="W84" i="15" s="1"/>
  <c r="X84" i="20"/>
  <c r="X84" i="15" s="1"/>
  <c r="Y84" i="20"/>
  <c r="Y84" i="15" s="1"/>
  <c r="Z84" i="20"/>
  <c r="Z84" i="15" s="1"/>
  <c r="AA84" i="20"/>
  <c r="AA84" i="15" s="1"/>
  <c r="AB84" i="20"/>
  <c r="AB84" i="15" s="1"/>
  <c r="AC84" i="20"/>
  <c r="AC84" i="15" s="1"/>
  <c r="AD84" i="20"/>
  <c r="AD84" i="15" s="1"/>
  <c r="AE84" i="20"/>
  <c r="AE84" i="15" s="1"/>
  <c r="AF84" i="20"/>
  <c r="AF84" i="15" s="1"/>
  <c r="AG84" i="20"/>
  <c r="AG84" i="15" s="1"/>
  <c r="AH84" i="20"/>
  <c r="AH84" i="15" s="1"/>
  <c r="C85" i="20"/>
  <c r="D85" i="20"/>
  <c r="E85" i="20"/>
  <c r="E85" i="15" s="1"/>
  <c r="F85" i="20"/>
  <c r="F85" i="15" s="1"/>
  <c r="G85" i="20"/>
  <c r="G85" i="15" s="1"/>
  <c r="H85" i="20"/>
  <c r="H85" i="15" s="1"/>
  <c r="I85" i="20"/>
  <c r="I85" i="15" s="1"/>
  <c r="J85" i="20"/>
  <c r="J85" i="15" s="1"/>
  <c r="K85" i="20"/>
  <c r="K85" i="15" s="1"/>
  <c r="L85" i="20"/>
  <c r="L85" i="15" s="1"/>
  <c r="M85" i="20"/>
  <c r="M85" i="15" s="1"/>
  <c r="N85" i="20"/>
  <c r="N85" i="15" s="1"/>
  <c r="O85" i="20"/>
  <c r="O85" i="15" s="1"/>
  <c r="P85" i="20"/>
  <c r="P85" i="15" s="1"/>
  <c r="Q85" i="20"/>
  <c r="Q85" i="15" s="1"/>
  <c r="R85" i="20"/>
  <c r="R85" i="15" s="1"/>
  <c r="S85" i="20"/>
  <c r="S85" i="15" s="1"/>
  <c r="T85" i="20"/>
  <c r="T85" i="15" s="1"/>
  <c r="U85" i="20"/>
  <c r="U85" i="15" s="1"/>
  <c r="V85" i="20"/>
  <c r="V85" i="15" s="1"/>
  <c r="W85" i="20"/>
  <c r="W85" i="15" s="1"/>
  <c r="X85" i="20"/>
  <c r="X85" i="15" s="1"/>
  <c r="Y85" i="20"/>
  <c r="Y85" i="15" s="1"/>
  <c r="Z85" i="20"/>
  <c r="Z85" i="15" s="1"/>
  <c r="AA85" i="20"/>
  <c r="AA85" i="15" s="1"/>
  <c r="AB85" i="20"/>
  <c r="AB85" i="15" s="1"/>
  <c r="AC85" i="20"/>
  <c r="AC85" i="15" s="1"/>
  <c r="AD85" i="20"/>
  <c r="AD85" i="15" s="1"/>
  <c r="AE85" i="20"/>
  <c r="AE85" i="15" s="1"/>
  <c r="AF85" i="20"/>
  <c r="AF85" i="15" s="1"/>
  <c r="AG85" i="20"/>
  <c r="AG85" i="15" s="1"/>
  <c r="AH85" i="20"/>
  <c r="AH85" i="15" s="1"/>
  <c r="C86" i="20"/>
  <c r="D86" i="20"/>
  <c r="E86" i="20"/>
  <c r="E86" i="15" s="1"/>
  <c r="F86" i="20"/>
  <c r="F86" i="15" s="1"/>
  <c r="G86" i="20"/>
  <c r="G86" i="15" s="1"/>
  <c r="H86" i="20"/>
  <c r="H86" i="15" s="1"/>
  <c r="I86" i="20"/>
  <c r="I86" i="15" s="1"/>
  <c r="J86" i="20"/>
  <c r="J86" i="15" s="1"/>
  <c r="K86" i="20"/>
  <c r="K86" i="15" s="1"/>
  <c r="L86" i="20"/>
  <c r="L86" i="15" s="1"/>
  <c r="M86" i="20"/>
  <c r="M86" i="15" s="1"/>
  <c r="N86" i="20"/>
  <c r="N86" i="15" s="1"/>
  <c r="O86" i="20"/>
  <c r="O86" i="15" s="1"/>
  <c r="P86" i="20"/>
  <c r="P86" i="15" s="1"/>
  <c r="Q86" i="20"/>
  <c r="Q86" i="15" s="1"/>
  <c r="R86" i="20"/>
  <c r="R86" i="15" s="1"/>
  <c r="S86" i="20"/>
  <c r="S86" i="15" s="1"/>
  <c r="T86" i="20"/>
  <c r="T86" i="15" s="1"/>
  <c r="U86" i="20"/>
  <c r="U86" i="15" s="1"/>
  <c r="V86" i="20"/>
  <c r="V86" i="15" s="1"/>
  <c r="W86" i="20"/>
  <c r="W86" i="15" s="1"/>
  <c r="X86" i="20"/>
  <c r="X86" i="15" s="1"/>
  <c r="Y86" i="20"/>
  <c r="Y86" i="15" s="1"/>
  <c r="Z86" i="20"/>
  <c r="Z86" i="15" s="1"/>
  <c r="AA86" i="20"/>
  <c r="AA86" i="15" s="1"/>
  <c r="AB86" i="20"/>
  <c r="AB86" i="15" s="1"/>
  <c r="AC86" i="20"/>
  <c r="AC86" i="15" s="1"/>
  <c r="AD86" i="20"/>
  <c r="AD86" i="15" s="1"/>
  <c r="AE86" i="20"/>
  <c r="AE86" i="15" s="1"/>
  <c r="AF86" i="20"/>
  <c r="AF86" i="15" s="1"/>
  <c r="AG86" i="20"/>
  <c r="AG86" i="15" s="1"/>
  <c r="AH86" i="20"/>
  <c r="AH86" i="15" s="1"/>
  <c r="C87" i="20"/>
  <c r="D87" i="20"/>
  <c r="D87" i="15" s="1"/>
  <c r="E87" i="20"/>
  <c r="E87" i="15" s="1"/>
  <c r="F87" i="20"/>
  <c r="F87" i="15" s="1"/>
  <c r="G87" i="20"/>
  <c r="G87" i="15" s="1"/>
  <c r="H87" i="20"/>
  <c r="H87" i="15" s="1"/>
  <c r="I87" i="20"/>
  <c r="I87" i="15" s="1"/>
  <c r="J87" i="20"/>
  <c r="J87" i="15" s="1"/>
  <c r="K87" i="20"/>
  <c r="K87" i="15" s="1"/>
  <c r="L87" i="20"/>
  <c r="L87" i="15" s="1"/>
  <c r="M87" i="20"/>
  <c r="M87" i="15" s="1"/>
  <c r="N87" i="20"/>
  <c r="N87" i="15" s="1"/>
  <c r="O87" i="20"/>
  <c r="O87" i="15" s="1"/>
  <c r="P87" i="20"/>
  <c r="P87" i="15" s="1"/>
  <c r="Q87" i="20"/>
  <c r="Q87" i="15" s="1"/>
  <c r="R87" i="20"/>
  <c r="R87" i="15" s="1"/>
  <c r="S87" i="20"/>
  <c r="S87" i="15" s="1"/>
  <c r="T87" i="20"/>
  <c r="T87" i="15" s="1"/>
  <c r="U87" i="20"/>
  <c r="U87" i="15" s="1"/>
  <c r="V87" i="20"/>
  <c r="V87" i="15" s="1"/>
  <c r="W87" i="20"/>
  <c r="W87" i="15" s="1"/>
  <c r="X87" i="20"/>
  <c r="X87" i="15" s="1"/>
  <c r="Y87" i="20"/>
  <c r="Y87" i="15" s="1"/>
  <c r="Z87" i="20"/>
  <c r="Z87" i="15" s="1"/>
  <c r="AA87" i="20"/>
  <c r="AA87" i="15" s="1"/>
  <c r="AB87" i="20"/>
  <c r="AB87" i="15" s="1"/>
  <c r="AC87" i="20"/>
  <c r="AC87" i="15" s="1"/>
  <c r="AD87" i="20"/>
  <c r="AD87" i="15" s="1"/>
  <c r="AE87" i="20"/>
  <c r="AE87" i="15" s="1"/>
  <c r="AF87" i="20"/>
  <c r="AF87" i="15" s="1"/>
  <c r="AG87" i="20"/>
  <c r="AG87" i="15" s="1"/>
  <c r="AH87" i="20"/>
  <c r="AH87" i="15" s="1"/>
  <c r="C88" i="20"/>
  <c r="C88" i="15" s="1"/>
  <c r="D88" i="20"/>
  <c r="D88" i="15" s="1"/>
  <c r="E88" i="20"/>
  <c r="E88" i="15" s="1"/>
  <c r="F88" i="20"/>
  <c r="F88" i="15" s="1"/>
  <c r="G88" i="20"/>
  <c r="G88" i="15" s="1"/>
  <c r="H88" i="20"/>
  <c r="H88" i="15" s="1"/>
  <c r="I88" i="20"/>
  <c r="I88" i="15" s="1"/>
  <c r="J88" i="20"/>
  <c r="J88" i="15" s="1"/>
  <c r="K88" i="20"/>
  <c r="K88" i="15" s="1"/>
  <c r="L88" i="20"/>
  <c r="L88" i="15" s="1"/>
  <c r="M88" i="20"/>
  <c r="M88" i="15" s="1"/>
  <c r="N88" i="20"/>
  <c r="N88" i="15" s="1"/>
  <c r="O88" i="20"/>
  <c r="O88" i="15" s="1"/>
  <c r="P88" i="20"/>
  <c r="P88" i="15" s="1"/>
  <c r="Q88" i="20"/>
  <c r="Q88" i="15" s="1"/>
  <c r="R88" i="20"/>
  <c r="R88" i="15" s="1"/>
  <c r="S88" i="20"/>
  <c r="S88" i="15" s="1"/>
  <c r="T88" i="20"/>
  <c r="T88" i="15" s="1"/>
  <c r="U88" i="20"/>
  <c r="U88" i="15" s="1"/>
  <c r="V88" i="20"/>
  <c r="V88" i="15" s="1"/>
  <c r="W88" i="20"/>
  <c r="W88" i="15" s="1"/>
  <c r="X88" i="20"/>
  <c r="X88" i="15" s="1"/>
  <c r="Y88" i="20"/>
  <c r="Y88" i="15" s="1"/>
  <c r="Z88" i="20"/>
  <c r="Z88" i="15" s="1"/>
  <c r="AA88" i="20"/>
  <c r="AA88" i="15" s="1"/>
  <c r="AB88" i="20"/>
  <c r="AB88" i="15" s="1"/>
  <c r="AC88" i="20"/>
  <c r="AC88" i="15" s="1"/>
  <c r="AD88" i="20"/>
  <c r="AD88" i="15" s="1"/>
  <c r="AE88" i="20"/>
  <c r="AE88" i="15" s="1"/>
  <c r="AF88" i="20"/>
  <c r="AF88" i="15" s="1"/>
  <c r="AG88" i="20"/>
  <c r="AG88" i="15" s="1"/>
  <c r="AH88" i="20"/>
  <c r="AH88" i="15" s="1"/>
  <c r="C89" i="20"/>
  <c r="D89" i="20"/>
  <c r="E89" i="20"/>
  <c r="E89" i="15" s="1"/>
  <c r="F89" i="20"/>
  <c r="F89" i="15" s="1"/>
  <c r="G89" i="20"/>
  <c r="G89" i="15" s="1"/>
  <c r="H89" i="20"/>
  <c r="H89" i="15" s="1"/>
  <c r="I89" i="20"/>
  <c r="I89" i="15" s="1"/>
  <c r="J89" i="20"/>
  <c r="J89" i="15" s="1"/>
  <c r="K89" i="20"/>
  <c r="K89" i="15" s="1"/>
  <c r="L89" i="20"/>
  <c r="L89" i="15" s="1"/>
  <c r="M89" i="20"/>
  <c r="M89" i="15" s="1"/>
  <c r="N89" i="20"/>
  <c r="N89" i="15" s="1"/>
  <c r="O89" i="20"/>
  <c r="O89" i="15" s="1"/>
  <c r="P89" i="20"/>
  <c r="P89" i="15" s="1"/>
  <c r="Q89" i="20"/>
  <c r="Q89" i="15" s="1"/>
  <c r="R89" i="20"/>
  <c r="R89" i="15" s="1"/>
  <c r="S89" i="20"/>
  <c r="S89" i="15" s="1"/>
  <c r="T89" i="20"/>
  <c r="T89" i="15" s="1"/>
  <c r="U89" i="20"/>
  <c r="U89" i="15" s="1"/>
  <c r="V89" i="20"/>
  <c r="V89" i="15" s="1"/>
  <c r="W89" i="20"/>
  <c r="W89" i="15" s="1"/>
  <c r="X89" i="20"/>
  <c r="X89" i="15" s="1"/>
  <c r="Y89" i="20"/>
  <c r="Y89" i="15" s="1"/>
  <c r="Z89" i="20"/>
  <c r="Z89" i="15" s="1"/>
  <c r="AA89" i="20"/>
  <c r="AA89" i="15" s="1"/>
  <c r="AB89" i="20"/>
  <c r="AB89" i="15" s="1"/>
  <c r="AC89" i="20"/>
  <c r="AC89" i="15" s="1"/>
  <c r="AD89" i="20"/>
  <c r="AD89" i="15" s="1"/>
  <c r="AE89" i="20"/>
  <c r="AE89" i="15" s="1"/>
  <c r="AF89" i="20"/>
  <c r="AF89" i="15" s="1"/>
  <c r="AG89" i="20"/>
  <c r="AG89" i="15" s="1"/>
  <c r="AH89" i="20"/>
  <c r="AH89" i="15" s="1"/>
  <c r="C90" i="20"/>
  <c r="D90" i="20"/>
  <c r="E90" i="20"/>
  <c r="E90" i="15" s="1"/>
  <c r="F90" i="20"/>
  <c r="F90" i="15" s="1"/>
  <c r="G90" i="20"/>
  <c r="G90" i="15" s="1"/>
  <c r="H90" i="20"/>
  <c r="H90" i="15" s="1"/>
  <c r="I90" i="20"/>
  <c r="I90" i="15" s="1"/>
  <c r="J90" i="20"/>
  <c r="J90" i="15" s="1"/>
  <c r="K90" i="20"/>
  <c r="K90" i="15" s="1"/>
  <c r="L90" i="20"/>
  <c r="L90" i="15" s="1"/>
  <c r="M90" i="20"/>
  <c r="M90" i="15" s="1"/>
  <c r="N90" i="20"/>
  <c r="N90" i="15" s="1"/>
  <c r="O90" i="20"/>
  <c r="O90" i="15" s="1"/>
  <c r="P90" i="20"/>
  <c r="P90" i="15" s="1"/>
  <c r="Q90" i="20"/>
  <c r="Q90" i="15" s="1"/>
  <c r="R90" i="20"/>
  <c r="R90" i="15" s="1"/>
  <c r="S90" i="20"/>
  <c r="S90" i="15" s="1"/>
  <c r="T90" i="20"/>
  <c r="T90" i="15" s="1"/>
  <c r="U90" i="20"/>
  <c r="U90" i="15" s="1"/>
  <c r="V90" i="20"/>
  <c r="V90" i="15" s="1"/>
  <c r="W90" i="20"/>
  <c r="W90" i="15" s="1"/>
  <c r="X90" i="20"/>
  <c r="X90" i="15" s="1"/>
  <c r="Y90" i="20"/>
  <c r="Y90" i="15" s="1"/>
  <c r="Z90" i="20"/>
  <c r="Z90" i="15" s="1"/>
  <c r="AA90" i="20"/>
  <c r="AA90" i="15" s="1"/>
  <c r="AB90" i="20"/>
  <c r="AB90" i="15" s="1"/>
  <c r="AC90" i="20"/>
  <c r="AC90" i="15" s="1"/>
  <c r="AD90" i="20"/>
  <c r="AD90" i="15" s="1"/>
  <c r="AE90" i="20"/>
  <c r="AE90" i="15" s="1"/>
  <c r="AF90" i="20"/>
  <c r="AF90" i="15" s="1"/>
  <c r="AG90" i="20"/>
  <c r="AG90" i="15" s="1"/>
  <c r="AH90" i="20"/>
  <c r="AH90" i="15" s="1"/>
  <c r="D80" i="20"/>
  <c r="E80" i="20"/>
  <c r="E80" i="15" s="1"/>
  <c r="F80" i="20"/>
  <c r="F80" i="15" s="1"/>
  <c r="G80" i="20"/>
  <c r="G80" i="15" s="1"/>
  <c r="H80" i="20"/>
  <c r="H80" i="15" s="1"/>
  <c r="I80" i="20"/>
  <c r="I80" i="15" s="1"/>
  <c r="J80" i="20"/>
  <c r="J80" i="15" s="1"/>
  <c r="K80" i="20"/>
  <c r="K80" i="15" s="1"/>
  <c r="L80" i="20"/>
  <c r="L80" i="15" s="1"/>
  <c r="M80" i="20"/>
  <c r="M80" i="15" s="1"/>
  <c r="N80" i="20"/>
  <c r="N80" i="15" s="1"/>
  <c r="O80" i="20"/>
  <c r="O80" i="15" s="1"/>
  <c r="P80" i="20"/>
  <c r="P80" i="15" s="1"/>
  <c r="Q80" i="20"/>
  <c r="Q80" i="15" s="1"/>
  <c r="R80" i="20"/>
  <c r="R80" i="15" s="1"/>
  <c r="S80" i="20"/>
  <c r="S80" i="15" s="1"/>
  <c r="T80" i="20"/>
  <c r="T80" i="15" s="1"/>
  <c r="U80" i="20"/>
  <c r="U80" i="15" s="1"/>
  <c r="V80" i="20"/>
  <c r="V80" i="15" s="1"/>
  <c r="W80" i="20"/>
  <c r="W80" i="15" s="1"/>
  <c r="X80" i="20"/>
  <c r="X80" i="15" s="1"/>
  <c r="Y80" i="20"/>
  <c r="Y80" i="15" s="1"/>
  <c r="Z80" i="20"/>
  <c r="Z80" i="15" s="1"/>
  <c r="AA80" i="20"/>
  <c r="AA80" i="15" s="1"/>
  <c r="AB80" i="20"/>
  <c r="AB80" i="15" s="1"/>
  <c r="AC80" i="20"/>
  <c r="AC80" i="15" s="1"/>
  <c r="AD80" i="20"/>
  <c r="AD80" i="15" s="1"/>
  <c r="AE80" i="20"/>
  <c r="AE80" i="15" s="1"/>
  <c r="AF80" i="20"/>
  <c r="AF80" i="15" s="1"/>
  <c r="AG80" i="20"/>
  <c r="AG80" i="15" s="1"/>
  <c r="AH80" i="20"/>
  <c r="AH80" i="15" s="1"/>
  <c r="C80" i="20"/>
  <c r="D69" i="20"/>
  <c r="E69" i="20"/>
  <c r="E69" i="15" s="1"/>
  <c r="F69" i="20"/>
  <c r="F69" i="15" s="1"/>
  <c r="G69" i="20"/>
  <c r="G69" i="15" s="1"/>
  <c r="H69" i="20"/>
  <c r="H69" i="15" s="1"/>
  <c r="I69" i="20"/>
  <c r="I69" i="15" s="1"/>
  <c r="J69" i="20"/>
  <c r="J69" i="15" s="1"/>
  <c r="K69" i="20"/>
  <c r="K69" i="15" s="1"/>
  <c r="L69" i="20"/>
  <c r="L69" i="15" s="1"/>
  <c r="M69" i="20"/>
  <c r="M69" i="15" s="1"/>
  <c r="N69" i="20"/>
  <c r="N69" i="15" s="1"/>
  <c r="O69" i="20"/>
  <c r="O69" i="15" s="1"/>
  <c r="P69" i="20"/>
  <c r="P69" i="15" s="1"/>
  <c r="Q69" i="20"/>
  <c r="Q69" i="15" s="1"/>
  <c r="R69" i="20"/>
  <c r="R69" i="15" s="1"/>
  <c r="S69" i="20"/>
  <c r="S69" i="15" s="1"/>
  <c r="T69" i="20"/>
  <c r="T69" i="15" s="1"/>
  <c r="U69" i="20"/>
  <c r="U69" i="15" s="1"/>
  <c r="V69" i="20"/>
  <c r="V69" i="15" s="1"/>
  <c r="W69" i="20"/>
  <c r="W69" i="15" s="1"/>
  <c r="X69" i="20"/>
  <c r="X69" i="15" s="1"/>
  <c r="Y69" i="20"/>
  <c r="Y69" i="15" s="1"/>
  <c r="Z69" i="20"/>
  <c r="Z69" i="15" s="1"/>
  <c r="AA69" i="20"/>
  <c r="AA69" i="15" s="1"/>
  <c r="AB69" i="20"/>
  <c r="AB69" i="15" s="1"/>
  <c r="AC69" i="20"/>
  <c r="AC69" i="15" s="1"/>
  <c r="AD69" i="20"/>
  <c r="AD69" i="15" s="1"/>
  <c r="AE69" i="20"/>
  <c r="AE69" i="15" s="1"/>
  <c r="AF69" i="20"/>
  <c r="AF69" i="15" s="1"/>
  <c r="AG69" i="20"/>
  <c r="AG69" i="15" s="1"/>
  <c r="AH69" i="20"/>
  <c r="AH69" i="15" s="1"/>
  <c r="D70" i="20"/>
  <c r="E70" i="20"/>
  <c r="E70" i="15" s="1"/>
  <c r="F70" i="20"/>
  <c r="F70" i="15" s="1"/>
  <c r="G70" i="20"/>
  <c r="G70" i="15" s="1"/>
  <c r="H70" i="20"/>
  <c r="H70" i="15" s="1"/>
  <c r="I70" i="20"/>
  <c r="I70" i="15" s="1"/>
  <c r="J70" i="20"/>
  <c r="J70" i="15" s="1"/>
  <c r="K70" i="20"/>
  <c r="K70" i="15" s="1"/>
  <c r="L70" i="20"/>
  <c r="L70" i="15" s="1"/>
  <c r="M70" i="20"/>
  <c r="M70" i="15" s="1"/>
  <c r="N70" i="20"/>
  <c r="N70" i="15" s="1"/>
  <c r="O70" i="20"/>
  <c r="O70" i="15" s="1"/>
  <c r="P70" i="20"/>
  <c r="P70" i="15" s="1"/>
  <c r="Q70" i="20"/>
  <c r="Q70" i="15" s="1"/>
  <c r="R70" i="20"/>
  <c r="R70" i="15" s="1"/>
  <c r="S70" i="20"/>
  <c r="S70" i="15" s="1"/>
  <c r="T70" i="20"/>
  <c r="T70" i="15" s="1"/>
  <c r="U70" i="20"/>
  <c r="U70" i="15" s="1"/>
  <c r="V70" i="20"/>
  <c r="V70" i="15" s="1"/>
  <c r="W70" i="20"/>
  <c r="W70" i="15" s="1"/>
  <c r="X70" i="20"/>
  <c r="X70" i="15" s="1"/>
  <c r="Y70" i="20"/>
  <c r="Y70" i="15" s="1"/>
  <c r="Z70" i="20"/>
  <c r="Z70" i="15" s="1"/>
  <c r="AA70" i="20"/>
  <c r="AA70" i="15" s="1"/>
  <c r="AB70" i="20"/>
  <c r="AB70" i="15" s="1"/>
  <c r="AC70" i="20"/>
  <c r="AC70" i="15" s="1"/>
  <c r="AD70" i="20"/>
  <c r="AD70" i="15" s="1"/>
  <c r="AE70" i="20"/>
  <c r="AE70" i="15" s="1"/>
  <c r="AF70" i="20"/>
  <c r="AF70" i="15" s="1"/>
  <c r="AG70" i="20"/>
  <c r="AG70" i="15" s="1"/>
  <c r="AH70" i="20"/>
  <c r="AH70" i="15" s="1"/>
  <c r="D71" i="20"/>
  <c r="E71" i="20"/>
  <c r="E71" i="15" s="1"/>
  <c r="F71" i="20"/>
  <c r="F71" i="15" s="1"/>
  <c r="G71" i="20"/>
  <c r="G71" i="15" s="1"/>
  <c r="H71" i="20"/>
  <c r="H71" i="15" s="1"/>
  <c r="I71" i="20"/>
  <c r="I71" i="15" s="1"/>
  <c r="J71" i="20"/>
  <c r="J71" i="15" s="1"/>
  <c r="K71" i="20"/>
  <c r="K71" i="15" s="1"/>
  <c r="L71" i="20"/>
  <c r="L71" i="15" s="1"/>
  <c r="M71" i="20"/>
  <c r="M71" i="15" s="1"/>
  <c r="N71" i="20"/>
  <c r="N71" i="15" s="1"/>
  <c r="O71" i="20"/>
  <c r="O71" i="15" s="1"/>
  <c r="P71" i="20"/>
  <c r="P71" i="15" s="1"/>
  <c r="Q71" i="20"/>
  <c r="Q71" i="15" s="1"/>
  <c r="R71" i="20"/>
  <c r="R71" i="15" s="1"/>
  <c r="S71" i="20"/>
  <c r="S71" i="15" s="1"/>
  <c r="T71" i="20"/>
  <c r="T71" i="15" s="1"/>
  <c r="U71" i="20"/>
  <c r="U71" i="15" s="1"/>
  <c r="V71" i="20"/>
  <c r="V71" i="15" s="1"/>
  <c r="W71" i="20"/>
  <c r="W71" i="15" s="1"/>
  <c r="X71" i="20"/>
  <c r="X71" i="15" s="1"/>
  <c r="Y71" i="20"/>
  <c r="Y71" i="15" s="1"/>
  <c r="Z71" i="20"/>
  <c r="Z71" i="15" s="1"/>
  <c r="AA71" i="20"/>
  <c r="AA71" i="15" s="1"/>
  <c r="AB71" i="20"/>
  <c r="AB71" i="15" s="1"/>
  <c r="AC71" i="20"/>
  <c r="AC71" i="15" s="1"/>
  <c r="AD71" i="20"/>
  <c r="AD71" i="15" s="1"/>
  <c r="AE71" i="20"/>
  <c r="AE71" i="15" s="1"/>
  <c r="AF71" i="20"/>
  <c r="AF71" i="15" s="1"/>
  <c r="AG71" i="20"/>
  <c r="AG71" i="15" s="1"/>
  <c r="AH71" i="20"/>
  <c r="AH71" i="15" s="1"/>
  <c r="D72" i="20"/>
  <c r="E72" i="20"/>
  <c r="E72" i="15" s="1"/>
  <c r="F72" i="20"/>
  <c r="F72" i="15" s="1"/>
  <c r="G72" i="20"/>
  <c r="G72" i="15" s="1"/>
  <c r="H72" i="20"/>
  <c r="H72" i="15" s="1"/>
  <c r="I72" i="20"/>
  <c r="I72" i="15" s="1"/>
  <c r="J72" i="20"/>
  <c r="J72" i="15" s="1"/>
  <c r="K72" i="20"/>
  <c r="K72" i="15" s="1"/>
  <c r="L72" i="20"/>
  <c r="L72" i="15" s="1"/>
  <c r="M72" i="20"/>
  <c r="M72" i="15" s="1"/>
  <c r="N72" i="20"/>
  <c r="N72" i="15" s="1"/>
  <c r="O72" i="20"/>
  <c r="O72" i="15" s="1"/>
  <c r="P72" i="20"/>
  <c r="P72" i="15" s="1"/>
  <c r="Q72" i="20"/>
  <c r="Q72" i="15" s="1"/>
  <c r="R72" i="20"/>
  <c r="R72" i="15" s="1"/>
  <c r="S72" i="20"/>
  <c r="S72" i="15" s="1"/>
  <c r="T72" i="20"/>
  <c r="T72" i="15" s="1"/>
  <c r="U72" i="20"/>
  <c r="U72" i="15" s="1"/>
  <c r="V72" i="20"/>
  <c r="V72" i="15" s="1"/>
  <c r="W72" i="20"/>
  <c r="W72" i="15" s="1"/>
  <c r="X72" i="20"/>
  <c r="X72" i="15" s="1"/>
  <c r="Y72" i="20"/>
  <c r="Y72" i="15" s="1"/>
  <c r="Z72" i="20"/>
  <c r="Z72" i="15" s="1"/>
  <c r="AA72" i="20"/>
  <c r="AA72" i="15" s="1"/>
  <c r="AB72" i="20"/>
  <c r="AB72" i="15" s="1"/>
  <c r="AC72" i="20"/>
  <c r="AC72" i="15" s="1"/>
  <c r="AD72" i="20"/>
  <c r="AD72" i="15" s="1"/>
  <c r="AE72" i="20"/>
  <c r="AE72" i="15" s="1"/>
  <c r="AF72" i="20"/>
  <c r="AF72" i="15" s="1"/>
  <c r="AG72" i="20"/>
  <c r="AG72" i="15" s="1"/>
  <c r="AH72" i="20"/>
  <c r="AH72" i="15" s="1"/>
  <c r="D73" i="20"/>
  <c r="E73" i="20"/>
  <c r="E73" i="15" s="1"/>
  <c r="F73" i="20"/>
  <c r="F73" i="15" s="1"/>
  <c r="G73" i="20"/>
  <c r="G73" i="15" s="1"/>
  <c r="H73" i="20"/>
  <c r="H73" i="15" s="1"/>
  <c r="I73" i="20"/>
  <c r="I73" i="15" s="1"/>
  <c r="J73" i="20"/>
  <c r="J73" i="15" s="1"/>
  <c r="K73" i="20"/>
  <c r="K73" i="15" s="1"/>
  <c r="L73" i="20"/>
  <c r="L73" i="15" s="1"/>
  <c r="M73" i="20"/>
  <c r="M73" i="15" s="1"/>
  <c r="N73" i="20"/>
  <c r="N73" i="15" s="1"/>
  <c r="O73" i="20"/>
  <c r="O73" i="15" s="1"/>
  <c r="P73" i="20"/>
  <c r="P73" i="15" s="1"/>
  <c r="Q73" i="20"/>
  <c r="Q73" i="15" s="1"/>
  <c r="R73" i="20"/>
  <c r="R73" i="15" s="1"/>
  <c r="S73" i="20"/>
  <c r="S73" i="15" s="1"/>
  <c r="T73" i="20"/>
  <c r="T73" i="15" s="1"/>
  <c r="U73" i="20"/>
  <c r="U73" i="15" s="1"/>
  <c r="V73" i="20"/>
  <c r="V73" i="15" s="1"/>
  <c r="W73" i="20"/>
  <c r="W73" i="15" s="1"/>
  <c r="X73" i="20"/>
  <c r="X73" i="15" s="1"/>
  <c r="Y73" i="20"/>
  <c r="Y73" i="15" s="1"/>
  <c r="Z73" i="20"/>
  <c r="Z73" i="15" s="1"/>
  <c r="AA73" i="20"/>
  <c r="AA73" i="15" s="1"/>
  <c r="AB73" i="20"/>
  <c r="AB73" i="15" s="1"/>
  <c r="AC73" i="20"/>
  <c r="AC73" i="15" s="1"/>
  <c r="AD73" i="20"/>
  <c r="AD73" i="15" s="1"/>
  <c r="AE73" i="20"/>
  <c r="AE73" i="15" s="1"/>
  <c r="AF73" i="20"/>
  <c r="AF73" i="15" s="1"/>
  <c r="AG73" i="20"/>
  <c r="AG73" i="15" s="1"/>
  <c r="AH73" i="20"/>
  <c r="AH73" i="15" s="1"/>
  <c r="D74" i="20"/>
  <c r="E74" i="20"/>
  <c r="E74" i="15" s="1"/>
  <c r="F74" i="20"/>
  <c r="F74" i="15" s="1"/>
  <c r="G74" i="20"/>
  <c r="G74" i="15" s="1"/>
  <c r="H74" i="20"/>
  <c r="H74" i="15" s="1"/>
  <c r="I74" i="20"/>
  <c r="I74" i="15" s="1"/>
  <c r="J74" i="20"/>
  <c r="J74" i="15" s="1"/>
  <c r="K74" i="20"/>
  <c r="K74" i="15" s="1"/>
  <c r="L74" i="20"/>
  <c r="L74" i="15" s="1"/>
  <c r="M74" i="20"/>
  <c r="M74" i="15" s="1"/>
  <c r="N74" i="20"/>
  <c r="N74" i="15" s="1"/>
  <c r="O74" i="20"/>
  <c r="O74" i="15" s="1"/>
  <c r="P74" i="20"/>
  <c r="P74" i="15" s="1"/>
  <c r="Q74" i="20"/>
  <c r="Q74" i="15" s="1"/>
  <c r="R74" i="20"/>
  <c r="R74" i="15" s="1"/>
  <c r="S74" i="20"/>
  <c r="S74" i="15" s="1"/>
  <c r="T74" i="20"/>
  <c r="T74" i="15" s="1"/>
  <c r="U74" i="20"/>
  <c r="U74" i="15" s="1"/>
  <c r="V74" i="20"/>
  <c r="V74" i="15" s="1"/>
  <c r="W74" i="20"/>
  <c r="W74" i="15" s="1"/>
  <c r="X74" i="20"/>
  <c r="X74" i="15" s="1"/>
  <c r="Y74" i="20"/>
  <c r="Y74" i="15" s="1"/>
  <c r="Z74" i="20"/>
  <c r="Z74" i="15" s="1"/>
  <c r="AA74" i="20"/>
  <c r="AA74" i="15" s="1"/>
  <c r="AB74" i="20"/>
  <c r="AB74" i="15" s="1"/>
  <c r="AC74" i="20"/>
  <c r="AC74" i="15" s="1"/>
  <c r="AD74" i="20"/>
  <c r="AD74" i="15" s="1"/>
  <c r="AE74" i="20"/>
  <c r="AE74" i="15" s="1"/>
  <c r="AF74" i="20"/>
  <c r="AF74" i="15" s="1"/>
  <c r="AG74" i="20"/>
  <c r="AG74" i="15" s="1"/>
  <c r="AH74" i="20"/>
  <c r="AH74" i="15" s="1"/>
  <c r="D75" i="20"/>
  <c r="E75" i="20"/>
  <c r="E75" i="15" s="1"/>
  <c r="F75" i="20"/>
  <c r="F75" i="15" s="1"/>
  <c r="G75" i="20"/>
  <c r="G75" i="15" s="1"/>
  <c r="H75" i="20"/>
  <c r="H75" i="15" s="1"/>
  <c r="I75" i="20"/>
  <c r="I75" i="15" s="1"/>
  <c r="J75" i="20"/>
  <c r="J75" i="15" s="1"/>
  <c r="K75" i="20"/>
  <c r="K75" i="15" s="1"/>
  <c r="L75" i="20"/>
  <c r="L75" i="15" s="1"/>
  <c r="M75" i="20"/>
  <c r="M75" i="15" s="1"/>
  <c r="N75" i="20"/>
  <c r="N75" i="15" s="1"/>
  <c r="O75" i="20"/>
  <c r="O75" i="15" s="1"/>
  <c r="P75" i="20"/>
  <c r="P75" i="15" s="1"/>
  <c r="Q75" i="20"/>
  <c r="Q75" i="15" s="1"/>
  <c r="R75" i="20"/>
  <c r="R75" i="15" s="1"/>
  <c r="S75" i="20"/>
  <c r="S75" i="15" s="1"/>
  <c r="T75" i="20"/>
  <c r="T75" i="15" s="1"/>
  <c r="U75" i="20"/>
  <c r="U75" i="15" s="1"/>
  <c r="V75" i="20"/>
  <c r="V75" i="15" s="1"/>
  <c r="W75" i="20"/>
  <c r="W75" i="15" s="1"/>
  <c r="X75" i="20"/>
  <c r="X75" i="15" s="1"/>
  <c r="Y75" i="20"/>
  <c r="Y75" i="15" s="1"/>
  <c r="Z75" i="20"/>
  <c r="Z75" i="15" s="1"/>
  <c r="AA75" i="20"/>
  <c r="AA75" i="15" s="1"/>
  <c r="AB75" i="20"/>
  <c r="AB75" i="15" s="1"/>
  <c r="AC75" i="20"/>
  <c r="AC75" i="15" s="1"/>
  <c r="AD75" i="20"/>
  <c r="AD75" i="15" s="1"/>
  <c r="AE75" i="20"/>
  <c r="AE75" i="15" s="1"/>
  <c r="AF75" i="20"/>
  <c r="AF75" i="15" s="1"/>
  <c r="AG75" i="20"/>
  <c r="AG75" i="15" s="1"/>
  <c r="AH75" i="20"/>
  <c r="AH75" i="15" s="1"/>
  <c r="D76" i="20"/>
  <c r="E76" i="20"/>
  <c r="E76" i="15" s="1"/>
  <c r="F76" i="20"/>
  <c r="F76" i="15" s="1"/>
  <c r="G76" i="20"/>
  <c r="G76" i="15" s="1"/>
  <c r="H76" i="20"/>
  <c r="H76" i="15" s="1"/>
  <c r="I76" i="20"/>
  <c r="I76" i="15" s="1"/>
  <c r="J76" i="20"/>
  <c r="J76" i="15" s="1"/>
  <c r="K76" i="20"/>
  <c r="K76" i="15" s="1"/>
  <c r="L76" i="20"/>
  <c r="L76" i="15" s="1"/>
  <c r="M76" i="20"/>
  <c r="M76" i="15" s="1"/>
  <c r="N76" i="20"/>
  <c r="N76" i="15" s="1"/>
  <c r="O76" i="20"/>
  <c r="O76" i="15" s="1"/>
  <c r="P76" i="20"/>
  <c r="P76" i="15" s="1"/>
  <c r="Q76" i="20"/>
  <c r="Q76" i="15" s="1"/>
  <c r="R76" i="20"/>
  <c r="R76" i="15" s="1"/>
  <c r="S76" i="20"/>
  <c r="S76" i="15" s="1"/>
  <c r="T76" i="20"/>
  <c r="T76" i="15" s="1"/>
  <c r="U76" i="20"/>
  <c r="U76" i="15" s="1"/>
  <c r="V76" i="20"/>
  <c r="V76" i="15" s="1"/>
  <c r="W76" i="20"/>
  <c r="W76" i="15" s="1"/>
  <c r="X76" i="20"/>
  <c r="X76" i="15" s="1"/>
  <c r="Y76" i="20"/>
  <c r="Y76" i="15" s="1"/>
  <c r="Z76" i="20"/>
  <c r="Z76" i="15" s="1"/>
  <c r="AA76" i="20"/>
  <c r="AA76" i="15" s="1"/>
  <c r="AB76" i="20"/>
  <c r="AB76" i="15" s="1"/>
  <c r="AC76" i="20"/>
  <c r="AC76" i="15" s="1"/>
  <c r="AD76" i="20"/>
  <c r="AD76" i="15" s="1"/>
  <c r="AE76" i="20"/>
  <c r="AE76" i="15" s="1"/>
  <c r="AF76" i="20"/>
  <c r="AF76" i="15" s="1"/>
  <c r="AG76" i="20"/>
  <c r="AG76" i="15" s="1"/>
  <c r="AH76" i="20"/>
  <c r="AH76" i="15" s="1"/>
  <c r="D77" i="20"/>
  <c r="E77" i="20"/>
  <c r="E77" i="15" s="1"/>
  <c r="F77" i="20"/>
  <c r="F77" i="15" s="1"/>
  <c r="G77" i="20"/>
  <c r="G77" i="15" s="1"/>
  <c r="H77" i="20"/>
  <c r="H77" i="15" s="1"/>
  <c r="I77" i="20"/>
  <c r="I77" i="15" s="1"/>
  <c r="J77" i="20"/>
  <c r="J77" i="15" s="1"/>
  <c r="K77" i="20"/>
  <c r="K77" i="15" s="1"/>
  <c r="L77" i="20"/>
  <c r="L77" i="15" s="1"/>
  <c r="M77" i="20"/>
  <c r="M77" i="15" s="1"/>
  <c r="N77" i="20"/>
  <c r="N77" i="15" s="1"/>
  <c r="O77" i="20"/>
  <c r="O77" i="15" s="1"/>
  <c r="P77" i="20"/>
  <c r="P77" i="15" s="1"/>
  <c r="Q77" i="20"/>
  <c r="Q77" i="15" s="1"/>
  <c r="R77" i="20"/>
  <c r="R77" i="15" s="1"/>
  <c r="S77" i="20"/>
  <c r="S77" i="15" s="1"/>
  <c r="T77" i="20"/>
  <c r="T77" i="15" s="1"/>
  <c r="U77" i="20"/>
  <c r="U77" i="15" s="1"/>
  <c r="V77" i="20"/>
  <c r="V77" i="15" s="1"/>
  <c r="W77" i="20"/>
  <c r="W77" i="15" s="1"/>
  <c r="X77" i="20"/>
  <c r="X77" i="15" s="1"/>
  <c r="Y77" i="20"/>
  <c r="Y77" i="15" s="1"/>
  <c r="Z77" i="20"/>
  <c r="Z77" i="15" s="1"/>
  <c r="AA77" i="20"/>
  <c r="AA77" i="15" s="1"/>
  <c r="AB77" i="20"/>
  <c r="AB77" i="15" s="1"/>
  <c r="AC77" i="20"/>
  <c r="AC77" i="15" s="1"/>
  <c r="AD77" i="20"/>
  <c r="AD77" i="15" s="1"/>
  <c r="AE77" i="20"/>
  <c r="AE77" i="15" s="1"/>
  <c r="AF77" i="20"/>
  <c r="AF77" i="15" s="1"/>
  <c r="AG77" i="20"/>
  <c r="AG77" i="15" s="1"/>
  <c r="AH77" i="20"/>
  <c r="AH77" i="15" s="1"/>
  <c r="D78" i="20"/>
  <c r="E78" i="20"/>
  <c r="E78" i="15" s="1"/>
  <c r="F78" i="20"/>
  <c r="F78" i="15" s="1"/>
  <c r="G78" i="20"/>
  <c r="G78" i="15" s="1"/>
  <c r="H78" i="20"/>
  <c r="H78" i="15" s="1"/>
  <c r="I78" i="20"/>
  <c r="I78" i="15" s="1"/>
  <c r="J78" i="20"/>
  <c r="J78" i="15" s="1"/>
  <c r="K78" i="20"/>
  <c r="K78" i="15" s="1"/>
  <c r="L78" i="20"/>
  <c r="L78" i="15" s="1"/>
  <c r="M78" i="20"/>
  <c r="M78" i="15" s="1"/>
  <c r="N78" i="20"/>
  <c r="N78" i="15" s="1"/>
  <c r="O78" i="20"/>
  <c r="O78" i="15" s="1"/>
  <c r="P78" i="20"/>
  <c r="P78" i="15" s="1"/>
  <c r="Q78" i="20"/>
  <c r="Q78" i="15" s="1"/>
  <c r="R78" i="20"/>
  <c r="R78" i="15" s="1"/>
  <c r="S78" i="20"/>
  <c r="S78" i="15" s="1"/>
  <c r="T78" i="20"/>
  <c r="T78" i="15" s="1"/>
  <c r="U78" i="20"/>
  <c r="U78" i="15" s="1"/>
  <c r="V78" i="20"/>
  <c r="V78" i="15" s="1"/>
  <c r="W78" i="20"/>
  <c r="W78" i="15" s="1"/>
  <c r="X78" i="20"/>
  <c r="X78" i="15" s="1"/>
  <c r="Y78" i="20"/>
  <c r="Y78" i="15" s="1"/>
  <c r="Z78" i="20"/>
  <c r="Z78" i="15" s="1"/>
  <c r="AA78" i="20"/>
  <c r="AA78" i="15" s="1"/>
  <c r="AB78" i="20"/>
  <c r="AB78" i="15" s="1"/>
  <c r="AC78" i="20"/>
  <c r="AC78" i="15" s="1"/>
  <c r="AD78" i="20"/>
  <c r="AD78" i="15" s="1"/>
  <c r="AE78" i="20"/>
  <c r="AE78" i="15" s="1"/>
  <c r="AF78" i="20"/>
  <c r="AF78" i="15" s="1"/>
  <c r="AG78" i="20"/>
  <c r="AG78" i="15" s="1"/>
  <c r="AH78" i="20"/>
  <c r="AH78" i="15" s="1"/>
  <c r="D79" i="20"/>
  <c r="E79" i="20"/>
  <c r="E79" i="15" s="1"/>
  <c r="F79" i="20"/>
  <c r="F79" i="15" s="1"/>
  <c r="G79" i="20"/>
  <c r="G79" i="15" s="1"/>
  <c r="H79" i="20"/>
  <c r="H79" i="15" s="1"/>
  <c r="I79" i="20"/>
  <c r="I79" i="15" s="1"/>
  <c r="J79" i="20"/>
  <c r="J79" i="15" s="1"/>
  <c r="K79" i="20"/>
  <c r="K79" i="15" s="1"/>
  <c r="L79" i="20"/>
  <c r="L79" i="15" s="1"/>
  <c r="M79" i="20"/>
  <c r="M79" i="15" s="1"/>
  <c r="N79" i="20"/>
  <c r="N79" i="15" s="1"/>
  <c r="O79" i="20"/>
  <c r="O79" i="15" s="1"/>
  <c r="P79" i="20"/>
  <c r="P79" i="15" s="1"/>
  <c r="Q79" i="20"/>
  <c r="Q79" i="15" s="1"/>
  <c r="R79" i="20"/>
  <c r="R79" i="15" s="1"/>
  <c r="S79" i="20"/>
  <c r="S79" i="15" s="1"/>
  <c r="T79" i="20"/>
  <c r="T79" i="15" s="1"/>
  <c r="U79" i="20"/>
  <c r="U79" i="15" s="1"/>
  <c r="V79" i="20"/>
  <c r="V79" i="15" s="1"/>
  <c r="W79" i="20"/>
  <c r="W79" i="15" s="1"/>
  <c r="X79" i="20"/>
  <c r="X79" i="15" s="1"/>
  <c r="Y79" i="20"/>
  <c r="Y79" i="15" s="1"/>
  <c r="Z79" i="20"/>
  <c r="Z79" i="15" s="1"/>
  <c r="AA79" i="20"/>
  <c r="AA79" i="15" s="1"/>
  <c r="AB79" i="20"/>
  <c r="AB79" i="15" s="1"/>
  <c r="AC79" i="20"/>
  <c r="AC79" i="15" s="1"/>
  <c r="AD79" i="20"/>
  <c r="AD79" i="15" s="1"/>
  <c r="AE79" i="20"/>
  <c r="AE79" i="15" s="1"/>
  <c r="AF79" i="20"/>
  <c r="AF79" i="15" s="1"/>
  <c r="AG79" i="20"/>
  <c r="AG79" i="15" s="1"/>
  <c r="AH79" i="20"/>
  <c r="AH79" i="15" s="1"/>
  <c r="C70" i="20"/>
  <c r="C71" i="20"/>
  <c r="C72" i="20"/>
  <c r="C73" i="20"/>
  <c r="C74" i="20"/>
  <c r="C75" i="20"/>
  <c r="C76" i="20"/>
  <c r="C77" i="20"/>
  <c r="C78" i="20"/>
  <c r="C79" i="20"/>
  <c r="C69" i="20"/>
  <c r="D3" i="20"/>
  <c r="E3" i="20"/>
  <c r="F3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AA3" i="20"/>
  <c r="AB3" i="20"/>
  <c r="AC3" i="20"/>
  <c r="AD3" i="20"/>
  <c r="AE3" i="20"/>
  <c r="AF3" i="20"/>
  <c r="AG3" i="20"/>
  <c r="AH3" i="20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D6" i="20"/>
  <c r="E6" i="20"/>
  <c r="F6" i="20"/>
  <c r="G6" i="20"/>
  <c r="H6" i="20"/>
  <c r="I6" i="20"/>
  <c r="J6" i="20"/>
  <c r="K6" i="20"/>
  <c r="L6" i="20"/>
  <c r="M6" i="20"/>
  <c r="N6" i="20"/>
  <c r="O6" i="20"/>
  <c r="P6" i="20"/>
  <c r="Q6" i="20"/>
  <c r="R6" i="20"/>
  <c r="S6" i="20"/>
  <c r="T6" i="20"/>
  <c r="U6" i="20"/>
  <c r="V6" i="20"/>
  <c r="W6" i="20"/>
  <c r="X6" i="20"/>
  <c r="Y6" i="20"/>
  <c r="Z6" i="20"/>
  <c r="AA6" i="20"/>
  <c r="AB6" i="20"/>
  <c r="AC6" i="20"/>
  <c r="AD6" i="20"/>
  <c r="AE6" i="20"/>
  <c r="AF6" i="20"/>
  <c r="AG6" i="20"/>
  <c r="AH6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D9" i="20"/>
  <c r="E9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AA9" i="20"/>
  <c r="AB9" i="20"/>
  <c r="AC9" i="20"/>
  <c r="AD9" i="20"/>
  <c r="AE9" i="20"/>
  <c r="AF9" i="20"/>
  <c r="AG9" i="20"/>
  <c r="AH9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D14" i="20"/>
  <c r="E14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AA14" i="20"/>
  <c r="AB14" i="20"/>
  <c r="AC14" i="20"/>
  <c r="AD14" i="20"/>
  <c r="AE14" i="20"/>
  <c r="AF14" i="20"/>
  <c r="AG14" i="20"/>
  <c r="AH14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D17" i="20"/>
  <c r="E17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AA17" i="20"/>
  <c r="AB17" i="20"/>
  <c r="AC17" i="20"/>
  <c r="AD17" i="20"/>
  <c r="AE17" i="20"/>
  <c r="AF17" i="20"/>
  <c r="AG17" i="20"/>
  <c r="AH17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D19" i="20"/>
  <c r="E19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AA19" i="20"/>
  <c r="AB19" i="20"/>
  <c r="AC19" i="20"/>
  <c r="AD19" i="20"/>
  <c r="AE19" i="20"/>
  <c r="AF19" i="20"/>
  <c r="AG19" i="20"/>
  <c r="AH19" i="20"/>
  <c r="D20" i="20"/>
  <c r="E20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AA20" i="20"/>
  <c r="AB20" i="20"/>
  <c r="AC20" i="20"/>
  <c r="AD20" i="20"/>
  <c r="AE20" i="20"/>
  <c r="AF20" i="20"/>
  <c r="AG20" i="20"/>
  <c r="AH20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D25" i="20"/>
  <c r="E25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AA25" i="20"/>
  <c r="AB25" i="20"/>
  <c r="AC25" i="20"/>
  <c r="AD25" i="20"/>
  <c r="AE25" i="20"/>
  <c r="AF25" i="20"/>
  <c r="AG25" i="20"/>
  <c r="AH25" i="20"/>
  <c r="D26" i="20"/>
  <c r="E26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AA26" i="20"/>
  <c r="AB26" i="20"/>
  <c r="AC26" i="20"/>
  <c r="AD26" i="20"/>
  <c r="AE26" i="20"/>
  <c r="AF26" i="20"/>
  <c r="AG26" i="20"/>
  <c r="AH26" i="20"/>
  <c r="D27" i="20"/>
  <c r="E27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AA27" i="20"/>
  <c r="AB27" i="20"/>
  <c r="AC27" i="20"/>
  <c r="AD27" i="20"/>
  <c r="AE27" i="20"/>
  <c r="AF27" i="20"/>
  <c r="AG27" i="20"/>
  <c r="AH27" i="20"/>
  <c r="D28" i="20"/>
  <c r="E28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AA28" i="20"/>
  <c r="AB28" i="20"/>
  <c r="AC28" i="20"/>
  <c r="AD28" i="20"/>
  <c r="AE28" i="20"/>
  <c r="AF28" i="20"/>
  <c r="AG28" i="20"/>
  <c r="AH28" i="20"/>
  <c r="D29" i="20"/>
  <c r="E29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AA29" i="20"/>
  <c r="AB29" i="20"/>
  <c r="AC29" i="20"/>
  <c r="AD29" i="20"/>
  <c r="AE29" i="20"/>
  <c r="AF29" i="20"/>
  <c r="AG29" i="20"/>
  <c r="AH29" i="20"/>
  <c r="D30" i="20"/>
  <c r="E30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AA30" i="20"/>
  <c r="AB30" i="20"/>
  <c r="AC30" i="20"/>
  <c r="AD30" i="20"/>
  <c r="AE30" i="20"/>
  <c r="AF30" i="20"/>
  <c r="AG30" i="20"/>
  <c r="AH30" i="20"/>
  <c r="D31" i="20"/>
  <c r="E31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AA31" i="20"/>
  <c r="AB31" i="20"/>
  <c r="AC31" i="20"/>
  <c r="AD31" i="20"/>
  <c r="AE31" i="20"/>
  <c r="AF31" i="20"/>
  <c r="AG31" i="20"/>
  <c r="AH31" i="20"/>
  <c r="D32" i="20"/>
  <c r="E32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AA32" i="20"/>
  <c r="AB32" i="20"/>
  <c r="AC32" i="20"/>
  <c r="AD32" i="20"/>
  <c r="AE32" i="20"/>
  <c r="AF32" i="20"/>
  <c r="AG32" i="20"/>
  <c r="AH32" i="20"/>
  <c r="D33" i="20"/>
  <c r="E33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S33" i="20"/>
  <c r="T33" i="20"/>
  <c r="U33" i="20"/>
  <c r="V33" i="20"/>
  <c r="W33" i="20"/>
  <c r="X33" i="20"/>
  <c r="Y33" i="20"/>
  <c r="Z33" i="20"/>
  <c r="AA33" i="20"/>
  <c r="AB33" i="20"/>
  <c r="AC33" i="20"/>
  <c r="AD33" i="20"/>
  <c r="AE33" i="20"/>
  <c r="AF33" i="20"/>
  <c r="AG33" i="20"/>
  <c r="AH33" i="20"/>
  <c r="D34" i="20"/>
  <c r="E34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T34" i="20"/>
  <c r="U34" i="20"/>
  <c r="V34" i="20"/>
  <c r="W34" i="20"/>
  <c r="X34" i="20"/>
  <c r="Y34" i="20"/>
  <c r="Z34" i="20"/>
  <c r="AA34" i="20"/>
  <c r="AB34" i="20"/>
  <c r="AC34" i="20"/>
  <c r="AD34" i="20"/>
  <c r="AE34" i="20"/>
  <c r="AF34" i="20"/>
  <c r="AG34" i="20"/>
  <c r="AH34" i="20"/>
  <c r="D35" i="20"/>
  <c r="E35" i="20"/>
  <c r="F35" i="20"/>
  <c r="G35" i="20"/>
  <c r="H35" i="20"/>
  <c r="I35" i="20"/>
  <c r="J35" i="20"/>
  <c r="K35" i="20"/>
  <c r="L35" i="20"/>
  <c r="M35" i="20"/>
  <c r="N35" i="20"/>
  <c r="O35" i="20"/>
  <c r="P35" i="20"/>
  <c r="Q35" i="20"/>
  <c r="R35" i="20"/>
  <c r="S35" i="20"/>
  <c r="T35" i="20"/>
  <c r="U35" i="20"/>
  <c r="V35" i="20"/>
  <c r="W35" i="20"/>
  <c r="X35" i="20"/>
  <c r="Y35" i="20"/>
  <c r="Z35" i="20"/>
  <c r="AA35" i="20"/>
  <c r="AB35" i="20"/>
  <c r="AC35" i="20"/>
  <c r="AD35" i="20"/>
  <c r="AE35" i="20"/>
  <c r="AF35" i="20"/>
  <c r="AG35" i="20"/>
  <c r="AH35" i="20"/>
  <c r="D36" i="20"/>
  <c r="E36" i="20"/>
  <c r="F36" i="20"/>
  <c r="G36" i="20"/>
  <c r="H36" i="20"/>
  <c r="I36" i="20"/>
  <c r="J36" i="20"/>
  <c r="K36" i="20"/>
  <c r="L36" i="20"/>
  <c r="M36" i="20"/>
  <c r="N36" i="20"/>
  <c r="O36" i="20"/>
  <c r="P36" i="20"/>
  <c r="Q36" i="20"/>
  <c r="R36" i="20"/>
  <c r="S36" i="20"/>
  <c r="T36" i="20"/>
  <c r="U36" i="20"/>
  <c r="V36" i="20"/>
  <c r="W36" i="20"/>
  <c r="X36" i="20"/>
  <c r="Y36" i="20"/>
  <c r="Z36" i="20"/>
  <c r="AA36" i="20"/>
  <c r="AB36" i="20"/>
  <c r="AC36" i="20"/>
  <c r="AD36" i="20"/>
  <c r="AE36" i="20"/>
  <c r="AF36" i="20"/>
  <c r="AG36" i="20"/>
  <c r="AH36" i="20"/>
  <c r="D37" i="20"/>
  <c r="E37" i="20"/>
  <c r="F37" i="20"/>
  <c r="G37" i="20"/>
  <c r="H37" i="20"/>
  <c r="I37" i="20"/>
  <c r="J37" i="20"/>
  <c r="K37" i="20"/>
  <c r="L37" i="20"/>
  <c r="M37" i="20"/>
  <c r="N37" i="20"/>
  <c r="O37" i="20"/>
  <c r="P37" i="20"/>
  <c r="Q37" i="20"/>
  <c r="R37" i="20"/>
  <c r="S37" i="20"/>
  <c r="T37" i="20"/>
  <c r="U37" i="20"/>
  <c r="V37" i="20"/>
  <c r="W37" i="20"/>
  <c r="X37" i="20"/>
  <c r="Y37" i="20"/>
  <c r="Z37" i="20"/>
  <c r="AA37" i="20"/>
  <c r="AB37" i="20"/>
  <c r="AC37" i="20"/>
  <c r="AD37" i="20"/>
  <c r="AE37" i="20"/>
  <c r="AF37" i="20"/>
  <c r="AG37" i="20"/>
  <c r="AH37" i="20"/>
  <c r="D38" i="20"/>
  <c r="E38" i="20"/>
  <c r="F38" i="20"/>
  <c r="G38" i="20"/>
  <c r="H38" i="20"/>
  <c r="I38" i="20"/>
  <c r="J38" i="20"/>
  <c r="K38" i="20"/>
  <c r="L38" i="20"/>
  <c r="M38" i="20"/>
  <c r="N38" i="20"/>
  <c r="O38" i="20"/>
  <c r="P38" i="20"/>
  <c r="Q38" i="20"/>
  <c r="R38" i="20"/>
  <c r="S38" i="20"/>
  <c r="T38" i="20"/>
  <c r="U38" i="20"/>
  <c r="V38" i="20"/>
  <c r="W38" i="20"/>
  <c r="X38" i="20"/>
  <c r="Y38" i="20"/>
  <c r="Z38" i="20"/>
  <c r="AA38" i="20"/>
  <c r="AB38" i="20"/>
  <c r="AC38" i="20"/>
  <c r="AD38" i="20"/>
  <c r="AE38" i="20"/>
  <c r="AF38" i="20"/>
  <c r="AG38" i="20"/>
  <c r="AH38" i="20"/>
  <c r="D39" i="20"/>
  <c r="E39" i="20"/>
  <c r="F39" i="20"/>
  <c r="G39" i="20"/>
  <c r="H39" i="20"/>
  <c r="I39" i="20"/>
  <c r="J39" i="20"/>
  <c r="K39" i="20"/>
  <c r="L39" i="20"/>
  <c r="M39" i="20"/>
  <c r="N39" i="20"/>
  <c r="O39" i="20"/>
  <c r="P39" i="20"/>
  <c r="Q39" i="20"/>
  <c r="R39" i="20"/>
  <c r="S39" i="20"/>
  <c r="T39" i="20"/>
  <c r="U39" i="20"/>
  <c r="V39" i="20"/>
  <c r="W39" i="20"/>
  <c r="X39" i="20"/>
  <c r="Y39" i="20"/>
  <c r="Z39" i="20"/>
  <c r="AA39" i="20"/>
  <c r="AB39" i="20"/>
  <c r="AC39" i="20"/>
  <c r="AD39" i="20"/>
  <c r="AE39" i="20"/>
  <c r="AF39" i="20"/>
  <c r="AG39" i="20"/>
  <c r="AH39" i="20"/>
  <c r="D40" i="20"/>
  <c r="E40" i="20"/>
  <c r="F40" i="20"/>
  <c r="G40" i="20"/>
  <c r="H40" i="20"/>
  <c r="I40" i="20"/>
  <c r="J40" i="20"/>
  <c r="K40" i="20"/>
  <c r="L40" i="20"/>
  <c r="M40" i="20"/>
  <c r="N40" i="20"/>
  <c r="O40" i="20"/>
  <c r="P40" i="20"/>
  <c r="Q40" i="20"/>
  <c r="R40" i="20"/>
  <c r="S40" i="20"/>
  <c r="T40" i="20"/>
  <c r="U40" i="20"/>
  <c r="V40" i="20"/>
  <c r="W40" i="20"/>
  <c r="X40" i="20"/>
  <c r="Y40" i="20"/>
  <c r="Z40" i="20"/>
  <c r="AA40" i="20"/>
  <c r="AB40" i="20"/>
  <c r="AC40" i="20"/>
  <c r="AD40" i="20"/>
  <c r="AE40" i="20"/>
  <c r="AF40" i="20"/>
  <c r="AG40" i="20"/>
  <c r="AH40" i="20"/>
  <c r="D41" i="20"/>
  <c r="E41" i="20"/>
  <c r="F41" i="20"/>
  <c r="G41" i="20"/>
  <c r="H41" i="20"/>
  <c r="I41" i="20"/>
  <c r="J41" i="20"/>
  <c r="K41" i="20"/>
  <c r="L41" i="20"/>
  <c r="M41" i="20"/>
  <c r="N41" i="20"/>
  <c r="O41" i="20"/>
  <c r="P41" i="20"/>
  <c r="Q41" i="20"/>
  <c r="R41" i="20"/>
  <c r="S41" i="20"/>
  <c r="T41" i="20"/>
  <c r="U41" i="20"/>
  <c r="V41" i="20"/>
  <c r="W41" i="20"/>
  <c r="X41" i="20"/>
  <c r="Y41" i="20"/>
  <c r="Z41" i="20"/>
  <c r="AA41" i="20"/>
  <c r="AB41" i="20"/>
  <c r="AC41" i="20"/>
  <c r="AD41" i="20"/>
  <c r="AE41" i="20"/>
  <c r="AF41" i="20"/>
  <c r="AG41" i="20"/>
  <c r="AH41" i="20"/>
  <c r="D42" i="20"/>
  <c r="E42" i="20"/>
  <c r="F42" i="20"/>
  <c r="G42" i="20"/>
  <c r="H42" i="20"/>
  <c r="I42" i="20"/>
  <c r="J42" i="20"/>
  <c r="K42" i="20"/>
  <c r="L42" i="20"/>
  <c r="M42" i="20"/>
  <c r="N42" i="20"/>
  <c r="O42" i="20"/>
  <c r="P42" i="20"/>
  <c r="Q42" i="20"/>
  <c r="R42" i="20"/>
  <c r="S42" i="20"/>
  <c r="T42" i="20"/>
  <c r="U42" i="20"/>
  <c r="V42" i="20"/>
  <c r="W42" i="20"/>
  <c r="X42" i="20"/>
  <c r="Y42" i="20"/>
  <c r="Z42" i="20"/>
  <c r="AA42" i="20"/>
  <c r="AB42" i="20"/>
  <c r="AC42" i="20"/>
  <c r="AD42" i="20"/>
  <c r="AE42" i="20"/>
  <c r="AF42" i="20"/>
  <c r="AG42" i="20"/>
  <c r="AH42" i="20"/>
  <c r="D43" i="20"/>
  <c r="E43" i="20"/>
  <c r="F43" i="20"/>
  <c r="G43" i="20"/>
  <c r="H43" i="20"/>
  <c r="I43" i="20"/>
  <c r="J43" i="20"/>
  <c r="K43" i="20"/>
  <c r="L43" i="20"/>
  <c r="M43" i="20"/>
  <c r="N43" i="20"/>
  <c r="O43" i="20"/>
  <c r="P43" i="20"/>
  <c r="Q43" i="20"/>
  <c r="R43" i="20"/>
  <c r="S43" i="20"/>
  <c r="T43" i="20"/>
  <c r="U43" i="20"/>
  <c r="V43" i="20"/>
  <c r="W43" i="20"/>
  <c r="X43" i="20"/>
  <c r="Y43" i="20"/>
  <c r="Z43" i="20"/>
  <c r="AA43" i="20"/>
  <c r="AB43" i="20"/>
  <c r="AC43" i="20"/>
  <c r="AD43" i="20"/>
  <c r="AE43" i="20"/>
  <c r="AF43" i="20"/>
  <c r="AG43" i="20"/>
  <c r="AH43" i="20"/>
  <c r="D44" i="20"/>
  <c r="E44" i="20"/>
  <c r="F44" i="20"/>
  <c r="G44" i="20"/>
  <c r="H44" i="20"/>
  <c r="I44" i="20"/>
  <c r="J44" i="20"/>
  <c r="K44" i="20"/>
  <c r="L44" i="20"/>
  <c r="M44" i="20"/>
  <c r="N44" i="20"/>
  <c r="O44" i="20"/>
  <c r="P44" i="20"/>
  <c r="Q44" i="20"/>
  <c r="R44" i="20"/>
  <c r="S44" i="20"/>
  <c r="T44" i="20"/>
  <c r="U44" i="20"/>
  <c r="V44" i="20"/>
  <c r="W44" i="20"/>
  <c r="X44" i="20"/>
  <c r="Y44" i="20"/>
  <c r="Z44" i="20"/>
  <c r="AA44" i="20"/>
  <c r="AB44" i="20"/>
  <c r="AC44" i="20"/>
  <c r="AD44" i="20"/>
  <c r="AE44" i="20"/>
  <c r="AF44" i="20"/>
  <c r="AG44" i="20"/>
  <c r="AH44" i="20"/>
  <c r="D45" i="20"/>
  <c r="E45" i="20"/>
  <c r="F45" i="20"/>
  <c r="G45" i="20"/>
  <c r="H45" i="20"/>
  <c r="I45" i="20"/>
  <c r="J45" i="20"/>
  <c r="K45" i="20"/>
  <c r="L45" i="20"/>
  <c r="M45" i="20"/>
  <c r="N45" i="20"/>
  <c r="O45" i="20"/>
  <c r="P45" i="20"/>
  <c r="Q45" i="20"/>
  <c r="R45" i="20"/>
  <c r="S45" i="20"/>
  <c r="T45" i="20"/>
  <c r="U45" i="20"/>
  <c r="V45" i="20"/>
  <c r="W45" i="20"/>
  <c r="X45" i="20"/>
  <c r="Y45" i="20"/>
  <c r="Z45" i="20"/>
  <c r="AA45" i="20"/>
  <c r="AB45" i="20"/>
  <c r="AC45" i="20"/>
  <c r="AD45" i="20"/>
  <c r="AE45" i="20"/>
  <c r="AF45" i="20"/>
  <c r="AG45" i="20"/>
  <c r="AH45" i="20"/>
  <c r="D46" i="20"/>
  <c r="E46" i="20"/>
  <c r="F46" i="20"/>
  <c r="G46" i="20"/>
  <c r="H46" i="20"/>
  <c r="I46" i="20"/>
  <c r="J46" i="20"/>
  <c r="K46" i="20"/>
  <c r="L46" i="20"/>
  <c r="M46" i="20"/>
  <c r="N46" i="20"/>
  <c r="O46" i="20"/>
  <c r="P46" i="20"/>
  <c r="Q46" i="20"/>
  <c r="R46" i="20"/>
  <c r="S46" i="20"/>
  <c r="T46" i="20"/>
  <c r="U46" i="20"/>
  <c r="V46" i="20"/>
  <c r="W46" i="20"/>
  <c r="X46" i="20"/>
  <c r="Y46" i="20"/>
  <c r="Z46" i="20"/>
  <c r="AA46" i="20"/>
  <c r="AB46" i="20"/>
  <c r="AC46" i="20"/>
  <c r="AD46" i="20"/>
  <c r="AE46" i="20"/>
  <c r="AF46" i="20"/>
  <c r="AG46" i="20"/>
  <c r="AH46" i="20"/>
  <c r="D47" i="20"/>
  <c r="E47" i="20"/>
  <c r="F47" i="20"/>
  <c r="G47" i="20"/>
  <c r="H47" i="20"/>
  <c r="I47" i="20"/>
  <c r="J47" i="20"/>
  <c r="K47" i="20"/>
  <c r="L47" i="20"/>
  <c r="M47" i="20"/>
  <c r="N47" i="20"/>
  <c r="O47" i="20"/>
  <c r="P47" i="20"/>
  <c r="Q47" i="20"/>
  <c r="R47" i="20"/>
  <c r="S47" i="20"/>
  <c r="T47" i="20"/>
  <c r="U47" i="20"/>
  <c r="V47" i="20"/>
  <c r="W47" i="20"/>
  <c r="X47" i="20"/>
  <c r="Y47" i="20"/>
  <c r="Z47" i="20"/>
  <c r="AA47" i="20"/>
  <c r="AB47" i="20"/>
  <c r="AC47" i="20"/>
  <c r="AD47" i="20"/>
  <c r="AE47" i="20"/>
  <c r="AF47" i="20"/>
  <c r="AG47" i="20"/>
  <c r="AH47" i="20"/>
  <c r="D48" i="20"/>
  <c r="E48" i="20"/>
  <c r="F48" i="20"/>
  <c r="G48" i="20"/>
  <c r="H48" i="20"/>
  <c r="I48" i="20"/>
  <c r="J48" i="20"/>
  <c r="K48" i="20"/>
  <c r="L48" i="20"/>
  <c r="M48" i="20"/>
  <c r="N48" i="20"/>
  <c r="O48" i="20"/>
  <c r="P48" i="20"/>
  <c r="Q48" i="20"/>
  <c r="R48" i="20"/>
  <c r="S48" i="20"/>
  <c r="T48" i="20"/>
  <c r="U48" i="20"/>
  <c r="V48" i="20"/>
  <c r="W48" i="20"/>
  <c r="X48" i="20"/>
  <c r="Y48" i="20"/>
  <c r="Z48" i="20"/>
  <c r="AA48" i="20"/>
  <c r="AB48" i="20"/>
  <c r="AC48" i="20"/>
  <c r="AD48" i="20"/>
  <c r="AE48" i="20"/>
  <c r="AF48" i="20"/>
  <c r="AG48" i="20"/>
  <c r="AH48" i="20"/>
  <c r="D49" i="20"/>
  <c r="E49" i="20"/>
  <c r="F49" i="20"/>
  <c r="G49" i="20"/>
  <c r="H49" i="20"/>
  <c r="I49" i="20"/>
  <c r="J49" i="20"/>
  <c r="K49" i="20"/>
  <c r="L49" i="20"/>
  <c r="M49" i="20"/>
  <c r="N49" i="20"/>
  <c r="O49" i="20"/>
  <c r="P49" i="20"/>
  <c r="Q49" i="20"/>
  <c r="R49" i="20"/>
  <c r="S49" i="20"/>
  <c r="T49" i="20"/>
  <c r="U49" i="20"/>
  <c r="V49" i="20"/>
  <c r="W49" i="20"/>
  <c r="X49" i="20"/>
  <c r="Y49" i="20"/>
  <c r="Z49" i="20"/>
  <c r="AA49" i="20"/>
  <c r="AB49" i="20"/>
  <c r="AC49" i="20"/>
  <c r="AD49" i="20"/>
  <c r="AE49" i="20"/>
  <c r="AF49" i="20"/>
  <c r="AG49" i="20"/>
  <c r="AH49" i="20"/>
  <c r="D50" i="20"/>
  <c r="E50" i="20"/>
  <c r="F50" i="20"/>
  <c r="G50" i="20"/>
  <c r="H50" i="20"/>
  <c r="I50" i="20"/>
  <c r="J50" i="20"/>
  <c r="K50" i="20"/>
  <c r="L50" i="20"/>
  <c r="M50" i="20"/>
  <c r="N50" i="20"/>
  <c r="O50" i="20"/>
  <c r="P50" i="20"/>
  <c r="Q50" i="20"/>
  <c r="R50" i="20"/>
  <c r="S50" i="20"/>
  <c r="T50" i="20"/>
  <c r="U50" i="20"/>
  <c r="V50" i="20"/>
  <c r="W50" i="20"/>
  <c r="X50" i="20"/>
  <c r="Y50" i="20"/>
  <c r="Z50" i="20"/>
  <c r="AA50" i="20"/>
  <c r="AB50" i="20"/>
  <c r="AC50" i="20"/>
  <c r="AD50" i="20"/>
  <c r="AE50" i="20"/>
  <c r="AF50" i="20"/>
  <c r="AG50" i="20"/>
  <c r="AH50" i="20"/>
  <c r="D51" i="20"/>
  <c r="E51" i="20"/>
  <c r="F51" i="20"/>
  <c r="G51" i="20"/>
  <c r="H51" i="20"/>
  <c r="I51" i="20"/>
  <c r="J51" i="20"/>
  <c r="K51" i="20"/>
  <c r="L51" i="20"/>
  <c r="M51" i="20"/>
  <c r="N51" i="20"/>
  <c r="O51" i="20"/>
  <c r="P51" i="20"/>
  <c r="Q51" i="20"/>
  <c r="R51" i="20"/>
  <c r="S51" i="20"/>
  <c r="T51" i="20"/>
  <c r="U51" i="20"/>
  <c r="V51" i="20"/>
  <c r="W51" i="20"/>
  <c r="X51" i="20"/>
  <c r="Y51" i="20"/>
  <c r="Z51" i="20"/>
  <c r="AA51" i="20"/>
  <c r="AB51" i="20"/>
  <c r="AC51" i="20"/>
  <c r="AD51" i="20"/>
  <c r="AE51" i="20"/>
  <c r="AF51" i="20"/>
  <c r="AG51" i="20"/>
  <c r="AH51" i="20"/>
  <c r="D52" i="20"/>
  <c r="E52" i="20"/>
  <c r="F52" i="20"/>
  <c r="G52" i="20"/>
  <c r="H52" i="20"/>
  <c r="I52" i="20"/>
  <c r="J52" i="20"/>
  <c r="K52" i="20"/>
  <c r="L52" i="20"/>
  <c r="M52" i="20"/>
  <c r="N52" i="20"/>
  <c r="O52" i="20"/>
  <c r="P52" i="20"/>
  <c r="Q52" i="20"/>
  <c r="R52" i="20"/>
  <c r="S52" i="20"/>
  <c r="T52" i="20"/>
  <c r="U52" i="20"/>
  <c r="V52" i="20"/>
  <c r="W52" i="20"/>
  <c r="X52" i="20"/>
  <c r="Y52" i="20"/>
  <c r="Z52" i="20"/>
  <c r="AA52" i="20"/>
  <c r="AB52" i="20"/>
  <c r="AC52" i="20"/>
  <c r="AD52" i="20"/>
  <c r="AE52" i="20"/>
  <c r="AF52" i="20"/>
  <c r="AG52" i="20"/>
  <c r="AH52" i="20"/>
  <c r="D53" i="20"/>
  <c r="E53" i="20"/>
  <c r="F53" i="20"/>
  <c r="G53" i="20"/>
  <c r="H53" i="20"/>
  <c r="I53" i="20"/>
  <c r="J53" i="20"/>
  <c r="K53" i="20"/>
  <c r="L53" i="20"/>
  <c r="M53" i="20"/>
  <c r="N53" i="20"/>
  <c r="O53" i="20"/>
  <c r="P53" i="20"/>
  <c r="Q53" i="20"/>
  <c r="R53" i="20"/>
  <c r="S53" i="20"/>
  <c r="T53" i="20"/>
  <c r="U53" i="20"/>
  <c r="V53" i="20"/>
  <c r="W53" i="20"/>
  <c r="X53" i="20"/>
  <c r="Y53" i="20"/>
  <c r="Z53" i="20"/>
  <c r="AA53" i="20"/>
  <c r="AB53" i="20"/>
  <c r="AC53" i="20"/>
  <c r="AD53" i="20"/>
  <c r="AE53" i="20"/>
  <c r="AF53" i="20"/>
  <c r="AG53" i="20"/>
  <c r="AH53" i="20"/>
  <c r="D54" i="20"/>
  <c r="E54" i="20"/>
  <c r="F54" i="20"/>
  <c r="G54" i="20"/>
  <c r="H54" i="20"/>
  <c r="I54" i="20"/>
  <c r="J54" i="20"/>
  <c r="K54" i="20"/>
  <c r="L54" i="20"/>
  <c r="M54" i="20"/>
  <c r="N54" i="20"/>
  <c r="O54" i="20"/>
  <c r="P54" i="20"/>
  <c r="Q54" i="20"/>
  <c r="R54" i="20"/>
  <c r="S54" i="20"/>
  <c r="T54" i="20"/>
  <c r="U54" i="20"/>
  <c r="V54" i="20"/>
  <c r="W54" i="20"/>
  <c r="X54" i="20"/>
  <c r="Y54" i="20"/>
  <c r="Z54" i="20"/>
  <c r="AA54" i="20"/>
  <c r="AB54" i="20"/>
  <c r="AC54" i="20"/>
  <c r="AD54" i="20"/>
  <c r="AE54" i="20"/>
  <c r="AF54" i="20"/>
  <c r="AG54" i="20"/>
  <c r="AH54" i="20"/>
  <c r="D55" i="20"/>
  <c r="E55" i="20"/>
  <c r="F55" i="20"/>
  <c r="G55" i="20"/>
  <c r="H55" i="20"/>
  <c r="I55" i="20"/>
  <c r="J55" i="20"/>
  <c r="K55" i="20"/>
  <c r="L55" i="20"/>
  <c r="M55" i="20"/>
  <c r="N55" i="20"/>
  <c r="O55" i="20"/>
  <c r="P55" i="20"/>
  <c r="Q55" i="20"/>
  <c r="R55" i="20"/>
  <c r="S55" i="20"/>
  <c r="T55" i="20"/>
  <c r="U55" i="20"/>
  <c r="V55" i="20"/>
  <c r="W55" i="20"/>
  <c r="X55" i="20"/>
  <c r="Y55" i="20"/>
  <c r="Z55" i="20"/>
  <c r="AA55" i="20"/>
  <c r="AB55" i="20"/>
  <c r="AC55" i="20"/>
  <c r="AD55" i="20"/>
  <c r="AE55" i="20"/>
  <c r="AF55" i="20"/>
  <c r="AG55" i="20"/>
  <c r="AH55" i="20"/>
  <c r="D56" i="20"/>
  <c r="E56" i="20"/>
  <c r="F56" i="20"/>
  <c r="G56" i="20"/>
  <c r="H56" i="20"/>
  <c r="I56" i="20"/>
  <c r="J56" i="20"/>
  <c r="K56" i="20"/>
  <c r="L56" i="20"/>
  <c r="M56" i="20"/>
  <c r="N56" i="20"/>
  <c r="O56" i="20"/>
  <c r="P56" i="20"/>
  <c r="Q56" i="20"/>
  <c r="R56" i="20"/>
  <c r="S56" i="20"/>
  <c r="T56" i="20"/>
  <c r="U56" i="20"/>
  <c r="V56" i="20"/>
  <c r="W56" i="20"/>
  <c r="X56" i="20"/>
  <c r="Y56" i="20"/>
  <c r="Z56" i="20"/>
  <c r="AA56" i="20"/>
  <c r="AB56" i="20"/>
  <c r="AC56" i="20"/>
  <c r="AD56" i="20"/>
  <c r="AE56" i="20"/>
  <c r="AF56" i="20"/>
  <c r="AG56" i="20"/>
  <c r="AH56" i="20"/>
  <c r="D57" i="20"/>
  <c r="E57" i="20"/>
  <c r="F57" i="20"/>
  <c r="G57" i="20"/>
  <c r="H57" i="20"/>
  <c r="I57" i="20"/>
  <c r="J57" i="20"/>
  <c r="K57" i="20"/>
  <c r="L57" i="20"/>
  <c r="M57" i="20"/>
  <c r="N57" i="20"/>
  <c r="O57" i="20"/>
  <c r="P57" i="20"/>
  <c r="Q57" i="20"/>
  <c r="R57" i="20"/>
  <c r="S57" i="20"/>
  <c r="T57" i="20"/>
  <c r="U57" i="20"/>
  <c r="V57" i="20"/>
  <c r="W57" i="20"/>
  <c r="X57" i="20"/>
  <c r="Y57" i="20"/>
  <c r="Z57" i="20"/>
  <c r="AA57" i="20"/>
  <c r="AB57" i="20"/>
  <c r="AC57" i="20"/>
  <c r="AD57" i="20"/>
  <c r="AE57" i="20"/>
  <c r="AF57" i="20"/>
  <c r="AG57" i="20"/>
  <c r="AH57" i="20"/>
  <c r="D58" i="20"/>
  <c r="E58" i="20"/>
  <c r="F58" i="20"/>
  <c r="G58" i="20"/>
  <c r="H58" i="20"/>
  <c r="I58" i="20"/>
  <c r="J58" i="20"/>
  <c r="K58" i="20"/>
  <c r="L58" i="20"/>
  <c r="M58" i="20"/>
  <c r="N58" i="20"/>
  <c r="O58" i="20"/>
  <c r="P58" i="20"/>
  <c r="Q58" i="20"/>
  <c r="R58" i="20"/>
  <c r="S58" i="20"/>
  <c r="T58" i="20"/>
  <c r="U58" i="20"/>
  <c r="V58" i="20"/>
  <c r="W58" i="20"/>
  <c r="X58" i="20"/>
  <c r="Y58" i="20"/>
  <c r="Z58" i="20"/>
  <c r="AA58" i="20"/>
  <c r="AB58" i="20"/>
  <c r="AC58" i="20"/>
  <c r="AD58" i="20"/>
  <c r="AE58" i="20"/>
  <c r="AF58" i="20"/>
  <c r="AG58" i="20"/>
  <c r="AH58" i="20"/>
  <c r="D59" i="20"/>
  <c r="E59" i="20"/>
  <c r="F59" i="20"/>
  <c r="G59" i="20"/>
  <c r="H59" i="20"/>
  <c r="I59" i="20"/>
  <c r="J59" i="20"/>
  <c r="K59" i="20"/>
  <c r="L59" i="20"/>
  <c r="M59" i="20"/>
  <c r="N59" i="20"/>
  <c r="O59" i="20"/>
  <c r="P59" i="20"/>
  <c r="Q59" i="20"/>
  <c r="R59" i="20"/>
  <c r="S59" i="20"/>
  <c r="T59" i="20"/>
  <c r="U59" i="20"/>
  <c r="V59" i="20"/>
  <c r="W59" i="20"/>
  <c r="X59" i="20"/>
  <c r="Y59" i="20"/>
  <c r="Z59" i="20"/>
  <c r="AA59" i="20"/>
  <c r="AB59" i="20"/>
  <c r="AC59" i="20"/>
  <c r="AD59" i="20"/>
  <c r="AE59" i="20"/>
  <c r="AF59" i="20"/>
  <c r="AG59" i="20"/>
  <c r="AH59" i="20"/>
  <c r="D60" i="20"/>
  <c r="E60" i="20"/>
  <c r="F60" i="20"/>
  <c r="G60" i="20"/>
  <c r="H60" i="20"/>
  <c r="I60" i="20"/>
  <c r="J60" i="20"/>
  <c r="K60" i="20"/>
  <c r="L60" i="20"/>
  <c r="M60" i="20"/>
  <c r="N60" i="20"/>
  <c r="O60" i="20"/>
  <c r="P60" i="20"/>
  <c r="Q60" i="20"/>
  <c r="R60" i="20"/>
  <c r="S60" i="20"/>
  <c r="T60" i="20"/>
  <c r="U60" i="20"/>
  <c r="V60" i="20"/>
  <c r="W60" i="20"/>
  <c r="X60" i="20"/>
  <c r="Y60" i="20"/>
  <c r="Z60" i="20"/>
  <c r="AA60" i="20"/>
  <c r="AB60" i="20"/>
  <c r="AC60" i="20"/>
  <c r="AD60" i="20"/>
  <c r="AE60" i="20"/>
  <c r="AF60" i="20"/>
  <c r="AG60" i="20"/>
  <c r="AH60" i="20"/>
  <c r="D61" i="20"/>
  <c r="E61" i="20"/>
  <c r="F61" i="20"/>
  <c r="G61" i="20"/>
  <c r="H61" i="20"/>
  <c r="I61" i="20"/>
  <c r="J61" i="20"/>
  <c r="K61" i="20"/>
  <c r="L61" i="20"/>
  <c r="M61" i="20"/>
  <c r="N61" i="20"/>
  <c r="O61" i="20"/>
  <c r="P61" i="20"/>
  <c r="Q61" i="20"/>
  <c r="R61" i="20"/>
  <c r="S61" i="20"/>
  <c r="T61" i="20"/>
  <c r="U61" i="20"/>
  <c r="V61" i="20"/>
  <c r="W61" i="20"/>
  <c r="X61" i="20"/>
  <c r="Y61" i="20"/>
  <c r="Z61" i="20"/>
  <c r="AA61" i="20"/>
  <c r="AB61" i="20"/>
  <c r="AC61" i="20"/>
  <c r="AD61" i="20"/>
  <c r="AE61" i="20"/>
  <c r="AF61" i="20"/>
  <c r="AG61" i="20"/>
  <c r="AH61" i="20"/>
  <c r="D62" i="20"/>
  <c r="E62" i="20"/>
  <c r="F62" i="20"/>
  <c r="G62" i="20"/>
  <c r="H62" i="20"/>
  <c r="I62" i="20"/>
  <c r="J62" i="20"/>
  <c r="K62" i="20"/>
  <c r="L62" i="20"/>
  <c r="M62" i="20"/>
  <c r="N62" i="20"/>
  <c r="O62" i="20"/>
  <c r="P62" i="20"/>
  <c r="Q62" i="20"/>
  <c r="R62" i="20"/>
  <c r="S62" i="20"/>
  <c r="T62" i="20"/>
  <c r="U62" i="20"/>
  <c r="V62" i="20"/>
  <c r="W62" i="20"/>
  <c r="X62" i="20"/>
  <c r="Y62" i="20"/>
  <c r="Z62" i="20"/>
  <c r="AA62" i="20"/>
  <c r="AB62" i="20"/>
  <c r="AC62" i="20"/>
  <c r="AD62" i="20"/>
  <c r="AE62" i="20"/>
  <c r="AF62" i="20"/>
  <c r="AG62" i="20"/>
  <c r="AH62" i="20"/>
  <c r="D63" i="20"/>
  <c r="E63" i="20"/>
  <c r="F63" i="20"/>
  <c r="G63" i="20"/>
  <c r="H63" i="20"/>
  <c r="I63" i="20"/>
  <c r="J63" i="20"/>
  <c r="K63" i="20"/>
  <c r="L63" i="20"/>
  <c r="M63" i="20"/>
  <c r="N63" i="20"/>
  <c r="O63" i="20"/>
  <c r="P63" i="20"/>
  <c r="Q63" i="20"/>
  <c r="R63" i="20"/>
  <c r="S63" i="20"/>
  <c r="T63" i="20"/>
  <c r="U63" i="20"/>
  <c r="V63" i="20"/>
  <c r="W63" i="20"/>
  <c r="X63" i="20"/>
  <c r="Y63" i="20"/>
  <c r="Z63" i="20"/>
  <c r="AA63" i="20"/>
  <c r="AB63" i="20"/>
  <c r="AC63" i="20"/>
  <c r="AD63" i="20"/>
  <c r="AE63" i="20"/>
  <c r="AF63" i="20"/>
  <c r="AG63" i="20"/>
  <c r="AH63" i="20"/>
  <c r="D64" i="20"/>
  <c r="E64" i="20"/>
  <c r="F64" i="20"/>
  <c r="G64" i="20"/>
  <c r="H64" i="20"/>
  <c r="I64" i="20"/>
  <c r="J64" i="20"/>
  <c r="K64" i="20"/>
  <c r="L64" i="20"/>
  <c r="M64" i="20"/>
  <c r="N64" i="20"/>
  <c r="O64" i="20"/>
  <c r="P64" i="20"/>
  <c r="Q64" i="20"/>
  <c r="R64" i="20"/>
  <c r="S64" i="20"/>
  <c r="T64" i="20"/>
  <c r="U64" i="20"/>
  <c r="V64" i="20"/>
  <c r="W64" i="20"/>
  <c r="X64" i="20"/>
  <c r="Y64" i="20"/>
  <c r="Z64" i="20"/>
  <c r="AA64" i="20"/>
  <c r="AB64" i="20"/>
  <c r="AC64" i="20"/>
  <c r="AD64" i="20"/>
  <c r="AE64" i="20"/>
  <c r="AF64" i="20"/>
  <c r="AG64" i="20"/>
  <c r="AH64" i="20"/>
  <c r="D65" i="20"/>
  <c r="E65" i="20"/>
  <c r="F65" i="20"/>
  <c r="G65" i="20"/>
  <c r="H65" i="20"/>
  <c r="I65" i="20"/>
  <c r="J65" i="20"/>
  <c r="K65" i="20"/>
  <c r="L65" i="20"/>
  <c r="M65" i="20"/>
  <c r="N65" i="20"/>
  <c r="O65" i="20"/>
  <c r="P65" i="20"/>
  <c r="Q65" i="20"/>
  <c r="R65" i="20"/>
  <c r="S65" i="20"/>
  <c r="T65" i="20"/>
  <c r="U65" i="20"/>
  <c r="V65" i="20"/>
  <c r="W65" i="20"/>
  <c r="X65" i="20"/>
  <c r="Y65" i="20"/>
  <c r="Z65" i="20"/>
  <c r="AA65" i="20"/>
  <c r="AB65" i="20"/>
  <c r="AC65" i="20"/>
  <c r="AD65" i="20"/>
  <c r="AE65" i="20"/>
  <c r="AF65" i="20"/>
  <c r="AG65" i="20"/>
  <c r="AH65" i="20"/>
  <c r="D66" i="20"/>
  <c r="E66" i="20"/>
  <c r="F66" i="20"/>
  <c r="G66" i="20"/>
  <c r="H66" i="20"/>
  <c r="I66" i="20"/>
  <c r="J66" i="20"/>
  <c r="K66" i="20"/>
  <c r="L66" i="20"/>
  <c r="M66" i="20"/>
  <c r="N66" i="20"/>
  <c r="O66" i="20"/>
  <c r="P66" i="20"/>
  <c r="Q66" i="20"/>
  <c r="R66" i="20"/>
  <c r="S66" i="20"/>
  <c r="T66" i="20"/>
  <c r="U66" i="20"/>
  <c r="V66" i="20"/>
  <c r="W66" i="20"/>
  <c r="X66" i="20"/>
  <c r="Y66" i="20"/>
  <c r="Z66" i="20"/>
  <c r="AA66" i="20"/>
  <c r="AB66" i="20"/>
  <c r="AC66" i="20"/>
  <c r="AD66" i="20"/>
  <c r="AE66" i="20"/>
  <c r="AF66" i="20"/>
  <c r="AG66" i="20"/>
  <c r="AH66" i="20"/>
  <c r="D67" i="20"/>
  <c r="E67" i="20"/>
  <c r="F67" i="20"/>
  <c r="G67" i="20"/>
  <c r="H67" i="20"/>
  <c r="I67" i="20"/>
  <c r="J67" i="20"/>
  <c r="K67" i="20"/>
  <c r="L67" i="20"/>
  <c r="M67" i="20"/>
  <c r="N67" i="20"/>
  <c r="O67" i="20"/>
  <c r="P67" i="20"/>
  <c r="Q67" i="20"/>
  <c r="R67" i="20"/>
  <c r="S67" i="20"/>
  <c r="T67" i="20"/>
  <c r="U67" i="20"/>
  <c r="V67" i="20"/>
  <c r="W67" i="20"/>
  <c r="X67" i="20"/>
  <c r="Y67" i="20"/>
  <c r="Z67" i="20"/>
  <c r="AA67" i="20"/>
  <c r="AB67" i="20"/>
  <c r="AC67" i="20"/>
  <c r="AD67" i="20"/>
  <c r="AE67" i="20"/>
  <c r="AF67" i="20"/>
  <c r="AG67" i="20"/>
  <c r="AH67" i="20"/>
  <c r="D68" i="20"/>
  <c r="E68" i="20"/>
  <c r="F68" i="20"/>
  <c r="G68" i="20"/>
  <c r="H68" i="20"/>
  <c r="I68" i="20"/>
  <c r="J68" i="20"/>
  <c r="K68" i="20"/>
  <c r="L68" i="20"/>
  <c r="M68" i="20"/>
  <c r="N68" i="20"/>
  <c r="O68" i="20"/>
  <c r="P68" i="20"/>
  <c r="Q68" i="20"/>
  <c r="R68" i="20"/>
  <c r="S68" i="20"/>
  <c r="T68" i="20"/>
  <c r="U68" i="20"/>
  <c r="V68" i="20"/>
  <c r="W68" i="20"/>
  <c r="X68" i="20"/>
  <c r="Y68" i="20"/>
  <c r="Z68" i="20"/>
  <c r="AA68" i="20"/>
  <c r="AB68" i="20"/>
  <c r="AC68" i="20"/>
  <c r="AD68" i="20"/>
  <c r="AE68" i="20"/>
  <c r="AF68" i="20"/>
  <c r="AG68" i="20"/>
  <c r="AH68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3" i="20"/>
  <c r="AC157" i="7"/>
  <c r="AD157" i="7"/>
  <c r="AE157" i="7"/>
  <c r="AF157" i="7"/>
  <c r="AG157" i="7"/>
  <c r="AB157" i="7"/>
  <c r="AC156" i="7"/>
  <c r="AD156" i="7"/>
  <c r="AE156" i="7"/>
  <c r="AF156" i="7"/>
  <c r="AG156" i="7"/>
  <c r="AH156" i="7"/>
  <c r="AI156" i="7"/>
  <c r="AJ156" i="7"/>
  <c r="AK156" i="7"/>
  <c r="AL156" i="7"/>
  <c r="AM156" i="7"/>
  <c r="AB156" i="7"/>
  <c r="AC155" i="7"/>
  <c r="AD155" i="7"/>
  <c r="AE155" i="7"/>
  <c r="AF155" i="7"/>
  <c r="AG155" i="7"/>
  <c r="AH155" i="7"/>
  <c r="AI155" i="7"/>
  <c r="AJ155" i="7"/>
  <c r="AK155" i="7"/>
  <c r="AL155" i="7"/>
  <c r="AM155" i="7"/>
  <c r="AB155" i="7"/>
  <c r="C81" i="19"/>
  <c r="D81" i="19"/>
  <c r="C82" i="19"/>
  <c r="D82" i="19"/>
  <c r="C83" i="19"/>
  <c r="D83" i="19"/>
  <c r="C84" i="19"/>
  <c r="D84" i="19"/>
  <c r="F84" i="19" s="1"/>
  <c r="H84" i="19" s="1"/>
  <c r="J84" i="19" s="1"/>
  <c r="L84" i="19" s="1"/>
  <c r="N84" i="19" s="1"/>
  <c r="P84" i="19" s="1"/>
  <c r="R84" i="19" s="1"/>
  <c r="T84" i="19" s="1"/>
  <c r="V84" i="19" s="1"/>
  <c r="X84" i="19" s="1"/>
  <c r="Z84" i="19" s="1"/>
  <c r="AB84" i="19" s="1"/>
  <c r="AD84" i="19" s="1"/>
  <c r="AF84" i="19" s="1"/>
  <c r="AH84" i="19" s="1"/>
  <c r="C85" i="19"/>
  <c r="D85" i="19"/>
  <c r="C86" i="19"/>
  <c r="E86" i="19" s="1"/>
  <c r="G86" i="19" s="1"/>
  <c r="I86" i="19" s="1"/>
  <c r="K86" i="19" s="1"/>
  <c r="M86" i="19" s="1"/>
  <c r="O86" i="19" s="1"/>
  <c r="Q86" i="19" s="1"/>
  <c r="S86" i="19" s="1"/>
  <c r="U86" i="19" s="1"/>
  <c r="W86" i="19" s="1"/>
  <c r="Y86" i="19" s="1"/>
  <c r="AA86" i="19" s="1"/>
  <c r="AC86" i="19" s="1"/>
  <c r="AE86" i="19" s="1"/>
  <c r="AG86" i="19" s="1"/>
  <c r="D86" i="19"/>
  <c r="C87" i="19"/>
  <c r="D87" i="19"/>
  <c r="C88" i="19"/>
  <c r="D88" i="19"/>
  <c r="F88" i="19" s="1"/>
  <c r="H88" i="19" s="1"/>
  <c r="J88" i="19" s="1"/>
  <c r="L88" i="19" s="1"/>
  <c r="N88" i="19" s="1"/>
  <c r="P88" i="19" s="1"/>
  <c r="R88" i="19" s="1"/>
  <c r="T88" i="19" s="1"/>
  <c r="V88" i="19" s="1"/>
  <c r="X88" i="19" s="1"/>
  <c r="Z88" i="19" s="1"/>
  <c r="AB88" i="19" s="1"/>
  <c r="AD88" i="19" s="1"/>
  <c r="AF88" i="19" s="1"/>
  <c r="AH88" i="19" s="1"/>
  <c r="C89" i="19"/>
  <c r="D89" i="19"/>
  <c r="C90" i="19"/>
  <c r="E90" i="19" s="1"/>
  <c r="G90" i="19" s="1"/>
  <c r="I90" i="19" s="1"/>
  <c r="K90" i="19" s="1"/>
  <c r="M90" i="19" s="1"/>
  <c r="O90" i="19" s="1"/>
  <c r="Q90" i="19" s="1"/>
  <c r="S90" i="19" s="1"/>
  <c r="U90" i="19" s="1"/>
  <c r="W90" i="19" s="1"/>
  <c r="Y90" i="19" s="1"/>
  <c r="AA90" i="19" s="1"/>
  <c r="AC90" i="19" s="1"/>
  <c r="AE90" i="19" s="1"/>
  <c r="AG90" i="19" s="1"/>
  <c r="D90" i="19"/>
  <c r="D80" i="19"/>
  <c r="F80" i="19" s="1"/>
  <c r="H80" i="19" s="1"/>
  <c r="J80" i="19" s="1"/>
  <c r="L80" i="19" s="1"/>
  <c r="N80" i="19" s="1"/>
  <c r="P80" i="19" s="1"/>
  <c r="R80" i="19" s="1"/>
  <c r="T80" i="19" s="1"/>
  <c r="V80" i="19" s="1"/>
  <c r="X80" i="19" s="1"/>
  <c r="Z80" i="19" s="1"/>
  <c r="AB80" i="19" s="1"/>
  <c r="AD80" i="19" s="1"/>
  <c r="AF80" i="19" s="1"/>
  <c r="AH80" i="19" s="1"/>
  <c r="C80" i="19"/>
  <c r="E80" i="19" s="1"/>
  <c r="G80" i="19" s="1"/>
  <c r="I80" i="19" s="1"/>
  <c r="K80" i="19" s="1"/>
  <c r="M80" i="19" s="1"/>
  <c r="O80" i="19" s="1"/>
  <c r="Q80" i="19" s="1"/>
  <c r="S80" i="19" s="1"/>
  <c r="U80" i="19" s="1"/>
  <c r="W80" i="19" s="1"/>
  <c r="Y80" i="19" s="1"/>
  <c r="AA80" i="19" s="1"/>
  <c r="AC80" i="19" s="1"/>
  <c r="AE80" i="19" s="1"/>
  <c r="AG80" i="19" s="1"/>
  <c r="F90" i="19"/>
  <c r="H90" i="19" s="1"/>
  <c r="J90" i="19" s="1"/>
  <c r="L90" i="19" s="1"/>
  <c r="N90" i="19" s="1"/>
  <c r="P90" i="19" s="1"/>
  <c r="R90" i="19" s="1"/>
  <c r="T90" i="19" s="1"/>
  <c r="V90" i="19" s="1"/>
  <c r="X90" i="19" s="1"/>
  <c r="Z90" i="19" s="1"/>
  <c r="AB90" i="19" s="1"/>
  <c r="AD90" i="19" s="1"/>
  <c r="AF90" i="19" s="1"/>
  <c r="AH90" i="19" s="1"/>
  <c r="F89" i="19"/>
  <c r="H89" i="19" s="1"/>
  <c r="J89" i="19" s="1"/>
  <c r="L89" i="19" s="1"/>
  <c r="N89" i="19" s="1"/>
  <c r="P89" i="19" s="1"/>
  <c r="R89" i="19" s="1"/>
  <c r="T89" i="19" s="1"/>
  <c r="V89" i="19" s="1"/>
  <c r="X89" i="19" s="1"/>
  <c r="Z89" i="19" s="1"/>
  <c r="AB89" i="19" s="1"/>
  <c r="AD89" i="19" s="1"/>
  <c r="AF89" i="19" s="1"/>
  <c r="AH89" i="19" s="1"/>
  <c r="E89" i="19"/>
  <c r="G89" i="19" s="1"/>
  <c r="I89" i="19" s="1"/>
  <c r="K89" i="19" s="1"/>
  <c r="M89" i="19" s="1"/>
  <c r="O89" i="19" s="1"/>
  <c r="Q89" i="19" s="1"/>
  <c r="S89" i="19" s="1"/>
  <c r="U89" i="19" s="1"/>
  <c r="W89" i="19" s="1"/>
  <c r="Y89" i="19" s="1"/>
  <c r="AA89" i="19" s="1"/>
  <c r="AC89" i="19" s="1"/>
  <c r="AE89" i="19" s="1"/>
  <c r="AG89" i="19" s="1"/>
  <c r="E88" i="19"/>
  <c r="G88" i="19" s="1"/>
  <c r="I88" i="19" s="1"/>
  <c r="K88" i="19" s="1"/>
  <c r="M88" i="19" s="1"/>
  <c r="O88" i="19" s="1"/>
  <c r="Q88" i="19" s="1"/>
  <c r="S88" i="19" s="1"/>
  <c r="U88" i="19" s="1"/>
  <c r="W88" i="19" s="1"/>
  <c r="Y88" i="19" s="1"/>
  <c r="AA88" i="19" s="1"/>
  <c r="AC88" i="19" s="1"/>
  <c r="AE88" i="19" s="1"/>
  <c r="AG88" i="19" s="1"/>
  <c r="F87" i="19"/>
  <c r="H87" i="19" s="1"/>
  <c r="J87" i="19" s="1"/>
  <c r="L87" i="19" s="1"/>
  <c r="N87" i="19" s="1"/>
  <c r="P87" i="19" s="1"/>
  <c r="R87" i="19" s="1"/>
  <c r="T87" i="19" s="1"/>
  <c r="V87" i="19" s="1"/>
  <c r="X87" i="19" s="1"/>
  <c r="Z87" i="19" s="1"/>
  <c r="AB87" i="19" s="1"/>
  <c r="AD87" i="19" s="1"/>
  <c r="AF87" i="19" s="1"/>
  <c r="AH87" i="19" s="1"/>
  <c r="E87" i="19"/>
  <c r="G87" i="19" s="1"/>
  <c r="I87" i="19" s="1"/>
  <c r="K87" i="19" s="1"/>
  <c r="M87" i="19" s="1"/>
  <c r="O87" i="19" s="1"/>
  <c r="Q87" i="19" s="1"/>
  <c r="S87" i="19" s="1"/>
  <c r="U87" i="19" s="1"/>
  <c r="W87" i="19" s="1"/>
  <c r="Y87" i="19" s="1"/>
  <c r="AA87" i="19" s="1"/>
  <c r="AC87" i="19" s="1"/>
  <c r="AE87" i="19" s="1"/>
  <c r="AG87" i="19" s="1"/>
  <c r="F86" i="19"/>
  <c r="H86" i="19" s="1"/>
  <c r="J86" i="19" s="1"/>
  <c r="L86" i="19" s="1"/>
  <c r="N86" i="19" s="1"/>
  <c r="P86" i="19" s="1"/>
  <c r="R86" i="19" s="1"/>
  <c r="T86" i="19" s="1"/>
  <c r="V86" i="19" s="1"/>
  <c r="X86" i="19" s="1"/>
  <c r="Z86" i="19" s="1"/>
  <c r="AB86" i="19" s="1"/>
  <c r="AD86" i="19" s="1"/>
  <c r="AF86" i="19" s="1"/>
  <c r="AH86" i="19" s="1"/>
  <c r="F85" i="19"/>
  <c r="H85" i="19" s="1"/>
  <c r="J85" i="19" s="1"/>
  <c r="L85" i="19" s="1"/>
  <c r="N85" i="19" s="1"/>
  <c r="P85" i="19" s="1"/>
  <c r="R85" i="19" s="1"/>
  <c r="T85" i="19" s="1"/>
  <c r="V85" i="19" s="1"/>
  <c r="X85" i="19" s="1"/>
  <c r="Z85" i="19" s="1"/>
  <c r="AB85" i="19" s="1"/>
  <c r="AD85" i="19" s="1"/>
  <c r="AF85" i="19" s="1"/>
  <c r="AH85" i="19" s="1"/>
  <c r="E85" i="19"/>
  <c r="G85" i="19" s="1"/>
  <c r="I85" i="19" s="1"/>
  <c r="K85" i="19" s="1"/>
  <c r="M85" i="19" s="1"/>
  <c r="O85" i="19" s="1"/>
  <c r="Q85" i="19" s="1"/>
  <c r="S85" i="19" s="1"/>
  <c r="U85" i="19" s="1"/>
  <c r="W85" i="19" s="1"/>
  <c r="Y85" i="19" s="1"/>
  <c r="AA85" i="19" s="1"/>
  <c r="AC85" i="19" s="1"/>
  <c r="AE85" i="19" s="1"/>
  <c r="AG85" i="19" s="1"/>
  <c r="G84" i="19"/>
  <c r="I84" i="19" s="1"/>
  <c r="K84" i="19" s="1"/>
  <c r="M84" i="19" s="1"/>
  <c r="O84" i="19" s="1"/>
  <c r="Q84" i="19" s="1"/>
  <c r="S84" i="19" s="1"/>
  <c r="U84" i="19" s="1"/>
  <c r="W84" i="19" s="1"/>
  <c r="Y84" i="19" s="1"/>
  <c r="AA84" i="19" s="1"/>
  <c r="AC84" i="19" s="1"/>
  <c r="AE84" i="19" s="1"/>
  <c r="AG84" i="19" s="1"/>
  <c r="E84" i="19"/>
  <c r="M83" i="19"/>
  <c r="O83" i="19" s="1"/>
  <c r="Q83" i="19" s="1"/>
  <c r="S83" i="19" s="1"/>
  <c r="U83" i="19" s="1"/>
  <c r="W83" i="19" s="1"/>
  <c r="Y83" i="19" s="1"/>
  <c r="AA83" i="19" s="1"/>
  <c r="AC83" i="19" s="1"/>
  <c r="AE83" i="19" s="1"/>
  <c r="AG83" i="19" s="1"/>
  <c r="H83" i="19"/>
  <c r="J83" i="19" s="1"/>
  <c r="L83" i="19" s="1"/>
  <c r="N83" i="19" s="1"/>
  <c r="P83" i="19" s="1"/>
  <c r="R83" i="19" s="1"/>
  <c r="T83" i="19" s="1"/>
  <c r="V83" i="19" s="1"/>
  <c r="X83" i="19" s="1"/>
  <c r="Z83" i="19" s="1"/>
  <c r="AB83" i="19" s="1"/>
  <c r="AD83" i="19" s="1"/>
  <c r="AF83" i="19" s="1"/>
  <c r="AH83" i="19" s="1"/>
  <c r="F83" i="19"/>
  <c r="E83" i="19"/>
  <c r="G83" i="19" s="1"/>
  <c r="I83" i="19" s="1"/>
  <c r="K83" i="19" s="1"/>
  <c r="G82" i="19"/>
  <c r="I82" i="19" s="1"/>
  <c r="K82" i="19" s="1"/>
  <c r="M82" i="19" s="1"/>
  <c r="O82" i="19" s="1"/>
  <c r="Q82" i="19" s="1"/>
  <c r="S82" i="19" s="1"/>
  <c r="U82" i="19" s="1"/>
  <c r="W82" i="19" s="1"/>
  <c r="Y82" i="19" s="1"/>
  <c r="AA82" i="19" s="1"/>
  <c r="AC82" i="19" s="1"/>
  <c r="AE82" i="19" s="1"/>
  <c r="AG82" i="19" s="1"/>
  <c r="F82" i="19"/>
  <c r="H82" i="19" s="1"/>
  <c r="J82" i="19" s="1"/>
  <c r="L82" i="19" s="1"/>
  <c r="N82" i="19" s="1"/>
  <c r="P82" i="19" s="1"/>
  <c r="R82" i="19" s="1"/>
  <c r="T82" i="19" s="1"/>
  <c r="V82" i="19" s="1"/>
  <c r="X82" i="19" s="1"/>
  <c r="Z82" i="19" s="1"/>
  <c r="AB82" i="19" s="1"/>
  <c r="AD82" i="19" s="1"/>
  <c r="AF82" i="19" s="1"/>
  <c r="AH82" i="19" s="1"/>
  <c r="E82" i="19"/>
  <c r="F81" i="19"/>
  <c r="H81" i="19" s="1"/>
  <c r="J81" i="19" s="1"/>
  <c r="L81" i="19" s="1"/>
  <c r="N81" i="19" s="1"/>
  <c r="P81" i="19" s="1"/>
  <c r="R81" i="19" s="1"/>
  <c r="T81" i="19" s="1"/>
  <c r="V81" i="19" s="1"/>
  <c r="X81" i="19" s="1"/>
  <c r="Z81" i="19" s="1"/>
  <c r="AB81" i="19" s="1"/>
  <c r="AD81" i="19" s="1"/>
  <c r="AF81" i="19" s="1"/>
  <c r="AH81" i="19" s="1"/>
  <c r="E81" i="19"/>
  <c r="G81" i="19" s="1"/>
  <c r="I81" i="19" s="1"/>
  <c r="K81" i="19" s="1"/>
  <c r="M81" i="19" s="1"/>
  <c r="O81" i="19" s="1"/>
  <c r="Q81" i="19" s="1"/>
  <c r="S81" i="19" s="1"/>
  <c r="U81" i="19" s="1"/>
  <c r="W81" i="19" s="1"/>
  <c r="Y81" i="19" s="1"/>
  <c r="AA81" i="19" s="1"/>
  <c r="AC81" i="19" s="1"/>
  <c r="AE81" i="19" s="1"/>
  <c r="AG81" i="19" s="1"/>
  <c r="M79" i="19"/>
  <c r="O79" i="19" s="1"/>
  <c r="Q79" i="19" s="1"/>
  <c r="S79" i="19" s="1"/>
  <c r="U79" i="19" s="1"/>
  <c r="W79" i="19" s="1"/>
  <c r="Y79" i="19" s="1"/>
  <c r="AA79" i="19" s="1"/>
  <c r="AC79" i="19" s="1"/>
  <c r="AE79" i="19" s="1"/>
  <c r="AG79" i="19" s="1"/>
  <c r="H79" i="19"/>
  <c r="J79" i="19" s="1"/>
  <c r="L79" i="19" s="1"/>
  <c r="N79" i="19" s="1"/>
  <c r="P79" i="19" s="1"/>
  <c r="R79" i="19" s="1"/>
  <c r="T79" i="19" s="1"/>
  <c r="V79" i="19" s="1"/>
  <c r="X79" i="19" s="1"/>
  <c r="Z79" i="19" s="1"/>
  <c r="AB79" i="19" s="1"/>
  <c r="AD79" i="19" s="1"/>
  <c r="AF79" i="19" s="1"/>
  <c r="AH79" i="19" s="1"/>
  <c r="F79" i="19"/>
  <c r="E79" i="19"/>
  <c r="G79" i="19" s="1"/>
  <c r="I79" i="19" s="1"/>
  <c r="K79" i="19" s="1"/>
  <c r="K78" i="19"/>
  <c r="M78" i="19" s="1"/>
  <c r="O78" i="19" s="1"/>
  <c r="Q78" i="19" s="1"/>
  <c r="S78" i="19" s="1"/>
  <c r="U78" i="19" s="1"/>
  <c r="W78" i="19" s="1"/>
  <c r="Y78" i="19" s="1"/>
  <c r="AA78" i="19" s="1"/>
  <c r="AC78" i="19" s="1"/>
  <c r="AE78" i="19" s="1"/>
  <c r="AG78" i="19" s="1"/>
  <c r="G78" i="19"/>
  <c r="I78" i="19" s="1"/>
  <c r="F78" i="19"/>
  <c r="H78" i="19" s="1"/>
  <c r="J78" i="19" s="1"/>
  <c r="L78" i="19" s="1"/>
  <c r="N78" i="19" s="1"/>
  <c r="P78" i="19" s="1"/>
  <c r="R78" i="19" s="1"/>
  <c r="T78" i="19" s="1"/>
  <c r="V78" i="19" s="1"/>
  <c r="X78" i="19" s="1"/>
  <c r="Z78" i="19" s="1"/>
  <c r="AB78" i="19" s="1"/>
  <c r="AD78" i="19" s="1"/>
  <c r="AF78" i="19" s="1"/>
  <c r="AH78" i="19" s="1"/>
  <c r="E78" i="19"/>
  <c r="H77" i="19"/>
  <c r="J77" i="19" s="1"/>
  <c r="L77" i="19" s="1"/>
  <c r="N77" i="19" s="1"/>
  <c r="P77" i="19" s="1"/>
  <c r="R77" i="19" s="1"/>
  <c r="T77" i="19" s="1"/>
  <c r="V77" i="19" s="1"/>
  <c r="X77" i="19" s="1"/>
  <c r="Z77" i="19" s="1"/>
  <c r="AB77" i="19" s="1"/>
  <c r="AD77" i="19" s="1"/>
  <c r="AF77" i="19" s="1"/>
  <c r="AH77" i="19" s="1"/>
  <c r="F77" i="19"/>
  <c r="E77" i="19"/>
  <c r="G77" i="19" s="1"/>
  <c r="I77" i="19" s="1"/>
  <c r="K77" i="19" s="1"/>
  <c r="M77" i="19" s="1"/>
  <c r="O77" i="19" s="1"/>
  <c r="Q77" i="19" s="1"/>
  <c r="S77" i="19" s="1"/>
  <c r="U77" i="19" s="1"/>
  <c r="W77" i="19" s="1"/>
  <c r="Y77" i="19" s="1"/>
  <c r="AA77" i="19" s="1"/>
  <c r="AC77" i="19" s="1"/>
  <c r="AE77" i="19" s="1"/>
  <c r="AG77" i="19" s="1"/>
  <c r="G76" i="19"/>
  <c r="I76" i="19" s="1"/>
  <c r="K76" i="19" s="1"/>
  <c r="M76" i="19" s="1"/>
  <c r="O76" i="19" s="1"/>
  <c r="Q76" i="19" s="1"/>
  <c r="S76" i="19" s="1"/>
  <c r="U76" i="19" s="1"/>
  <c r="W76" i="19" s="1"/>
  <c r="Y76" i="19" s="1"/>
  <c r="AA76" i="19" s="1"/>
  <c r="AC76" i="19" s="1"/>
  <c r="AE76" i="19" s="1"/>
  <c r="AG76" i="19" s="1"/>
  <c r="F76" i="19"/>
  <c r="H76" i="19" s="1"/>
  <c r="J76" i="19" s="1"/>
  <c r="L76" i="19" s="1"/>
  <c r="N76" i="19" s="1"/>
  <c r="P76" i="19" s="1"/>
  <c r="R76" i="19" s="1"/>
  <c r="T76" i="19" s="1"/>
  <c r="V76" i="19" s="1"/>
  <c r="X76" i="19" s="1"/>
  <c r="Z76" i="19" s="1"/>
  <c r="AB76" i="19" s="1"/>
  <c r="AD76" i="19" s="1"/>
  <c r="AF76" i="19" s="1"/>
  <c r="AH76" i="19" s="1"/>
  <c r="E76" i="19"/>
  <c r="H75" i="19"/>
  <c r="J75" i="19" s="1"/>
  <c r="L75" i="19" s="1"/>
  <c r="N75" i="19" s="1"/>
  <c r="P75" i="19" s="1"/>
  <c r="R75" i="19" s="1"/>
  <c r="T75" i="19" s="1"/>
  <c r="V75" i="19" s="1"/>
  <c r="X75" i="19" s="1"/>
  <c r="Z75" i="19" s="1"/>
  <c r="AB75" i="19" s="1"/>
  <c r="AD75" i="19" s="1"/>
  <c r="AF75" i="19" s="1"/>
  <c r="AH75" i="19" s="1"/>
  <c r="F75" i="19"/>
  <c r="E75" i="19"/>
  <c r="G75" i="19" s="1"/>
  <c r="I75" i="19" s="1"/>
  <c r="K75" i="19" s="1"/>
  <c r="M75" i="19" s="1"/>
  <c r="O75" i="19" s="1"/>
  <c r="Q75" i="19" s="1"/>
  <c r="S75" i="19" s="1"/>
  <c r="U75" i="19" s="1"/>
  <c r="W75" i="19" s="1"/>
  <c r="Y75" i="19" s="1"/>
  <c r="AA75" i="19" s="1"/>
  <c r="AC75" i="19" s="1"/>
  <c r="AE75" i="19" s="1"/>
  <c r="AG75" i="19" s="1"/>
  <c r="G74" i="19"/>
  <c r="I74" i="19" s="1"/>
  <c r="K74" i="19" s="1"/>
  <c r="M74" i="19" s="1"/>
  <c r="O74" i="19" s="1"/>
  <c r="Q74" i="19" s="1"/>
  <c r="S74" i="19" s="1"/>
  <c r="U74" i="19" s="1"/>
  <c r="W74" i="19" s="1"/>
  <c r="Y74" i="19" s="1"/>
  <c r="AA74" i="19" s="1"/>
  <c r="AC74" i="19" s="1"/>
  <c r="AE74" i="19" s="1"/>
  <c r="AG74" i="19" s="1"/>
  <c r="F74" i="19"/>
  <c r="H74" i="19" s="1"/>
  <c r="J74" i="19" s="1"/>
  <c r="L74" i="19" s="1"/>
  <c r="N74" i="19" s="1"/>
  <c r="P74" i="19" s="1"/>
  <c r="R74" i="19" s="1"/>
  <c r="T74" i="19" s="1"/>
  <c r="V74" i="19" s="1"/>
  <c r="X74" i="19" s="1"/>
  <c r="Z74" i="19" s="1"/>
  <c r="AB74" i="19" s="1"/>
  <c r="AD74" i="19" s="1"/>
  <c r="AF74" i="19" s="1"/>
  <c r="AH74" i="19" s="1"/>
  <c r="E74" i="19"/>
  <c r="I73" i="19"/>
  <c r="K73" i="19" s="1"/>
  <c r="M73" i="19" s="1"/>
  <c r="O73" i="19" s="1"/>
  <c r="Q73" i="19" s="1"/>
  <c r="S73" i="19" s="1"/>
  <c r="U73" i="19" s="1"/>
  <c r="W73" i="19" s="1"/>
  <c r="Y73" i="19" s="1"/>
  <c r="AA73" i="19" s="1"/>
  <c r="AC73" i="19" s="1"/>
  <c r="AE73" i="19" s="1"/>
  <c r="AG73" i="19" s="1"/>
  <c r="H73" i="19"/>
  <c r="J73" i="19" s="1"/>
  <c r="L73" i="19" s="1"/>
  <c r="N73" i="19" s="1"/>
  <c r="P73" i="19" s="1"/>
  <c r="R73" i="19" s="1"/>
  <c r="T73" i="19" s="1"/>
  <c r="V73" i="19" s="1"/>
  <c r="X73" i="19" s="1"/>
  <c r="Z73" i="19" s="1"/>
  <c r="AB73" i="19" s="1"/>
  <c r="AD73" i="19" s="1"/>
  <c r="AF73" i="19" s="1"/>
  <c r="AH73" i="19" s="1"/>
  <c r="F73" i="19"/>
  <c r="E73" i="19"/>
  <c r="G73" i="19" s="1"/>
  <c r="O72" i="19"/>
  <c r="Q72" i="19" s="1"/>
  <c r="S72" i="19" s="1"/>
  <c r="U72" i="19" s="1"/>
  <c r="W72" i="19" s="1"/>
  <c r="Y72" i="19" s="1"/>
  <c r="AA72" i="19" s="1"/>
  <c r="AC72" i="19" s="1"/>
  <c r="AE72" i="19" s="1"/>
  <c r="AG72" i="19" s="1"/>
  <c r="G72" i="19"/>
  <c r="I72" i="19" s="1"/>
  <c r="K72" i="19" s="1"/>
  <c r="M72" i="19" s="1"/>
  <c r="F72" i="19"/>
  <c r="H72" i="19" s="1"/>
  <c r="J72" i="19" s="1"/>
  <c r="L72" i="19" s="1"/>
  <c r="N72" i="19" s="1"/>
  <c r="P72" i="19" s="1"/>
  <c r="R72" i="19" s="1"/>
  <c r="T72" i="19" s="1"/>
  <c r="V72" i="19" s="1"/>
  <c r="X72" i="19" s="1"/>
  <c r="Z72" i="19" s="1"/>
  <c r="AB72" i="19" s="1"/>
  <c r="AD72" i="19" s="1"/>
  <c r="AF72" i="19" s="1"/>
  <c r="AH72" i="19" s="1"/>
  <c r="E72" i="19"/>
  <c r="H71" i="19"/>
  <c r="J71" i="19" s="1"/>
  <c r="L71" i="19" s="1"/>
  <c r="N71" i="19" s="1"/>
  <c r="P71" i="19" s="1"/>
  <c r="R71" i="19" s="1"/>
  <c r="T71" i="19" s="1"/>
  <c r="V71" i="19" s="1"/>
  <c r="X71" i="19" s="1"/>
  <c r="Z71" i="19" s="1"/>
  <c r="AB71" i="19" s="1"/>
  <c r="AD71" i="19" s="1"/>
  <c r="AF71" i="19" s="1"/>
  <c r="AH71" i="19" s="1"/>
  <c r="F71" i="19"/>
  <c r="E71" i="19"/>
  <c r="G71" i="19" s="1"/>
  <c r="I71" i="19" s="1"/>
  <c r="K71" i="19" s="1"/>
  <c r="M71" i="19" s="1"/>
  <c r="O71" i="19" s="1"/>
  <c r="Q71" i="19" s="1"/>
  <c r="S71" i="19" s="1"/>
  <c r="U71" i="19" s="1"/>
  <c r="W71" i="19" s="1"/>
  <c r="Y71" i="19" s="1"/>
  <c r="AA71" i="19" s="1"/>
  <c r="AC71" i="19" s="1"/>
  <c r="AE71" i="19" s="1"/>
  <c r="AG71" i="19" s="1"/>
  <c r="K70" i="19"/>
  <c r="M70" i="19" s="1"/>
  <c r="O70" i="19" s="1"/>
  <c r="Q70" i="19" s="1"/>
  <c r="S70" i="19" s="1"/>
  <c r="U70" i="19" s="1"/>
  <c r="W70" i="19" s="1"/>
  <c r="Y70" i="19" s="1"/>
  <c r="AA70" i="19" s="1"/>
  <c r="AC70" i="19" s="1"/>
  <c r="AE70" i="19" s="1"/>
  <c r="AG70" i="19" s="1"/>
  <c r="G70" i="19"/>
  <c r="I70" i="19" s="1"/>
  <c r="F70" i="19"/>
  <c r="H70" i="19" s="1"/>
  <c r="J70" i="19" s="1"/>
  <c r="L70" i="19" s="1"/>
  <c r="N70" i="19" s="1"/>
  <c r="P70" i="19" s="1"/>
  <c r="R70" i="19" s="1"/>
  <c r="T70" i="19" s="1"/>
  <c r="V70" i="19" s="1"/>
  <c r="X70" i="19" s="1"/>
  <c r="Z70" i="19" s="1"/>
  <c r="AB70" i="19" s="1"/>
  <c r="AD70" i="19" s="1"/>
  <c r="AF70" i="19" s="1"/>
  <c r="AH70" i="19" s="1"/>
  <c r="E70" i="19"/>
  <c r="Q69" i="19"/>
  <c r="S69" i="19" s="1"/>
  <c r="U69" i="19" s="1"/>
  <c r="W69" i="19" s="1"/>
  <c r="Y69" i="19" s="1"/>
  <c r="AA69" i="19" s="1"/>
  <c r="AC69" i="19" s="1"/>
  <c r="AE69" i="19" s="1"/>
  <c r="AG69" i="19" s="1"/>
  <c r="I69" i="19"/>
  <c r="K69" i="19" s="1"/>
  <c r="M69" i="19" s="1"/>
  <c r="O69" i="19" s="1"/>
  <c r="H69" i="19"/>
  <c r="J69" i="19" s="1"/>
  <c r="L69" i="19" s="1"/>
  <c r="N69" i="19" s="1"/>
  <c r="P69" i="19" s="1"/>
  <c r="R69" i="19" s="1"/>
  <c r="T69" i="19" s="1"/>
  <c r="V69" i="19" s="1"/>
  <c r="X69" i="19" s="1"/>
  <c r="Z69" i="19" s="1"/>
  <c r="AB69" i="19" s="1"/>
  <c r="AD69" i="19" s="1"/>
  <c r="AF69" i="19" s="1"/>
  <c r="AH69" i="19" s="1"/>
  <c r="F69" i="19"/>
  <c r="E69" i="19"/>
  <c r="G69" i="19" s="1"/>
  <c r="C70" i="19"/>
  <c r="D70" i="19"/>
  <c r="C71" i="19"/>
  <c r="D71" i="19"/>
  <c r="C72" i="19"/>
  <c r="D72" i="19"/>
  <c r="C73" i="19"/>
  <c r="D73" i="19"/>
  <c r="C74" i="19"/>
  <c r="D74" i="19"/>
  <c r="C75" i="19"/>
  <c r="D75" i="19"/>
  <c r="C76" i="19"/>
  <c r="D76" i="19"/>
  <c r="C77" i="19"/>
  <c r="D77" i="19"/>
  <c r="C78" i="19"/>
  <c r="D78" i="19"/>
  <c r="C79" i="19"/>
  <c r="D79" i="19"/>
  <c r="D69" i="19"/>
  <c r="C69" i="19"/>
  <c r="AA163" i="8"/>
  <c r="AB163" i="8"/>
  <c r="AC163" i="8"/>
  <c r="AD163" i="8"/>
  <c r="AE163" i="8"/>
  <c r="AF163" i="8"/>
  <c r="AG163" i="8"/>
  <c r="AH163" i="8"/>
  <c r="AH173" i="8" s="1"/>
  <c r="AI163" i="8"/>
  <c r="AJ163" i="8"/>
  <c r="AK163" i="8"/>
  <c r="AL163" i="8"/>
  <c r="AM163" i="8"/>
  <c r="AN163" i="8"/>
  <c r="AO163" i="8"/>
  <c r="AP163" i="8"/>
  <c r="AA164" i="8"/>
  <c r="AB164" i="8"/>
  <c r="AC164" i="8"/>
  <c r="AD164" i="8"/>
  <c r="AE164" i="8"/>
  <c r="AF164" i="8"/>
  <c r="AG164" i="8"/>
  <c r="AH164" i="8"/>
  <c r="AI164" i="8"/>
  <c r="AJ164" i="8"/>
  <c r="AK164" i="8"/>
  <c r="AL164" i="8"/>
  <c r="AM164" i="8"/>
  <c r="AN164" i="8"/>
  <c r="AO164" i="8"/>
  <c r="AP164" i="8"/>
  <c r="AA165" i="8"/>
  <c r="AB165" i="8"/>
  <c r="AC165" i="8"/>
  <c r="AD165" i="8"/>
  <c r="AE165" i="8"/>
  <c r="AF165" i="8"/>
  <c r="AG165" i="8"/>
  <c r="AH165" i="8"/>
  <c r="AI165" i="8"/>
  <c r="AJ165" i="8"/>
  <c r="AK165" i="8"/>
  <c r="AL165" i="8"/>
  <c r="AM165" i="8"/>
  <c r="AN165" i="8"/>
  <c r="AO165" i="8"/>
  <c r="AP165" i="8"/>
  <c r="AP173" i="8" s="1"/>
  <c r="AA166" i="8"/>
  <c r="AB166" i="8"/>
  <c r="AC166" i="8"/>
  <c r="AD166" i="8"/>
  <c r="AE166" i="8"/>
  <c r="AF166" i="8"/>
  <c r="AG166" i="8"/>
  <c r="AH166" i="8"/>
  <c r="AI166" i="8"/>
  <c r="AJ166" i="8"/>
  <c r="AK166" i="8"/>
  <c r="AL166" i="8"/>
  <c r="AM166" i="8"/>
  <c r="AN166" i="8"/>
  <c r="AO166" i="8"/>
  <c r="AP166" i="8"/>
  <c r="AA167" i="8"/>
  <c r="AB167" i="8"/>
  <c r="AC167" i="8"/>
  <c r="AD167" i="8"/>
  <c r="AE167" i="8"/>
  <c r="AF167" i="8"/>
  <c r="AG167" i="8"/>
  <c r="AH167" i="8"/>
  <c r="AI167" i="8"/>
  <c r="AJ167" i="8"/>
  <c r="AK167" i="8"/>
  <c r="AL167" i="8"/>
  <c r="AM167" i="8"/>
  <c r="AN167" i="8"/>
  <c r="AO167" i="8"/>
  <c r="AP167" i="8"/>
  <c r="AA168" i="8"/>
  <c r="AB168" i="8"/>
  <c r="AC168" i="8"/>
  <c r="AD168" i="8"/>
  <c r="AE168" i="8"/>
  <c r="AF168" i="8"/>
  <c r="AG168" i="8"/>
  <c r="AH168" i="8"/>
  <c r="AI168" i="8"/>
  <c r="AJ168" i="8"/>
  <c r="AK168" i="8"/>
  <c r="AL168" i="8"/>
  <c r="AM168" i="8"/>
  <c r="AN168" i="8"/>
  <c r="AO168" i="8"/>
  <c r="AP168" i="8"/>
  <c r="AA169" i="8"/>
  <c r="AB169" i="8"/>
  <c r="AC169" i="8"/>
  <c r="AD169" i="8"/>
  <c r="AE169" i="8"/>
  <c r="AE173" i="8" s="1"/>
  <c r="AF169" i="8"/>
  <c r="AG169" i="8"/>
  <c r="AH169" i="8"/>
  <c r="AI169" i="8"/>
  <c r="AJ169" i="8"/>
  <c r="AK169" i="8"/>
  <c r="AL169" i="8"/>
  <c r="AM169" i="8"/>
  <c r="AN169" i="8"/>
  <c r="AO169" i="8"/>
  <c r="AP169" i="8"/>
  <c r="AA170" i="8"/>
  <c r="AB170" i="8"/>
  <c r="AC170" i="8"/>
  <c r="AD170" i="8"/>
  <c r="AE170" i="8"/>
  <c r="AF170" i="8"/>
  <c r="AG170" i="8"/>
  <c r="AH170" i="8"/>
  <c r="AI170" i="8"/>
  <c r="AJ170" i="8"/>
  <c r="AK170" i="8"/>
  <c r="AL170" i="8"/>
  <c r="AM170" i="8"/>
  <c r="AN170" i="8"/>
  <c r="AO170" i="8"/>
  <c r="AP170" i="8"/>
  <c r="AA171" i="8"/>
  <c r="AA173" i="8" s="1"/>
  <c r="AB171" i="8"/>
  <c r="AB173" i="8" s="1"/>
  <c r="AC171" i="8"/>
  <c r="AD171" i="8"/>
  <c r="AE171" i="8"/>
  <c r="AF171" i="8"/>
  <c r="AG171" i="8"/>
  <c r="AH171" i="8"/>
  <c r="AI171" i="8"/>
  <c r="AJ171" i="8"/>
  <c r="AK171" i="8"/>
  <c r="AL171" i="8"/>
  <c r="AM171" i="8"/>
  <c r="AN171" i="8"/>
  <c r="AO171" i="8"/>
  <c r="AP171" i="8"/>
  <c r="AA172" i="8"/>
  <c r="AB172" i="8"/>
  <c r="AC172" i="8"/>
  <c r="AD172" i="8"/>
  <c r="AE172" i="8"/>
  <c r="AF172" i="8"/>
  <c r="AG172" i="8"/>
  <c r="AH172" i="8"/>
  <c r="AI172" i="8"/>
  <c r="AJ172" i="8"/>
  <c r="AK172" i="8"/>
  <c r="AL172" i="8"/>
  <c r="AM172" i="8"/>
  <c r="AN172" i="8"/>
  <c r="AO172" i="8"/>
  <c r="AP172" i="8"/>
  <c r="AA162" i="8"/>
  <c r="AB162" i="8"/>
  <c r="AC162" i="8"/>
  <c r="AD162" i="8"/>
  <c r="AE162" i="8"/>
  <c r="AF162" i="8"/>
  <c r="AG162" i="8"/>
  <c r="AH162" i="8"/>
  <c r="AI162" i="8"/>
  <c r="AJ162" i="8"/>
  <c r="AK162" i="8"/>
  <c r="AL162" i="8"/>
  <c r="AM162" i="8"/>
  <c r="AN162" i="8"/>
  <c r="AO162" i="8"/>
  <c r="AP162" i="8"/>
  <c r="AJ173" i="8"/>
  <c r="AC173" i="8"/>
  <c r="AK173" i="8"/>
  <c r="AD173" i="8"/>
  <c r="AL173" i="8"/>
  <c r="AM173" i="8"/>
  <c r="AF173" i="8"/>
  <c r="AN173" i="8"/>
  <c r="AG173" i="8"/>
  <c r="AO173" i="8"/>
  <c r="AI173" i="8"/>
  <c r="Z162" i="8" a="1"/>
  <c r="Z172" i="8" s="1"/>
  <c r="AA161" i="8" a="1"/>
  <c r="AL161" i="8" s="1"/>
  <c r="AA143" i="8"/>
  <c r="AB143" i="8"/>
  <c r="AC143" i="8"/>
  <c r="AD143" i="8"/>
  <c r="AE143" i="8"/>
  <c r="AF143" i="8"/>
  <c r="AG143" i="8"/>
  <c r="AH143" i="8"/>
  <c r="AH153" i="8" s="1"/>
  <c r="AI143" i="8"/>
  <c r="AJ143" i="8"/>
  <c r="AK143" i="8"/>
  <c r="AL143" i="8"/>
  <c r="AM143" i="8"/>
  <c r="AN143" i="8"/>
  <c r="AO143" i="8"/>
  <c r="AO153" i="8" s="1"/>
  <c r="AP143" i="8"/>
  <c r="AP153" i="8" s="1"/>
  <c r="AA144" i="8"/>
  <c r="AB144" i="8"/>
  <c r="AC144" i="8"/>
  <c r="AD144" i="8"/>
  <c r="AE144" i="8"/>
  <c r="AF144" i="8"/>
  <c r="AG144" i="8"/>
  <c r="AH144" i="8"/>
  <c r="AI144" i="8"/>
  <c r="AJ144" i="8"/>
  <c r="AK144" i="8"/>
  <c r="AL144" i="8"/>
  <c r="AM144" i="8"/>
  <c r="AN144" i="8"/>
  <c r="AO144" i="8"/>
  <c r="AP144" i="8"/>
  <c r="AA145" i="8"/>
  <c r="AB145" i="8"/>
  <c r="AC145" i="8"/>
  <c r="AD145" i="8"/>
  <c r="AE145" i="8"/>
  <c r="AF145" i="8"/>
  <c r="AG145" i="8"/>
  <c r="AH145" i="8"/>
  <c r="AI145" i="8"/>
  <c r="AJ145" i="8"/>
  <c r="AK145" i="8"/>
  <c r="AL145" i="8"/>
  <c r="AM145" i="8"/>
  <c r="AN145" i="8"/>
  <c r="AO145" i="8"/>
  <c r="AP145" i="8"/>
  <c r="AA146" i="8"/>
  <c r="AB146" i="8"/>
  <c r="AC146" i="8"/>
  <c r="AD146" i="8"/>
  <c r="AE146" i="8"/>
  <c r="AF146" i="8"/>
  <c r="AG146" i="8"/>
  <c r="AH146" i="8"/>
  <c r="AI146" i="8"/>
  <c r="AJ146" i="8"/>
  <c r="AK146" i="8"/>
  <c r="AL146" i="8"/>
  <c r="AM146" i="8"/>
  <c r="AN146" i="8"/>
  <c r="AO146" i="8"/>
  <c r="AP146" i="8"/>
  <c r="AA147" i="8"/>
  <c r="AB147" i="8"/>
  <c r="AC147" i="8"/>
  <c r="AD147" i="8"/>
  <c r="AE147" i="8"/>
  <c r="AF147" i="8"/>
  <c r="AG147" i="8"/>
  <c r="AH147" i="8"/>
  <c r="AI147" i="8"/>
  <c r="AJ147" i="8"/>
  <c r="AK147" i="8"/>
  <c r="AL147" i="8"/>
  <c r="AM147" i="8"/>
  <c r="AN147" i="8"/>
  <c r="AO147" i="8"/>
  <c r="AP147" i="8"/>
  <c r="AA148" i="8"/>
  <c r="AB148" i="8"/>
  <c r="AC148" i="8"/>
  <c r="AD148" i="8"/>
  <c r="AE148" i="8"/>
  <c r="AF148" i="8"/>
  <c r="AG148" i="8"/>
  <c r="AH148" i="8"/>
  <c r="AI148" i="8"/>
  <c r="AJ148" i="8"/>
  <c r="AK148" i="8"/>
  <c r="AL148" i="8"/>
  <c r="AM148" i="8"/>
  <c r="AN148" i="8"/>
  <c r="AO148" i="8"/>
  <c r="AP148" i="8"/>
  <c r="AA149" i="8"/>
  <c r="AB149" i="8"/>
  <c r="AC149" i="8"/>
  <c r="AD149" i="8"/>
  <c r="AE149" i="8"/>
  <c r="AF149" i="8"/>
  <c r="AG149" i="8"/>
  <c r="AH149" i="8"/>
  <c r="AI149" i="8"/>
  <c r="AJ149" i="8"/>
  <c r="AK149" i="8"/>
  <c r="AL149" i="8"/>
  <c r="AM149" i="8"/>
  <c r="AN149" i="8"/>
  <c r="AO149" i="8"/>
  <c r="AP149" i="8"/>
  <c r="AA150" i="8"/>
  <c r="AB150" i="8"/>
  <c r="AC150" i="8"/>
  <c r="AD150" i="8"/>
  <c r="AE150" i="8"/>
  <c r="AF150" i="8"/>
  <c r="AG150" i="8"/>
  <c r="AH150" i="8"/>
  <c r="AI150" i="8"/>
  <c r="AJ150" i="8"/>
  <c r="AK150" i="8"/>
  <c r="AL150" i="8"/>
  <c r="AM150" i="8"/>
  <c r="AN150" i="8"/>
  <c r="AO150" i="8"/>
  <c r="AP150" i="8"/>
  <c r="AA151" i="8"/>
  <c r="AB151" i="8"/>
  <c r="AC151" i="8"/>
  <c r="AD151" i="8"/>
  <c r="AE151" i="8"/>
  <c r="AF151" i="8"/>
  <c r="AG151" i="8"/>
  <c r="AH151" i="8"/>
  <c r="AI151" i="8"/>
  <c r="AJ151" i="8"/>
  <c r="AK151" i="8"/>
  <c r="AL151" i="8"/>
  <c r="AM151" i="8"/>
  <c r="AN151" i="8"/>
  <c r="AO151" i="8"/>
  <c r="AP151" i="8"/>
  <c r="AA152" i="8"/>
  <c r="AB152" i="8"/>
  <c r="AC152" i="8"/>
  <c r="AD152" i="8"/>
  <c r="AE152" i="8"/>
  <c r="AF152" i="8"/>
  <c r="AG152" i="8"/>
  <c r="AH152" i="8"/>
  <c r="AI152" i="8"/>
  <c r="AJ152" i="8"/>
  <c r="AK152" i="8"/>
  <c r="AL152" i="8"/>
  <c r="AM152" i="8"/>
  <c r="AN152" i="8"/>
  <c r="AO152" i="8"/>
  <c r="AP152" i="8"/>
  <c r="AB142" i="8"/>
  <c r="AC142" i="8"/>
  <c r="AD142" i="8"/>
  <c r="AE142" i="8"/>
  <c r="AF142" i="8"/>
  <c r="AG142" i="8"/>
  <c r="AH142" i="8"/>
  <c r="AI142" i="8"/>
  <c r="AI153" i="8" s="1"/>
  <c r="AJ142" i="8"/>
  <c r="AK142" i="8"/>
  <c r="AL142" i="8"/>
  <c r="AM142" i="8"/>
  <c r="AN142" i="8"/>
  <c r="AO142" i="8"/>
  <c r="AP142" i="8"/>
  <c r="AB153" i="8"/>
  <c r="AJ153" i="8"/>
  <c r="AD153" i="8"/>
  <c r="AL153" i="8"/>
  <c r="AE153" i="8"/>
  <c r="AM153" i="8"/>
  <c r="AF153" i="8"/>
  <c r="AN153" i="8"/>
  <c r="AG153" i="8"/>
  <c r="AA142" i="8"/>
  <c r="AA153" i="8" s="1"/>
  <c r="AC153" i="8"/>
  <c r="AK153" i="8"/>
  <c r="Z142" i="8" a="1"/>
  <c r="Z150" i="8" s="1"/>
  <c r="AA141" i="8" a="1"/>
  <c r="AN141" i="8" s="1"/>
  <c r="C10" i="1"/>
  <c r="C27" i="1"/>
  <c r="C79" i="15" l="1"/>
  <c r="C79" i="14" s="1"/>
  <c r="E79" i="14" s="1"/>
  <c r="G79" i="14" s="1"/>
  <c r="I79" i="14" s="1"/>
  <c r="K79" i="14" s="1"/>
  <c r="M79" i="14" s="1"/>
  <c r="O79" i="14" s="1"/>
  <c r="Q79" i="14" s="1"/>
  <c r="S79" i="14" s="1"/>
  <c r="U79" i="14" s="1"/>
  <c r="W79" i="14" s="1"/>
  <c r="Y79" i="14" s="1"/>
  <c r="AA79" i="14" s="1"/>
  <c r="AC79" i="14" s="1"/>
  <c r="AE79" i="14" s="1"/>
  <c r="AG79" i="14" s="1"/>
  <c r="C71" i="15"/>
  <c r="C71" i="14" s="1"/>
  <c r="E71" i="14" s="1"/>
  <c r="G71" i="14" s="1"/>
  <c r="I71" i="14" s="1"/>
  <c r="K71" i="14" s="1"/>
  <c r="M71" i="14" s="1"/>
  <c r="O71" i="14" s="1"/>
  <c r="Q71" i="14" s="1"/>
  <c r="S71" i="14" s="1"/>
  <c r="U71" i="14" s="1"/>
  <c r="W71" i="14" s="1"/>
  <c r="Y71" i="14" s="1"/>
  <c r="AA71" i="14" s="1"/>
  <c r="AC71" i="14" s="1"/>
  <c r="AE71" i="14" s="1"/>
  <c r="AG71" i="14" s="1"/>
  <c r="D79" i="15"/>
  <c r="D79" i="14" s="1"/>
  <c r="F79" i="14" s="1"/>
  <c r="H79" i="14" s="1"/>
  <c r="J79" i="14" s="1"/>
  <c r="L79" i="14" s="1"/>
  <c r="N79" i="14" s="1"/>
  <c r="P79" i="14" s="1"/>
  <c r="R79" i="14" s="1"/>
  <c r="T79" i="14" s="1"/>
  <c r="V79" i="14" s="1"/>
  <c r="X79" i="14" s="1"/>
  <c r="Z79" i="14" s="1"/>
  <c r="AB79" i="14" s="1"/>
  <c r="AD79" i="14" s="1"/>
  <c r="AF79" i="14" s="1"/>
  <c r="AH79" i="14" s="1"/>
  <c r="D71" i="15"/>
  <c r="D71" i="14" s="1"/>
  <c r="F71" i="14" s="1"/>
  <c r="H71" i="14" s="1"/>
  <c r="J71" i="14" s="1"/>
  <c r="L71" i="14" s="1"/>
  <c r="N71" i="14" s="1"/>
  <c r="P71" i="14" s="1"/>
  <c r="R71" i="14" s="1"/>
  <c r="T71" i="14" s="1"/>
  <c r="V71" i="14" s="1"/>
  <c r="X71" i="14" s="1"/>
  <c r="Z71" i="14" s="1"/>
  <c r="AB71" i="14" s="1"/>
  <c r="AD71" i="14" s="1"/>
  <c r="AF71" i="14" s="1"/>
  <c r="AH71" i="14" s="1"/>
  <c r="C78" i="15"/>
  <c r="C78" i="14" s="1"/>
  <c r="E78" i="14" s="1"/>
  <c r="G78" i="14" s="1"/>
  <c r="I78" i="14" s="1"/>
  <c r="K78" i="14" s="1"/>
  <c r="M78" i="14" s="1"/>
  <c r="O78" i="14" s="1"/>
  <c r="Q78" i="14" s="1"/>
  <c r="S78" i="14" s="1"/>
  <c r="U78" i="14" s="1"/>
  <c r="W78" i="14" s="1"/>
  <c r="Y78" i="14" s="1"/>
  <c r="AA78" i="14" s="1"/>
  <c r="AC78" i="14" s="1"/>
  <c r="AE78" i="14" s="1"/>
  <c r="AG78" i="14" s="1"/>
  <c r="C70" i="14"/>
  <c r="E70" i="14" s="1"/>
  <c r="G70" i="14" s="1"/>
  <c r="I70" i="14" s="1"/>
  <c r="K70" i="14" s="1"/>
  <c r="M70" i="14" s="1"/>
  <c r="O70" i="14" s="1"/>
  <c r="Q70" i="14" s="1"/>
  <c r="S70" i="14" s="1"/>
  <c r="U70" i="14" s="1"/>
  <c r="W70" i="14" s="1"/>
  <c r="Y70" i="14" s="1"/>
  <c r="AA70" i="14" s="1"/>
  <c r="AC70" i="14" s="1"/>
  <c r="AE70" i="14" s="1"/>
  <c r="AG70" i="14" s="1"/>
  <c r="C70" i="15"/>
  <c r="D72" i="15"/>
  <c r="D72" i="14" s="1"/>
  <c r="F72" i="14" s="1"/>
  <c r="H72" i="14" s="1"/>
  <c r="J72" i="14" s="1"/>
  <c r="L72" i="14" s="1"/>
  <c r="N72" i="14" s="1"/>
  <c r="P72" i="14" s="1"/>
  <c r="R72" i="14" s="1"/>
  <c r="T72" i="14" s="1"/>
  <c r="V72" i="14" s="1"/>
  <c r="X72" i="14" s="1"/>
  <c r="Z72" i="14" s="1"/>
  <c r="AB72" i="14" s="1"/>
  <c r="AD72" i="14" s="1"/>
  <c r="AF72" i="14" s="1"/>
  <c r="AH72" i="14" s="1"/>
  <c r="C77" i="15"/>
  <c r="C77" i="14" s="1"/>
  <c r="E77" i="14" s="1"/>
  <c r="G77" i="14" s="1"/>
  <c r="I77" i="14" s="1"/>
  <c r="K77" i="14" s="1"/>
  <c r="M77" i="14" s="1"/>
  <c r="O77" i="14" s="1"/>
  <c r="Q77" i="14" s="1"/>
  <c r="S77" i="14" s="1"/>
  <c r="U77" i="14" s="1"/>
  <c r="W77" i="14" s="1"/>
  <c r="Y77" i="14" s="1"/>
  <c r="AA77" i="14" s="1"/>
  <c r="AC77" i="14" s="1"/>
  <c r="AE77" i="14" s="1"/>
  <c r="AG77" i="14" s="1"/>
  <c r="D73" i="15"/>
  <c r="D73" i="14" s="1"/>
  <c r="F73" i="14" s="1"/>
  <c r="H73" i="14" s="1"/>
  <c r="J73" i="14" s="1"/>
  <c r="L73" i="14" s="1"/>
  <c r="N73" i="14" s="1"/>
  <c r="P73" i="14" s="1"/>
  <c r="R73" i="14" s="1"/>
  <c r="T73" i="14" s="1"/>
  <c r="V73" i="14" s="1"/>
  <c r="X73" i="14" s="1"/>
  <c r="Z73" i="14" s="1"/>
  <c r="AB73" i="14" s="1"/>
  <c r="AD73" i="14" s="1"/>
  <c r="AF73" i="14" s="1"/>
  <c r="AH73" i="14" s="1"/>
  <c r="C76" i="15"/>
  <c r="C76" i="14" s="1"/>
  <c r="E76" i="14" s="1"/>
  <c r="G76" i="14" s="1"/>
  <c r="I76" i="14" s="1"/>
  <c r="K76" i="14" s="1"/>
  <c r="M76" i="14" s="1"/>
  <c r="O76" i="14" s="1"/>
  <c r="Q76" i="14" s="1"/>
  <c r="S76" i="14" s="1"/>
  <c r="U76" i="14" s="1"/>
  <c r="W76" i="14" s="1"/>
  <c r="Y76" i="14" s="1"/>
  <c r="AA76" i="14" s="1"/>
  <c r="AC76" i="14" s="1"/>
  <c r="AE76" i="14" s="1"/>
  <c r="AG76" i="14" s="1"/>
  <c r="D74" i="15"/>
  <c r="D74" i="14"/>
  <c r="F74" i="14" s="1"/>
  <c r="H74" i="14" s="1"/>
  <c r="J74" i="14" s="1"/>
  <c r="L74" i="14" s="1"/>
  <c r="N74" i="14" s="1"/>
  <c r="P74" i="14" s="1"/>
  <c r="R74" i="14" s="1"/>
  <c r="T74" i="14" s="1"/>
  <c r="V74" i="14" s="1"/>
  <c r="X74" i="14" s="1"/>
  <c r="Z74" i="14" s="1"/>
  <c r="AB74" i="14" s="1"/>
  <c r="AD74" i="14" s="1"/>
  <c r="AF74" i="14" s="1"/>
  <c r="AH74" i="14" s="1"/>
  <c r="C75" i="14"/>
  <c r="E75" i="14" s="1"/>
  <c r="G75" i="14" s="1"/>
  <c r="I75" i="14" s="1"/>
  <c r="K75" i="14" s="1"/>
  <c r="M75" i="14" s="1"/>
  <c r="O75" i="14" s="1"/>
  <c r="Q75" i="14" s="1"/>
  <c r="S75" i="14" s="1"/>
  <c r="U75" i="14" s="1"/>
  <c r="W75" i="14" s="1"/>
  <c r="Y75" i="14" s="1"/>
  <c r="AA75" i="14" s="1"/>
  <c r="AC75" i="14" s="1"/>
  <c r="AE75" i="14" s="1"/>
  <c r="AG75" i="14" s="1"/>
  <c r="C75" i="15"/>
  <c r="D75" i="15"/>
  <c r="D75" i="14" s="1"/>
  <c r="F75" i="14" s="1"/>
  <c r="H75" i="14" s="1"/>
  <c r="J75" i="14" s="1"/>
  <c r="L75" i="14" s="1"/>
  <c r="N75" i="14" s="1"/>
  <c r="P75" i="14" s="1"/>
  <c r="R75" i="14" s="1"/>
  <c r="T75" i="14" s="1"/>
  <c r="V75" i="14" s="1"/>
  <c r="X75" i="14" s="1"/>
  <c r="Z75" i="14" s="1"/>
  <c r="AB75" i="14" s="1"/>
  <c r="AD75" i="14" s="1"/>
  <c r="AF75" i="14" s="1"/>
  <c r="AH75" i="14" s="1"/>
  <c r="C74" i="15"/>
  <c r="C74" i="14" s="1"/>
  <c r="E74" i="14" s="1"/>
  <c r="G74" i="14" s="1"/>
  <c r="I74" i="14" s="1"/>
  <c r="K74" i="14" s="1"/>
  <c r="M74" i="14" s="1"/>
  <c r="O74" i="14" s="1"/>
  <c r="Q74" i="14" s="1"/>
  <c r="S74" i="14" s="1"/>
  <c r="U74" i="14" s="1"/>
  <c r="W74" i="14" s="1"/>
  <c r="Y74" i="14" s="1"/>
  <c r="AA74" i="14" s="1"/>
  <c r="AC74" i="14" s="1"/>
  <c r="AE74" i="14" s="1"/>
  <c r="AG74" i="14" s="1"/>
  <c r="D76" i="15"/>
  <c r="D76" i="14"/>
  <c r="F76" i="14" s="1"/>
  <c r="H76" i="14" s="1"/>
  <c r="J76" i="14" s="1"/>
  <c r="L76" i="14" s="1"/>
  <c r="N76" i="14" s="1"/>
  <c r="P76" i="14" s="1"/>
  <c r="R76" i="14" s="1"/>
  <c r="T76" i="14" s="1"/>
  <c r="V76" i="14" s="1"/>
  <c r="X76" i="14" s="1"/>
  <c r="Z76" i="14" s="1"/>
  <c r="AB76" i="14" s="1"/>
  <c r="AD76" i="14" s="1"/>
  <c r="AF76" i="14" s="1"/>
  <c r="AH76" i="14" s="1"/>
  <c r="D88" i="14"/>
  <c r="F88" i="14" s="1"/>
  <c r="H88" i="14" s="1"/>
  <c r="J88" i="14" s="1"/>
  <c r="L88" i="14" s="1"/>
  <c r="N88" i="14" s="1"/>
  <c r="P88" i="14" s="1"/>
  <c r="R88" i="14" s="1"/>
  <c r="T88" i="14" s="1"/>
  <c r="V88" i="14" s="1"/>
  <c r="X88" i="14" s="1"/>
  <c r="Z88" i="14" s="1"/>
  <c r="AB88" i="14" s="1"/>
  <c r="AD88" i="14" s="1"/>
  <c r="AF88" i="14" s="1"/>
  <c r="AH88" i="14" s="1"/>
  <c r="D87" i="14"/>
  <c r="F87" i="14" s="1"/>
  <c r="H87" i="14" s="1"/>
  <c r="J87" i="14" s="1"/>
  <c r="L87" i="14" s="1"/>
  <c r="N87" i="14" s="1"/>
  <c r="P87" i="14" s="1"/>
  <c r="R87" i="14" s="1"/>
  <c r="T87" i="14" s="1"/>
  <c r="V87" i="14" s="1"/>
  <c r="X87" i="14" s="1"/>
  <c r="Z87" i="14" s="1"/>
  <c r="AB87" i="14" s="1"/>
  <c r="AD87" i="14" s="1"/>
  <c r="AF87" i="14" s="1"/>
  <c r="AH87" i="14" s="1"/>
  <c r="D86" i="14"/>
  <c r="F86" i="14" s="1"/>
  <c r="H86" i="14" s="1"/>
  <c r="J86" i="14" s="1"/>
  <c r="L86" i="14" s="1"/>
  <c r="N86" i="14" s="1"/>
  <c r="P86" i="14" s="1"/>
  <c r="R86" i="14" s="1"/>
  <c r="T86" i="14" s="1"/>
  <c r="V86" i="14" s="1"/>
  <c r="X86" i="14" s="1"/>
  <c r="Z86" i="14" s="1"/>
  <c r="AB86" i="14" s="1"/>
  <c r="AD86" i="14" s="1"/>
  <c r="AF86" i="14" s="1"/>
  <c r="AH86" i="14" s="1"/>
  <c r="D86" i="15"/>
  <c r="D85" i="15"/>
  <c r="D85" i="14"/>
  <c r="F85" i="14" s="1"/>
  <c r="H85" i="14" s="1"/>
  <c r="J85" i="14" s="1"/>
  <c r="L85" i="14" s="1"/>
  <c r="N85" i="14" s="1"/>
  <c r="P85" i="14" s="1"/>
  <c r="R85" i="14" s="1"/>
  <c r="T85" i="14" s="1"/>
  <c r="V85" i="14" s="1"/>
  <c r="X85" i="14" s="1"/>
  <c r="Z85" i="14" s="1"/>
  <c r="AB85" i="14" s="1"/>
  <c r="AD85" i="14" s="1"/>
  <c r="AF85" i="14" s="1"/>
  <c r="AH85" i="14" s="1"/>
  <c r="D84" i="14"/>
  <c r="F84" i="14" s="1"/>
  <c r="H84" i="14" s="1"/>
  <c r="J84" i="14" s="1"/>
  <c r="L84" i="14" s="1"/>
  <c r="N84" i="14" s="1"/>
  <c r="P84" i="14" s="1"/>
  <c r="R84" i="14" s="1"/>
  <c r="T84" i="14" s="1"/>
  <c r="V84" i="14" s="1"/>
  <c r="X84" i="14" s="1"/>
  <c r="Z84" i="14" s="1"/>
  <c r="AB84" i="14" s="1"/>
  <c r="AD84" i="14" s="1"/>
  <c r="AF84" i="14" s="1"/>
  <c r="AH84" i="14" s="1"/>
  <c r="D84" i="15"/>
  <c r="D83" i="15"/>
  <c r="D83" i="14"/>
  <c r="F83" i="14" s="1"/>
  <c r="H83" i="14" s="1"/>
  <c r="J83" i="14" s="1"/>
  <c r="L83" i="14" s="1"/>
  <c r="N83" i="14" s="1"/>
  <c r="P83" i="14" s="1"/>
  <c r="R83" i="14" s="1"/>
  <c r="T83" i="14" s="1"/>
  <c r="V83" i="14" s="1"/>
  <c r="X83" i="14" s="1"/>
  <c r="Z83" i="14" s="1"/>
  <c r="AB83" i="14" s="1"/>
  <c r="AD83" i="14" s="1"/>
  <c r="AF83" i="14" s="1"/>
  <c r="AH83" i="14" s="1"/>
  <c r="D82" i="14"/>
  <c r="F82" i="14" s="1"/>
  <c r="H82" i="14" s="1"/>
  <c r="J82" i="14" s="1"/>
  <c r="L82" i="14" s="1"/>
  <c r="N82" i="14" s="1"/>
  <c r="P82" i="14" s="1"/>
  <c r="R82" i="14" s="1"/>
  <c r="T82" i="14" s="1"/>
  <c r="V82" i="14" s="1"/>
  <c r="X82" i="14" s="1"/>
  <c r="Z82" i="14" s="1"/>
  <c r="AB82" i="14" s="1"/>
  <c r="AD82" i="14" s="1"/>
  <c r="AF82" i="14" s="1"/>
  <c r="AH82" i="14" s="1"/>
  <c r="D82" i="15"/>
  <c r="D81" i="15"/>
  <c r="D81" i="14"/>
  <c r="F81" i="14" s="1"/>
  <c r="H81" i="14" s="1"/>
  <c r="J81" i="14" s="1"/>
  <c r="L81" i="14" s="1"/>
  <c r="N81" i="14" s="1"/>
  <c r="P81" i="14" s="1"/>
  <c r="R81" i="14" s="1"/>
  <c r="T81" i="14" s="1"/>
  <c r="V81" i="14" s="1"/>
  <c r="X81" i="14" s="1"/>
  <c r="Z81" i="14" s="1"/>
  <c r="AB81" i="14" s="1"/>
  <c r="AD81" i="14" s="1"/>
  <c r="AF81" i="14" s="1"/>
  <c r="AH81" i="14" s="1"/>
  <c r="D90" i="15"/>
  <c r="D90" i="14" s="1"/>
  <c r="F90" i="14" s="1"/>
  <c r="H90" i="14" s="1"/>
  <c r="J90" i="14" s="1"/>
  <c r="L90" i="14" s="1"/>
  <c r="N90" i="14" s="1"/>
  <c r="P90" i="14" s="1"/>
  <c r="R90" i="14" s="1"/>
  <c r="T90" i="14" s="1"/>
  <c r="V90" i="14" s="1"/>
  <c r="X90" i="14" s="1"/>
  <c r="Z90" i="14" s="1"/>
  <c r="AB90" i="14" s="1"/>
  <c r="AD90" i="14" s="1"/>
  <c r="AF90" i="14" s="1"/>
  <c r="AH90" i="14" s="1"/>
  <c r="D89" i="15"/>
  <c r="D89" i="14" s="1"/>
  <c r="F89" i="14" s="1"/>
  <c r="H89" i="14" s="1"/>
  <c r="J89" i="14" s="1"/>
  <c r="L89" i="14" s="1"/>
  <c r="N89" i="14" s="1"/>
  <c r="P89" i="14" s="1"/>
  <c r="R89" i="14" s="1"/>
  <c r="T89" i="14" s="1"/>
  <c r="V89" i="14" s="1"/>
  <c r="X89" i="14" s="1"/>
  <c r="Z89" i="14" s="1"/>
  <c r="AB89" i="14" s="1"/>
  <c r="AD89" i="14" s="1"/>
  <c r="AF89" i="14" s="1"/>
  <c r="AH89" i="14" s="1"/>
  <c r="C73" i="15"/>
  <c r="C73" i="14" s="1"/>
  <c r="E73" i="14" s="1"/>
  <c r="G73" i="14" s="1"/>
  <c r="I73" i="14" s="1"/>
  <c r="K73" i="14" s="1"/>
  <c r="M73" i="14" s="1"/>
  <c r="O73" i="14" s="1"/>
  <c r="Q73" i="14" s="1"/>
  <c r="S73" i="14" s="1"/>
  <c r="U73" i="14" s="1"/>
  <c r="W73" i="14" s="1"/>
  <c r="Y73" i="14" s="1"/>
  <c r="AA73" i="14" s="1"/>
  <c r="AC73" i="14" s="1"/>
  <c r="AE73" i="14" s="1"/>
  <c r="AG73" i="14" s="1"/>
  <c r="D77" i="14"/>
  <c r="F77" i="14" s="1"/>
  <c r="H77" i="14" s="1"/>
  <c r="J77" i="14" s="1"/>
  <c r="L77" i="14" s="1"/>
  <c r="N77" i="14" s="1"/>
  <c r="P77" i="14" s="1"/>
  <c r="R77" i="14" s="1"/>
  <c r="T77" i="14" s="1"/>
  <c r="V77" i="14" s="1"/>
  <c r="X77" i="14" s="1"/>
  <c r="Z77" i="14" s="1"/>
  <c r="AB77" i="14" s="1"/>
  <c r="AD77" i="14" s="1"/>
  <c r="AF77" i="14" s="1"/>
  <c r="AH77" i="14" s="1"/>
  <c r="D77" i="15"/>
  <c r="D69" i="14"/>
  <c r="F69" i="14" s="1"/>
  <c r="H69" i="14" s="1"/>
  <c r="J69" i="14" s="1"/>
  <c r="L69" i="14" s="1"/>
  <c r="N69" i="14" s="1"/>
  <c r="P69" i="14" s="1"/>
  <c r="R69" i="14" s="1"/>
  <c r="T69" i="14" s="1"/>
  <c r="V69" i="14" s="1"/>
  <c r="X69" i="14" s="1"/>
  <c r="Z69" i="14" s="1"/>
  <c r="AB69" i="14" s="1"/>
  <c r="AD69" i="14" s="1"/>
  <c r="AF69" i="14" s="1"/>
  <c r="AH69" i="14" s="1"/>
  <c r="D80" i="14"/>
  <c r="F80" i="14" s="1"/>
  <c r="H80" i="14" s="1"/>
  <c r="J80" i="14" s="1"/>
  <c r="L80" i="14" s="1"/>
  <c r="N80" i="14" s="1"/>
  <c r="P80" i="14" s="1"/>
  <c r="R80" i="14" s="1"/>
  <c r="T80" i="14" s="1"/>
  <c r="V80" i="14" s="1"/>
  <c r="X80" i="14" s="1"/>
  <c r="Z80" i="14" s="1"/>
  <c r="AB80" i="14" s="1"/>
  <c r="AD80" i="14" s="1"/>
  <c r="AF80" i="14" s="1"/>
  <c r="AH80" i="14" s="1"/>
  <c r="D80" i="15"/>
  <c r="C88" i="14"/>
  <c r="E88" i="14" s="1"/>
  <c r="G88" i="14" s="1"/>
  <c r="I88" i="14" s="1"/>
  <c r="K88" i="14" s="1"/>
  <c r="M88" i="14" s="1"/>
  <c r="O88" i="14" s="1"/>
  <c r="Q88" i="14" s="1"/>
  <c r="S88" i="14" s="1"/>
  <c r="U88" i="14" s="1"/>
  <c r="W88" i="14" s="1"/>
  <c r="Y88" i="14" s="1"/>
  <c r="AA88" i="14" s="1"/>
  <c r="AC88" i="14" s="1"/>
  <c r="AE88" i="14" s="1"/>
  <c r="AG88" i="14" s="1"/>
  <c r="C87" i="15"/>
  <c r="C87" i="14" s="1"/>
  <c r="E87" i="14" s="1"/>
  <c r="G87" i="14" s="1"/>
  <c r="I87" i="14" s="1"/>
  <c r="K87" i="14" s="1"/>
  <c r="M87" i="14" s="1"/>
  <c r="O87" i="14" s="1"/>
  <c r="Q87" i="14" s="1"/>
  <c r="S87" i="14" s="1"/>
  <c r="U87" i="14" s="1"/>
  <c r="W87" i="14" s="1"/>
  <c r="Y87" i="14" s="1"/>
  <c r="AA87" i="14" s="1"/>
  <c r="AC87" i="14" s="1"/>
  <c r="AE87" i="14" s="1"/>
  <c r="AG87" i="14" s="1"/>
  <c r="C86" i="15"/>
  <c r="C86" i="14" s="1"/>
  <c r="E86" i="14" s="1"/>
  <c r="G86" i="14" s="1"/>
  <c r="I86" i="14" s="1"/>
  <c r="K86" i="14" s="1"/>
  <c r="M86" i="14" s="1"/>
  <c r="O86" i="14" s="1"/>
  <c r="Q86" i="14" s="1"/>
  <c r="S86" i="14" s="1"/>
  <c r="U86" i="14" s="1"/>
  <c r="W86" i="14" s="1"/>
  <c r="Y86" i="14" s="1"/>
  <c r="AA86" i="14" s="1"/>
  <c r="AC86" i="14" s="1"/>
  <c r="AE86" i="14" s="1"/>
  <c r="AG86" i="14" s="1"/>
  <c r="C85" i="15"/>
  <c r="C85" i="14" s="1"/>
  <c r="E85" i="14" s="1"/>
  <c r="G85" i="14" s="1"/>
  <c r="I85" i="14" s="1"/>
  <c r="K85" i="14" s="1"/>
  <c r="M85" i="14" s="1"/>
  <c r="O85" i="14" s="1"/>
  <c r="Q85" i="14" s="1"/>
  <c r="S85" i="14" s="1"/>
  <c r="U85" i="14" s="1"/>
  <c r="W85" i="14" s="1"/>
  <c r="Y85" i="14" s="1"/>
  <c r="AA85" i="14" s="1"/>
  <c r="AC85" i="14" s="1"/>
  <c r="AE85" i="14" s="1"/>
  <c r="AG85" i="14" s="1"/>
  <c r="C84" i="15"/>
  <c r="C84" i="14" s="1"/>
  <c r="E84" i="14" s="1"/>
  <c r="G84" i="14" s="1"/>
  <c r="I84" i="14" s="1"/>
  <c r="K84" i="14" s="1"/>
  <c r="M84" i="14" s="1"/>
  <c r="O84" i="14" s="1"/>
  <c r="Q84" i="14" s="1"/>
  <c r="S84" i="14" s="1"/>
  <c r="U84" i="14" s="1"/>
  <c r="W84" i="14" s="1"/>
  <c r="Y84" i="14" s="1"/>
  <c r="AA84" i="14" s="1"/>
  <c r="AC84" i="14" s="1"/>
  <c r="AE84" i="14" s="1"/>
  <c r="AG84" i="14" s="1"/>
  <c r="C83" i="15"/>
  <c r="C83" i="14" s="1"/>
  <c r="E83" i="14" s="1"/>
  <c r="G83" i="14" s="1"/>
  <c r="I83" i="14" s="1"/>
  <c r="K83" i="14" s="1"/>
  <c r="M83" i="14" s="1"/>
  <c r="O83" i="14" s="1"/>
  <c r="Q83" i="14" s="1"/>
  <c r="S83" i="14" s="1"/>
  <c r="U83" i="14" s="1"/>
  <c r="W83" i="14" s="1"/>
  <c r="Y83" i="14" s="1"/>
  <c r="AA83" i="14" s="1"/>
  <c r="AC83" i="14" s="1"/>
  <c r="AE83" i="14" s="1"/>
  <c r="AG83" i="14" s="1"/>
  <c r="C82" i="15"/>
  <c r="C82" i="14" s="1"/>
  <c r="E82" i="14" s="1"/>
  <c r="G82" i="14" s="1"/>
  <c r="I82" i="14" s="1"/>
  <c r="K82" i="14" s="1"/>
  <c r="M82" i="14" s="1"/>
  <c r="O82" i="14" s="1"/>
  <c r="Q82" i="14" s="1"/>
  <c r="S82" i="14" s="1"/>
  <c r="U82" i="14" s="1"/>
  <c r="W82" i="14" s="1"/>
  <c r="Y82" i="14" s="1"/>
  <c r="AA82" i="14" s="1"/>
  <c r="AC82" i="14" s="1"/>
  <c r="AE82" i="14" s="1"/>
  <c r="AG82" i="14" s="1"/>
  <c r="C81" i="15"/>
  <c r="C81" i="14" s="1"/>
  <c r="E81" i="14" s="1"/>
  <c r="G81" i="14" s="1"/>
  <c r="I81" i="14" s="1"/>
  <c r="K81" i="14" s="1"/>
  <c r="M81" i="14" s="1"/>
  <c r="O81" i="14" s="1"/>
  <c r="Q81" i="14" s="1"/>
  <c r="S81" i="14" s="1"/>
  <c r="U81" i="14" s="1"/>
  <c r="W81" i="14" s="1"/>
  <c r="Y81" i="14" s="1"/>
  <c r="AA81" i="14" s="1"/>
  <c r="AC81" i="14" s="1"/>
  <c r="AE81" i="14" s="1"/>
  <c r="AG81" i="14" s="1"/>
  <c r="D69" i="15"/>
  <c r="C90" i="15"/>
  <c r="C90" i="14" s="1"/>
  <c r="E90" i="14" s="1"/>
  <c r="G90" i="14" s="1"/>
  <c r="I90" i="14" s="1"/>
  <c r="K90" i="14" s="1"/>
  <c r="M90" i="14" s="1"/>
  <c r="O90" i="14" s="1"/>
  <c r="Q90" i="14" s="1"/>
  <c r="S90" i="14" s="1"/>
  <c r="U90" i="14" s="1"/>
  <c r="W90" i="14" s="1"/>
  <c r="Y90" i="14" s="1"/>
  <c r="AA90" i="14" s="1"/>
  <c r="AC90" i="14" s="1"/>
  <c r="AE90" i="14" s="1"/>
  <c r="AG90" i="14" s="1"/>
  <c r="C89" i="15"/>
  <c r="C89" i="14" s="1"/>
  <c r="E89" i="14" s="1"/>
  <c r="G89" i="14" s="1"/>
  <c r="I89" i="14" s="1"/>
  <c r="K89" i="14" s="1"/>
  <c r="M89" i="14" s="1"/>
  <c r="O89" i="14" s="1"/>
  <c r="Q89" i="14" s="1"/>
  <c r="S89" i="14" s="1"/>
  <c r="U89" i="14" s="1"/>
  <c r="W89" i="14" s="1"/>
  <c r="Y89" i="14" s="1"/>
  <c r="AA89" i="14" s="1"/>
  <c r="AC89" i="14" s="1"/>
  <c r="AE89" i="14" s="1"/>
  <c r="AG89" i="14" s="1"/>
  <c r="C72" i="15"/>
  <c r="C72" i="14" s="1"/>
  <c r="E72" i="14" s="1"/>
  <c r="G72" i="14" s="1"/>
  <c r="I72" i="14" s="1"/>
  <c r="K72" i="14" s="1"/>
  <c r="M72" i="14" s="1"/>
  <c r="O72" i="14" s="1"/>
  <c r="Q72" i="14" s="1"/>
  <c r="S72" i="14" s="1"/>
  <c r="U72" i="14" s="1"/>
  <c r="W72" i="14" s="1"/>
  <c r="Y72" i="14" s="1"/>
  <c r="AA72" i="14" s="1"/>
  <c r="AC72" i="14" s="1"/>
  <c r="AE72" i="14" s="1"/>
  <c r="AG72" i="14" s="1"/>
  <c r="D78" i="14"/>
  <c r="F78" i="14" s="1"/>
  <c r="H78" i="14" s="1"/>
  <c r="J78" i="14" s="1"/>
  <c r="L78" i="14" s="1"/>
  <c r="N78" i="14" s="1"/>
  <c r="P78" i="14" s="1"/>
  <c r="R78" i="14" s="1"/>
  <c r="T78" i="14" s="1"/>
  <c r="V78" i="14" s="1"/>
  <c r="X78" i="14" s="1"/>
  <c r="Z78" i="14" s="1"/>
  <c r="AB78" i="14" s="1"/>
  <c r="AD78" i="14" s="1"/>
  <c r="AF78" i="14" s="1"/>
  <c r="AH78" i="14" s="1"/>
  <c r="D78" i="15"/>
  <c r="D70" i="15"/>
  <c r="D70" i="14" s="1"/>
  <c r="F70" i="14" s="1"/>
  <c r="H70" i="14" s="1"/>
  <c r="J70" i="14" s="1"/>
  <c r="L70" i="14" s="1"/>
  <c r="N70" i="14" s="1"/>
  <c r="P70" i="14" s="1"/>
  <c r="R70" i="14" s="1"/>
  <c r="T70" i="14" s="1"/>
  <c r="V70" i="14" s="1"/>
  <c r="X70" i="14" s="1"/>
  <c r="Z70" i="14" s="1"/>
  <c r="AB70" i="14" s="1"/>
  <c r="AD70" i="14" s="1"/>
  <c r="AF70" i="14" s="1"/>
  <c r="AH70" i="14" s="1"/>
  <c r="C80" i="14"/>
  <c r="E80" i="14" s="1"/>
  <c r="G80" i="14" s="1"/>
  <c r="I80" i="14" s="1"/>
  <c r="K80" i="14" s="1"/>
  <c r="M80" i="14" s="1"/>
  <c r="O80" i="14" s="1"/>
  <c r="Q80" i="14" s="1"/>
  <c r="S80" i="14" s="1"/>
  <c r="U80" i="14" s="1"/>
  <c r="W80" i="14" s="1"/>
  <c r="Y80" i="14" s="1"/>
  <c r="AA80" i="14" s="1"/>
  <c r="AC80" i="14" s="1"/>
  <c r="AE80" i="14" s="1"/>
  <c r="AG80" i="14" s="1"/>
  <c r="C80" i="15"/>
  <c r="C69" i="15"/>
  <c r="C69" i="14" s="1"/>
  <c r="E69" i="14" s="1"/>
  <c r="G69" i="14" s="1"/>
  <c r="I69" i="14" s="1"/>
  <c r="K69" i="14" s="1"/>
  <c r="M69" i="14" s="1"/>
  <c r="O69" i="14" s="1"/>
  <c r="Q69" i="14" s="1"/>
  <c r="S69" i="14" s="1"/>
  <c r="U69" i="14" s="1"/>
  <c r="W69" i="14" s="1"/>
  <c r="Y69" i="14" s="1"/>
  <c r="AA69" i="14" s="1"/>
  <c r="AC69" i="14" s="1"/>
  <c r="AE69" i="14" s="1"/>
  <c r="AG69" i="14" s="1"/>
  <c r="AE161" i="8"/>
  <c r="AM161" i="8"/>
  <c r="Z165" i="8"/>
  <c r="AF161" i="8"/>
  <c r="AN161" i="8"/>
  <c r="Z166" i="8"/>
  <c r="AH161" i="8"/>
  <c r="AP161" i="8"/>
  <c r="Z168" i="8"/>
  <c r="Z169" i="8"/>
  <c r="AG161" i="8"/>
  <c r="AA161" i="8"/>
  <c r="AI161" i="8"/>
  <c r="AB161" i="8"/>
  <c r="AJ161" i="8"/>
  <c r="Z162" i="8"/>
  <c r="Z170" i="8"/>
  <c r="Z167" i="8"/>
  <c r="AC161" i="8"/>
  <c r="AK161" i="8"/>
  <c r="Z163" i="8"/>
  <c r="Z171" i="8"/>
  <c r="AO161" i="8"/>
  <c r="AD161" i="8"/>
  <c r="Z164" i="8"/>
  <c r="Z143" i="8"/>
  <c r="Z152" i="8"/>
  <c r="Z145" i="8"/>
  <c r="Z148" i="8"/>
  <c r="Z144" i="8"/>
  <c r="Z146" i="8"/>
  <c r="Z151" i="8"/>
  <c r="Z147" i="8"/>
  <c r="Z149" i="8"/>
  <c r="Z142" i="8"/>
  <c r="AH141" i="8"/>
  <c r="AP141" i="8"/>
  <c r="AA141" i="8"/>
  <c r="AI141" i="8"/>
  <c r="AB141" i="8"/>
  <c r="AJ141" i="8"/>
  <c r="AG141" i="8"/>
  <c r="AC141" i="8"/>
  <c r="AL141" i="8"/>
  <c r="AE141" i="8"/>
  <c r="AM141" i="8"/>
  <c r="AO141" i="8"/>
  <c r="AK141" i="8"/>
  <c r="AD141" i="8"/>
  <c r="AF141" i="8"/>
  <c r="B68" i="20" l="1"/>
  <c r="A68" i="20"/>
  <c r="B67" i="20"/>
  <c r="A67" i="20"/>
  <c r="B66" i="20"/>
  <c r="A66" i="20"/>
  <c r="B65" i="20"/>
  <c r="A65" i="20"/>
  <c r="B64" i="20"/>
  <c r="A64" i="20"/>
  <c r="B63" i="20"/>
  <c r="A63" i="20"/>
  <c r="B62" i="20"/>
  <c r="A62" i="20"/>
  <c r="B61" i="20"/>
  <c r="A61" i="20"/>
  <c r="B60" i="20"/>
  <c r="A60" i="20"/>
  <c r="B59" i="20"/>
  <c r="A59" i="20"/>
  <c r="B58" i="20"/>
  <c r="A58" i="20"/>
  <c r="B57" i="20"/>
  <c r="A57" i="20"/>
  <c r="B56" i="20"/>
  <c r="A56" i="20"/>
  <c r="B55" i="20"/>
  <c r="A55" i="20"/>
  <c r="B54" i="20"/>
  <c r="A54" i="20"/>
  <c r="B53" i="20"/>
  <c r="A53" i="20"/>
  <c r="B52" i="20"/>
  <c r="A52" i="20"/>
  <c r="B51" i="20"/>
  <c r="A51" i="20"/>
  <c r="B50" i="20"/>
  <c r="A50" i="20"/>
  <c r="B49" i="20"/>
  <c r="A49" i="20"/>
  <c r="B48" i="20"/>
  <c r="A48" i="20"/>
  <c r="B47" i="20"/>
  <c r="A47" i="20"/>
  <c r="B46" i="20"/>
  <c r="A46" i="20"/>
  <c r="B45" i="20"/>
  <c r="A45" i="20"/>
  <c r="B44" i="20"/>
  <c r="A44" i="20"/>
  <c r="B43" i="20"/>
  <c r="A43" i="20"/>
  <c r="B42" i="20"/>
  <c r="A42" i="20"/>
  <c r="B41" i="20"/>
  <c r="A41" i="20"/>
  <c r="B40" i="20"/>
  <c r="A40" i="20"/>
  <c r="B39" i="20"/>
  <c r="A39" i="20"/>
  <c r="B38" i="20"/>
  <c r="A38" i="20"/>
  <c r="B37" i="20"/>
  <c r="A37" i="20"/>
  <c r="B36" i="20"/>
  <c r="A36" i="20"/>
  <c r="B35" i="20"/>
  <c r="A35" i="20"/>
  <c r="B34" i="20"/>
  <c r="A34" i="20"/>
  <c r="B33" i="20"/>
  <c r="A33" i="20"/>
  <c r="B32" i="20"/>
  <c r="A32" i="20"/>
  <c r="B31" i="20"/>
  <c r="A31" i="20"/>
  <c r="B30" i="20"/>
  <c r="A30" i="20"/>
  <c r="B29" i="20"/>
  <c r="A29" i="20"/>
  <c r="B28" i="20"/>
  <c r="A28" i="20"/>
  <c r="B27" i="20"/>
  <c r="A27" i="20"/>
  <c r="B26" i="20"/>
  <c r="A26" i="20"/>
  <c r="B25" i="20"/>
  <c r="A25" i="20"/>
  <c r="B24" i="20"/>
  <c r="A24" i="20"/>
  <c r="B23" i="20"/>
  <c r="A23" i="20"/>
  <c r="B22" i="20"/>
  <c r="A22" i="20"/>
  <c r="B21" i="20"/>
  <c r="A21" i="20"/>
  <c r="B20" i="20"/>
  <c r="A20" i="20"/>
  <c r="B19" i="20"/>
  <c r="A19" i="20"/>
  <c r="B18" i="20"/>
  <c r="A18" i="20"/>
  <c r="B17" i="20"/>
  <c r="A17" i="20"/>
  <c r="B16" i="20"/>
  <c r="A16" i="20"/>
  <c r="B15" i="20"/>
  <c r="A15" i="20"/>
  <c r="B14" i="20"/>
  <c r="A14" i="20"/>
  <c r="B13" i="20"/>
  <c r="A13" i="20"/>
  <c r="B12" i="20"/>
  <c r="A12" i="20"/>
  <c r="B11" i="20"/>
  <c r="A11" i="20"/>
  <c r="B10" i="20"/>
  <c r="A10" i="20"/>
  <c r="B9" i="20"/>
  <c r="A9" i="20"/>
  <c r="B8" i="20"/>
  <c r="A8" i="20"/>
  <c r="B7" i="20"/>
  <c r="A7" i="20"/>
  <c r="B6" i="20"/>
  <c r="A6" i="20"/>
  <c r="B5" i="20"/>
  <c r="A5" i="20"/>
  <c r="B4" i="20"/>
  <c r="A4" i="20"/>
  <c r="B3" i="20"/>
  <c r="A3" i="20"/>
  <c r="F2" i="20"/>
  <c r="H2" i="20" s="1"/>
  <c r="J2" i="20" s="1"/>
  <c r="L2" i="20" s="1"/>
  <c r="N2" i="20" s="1"/>
  <c r="P2" i="20" s="1"/>
  <c r="R2" i="20" s="1"/>
  <c r="T2" i="20" s="1"/>
  <c r="V2" i="20" s="1"/>
  <c r="X2" i="20" s="1"/>
  <c r="Z2" i="20" s="1"/>
  <c r="AB2" i="20" s="1"/>
  <c r="AD2" i="20" s="1"/>
  <c r="AF2" i="20" s="1"/>
  <c r="AH2" i="20" s="1"/>
  <c r="E2" i="20"/>
  <c r="G2" i="20" s="1"/>
  <c r="I2" i="20" s="1"/>
  <c r="K2" i="20" s="1"/>
  <c r="M2" i="20" s="1"/>
  <c r="O2" i="20" s="1"/>
  <c r="Q2" i="20" s="1"/>
  <c r="S2" i="20" s="1"/>
  <c r="U2" i="20" s="1"/>
  <c r="W2" i="20" s="1"/>
  <c r="Y2" i="20" s="1"/>
  <c r="AA2" i="20" s="1"/>
  <c r="AC2" i="20" s="1"/>
  <c r="AE2" i="20" s="1"/>
  <c r="AG2" i="20" s="1"/>
  <c r="D1" i="20"/>
  <c r="F1" i="20" s="1"/>
  <c r="H1" i="20" s="1"/>
  <c r="J1" i="20" s="1"/>
  <c r="L1" i="20" s="1"/>
  <c r="N1" i="20" s="1"/>
  <c r="P1" i="20" s="1"/>
  <c r="R1" i="20" s="1"/>
  <c r="T1" i="20" s="1"/>
  <c r="V1" i="20" s="1"/>
  <c r="X1" i="20" s="1"/>
  <c r="Z1" i="20" s="1"/>
  <c r="AB1" i="20" s="1"/>
  <c r="AD1" i="20" s="1"/>
  <c r="AF1" i="20" s="1"/>
  <c r="AH1" i="20" s="1"/>
  <c r="C1" i="20"/>
  <c r="E1" i="20" s="1"/>
  <c r="G1" i="20" s="1"/>
  <c r="I1" i="20" s="1"/>
  <c r="K1" i="20" s="1"/>
  <c r="M1" i="20" s="1"/>
  <c r="O1" i="20" s="1"/>
  <c r="Q1" i="20" s="1"/>
  <c r="S1" i="20" s="1"/>
  <c r="U1" i="20" s="1"/>
  <c r="W1" i="20" s="1"/>
  <c r="Y1" i="20" s="1"/>
  <c r="AA1" i="20" s="1"/>
  <c r="AC1" i="20" s="1"/>
  <c r="AE1" i="20" s="1"/>
  <c r="AG1" i="20" s="1"/>
  <c r="C1" i="20" a="1"/>
  <c r="B68" i="19"/>
  <c r="A68" i="19"/>
  <c r="B67" i="19"/>
  <c r="A67" i="19"/>
  <c r="B66" i="19"/>
  <c r="A66" i="19"/>
  <c r="B65" i="19"/>
  <c r="A65" i="19"/>
  <c r="B64" i="19"/>
  <c r="A64" i="19"/>
  <c r="B63" i="19"/>
  <c r="A63" i="19"/>
  <c r="B62" i="19"/>
  <c r="A62" i="19"/>
  <c r="B61" i="19"/>
  <c r="A61" i="19"/>
  <c r="B60" i="19"/>
  <c r="A60" i="19"/>
  <c r="B59" i="19"/>
  <c r="A59" i="19"/>
  <c r="B58" i="19"/>
  <c r="A58" i="19"/>
  <c r="B57" i="19"/>
  <c r="A57" i="19"/>
  <c r="B56" i="19"/>
  <c r="A56" i="19"/>
  <c r="B55" i="19"/>
  <c r="A55" i="19"/>
  <c r="B54" i="19"/>
  <c r="A54" i="19"/>
  <c r="B53" i="19"/>
  <c r="A53" i="19"/>
  <c r="B52" i="19"/>
  <c r="A52" i="19"/>
  <c r="B51" i="19"/>
  <c r="A51" i="19"/>
  <c r="B50" i="19"/>
  <c r="A50" i="19"/>
  <c r="B49" i="19"/>
  <c r="A49" i="19"/>
  <c r="B48" i="19"/>
  <c r="A48" i="19"/>
  <c r="B47" i="19"/>
  <c r="A47" i="19"/>
  <c r="B46" i="19"/>
  <c r="A46" i="19"/>
  <c r="B45" i="19"/>
  <c r="A45" i="19"/>
  <c r="B44" i="19"/>
  <c r="A44" i="19"/>
  <c r="B43" i="19"/>
  <c r="A43" i="19"/>
  <c r="B42" i="19"/>
  <c r="A42" i="19"/>
  <c r="B41" i="19"/>
  <c r="A41" i="19"/>
  <c r="B40" i="19"/>
  <c r="A40" i="19"/>
  <c r="B39" i="19"/>
  <c r="A39" i="19"/>
  <c r="B38" i="19"/>
  <c r="A38" i="19"/>
  <c r="B37" i="19"/>
  <c r="A37" i="19"/>
  <c r="B36" i="19"/>
  <c r="A36" i="19"/>
  <c r="B35" i="19"/>
  <c r="A35" i="19"/>
  <c r="B34" i="19"/>
  <c r="A34" i="19"/>
  <c r="B33" i="19"/>
  <c r="A33" i="19"/>
  <c r="B32" i="19"/>
  <c r="A32" i="19"/>
  <c r="B31" i="19"/>
  <c r="A31" i="19"/>
  <c r="B30" i="19"/>
  <c r="A30" i="19"/>
  <c r="B29" i="19"/>
  <c r="A29" i="19"/>
  <c r="B28" i="19"/>
  <c r="A28" i="19"/>
  <c r="B27" i="19"/>
  <c r="A27" i="19"/>
  <c r="B26" i="19"/>
  <c r="A26" i="19"/>
  <c r="B25" i="19"/>
  <c r="A25" i="19"/>
  <c r="B24" i="19"/>
  <c r="A24" i="19"/>
  <c r="B23" i="19"/>
  <c r="A23" i="19"/>
  <c r="B22" i="19"/>
  <c r="A22" i="19"/>
  <c r="B21" i="19"/>
  <c r="A21" i="19"/>
  <c r="B20" i="19"/>
  <c r="A20" i="19"/>
  <c r="B19" i="19"/>
  <c r="A19" i="19"/>
  <c r="B18" i="19"/>
  <c r="A18" i="19"/>
  <c r="B17" i="19"/>
  <c r="A17" i="19"/>
  <c r="B16" i="19"/>
  <c r="A16" i="19"/>
  <c r="B15" i="19"/>
  <c r="A15" i="19"/>
  <c r="B14" i="19"/>
  <c r="A14" i="19"/>
  <c r="B13" i="19"/>
  <c r="A13" i="19"/>
  <c r="B12" i="19"/>
  <c r="A12" i="19"/>
  <c r="B11" i="19"/>
  <c r="A11" i="19"/>
  <c r="B10" i="19"/>
  <c r="A10" i="19"/>
  <c r="B9" i="19"/>
  <c r="A9" i="19"/>
  <c r="B8" i="19"/>
  <c r="A8" i="19"/>
  <c r="B7" i="19"/>
  <c r="A7" i="19"/>
  <c r="B6" i="19"/>
  <c r="A6" i="19"/>
  <c r="B5" i="19"/>
  <c r="A5" i="19"/>
  <c r="B4" i="19"/>
  <c r="A4" i="19"/>
  <c r="B3" i="19"/>
  <c r="A3" i="19"/>
  <c r="I2" i="19"/>
  <c r="K2" i="19" s="1"/>
  <c r="M2" i="19" s="1"/>
  <c r="O2" i="19" s="1"/>
  <c r="Q2" i="19" s="1"/>
  <c r="S2" i="19" s="1"/>
  <c r="U2" i="19" s="1"/>
  <c r="W2" i="19" s="1"/>
  <c r="Y2" i="19" s="1"/>
  <c r="AA2" i="19" s="1"/>
  <c r="AC2" i="19" s="1"/>
  <c r="AE2" i="19" s="1"/>
  <c r="AG2" i="19" s="1"/>
  <c r="H2" i="19"/>
  <c r="J2" i="19" s="1"/>
  <c r="L2" i="19" s="1"/>
  <c r="N2" i="19" s="1"/>
  <c r="P2" i="19" s="1"/>
  <c r="R2" i="19" s="1"/>
  <c r="T2" i="19" s="1"/>
  <c r="V2" i="19" s="1"/>
  <c r="X2" i="19" s="1"/>
  <c r="Z2" i="19" s="1"/>
  <c r="AB2" i="19" s="1"/>
  <c r="AD2" i="19" s="1"/>
  <c r="AF2" i="19" s="1"/>
  <c r="AH2" i="19" s="1"/>
  <c r="G2" i="19"/>
  <c r="F2" i="19"/>
  <c r="E2" i="19"/>
  <c r="C1" i="19" a="1"/>
  <c r="D1" i="19" s="1"/>
  <c r="F1" i="19" s="1"/>
  <c r="H1" i="19" s="1"/>
  <c r="J1" i="19" s="1"/>
  <c r="L1" i="19" s="1"/>
  <c r="N1" i="19" s="1"/>
  <c r="P1" i="19" s="1"/>
  <c r="R1" i="19" s="1"/>
  <c r="T1" i="19" s="1"/>
  <c r="V1" i="19" s="1"/>
  <c r="X1" i="19" s="1"/>
  <c r="Z1" i="19" s="1"/>
  <c r="AB1" i="19" s="1"/>
  <c r="AD1" i="19" s="1"/>
  <c r="AF1" i="19" s="1"/>
  <c r="AH1" i="19" s="1"/>
  <c r="C7" i="18"/>
  <c r="C123" i="14"/>
  <c r="D123" i="14"/>
  <c r="E123" i="14"/>
  <c r="F123" i="14"/>
  <c r="G123" i="14"/>
  <c r="H123" i="14"/>
  <c r="I123" i="14"/>
  <c r="J123" i="14"/>
  <c r="K123" i="14"/>
  <c r="L123" i="14"/>
  <c r="M123" i="14"/>
  <c r="C124" i="14"/>
  <c r="D124" i="14"/>
  <c r="E124" i="14"/>
  <c r="F124" i="14"/>
  <c r="G124" i="14"/>
  <c r="H124" i="14"/>
  <c r="I124" i="14"/>
  <c r="J124" i="14"/>
  <c r="K124" i="14"/>
  <c r="L124" i="14"/>
  <c r="M124" i="14"/>
  <c r="C125" i="14"/>
  <c r="D125" i="14"/>
  <c r="E125" i="14"/>
  <c r="F125" i="14"/>
  <c r="G125" i="14"/>
  <c r="H125" i="14"/>
  <c r="I125" i="14"/>
  <c r="J125" i="14"/>
  <c r="K125" i="14"/>
  <c r="L125" i="14"/>
  <c r="M125" i="14"/>
  <c r="C126" i="14"/>
  <c r="D126" i="14"/>
  <c r="E126" i="14"/>
  <c r="F126" i="14"/>
  <c r="G126" i="14"/>
  <c r="H126" i="14"/>
  <c r="I126" i="14"/>
  <c r="J126" i="14"/>
  <c r="K126" i="14"/>
  <c r="L126" i="14"/>
  <c r="M126" i="14"/>
  <c r="C127" i="14"/>
  <c r="D127" i="14"/>
  <c r="E127" i="14"/>
  <c r="F127" i="14"/>
  <c r="G127" i="14"/>
  <c r="H127" i="14"/>
  <c r="I127" i="14"/>
  <c r="J127" i="14"/>
  <c r="K127" i="14"/>
  <c r="L127" i="14"/>
  <c r="M127" i="14"/>
  <c r="D122" i="14"/>
  <c r="E122" i="14"/>
  <c r="F122" i="14"/>
  <c r="G122" i="14"/>
  <c r="H122" i="14"/>
  <c r="I122" i="14"/>
  <c r="J122" i="14"/>
  <c r="K122" i="14"/>
  <c r="L122" i="14"/>
  <c r="M122" i="14"/>
  <c r="C122" i="14"/>
  <c r="A124" i="14"/>
  <c r="A123" i="14"/>
  <c r="A122" i="14"/>
  <c r="F36" i="18" a="1"/>
  <c r="D2" i="18" a="1"/>
  <c r="C36" i="18" a="1"/>
  <c r="D4" i="18" a="1"/>
  <c r="O12" i="18" a="1"/>
  <c r="D5" i="18" a="1"/>
  <c r="D3" i="18" a="1"/>
  <c r="K12" i="18" a="1"/>
  <c r="G12" i="18" a="1"/>
  <c r="C12" i="18" a="1"/>
  <c r="L36" i="18" a="1"/>
  <c r="O36" i="18" a="1"/>
  <c r="S12" i="18" a="1"/>
  <c r="W12" i="18" a="1"/>
  <c r="O45" i="18" l="1"/>
  <c r="O37" i="18"/>
  <c r="O46" i="18"/>
  <c r="O44" i="18"/>
  <c r="O36" i="18"/>
  <c r="O51" i="18"/>
  <c r="O43" i="18"/>
  <c r="O50" i="18"/>
  <c r="O42" i="18"/>
  <c r="O49" i="18"/>
  <c r="O41" i="18"/>
  <c r="O48" i="18"/>
  <c r="O40" i="18"/>
  <c r="O38" i="18"/>
  <c r="O47" i="18"/>
  <c r="O39" i="18"/>
  <c r="C1" i="19"/>
  <c r="E1" i="19" s="1"/>
  <c r="G1" i="19" s="1"/>
  <c r="I1" i="19" s="1"/>
  <c r="K1" i="19" s="1"/>
  <c r="M1" i="19" s="1"/>
  <c r="O1" i="19" s="1"/>
  <c r="Q1" i="19" s="1"/>
  <c r="S1" i="19" s="1"/>
  <c r="U1" i="19" s="1"/>
  <c r="W1" i="19" s="1"/>
  <c r="Y1" i="19" s="1"/>
  <c r="AA1" i="19" s="1"/>
  <c r="AC1" i="19" s="1"/>
  <c r="AE1" i="19" s="1"/>
  <c r="AG1" i="19" s="1"/>
  <c r="L44" i="18"/>
  <c r="L36" i="18"/>
  <c r="L51" i="18"/>
  <c r="L43" i="18"/>
  <c r="L50" i="18"/>
  <c r="L42" i="18"/>
  <c r="L49" i="18"/>
  <c r="L41" i="18"/>
  <c r="L48" i="18"/>
  <c r="L40" i="18"/>
  <c r="L47" i="18"/>
  <c r="L39" i="18"/>
  <c r="L46" i="18"/>
  <c r="L38" i="18"/>
  <c r="L45" i="18"/>
  <c r="L37" i="18"/>
  <c r="F49" i="18"/>
  <c r="F41" i="18"/>
  <c r="F51" i="18"/>
  <c r="F43" i="18"/>
  <c r="F48" i="18"/>
  <c r="F40" i="18"/>
  <c r="F47" i="18"/>
  <c r="F39" i="18"/>
  <c r="F46" i="18"/>
  <c r="F38" i="18"/>
  <c r="F45" i="18"/>
  <c r="F37" i="18"/>
  <c r="F44" i="18"/>
  <c r="F36" i="18"/>
  <c r="F50" i="18"/>
  <c r="F42" i="18"/>
  <c r="C49" i="18"/>
  <c r="C41" i="18"/>
  <c r="C42" i="18"/>
  <c r="C48" i="18"/>
  <c r="C40" i="18"/>
  <c r="C50" i="18"/>
  <c r="C47" i="18"/>
  <c r="C39" i="18"/>
  <c r="C46" i="18"/>
  <c r="C38" i="18"/>
  <c r="C45" i="18"/>
  <c r="C37" i="18"/>
  <c r="C44" i="18"/>
  <c r="C36" i="18"/>
  <c r="C51" i="18"/>
  <c r="C43" i="18"/>
  <c r="W27" i="18"/>
  <c r="W19" i="18"/>
  <c r="W22" i="18"/>
  <c r="W26" i="18"/>
  <c r="W18" i="18"/>
  <c r="W21" i="18"/>
  <c r="W13" i="18"/>
  <c r="W25" i="18"/>
  <c r="W17" i="18"/>
  <c r="W14" i="18"/>
  <c r="W24" i="18"/>
  <c r="W16" i="18"/>
  <c r="W23" i="18"/>
  <c r="W15" i="18"/>
  <c r="W20" i="18"/>
  <c r="W12" i="18"/>
  <c r="S25" i="18"/>
  <c r="S17" i="18"/>
  <c r="S24" i="18"/>
  <c r="S16" i="18"/>
  <c r="S23" i="18"/>
  <c r="S15" i="18"/>
  <c r="S19" i="18"/>
  <c r="S22" i="18"/>
  <c r="S14" i="18"/>
  <c r="S27" i="18"/>
  <c r="S21" i="18"/>
  <c r="S13" i="18"/>
  <c r="S20" i="18"/>
  <c r="S12" i="18"/>
  <c r="S26" i="18"/>
  <c r="S18" i="18"/>
  <c r="O25" i="18"/>
  <c r="O17" i="18"/>
  <c r="O19" i="18"/>
  <c r="O24" i="18"/>
  <c r="O16" i="18"/>
  <c r="O23" i="18"/>
  <c r="O15" i="18"/>
  <c r="O22" i="18"/>
  <c r="O14" i="18"/>
  <c r="O27" i="18"/>
  <c r="O21" i="18"/>
  <c r="O13" i="18"/>
  <c r="O20" i="18"/>
  <c r="O12" i="18"/>
  <c r="O26" i="18"/>
  <c r="O18" i="18"/>
  <c r="K25" i="18"/>
  <c r="K17" i="18"/>
  <c r="K24" i="18"/>
  <c r="K16" i="18"/>
  <c r="K18" i="18"/>
  <c r="K23" i="18"/>
  <c r="K15" i="18"/>
  <c r="K26" i="18"/>
  <c r="K22" i="18"/>
  <c r="K14" i="18"/>
  <c r="K21" i="18"/>
  <c r="K13" i="18"/>
  <c r="K20" i="18"/>
  <c r="K12" i="18"/>
  <c r="K27" i="18"/>
  <c r="K19" i="18"/>
  <c r="G27" i="18"/>
  <c r="G19" i="18"/>
  <c r="G26" i="18"/>
  <c r="G18" i="18"/>
  <c r="G25" i="18"/>
  <c r="G17" i="18"/>
  <c r="G24" i="18"/>
  <c r="G16" i="18"/>
  <c r="G23" i="18"/>
  <c r="G15" i="18"/>
  <c r="G12" i="18"/>
  <c r="G22" i="18"/>
  <c r="G14" i="18"/>
  <c r="G21" i="18"/>
  <c r="G13" i="18"/>
  <c r="G20" i="18"/>
  <c r="C19" i="18"/>
  <c r="C27" i="18"/>
  <c r="C12" i="18"/>
  <c r="C20" i="18"/>
  <c r="C13" i="18"/>
  <c r="C21" i="18"/>
  <c r="C14" i="18"/>
  <c r="C22" i="18"/>
  <c r="C15" i="18"/>
  <c r="C23" i="18"/>
  <c r="C16" i="18"/>
  <c r="C24" i="18"/>
  <c r="C17" i="18"/>
  <c r="C25" i="18"/>
  <c r="C18" i="18"/>
  <c r="C26" i="18"/>
  <c r="I5" i="18"/>
  <c r="Q5" i="18"/>
  <c r="J5" i="18"/>
  <c r="R5" i="18"/>
  <c r="K5" i="18"/>
  <c r="S5" i="18"/>
  <c r="D5" i="18"/>
  <c r="L5" i="18"/>
  <c r="H5" i="18"/>
  <c r="E5" i="18"/>
  <c r="M5" i="18"/>
  <c r="G5" i="18"/>
  <c r="O5" i="18"/>
  <c r="F5" i="18"/>
  <c r="N5" i="18"/>
  <c r="P5" i="18"/>
  <c r="J4" i="18"/>
  <c r="R4" i="18"/>
  <c r="K4" i="18"/>
  <c r="S4" i="18"/>
  <c r="Q4" i="18"/>
  <c r="D4" i="18"/>
  <c r="L4" i="18"/>
  <c r="E4" i="18"/>
  <c r="M4" i="18"/>
  <c r="F4" i="18"/>
  <c r="N4" i="18"/>
  <c r="H4" i="18"/>
  <c r="P4" i="18"/>
  <c r="G4" i="18"/>
  <c r="O4" i="18"/>
  <c r="I4" i="18"/>
  <c r="K3" i="18"/>
  <c r="S3" i="18"/>
  <c r="D3" i="18"/>
  <c r="L3" i="18"/>
  <c r="J3" i="18"/>
  <c r="E3" i="18"/>
  <c r="M3" i="18"/>
  <c r="F3" i="18"/>
  <c r="N3" i="18"/>
  <c r="R3" i="18"/>
  <c r="G3" i="18"/>
  <c r="O3" i="18"/>
  <c r="I3" i="18"/>
  <c r="Q3" i="18"/>
  <c r="H3" i="18"/>
  <c r="P3" i="18"/>
  <c r="K2" i="18"/>
  <c r="S2" i="18"/>
  <c r="D2" i="18"/>
  <c r="L2" i="18"/>
  <c r="E2" i="18"/>
  <c r="M2" i="18"/>
  <c r="F2" i="18"/>
  <c r="N2" i="18"/>
  <c r="G2" i="18"/>
  <c r="O2" i="18"/>
  <c r="H2" i="18"/>
  <c r="P2" i="18"/>
  <c r="I2" i="18"/>
  <c r="Q2" i="18"/>
  <c r="J2" i="18"/>
  <c r="R2" i="18"/>
  <c r="B162" i="8"/>
  <c r="I162" i="8"/>
  <c r="Q162" i="8"/>
  <c r="I163" i="8"/>
  <c r="Q163" i="8"/>
  <c r="I164" i="8"/>
  <c r="Q164" i="8"/>
  <c r="I165" i="8"/>
  <c r="Q165" i="8"/>
  <c r="I166" i="8"/>
  <c r="Q166" i="8"/>
  <c r="I167" i="8"/>
  <c r="Q167" i="8"/>
  <c r="I168" i="8"/>
  <c r="Q168" i="8"/>
  <c r="I169" i="8"/>
  <c r="Q169" i="8"/>
  <c r="I170" i="8"/>
  <c r="Q170" i="8"/>
  <c r="I171" i="8"/>
  <c r="Q171" i="8"/>
  <c r="I172" i="8"/>
  <c r="Q172" i="8"/>
  <c r="C4" i="11"/>
  <c r="D4" i="11"/>
  <c r="C5" i="11"/>
  <c r="D5" i="11"/>
  <c r="C6" i="11"/>
  <c r="D6" i="11"/>
  <c r="C7" i="11"/>
  <c r="D7" i="11"/>
  <c r="C8" i="11"/>
  <c r="D8" i="11"/>
  <c r="C9" i="11"/>
  <c r="C10" i="11"/>
  <c r="D10" i="11"/>
  <c r="C11" i="11"/>
  <c r="D11" i="11"/>
  <c r="C12" i="11"/>
  <c r="D12" i="11"/>
  <c r="C13" i="11"/>
  <c r="D13" i="11"/>
  <c r="C14" i="11"/>
  <c r="D14" i="11"/>
  <c r="C15" i="11"/>
  <c r="D15" i="11"/>
  <c r="C16" i="11"/>
  <c r="D16" i="11"/>
  <c r="C17" i="11"/>
  <c r="D17" i="11"/>
  <c r="C18" i="11"/>
  <c r="D18" i="11"/>
  <c r="C19" i="11"/>
  <c r="D19" i="11"/>
  <c r="C20" i="11"/>
  <c r="D20" i="11"/>
  <c r="C21" i="11"/>
  <c r="D21" i="11"/>
  <c r="C22" i="11"/>
  <c r="D22" i="11"/>
  <c r="C23" i="11"/>
  <c r="D23" i="11"/>
  <c r="C24" i="11"/>
  <c r="D24" i="11"/>
  <c r="C25" i="11"/>
  <c r="D25" i="11"/>
  <c r="C26" i="11"/>
  <c r="D26" i="11"/>
  <c r="C27" i="11"/>
  <c r="D27" i="11"/>
  <c r="C28" i="11"/>
  <c r="D28" i="11"/>
  <c r="C29" i="11"/>
  <c r="D29" i="11"/>
  <c r="C30" i="11"/>
  <c r="D30" i="11"/>
  <c r="C31" i="11"/>
  <c r="D31" i="11"/>
  <c r="C32" i="11"/>
  <c r="D32" i="11"/>
  <c r="C33" i="11"/>
  <c r="D33" i="11"/>
  <c r="C34" i="11"/>
  <c r="D34" i="11"/>
  <c r="C35" i="11"/>
  <c r="D35" i="11"/>
  <c r="C36" i="11"/>
  <c r="D36" i="11"/>
  <c r="C37" i="11"/>
  <c r="D37" i="11"/>
  <c r="C38" i="11"/>
  <c r="D38" i="11"/>
  <c r="C39" i="11"/>
  <c r="D39" i="11"/>
  <c r="C40" i="11"/>
  <c r="D40" i="11"/>
  <c r="C41" i="11"/>
  <c r="D41" i="11"/>
  <c r="C42" i="11"/>
  <c r="D42" i="11"/>
  <c r="C43" i="11"/>
  <c r="D43" i="11"/>
  <c r="C44" i="11"/>
  <c r="D44" i="11"/>
  <c r="C45" i="11"/>
  <c r="D45" i="11"/>
  <c r="C46" i="11"/>
  <c r="D46" i="11"/>
  <c r="C47" i="11"/>
  <c r="D47" i="11"/>
  <c r="C48" i="11"/>
  <c r="D48" i="11"/>
  <c r="C49" i="11"/>
  <c r="D49" i="11"/>
  <c r="C50" i="11"/>
  <c r="D50" i="11"/>
  <c r="C51" i="11"/>
  <c r="D51" i="11"/>
  <c r="C52" i="11"/>
  <c r="D52" i="11"/>
  <c r="C53" i="11"/>
  <c r="D53" i="11"/>
  <c r="C54" i="11"/>
  <c r="D54" i="11"/>
  <c r="C55" i="11"/>
  <c r="D55" i="11"/>
  <c r="C56" i="11"/>
  <c r="D56" i="11"/>
  <c r="C57" i="11"/>
  <c r="D57" i="11"/>
  <c r="C58" i="11"/>
  <c r="D58" i="11"/>
  <c r="C59" i="11"/>
  <c r="D59" i="11"/>
  <c r="C60" i="11"/>
  <c r="D60" i="11"/>
  <c r="C61" i="11"/>
  <c r="D61" i="11"/>
  <c r="C62" i="11"/>
  <c r="D62" i="11"/>
  <c r="C63" i="11"/>
  <c r="D63" i="11"/>
  <c r="C64" i="11"/>
  <c r="D64" i="11"/>
  <c r="C65" i="11"/>
  <c r="D65" i="11"/>
  <c r="C66" i="11"/>
  <c r="D66" i="11"/>
  <c r="C67" i="11"/>
  <c r="D67" i="11"/>
  <c r="C68" i="11"/>
  <c r="D68" i="11"/>
  <c r="D3" i="11"/>
  <c r="C3" i="11"/>
  <c r="P45" i="18" l="1"/>
  <c r="P37" i="18"/>
  <c r="P44" i="18"/>
  <c r="P36" i="18"/>
  <c r="P46" i="18"/>
  <c r="P43" i="18"/>
  <c r="P42" i="18"/>
  <c r="P38" i="18"/>
  <c r="P41" i="18"/>
  <c r="P40" i="18"/>
  <c r="P39" i="18"/>
  <c r="T12" i="18"/>
  <c r="U22" i="18"/>
  <c r="U18" i="18"/>
  <c r="U14" i="18"/>
  <c r="T22" i="18"/>
  <c r="T18" i="18"/>
  <c r="T14" i="18"/>
  <c r="U21" i="18"/>
  <c r="U17" i="18"/>
  <c r="U13" i="18"/>
  <c r="T21" i="18"/>
  <c r="T17" i="18"/>
  <c r="T13" i="18"/>
  <c r="U20" i="18"/>
  <c r="U16" i="18"/>
  <c r="U12" i="18"/>
  <c r="T20" i="18"/>
  <c r="T16" i="18"/>
  <c r="U19" i="18"/>
  <c r="U15" i="18"/>
  <c r="T19" i="18"/>
  <c r="T15" i="18"/>
  <c r="E12" i="18"/>
  <c r="I22" i="18"/>
  <c r="I18" i="18"/>
  <c r="I14" i="18"/>
  <c r="H22" i="18"/>
  <c r="H18" i="18"/>
  <c r="H14" i="18"/>
  <c r="I21" i="18"/>
  <c r="I17" i="18"/>
  <c r="I13" i="18"/>
  <c r="H21" i="18"/>
  <c r="H17" i="18"/>
  <c r="H13" i="18"/>
  <c r="I20" i="18"/>
  <c r="I16" i="18"/>
  <c r="I12" i="18"/>
  <c r="H20" i="18"/>
  <c r="H16" i="18"/>
  <c r="I19" i="18"/>
  <c r="I15" i="18"/>
  <c r="H19" i="18"/>
  <c r="H15" i="18"/>
  <c r="H12" i="18"/>
  <c r="M13" i="18"/>
  <c r="M22" i="18"/>
  <c r="M18" i="18"/>
  <c r="M14" i="18"/>
  <c r="L22" i="18"/>
  <c r="L18" i="18"/>
  <c r="L14" i="18"/>
  <c r="M21" i="18"/>
  <c r="M17" i="18"/>
  <c r="L13" i="18"/>
  <c r="M15" i="18"/>
  <c r="L21" i="18"/>
  <c r="L17" i="18"/>
  <c r="M12" i="18"/>
  <c r="M20" i="18"/>
  <c r="M16" i="18"/>
  <c r="L12" i="18"/>
  <c r="M19" i="18"/>
  <c r="L20" i="18"/>
  <c r="L16" i="18"/>
  <c r="L19" i="18"/>
  <c r="L15" i="18"/>
  <c r="D16" i="18"/>
  <c r="E16" i="18"/>
  <c r="D15" i="18"/>
  <c r="E15" i="18"/>
  <c r="D19" i="18"/>
  <c r="E19" i="18"/>
  <c r="D22" i="18"/>
  <c r="E22" i="18"/>
  <c r="D18" i="18"/>
  <c r="E18" i="18"/>
  <c r="D14" i="18"/>
  <c r="E14" i="18"/>
  <c r="D21" i="18"/>
  <c r="E21" i="18"/>
  <c r="D17" i="18"/>
  <c r="E17" i="18"/>
  <c r="D13" i="18"/>
  <c r="E13" i="18"/>
  <c r="D20" i="18"/>
  <c r="E20" i="18"/>
  <c r="D12" i="18"/>
  <c r="P172" i="8"/>
  <c r="H172" i="8"/>
  <c r="P171" i="8"/>
  <c r="H171" i="8"/>
  <c r="P170" i="8"/>
  <c r="H170" i="8"/>
  <c r="P169" i="8"/>
  <c r="H169" i="8"/>
  <c r="P168" i="8"/>
  <c r="H168" i="8"/>
  <c r="P167" i="8"/>
  <c r="H167" i="8"/>
  <c r="P166" i="8"/>
  <c r="H166" i="8"/>
  <c r="P165" i="8"/>
  <c r="H165" i="8"/>
  <c r="P164" i="8"/>
  <c r="H164" i="8"/>
  <c r="P163" i="8"/>
  <c r="H163" i="8"/>
  <c r="P162" i="8"/>
  <c r="H162" i="8"/>
  <c r="O172" i="8"/>
  <c r="G172" i="8"/>
  <c r="O171" i="8"/>
  <c r="G171" i="8"/>
  <c r="O170" i="8"/>
  <c r="G170" i="8"/>
  <c r="O169" i="8"/>
  <c r="G169" i="8"/>
  <c r="O168" i="8"/>
  <c r="G168" i="8"/>
  <c r="O167" i="8"/>
  <c r="G167" i="8"/>
  <c r="O166" i="8"/>
  <c r="G166" i="8"/>
  <c r="O165" i="8"/>
  <c r="G165" i="8"/>
  <c r="O164" i="8"/>
  <c r="G164" i="8"/>
  <c r="O163" i="8"/>
  <c r="G163" i="8"/>
  <c r="O162" i="8"/>
  <c r="G162" i="8"/>
  <c r="N172" i="8"/>
  <c r="F172" i="8"/>
  <c r="N171" i="8"/>
  <c r="F171" i="8"/>
  <c r="N170" i="8"/>
  <c r="F170" i="8"/>
  <c r="N169" i="8"/>
  <c r="F169" i="8"/>
  <c r="N168" i="8"/>
  <c r="F168" i="8"/>
  <c r="N167" i="8"/>
  <c r="F167" i="8"/>
  <c r="N166" i="8"/>
  <c r="F166" i="8"/>
  <c r="N165" i="8"/>
  <c r="F165" i="8"/>
  <c r="N164" i="8"/>
  <c r="F164" i="8"/>
  <c r="N163" i="8"/>
  <c r="F163" i="8"/>
  <c r="N162" i="8"/>
  <c r="F162" i="8"/>
  <c r="M172" i="8"/>
  <c r="E172" i="8"/>
  <c r="M171" i="8"/>
  <c r="E171" i="8"/>
  <c r="M170" i="8"/>
  <c r="E170" i="8"/>
  <c r="M169" i="8"/>
  <c r="E169" i="8"/>
  <c r="M168" i="8"/>
  <c r="E168" i="8"/>
  <c r="M167" i="8"/>
  <c r="E167" i="8"/>
  <c r="M166" i="8"/>
  <c r="E166" i="8"/>
  <c r="M165" i="8"/>
  <c r="E165" i="8"/>
  <c r="M164" i="8"/>
  <c r="E164" i="8"/>
  <c r="M163" i="8"/>
  <c r="E163" i="8"/>
  <c r="M162" i="8"/>
  <c r="E162" i="8"/>
  <c r="L172" i="8"/>
  <c r="D172" i="8"/>
  <c r="L171" i="8"/>
  <c r="D171" i="8"/>
  <c r="L170" i="8"/>
  <c r="D170" i="8"/>
  <c r="L169" i="8"/>
  <c r="D169" i="8"/>
  <c r="L168" i="8"/>
  <c r="D168" i="8"/>
  <c r="L167" i="8"/>
  <c r="D167" i="8"/>
  <c r="L166" i="8"/>
  <c r="D166" i="8"/>
  <c r="L165" i="8"/>
  <c r="D165" i="8"/>
  <c r="L164" i="8"/>
  <c r="D164" i="8"/>
  <c r="L163" i="8"/>
  <c r="D163" i="8"/>
  <c r="L162" i="8"/>
  <c r="D162" i="8"/>
  <c r="K172" i="8"/>
  <c r="C172" i="8"/>
  <c r="K171" i="8"/>
  <c r="C171" i="8"/>
  <c r="K170" i="8"/>
  <c r="C170" i="8"/>
  <c r="K169" i="8"/>
  <c r="C169" i="8"/>
  <c r="K168" i="8"/>
  <c r="C168" i="8"/>
  <c r="K167" i="8"/>
  <c r="C167" i="8"/>
  <c r="K166" i="8"/>
  <c r="C166" i="8"/>
  <c r="K165" i="8"/>
  <c r="C165" i="8"/>
  <c r="K164" i="8"/>
  <c r="C164" i="8"/>
  <c r="K163" i="8"/>
  <c r="C163" i="8"/>
  <c r="K162" i="8"/>
  <c r="C162" i="8"/>
  <c r="J172" i="8"/>
  <c r="B172" i="8"/>
  <c r="J171" i="8"/>
  <c r="B171" i="8"/>
  <c r="J170" i="8"/>
  <c r="B170" i="8"/>
  <c r="J169" i="8"/>
  <c r="B169" i="8"/>
  <c r="J168" i="8"/>
  <c r="B168" i="8"/>
  <c r="J167" i="8"/>
  <c r="B167" i="8"/>
  <c r="J166" i="8"/>
  <c r="B166" i="8"/>
  <c r="J165" i="8"/>
  <c r="B165" i="8"/>
  <c r="J164" i="8"/>
  <c r="B164" i="8"/>
  <c r="J163" i="8"/>
  <c r="B163" i="8"/>
  <c r="J162" i="8"/>
  <c r="G122" i="8"/>
  <c r="G123" i="8"/>
  <c r="G124" i="8"/>
  <c r="G125" i="8"/>
  <c r="G126" i="8"/>
  <c r="G127" i="8"/>
  <c r="G128" i="8"/>
  <c r="G129" i="8"/>
  <c r="G130" i="8"/>
  <c r="G131" i="8"/>
  <c r="G121" i="8"/>
  <c r="B123" i="8"/>
  <c r="B124" i="8"/>
  <c r="B125" i="8" s="1"/>
  <c r="B126" i="8" s="1"/>
  <c r="B127" i="8" s="1"/>
  <c r="B128" i="8" s="1"/>
  <c r="B129" i="8" s="1"/>
  <c r="B130" i="8" s="1"/>
  <c r="B131" i="8" s="1"/>
  <c r="B122" i="8"/>
  <c r="AA143" i="7" a="1"/>
  <c r="AA149" i="7" s="1"/>
  <c r="AH142" i="7" a="1"/>
  <c r="AM142" i="7" s="1"/>
  <c r="AB142" i="7" a="1"/>
  <c r="AF142" i="7" s="1"/>
  <c r="AH163" i="7"/>
  <c r="AH144" i="7" s="1"/>
  <c r="AI163" i="7"/>
  <c r="AI144" i="7" s="1"/>
  <c r="AJ163" i="7"/>
  <c r="AJ144" i="7" s="1"/>
  <c r="AK163" i="7"/>
  <c r="AK144" i="7" s="1"/>
  <c r="AL163" i="7"/>
  <c r="AL144" i="7" s="1"/>
  <c r="AM163" i="7"/>
  <c r="AM144" i="7" s="1"/>
  <c r="AH164" i="7"/>
  <c r="AH145" i="7" s="1"/>
  <c r="AI164" i="7"/>
  <c r="AI145" i="7" s="1"/>
  <c r="AJ164" i="7"/>
  <c r="AJ145" i="7" s="1"/>
  <c r="AK164" i="7"/>
  <c r="AK145" i="7" s="1"/>
  <c r="AL164" i="7"/>
  <c r="AL145" i="7" s="1"/>
  <c r="AM164" i="7"/>
  <c r="AM145" i="7" s="1"/>
  <c r="AH165" i="7"/>
  <c r="AH146" i="7" s="1"/>
  <c r="AI165" i="7"/>
  <c r="AI146" i="7" s="1"/>
  <c r="AJ165" i="7"/>
  <c r="AJ146" i="7" s="1"/>
  <c r="AK165" i="7"/>
  <c r="AK146" i="7" s="1"/>
  <c r="AL165" i="7"/>
  <c r="AL146" i="7" s="1"/>
  <c r="AM165" i="7"/>
  <c r="AM146" i="7" s="1"/>
  <c r="AH166" i="7"/>
  <c r="AH147" i="7" s="1"/>
  <c r="AI166" i="7"/>
  <c r="AI147" i="7" s="1"/>
  <c r="AJ166" i="7"/>
  <c r="AJ147" i="7" s="1"/>
  <c r="AK166" i="7"/>
  <c r="AK147" i="7" s="1"/>
  <c r="AL166" i="7"/>
  <c r="AL147" i="7" s="1"/>
  <c r="AM166" i="7"/>
  <c r="AM147" i="7" s="1"/>
  <c r="AH167" i="7"/>
  <c r="AH148" i="7" s="1"/>
  <c r="AI167" i="7"/>
  <c r="AI148" i="7" s="1"/>
  <c r="AJ167" i="7"/>
  <c r="AJ148" i="7" s="1"/>
  <c r="AK167" i="7"/>
  <c r="AK148" i="7" s="1"/>
  <c r="AL167" i="7"/>
  <c r="AL148" i="7" s="1"/>
  <c r="AM167" i="7"/>
  <c r="AM148" i="7" s="1"/>
  <c r="AH168" i="7"/>
  <c r="AH149" i="7" s="1"/>
  <c r="AI168" i="7"/>
  <c r="AI149" i="7" s="1"/>
  <c r="AJ168" i="7"/>
  <c r="AJ149" i="7" s="1"/>
  <c r="AK168" i="7"/>
  <c r="AK149" i="7" s="1"/>
  <c r="AL168" i="7"/>
  <c r="AL149" i="7" s="1"/>
  <c r="AM168" i="7"/>
  <c r="AM149" i="7" s="1"/>
  <c r="AH169" i="7"/>
  <c r="AH150" i="7" s="1"/>
  <c r="AI169" i="7"/>
  <c r="AI150" i="7" s="1"/>
  <c r="AJ169" i="7"/>
  <c r="AJ150" i="7" s="1"/>
  <c r="AK169" i="7"/>
  <c r="AK150" i="7" s="1"/>
  <c r="AL169" i="7"/>
  <c r="AL150" i="7" s="1"/>
  <c r="AM169" i="7"/>
  <c r="AM150" i="7" s="1"/>
  <c r="AH170" i="7"/>
  <c r="AH151" i="7" s="1"/>
  <c r="AI170" i="7"/>
  <c r="AI151" i="7" s="1"/>
  <c r="AJ170" i="7"/>
  <c r="AJ151" i="7" s="1"/>
  <c r="AK170" i="7"/>
  <c r="AK151" i="7" s="1"/>
  <c r="AL170" i="7"/>
  <c r="AL151" i="7" s="1"/>
  <c r="AM170" i="7"/>
  <c r="AM151" i="7" s="1"/>
  <c r="AH171" i="7"/>
  <c r="AH152" i="7" s="1"/>
  <c r="AI171" i="7"/>
  <c r="AI152" i="7" s="1"/>
  <c r="AJ171" i="7"/>
  <c r="AJ152" i="7" s="1"/>
  <c r="AK171" i="7"/>
  <c r="AK152" i="7" s="1"/>
  <c r="AL171" i="7"/>
  <c r="AL152" i="7" s="1"/>
  <c r="AM171" i="7"/>
  <c r="AM152" i="7" s="1"/>
  <c r="AH172" i="7"/>
  <c r="AH153" i="7" s="1"/>
  <c r="AI172" i="7"/>
  <c r="AI153" i="7" s="1"/>
  <c r="AJ172" i="7"/>
  <c r="AJ153" i="7" s="1"/>
  <c r="AK172" i="7"/>
  <c r="AK153" i="7" s="1"/>
  <c r="AL172" i="7"/>
  <c r="AL153" i="7" s="1"/>
  <c r="AM172" i="7"/>
  <c r="AM153" i="7" s="1"/>
  <c r="AI162" i="7"/>
  <c r="AI143" i="7" s="1"/>
  <c r="AJ162" i="7"/>
  <c r="AJ143" i="7" s="1"/>
  <c r="AK162" i="7"/>
  <c r="AK143" i="7" s="1"/>
  <c r="AL162" i="7"/>
  <c r="AL143" i="7" s="1"/>
  <c r="AM162" i="7"/>
  <c r="AM143" i="7" s="1"/>
  <c r="AH162" i="7"/>
  <c r="AH143" i="7" s="1"/>
  <c r="AB163" i="7"/>
  <c r="AB144" i="7" s="1"/>
  <c r="AC163" i="7"/>
  <c r="AC144" i="7" s="1"/>
  <c r="AD163" i="7"/>
  <c r="AD144" i="7" s="1"/>
  <c r="AE163" i="7"/>
  <c r="AE144" i="7" s="1"/>
  <c r="AF163" i="7"/>
  <c r="AF144" i="7" s="1"/>
  <c r="AG163" i="7"/>
  <c r="AG144" i="7" s="1"/>
  <c r="AB164" i="7"/>
  <c r="AB145" i="7" s="1"/>
  <c r="AC164" i="7"/>
  <c r="AC145" i="7" s="1"/>
  <c r="AD164" i="7"/>
  <c r="AD145" i="7" s="1"/>
  <c r="AE164" i="7"/>
  <c r="AE145" i="7" s="1"/>
  <c r="AF164" i="7"/>
  <c r="AF145" i="7" s="1"/>
  <c r="AG164" i="7"/>
  <c r="AG145" i="7" s="1"/>
  <c r="AB165" i="7"/>
  <c r="AB146" i="7" s="1"/>
  <c r="AC165" i="7"/>
  <c r="AC146" i="7" s="1"/>
  <c r="AD165" i="7"/>
  <c r="AD146" i="7" s="1"/>
  <c r="AE165" i="7"/>
  <c r="AE146" i="7" s="1"/>
  <c r="AF165" i="7"/>
  <c r="AF146" i="7" s="1"/>
  <c r="AG165" i="7"/>
  <c r="AG146" i="7" s="1"/>
  <c r="AB166" i="7"/>
  <c r="AB147" i="7" s="1"/>
  <c r="AC166" i="7"/>
  <c r="AC147" i="7" s="1"/>
  <c r="AD166" i="7"/>
  <c r="AD147" i="7" s="1"/>
  <c r="AE166" i="7"/>
  <c r="AE147" i="7" s="1"/>
  <c r="AF166" i="7"/>
  <c r="AF147" i="7" s="1"/>
  <c r="AG166" i="7"/>
  <c r="AG147" i="7" s="1"/>
  <c r="AB167" i="7"/>
  <c r="AB148" i="7" s="1"/>
  <c r="AC167" i="7"/>
  <c r="AC148" i="7" s="1"/>
  <c r="AD167" i="7"/>
  <c r="AD148" i="7" s="1"/>
  <c r="AE167" i="7"/>
  <c r="AE148" i="7" s="1"/>
  <c r="AF167" i="7"/>
  <c r="AF148" i="7" s="1"/>
  <c r="AG167" i="7"/>
  <c r="AG148" i="7" s="1"/>
  <c r="AB168" i="7"/>
  <c r="AB149" i="7" s="1"/>
  <c r="AC168" i="7"/>
  <c r="AC149" i="7" s="1"/>
  <c r="AD168" i="7"/>
  <c r="AD149" i="7" s="1"/>
  <c r="AE168" i="7"/>
  <c r="AE149" i="7" s="1"/>
  <c r="AF168" i="7"/>
  <c r="AF149" i="7" s="1"/>
  <c r="AG168" i="7"/>
  <c r="AG149" i="7" s="1"/>
  <c r="AB169" i="7"/>
  <c r="AB150" i="7" s="1"/>
  <c r="AC169" i="7"/>
  <c r="AC150" i="7" s="1"/>
  <c r="AD169" i="7"/>
  <c r="AD150" i="7" s="1"/>
  <c r="AE169" i="7"/>
  <c r="AE150" i="7" s="1"/>
  <c r="AF169" i="7"/>
  <c r="AF150" i="7" s="1"/>
  <c r="AG169" i="7"/>
  <c r="AG150" i="7" s="1"/>
  <c r="AB170" i="7"/>
  <c r="AB151" i="7" s="1"/>
  <c r="AC170" i="7"/>
  <c r="AC151" i="7" s="1"/>
  <c r="AD170" i="7"/>
  <c r="AD151" i="7" s="1"/>
  <c r="AE170" i="7"/>
  <c r="AE151" i="7" s="1"/>
  <c r="AF170" i="7"/>
  <c r="AF151" i="7" s="1"/>
  <c r="AG170" i="7"/>
  <c r="AG151" i="7" s="1"/>
  <c r="AB171" i="7"/>
  <c r="AB152" i="7" s="1"/>
  <c r="AC171" i="7"/>
  <c r="AC152" i="7" s="1"/>
  <c r="AD171" i="7"/>
  <c r="AD152" i="7" s="1"/>
  <c r="AE171" i="7"/>
  <c r="AE152" i="7" s="1"/>
  <c r="AF171" i="7"/>
  <c r="AF152" i="7" s="1"/>
  <c r="AG171" i="7"/>
  <c r="AG152" i="7" s="1"/>
  <c r="AB172" i="7"/>
  <c r="AB153" i="7" s="1"/>
  <c r="AC172" i="7"/>
  <c r="AC153" i="7" s="1"/>
  <c r="AD172" i="7"/>
  <c r="AD153" i="7" s="1"/>
  <c r="AE172" i="7"/>
  <c r="AE153" i="7" s="1"/>
  <c r="AF172" i="7"/>
  <c r="AF153" i="7" s="1"/>
  <c r="AG172" i="7"/>
  <c r="AG153" i="7" s="1"/>
  <c r="AC162" i="7"/>
  <c r="AC143" i="7" s="1"/>
  <c r="AD162" i="7"/>
  <c r="AD143" i="7" s="1"/>
  <c r="AE162" i="7"/>
  <c r="AE143" i="7" s="1"/>
  <c r="AF162" i="7"/>
  <c r="AF143" i="7" s="1"/>
  <c r="AG162" i="7"/>
  <c r="AG143" i="7" s="1"/>
  <c r="AB162" i="7"/>
  <c r="AB143" i="7" s="1"/>
  <c r="AH161" i="7" a="1"/>
  <c r="AL161" i="7" s="1"/>
  <c r="AB161" i="7" a="1"/>
  <c r="AE161" i="7" s="1"/>
  <c r="AA162" i="7" a="1"/>
  <c r="AA168" i="7" s="1"/>
  <c r="AL154" i="7" l="1"/>
  <c r="Y20" i="18"/>
  <c r="X15" i="18"/>
  <c r="X18" i="18"/>
  <c r="X13" i="18"/>
  <c r="X22" i="18"/>
  <c r="X19" i="18"/>
  <c r="Y15" i="18"/>
  <c r="Y18" i="18"/>
  <c r="X12" i="18"/>
  <c r="X20" i="18"/>
  <c r="Y17" i="18"/>
  <c r="Y19" i="18"/>
  <c r="Y13" i="18"/>
  <c r="X16" i="18"/>
  <c r="Y22" i="18"/>
  <c r="Y12" i="18"/>
  <c r="Y21" i="18"/>
  <c r="Y16" i="18"/>
  <c r="P21" i="18"/>
  <c r="X21" i="18"/>
  <c r="Q14" i="18"/>
  <c r="Y14" i="18"/>
  <c r="P14" i="18"/>
  <c r="X14" i="18"/>
  <c r="P17" i="18"/>
  <c r="X17" i="18"/>
  <c r="Q19" i="18"/>
  <c r="Q20" i="18"/>
  <c r="P20" i="18"/>
  <c r="Q22" i="18"/>
  <c r="P19" i="18"/>
  <c r="P13" i="18"/>
  <c r="P18" i="18"/>
  <c r="P22" i="18"/>
  <c r="Q18" i="18"/>
  <c r="Q15" i="18"/>
  <c r="P15" i="18"/>
  <c r="P16" i="18"/>
  <c r="Q17" i="18"/>
  <c r="Q21" i="18"/>
  <c r="Q13" i="18"/>
  <c r="Q16" i="18"/>
  <c r="P12" i="18"/>
  <c r="Q12" i="18"/>
  <c r="AH154" i="7"/>
  <c r="AF154" i="7"/>
  <c r="AD154" i="7"/>
  <c r="AJ154" i="7"/>
  <c r="AN151" i="7"/>
  <c r="AN143" i="7"/>
  <c r="AB154" i="7"/>
  <c r="AI154" i="7"/>
  <c r="AG154" i="7"/>
  <c r="AN152" i="7"/>
  <c r="AN148" i="7"/>
  <c r="AN144" i="7"/>
  <c r="AE154" i="7"/>
  <c r="AN153" i="7"/>
  <c r="AN149" i="7"/>
  <c r="AN145" i="7"/>
  <c r="AM154" i="7"/>
  <c r="AC154" i="7"/>
  <c r="AN150" i="7"/>
  <c r="AN146" i="7"/>
  <c r="AK154" i="7"/>
  <c r="AN147" i="7"/>
  <c r="AA143" i="7"/>
  <c r="AA151" i="7"/>
  <c r="AG142" i="7"/>
  <c r="AA144" i="7"/>
  <c r="AA150" i="7"/>
  <c r="AH142" i="7"/>
  <c r="AB142" i="7"/>
  <c r="AA153" i="7"/>
  <c r="AA152" i="7"/>
  <c r="AI142" i="7"/>
  <c r="AC142" i="7"/>
  <c r="AJ142" i="7"/>
  <c r="AA146" i="7"/>
  <c r="AA145" i="7"/>
  <c r="AD142" i="7"/>
  <c r="AK142" i="7"/>
  <c r="AA147" i="7"/>
  <c r="AL142" i="7"/>
  <c r="AE142" i="7"/>
  <c r="AA148" i="7"/>
  <c r="AM161" i="7"/>
  <c r="AG161" i="7"/>
  <c r="AH161" i="7"/>
  <c r="AB161" i="7"/>
  <c r="AI161" i="7"/>
  <c r="AC161" i="7"/>
  <c r="AJ161" i="7"/>
  <c r="AF161" i="7"/>
  <c r="AD161" i="7"/>
  <c r="AK161" i="7"/>
  <c r="AA170" i="7"/>
  <c r="AA164" i="7"/>
  <c r="AA165" i="7"/>
  <c r="AA166" i="7"/>
  <c r="AA162" i="7"/>
  <c r="AA163" i="7"/>
  <c r="AA172" i="7"/>
  <c r="AA167" i="7"/>
  <c r="AA169" i="7"/>
  <c r="AA171" i="7"/>
  <c r="P29" i="18" l="1"/>
  <c r="Q29" i="18"/>
  <c r="X28" i="18"/>
  <c r="Y28" i="18"/>
  <c r="Q28" i="18"/>
  <c r="P28" i="18"/>
  <c r="E4" i="7"/>
  <c r="G4" i="7" s="1"/>
  <c r="I4" i="7" s="1"/>
  <c r="K4" i="7" s="1"/>
  <c r="M4" i="7" s="1"/>
  <c r="O4" i="7" s="1"/>
  <c r="Q4" i="7" s="1"/>
  <c r="S4" i="7" s="1"/>
  <c r="U4" i="7" s="1"/>
  <c r="W4" i="7" s="1"/>
  <c r="Y4" i="7" s="1"/>
  <c r="AA4" i="7" s="1"/>
  <c r="AC4" i="7" s="1"/>
  <c r="AE4" i="7" s="1"/>
  <c r="AG4" i="7" s="1"/>
  <c r="F4" i="7"/>
  <c r="H4" i="7" s="1"/>
  <c r="J4" i="7" s="1"/>
  <c r="L4" i="7" s="1"/>
  <c r="N4" i="7" s="1"/>
  <c r="P4" i="7" s="1"/>
  <c r="R4" i="7" s="1"/>
  <c r="T4" i="7" s="1"/>
  <c r="V4" i="7" s="1"/>
  <c r="X4" i="7" s="1"/>
  <c r="Z4" i="7" s="1"/>
  <c r="AB4" i="7" s="1"/>
  <c r="AD4" i="7" s="1"/>
  <c r="AF4" i="7" s="1"/>
  <c r="AH4" i="7" s="1"/>
  <c r="E5" i="7"/>
  <c r="F5" i="7"/>
  <c r="G5" i="7"/>
  <c r="I5" i="7" s="1"/>
  <c r="K5" i="7" s="1"/>
  <c r="M5" i="7" s="1"/>
  <c r="O5" i="7" s="1"/>
  <c r="Q5" i="7" s="1"/>
  <c r="S5" i="7" s="1"/>
  <c r="U5" i="7" s="1"/>
  <c r="W5" i="7" s="1"/>
  <c r="Y5" i="7" s="1"/>
  <c r="AA5" i="7" s="1"/>
  <c r="AC5" i="7" s="1"/>
  <c r="AE5" i="7" s="1"/>
  <c r="AG5" i="7" s="1"/>
  <c r="H5" i="7"/>
  <c r="J5" i="7" s="1"/>
  <c r="L5" i="7" s="1"/>
  <c r="N5" i="7" s="1"/>
  <c r="P5" i="7" s="1"/>
  <c r="R5" i="7" s="1"/>
  <c r="T5" i="7" s="1"/>
  <c r="V5" i="7" s="1"/>
  <c r="X5" i="7" s="1"/>
  <c r="Z5" i="7" s="1"/>
  <c r="AB5" i="7" s="1"/>
  <c r="AD5" i="7" s="1"/>
  <c r="AF5" i="7" s="1"/>
  <c r="AH5" i="7" s="1"/>
  <c r="E6" i="7"/>
  <c r="G6" i="7" s="1"/>
  <c r="I6" i="7" s="1"/>
  <c r="K6" i="7" s="1"/>
  <c r="M6" i="7" s="1"/>
  <c r="O6" i="7" s="1"/>
  <c r="Q6" i="7" s="1"/>
  <c r="S6" i="7" s="1"/>
  <c r="U6" i="7" s="1"/>
  <c r="W6" i="7" s="1"/>
  <c r="Y6" i="7" s="1"/>
  <c r="AA6" i="7" s="1"/>
  <c r="AC6" i="7" s="1"/>
  <c r="AE6" i="7" s="1"/>
  <c r="AG6" i="7" s="1"/>
  <c r="F6" i="7"/>
  <c r="H6" i="7" s="1"/>
  <c r="J6" i="7" s="1"/>
  <c r="L6" i="7" s="1"/>
  <c r="N6" i="7" s="1"/>
  <c r="P6" i="7" s="1"/>
  <c r="R6" i="7" s="1"/>
  <c r="T6" i="7" s="1"/>
  <c r="V6" i="7" s="1"/>
  <c r="X6" i="7" s="1"/>
  <c r="Z6" i="7" s="1"/>
  <c r="AB6" i="7" s="1"/>
  <c r="AD6" i="7" s="1"/>
  <c r="AF6" i="7" s="1"/>
  <c r="AH6" i="7" s="1"/>
  <c r="E7" i="7"/>
  <c r="F7" i="7"/>
  <c r="H7" i="7" s="1"/>
  <c r="J7" i="7" s="1"/>
  <c r="L7" i="7" s="1"/>
  <c r="N7" i="7" s="1"/>
  <c r="P7" i="7" s="1"/>
  <c r="R7" i="7" s="1"/>
  <c r="T7" i="7" s="1"/>
  <c r="V7" i="7" s="1"/>
  <c r="X7" i="7" s="1"/>
  <c r="Z7" i="7" s="1"/>
  <c r="AB7" i="7" s="1"/>
  <c r="AD7" i="7" s="1"/>
  <c r="AF7" i="7" s="1"/>
  <c r="AH7" i="7" s="1"/>
  <c r="G7" i="7"/>
  <c r="I7" i="7" s="1"/>
  <c r="K7" i="7" s="1"/>
  <c r="M7" i="7" s="1"/>
  <c r="O7" i="7" s="1"/>
  <c r="Q7" i="7" s="1"/>
  <c r="S7" i="7" s="1"/>
  <c r="U7" i="7" s="1"/>
  <c r="W7" i="7" s="1"/>
  <c r="Y7" i="7" s="1"/>
  <c r="AA7" i="7" s="1"/>
  <c r="AC7" i="7" s="1"/>
  <c r="AE7" i="7" s="1"/>
  <c r="AG7" i="7" s="1"/>
  <c r="E8" i="7"/>
  <c r="G8" i="7" s="1"/>
  <c r="I8" i="7" s="1"/>
  <c r="K8" i="7" s="1"/>
  <c r="M8" i="7" s="1"/>
  <c r="O8" i="7" s="1"/>
  <c r="Q8" i="7" s="1"/>
  <c r="S8" i="7" s="1"/>
  <c r="U8" i="7" s="1"/>
  <c r="W8" i="7" s="1"/>
  <c r="Y8" i="7" s="1"/>
  <c r="AA8" i="7" s="1"/>
  <c r="AC8" i="7" s="1"/>
  <c r="AE8" i="7" s="1"/>
  <c r="AG8" i="7" s="1"/>
  <c r="F8" i="7"/>
  <c r="H8" i="7" s="1"/>
  <c r="J8" i="7" s="1"/>
  <c r="L8" i="7" s="1"/>
  <c r="N8" i="7" s="1"/>
  <c r="P8" i="7" s="1"/>
  <c r="R8" i="7" s="1"/>
  <c r="T8" i="7" s="1"/>
  <c r="V8" i="7" s="1"/>
  <c r="X8" i="7" s="1"/>
  <c r="Z8" i="7" s="1"/>
  <c r="AB8" i="7" s="1"/>
  <c r="AD8" i="7" s="1"/>
  <c r="AF8" i="7" s="1"/>
  <c r="AH8" i="7" s="1"/>
  <c r="E9" i="7"/>
  <c r="F9" i="7"/>
  <c r="G9" i="7"/>
  <c r="I9" i="7" s="1"/>
  <c r="K9" i="7" s="1"/>
  <c r="M9" i="7" s="1"/>
  <c r="O9" i="7" s="1"/>
  <c r="Q9" i="7" s="1"/>
  <c r="S9" i="7" s="1"/>
  <c r="U9" i="7" s="1"/>
  <c r="W9" i="7" s="1"/>
  <c r="Y9" i="7" s="1"/>
  <c r="AA9" i="7" s="1"/>
  <c r="AC9" i="7" s="1"/>
  <c r="AE9" i="7" s="1"/>
  <c r="AG9" i="7" s="1"/>
  <c r="H9" i="7"/>
  <c r="J9" i="7" s="1"/>
  <c r="L9" i="7" s="1"/>
  <c r="N9" i="7" s="1"/>
  <c r="P9" i="7" s="1"/>
  <c r="R9" i="7" s="1"/>
  <c r="T9" i="7" s="1"/>
  <c r="V9" i="7" s="1"/>
  <c r="X9" i="7" s="1"/>
  <c r="Z9" i="7" s="1"/>
  <c r="AB9" i="7" s="1"/>
  <c r="AD9" i="7" s="1"/>
  <c r="AF9" i="7" s="1"/>
  <c r="AH9" i="7" s="1"/>
  <c r="E10" i="7"/>
  <c r="G10" i="7" s="1"/>
  <c r="I10" i="7" s="1"/>
  <c r="K10" i="7" s="1"/>
  <c r="M10" i="7" s="1"/>
  <c r="O10" i="7" s="1"/>
  <c r="Q10" i="7" s="1"/>
  <c r="S10" i="7" s="1"/>
  <c r="U10" i="7" s="1"/>
  <c r="W10" i="7" s="1"/>
  <c r="Y10" i="7" s="1"/>
  <c r="AA10" i="7" s="1"/>
  <c r="AC10" i="7" s="1"/>
  <c r="AE10" i="7" s="1"/>
  <c r="AG10" i="7" s="1"/>
  <c r="F10" i="7"/>
  <c r="H10" i="7" s="1"/>
  <c r="J10" i="7" s="1"/>
  <c r="L10" i="7" s="1"/>
  <c r="N10" i="7" s="1"/>
  <c r="P10" i="7" s="1"/>
  <c r="R10" i="7" s="1"/>
  <c r="T10" i="7" s="1"/>
  <c r="V10" i="7" s="1"/>
  <c r="X10" i="7" s="1"/>
  <c r="Z10" i="7" s="1"/>
  <c r="AB10" i="7" s="1"/>
  <c r="AD10" i="7" s="1"/>
  <c r="AF10" i="7" s="1"/>
  <c r="AH10" i="7" s="1"/>
  <c r="E11" i="7"/>
  <c r="F11" i="7"/>
  <c r="H11" i="7" s="1"/>
  <c r="J11" i="7" s="1"/>
  <c r="L11" i="7" s="1"/>
  <c r="N11" i="7" s="1"/>
  <c r="P11" i="7" s="1"/>
  <c r="R11" i="7" s="1"/>
  <c r="T11" i="7" s="1"/>
  <c r="V11" i="7" s="1"/>
  <c r="X11" i="7" s="1"/>
  <c r="Z11" i="7" s="1"/>
  <c r="AB11" i="7" s="1"/>
  <c r="AD11" i="7" s="1"/>
  <c r="AF11" i="7" s="1"/>
  <c r="AH11" i="7" s="1"/>
  <c r="G11" i="7"/>
  <c r="I11" i="7" s="1"/>
  <c r="K11" i="7" s="1"/>
  <c r="M11" i="7" s="1"/>
  <c r="O11" i="7" s="1"/>
  <c r="Q11" i="7" s="1"/>
  <c r="S11" i="7" s="1"/>
  <c r="U11" i="7" s="1"/>
  <c r="W11" i="7" s="1"/>
  <c r="Y11" i="7" s="1"/>
  <c r="AA11" i="7" s="1"/>
  <c r="AC11" i="7" s="1"/>
  <c r="AE11" i="7" s="1"/>
  <c r="AG11" i="7" s="1"/>
  <c r="E12" i="7"/>
  <c r="G12" i="7" s="1"/>
  <c r="I12" i="7" s="1"/>
  <c r="K12" i="7" s="1"/>
  <c r="M12" i="7" s="1"/>
  <c r="O12" i="7" s="1"/>
  <c r="Q12" i="7" s="1"/>
  <c r="S12" i="7" s="1"/>
  <c r="U12" i="7" s="1"/>
  <c r="W12" i="7" s="1"/>
  <c r="Y12" i="7" s="1"/>
  <c r="AA12" i="7" s="1"/>
  <c r="AC12" i="7" s="1"/>
  <c r="AE12" i="7" s="1"/>
  <c r="AG12" i="7" s="1"/>
  <c r="F12" i="7"/>
  <c r="H12" i="7" s="1"/>
  <c r="J12" i="7" s="1"/>
  <c r="L12" i="7" s="1"/>
  <c r="N12" i="7" s="1"/>
  <c r="P12" i="7" s="1"/>
  <c r="R12" i="7" s="1"/>
  <c r="T12" i="7" s="1"/>
  <c r="V12" i="7" s="1"/>
  <c r="X12" i="7" s="1"/>
  <c r="Z12" i="7" s="1"/>
  <c r="AB12" i="7" s="1"/>
  <c r="AD12" i="7" s="1"/>
  <c r="AF12" i="7" s="1"/>
  <c r="AH12" i="7" s="1"/>
  <c r="E13" i="7"/>
  <c r="G13" i="7" s="1"/>
  <c r="I13" i="7" s="1"/>
  <c r="K13" i="7" s="1"/>
  <c r="M13" i="7" s="1"/>
  <c r="O13" i="7" s="1"/>
  <c r="Q13" i="7" s="1"/>
  <c r="S13" i="7" s="1"/>
  <c r="U13" i="7" s="1"/>
  <c r="W13" i="7" s="1"/>
  <c r="Y13" i="7" s="1"/>
  <c r="AA13" i="7" s="1"/>
  <c r="AC13" i="7" s="1"/>
  <c r="AE13" i="7" s="1"/>
  <c r="AG13" i="7" s="1"/>
  <c r="F13" i="7"/>
  <c r="H13" i="7"/>
  <c r="J13" i="7"/>
  <c r="L13" i="7" s="1"/>
  <c r="N13" i="7" s="1"/>
  <c r="P13" i="7" s="1"/>
  <c r="R13" i="7" s="1"/>
  <c r="T13" i="7" s="1"/>
  <c r="V13" i="7" s="1"/>
  <c r="X13" i="7" s="1"/>
  <c r="Z13" i="7" s="1"/>
  <c r="AB13" i="7" s="1"/>
  <c r="AD13" i="7" s="1"/>
  <c r="AF13" i="7" s="1"/>
  <c r="AH13" i="7" s="1"/>
  <c r="E14" i="7"/>
  <c r="G14" i="7" s="1"/>
  <c r="I14" i="7" s="1"/>
  <c r="K14" i="7" s="1"/>
  <c r="M14" i="7" s="1"/>
  <c r="O14" i="7" s="1"/>
  <c r="Q14" i="7" s="1"/>
  <c r="S14" i="7" s="1"/>
  <c r="U14" i="7" s="1"/>
  <c r="W14" i="7" s="1"/>
  <c r="Y14" i="7" s="1"/>
  <c r="AA14" i="7" s="1"/>
  <c r="AC14" i="7" s="1"/>
  <c r="AE14" i="7" s="1"/>
  <c r="AG14" i="7" s="1"/>
  <c r="F14" i="7"/>
  <c r="H14" i="7"/>
  <c r="J14" i="7"/>
  <c r="L14" i="7" s="1"/>
  <c r="N14" i="7" s="1"/>
  <c r="P14" i="7" s="1"/>
  <c r="R14" i="7" s="1"/>
  <c r="T14" i="7" s="1"/>
  <c r="V14" i="7" s="1"/>
  <c r="X14" i="7" s="1"/>
  <c r="Z14" i="7" s="1"/>
  <c r="AB14" i="7" s="1"/>
  <c r="AD14" i="7" s="1"/>
  <c r="AF14" i="7" s="1"/>
  <c r="AH14" i="7" s="1"/>
  <c r="E15" i="7"/>
  <c r="F15" i="7"/>
  <c r="H15" i="7" s="1"/>
  <c r="J15" i="7" s="1"/>
  <c r="L15" i="7" s="1"/>
  <c r="N15" i="7" s="1"/>
  <c r="P15" i="7" s="1"/>
  <c r="R15" i="7" s="1"/>
  <c r="T15" i="7" s="1"/>
  <c r="V15" i="7" s="1"/>
  <c r="X15" i="7" s="1"/>
  <c r="Z15" i="7" s="1"/>
  <c r="AB15" i="7" s="1"/>
  <c r="AD15" i="7" s="1"/>
  <c r="AF15" i="7" s="1"/>
  <c r="AH15" i="7" s="1"/>
  <c r="G15" i="7"/>
  <c r="I15" i="7" s="1"/>
  <c r="K15" i="7" s="1"/>
  <c r="M15" i="7" s="1"/>
  <c r="O15" i="7" s="1"/>
  <c r="Q15" i="7" s="1"/>
  <c r="S15" i="7" s="1"/>
  <c r="U15" i="7" s="1"/>
  <c r="W15" i="7" s="1"/>
  <c r="Y15" i="7" s="1"/>
  <c r="AA15" i="7" s="1"/>
  <c r="AC15" i="7" s="1"/>
  <c r="AE15" i="7" s="1"/>
  <c r="AG15" i="7" s="1"/>
  <c r="E16" i="7"/>
  <c r="G16" i="7" s="1"/>
  <c r="I16" i="7" s="1"/>
  <c r="K16" i="7" s="1"/>
  <c r="M16" i="7" s="1"/>
  <c r="O16" i="7" s="1"/>
  <c r="Q16" i="7" s="1"/>
  <c r="S16" i="7" s="1"/>
  <c r="U16" i="7" s="1"/>
  <c r="W16" i="7" s="1"/>
  <c r="Y16" i="7" s="1"/>
  <c r="AA16" i="7" s="1"/>
  <c r="AC16" i="7" s="1"/>
  <c r="AE16" i="7" s="1"/>
  <c r="AG16" i="7" s="1"/>
  <c r="F16" i="7"/>
  <c r="H16" i="7"/>
  <c r="J16" i="7" s="1"/>
  <c r="L16" i="7" s="1"/>
  <c r="N16" i="7" s="1"/>
  <c r="P16" i="7" s="1"/>
  <c r="R16" i="7" s="1"/>
  <c r="T16" i="7" s="1"/>
  <c r="V16" i="7" s="1"/>
  <c r="X16" i="7" s="1"/>
  <c r="Z16" i="7" s="1"/>
  <c r="AB16" i="7" s="1"/>
  <c r="AD16" i="7" s="1"/>
  <c r="AF16" i="7" s="1"/>
  <c r="AH16" i="7" s="1"/>
  <c r="E17" i="7"/>
  <c r="G17" i="7" s="1"/>
  <c r="I17" i="7" s="1"/>
  <c r="K17" i="7" s="1"/>
  <c r="M17" i="7" s="1"/>
  <c r="O17" i="7" s="1"/>
  <c r="Q17" i="7" s="1"/>
  <c r="S17" i="7" s="1"/>
  <c r="U17" i="7" s="1"/>
  <c r="W17" i="7" s="1"/>
  <c r="Y17" i="7" s="1"/>
  <c r="AA17" i="7" s="1"/>
  <c r="AC17" i="7" s="1"/>
  <c r="AE17" i="7" s="1"/>
  <c r="AG17" i="7" s="1"/>
  <c r="F17" i="7"/>
  <c r="H17" i="7"/>
  <c r="J17" i="7"/>
  <c r="L17" i="7" s="1"/>
  <c r="N17" i="7" s="1"/>
  <c r="P17" i="7" s="1"/>
  <c r="R17" i="7" s="1"/>
  <c r="T17" i="7" s="1"/>
  <c r="V17" i="7" s="1"/>
  <c r="X17" i="7" s="1"/>
  <c r="Z17" i="7" s="1"/>
  <c r="AB17" i="7" s="1"/>
  <c r="AD17" i="7" s="1"/>
  <c r="AF17" i="7" s="1"/>
  <c r="AH17" i="7" s="1"/>
  <c r="E18" i="7"/>
  <c r="G18" i="7" s="1"/>
  <c r="I18" i="7" s="1"/>
  <c r="K18" i="7" s="1"/>
  <c r="F18" i="7"/>
  <c r="H18" i="7" s="1"/>
  <c r="J18" i="7" s="1"/>
  <c r="L18" i="7" s="1"/>
  <c r="N18" i="7" s="1"/>
  <c r="P18" i="7" s="1"/>
  <c r="R18" i="7" s="1"/>
  <c r="T18" i="7" s="1"/>
  <c r="V18" i="7" s="1"/>
  <c r="X18" i="7" s="1"/>
  <c r="Z18" i="7" s="1"/>
  <c r="AB18" i="7" s="1"/>
  <c r="AD18" i="7" s="1"/>
  <c r="AF18" i="7" s="1"/>
  <c r="AH18" i="7" s="1"/>
  <c r="M18" i="7"/>
  <c r="O18" i="7" s="1"/>
  <c r="Q18" i="7" s="1"/>
  <c r="S18" i="7" s="1"/>
  <c r="U18" i="7"/>
  <c r="W18" i="7" s="1"/>
  <c r="Y18" i="7" s="1"/>
  <c r="AA18" i="7" s="1"/>
  <c r="AC18" i="7" s="1"/>
  <c r="AE18" i="7" s="1"/>
  <c r="AG18" i="7" s="1"/>
  <c r="E19" i="7"/>
  <c r="F19" i="7"/>
  <c r="H19" i="7" s="1"/>
  <c r="J19" i="7" s="1"/>
  <c r="G19" i="7"/>
  <c r="I19" i="7" s="1"/>
  <c r="K19" i="7" s="1"/>
  <c r="M19" i="7" s="1"/>
  <c r="L19" i="7"/>
  <c r="N19" i="7" s="1"/>
  <c r="P19" i="7" s="1"/>
  <c r="R19" i="7" s="1"/>
  <c r="T19" i="7" s="1"/>
  <c r="V19" i="7" s="1"/>
  <c r="X19" i="7" s="1"/>
  <c r="Z19" i="7" s="1"/>
  <c r="AB19" i="7" s="1"/>
  <c r="AD19" i="7" s="1"/>
  <c r="AF19" i="7" s="1"/>
  <c r="AH19" i="7" s="1"/>
  <c r="O19" i="7"/>
  <c r="Q19" i="7" s="1"/>
  <c r="S19" i="7" s="1"/>
  <c r="U19" i="7" s="1"/>
  <c r="W19" i="7" s="1"/>
  <c r="Y19" i="7" s="1"/>
  <c r="AA19" i="7" s="1"/>
  <c r="AC19" i="7" s="1"/>
  <c r="AE19" i="7"/>
  <c r="AG19" i="7" s="1"/>
  <c r="E20" i="7"/>
  <c r="G20" i="7" s="1"/>
  <c r="F20" i="7"/>
  <c r="H20" i="7" s="1"/>
  <c r="J20" i="7" s="1"/>
  <c r="L20" i="7" s="1"/>
  <c r="N20" i="7" s="1"/>
  <c r="P20" i="7" s="1"/>
  <c r="R20" i="7" s="1"/>
  <c r="T20" i="7" s="1"/>
  <c r="I20" i="7"/>
  <c r="K20" i="7" s="1"/>
  <c r="M20" i="7" s="1"/>
  <c r="O20" i="7" s="1"/>
  <c r="Q20" i="7" s="1"/>
  <c r="S20" i="7" s="1"/>
  <c r="U20" i="7" s="1"/>
  <c r="W20" i="7" s="1"/>
  <c r="Y20" i="7" s="1"/>
  <c r="AA20" i="7" s="1"/>
  <c r="AC20" i="7" s="1"/>
  <c r="AE20" i="7" s="1"/>
  <c r="AG20" i="7" s="1"/>
  <c r="V20" i="7"/>
  <c r="X20" i="7" s="1"/>
  <c r="Z20" i="7" s="1"/>
  <c r="AB20" i="7" s="1"/>
  <c r="AD20" i="7" s="1"/>
  <c r="AF20" i="7" s="1"/>
  <c r="AH20" i="7" s="1"/>
  <c r="E21" i="7"/>
  <c r="G21" i="7" s="1"/>
  <c r="I21" i="7" s="1"/>
  <c r="F21" i="7"/>
  <c r="H21" i="7"/>
  <c r="J21" i="7" s="1"/>
  <c r="L21" i="7" s="1"/>
  <c r="N21" i="7" s="1"/>
  <c r="P21" i="7" s="1"/>
  <c r="R21" i="7" s="1"/>
  <c r="T21" i="7" s="1"/>
  <c r="V21" i="7" s="1"/>
  <c r="X21" i="7" s="1"/>
  <c r="Z21" i="7" s="1"/>
  <c r="AB21" i="7" s="1"/>
  <c r="AD21" i="7" s="1"/>
  <c r="AF21" i="7" s="1"/>
  <c r="AH21" i="7" s="1"/>
  <c r="K21" i="7"/>
  <c r="M21" i="7" s="1"/>
  <c r="O21" i="7" s="1"/>
  <c r="Q21" i="7" s="1"/>
  <c r="S21" i="7" s="1"/>
  <c r="U21" i="7" s="1"/>
  <c r="W21" i="7" s="1"/>
  <c r="Y21" i="7" s="1"/>
  <c r="AA21" i="7" s="1"/>
  <c r="AC21" i="7" s="1"/>
  <c r="AE21" i="7" s="1"/>
  <c r="AG21" i="7" s="1"/>
  <c r="E22" i="7"/>
  <c r="G22" i="7" s="1"/>
  <c r="F22" i="7"/>
  <c r="H22" i="7" s="1"/>
  <c r="I22" i="7"/>
  <c r="K22" i="7" s="1"/>
  <c r="M22" i="7" s="1"/>
  <c r="O22" i="7" s="1"/>
  <c r="Q22" i="7" s="1"/>
  <c r="S22" i="7" s="1"/>
  <c r="U22" i="7" s="1"/>
  <c r="W22" i="7" s="1"/>
  <c r="Y22" i="7" s="1"/>
  <c r="AA22" i="7" s="1"/>
  <c r="AC22" i="7" s="1"/>
  <c r="AE22" i="7" s="1"/>
  <c r="AG22" i="7" s="1"/>
  <c r="J22" i="7"/>
  <c r="L22" i="7"/>
  <c r="N22" i="7"/>
  <c r="P22" i="7" s="1"/>
  <c r="R22" i="7" s="1"/>
  <c r="T22" i="7"/>
  <c r="V22" i="7" s="1"/>
  <c r="X22" i="7" s="1"/>
  <c r="Z22" i="7" s="1"/>
  <c r="AB22" i="7" s="1"/>
  <c r="AD22" i="7" s="1"/>
  <c r="AF22" i="7" s="1"/>
  <c r="AH22" i="7" s="1"/>
  <c r="E23" i="7"/>
  <c r="F23" i="7"/>
  <c r="H23" i="7" s="1"/>
  <c r="J23" i="7" s="1"/>
  <c r="L23" i="7" s="1"/>
  <c r="N23" i="7" s="1"/>
  <c r="P23" i="7" s="1"/>
  <c r="R23" i="7" s="1"/>
  <c r="G23" i="7"/>
  <c r="I23" i="7"/>
  <c r="K23" i="7" s="1"/>
  <c r="M23" i="7" s="1"/>
  <c r="O23" i="7" s="1"/>
  <c r="Q23" i="7" s="1"/>
  <c r="S23" i="7" s="1"/>
  <c r="U23" i="7" s="1"/>
  <c r="W23" i="7" s="1"/>
  <c r="Y23" i="7" s="1"/>
  <c r="AA23" i="7" s="1"/>
  <c r="AC23" i="7" s="1"/>
  <c r="T23" i="7"/>
  <c r="V23" i="7" s="1"/>
  <c r="X23" i="7" s="1"/>
  <c r="Z23" i="7" s="1"/>
  <c r="AB23" i="7" s="1"/>
  <c r="AD23" i="7" s="1"/>
  <c r="AF23" i="7" s="1"/>
  <c r="AH23" i="7" s="1"/>
  <c r="AE23" i="7"/>
  <c r="AG23" i="7" s="1"/>
  <c r="E24" i="7"/>
  <c r="G24" i="7" s="1"/>
  <c r="F24" i="7"/>
  <c r="H24" i="7" s="1"/>
  <c r="J24" i="7" s="1"/>
  <c r="L24" i="7" s="1"/>
  <c r="N24" i="7" s="1"/>
  <c r="P24" i="7" s="1"/>
  <c r="R24" i="7" s="1"/>
  <c r="T24" i="7" s="1"/>
  <c r="V24" i="7" s="1"/>
  <c r="X24" i="7" s="1"/>
  <c r="Z24" i="7" s="1"/>
  <c r="AB24" i="7" s="1"/>
  <c r="I24" i="7"/>
  <c r="K24" i="7"/>
  <c r="M24" i="7" s="1"/>
  <c r="O24" i="7" s="1"/>
  <c r="Q24" i="7" s="1"/>
  <c r="S24" i="7" s="1"/>
  <c r="U24" i="7"/>
  <c r="W24" i="7" s="1"/>
  <c r="Y24" i="7" s="1"/>
  <c r="AA24" i="7" s="1"/>
  <c r="AC24" i="7" s="1"/>
  <c r="AE24" i="7" s="1"/>
  <c r="AG24" i="7" s="1"/>
  <c r="AD24" i="7"/>
  <c r="AF24" i="7" s="1"/>
  <c r="AH24" i="7" s="1"/>
  <c r="E25" i="7"/>
  <c r="G25" i="7" s="1"/>
  <c r="I25" i="7" s="1"/>
  <c r="K25" i="7" s="1"/>
  <c r="M25" i="7" s="1"/>
  <c r="O25" i="7" s="1"/>
  <c r="Q25" i="7" s="1"/>
  <c r="S25" i="7" s="1"/>
  <c r="U25" i="7" s="1"/>
  <c r="W25" i="7" s="1"/>
  <c r="Y25" i="7" s="1"/>
  <c r="AA25" i="7" s="1"/>
  <c r="AC25" i="7" s="1"/>
  <c r="AE25" i="7" s="1"/>
  <c r="AG25" i="7" s="1"/>
  <c r="F25" i="7"/>
  <c r="H25" i="7" s="1"/>
  <c r="J25" i="7"/>
  <c r="L25" i="7" s="1"/>
  <c r="N25" i="7" s="1"/>
  <c r="P25" i="7" s="1"/>
  <c r="R25" i="7" s="1"/>
  <c r="T25" i="7" s="1"/>
  <c r="V25" i="7" s="1"/>
  <c r="X25" i="7" s="1"/>
  <c r="Z25" i="7" s="1"/>
  <c r="AB25" i="7" s="1"/>
  <c r="AD25" i="7" s="1"/>
  <c r="AF25" i="7" s="1"/>
  <c r="AH25" i="7" s="1"/>
  <c r="E26" i="7"/>
  <c r="F26" i="7"/>
  <c r="G26" i="7"/>
  <c r="I26" i="7" s="1"/>
  <c r="K26" i="7" s="1"/>
  <c r="M26" i="7" s="1"/>
  <c r="O26" i="7" s="1"/>
  <c r="Q26" i="7" s="1"/>
  <c r="S26" i="7" s="1"/>
  <c r="U26" i="7" s="1"/>
  <c r="W26" i="7" s="1"/>
  <c r="H26" i="7"/>
  <c r="J26" i="7" s="1"/>
  <c r="L26" i="7" s="1"/>
  <c r="N26" i="7" s="1"/>
  <c r="P26" i="7" s="1"/>
  <c r="R26" i="7" s="1"/>
  <c r="T26" i="7" s="1"/>
  <c r="V26" i="7" s="1"/>
  <c r="X26" i="7" s="1"/>
  <c r="Z26" i="7" s="1"/>
  <c r="AB26" i="7" s="1"/>
  <c r="AD26" i="7" s="1"/>
  <c r="AF26" i="7" s="1"/>
  <c r="AH26" i="7" s="1"/>
  <c r="Y26" i="7"/>
  <c r="AA26" i="7" s="1"/>
  <c r="AC26" i="7" s="1"/>
  <c r="AE26" i="7" s="1"/>
  <c r="AG26" i="7" s="1"/>
  <c r="E27" i="7"/>
  <c r="F27" i="7"/>
  <c r="H27" i="7" s="1"/>
  <c r="J27" i="7" s="1"/>
  <c r="G27" i="7"/>
  <c r="I27" i="7"/>
  <c r="K27" i="7" s="1"/>
  <c r="M27" i="7" s="1"/>
  <c r="O27" i="7" s="1"/>
  <c r="Q27" i="7" s="1"/>
  <c r="S27" i="7" s="1"/>
  <c r="U27" i="7" s="1"/>
  <c r="W27" i="7" s="1"/>
  <c r="Y27" i="7" s="1"/>
  <c r="AA27" i="7" s="1"/>
  <c r="AC27" i="7" s="1"/>
  <c r="L27" i="7"/>
  <c r="N27" i="7" s="1"/>
  <c r="P27" i="7" s="1"/>
  <c r="R27" i="7" s="1"/>
  <c r="T27" i="7" s="1"/>
  <c r="V27" i="7" s="1"/>
  <c r="X27" i="7" s="1"/>
  <c r="Z27" i="7" s="1"/>
  <c r="AB27" i="7" s="1"/>
  <c r="AD27" i="7" s="1"/>
  <c r="AF27" i="7" s="1"/>
  <c r="AH27" i="7" s="1"/>
  <c r="AE27" i="7"/>
  <c r="AG27" i="7" s="1"/>
  <c r="E28" i="7"/>
  <c r="G28" i="7" s="1"/>
  <c r="I28" i="7" s="1"/>
  <c r="K28" i="7" s="1"/>
  <c r="M28" i="7" s="1"/>
  <c r="O28" i="7" s="1"/>
  <c r="Q28" i="7" s="1"/>
  <c r="S28" i="7" s="1"/>
  <c r="U28" i="7" s="1"/>
  <c r="W28" i="7" s="1"/>
  <c r="Y28" i="7" s="1"/>
  <c r="AA28" i="7" s="1"/>
  <c r="AC28" i="7" s="1"/>
  <c r="AE28" i="7" s="1"/>
  <c r="AG28" i="7" s="1"/>
  <c r="F28" i="7"/>
  <c r="H28" i="7" s="1"/>
  <c r="J28" i="7"/>
  <c r="L28" i="7" s="1"/>
  <c r="N28" i="7" s="1"/>
  <c r="P28" i="7" s="1"/>
  <c r="R28" i="7"/>
  <c r="T28" i="7" s="1"/>
  <c r="V28" i="7" s="1"/>
  <c r="X28" i="7" s="1"/>
  <c r="Z28" i="7" s="1"/>
  <c r="AB28" i="7" s="1"/>
  <c r="AD28" i="7" s="1"/>
  <c r="AF28" i="7" s="1"/>
  <c r="AH28" i="7" s="1"/>
  <c r="E29" i="7"/>
  <c r="G29" i="7" s="1"/>
  <c r="I29" i="7" s="1"/>
  <c r="K29" i="7" s="1"/>
  <c r="M29" i="7" s="1"/>
  <c r="O29" i="7" s="1"/>
  <c r="Q29" i="7" s="1"/>
  <c r="S29" i="7" s="1"/>
  <c r="U29" i="7" s="1"/>
  <c r="W29" i="7" s="1"/>
  <c r="Y29" i="7" s="1"/>
  <c r="AA29" i="7" s="1"/>
  <c r="AC29" i="7" s="1"/>
  <c r="AE29" i="7" s="1"/>
  <c r="AG29" i="7" s="1"/>
  <c r="F29" i="7"/>
  <c r="H29" i="7" s="1"/>
  <c r="J29" i="7" s="1"/>
  <c r="L29" i="7" s="1"/>
  <c r="N29" i="7" s="1"/>
  <c r="P29" i="7" s="1"/>
  <c r="R29" i="7" s="1"/>
  <c r="T29" i="7" s="1"/>
  <c r="V29" i="7" s="1"/>
  <c r="X29" i="7" s="1"/>
  <c r="Z29" i="7" s="1"/>
  <c r="AB29" i="7" s="1"/>
  <c r="AD29" i="7" s="1"/>
  <c r="AF29" i="7" s="1"/>
  <c r="AH29" i="7" s="1"/>
  <c r="E30" i="7"/>
  <c r="F30" i="7"/>
  <c r="H30" i="7" s="1"/>
  <c r="J30" i="7" s="1"/>
  <c r="L30" i="7" s="1"/>
  <c r="G30" i="7"/>
  <c r="I30" i="7" s="1"/>
  <c r="K30" i="7" s="1"/>
  <c r="M30" i="7" s="1"/>
  <c r="O30" i="7" s="1"/>
  <c r="Q30" i="7" s="1"/>
  <c r="S30" i="7" s="1"/>
  <c r="U30" i="7" s="1"/>
  <c r="W30" i="7" s="1"/>
  <c r="Y30" i="7" s="1"/>
  <c r="AA30" i="7" s="1"/>
  <c r="AC30" i="7" s="1"/>
  <c r="AE30" i="7" s="1"/>
  <c r="AG30" i="7" s="1"/>
  <c r="N30" i="7"/>
  <c r="P30" i="7" s="1"/>
  <c r="R30" i="7" s="1"/>
  <c r="T30" i="7" s="1"/>
  <c r="V30" i="7"/>
  <c r="X30" i="7" s="1"/>
  <c r="Z30" i="7" s="1"/>
  <c r="AB30" i="7" s="1"/>
  <c r="AD30" i="7" s="1"/>
  <c r="AF30" i="7" s="1"/>
  <c r="AH30" i="7" s="1"/>
  <c r="E31" i="7"/>
  <c r="G31" i="7" s="1"/>
  <c r="I31" i="7" s="1"/>
  <c r="K31" i="7" s="1"/>
  <c r="M31" i="7" s="1"/>
  <c r="O31" i="7" s="1"/>
  <c r="Q31" i="7" s="1"/>
  <c r="S31" i="7" s="1"/>
  <c r="U31" i="7" s="1"/>
  <c r="W31" i="7" s="1"/>
  <c r="Y31" i="7" s="1"/>
  <c r="AA31" i="7" s="1"/>
  <c r="AC31" i="7" s="1"/>
  <c r="AE31" i="7" s="1"/>
  <c r="AG31" i="7" s="1"/>
  <c r="F31" i="7"/>
  <c r="H31" i="7"/>
  <c r="J31" i="7" s="1"/>
  <c r="L31" i="7" s="1"/>
  <c r="N31" i="7" s="1"/>
  <c r="P31" i="7" s="1"/>
  <c r="R31" i="7" s="1"/>
  <c r="T31" i="7" s="1"/>
  <c r="V31" i="7" s="1"/>
  <c r="X31" i="7" s="1"/>
  <c r="Z31" i="7" s="1"/>
  <c r="AB31" i="7" s="1"/>
  <c r="AD31" i="7" s="1"/>
  <c r="AF31" i="7" s="1"/>
  <c r="AH31" i="7" s="1"/>
  <c r="E32" i="7"/>
  <c r="F32" i="7"/>
  <c r="H32" i="7" s="1"/>
  <c r="J32" i="7" s="1"/>
  <c r="L32" i="7" s="1"/>
  <c r="N32" i="7" s="1"/>
  <c r="P32" i="7" s="1"/>
  <c r="G32" i="7"/>
  <c r="I32" i="7" s="1"/>
  <c r="K32" i="7" s="1"/>
  <c r="M32" i="7" s="1"/>
  <c r="O32" i="7" s="1"/>
  <c r="Q32" i="7" s="1"/>
  <c r="S32" i="7" s="1"/>
  <c r="U32" i="7" s="1"/>
  <c r="W32" i="7" s="1"/>
  <c r="Y32" i="7" s="1"/>
  <c r="AA32" i="7" s="1"/>
  <c r="AC32" i="7" s="1"/>
  <c r="AE32" i="7" s="1"/>
  <c r="AG32" i="7" s="1"/>
  <c r="R32" i="7"/>
  <c r="T32" i="7" s="1"/>
  <c r="V32" i="7" s="1"/>
  <c r="X32" i="7" s="1"/>
  <c r="Z32" i="7" s="1"/>
  <c r="AB32" i="7" s="1"/>
  <c r="AD32" i="7" s="1"/>
  <c r="AF32" i="7" s="1"/>
  <c r="AH32" i="7" s="1"/>
  <c r="E33" i="7"/>
  <c r="G33" i="7" s="1"/>
  <c r="I33" i="7" s="1"/>
  <c r="K33" i="7" s="1"/>
  <c r="M33" i="7" s="1"/>
  <c r="O33" i="7" s="1"/>
  <c r="Q33" i="7" s="1"/>
  <c r="S33" i="7" s="1"/>
  <c r="U33" i="7" s="1"/>
  <c r="W33" i="7" s="1"/>
  <c r="Y33" i="7" s="1"/>
  <c r="AA33" i="7" s="1"/>
  <c r="AC33" i="7" s="1"/>
  <c r="AE33" i="7" s="1"/>
  <c r="AG33" i="7" s="1"/>
  <c r="F33" i="7"/>
  <c r="H33" i="7" s="1"/>
  <c r="J33" i="7" s="1"/>
  <c r="L33" i="7" s="1"/>
  <c r="N33" i="7" s="1"/>
  <c r="P33" i="7" s="1"/>
  <c r="R33" i="7" s="1"/>
  <c r="T33" i="7" s="1"/>
  <c r="V33" i="7" s="1"/>
  <c r="X33" i="7" s="1"/>
  <c r="Z33" i="7" s="1"/>
  <c r="AB33" i="7" s="1"/>
  <c r="AD33" i="7" s="1"/>
  <c r="AF33" i="7" s="1"/>
  <c r="AH33" i="7" s="1"/>
  <c r="E34" i="7"/>
  <c r="F34" i="7"/>
  <c r="H34" i="7" s="1"/>
  <c r="J34" i="7" s="1"/>
  <c r="L34" i="7" s="1"/>
  <c r="G34" i="7"/>
  <c r="I34" i="7" s="1"/>
  <c r="K34" i="7" s="1"/>
  <c r="M34" i="7" s="1"/>
  <c r="O34" i="7" s="1"/>
  <c r="Q34" i="7" s="1"/>
  <c r="S34" i="7" s="1"/>
  <c r="U34" i="7" s="1"/>
  <c r="W34" i="7" s="1"/>
  <c r="Y34" i="7" s="1"/>
  <c r="AA34" i="7" s="1"/>
  <c r="AC34" i="7" s="1"/>
  <c r="AE34" i="7" s="1"/>
  <c r="AG34" i="7" s="1"/>
  <c r="N34" i="7"/>
  <c r="P34" i="7" s="1"/>
  <c r="R34" i="7" s="1"/>
  <c r="T34" i="7" s="1"/>
  <c r="V34" i="7" s="1"/>
  <c r="X34" i="7" s="1"/>
  <c r="Z34" i="7" s="1"/>
  <c r="AB34" i="7" s="1"/>
  <c r="AD34" i="7" s="1"/>
  <c r="AF34" i="7" s="1"/>
  <c r="AH34" i="7" s="1"/>
  <c r="E35" i="7"/>
  <c r="G35" i="7" s="1"/>
  <c r="I35" i="7" s="1"/>
  <c r="K35" i="7" s="1"/>
  <c r="M35" i="7" s="1"/>
  <c r="O35" i="7" s="1"/>
  <c r="Q35" i="7" s="1"/>
  <c r="S35" i="7" s="1"/>
  <c r="U35" i="7" s="1"/>
  <c r="W35" i="7" s="1"/>
  <c r="Y35" i="7" s="1"/>
  <c r="AA35" i="7" s="1"/>
  <c r="AC35" i="7" s="1"/>
  <c r="AE35" i="7" s="1"/>
  <c r="AG35" i="7" s="1"/>
  <c r="F35" i="7"/>
  <c r="H35" i="7"/>
  <c r="J35" i="7" s="1"/>
  <c r="L35" i="7" s="1"/>
  <c r="N35" i="7" s="1"/>
  <c r="P35" i="7" s="1"/>
  <c r="R35" i="7" s="1"/>
  <c r="T35" i="7" s="1"/>
  <c r="V35" i="7" s="1"/>
  <c r="X35" i="7" s="1"/>
  <c r="Z35" i="7" s="1"/>
  <c r="AB35" i="7" s="1"/>
  <c r="AD35" i="7" s="1"/>
  <c r="AF35" i="7" s="1"/>
  <c r="AH35" i="7" s="1"/>
  <c r="E36" i="7"/>
  <c r="F36" i="7"/>
  <c r="H36" i="7" s="1"/>
  <c r="J36" i="7" s="1"/>
  <c r="L36" i="7" s="1"/>
  <c r="N36" i="7" s="1"/>
  <c r="P36" i="7" s="1"/>
  <c r="G36" i="7"/>
  <c r="I36" i="7" s="1"/>
  <c r="K36" i="7" s="1"/>
  <c r="M36" i="7" s="1"/>
  <c r="O36" i="7" s="1"/>
  <c r="Q36" i="7" s="1"/>
  <c r="S36" i="7" s="1"/>
  <c r="U36" i="7" s="1"/>
  <c r="W36" i="7" s="1"/>
  <c r="Y36" i="7" s="1"/>
  <c r="AA36" i="7" s="1"/>
  <c r="AC36" i="7" s="1"/>
  <c r="AE36" i="7" s="1"/>
  <c r="AG36" i="7" s="1"/>
  <c r="R36" i="7"/>
  <c r="T36" i="7" s="1"/>
  <c r="V36" i="7" s="1"/>
  <c r="X36" i="7" s="1"/>
  <c r="Z36" i="7" s="1"/>
  <c r="AB36" i="7" s="1"/>
  <c r="AD36" i="7" s="1"/>
  <c r="AF36" i="7" s="1"/>
  <c r="AH36" i="7" s="1"/>
  <c r="E37" i="7"/>
  <c r="G37" i="7" s="1"/>
  <c r="I37" i="7" s="1"/>
  <c r="K37" i="7" s="1"/>
  <c r="M37" i="7" s="1"/>
  <c r="O37" i="7" s="1"/>
  <c r="Q37" i="7" s="1"/>
  <c r="S37" i="7" s="1"/>
  <c r="U37" i="7" s="1"/>
  <c r="W37" i="7" s="1"/>
  <c r="Y37" i="7" s="1"/>
  <c r="AA37" i="7" s="1"/>
  <c r="AC37" i="7" s="1"/>
  <c r="AE37" i="7" s="1"/>
  <c r="AG37" i="7" s="1"/>
  <c r="F37" i="7"/>
  <c r="H37" i="7" s="1"/>
  <c r="J37" i="7" s="1"/>
  <c r="L37" i="7" s="1"/>
  <c r="N37" i="7" s="1"/>
  <c r="P37" i="7" s="1"/>
  <c r="R37" i="7" s="1"/>
  <c r="T37" i="7" s="1"/>
  <c r="V37" i="7" s="1"/>
  <c r="X37" i="7" s="1"/>
  <c r="Z37" i="7" s="1"/>
  <c r="AB37" i="7" s="1"/>
  <c r="AD37" i="7" s="1"/>
  <c r="AF37" i="7" s="1"/>
  <c r="AH37" i="7" s="1"/>
  <c r="E38" i="7"/>
  <c r="F38" i="7"/>
  <c r="G38" i="7"/>
  <c r="I38" i="7" s="1"/>
  <c r="K38" i="7" s="1"/>
  <c r="M38" i="7" s="1"/>
  <c r="O38" i="7" s="1"/>
  <c r="Q38" i="7" s="1"/>
  <c r="S38" i="7" s="1"/>
  <c r="U38" i="7" s="1"/>
  <c r="W38" i="7" s="1"/>
  <c r="Y38" i="7" s="1"/>
  <c r="AA38" i="7" s="1"/>
  <c r="AC38" i="7" s="1"/>
  <c r="AE38" i="7" s="1"/>
  <c r="AG38" i="7" s="1"/>
  <c r="H38" i="7"/>
  <c r="J38" i="7"/>
  <c r="L38" i="7" s="1"/>
  <c r="N38" i="7" s="1"/>
  <c r="P38" i="7" s="1"/>
  <c r="R38" i="7" s="1"/>
  <c r="T38" i="7" s="1"/>
  <c r="V38" i="7" s="1"/>
  <c r="X38" i="7" s="1"/>
  <c r="Z38" i="7" s="1"/>
  <c r="AB38" i="7" s="1"/>
  <c r="AD38" i="7" s="1"/>
  <c r="AF38" i="7" s="1"/>
  <c r="AH38" i="7" s="1"/>
  <c r="E39" i="7"/>
  <c r="G39" i="7" s="1"/>
  <c r="I39" i="7" s="1"/>
  <c r="K39" i="7" s="1"/>
  <c r="F39" i="7"/>
  <c r="H39" i="7"/>
  <c r="J39" i="7"/>
  <c r="L39" i="7" s="1"/>
  <c r="N39" i="7" s="1"/>
  <c r="P39" i="7" s="1"/>
  <c r="R39" i="7" s="1"/>
  <c r="T39" i="7" s="1"/>
  <c r="V39" i="7" s="1"/>
  <c r="X39" i="7" s="1"/>
  <c r="Z39" i="7" s="1"/>
  <c r="AB39" i="7" s="1"/>
  <c r="AD39" i="7" s="1"/>
  <c r="AF39" i="7" s="1"/>
  <c r="AH39" i="7" s="1"/>
  <c r="M39" i="7"/>
  <c r="O39" i="7" s="1"/>
  <c r="Q39" i="7" s="1"/>
  <c r="S39" i="7" s="1"/>
  <c r="U39" i="7"/>
  <c r="W39" i="7" s="1"/>
  <c r="Y39" i="7" s="1"/>
  <c r="AA39" i="7" s="1"/>
  <c r="AC39" i="7" s="1"/>
  <c r="AE39" i="7" s="1"/>
  <c r="AG39" i="7" s="1"/>
  <c r="E40" i="7"/>
  <c r="F40" i="7"/>
  <c r="H40" i="7" s="1"/>
  <c r="J40" i="7" s="1"/>
  <c r="L40" i="7" s="1"/>
  <c r="N40" i="7" s="1"/>
  <c r="P40" i="7" s="1"/>
  <c r="R40" i="7" s="1"/>
  <c r="T40" i="7" s="1"/>
  <c r="V40" i="7" s="1"/>
  <c r="X40" i="7" s="1"/>
  <c r="Z40" i="7" s="1"/>
  <c r="AB40" i="7" s="1"/>
  <c r="AD40" i="7" s="1"/>
  <c r="AF40" i="7" s="1"/>
  <c r="AH40" i="7" s="1"/>
  <c r="G40" i="7"/>
  <c r="I40" i="7" s="1"/>
  <c r="K40" i="7" s="1"/>
  <c r="M40" i="7" s="1"/>
  <c r="O40" i="7" s="1"/>
  <c r="Q40" i="7" s="1"/>
  <c r="S40" i="7" s="1"/>
  <c r="U40" i="7" s="1"/>
  <c r="W40" i="7" s="1"/>
  <c r="Y40" i="7" s="1"/>
  <c r="AA40" i="7" s="1"/>
  <c r="AC40" i="7" s="1"/>
  <c r="AE40" i="7" s="1"/>
  <c r="AG40" i="7" s="1"/>
  <c r="E41" i="7"/>
  <c r="G41" i="7" s="1"/>
  <c r="F41" i="7"/>
  <c r="H41" i="7" s="1"/>
  <c r="J41" i="7" s="1"/>
  <c r="L41" i="7" s="1"/>
  <c r="N41" i="7" s="1"/>
  <c r="P41" i="7" s="1"/>
  <c r="R41" i="7" s="1"/>
  <c r="T41" i="7" s="1"/>
  <c r="V41" i="7" s="1"/>
  <c r="X41" i="7" s="1"/>
  <c r="Z41" i="7" s="1"/>
  <c r="AB41" i="7" s="1"/>
  <c r="AD41" i="7" s="1"/>
  <c r="AF41" i="7" s="1"/>
  <c r="AH41" i="7" s="1"/>
  <c r="I41" i="7"/>
  <c r="K41" i="7" s="1"/>
  <c r="M41" i="7" s="1"/>
  <c r="O41" i="7" s="1"/>
  <c r="Q41" i="7" s="1"/>
  <c r="S41" i="7" s="1"/>
  <c r="U41" i="7" s="1"/>
  <c r="W41" i="7" s="1"/>
  <c r="Y41" i="7" s="1"/>
  <c r="AA41" i="7" s="1"/>
  <c r="AC41" i="7" s="1"/>
  <c r="AE41" i="7" s="1"/>
  <c r="AG41" i="7" s="1"/>
  <c r="E42" i="7"/>
  <c r="F42" i="7"/>
  <c r="H42" i="7" s="1"/>
  <c r="J42" i="7" s="1"/>
  <c r="L42" i="7" s="1"/>
  <c r="N42" i="7" s="1"/>
  <c r="P42" i="7" s="1"/>
  <c r="R42" i="7" s="1"/>
  <c r="T42" i="7" s="1"/>
  <c r="V42" i="7" s="1"/>
  <c r="X42" i="7" s="1"/>
  <c r="Z42" i="7" s="1"/>
  <c r="AB42" i="7" s="1"/>
  <c r="AD42" i="7" s="1"/>
  <c r="AF42" i="7" s="1"/>
  <c r="G42" i="7"/>
  <c r="I42" i="7" s="1"/>
  <c r="K42" i="7"/>
  <c r="M42" i="7" s="1"/>
  <c r="O42" i="7" s="1"/>
  <c r="Q42" i="7" s="1"/>
  <c r="S42" i="7"/>
  <c r="U42" i="7" s="1"/>
  <c r="W42" i="7" s="1"/>
  <c r="Y42" i="7" s="1"/>
  <c r="AA42" i="7" s="1"/>
  <c r="AC42" i="7" s="1"/>
  <c r="AE42" i="7" s="1"/>
  <c r="AG42" i="7" s="1"/>
  <c r="AH42" i="7"/>
  <c r="E43" i="7"/>
  <c r="G43" i="7" s="1"/>
  <c r="I43" i="7" s="1"/>
  <c r="K43" i="7" s="1"/>
  <c r="F43" i="7"/>
  <c r="H43" i="7" s="1"/>
  <c r="J43" i="7" s="1"/>
  <c r="L43" i="7" s="1"/>
  <c r="N43" i="7" s="1"/>
  <c r="M43" i="7"/>
  <c r="O43" i="7" s="1"/>
  <c r="Q43" i="7" s="1"/>
  <c r="S43" i="7" s="1"/>
  <c r="P43" i="7"/>
  <c r="R43" i="7" s="1"/>
  <c r="T43" i="7" s="1"/>
  <c r="V43" i="7" s="1"/>
  <c r="X43" i="7" s="1"/>
  <c r="Z43" i="7" s="1"/>
  <c r="AB43" i="7" s="1"/>
  <c r="AD43" i="7" s="1"/>
  <c r="AF43" i="7" s="1"/>
  <c r="AH43" i="7" s="1"/>
  <c r="U43" i="7"/>
  <c r="W43" i="7" s="1"/>
  <c r="Y43" i="7" s="1"/>
  <c r="AA43" i="7" s="1"/>
  <c r="AC43" i="7"/>
  <c r="AE43" i="7" s="1"/>
  <c r="AG43" i="7" s="1"/>
  <c r="E44" i="7"/>
  <c r="F44" i="7"/>
  <c r="H44" i="7" s="1"/>
  <c r="J44" i="7" s="1"/>
  <c r="L44" i="7" s="1"/>
  <c r="N44" i="7" s="1"/>
  <c r="P44" i="7" s="1"/>
  <c r="R44" i="7" s="1"/>
  <c r="T44" i="7" s="1"/>
  <c r="V44" i="7" s="1"/>
  <c r="X44" i="7" s="1"/>
  <c r="Z44" i="7" s="1"/>
  <c r="AB44" i="7" s="1"/>
  <c r="AD44" i="7" s="1"/>
  <c r="AF44" i="7" s="1"/>
  <c r="AH44" i="7" s="1"/>
  <c r="G44" i="7"/>
  <c r="I44" i="7" s="1"/>
  <c r="K44" i="7" s="1"/>
  <c r="M44" i="7" s="1"/>
  <c r="O44" i="7" s="1"/>
  <c r="Q44" i="7" s="1"/>
  <c r="S44" i="7" s="1"/>
  <c r="U44" i="7" s="1"/>
  <c r="W44" i="7" s="1"/>
  <c r="Y44" i="7" s="1"/>
  <c r="AA44" i="7" s="1"/>
  <c r="AC44" i="7" s="1"/>
  <c r="AE44" i="7" s="1"/>
  <c r="AG44" i="7" s="1"/>
  <c r="E45" i="7"/>
  <c r="G45" i="7" s="1"/>
  <c r="I45" i="7" s="1"/>
  <c r="K45" i="7" s="1"/>
  <c r="M45" i="7" s="1"/>
  <c r="O45" i="7" s="1"/>
  <c r="F45" i="7"/>
  <c r="H45" i="7"/>
  <c r="J45" i="7" s="1"/>
  <c r="L45" i="7" s="1"/>
  <c r="N45" i="7" s="1"/>
  <c r="P45" i="7" s="1"/>
  <c r="R45" i="7" s="1"/>
  <c r="T45" i="7" s="1"/>
  <c r="V45" i="7" s="1"/>
  <c r="X45" i="7" s="1"/>
  <c r="Z45" i="7" s="1"/>
  <c r="AB45" i="7" s="1"/>
  <c r="Q45" i="7"/>
  <c r="S45" i="7" s="1"/>
  <c r="U45" i="7" s="1"/>
  <c r="W45" i="7" s="1"/>
  <c r="Y45" i="7" s="1"/>
  <c r="AA45" i="7" s="1"/>
  <c r="AC45" i="7" s="1"/>
  <c r="AE45" i="7" s="1"/>
  <c r="AG45" i="7" s="1"/>
  <c r="AD45" i="7"/>
  <c r="AF45" i="7" s="1"/>
  <c r="AH45" i="7" s="1"/>
  <c r="E46" i="7"/>
  <c r="F46" i="7"/>
  <c r="H46" i="7" s="1"/>
  <c r="G46" i="7"/>
  <c r="I46" i="7" s="1"/>
  <c r="K46" i="7" s="1"/>
  <c r="M46" i="7" s="1"/>
  <c r="O46" i="7" s="1"/>
  <c r="Q46" i="7" s="1"/>
  <c r="S46" i="7" s="1"/>
  <c r="U46" i="7" s="1"/>
  <c r="W46" i="7" s="1"/>
  <c r="Y46" i="7" s="1"/>
  <c r="AA46" i="7" s="1"/>
  <c r="AC46" i="7" s="1"/>
  <c r="AE46" i="7" s="1"/>
  <c r="AG46" i="7" s="1"/>
  <c r="J46" i="7"/>
  <c r="L46" i="7" s="1"/>
  <c r="N46" i="7" s="1"/>
  <c r="P46" i="7" s="1"/>
  <c r="R46" i="7" s="1"/>
  <c r="T46" i="7" s="1"/>
  <c r="V46" i="7"/>
  <c r="X46" i="7" s="1"/>
  <c r="Z46" i="7" s="1"/>
  <c r="AB46" i="7" s="1"/>
  <c r="AD46" i="7" s="1"/>
  <c r="AF46" i="7" s="1"/>
  <c r="AH46" i="7" s="1"/>
  <c r="E47" i="7"/>
  <c r="G47" i="7" s="1"/>
  <c r="I47" i="7" s="1"/>
  <c r="K47" i="7" s="1"/>
  <c r="M47" i="7" s="1"/>
  <c r="O47" i="7" s="1"/>
  <c r="Q47" i="7" s="1"/>
  <c r="S47" i="7" s="1"/>
  <c r="U47" i="7" s="1"/>
  <c r="W47" i="7" s="1"/>
  <c r="Y47" i="7" s="1"/>
  <c r="AA47" i="7" s="1"/>
  <c r="AC47" i="7" s="1"/>
  <c r="AE47" i="7" s="1"/>
  <c r="AG47" i="7" s="1"/>
  <c r="F47" i="7"/>
  <c r="H47" i="7"/>
  <c r="J47" i="7" s="1"/>
  <c r="L47" i="7" s="1"/>
  <c r="N47" i="7" s="1"/>
  <c r="P47" i="7" s="1"/>
  <c r="R47" i="7" s="1"/>
  <c r="T47" i="7" s="1"/>
  <c r="V47" i="7" s="1"/>
  <c r="X47" i="7" s="1"/>
  <c r="Z47" i="7" s="1"/>
  <c r="AB47" i="7" s="1"/>
  <c r="AD47" i="7" s="1"/>
  <c r="AF47" i="7" s="1"/>
  <c r="AH47" i="7" s="1"/>
  <c r="E48" i="7"/>
  <c r="F48" i="7"/>
  <c r="H48" i="7" s="1"/>
  <c r="J48" i="7" s="1"/>
  <c r="L48" i="7" s="1"/>
  <c r="N48" i="7" s="1"/>
  <c r="P48" i="7" s="1"/>
  <c r="R48" i="7" s="1"/>
  <c r="T48" i="7" s="1"/>
  <c r="V48" i="7" s="1"/>
  <c r="X48" i="7" s="1"/>
  <c r="Z48" i="7" s="1"/>
  <c r="AB48" i="7" s="1"/>
  <c r="AD48" i="7" s="1"/>
  <c r="AF48" i="7" s="1"/>
  <c r="AH48" i="7" s="1"/>
  <c r="G48" i="7"/>
  <c r="I48" i="7" s="1"/>
  <c r="K48" i="7" s="1"/>
  <c r="M48" i="7" s="1"/>
  <c r="O48" i="7" s="1"/>
  <c r="Q48" i="7" s="1"/>
  <c r="S48" i="7" s="1"/>
  <c r="U48" i="7" s="1"/>
  <c r="W48" i="7" s="1"/>
  <c r="Y48" i="7" s="1"/>
  <c r="AA48" i="7" s="1"/>
  <c r="AC48" i="7" s="1"/>
  <c r="AE48" i="7" s="1"/>
  <c r="AG48" i="7" s="1"/>
  <c r="E49" i="7"/>
  <c r="G49" i="7" s="1"/>
  <c r="F49" i="7"/>
  <c r="H49" i="7" s="1"/>
  <c r="J49" i="7" s="1"/>
  <c r="I49" i="7"/>
  <c r="K49" i="7" s="1"/>
  <c r="M49" i="7" s="1"/>
  <c r="O49" i="7" s="1"/>
  <c r="Q49" i="7" s="1"/>
  <c r="S49" i="7" s="1"/>
  <c r="U49" i="7" s="1"/>
  <c r="W49" i="7" s="1"/>
  <c r="Y49" i="7" s="1"/>
  <c r="AA49" i="7" s="1"/>
  <c r="AC49" i="7" s="1"/>
  <c r="AE49" i="7" s="1"/>
  <c r="AG49" i="7" s="1"/>
  <c r="L49" i="7"/>
  <c r="N49" i="7" s="1"/>
  <c r="P49" i="7" s="1"/>
  <c r="R49" i="7" s="1"/>
  <c r="T49" i="7" s="1"/>
  <c r="V49" i="7"/>
  <c r="X49" i="7" s="1"/>
  <c r="Z49" i="7" s="1"/>
  <c r="AB49" i="7" s="1"/>
  <c r="AD49" i="7" s="1"/>
  <c r="AF49" i="7" s="1"/>
  <c r="AH49" i="7" s="1"/>
  <c r="E50" i="7"/>
  <c r="F50" i="7"/>
  <c r="H50" i="7" s="1"/>
  <c r="J50" i="7" s="1"/>
  <c r="L50" i="7" s="1"/>
  <c r="N50" i="7" s="1"/>
  <c r="P50" i="7" s="1"/>
  <c r="R50" i="7" s="1"/>
  <c r="T50" i="7" s="1"/>
  <c r="V50" i="7" s="1"/>
  <c r="X50" i="7" s="1"/>
  <c r="Z50" i="7" s="1"/>
  <c r="AB50" i="7" s="1"/>
  <c r="AD50" i="7" s="1"/>
  <c r="AF50" i="7" s="1"/>
  <c r="AH50" i="7" s="1"/>
  <c r="G50" i="7"/>
  <c r="I50" i="7" s="1"/>
  <c r="K50" i="7" s="1"/>
  <c r="M50" i="7" s="1"/>
  <c r="O50" i="7" s="1"/>
  <c r="Q50" i="7" s="1"/>
  <c r="S50" i="7" s="1"/>
  <c r="U50" i="7" s="1"/>
  <c r="W50" i="7"/>
  <c r="Y50" i="7" s="1"/>
  <c r="AA50" i="7" s="1"/>
  <c r="AC50" i="7" s="1"/>
  <c r="AE50" i="7" s="1"/>
  <c r="AG50" i="7" s="1"/>
  <c r="E51" i="7"/>
  <c r="G51" i="7" s="1"/>
  <c r="F51" i="7"/>
  <c r="H51" i="7" s="1"/>
  <c r="J51" i="7" s="1"/>
  <c r="L51" i="7" s="1"/>
  <c r="I51" i="7"/>
  <c r="K51" i="7" s="1"/>
  <c r="M51" i="7" s="1"/>
  <c r="O51" i="7" s="1"/>
  <c r="Q51" i="7" s="1"/>
  <c r="S51" i="7" s="1"/>
  <c r="U51" i="7" s="1"/>
  <c r="W51" i="7" s="1"/>
  <c r="Y51" i="7" s="1"/>
  <c r="AA51" i="7" s="1"/>
  <c r="AC51" i="7" s="1"/>
  <c r="AE51" i="7" s="1"/>
  <c r="AG51" i="7" s="1"/>
  <c r="N51" i="7"/>
  <c r="P51" i="7" s="1"/>
  <c r="R51" i="7" s="1"/>
  <c r="T51" i="7" s="1"/>
  <c r="V51" i="7" s="1"/>
  <c r="X51" i="7" s="1"/>
  <c r="Z51" i="7" s="1"/>
  <c r="AB51" i="7" s="1"/>
  <c r="AD51" i="7" s="1"/>
  <c r="AF51" i="7" s="1"/>
  <c r="AH51" i="7" s="1"/>
  <c r="E52" i="7"/>
  <c r="F52" i="7"/>
  <c r="G52" i="7"/>
  <c r="I52" i="7" s="1"/>
  <c r="K52" i="7" s="1"/>
  <c r="M52" i="7" s="1"/>
  <c r="O52" i="7" s="1"/>
  <c r="Q52" i="7" s="1"/>
  <c r="S52" i="7" s="1"/>
  <c r="U52" i="7" s="1"/>
  <c r="W52" i="7" s="1"/>
  <c r="Y52" i="7" s="1"/>
  <c r="AA52" i="7" s="1"/>
  <c r="AC52" i="7" s="1"/>
  <c r="AE52" i="7" s="1"/>
  <c r="AG52" i="7" s="1"/>
  <c r="H52" i="7"/>
  <c r="J52" i="7" s="1"/>
  <c r="L52" i="7" s="1"/>
  <c r="N52" i="7" s="1"/>
  <c r="P52" i="7" s="1"/>
  <c r="R52" i="7" s="1"/>
  <c r="T52" i="7" s="1"/>
  <c r="V52" i="7" s="1"/>
  <c r="X52" i="7" s="1"/>
  <c r="Z52" i="7"/>
  <c r="AB52" i="7" s="1"/>
  <c r="AD52" i="7" s="1"/>
  <c r="AF52" i="7" s="1"/>
  <c r="AH52" i="7" s="1"/>
  <c r="E53" i="7"/>
  <c r="G53" i="7" s="1"/>
  <c r="F53" i="7"/>
  <c r="H53" i="7" s="1"/>
  <c r="J53" i="7" s="1"/>
  <c r="L53" i="7" s="1"/>
  <c r="N53" i="7" s="1"/>
  <c r="P53" i="7" s="1"/>
  <c r="R53" i="7" s="1"/>
  <c r="I53" i="7"/>
  <c r="K53" i="7" s="1"/>
  <c r="M53" i="7" s="1"/>
  <c r="O53" i="7" s="1"/>
  <c r="Q53" i="7"/>
  <c r="S53" i="7" s="1"/>
  <c r="U53" i="7" s="1"/>
  <c r="W53" i="7" s="1"/>
  <c r="Y53" i="7" s="1"/>
  <c r="AA53" i="7" s="1"/>
  <c r="AC53" i="7" s="1"/>
  <c r="AE53" i="7" s="1"/>
  <c r="AG53" i="7" s="1"/>
  <c r="T53" i="7"/>
  <c r="V53" i="7" s="1"/>
  <c r="X53" i="7" s="1"/>
  <c r="Z53" i="7" s="1"/>
  <c r="AB53" i="7"/>
  <c r="AD53" i="7" s="1"/>
  <c r="AF53" i="7" s="1"/>
  <c r="AH53" i="7" s="1"/>
  <c r="E54" i="7"/>
  <c r="F54" i="7"/>
  <c r="G54" i="7"/>
  <c r="I54" i="7" s="1"/>
  <c r="K54" i="7" s="1"/>
  <c r="M54" i="7" s="1"/>
  <c r="O54" i="7" s="1"/>
  <c r="Q54" i="7" s="1"/>
  <c r="S54" i="7" s="1"/>
  <c r="U54" i="7" s="1"/>
  <c r="W54" i="7" s="1"/>
  <c r="Y54" i="7" s="1"/>
  <c r="AA54" i="7" s="1"/>
  <c r="AC54" i="7" s="1"/>
  <c r="H54" i="7"/>
  <c r="J54" i="7"/>
  <c r="L54" i="7" s="1"/>
  <c r="N54" i="7" s="1"/>
  <c r="P54" i="7" s="1"/>
  <c r="R54" i="7" s="1"/>
  <c r="T54" i="7" s="1"/>
  <c r="V54" i="7" s="1"/>
  <c r="X54" i="7" s="1"/>
  <c r="Z54" i="7" s="1"/>
  <c r="AB54" i="7" s="1"/>
  <c r="AD54" i="7" s="1"/>
  <c r="AF54" i="7" s="1"/>
  <c r="AH54" i="7" s="1"/>
  <c r="AE54" i="7"/>
  <c r="AG54" i="7" s="1"/>
  <c r="E55" i="7"/>
  <c r="G55" i="7" s="1"/>
  <c r="F55" i="7"/>
  <c r="H55" i="7" s="1"/>
  <c r="J55" i="7" s="1"/>
  <c r="L55" i="7" s="1"/>
  <c r="N55" i="7" s="1"/>
  <c r="P55" i="7" s="1"/>
  <c r="R55" i="7" s="1"/>
  <c r="T55" i="7" s="1"/>
  <c r="V55" i="7" s="1"/>
  <c r="X55" i="7" s="1"/>
  <c r="Z55" i="7" s="1"/>
  <c r="AB55" i="7" s="1"/>
  <c r="AD55" i="7" s="1"/>
  <c r="AF55" i="7" s="1"/>
  <c r="AH55" i="7" s="1"/>
  <c r="I55" i="7"/>
  <c r="K55" i="7" s="1"/>
  <c r="M55" i="7" s="1"/>
  <c r="O55" i="7" s="1"/>
  <c r="Q55" i="7" s="1"/>
  <c r="S55" i="7" s="1"/>
  <c r="U55" i="7" s="1"/>
  <c r="W55" i="7" s="1"/>
  <c r="Y55" i="7" s="1"/>
  <c r="AA55" i="7" s="1"/>
  <c r="AC55" i="7" s="1"/>
  <c r="AE55" i="7" s="1"/>
  <c r="AG55" i="7"/>
  <c r="E56" i="7"/>
  <c r="F56" i="7"/>
  <c r="H56" i="7" s="1"/>
  <c r="G56" i="7"/>
  <c r="I56" i="7" s="1"/>
  <c r="K56" i="7" s="1"/>
  <c r="M56" i="7" s="1"/>
  <c r="O56" i="7" s="1"/>
  <c r="Q56" i="7" s="1"/>
  <c r="S56" i="7" s="1"/>
  <c r="U56" i="7" s="1"/>
  <c r="W56" i="7" s="1"/>
  <c r="Y56" i="7" s="1"/>
  <c r="AA56" i="7" s="1"/>
  <c r="AC56" i="7" s="1"/>
  <c r="AE56" i="7" s="1"/>
  <c r="AG56" i="7" s="1"/>
  <c r="J56" i="7"/>
  <c r="L56" i="7"/>
  <c r="N56" i="7" s="1"/>
  <c r="P56" i="7" s="1"/>
  <c r="R56" i="7" s="1"/>
  <c r="T56" i="7" s="1"/>
  <c r="V56" i="7" s="1"/>
  <c r="X56" i="7" s="1"/>
  <c r="Z56" i="7" s="1"/>
  <c r="AB56" i="7" s="1"/>
  <c r="AD56" i="7" s="1"/>
  <c r="AF56" i="7" s="1"/>
  <c r="AH56" i="7" s="1"/>
  <c r="E57" i="7"/>
  <c r="F57" i="7"/>
  <c r="H57" i="7" s="1"/>
  <c r="J57" i="7" s="1"/>
  <c r="L57" i="7" s="1"/>
  <c r="N57" i="7" s="1"/>
  <c r="P57" i="7" s="1"/>
  <c r="R57" i="7" s="1"/>
  <c r="T57" i="7" s="1"/>
  <c r="V57" i="7" s="1"/>
  <c r="X57" i="7" s="1"/>
  <c r="Z57" i="7" s="1"/>
  <c r="AB57" i="7" s="1"/>
  <c r="AD57" i="7" s="1"/>
  <c r="AF57" i="7" s="1"/>
  <c r="AH57" i="7" s="1"/>
  <c r="G57" i="7"/>
  <c r="I57" i="7"/>
  <c r="K57" i="7" s="1"/>
  <c r="M57" i="7" s="1"/>
  <c r="O57" i="7" s="1"/>
  <c r="Q57" i="7" s="1"/>
  <c r="S57" i="7" s="1"/>
  <c r="U57" i="7" s="1"/>
  <c r="W57" i="7" s="1"/>
  <c r="Y57" i="7" s="1"/>
  <c r="AA57" i="7" s="1"/>
  <c r="AC57" i="7" s="1"/>
  <c r="AE57" i="7" s="1"/>
  <c r="AG57" i="7" s="1"/>
  <c r="E58" i="7"/>
  <c r="G58" i="7" s="1"/>
  <c r="I58" i="7" s="1"/>
  <c r="K58" i="7" s="1"/>
  <c r="M58" i="7" s="1"/>
  <c r="O58" i="7" s="1"/>
  <c r="Q58" i="7" s="1"/>
  <c r="S58" i="7" s="1"/>
  <c r="U58" i="7" s="1"/>
  <c r="W58" i="7" s="1"/>
  <c r="Y58" i="7" s="1"/>
  <c r="AA58" i="7" s="1"/>
  <c r="AC58" i="7" s="1"/>
  <c r="AE58" i="7" s="1"/>
  <c r="AG58" i="7" s="1"/>
  <c r="F58" i="7"/>
  <c r="H58" i="7" s="1"/>
  <c r="J58" i="7" s="1"/>
  <c r="L58" i="7" s="1"/>
  <c r="N58" i="7" s="1"/>
  <c r="P58" i="7" s="1"/>
  <c r="R58" i="7" s="1"/>
  <c r="T58" i="7" s="1"/>
  <c r="V58" i="7" s="1"/>
  <c r="X58" i="7" s="1"/>
  <c r="Z58" i="7" s="1"/>
  <c r="AB58" i="7" s="1"/>
  <c r="AD58" i="7" s="1"/>
  <c r="AF58" i="7" s="1"/>
  <c r="AH58" i="7" s="1"/>
  <c r="E59" i="7"/>
  <c r="F59" i="7"/>
  <c r="G59" i="7"/>
  <c r="I59" i="7" s="1"/>
  <c r="K59" i="7" s="1"/>
  <c r="M59" i="7" s="1"/>
  <c r="O59" i="7" s="1"/>
  <c r="Q59" i="7" s="1"/>
  <c r="S59" i="7" s="1"/>
  <c r="U59" i="7" s="1"/>
  <c r="W59" i="7" s="1"/>
  <c r="Y59" i="7" s="1"/>
  <c r="AA59" i="7" s="1"/>
  <c r="AC59" i="7" s="1"/>
  <c r="AE59" i="7" s="1"/>
  <c r="AG59" i="7" s="1"/>
  <c r="H59" i="7"/>
  <c r="J59" i="7" s="1"/>
  <c r="L59" i="7" s="1"/>
  <c r="N59" i="7" s="1"/>
  <c r="P59" i="7"/>
  <c r="R59" i="7" s="1"/>
  <c r="T59" i="7" s="1"/>
  <c r="V59" i="7" s="1"/>
  <c r="X59" i="7" s="1"/>
  <c r="Z59" i="7" s="1"/>
  <c r="AB59" i="7" s="1"/>
  <c r="AD59" i="7" s="1"/>
  <c r="AF59" i="7" s="1"/>
  <c r="AH59" i="7" s="1"/>
  <c r="E60" i="7"/>
  <c r="F60" i="7"/>
  <c r="G60" i="7"/>
  <c r="I60" i="7" s="1"/>
  <c r="K60" i="7" s="1"/>
  <c r="M60" i="7" s="1"/>
  <c r="O60" i="7" s="1"/>
  <c r="Q60" i="7" s="1"/>
  <c r="S60" i="7" s="1"/>
  <c r="U60" i="7" s="1"/>
  <c r="W60" i="7" s="1"/>
  <c r="Y60" i="7" s="1"/>
  <c r="AA60" i="7" s="1"/>
  <c r="AC60" i="7" s="1"/>
  <c r="AE60" i="7" s="1"/>
  <c r="AG60" i="7" s="1"/>
  <c r="H60" i="7"/>
  <c r="J60" i="7"/>
  <c r="L60" i="7" s="1"/>
  <c r="N60" i="7" s="1"/>
  <c r="P60" i="7" s="1"/>
  <c r="R60" i="7" s="1"/>
  <c r="T60" i="7" s="1"/>
  <c r="V60" i="7" s="1"/>
  <c r="X60" i="7" s="1"/>
  <c r="Z60" i="7" s="1"/>
  <c r="AB60" i="7" s="1"/>
  <c r="AD60" i="7" s="1"/>
  <c r="AF60" i="7" s="1"/>
  <c r="AH60" i="7" s="1"/>
  <c r="E61" i="7"/>
  <c r="F61" i="7"/>
  <c r="H61" i="7" s="1"/>
  <c r="J61" i="7" s="1"/>
  <c r="G61" i="7"/>
  <c r="I61" i="7" s="1"/>
  <c r="K61" i="7" s="1"/>
  <c r="M61" i="7" s="1"/>
  <c r="O61" i="7" s="1"/>
  <c r="Q61" i="7" s="1"/>
  <c r="S61" i="7" s="1"/>
  <c r="U61" i="7" s="1"/>
  <c r="W61" i="7" s="1"/>
  <c r="Y61" i="7" s="1"/>
  <c r="AA61" i="7" s="1"/>
  <c r="AC61" i="7" s="1"/>
  <c r="AE61" i="7" s="1"/>
  <c r="AG61" i="7" s="1"/>
  <c r="L61" i="7"/>
  <c r="N61" i="7" s="1"/>
  <c r="P61" i="7" s="1"/>
  <c r="R61" i="7" s="1"/>
  <c r="T61" i="7" s="1"/>
  <c r="V61" i="7" s="1"/>
  <c r="X61" i="7" s="1"/>
  <c r="Z61" i="7" s="1"/>
  <c r="AB61" i="7" s="1"/>
  <c r="AD61" i="7" s="1"/>
  <c r="AF61" i="7" s="1"/>
  <c r="AH61" i="7" s="1"/>
  <c r="E62" i="7"/>
  <c r="G62" i="7" s="1"/>
  <c r="I62" i="7" s="1"/>
  <c r="K62" i="7" s="1"/>
  <c r="M62" i="7" s="1"/>
  <c r="O62" i="7" s="1"/>
  <c r="Q62" i="7" s="1"/>
  <c r="S62" i="7" s="1"/>
  <c r="U62" i="7" s="1"/>
  <c r="W62" i="7" s="1"/>
  <c r="Y62" i="7" s="1"/>
  <c r="AA62" i="7" s="1"/>
  <c r="AC62" i="7" s="1"/>
  <c r="AE62" i="7" s="1"/>
  <c r="AG62" i="7" s="1"/>
  <c r="F62" i="7"/>
  <c r="H62" i="7" s="1"/>
  <c r="J62" i="7" s="1"/>
  <c r="L62" i="7" s="1"/>
  <c r="N62" i="7" s="1"/>
  <c r="P62" i="7" s="1"/>
  <c r="R62" i="7" s="1"/>
  <c r="T62" i="7" s="1"/>
  <c r="V62" i="7" s="1"/>
  <c r="X62" i="7" s="1"/>
  <c r="Z62" i="7" s="1"/>
  <c r="AB62" i="7" s="1"/>
  <c r="AD62" i="7" s="1"/>
  <c r="AF62" i="7" s="1"/>
  <c r="AH62" i="7" s="1"/>
  <c r="E63" i="7"/>
  <c r="F63" i="7"/>
  <c r="G63" i="7"/>
  <c r="H63" i="7"/>
  <c r="J63" i="7" s="1"/>
  <c r="L63" i="7" s="1"/>
  <c r="N63" i="7" s="1"/>
  <c r="I63" i="7"/>
  <c r="K63" i="7" s="1"/>
  <c r="M63" i="7" s="1"/>
  <c r="O63" i="7" s="1"/>
  <c r="Q63" i="7" s="1"/>
  <c r="S63" i="7" s="1"/>
  <c r="U63" i="7" s="1"/>
  <c r="W63" i="7" s="1"/>
  <c r="Y63" i="7" s="1"/>
  <c r="AA63" i="7" s="1"/>
  <c r="AC63" i="7" s="1"/>
  <c r="AE63" i="7" s="1"/>
  <c r="AG63" i="7" s="1"/>
  <c r="P63" i="7"/>
  <c r="R63" i="7" s="1"/>
  <c r="T63" i="7" s="1"/>
  <c r="V63" i="7" s="1"/>
  <c r="X63" i="7" s="1"/>
  <c r="Z63" i="7" s="1"/>
  <c r="AB63" i="7" s="1"/>
  <c r="AD63" i="7" s="1"/>
  <c r="AF63" i="7" s="1"/>
  <c r="AH63" i="7" s="1"/>
  <c r="E64" i="7"/>
  <c r="G64" i="7" s="1"/>
  <c r="I64" i="7" s="1"/>
  <c r="K64" i="7" s="1"/>
  <c r="M64" i="7" s="1"/>
  <c r="O64" i="7" s="1"/>
  <c r="Q64" i="7" s="1"/>
  <c r="S64" i="7" s="1"/>
  <c r="U64" i="7" s="1"/>
  <c r="W64" i="7" s="1"/>
  <c r="Y64" i="7" s="1"/>
  <c r="AA64" i="7" s="1"/>
  <c r="AC64" i="7" s="1"/>
  <c r="AE64" i="7" s="1"/>
  <c r="AG64" i="7" s="1"/>
  <c r="F64" i="7"/>
  <c r="H64" i="7"/>
  <c r="J64" i="7"/>
  <c r="L64" i="7" s="1"/>
  <c r="N64" i="7" s="1"/>
  <c r="P64" i="7" s="1"/>
  <c r="R64" i="7" s="1"/>
  <c r="T64" i="7" s="1"/>
  <c r="V64" i="7" s="1"/>
  <c r="X64" i="7" s="1"/>
  <c r="Z64" i="7" s="1"/>
  <c r="AB64" i="7" s="1"/>
  <c r="AD64" i="7" s="1"/>
  <c r="AF64" i="7" s="1"/>
  <c r="AH64" i="7" s="1"/>
  <c r="E65" i="7"/>
  <c r="G65" i="7" s="1"/>
  <c r="I65" i="7" s="1"/>
  <c r="K65" i="7" s="1"/>
  <c r="M65" i="7" s="1"/>
  <c r="O65" i="7" s="1"/>
  <c r="Q65" i="7" s="1"/>
  <c r="S65" i="7" s="1"/>
  <c r="U65" i="7" s="1"/>
  <c r="W65" i="7" s="1"/>
  <c r="Y65" i="7" s="1"/>
  <c r="AA65" i="7" s="1"/>
  <c r="AC65" i="7" s="1"/>
  <c r="AE65" i="7" s="1"/>
  <c r="AG65" i="7" s="1"/>
  <c r="F65" i="7"/>
  <c r="H65" i="7" s="1"/>
  <c r="J65" i="7"/>
  <c r="L65" i="7"/>
  <c r="N65" i="7" s="1"/>
  <c r="P65" i="7" s="1"/>
  <c r="R65" i="7" s="1"/>
  <c r="T65" i="7" s="1"/>
  <c r="V65" i="7" s="1"/>
  <c r="X65" i="7" s="1"/>
  <c r="Z65" i="7" s="1"/>
  <c r="AB65" i="7" s="1"/>
  <c r="AD65" i="7" s="1"/>
  <c r="AF65" i="7" s="1"/>
  <c r="AH65" i="7" s="1"/>
  <c r="E66" i="7"/>
  <c r="F66" i="7"/>
  <c r="H66" i="7" s="1"/>
  <c r="J66" i="7" s="1"/>
  <c r="L66" i="7" s="1"/>
  <c r="N66" i="7" s="1"/>
  <c r="P66" i="7" s="1"/>
  <c r="R66" i="7" s="1"/>
  <c r="T66" i="7" s="1"/>
  <c r="V66" i="7" s="1"/>
  <c r="X66" i="7" s="1"/>
  <c r="Z66" i="7" s="1"/>
  <c r="AB66" i="7" s="1"/>
  <c r="AD66" i="7" s="1"/>
  <c r="AF66" i="7" s="1"/>
  <c r="AH66" i="7" s="1"/>
  <c r="G66" i="7"/>
  <c r="I66" i="7"/>
  <c r="K66" i="7" s="1"/>
  <c r="M66" i="7" s="1"/>
  <c r="O66" i="7" s="1"/>
  <c r="Q66" i="7" s="1"/>
  <c r="S66" i="7" s="1"/>
  <c r="U66" i="7" s="1"/>
  <c r="W66" i="7" s="1"/>
  <c r="Y66" i="7" s="1"/>
  <c r="AA66" i="7" s="1"/>
  <c r="AC66" i="7" s="1"/>
  <c r="AE66" i="7" s="1"/>
  <c r="AG66" i="7" s="1"/>
  <c r="E67" i="7"/>
  <c r="G67" i="7" s="1"/>
  <c r="I67" i="7" s="1"/>
  <c r="K67" i="7" s="1"/>
  <c r="M67" i="7" s="1"/>
  <c r="O67" i="7" s="1"/>
  <c r="Q67" i="7" s="1"/>
  <c r="S67" i="7" s="1"/>
  <c r="U67" i="7" s="1"/>
  <c r="W67" i="7" s="1"/>
  <c r="Y67" i="7" s="1"/>
  <c r="AA67" i="7" s="1"/>
  <c r="AC67" i="7" s="1"/>
  <c r="AE67" i="7" s="1"/>
  <c r="AG67" i="7" s="1"/>
  <c r="F67" i="7"/>
  <c r="H67" i="7" s="1"/>
  <c r="J67" i="7" s="1"/>
  <c r="L67" i="7" s="1"/>
  <c r="N67" i="7" s="1"/>
  <c r="P67" i="7" s="1"/>
  <c r="R67" i="7" s="1"/>
  <c r="T67" i="7" s="1"/>
  <c r="V67" i="7" s="1"/>
  <c r="X67" i="7" s="1"/>
  <c r="Z67" i="7" s="1"/>
  <c r="AB67" i="7" s="1"/>
  <c r="AD67" i="7" s="1"/>
  <c r="AF67" i="7" s="1"/>
  <c r="AH67" i="7" s="1"/>
  <c r="E68" i="7"/>
  <c r="F68" i="7"/>
  <c r="G68" i="7"/>
  <c r="I68" i="7" s="1"/>
  <c r="K68" i="7" s="1"/>
  <c r="M68" i="7" s="1"/>
  <c r="O68" i="7" s="1"/>
  <c r="Q68" i="7" s="1"/>
  <c r="S68" i="7" s="1"/>
  <c r="U68" i="7" s="1"/>
  <c r="W68" i="7" s="1"/>
  <c r="Y68" i="7" s="1"/>
  <c r="AA68" i="7" s="1"/>
  <c r="AC68" i="7" s="1"/>
  <c r="AE68" i="7" s="1"/>
  <c r="AG68" i="7" s="1"/>
  <c r="H68" i="7"/>
  <c r="J68" i="7"/>
  <c r="L68" i="7" s="1"/>
  <c r="N68" i="7" s="1"/>
  <c r="P68" i="7" s="1"/>
  <c r="R68" i="7" s="1"/>
  <c r="T68" i="7" s="1"/>
  <c r="V68" i="7" s="1"/>
  <c r="X68" i="7" s="1"/>
  <c r="Z68" i="7" s="1"/>
  <c r="AB68" i="7" s="1"/>
  <c r="AD68" i="7" s="1"/>
  <c r="AF68" i="7" s="1"/>
  <c r="AH68" i="7" s="1"/>
  <c r="F3" i="7"/>
  <c r="G3" i="7"/>
  <c r="H3" i="7"/>
  <c r="J3" i="7" s="1"/>
  <c r="L3" i="7" s="1"/>
  <c r="N3" i="7" s="1"/>
  <c r="P3" i="7" s="1"/>
  <c r="R3" i="7" s="1"/>
  <c r="T3" i="7" s="1"/>
  <c r="V3" i="7" s="1"/>
  <c r="X3" i="7" s="1"/>
  <c r="Z3" i="7" s="1"/>
  <c r="AB3" i="7" s="1"/>
  <c r="AD3" i="7" s="1"/>
  <c r="AF3" i="7" s="1"/>
  <c r="AH3" i="7" s="1"/>
  <c r="I3" i="7"/>
  <c r="K3" i="7"/>
  <c r="M3" i="7"/>
  <c r="O3" i="7" s="1"/>
  <c r="Q3" i="7" s="1"/>
  <c r="S3" i="7" s="1"/>
  <c r="U3" i="7" s="1"/>
  <c r="W3" i="7" s="1"/>
  <c r="Y3" i="7" s="1"/>
  <c r="AA3" i="7" s="1"/>
  <c r="AC3" i="7" s="1"/>
  <c r="AE3" i="7" s="1"/>
  <c r="AG3" i="7" s="1"/>
  <c r="E3" i="7"/>
  <c r="R28" i="18" l="1"/>
  <c r="AB13" i="18" s="1"/>
  <c r="Y29" i="18"/>
  <c r="X29" i="18"/>
  <c r="E4" i="11"/>
  <c r="G4" i="11" s="1"/>
  <c r="I4" i="11" s="1"/>
  <c r="K4" i="11" s="1"/>
  <c r="M4" i="11" s="1"/>
  <c r="O4" i="11" s="1"/>
  <c r="Q4" i="11" s="1"/>
  <c r="S4" i="11" s="1"/>
  <c r="U4" i="11" s="1"/>
  <c r="W4" i="11" s="1"/>
  <c r="Y4" i="11" s="1"/>
  <c r="AA4" i="11" s="1"/>
  <c r="AC4" i="11" s="1"/>
  <c r="AE4" i="11" s="1"/>
  <c r="AG4" i="11" s="1"/>
  <c r="F4" i="11"/>
  <c r="H4" i="11" s="1"/>
  <c r="J4" i="11" s="1"/>
  <c r="L4" i="11" s="1"/>
  <c r="N4" i="11" s="1"/>
  <c r="P4" i="11" s="1"/>
  <c r="R4" i="11" s="1"/>
  <c r="T4" i="11" s="1"/>
  <c r="V4" i="11" s="1"/>
  <c r="X4" i="11" s="1"/>
  <c r="Z4" i="11" s="1"/>
  <c r="AB4" i="11" s="1"/>
  <c r="AD4" i="11" s="1"/>
  <c r="AF4" i="11" s="1"/>
  <c r="AH4" i="11" s="1"/>
  <c r="E5" i="11"/>
  <c r="G5" i="11" s="1"/>
  <c r="I5" i="11" s="1"/>
  <c r="K5" i="11" s="1"/>
  <c r="M5" i="11" s="1"/>
  <c r="O5" i="11" s="1"/>
  <c r="Q5" i="11" s="1"/>
  <c r="S5" i="11" s="1"/>
  <c r="U5" i="11" s="1"/>
  <c r="W5" i="11" s="1"/>
  <c r="Y5" i="11" s="1"/>
  <c r="AA5" i="11" s="1"/>
  <c r="AC5" i="11" s="1"/>
  <c r="AE5" i="11" s="1"/>
  <c r="AG5" i="11" s="1"/>
  <c r="F5" i="11"/>
  <c r="H5" i="11" s="1"/>
  <c r="J5" i="11" s="1"/>
  <c r="L5" i="11" s="1"/>
  <c r="N5" i="11" s="1"/>
  <c r="P5" i="11" s="1"/>
  <c r="R5" i="11" s="1"/>
  <c r="T5" i="11" s="1"/>
  <c r="V5" i="11" s="1"/>
  <c r="X5" i="11" s="1"/>
  <c r="Z5" i="11" s="1"/>
  <c r="AB5" i="11" s="1"/>
  <c r="AD5" i="11" s="1"/>
  <c r="AF5" i="11" s="1"/>
  <c r="AH5" i="11" s="1"/>
  <c r="E6" i="11"/>
  <c r="G6" i="11" s="1"/>
  <c r="I6" i="11" s="1"/>
  <c r="K6" i="11" s="1"/>
  <c r="M6" i="11" s="1"/>
  <c r="O6" i="11" s="1"/>
  <c r="Q6" i="11" s="1"/>
  <c r="S6" i="11" s="1"/>
  <c r="U6" i="11" s="1"/>
  <c r="W6" i="11" s="1"/>
  <c r="Y6" i="11" s="1"/>
  <c r="AA6" i="11" s="1"/>
  <c r="AC6" i="11" s="1"/>
  <c r="AE6" i="11" s="1"/>
  <c r="AG6" i="11" s="1"/>
  <c r="F6" i="11"/>
  <c r="H6" i="11" s="1"/>
  <c r="J6" i="11" s="1"/>
  <c r="L6" i="11" s="1"/>
  <c r="N6" i="11" s="1"/>
  <c r="P6" i="11" s="1"/>
  <c r="R6" i="11" s="1"/>
  <c r="T6" i="11" s="1"/>
  <c r="V6" i="11" s="1"/>
  <c r="X6" i="11" s="1"/>
  <c r="Z6" i="11" s="1"/>
  <c r="AB6" i="11" s="1"/>
  <c r="AD6" i="11" s="1"/>
  <c r="AF6" i="11" s="1"/>
  <c r="AH6" i="11" s="1"/>
  <c r="E7" i="11"/>
  <c r="G7" i="11" s="1"/>
  <c r="I7" i="11" s="1"/>
  <c r="K7" i="11" s="1"/>
  <c r="M7" i="11" s="1"/>
  <c r="O7" i="11" s="1"/>
  <c r="Q7" i="11" s="1"/>
  <c r="S7" i="11" s="1"/>
  <c r="U7" i="11" s="1"/>
  <c r="W7" i="11" s="1"/>
  <c r="Y7" i="11" s="1"/>
  <c r="AA7" i="11" s="1"/>
  <c r="AC7" i="11" s="1"/>
  <c r="AE7" i="11" s="1"/>
  <c r="AG7" i="11" s="1"/>
  <c r="F7" i="11"/>
  <c r="H7" i="11" s="1"/>
  <c r="J7" i="11" s="1"/>
  <c r="L7" i="11" s="1"/>
  <c r="N7" i="11" s="1"/>
  <c r="P7" i="11" s="1"/>
  <c r="R7" i="11" s="1"/>
  <c r="T7" i="11" s="1"/>
  <c r="V7" i="11" s="1"/>
  <c r="X7" i="11" s="1"/>
  <c r="Z7" i="11" s="1"/>
  <c r="AB7" i="11" s="1"/>
  <c r="AD7" i="11" s="1"/>
  <c r="AF7" i="11" s="1"/>
  <c r="AH7" i="11" s="1"/>
  <c r="E8" i="11"/>
  <c r="G8" i="11" s="1"/>
  <c r="I8" i="11" s="1"/>
  <c r="K8" i="11" s="1"/>
  <c r="M8" i="11" s="1"/>
  <c r="O8" i="11" s="1"/>
  <c r="Q8" i="11" s="1"/>
  <c r="S8" i="11" s="1"/>
  <c r="U8" i="11" s="1"/>
  <c r="W8" i="11" s="1"/>
  <c r="Y8" i="11" s="1"/>
  <c r="AA8" i="11" s="1"/>
  <c r="AC8" i="11" s="1"/>
  <c r="AE8" i="11" s="1"/>
  <c r="AG8" i="11" s="1"/>
  <c r="F8" i="11"/>
  <c r="H8" i="11" s="1"/>
  <c r="J8" i="11" s="1"/>
  <c r="L8" i="11" s="1"/>
  <c r="N8" i="11" s="1"/>
  <c r="P8" i="11" s="1"/>
  <c r="R8" i="11" s="1"/>
  <c r="T8" i="11" s="1"/>
  <c r="V8" i="11" s="1"/>
  <c r="X8" i="11" s="1"/>
  <c r="Z8" i="11" s="1"/>
  <c r="AB8" i="11" s="1"/>
  <c r="AD8" i="11" s="1"/>
  <c r="AF8" i="11" s="1"/>
  <c r="AH8" i="11" s="1"/>
  <c r="E9" i="11"/>
  <c r="G9" i="11" s="1"/>
  <c r="I9" i="11" s="1"/>
  <c r="K9" i="11" s="1"/>
  <c r="M9" i="11" s="1"/>
  <c r="O9" i="11" s="1"/>
  <c r="Q9" i="11" s="1"/>
  <c r="S9" i="11" s="1"/>
  <c r="U9" i="11" s="1"/>
  <c r="W9" i="11" s="1"/>
  <c r="Y9" i="11" s="1"/>
  <c r="AA9" i="11" s="1"/>
  <c r="AC9" i="11" s="1"/>
  <c r="AE9" i="11" s="1"/>
  <c r="AG9" i="11" s="1"/>
  <c r="F9" i="11"/>
  <c r="H9" i="11" s="1"/>
  <c r="J9" i="11" s="1"/>
  <c r="L9" i="11" s="1"/>
  <c r="N9" i="11" s="1"/>
  <c r="P9" i="11" s="1"/>
  <c r="R9" i="11" s="1"/>
  <c r="T9" i="11" s="1"/>
  <c r="V9" i="11" s="1"/>
  <c r="X9" i="11" s="1"/>
  <c r="Z9" i="11" s="1"/>
  <c r="AB9" i="11" s="1"/>
  <c r="AD9" i="11" s="1"/>
  <c r="AF9" i="11" s="1"/>
  <c r="AH9" i="11" s="1"/>
  <c r="E10" i="11"/>
  <c r="G10" i="11" s="1"/>
  <c r="I10" i="11" s="1"/>
  <c r="K10" i="11" s="1"/>
  <c r="M10" i="11" s="1"/>
  <c r="O10" i="11" s="1"/>
  <c r="Q10" i="11" s="1"/>
  <c r="S10" i="11" s="1"/>
  <c r="U10" i="11" s="1"/>
  <c r="W10" i="11" s="1"/>
  <c r="Y10" i="11" s="1"/>
  <c r="AA10" i="11" s="1"/>
  <c r="AC10" i="11" s="1"/>
  <c r="AE10" i="11" s="1"/>
  <c r="AG10" i="11" s="1"/>
  <c r="F10" i="11"/>
  <c r="H10" i="11" s="1"/>
  <c r="J10" i="11" s="1"/>
  <c r="L10" i="11" s="1"/>
  <c r="N10" i="11" s="1"/>
  <c r="P10" i="11" s="1"/>
  <c r="R10" i="11" s="1"/>
  <c r="T10" i="11" s="1"/>
  <c r="V10" i="11" s="1"/>
  <c r="X10" i="11" s="1"/>
  <c r="Z10" i="11" s="1"/>
  <c r="AB10" i="11" s="1"/>
  <c r="AD10" i="11" s="1"/>
  <c r="AF10" i="11" s="1"/>
  <c r="AH10" i="11" s="1"/>
  <c r="E11" i="11"/>
  <c r="G11" i="11" s="1"/>
  <c r="I11" i="11" s="1"/>
  <c r="K11" i="11" s="1"/>
  <c r="M11" i="11" s="1"/>
  <c r="O11" i="11" s="1"/>
  <c r="Q11" i="11" s="1"/>
  <c r="S11" i="11" s="1"/>
  <c r="U11" i="11" s="1"/>
  <c r="W11" i="11" s="1"/>
  <c r="Y11" i="11" s="1"/>
  <c r="AA11" i="11" s="1"/>
  <c r="AC11" i="11" s="1"/>
  <c r="AE11" i="11" s="1"/>
  <c r="AG11" i="11" s="1"/>
  <c r="F11" i="11"/>
  <c r="H11" i="11" s="1"/>
  <c r="J11" i="11" s="1"/>
  <c r="L11" i="11" s="1"/>
  <c r="N11" i="11" s="1"/>
  <c r="P11" i="11" s="1"/>
  <c r="R11" i="11" s="1"/>
  <c r="T11" i="11" s="1"/>
  <c r="V11" i="11" s="1"/>
  <c r="X11" i="11" s="1"/>
  <c r="Z11" i="11" s="1"/>
  <c r="AB11" i="11" s="1"/>
  <c r="AD11" i="11" s="1"/>
  <c r="AF11" i="11" s="1"/>
  <c r="AH11" i="11" s="1"/>
  <c r="E12" i="11"/>
  <c r="G12" i="11" s="1"/>
  <c r="I12" i="11" s="1"/>
  <c r="K12" i="11" s="1"/>
  <c r="M12" i="11" s="1"/>
  <c r="O12" i="11" s="1"/>
  <c r="Q12" i="11" s="1"/>
  <c r="S12" i="11" s="1"/>
  <c r="U12" i="11" s="1"/>
  <c r="W12" i="11" s="1"/>
  <c r="Y12" i="11" s="1"/>
  <c r="AA12" i="11" s="1"/>
  <c r="AC12" i="11" s="1"/>
  <c r="AE12" i="11" s="1"/>
  <c r="AG12" i="11" s="1"/>
  <c r="F12" i="11"/>
  <c r="H12" i="11" s="1"/>
  <c r="J12" i="11" s="1"/>
  <c r="L12" i="11" s="1"/>
  <c r="N12" i="11" s="1"/>
  <c r="P12" i="11" s="1"/>
  <c r="R12" i="11" s="1"/>
  <c r="T12" i="11" s="1"/>
  <c r="V12" i="11" s="1"/>
  <c r="X12" i="11" s="1"/>
  <c r="Z12" i="11" s="1"/>
  <c r="AB12" i="11" s="1"/>
  <c r="AD12" i="11" s="1"/>
  <c r="AF12" i="11" s="1"/>
  <c r="AH12" i="11" s="1"/>
  <c r="E13" i="11"/>
  <c r="G13" i="11" s="1"/>
  <c r="I13" i="11" s="1"/>
  <c r="K13" i="11" s="1"/>
  <c r="M13" i="11" s="1"/>
  <c r="O13" i="11" s="1"/>
  <c r="Q13" i="11" s="1"/>
  <c r="S13" i="11" s="1"/>
  <c r="U13" i="11" s="1"/>
  <c r="W13" i="11" s="1"/>
  <c r="Y13" i="11" s="1"/>
  <c r="AA13" i="11" s="1"/>
  <c r="AC13" i="11" s="1"/>
  <c r="AE13" i="11" s="1"/>
  <c r="AG13" i="11" s="1"/>
  <c r="F13" i="11"/>
  <c r="H13" i="11" s="1"/>
  <c r="J13" i="11" s="1"/>
  <c r="L13" i="11" s="1"/>
  <c r="N13" i="11" s="1"/>
  <c r="P13" i="11" s="1"/>
  <c r="R13" i="11" s="1"/>
  <c r="T13" i="11" s="1"/>
  <c r="V13" i="11" s="1"/>
  <c r="X13" i="11" s="1"/>
  <c r="Z13" i="11" s="1"/>
  <c r="AB13" i="11" s="1"/>
  <c r="AD13" i="11" s="1"/>
  <c r="AF13" i="11" s="1"/>
  <c r="AH13" i="11" s="1"/>
  <c r="E14" i="11"/>
  <c r="G14" i="11" s="1"/>
  <c r="I14" i="11" s="1"/>
  <c r="K14" i="11" s="1"/>
  <c r="M14" i="11" s="1"/>
  <c r="O14" i="11" s="1"/>
  <c r="Q14" i="11" s="1"/>
  <c r="S14" i="11" s="1"/>
  <c r="U14" i="11" s="1"/>
  <c r="W14" i="11" s="1"/>
  <c r="Y14" i="11" s="1"/>
  <c r="AA14" i="11" s="1"/>
  <c r="AC14" i="11" s="1"/>
  <c r="AE14" i="11" s="1"/>
  <c r="AG14" i="11" s="1"/>
  <c r="F14" i="11"/>
  <c r="H14" i="11" s="1"/>
  <c r="J14" i="11" s="1"/>
  <c r="L14" i="11" s="1"/>
  <c r="N14" i="11" s="1"/>
  <c r="P14" i="11" s="1"/>
  <c r="R14" i="11" s="1"/>
  <c r="T14" i="11" s="1"/>
  <c r="V14" i="11" s="1"/>
  <c r="X14" i="11" s="1"/>
  <c r="Z14" i="11" s="1"/>
  <c r="AB14" i="11" s="1"/>
  <c r="AD14" i="11" s="1"/>
  <c r="AF14" i="11" s="1"/>
  <c r="AH14" i="11" s="1"/>
  <c r="E15" i="11"/>
  <c r="G15" i="11" s="1"/>
  <c r="I15" i="11" s="1"/>
  <c r="K15" i="11" s="1"/>
  <c r="M15" i="11" s="1"/>
  <c r="O15" i="11" s="1"/>
  <c r="Q15" i="11" s="1"/>
  <c r="S15" i="11" s="1"/>
  <c r="U15" i="11" s="1"/>
  <c r="W15" i="11" s="1"/>
  <c r="Y15" i="11" s="1"/>
  <c r="AA15" i="11" s="1"/>
  <c r="AC15" i="11" s="1"/>
  <c r="AE15" i="11" s="1"/>
  <c r="AG15" i="11" s="1"/>
  <c r="F15" i="11"/>
  <c r="H15" i="11" s="1"/>
  <c r="J15" i="11" s="1"/>
  <c r="L15" i="11" s="1"/>
  <c r="N15" i="11" s="1"/>
  <c r="P15" i="11" s="1"/>
  <c r="R15" i="11" s="1"/>
  <c r="T15" i="11" s="1"/>
  <c r="V15" i="11" s="1"/>
  <c r="X15" i="11" s="1"/>
  <c r="Z15" i="11" s="1"/>
  <c r="AB15" i="11" s="1"/>
  <c r="AD15" i="11" s="1"/>
  <c r="AF15" i="11" s="1"/>
  <c r="AH15" i="11" s="1"/>
  <c r="E16" i="11"/>
  <c r="G16" i="11" s="1"/>
  <c r="I16" i="11" s="1"/>
  <c r="K16" i="11" s="1"/>
  <c r="M16" i="11" s="1"/>
  <c r="O16" i="11" s="1"/>
  <c r="Q16" i="11" s="1"/>
  <c r="S16" i="11" s="1"/>
  <c r="U16" i="11" s="1"/>
  <c r="W16" i="11" s="1"/>
  <c r="Y16" i="11" s="1"/>
  <c r="AA16" i="11" s="1"/>
  <c r="AC16" i="11" s="1"/>
  <c r="AE16" i="11" s="1"/>
  <c r="AG16" i="11" s="1"/>
  <c r="F16" i="11"/>
  <c r="H16" i="11" s="1"/>
  <c r="J16" i="11" s="1"/>
  <c r="L16" i="11" s="1"/>
  <c r="N16" i="11" s="1"/>
  <c r="P16" i="11" s="1"/>
  <c r="R16" i="11" s="1"/>
  <c r="T16" i="11" s="1"/>
  <c r="V16" i="11" s="1"/>
  <c r="X16" i="11" s="1"/>
  <c r="Z16" i="11" s="1"/>
  <c r="AB16" i="11" s="1"/>
  <c r="AD16" i="11" s="1"/>
  <c r="AF16" i="11" s="1"/>
  <c r="AH16" i="11" s="1"/>
  <c r="E17" i="11"/>
  <c r="G17" i="11" s="1"/>
  <c r="I17" i="11" s="1"/>
  <c r="K17" i="11" s="1"/>
  <c r="M17" i="11" s="1"/>
  <c r="O17" i="11" s="1"/>
  <c r="Q17" i="11" s="1"/>
  <c r="S17" i="11" s="1"/>
  <c r="U17" i="11" s="1"/>
  <c r="W17" i="11" s="1"/>
  <c r="Y17" i="11" s="1"/>
  <c r="AA17" i="11" s="1"/>
  <c r="AC17" i="11" s="1"/>
  <c r="AE17" i="11" s="1"/>
  <c r="AG17" i="11" s="1"/>
  <c r="F17" i="11"/>
  <c r="H17" i="11" s="1"/>
  <c r="J17" i="11" s="1"/>
  <c r="L17" i="11" s="1"/>
  <c r="N17" i="11" s="1"/>
  <c r="P17" i="11" s="1"/>
  <c r="R17" i="11" s="1"/>
  <c r="T17" i="11" s="1"/>
  <c r="V17" i="11" s="1"/>
  <c r="X17" i="11" s="1"/>
  <c r="Z17" i="11" s="1"/>
  <c r="AB17" i="11" s="1"/>
  <c r="AD17" i="11" s="1"/>
  <c r="AF17" i="11" s="1"/>
  <c r="AH17" i="11" s="1"/>
  <c r="E18" i="11"/>
  <c r="G18" i="11" s="1"/>
  <c r="I18" i="11" s="1"/>
  <c r="K18" i="11" s="1"/>
  <c r="M18" i="11" s="1"/>
  <c r="O18" i="11" s="1"/>
  <c r="Q18" i="11" s="1"/>
  <c r="S18" i="11" s="1"/>
  <c r="U18" i="11" s="1"/>
  <c r="W18" i="11" s="1"/>
  <c r="Y18" i="11" s="1"/>
  <c r="AA18" i="11" s="1"/>
  <c r="AC18" i="11" s="1"/>
  <c r="AE18" i="11" s="1"/>
  <c r="AG18" i="11" s="1"/>
  <c r="F18" i="11"/>
  <c r="H18" i="11" s="1"/>
  <c r="J18" i="11" s="1"/>
  <c r="L18" i="11" s="1"/>
  <c r="N18" i="11" s="1"/>
  <c r="P18" i="11" s="1"/>
  <c r="R18" i="11" s="1"/>
  <c r="T18" i="11" s="1"/>
  <c r="V18" i="11" s="1"/>
  <c r="X18" i="11" s="1"/>
  <c r="Z18" i="11" s="1"/>
  <c r="AB18" i="11" s="1"/>
  <c r="AD18" i="11" s="1"/>
  <c r="AF18" i="11" s="1"/>
  <c r="AH18" i="11" s="1"/>
  <c r="E19" i="11"/>
  <c r="F19" i="11"/>
  <c r="H19" i="11" s="1"/>
  <c r="J19" i="11" s="1"/>
  <c r="L19" i="11" s="1"/>
  <c r="N19" i="11" s="1"/>
  <c r="P19" i="11" s="1"/>
  <c r="R19" i="11" s="1"/>
  <c r="T19" i="11" s="1"/>
  <c r="V19" i="11" s="1"/>
  <c r="X19" i="11" s="1"/>
  <c r="Z19" i="11" s="1"/>
  <c r="AB19" i="11" s="1"/>
  <c r="AD19" i="11" s="1"/>
  <c r="AF19" i="11" s="1"/>
  <c r="AH19" i="11" s="1"/>
  <c r="G19" i="11"/>
  <c r="I19" i="11" s="1"/>
  <c r="K19" i="11" s="1"/>
  <c r="M19" i="11" s="1"/>
  <c r="O19" i="11" s="1"/>
  <c r="Q19" i="11" s="1"/>
  <c r="S19" i="11" s="1"/>
  <c r="U19" i="11" s="1"/>
  <c r="W19" i="11" s="1"/>
  <c r="Y19" i="11" s="1"/>
  <c r="AA19" i="11" s="1"/>
  <c r="AC19" i="11" s="1"/>
  <c r="AE19" i="11" s="1"/>
  <c r="AG19" i="11" s="1"/>
  <c r="E20" i="11"/>
  <c r="G20" i="11" s="1"/>
  <c r="I20" i="11" s="1"/>
  <c r="K20" i="11" s="1"/>
  <c r="M20" i="11" s="1"/>
  <c r="O20" i="11" s="1"/>
  <c r="Q20" i="11" s="1"/>
  <c r="S20" i="11" s="1"/>
  <c r="U20" i="11" s="1"/>
  <c r="W20" i="11" s="1"/>
  <c r="Y20" i="11" s="1"/>
  <c r="AA20" i="11" s="1"/>
  <c r="AC20" i="11" s="1"/>
  <c r="AE20" i="11" s="1"/>
  <c r="AG20" i="11" s="1"/>
  <c r="F20" i="11"/>
  <c r="H20" i="11" s="1"/>
  <c r="J20" i="11" s="1"/>
  <c r="L20" i="11" s="1"/>
  <c r="N20" i="11" s="1"/>
  <c r="P20" i="11" s="1"/>
  <c r="R20" i="11" s="1"/>
  <c r="T20" i="11" s="1"/>
  <c r="V20" i="11" s="1"/>
  <c r="X20" i="11" s="1"/>
  <c r="Z20" i="11" s="1"/>
  <c r="AB20" i="11" s="1"/>
  <c r="AD20" i="11" s="1"/>
  <c r="AF20" i="11" s="1"/>
  <c r="AH20" i="11" s="1"/>
  <c r="E21" i="11"/>
  <c r="G21" i="11" s="1"/>
  <c r="I21" i="11" s="1"/>
  <c r="K21" i="11" s="1"/>
  <c r="M21" i="11" s="1"/>
  <c r="O21" i="11" s="1"/>
  <c r="Q21" i="11" s="1"/>
  <c r="S21" i="11" s="1"/>
  <c r="U21" i="11" s="1"/>
  <c r="W21" i="11" s="1"/>
  <c r="Y21" i="11" s="1"/>
  <c r="AA21" i="11" s="1"/>
  <c r="AC21" i="11" s="1"/>
  <c r="AE21" i="11" s="1"/>
  <c r="AG21" i="11" s="1"/>
  <c r="F21" i="11"/>
  <c r="H21" i="11" s="1"/>
  <c r="J21" i="11" s="1"/>
  <c r="L21" i="11" s="1"/>
  <c r="N21" i="11" s="1"/>
  <c r="P21" i="11" s="1"/>
  <c r="R21" i="11" s="1"/>
  <c r="T21" i="11" s="1"/>
  <c r="V21" i="11" s="1"/>
  <c r="X21" i="11" s="1"/>
  <c r="Z21" i="11" s="1"/>
  <c r="AB21" i="11" s="1"/>
  <c r="AD21" i="11" s="1"/>
  <c r="AF21" i="11" s="1"/>
  <c r="AH21" i="11" s="1"/>
  <c r="E22" i="11"/>
  <c r="G22" i="11" s="1"/>
  <c r="I22" i="11" s="1"/>
  <c r="K22" i="11" s="1"/>
  <c r="M22" i="11" s="1"/>
  <c r="O22" i="11" s="1"/>
  <c r="Q22" i="11" s="1"/>
  <c r="S22" i="11" s="1"/>
  <c r="U22" i="11" s="1"/>
  <c r="W22" i="11" s="1"/>
  <c r="Y22" i="11" s="1"/>
  <c r="AA22" i="11" s="1"/>
  <c r="AC22" i="11" s="1"/>
  <c r="AE22" i="11" s="1"/>
  <c r="AG22" i="11" s="1"/>
  <c r="F22" i="11"/>
  <c r="H22" i="11" s="1"/>
  <c r="J22" i="11" s="1"/>
  <c r="L22" i="11" s="1"/>
  <c r="N22" i="11" s="1"/>
  <c r="P22" i="11" s="1"/>
  <c r="R22" i="11" s="1"/>
  <c r="T22" i="11" s="1"/>
  <c r="V22" i="11" s="1"/>
  <c r="X22" i="11" s="1"/>
  <c r="Z22" i="11" s="1"/>
  <c r="AB22" i="11" s="1"/>
  <c r="AD22" i="11" s="1"/>
  <c r="AF22" i="11" s="1"/>
  <c r="AH22" i="11" s="1"/>
  <c r="E23" i="11"/>
  <c r="F23" i="11"/>
  <c r="H23" i="11" s="1"/>
  <c r="J23" i="11" s="1"/>
  <c r="L23" i="11" s="1"/>
  <c r="N23" i="11" s="1"/>
  <c r="P23" i="11" s="1"/>
  <c r="R23" i="11" s="1"/>
  <c r="T23" i="11" s="1"/>
  <c r="V23" i="11" s="1"/>
  <c r="X23" i="11" s="1"/>
  <c r="Z23" i="11" s="1"/>
  <c r="AB23" i="11" s="1"/>
  <c r="AD23" i="11" s="1"/>
  <c r="AF23" i="11" s="1"/>
  <c r="AH23" i="11" s="1"/>
  <c r="G23" i="11"/>
  <c r="I23" i="11" s="1"/>
  <c r="K23" i="11" s="1"/>
  <c r="M23" i="11" s="1"/>
  <c r="O23" i="11" s="1"/>
  <c r="Q23" i="11" s="1"/>
  <c r="S23" i="11" s="1"/>
  <c r="U23" i="11" s="1"/>
  <c r="W23" i="11" s="1"/>
  <c r="Y23" i="11" s="1"/>
  <c r="AA23" i="11" s="1"/>
  <c r="AC23" i="11" s="1"/>
  <c r="AE23" i="11" s="1"/>
  <c r="AG23" i="11" s="1"/>
  <c r="E24" i="11"/>
  <c r="G24" i="11" s="1"/>
  <c r="I24" i="11" s="1"/>
  <c r="K24" i="11" s="1"/>
  <c r="M24" i="11" s="1"/>
  <c r="O24" i="11" s="1"/>
  <c r="Q24" i="11" s="1"/>
  <c r="S24" i="11" s="1"/>
  <c r="U24" i="11" s="1"/>
  <c r="W24" i="11" s="1"/>
  <c r="Y24" i="11" s="1"/>
  <c r="AA24" i="11" s="1"/>
  <c r="AC24" i="11" s="1"/>
  <c r="AE24" i="11" s="1"/>
  <c r="AG24" i="11" s="1"/>
  <c r="F24" i="11"/>
  <c r="H24" i="11" s="1"/>
  <c r="J24" i="11" s="1"/>
  <c r="L24" i="11" s="1"/>
  <c r="N24" i="11" s="1"/>
  <c r="P24" i="11" s="1"/>
  <c r="R24" i="11" s="1"/>
  <c r="T24" i="11" s="1"/>
  <c r="V24" i="11" s="1"/>
  <c r="X24" i="11" s="1"/>
  <c r="Z24" i="11" s="1"/>
  <c r="AB24" i="11" s="1"/>
  <c r="AD24" i="11" s="1"/>
  <c r="AF24" i="11" s="1"/>
  <c r="AH24" i="11" s="1"/>
  <c r="E25" i="11"/>
  <c r="G25" i="11" s="1"/>
  <c r="I25" i="11" s="1"/>
  <c r="K25" i="11" s="1"/>
  <c r="M25" i="11" s="1"/>
  <c r="O25" i="11" s="1"/>
  <c r="Q25" i="11" s="1"/>
  <c r="S25" i="11" s="1"/>
  <c r="U25" i="11" s="1"/>
  <c r="W25" i="11" s="1"/>
  <c r="Y25" i="11" s="1"/>
  <c r="AA25" i="11" s="1"/>
  <c r="AC25" i="11" s="1"/>
  <c r="AE25" i="11" s="1"/>
  <c r="AG25" i="11" s="1"/>
  <c r="F25" i="11"/>
  <c r="H25" i="11" s="1"/>
  <c r="J25" i="11" s="1"/>
  <c r="L25" i="11" s="1"/>
  <c r="N25" i="11" s="1"/>
  <c r="P25" i="11" s="1"/>
  <c r="R25" i="11" s="1"/>
  <c r="T25" i="11" s="1"/>
  <c r="V25" i="11" s="1"/>
  <c r="X25" i="11" s="1"/>
  <c r="Z25" i="11" s="1"/>
  <c r="AB25" i="11" s="1"/>
  <c r="AD25" i="11" s="1"/>
  <c r="AF25" i="11" s="1"/>
  <c r="AH25" i="11" s="1"/>
  <c r="E26" i="11"/>
  <c r="G26" i="11" s="1"/>
  <c r="I26" i="11" s="1"/>
  <c r="K26" i="11" s="1"/>
  <c r="M26" i="11" s="1"/>
  <c r="O26" i="11" s="1"/>
  <c r="Q26" i="11" s="1"/>
  <c r="S26" i="11" s="1"/>
  <c r="U26" i="11" s="1"/>
  <c r="W26" i="11" s="1"/>
  <c r="Y26" i="11" s="1"/>
  <c r="AA26" i="11" s="1"/>
  <c r="AC26" i="11" s="1"/>
  <c r="AE26" i="11" s="1"/>
  <c r="AG26" i="11" s="1"/>
  <c r="F26" i="11"/>
  <c r="H26" i="11" s="1"/>
  <c r="J26" i="11" s="1"/>
  <c r="L26" i="11" s="1"/>
  <c r="N26" i="11" s="1"/>
  <c r="P26" i="11" s="1"/>
  <c r="R26" i="11" s="1"/>
  <c r="T26" i="11" s="1"/>
  <c r="V26" i="11" s="1"/>
  <c r="X26" i="11" s="1"/>
  <c r="Z26" i="11" s="1"/>
  <c r="AB26" i="11" s="1"/>
  <c r="AD26" i="11" s="1"/>
  <c r="AF26" i="11" s="1"/>
  <c r="AH26" i="11" s="1"/>
  <c r="E27" i="11"/>
  <c r="G27" i="11" s="1"/>
  <c r="I27" i="11" s="1"/>
  <c r="K27" i="11" s="1"/>
  <c r="M27" i="11" s="1"/>
  <c r="O27" i="11" s="1"/>
  <c r="Q27" i="11" s="1"/>
  <c r="S27" i="11" s="1"/>
  <c r="U27" i="11" s="1"/>
  <c r="W27" i="11" s="1"/>
  <c r="Y27" i="11" s="1"/>
  <c r="AA27" i="11" s="1"/>
  <c r="AC27" i="11" s="1"/>
  <c r="AE27" i="11" s="1"/>
  <c r="AG27" i="11" s="1"/>
  <c r="F27" i="11"/>
  <c r="H27" i="11" s="1"/>
  <c r="J27" i="11" s="1"/>
  <c r="L27" i="11" s="1"/>
  <c r="N27" i="11" s="1"/>
  <c r="P27" i="11" s="1"/>
  <c r="R27" i="11" s="1"/>
  <c r="T27" i="11" s="1"/>
  <c r="V27" i="11" s="1"/>
  <c r="X27" i="11" s="1"/>
  <c r="Z27" i="11" s="1"/>
  <c r="AB27" i="11" s="1"/>
  <c r="AD27" i="11" s="1"/>
  <c r="AF27" i="11" s="1"/>
  <c r="AH27" i="11" s="1"/>
  <c r="E28" i="11"/>
  <c r="G28" i="11" s="1"/>
  <c r="I28" i="11" s="1"/>
  <c r="K28" i="11" s="1"/>
  <c r="M28" i="11" s="1"/>
  <c r="O28" i="11" s="1"/>
  <c r="Q28" i="11" s="1"/>
  <c r="S28" i="11" s="1"/>
  <c r="U28" i="11" s="1"/>
  <c r="W28" i="11" s="1"/>
  <c r="Y28" i="11" s="1"/>
  <c r="AA28" i="11" s="1"/>
  <c r="AC28" i="11" s="1"/>
  <c r="AE28" i="11" s="1"/>
  <c r="AG28" i="11" s="1"/>
  <c r="F28" i="11"/>
  <c r="H28" i="11" s="1"/>
  <c r="J28" i="11" s="1"/>
  <c r="L28" i="11" s="1"/>
  <c r="N28" i="11" s="1"/>
  <c r="P28" i="11" s="1"/>
  <c r="R28" i="11" s="1"/>
  <c r="T28" i="11" s="1"/>
  <c r="V28" i="11" s="1"/>
  <c r="X28" i="11" s="1"/>
  <c r="Z28" i="11" s="1"/>
  <c r="AB28" i="11" s="1"/>
  <c r="AD28" i="11" s="1"/>
  <c r="AF28" i="11" s="1"/>
  <c r="AH28" i="11" s="1"/>
  <c r="E29" i="11"/>
  <c r="G29" i="11" s="1"/>
  <c r="I29" i="11" s="1"/>
  <c r="K29" i="11" s="1"/>
  <c r="M29" i="11" s="1"/>
  <c r="O29" i="11" s="1"/>
  <c r="Q29" i="11" s="1"/>
  <c r="S29" i="11" s="1"/>
  <c r="U29" i="11" s="1"/>
  <c r="W29" i="11" s="1"/>
  <c r="Y29" i="11" s="1"/>
  <c r="AA29" i="11" s="1"/>
  <c r="AC29" i="11" s="1"/>
  <c r="AE29" i="11" s="1"/>
  <c r="AG29" i="11" s="1"/>
  <c r="F29" i="11"/>
  <c r="H29" i="11" s="1"/>
  <c r="J29" i="11" s="1"/>
  <c r="L29" i="11" s="1"/>
  <c r="N29" i="11" s="1"/>
  <c r="P29" i="11" s="1"/>
  <c r="R29" i="11" s="1"/>
  <c r="T29" i="11" s="1"/>
  <c r="V29" i="11" s="1"/>
  <c r="X29" i="11" s="1"/>
  <c r="Z29" i="11" s="1"/>
  <c r="AB29" i="11" s="1"/>
  <c r="AD29" i="11" s="1"/>
  <c r="AF29" i="11" s="1"/>
  <c r="AH29" i="11" s="1"/>
  <c r="E30" i="11"/>
  <c r="G30" i="11" s="1"/>
  <c r="I30" i="11" s="1"/>
  <c r="K30" i="11" s="1"/>
  <c r="M30" i="11" s="1"/>
  <c r="O30" i="11" s="1"/>
  <c r="Q30" i="11" s="1"/>
  <c r="S30" i="11" s="1"/>
  <c r="U30" i="11" s="1"/>
  <c r="W30" i="11" s="1"/>
  <c r="Y30" i="11" s="1"/>
  <c r="AA30" i="11" s="1"/>
  <c r="AC30" i="11" s="1"/>
  <c r="AE30" i="11" s="1"/>
  <c r="AG30" i="11" s="1"/>
  <c r="F30" i="11"/>
  <c r="H30" i="11" s="1"/>
  <c r="J30" i="11" s="1"/>
  <c r="L30" i="11" s="1"/>
  <c r="N30" i="11" s="1"/>
  <c r="P30" i="11" s="1"/>
  <c r="R30" i="11" s="1"/>
  <c r="T30" i="11" s="1"/>
  <c r="V30" i="11" s="1"/>
  <c r="X30" i="11" s="1"/>
  <c r="Z30" i="11" s="1"/>
  <c r="AB30" i="11" s="1"/>
  <c r="AD30" i="11" s="1"/>
  <c r="AF30" i="11" s="1"/>
  <c r="AH30" i="11" s="1"/>
  <c r="E31" i="11"/>
  <c r="G31" i="11" s="1"/>
  <c r="I31" i="11" s="1"/>
  <c r="K31" i="11" s="1"/>
  <c r="M31" i="11" s="1"/>
  <c r="O31" i="11" s="1"/>
  <c r="Q31" i="11" s="1"/>
  <c r="S31" i="11" s="1"/>
  <c r="U31" i="11" s="1"/>
  <c r="W31" i="11" s="1"/>
  <c r="Y31" i="11" s="1"/>
  <c r="AA31" i="11" s="1"/>
  <c r="AC31" i="11" s="1"/>
  <c r="AE31" i="11" s="1"/>
  <c r="AG31" i="11" s="1"/>
  <c r="F31" i="11"/>
  <c r="H31" i="11" s="1"/>
  <c r="J31" i="11" s="1"/>
  <c r="L31" i="11" s="1"/>
  <c r="N31" i="11" s="1"/>
  <c r="P31" i="11" s="1"/>
  <c r="R31" i="11" s="1"/>
  <c r="T31" i="11" s="1"/>
  <c r="V31" i="11" s="1"/>
  <c r="X31" i="11" s="1"/>
  <c r="Z31" i="11" s="1"/>
  <c r="AB31" i="11" s="1"/>
  <c r="AD31" i="11" s="1"/>
  <c r="AF31" i="11" s="1"/>
  <c r="AH31" i="11" s="1"/>
  <c r="E32" i="11"/>
  <c r="G32" i="11" s="1"/>
  <c r="I32" i="11" s="1"/>
  <c r="K32" i="11" s="1"/>
  <c r="M32" i="11" s="1"/>
  <c r="O32" i="11" s="1"/>
  <c r="Q32" i="11" s="1"/>
  <c r="S32" i="11" s="1"/>
  <c r="U32" i="11" s="1"/>
  <c r="W32" i="11" s="1"/>
  <c r="Y32" i="11" s="1"/>
  <c r="AA32" i="11" s="1"/>
  <c r="AC32" i="11" s="1"/>
  <c r="AE32" i="11" s="1"/>
  <c r="AG32" i="11" s="1"/>
  <c r="F32" i="11"/>
  <c r="H32" i="11" s="1"/>
  <c r="J32" i="11" s="1"/>
  <c r="L32" i="11" s="1"/>
  <c r="N32" i="11" s="1"/>
  <c r="P32" i="11" s="1"/>
  <c r="R32" i="11" s="1"/>
  <c r="T32" i="11" s="1"/>
  <c r="V32" i="11" s="1"/>
  <c r="X32" i="11" s="1"/>
  <c r="Z32" i="11" s="1"/>
  <c r="AB32" i="11" s="1"/>
  <c r="AD32" i="11" s="1"/>
  <c r="AF32" i="11" s="1"/>
  <c r="AH32" i="11" s="1"/>
  <c r="E33" i="11"/>
  <c r="G33" i="11" s="1"/>
  <c r="I33" i="11" s="1"/>
  <c r="K33" i="11" s="1"/>
  <c r="M33" i="11" s="1"/>
  <c r="O33" i="11" s="1"/>
  <c r="Q33" i="11" s="1"/>
  <c r="S33" i="11" s="1"/>
  <c r="U33" i="11" s="1"/>
  <c r="W33" i="11" s="1"/>
  <c r="Y33" i="11" s="1"/>
  <c r="AA33" i="11" s="1"/>
  <c r="AC33" i="11" s="1"/>
  <c r="AE33" i="11" s="1"/>
  <c r="AG33" i="11" s="1"/>
  <c r="F33" i="11"/>
  <c r="H33" i="11" s="1"/>
  <c r="J33" i="11" s="1"/>
  <c r="L33" i="11" s="1"/>
  <c r="N33" i="11" s="1"/>
  <c r="P33" i="11" s="1"/>
  <c r="R33" i="11" s="1"/>
  <c r="T33" i="11" s="1"/>
  <c r="V33" i="11" s="1"/>
  <c r="X33" i="11" s="1"/>
  <c r="Z33" i="11" s="1"/>
  <c r="AB33" i="11" s="1"/>
  <c r="AD33" i="11" s="1"/>
  <c r="AF33" i="11" s="1"/>
  <c r="AH33" i="11" s="1"/>
  <c r="E34" i="11"/>
  <c r="G34" i="11" s="1"/>
  <c r="I34" i="11" s="1"/>
  <c r="K34" i="11" s="1"/>
  <c r="M34" i="11" s="1"/>
  <c r="O34" i="11" s="1"/>
  <c r="Q34" i="11" s="1"/>
  <c r="S34" i="11" s="1"/>
  <c r="U34" i="11" s="1"/>
  <c r="W34" i="11" s="1"/>
  <c r="Y34" i="11" s="1"/>
  <c r="AA34" i="11" s="1"/>
  <c r="AC34" i="11" s="1"/>
  <c r="AE34" i="11" s="1"/>
  <c r="AG34" i="11" s="1"/>
  <c r="F34" i="11"/>
  <c r="H34" i="11" s="1"/>
  <c r="J34" i="11" s="1"/>
  <c r="L34" i="11" s="1"/>
  <c r="N34" i="11" s="1"/>
  <c r="P34" i="11" s="1"/>
  <c r="R34" i="11" s="1"/>
  <c r="T34" i="11" s="1"/>
  <c r="V34" i="11" s="1"/>
  <c r="X34" i="11" s="1"/>
  <c r="Z34" i="11" s="1"/>
  <c r="AB34" i="11" s="1"/>
  <c r="AD34" i="11" s="1"/>
  <c r="AF34" i="11" s="1"/>
  <c r="AH34" i="11" s="1"/>
  <c r="E35" i="11"/>
  <c r="G35" i="11" s="1"/>
  <c r="I35" i="11" s="1"/>
  <c r="K35" i="11" s="1"/>
  <c r="M35" i="11" s="1"/>
  <c r="O35" i="11" s="1"/>
  <c r="Q35" i="11" s="1"/>
  <c r="S35" i="11" s="1"/>
  <c r="U35" i="11" s="1"/>
  <c r="W35" i="11" s="1"/>
  <c r="Y35" i="11" s="1"/>
  <c r="AA35" i="11" s="1"/>
  <c r="AC35" i="11" s="1"/>
  <c r="AE35" i="11" s="1"/>
  <c r="AG35" i="11" s="1"/>
  <c r="F35" i="11"/>
  <c r="H35" i="11" s="1"/>
  <c r="J35" i="11" s="1"/>
  <c r="L35" i="11" s="1"/>
  <c r="N35" i="11" s="1"/>
  <c r="P35" i="11" s="1"/>
  <c r="R35" i="11" s="1"/>
  <c r="T35" i="11" s="1"/>
  <c r="V35" i="11" s="1"/>
  <c r="X35" i="11" s="1"/>
  <c r="Z35" i="11" s="1"/>
  <c r="AB35" i="11" s="1"/>
  <c r="AD35" i="11" s="1"/>
  <c r="AF35" i="11" s="1"/>
  <c r="AH35" i="11" s="1"/>
  <c r="E36" i="11"/>
  <c r="G36" i="11" s="1"/>
  <c r="I36" i="11" s="1"/>
  <c r="K36" i="11" s="1"/>
  <c r="M36" i="11" s="1"/>
  <c r="O36" i="11" s="1"/>
  <c r="Q36" i="11" s="1"/>
  <c r="S36" i="11" s="1"/>
  <c r="U36" i="11" s="1"/>
  <c r="W36" i="11" s="1"/>
  <c r="Y36" i="11" s="1"/>
  <c r="AA36" i="11" s="1"/>
  <c r="AC36" i="11" s="1"/>
  <c r="AE36" i="11" s="1"/>
  <c r="AG36" i="11" s="1"/>
  <c r="F36" i="11"/>
  <c r="H36" i="11" s="1"/>
  <c r="J36" i="11" s="1"/>
  <c r="L36" i="11" s="1"/>
  <c r="N36" i="11" s="1"/>
  <c r="P36" i="11" s="1"/>
  <c r="R36" i="11" s="1"/>
  <c r="T36" i="11" s="1"/>
  <c r="V36" i="11" s="1"/>
  <c r="X36" i="11" s="1"/>
  <c r="Z36" i="11" s="1"/>
  <c r="AB36" i="11" s="1"/>
  <c r="AD36" i="11" s="1"/>
  <c r="AF36" i="11" s="1"/>
  <c r="AH36" i="11" s="1"/>
  <c r="E37" i="11"/>
  <c r="G37" i="11" s="1"/>
  <c r="I37" i="11" s="1"/>
  <c r="K37" i="11" s="1"/>
  <c r="M37" i="11" s="1"/>
  <c r="O37" i="11" s="1"/>
  <c r="Q37" i="11" s="1"/>
  <c r="S37" i="11" s="1"/>
  <c r="U37" i="11" s="1"/>
  <c r="W37" i="11" s="1"/>
  <c r="Y37" i="11" s="1"/>
  <c r="AA37" i="11" s="1"/>
  <c r="AC37" i="11" s="1"/>
  <c r="AE37" i="11" s="1"/>
  <c r="AG37" i="11" s="1"/>
  <c r="F37" i="11"/>
  <c r="H37" i="11" s="1"/>
  <c r="J37" i="11" s="1"/>
  <c r="L37" i="11" s="1"/>
  <c r="N37" i="11" s="1"/>
  <c r="P37" i="11" s="1"/>
  <c r="R37" i="11" s="1"/>
  <c r="T37" i="11" s="1"/>
  <c r="V37" i="11" s="1"/>
  <c r="X37" i="11" s="1"/>
  <c r="Z37" i="11" s="1"/>
  <c r="AB37" i="11" s="1"/>
  <c r="AD37" i="11" s="1"/>
  <c r="AF37" i="11" s="1"/>
  <c r="AH37" i="11" s="1"/>
  <c r="E38" i="11"/>
  <c r="G38" i="11" s="1"/>
  <c r="I38" i="11" s="1"/>
  <c r="K38" i="11" s="1"/>
  <c r="M38" i="11" s="1"/>
  <c r="O38" i="11" s="1"/>
  <c r="Q38" i="11" s="1"/>
  <c r="S38" i="11" s="1"/>
  <c r="U38" i="11" s="1"/>
  <c r="W38" i="11" s="1"/>
  <c r="Y38" i="11" s="1"/>
  <c r="AA38" i="11" s="1"/>
  <c r="AC38" i="11" s="1"/>
  <c r="AE38" i="11" s="1"/>
  <c r="AG38" i="11" s="1"/>
  <c r="F38" i="11"/>
  <c r="H38" i="11" s="1"/>
  <c r="J38" i="11" s="1"/>
  <c r="L38" i="11" s="1"/>
  <c r="N38" i="11" s="1"/>
  <c r="P38" i="11" s="1"/>
  <c r="R38" i="11" s="1"/>
  <c r="T38" i="11" s="1"/>
  <c r="V38" i="11" s="1"/>
  <c r="X38" i="11" s="1"/>
  <c r="Z38" i="11" s="1"/>
  <c r="AB38" i="11" s="1"/>
  <c r="AD38" i="11" s="1"/>
  <c r="AF38" i="11" s="1"/>
  <c r="AH38" i="11" s="1"/>
  <c r="E39" i="11"/>
  <c r="G39" i="11" s="1"/>
  <c r="I39" i="11" s="1"/>
  <c r="K39" i="11" s="1"/>
  <c r="M39" i="11" s="1"/>
  <c r="O39" i="11" s="1"/>
  <c r="Q39" i="11" s="1"/>
  <c r="S39" i="11" s="1"/>
  <c r="U39" i="11" s="1"/>
  <c r="W39" i="11" s="1"/>
  <c r="Y39" i="11" s="1"/>
  <c r="AA39" i="11" s="1"/>
  <c r="AC39" i="11" s="1"/>
  <c r="AE39" i="11" s="1"/>
  <c r="AG39" i="11" s="1"/>
  <c r="F39" i="11"/>
  <c r="H39" i="11" s="1"/>
  <c r="J39" i="11" s="1"/>
  <c r="L39" i="11" s="1"/>
  <c r="N39" i="11" s="1"/>
  <c r="P39" i="11" s="1"/>
  <c r="R39" i="11" s="1"/>
  <c r="T39" i="11" s="1"/>
  <c r="V39" i="11" s="1"/>
  <c r="X39" i="11" s="1"/>
  <c r="Z39" i="11" s="1"/>
  <c r="AB39" i="11" s="1"/>
  <c r="AD39" i="11" s="1"/>
  <c r="AF39" i="11" s="1"/>
  <c r="AH39" i="11" s="1"/>
  <c r="E40" i="11"/>
  <c r="G40" i="11" s="1"/>
  <c r="I40" i="11" s="1"/>
  <c r="K40" i="11" s="1"/>
  <c r="M40" i="11" s="1"/>
  <c r="O40" i="11" s="1"/>
  <c r="Q40" i="11" s="1"/>
  <c r="S40" i="11" s="1"/>
  <c r="U40" i="11" s="1"/>
  <c r="W40" i="11" s="1"/>
  <c r="Y40" i="11" s="1"/>
  <c r="AA40" i="11" s="1"/>
  <c r="AC40" i="11" s="1"/>
  <c r="AE40" i="11" s="1"/>
  <c r="AG40" i="11" s="1"/>
  <c r="F40" i="11"/>
  <c r="H40" i="11" s="1"/>
  <c r="J40" i="11" s="1"/>
  <c r="L40" i="11" s="1"/>
  <c r="N40" i="11" s="1"/>
  <c r="P40" i="11" s="1"/>
  <c r="R40" i="11" s="1"/>
  <c r="T40" i="11" s="1"/>
  <c r="V40" i="11" s="1"/>
  <c r="X40" i="11" s="1"/>
  <c r="Z40" i="11" s="1"/>
  <c r="AB40" i="11" s="1"/>
  <c r="AD40" i="11" s="1"/>
  <c r="AF40" i="11" s="1"/>
  <c r="AH40" i="11" s="1"/>
  <c r="E41" i="11"/>
  <c r="F41" i="11"/>
  <c r="H41" i="11" s="1"/>
  <c r="J41" i="11" s="1"/>
  <c r="L41" i="11" s="1"/>
  <c r="N41" i="11" s="1"/>
  <c r="P41" i="11" s="1"/>
  <c r="R41" i="11" s="1"/>
  <c r="T41" i="11" s="1"/>
  <c r="V41" i="11" s="1"/>
  <c r="X41" i="11" s="1"/>
  <c r="Z41" i="11" s="1"/>
  <c r="AB41" i="11" s="1"/>
  <c r="AD41" i="11" s="1"/>
  <c r="AF41" i="11" s="1"/>
  <c r="AH41" i="11" s="1"/>
  <c r="G41" i="11"/>
  <c r="I41" i="11" s="1"/>
  <c r="K41" i="11" s="1"/>
  <c r="M41" i="11" s="1"/>
  <c r="O41" i="11" s="1"/>
  <c r="Q41" i="11" s="1"/>
  <c r="S41" i="11" s="1"/>
  <c r="U41" i="11" s="1"/>
  <c r="W41" i="11" s="1"/>
  <c r="Y41" i="11" s="1"/>
  <c r="AA41" i="11" s="1"/>
  <c r="AC41" i="11" s="1"/>
  <c r="AE41" i="11" s="1"/>
  <c r="AG41" i="11" s="1"/>
  <c r="E42" i="11"/>
  <c r="G42" i="11" s="1"/>
  <c r="I42" i="11" s="1"/>
  <c r="K42" i="11" s="1"/>
  <c r="M42" i="11" s="1"/>
  <c r="O42" i="11" s="1"/>
  <c r="Q42" i="11" s="1"/>
  <c r="S42" i="11" s="1"/>
  <c r="U42" i="11" s="1"/>
  <c r="W42" i="11" s="1"/>
  <c r="Y42" i="11" s="1"/>
  <c r="AA42" i="11" s="1"/>
  <c r="AC42" i="11" s="1"/>
  <c r="AE42" i="11" s="1"/>
  <c r="AG42" i="11" s="1"/>
  <c r="F42" i="11"/>
  <c r="H42" i="11" s="1"/>
  <c r="J42" i="11" s="1"/>
  <c r="L42" i="11" s="1"/>
  <c r="N42" i="11" s="1"/>
  <c r="P42" i="11" s="1"/>
  <c r="R42" i="11" s="1"/>
  <c r="T42" i="11" s="1"/>
  <c r="V42" i="11" s="1"/>
  <c r="X42" i="11" s="1"/>
  <c r="Z42" i="11" s="1"/>
  <c r="AB42" i="11" s="1"/>
  <c r="AD42" i="11" s="1"/>
  <c r="AF42" i="11" s="1"/>
  <c r="AH42" i="11" s="1"/>
  <c r="E43" i="11"/>
  <c r="G43" i="11" s="1"/>
  <c r="I43" i="11" s="1"/>
  <c r="K43" i="11" s="1"/>
  <c r="M43" i="11" s="1"/>
  <c r="O43" i="11" s="1"/>
  <c r="Q43" i="11" s="1"/>
  <c r="S43" i="11" s="1"/>
  <c r="U43" i="11" s="1"/>
  <c r="W43" i="11" s="1"/>
  <c r="Y43" i="11" s="1"/>
  <c r="AA43" i="11" s="1"/>
  <c r="AC43" i="11" s="1"/>
  <c r="AE43" i="11" s="1"/>
  <c r="AG43" i="11" s="1"/>
  <c r="F43" i="11"/>
  <c r="H43" i="11" s="1"/>
  <c r="J43" i="11" s="1"/>
  <c r="L43" i="11" s="1"/>
  <c r="N43" i="11" s="1"/>
  <c r="P43" i="11" s="1"/>
  <c r="R43" i="11" s="1"/>
  <c r="T43" i="11" s="1"/>
  <c r="V43" i="11" s="1"/>
  <c r="X43" i="11" s="1"/>
  <c r="Z43" i="11" s="1"/>
  <c r="AB43" i="11" s="1"/>
  <c r="AD43" i="11" s="1"/>
  <c r="AF43" i="11" s="1"/>
  <c r="AH43" i="11" s="1"/>
  <c r="E44" i="11"/>
  <c r="G44" i="11" s="1"/>
  <c r="I44" i="11" s="1"/>
  <c r="K44" i="11" s="1"/>
  <c r="F44" i="11"/>
  <c r="H44" i="11" s="1"/>
  <c r="J44" i="11" s="1"/>
  <c r="L44" i="11" s="1"/>
  <c r="N44" i="11" s="1"/>
  <c r="P44" i="11" s="1"/>
  <c r="R44" i="11" s="1"/>
  <c r="T44" i="11" s="1"/>
  <c r="V44" i="11" s="1"/>
  <c r="X44" i="11" s="1"/>
  <c r="Z44" i="11" s="1"/>
  <c r="AB44" i="11" s="1"/>
  <c r="AD44" i="11" s="1"/>
  <c r="AF44" i="11" s="1"/>
  <c r="AH44" i="11" s="1"/>
  <c r="M44" i="11"/>
  <c r="O44" i="11" s="1"/>
  <c r="Q44" i="11" s="1"/>
  <c r="S44" i="11" s="1"/>
  <c r="U44" i="11" s="1"/>
  <c r="W44" i="11" s="1"/>
  <c r="Y44" i="11" s="1"/>
  <c r="AA44" i="11" s="1"/>
  <c r="AC44" i="11" s="1"/>
  <c r="AE44" i="11" s="1"/>
  <c r="AG44" i="11" s="1"/>
  <c r="E45" i="11"/>
  <c r="G45" i="11" s="1"/>
  <c r="I45" i="11" s="1"/>
  <c r="K45" i="11" s="1"/>
  <c r="M45" i="11" s="1"/>
  <c r="O45" i="11" s="1"/>
  <c r="Q45" i="11" s="1"/>
  <c r="S45" i="11" s="1"/>
  <c r="U45" i="11" s="1"/>
  <c r="W45" i="11" s="1"/>
  <c r="Y45" i="11" s="1"/>
  <c r="AA45" i="11" s="1"/>
  <c r="AC45" i="11" s="1"/>
  <c r="AE45" i="11" s="1"/>
  <c r="AG45" i="11" s="1"/>
  <c r="F45" i="11"/>
  <c r="H45" i="11" s="1"/>
  <c r="J45" i="11" s="1"/>
  <c r="L45" i="11" s="1"/>
  <c r="N45" i="11" s="1"/>
  <c r="P45" i="11" s="1"/>
  <c r="R45" i="11" s="1"/>
  <c r="T45" i="11" s="1"/>
  <c r="V45" i="11" s="1"/>
  <c r="X45" i="11" s="1"/>
  <c r="Z45" i="11" s="1"/>
  <c r="AB45" i="11" s="1"/>
  <c r="AD45" i="11" s="1"/>
  <c r="AF45" i="11" s="1"/>
  <c r="AH45" i="11" s="1"/>
  <c r="E46" i="11"/>
  <c r="G46" i="11" s="1"/>
  <c r="I46" i="11" s="1"/>
  <c r="K46" i="11" s="1"/>
  <c r="M46" i="11" s="1"/>
  <c r="O46" i="11" s="1"/>
  <c r="Q46" i="11" s="1"/>
  <c r="S46" i="11" s="1"/>
  <c r="U46" i="11" s="1"/>
  <c r="W46" i="11" s="1"/>
  <c r="Y46" i="11" s="1"/>
  <c r="AA46" i="11" s="1"/>
  <c r="AC46" i="11" s="1"/>
  <c r="AE46" i="11" s="1"/>
  <c r="AG46" i="11" s="1"/>
  <c r="F46" i="11"/>
  <c r="H46" i="11" s="1"/>
  <c r="J46" i="11" s="1"/>
  <c r="L46" i="11" s="1"/>
  <c r="N46" i="11" s="1"/>
  <c r="P46" i="11" s="1"/>
  <c r="R46" i="11" s="1"/>
  <c r="T46" i="11" s="1"/>
  <c r="V46" i="11" s="1"/>
  <c r="X46" i="11" s="1"/>
  <c r="Z46" i="11" s="1"/>
  <c r="AB46" i="11" s="1"/>
  <c r="AD46" i="11" s="1"/>
  <c r="AF46" i="11" s="1"/>
  <c r="AH46" i="11" s="1"/>
  <c r="E47" i="11"/>
  <c r="G47" i="11" s="1"/>
  <c r="I47" i="11" s="1"/>
  <c r="K47" i="11" s="1"/>
  <c r="M47" i="11" s="1"/>
  <c r="O47" i="11" s="1"/>
  <c r="Q47" i="11" s="1"/>
  <c r="S47" i="11" s="1"/>
  <c r="U47" i="11" s="1"/>
  <c r="W47" i="11" s="1"/>
  <c r="Y47" i="11" s="1"/>
  <c r="AA47" i="11" s="1"/>
  <c r="AC47" i="11" s="1"/>
  <c r="AE47" i="11" s="1"/>
  <c r="AG47" i="11" s="1"/>
  <c r="F47" i="11"/>
  <c r="H47" i="11" s="1"/>
  <c r="J47" i="11" s="1"/>
  <c r="L47" i="11" s="1"/>
  <c r="N47" i="11" s="1"/>
  <c r="P47" i="11" s="1"/>
  <c r="R47" i="11" s="1"/>
  <c r="T47" i="11" s="1"/>
  <c r="V47" i="11" s="1"/>
  <c r="X47" i="11" s="1"/>
  <c r="Z47" i="11" s="1"/>
  <c r="AB47" i="11" s="1"/>
  <c r="AD47" i="11" s="1"/>
  <c r="AF47" i="11" s="1"/>
  <c r="AH47" i="11" s="1"/>
  <c r="E48" i="11"/>
  <c r="G48" i="11" s="1"/>
  <c r="I48" i="11" s="1"/>
  <c r="K48" i="11" s="1"/>
  <c r="M48" i="11" s="1"/>
  <c r="O48" i="11" s="1"/>
  <c r="Q48" i="11" s="1"/>
  <c r="S48" i="11" s="1"/>
  <c r="U48" i="11" s="1"/>
  <c r="W48" i="11" s="1"/>
  <c r="Y48" i="11" s="1"/>
  <c r="AA48" i="11" s="1"/>
  <c r="AC48" i="11" s="1"/>
  <c r="AE48" i="11" s="1"/>
  <c r="AG48" i="11" s="1"/>
  <c r="F48" i="11"/>
  <c r="H48" i="11" s="1"/>
  <c r="J48" i="11" s="1"/>
  <c r="L48" i="11" s="1"/>
  <c r="N48" i="11" s="1"/>
  <c r="P48" i="11" s="1"/>
  <c r="R48" i="11" s="1"/>
  <c r="T48" i="11" s="1"/>
  <c r="V48" i="11" s="1"/>
  <c r="X48" i="11" s="1"/>
  <c r="Z48" i="11" s="1"/>
  <c r="AB48" i="11" s="1"/>
  <c r="AD48" i="11" s="1"/>
  <c r="AF48" i="11" s="1"/>
  <c r="AH48" i="11" s="1"/>
  <c r="E49" i="11"/>
  <c r="G49" i="11" s="1"/>
  <c r="I49" i="11" s="1"/>
  <c r="K49" i="11" s="1"/>
  <c r="M49" i="11" s="1"/>
  <c r="O49" i="11" s="1"/>
  <c r="Q49" i="11" s="1"/>
  <c r="S49" i="11" s="1"/>
  <c r="U49" i="11" s="1"/>
  <c r="W49" i="11" s="1"/>
  <c r="Y49" i="11" s="1"/>
  <c r="AA49" i="11" s="1"/>
  <c r="AC49" i="11" s="1"/>
  <c r="AE49" i="11" s="1"/>
  <c r="AG49" i="11" s="1"/>
  <c r="F49" i="11"/>
  <c r="H49" i="11" s="1"/>
  <c r="J49" i="11" s="1"/>
  <c r="L49" i="11" s="1"/>
  <c r="N49" i="11" s="1"/>
  <c r="P49" i="11" s="1"/>
  <c r="R49" i="11" s="1"/>
  <c r="T49" i="11" s="1"/>
  <c r="V49" i="11" s="1"/>
  <c r="X49" i="11" s="1"/>
  <c r="Z49" i="11" s="1"/>
  <c r="AB49" i="11" s="1"/>
  <c r="AD49" i="11" s="1"/>
  <c r="AF49" i="11" s="1"/>
  <c r="AH49" i="11" s="1"/>
  <c r="E50" i="11"/>
  <c r="G50" i="11" s="1"/>
  <c r="I50" i="11" s="1"/>
  <c r="K50" i="11" s="1"/>
  <c r="M50" i="11" s="1"/>
  <c r="O50" i="11" s="1"/>
  <c r="Q50" i="11" s="1"/>
  <c r="S50" i="11" s="1"/>
  <c r="U50" i="11" s="1"/>
  <c r="W50" i="11" s="1"/>
  <c r="Y50" i="11" s="1"/>
  <c r="AA50" i="11" s="1"/>
  <c r="AC50" i="11" s="1"/>
  <c r="AE50" i="11" s="1"/>
  <c r="AG50" i="11" s="1"/>
  <c r="F50" i="11"/>
  <c r="H50" i="11" s="1"/>
  <c r="J50" i="11" s="1"/>
  <c r="L50" i="11" s="1"/>
  <c r="N50" i="11" s="1"/>
  <c r="P50" i="11" s="1"/>
  <c r="R50" i="11" s="1"/>
  <c r="T50" i="11" s="1"/>
  <c r="V50" i="11" s="1"/>
  <c r="X50" i="11" s="1"/>
  <c r="Z50" i="11" s="1"/>
  <c r="AB50" i="11" s="1"/>
  <c r="AD50" i="11" s="1"/>
  <c r="AF50" i="11" s="1"/>
  <c r="AH50" i="11" s="1"/>
  <c r="E51" i="11"/>
  <c r="G51" i="11" s="1"/>
  <c r="I51" i="11" s="1"/>
  <c r="K51" i="11" s="1"/>
  <c r="M51" i="11" s="1"/>
  <c r="O51" i="11" s="1"/>
  <c r="Q51" i="11" s="1"/>
  <c r="S51" i="11" s="1"/>
  <c r="U51" i="11" s="1"/>
  <c r="W51" i="11" s="1"/>
  <c r="Y51" i="11" s="1"/>
  <c r="AA51" i="11" s="1"/>
  <c r="AC51" i="11" s="1"/>
  <c r="AE51" i="11" s="1"/>
  <c r="AG51" i="11" s="1"/>
  <c r="F51" i="11"/>
  <c r="H51" i="11" s="1"/>
  <c r="J51" i="11" s="1"/>
  <c r="L51" i="11" s="1"/>
  <c r="N51" i="11" s="1"/>
  <c r="P51" i="11" s="1"/>
  <c r="R51" i="11" s="1"/>
  <c r="T51" i="11" s="1"/>
  <c r="V51" i="11" s="1"/>
  <c r="X51" i="11" s="1"/>
  <c r="Z51" i="11" s="1"/>
  <c r="AB51" i="11" s="1"/>
  <c r="AD51" i="11" s="1"/>
  <c r="AF51" i="11" s="1"/>
  <c r="AH51" i="11" s="1"/>
  <c r="E52" i="11"/>
  <c r="G52" i="11" s="1"/>
  <c r="I52" i="11" s="1"/>
  <c r="K52" i="11" s="1"/>
  <c r="M52" i="11" s="1"/>
  <c r="O52" i="11" s="1"/>
  <c r="Q52" i="11" s="1"/>
  <c r="S52" i="11" s="1"/>
  <c r="U52" i="11" s="1"/>
  <c r="W52" i="11" s="1"/>
  <c r="Y52" i="11" s="1"/>
  <c r="AA52" i="11" s="1"/>
  <c r="AC52" i="11" s="1"/>
  <c r="AE52" i="11" s="1"/>
  <c r="AG52" i="11" s="1"/>
  <c r="F52" i="11"/>
  <c r="H52" i="11" s="1"/>
  <c r="J52" i="11" s="1"/>
  <c r="L52" i="11" s="1"/>
  <c r="N52" i="11" s="1"/>
  <c r="P52" i="11" s="1"/>
  <c r="R52" i="11" s="1"/>
  <c r="T52" i="11" s="1"/>
  <c r="V52" i="11" s="1"/>
  <c r="X52" i="11" s="1"/>
  <c r="Z52" i="11" s="1"/>
  <c r="AB52" i="11" s="1"/>
  <c r="AD52" i="11" s="1"/>
  <c r="AF52" i="11" s="1"/>
  <c r="AH52" i="11" s="1"/>
  <c r="E53" i="11"/>
  <c r="G53" i="11" s="1"/>
  <c r="I53" i="11" s="1"/>
  <c r="K53" i="11" s="1"/>
  <c r="M53" i="11" s="1"/>
  <c r="O53" i="11" s="1"/>
  <c r="Q53" i="11" s="1"/>
  <c r="S53" i="11" s="1"/>
  <c r="U53" i="11" s="1"/>
  <c r="W53" i="11" s="1"/>
  <c r="Y53" i="11" s="1"/>
  <c r="AA53" i="11" s="1"/>
  <c r="AC53" i="11" s="1"/>
  <c r="AE53" i="11" s="1"/>
  <c r="AG53" i="11" s="1"/>
  <c r="F53" i="11"/>
  <c r="H53" i="11" s="1"/>
  <c r="J53" i="11" s="1"/>
  <c r="L53" i="11" s="1"/>
  <c r="N53" i="11" s="1"/>
  <c r="P53" i="11" s="1"/>
  <c r="R53" i="11" s="1"/>
  <c r="T53" i="11" s="1"/>
  <c r="V53" i="11" s="1"/>
  <c r="X53" i="11" s="1"/>
  <c r="Z53" i="11" s="1"/>
  <c r="AB53" i="11" s="1"/>
  <c r="AD53" i="11" s="1"/>
  <c r="AF53" i="11" s="1"/>
  <c r="AH53" i="11" s="1"/>
  <c r="E54" i="11"/>
  <c r="G54" i="11" s="1"/>
  <c r="I54" i="11" s="1"/>
  <c r="K54" i="11" s="1"/>
  <c r="M54" i="11" s="1"/>
  <c r="O54" i="11" s="1"/>
  <c r="Q54" i="11" s="1"/>
  <c r="S54" i="11" s="1"/>
  <c r="U54" i="11" s="1"/>
  <c r="W54" i="11" s="1"/>
  <c r="Y54" i="11" s="1"/>
  <c r="AA54" i="11" s="1"/>
  <c r="AC54" i="11" s="1"/>
  <c r="AE54" i="11" s="1"/>
  <c r="AG54" i="11" s="1"/>
  <c r="F54" i="11"/>
  <c r="H54" i="11" s="1"/>
  <c r="J54" i="11" s="1"/>
  <c r="L54" i="11" s="1"/>
  <c r="N54" i="11" s="1"/>
  <c r="P54" i="11" s="1"/>
  <c r="R54" i="11" s="1"/>
  <c r="T54" i="11" s="1"/>
  <c r="V54" i="11" s="1"/>
  <c r="X54" i="11" s="1"/>
  <c r="Z54" i="11" s="1"/>
  <c r="AB54" i="11" s="1"/>
  <c r="AD54" i="11" s="1"/>
  <c r="AF54" i="11" s="1"/>
  <c r="AH54" i="11" s="1"/>
  <c r="E55" i="11"/>
  <c r="G55" i="11" s="1"/>
  <c r="I55" i="11" s="1"/>
  <c r="K55" i="11" s="1"/>
  <c r="M55" i="11" s="1"/>
  <c r="O55" i="11" s="1"/>
  <c r="Q55" i="11" s="1"/>
  <c r="S55" i="11" s="1"/>
  <c r="U55" i="11" s="1"/>
  <c r="W55" i="11" s="1"/>
  <c r="Y55" i="11" s="1"/>
  <c r="AA55" i="11" s="1"/>
  <c r="AC55" i="11" s="1"/>
  <c r="AE55" i="11" s="1"/>
  <c r="AG55" i="11" s="1"/>
  <c r="F55" i="11"/>
  <c r="H55" i="11" s="1"/>
  <c r="J55" i="11" s="1"/>
  <c r="L55" i="11" s="1"/>
  <c r="N55" i="11" s="1"/>
  <c r="P55" i="11" s="1"/>
  <c r="R55" i="11" s="1"/>
  <c r="T55" i="11" s="1"/>
  <c r="V55" i="11" s="1"/>
  <c r="X55" i="11" s="1"/>
  <c r="Z55" i="11" s="1"/>
  <c r="AB55" i="11" s="1"/>
  <c r="AD55" i="11" s="1"/>
  <c r="AF55" i="11" s="1"/>
  <c r="AH55" i="11" s="1"/>
  <c r="E56" i="11"/>
  <c r="G56" i="11" s="1"/>
  <c r="I56" i="11" s="1"/>
  <c r="K56" i="11" s="1"/>
  <c r="M56" i="11" s="1"/>
  <c r="O56" i="11" s="1"/>
  <c r="Q56" i="11" s="1"/>
  <c r="S56" i="11" s="1"/>
  <c r="U56" i="11" s="1"/>
  <c r="W56" i="11" s="1"/>
  <c r="Y56" i="11" s="1"/>
  <c r="AA56" i="11" s="1"/>
  <c r="AC56" i="11" s="1"/>
  <c r="AE56" i="11" s="1"/>
  <c r="AG56" i="11" s="1"/>
  <c r="F56" i="11"/>
  <c r="H56" i="11" s="1"/>
  <c r="J56" i="11" s="1"/>
  <c r="L56" i="11" s="1"/>
  <c r="N56" i="11" s="1"/>
  <c r="P56" i="11" s="1"/>
  <c r="R56" i="11" s="1"/>
  <c r="T56" i="11" s="1"/>
  <c r="V56" i="11" s="1"/>
  <c r="X56" i="11" s="1"/>
  <c r="Z56" i="11" s="1"/>
  <c r="AB56" i="11" s="1"/>
  <c r="AD56" i="11" s="1"/>
  <c r="AF56" i="11" s="1"/>
  <c r="AH56" i="11" s="1"/>
  <c r="E57" i="11"/>
  <c r="G57" i="11" s="1"/>
  <c r="I57" i="11" s="1"/>
  <c r="K57" i="11" s="1"/>
  <c r="M57" i="11" s="1"/>
  <c r="O57" i="11" s="1"/>
  <c r="Q57" i="11" s="1"/>
  <c r="S57" i="11" s="1"/>
  <c r="U57" i="11" s="1"/>
  <c r="W57" i="11" s="1"/>
  <c r="Y57" i="11" s="1"/>
  <c r="AA57" i="11" s="1"/>
  <c r="AC57" i="11" s="1"/>
  <c r="AE57" i="11" s="1"/>
  <c r="AG57" i="11" s="1"/>
  <c r="F57" i="11"/>
  <c r="H57" i="11" s="1"/>
  <c r="J57" i="11" s="1"/>
  <c r="L57" i="11" s="1"/>
  <c r="N57" i="11" s="1"/>
  <c r="P57" i="11" s="1"/>
  <c r="R57" i="11" s="1"/>
  <c r="T57" i="11" s="1"/>
  <c r="V57" i="11" s="1"/>
  <c r="X57" i="11" s="1"/>
  <c r="Z57" i="11" s="1"/>
  <c r="AB57" i="11" s="1"/>
  <c r="AD57" i="11" s="1"/>
  <c r="AF57" i="11" s="1"/>
  <c r="AH57" i="11" s="1"/>
  <c r="E58" i="11"/>
  <c r="G58" i="11" s="1"/>
  <c r="I58" i="11" s="1"/>
  <c r="K58" i="11" s="1"/>
  <c r="M58" i="11" s="1"/>
  <c r="O58" i="11" s="1"/>
  <c r="Q58" i="11" s="1"/>
  <c r="S58" i="11" s="1"/>
  <c r="U58" i="11" s="1"/>
  <c r="W58" i="11" s="1"/>
  <c r="Y58" i="11" s="1"/>
  <c r="AA58" i="11" s="1"/>
  <c r="AC58" i="11" s="1"/>
  <c r="AE58" i="11" s="1"/>
  <c r="AG58" i="11" s="1"/>
  <c r="F58" i="11"/>
  <c r="H58" i="11" s="1"/>
  <c r="J58" i="11" s="1"/>
  <c r="L58" i="11" s="1"/>
  <c r="N58" i="11" s="1"/>
  <c r="P58" i="11" s="1"/>
  <c r="R58" i="11" s="1"/>
  <c r="T58" i="11" s="1"/>
  <c r="V58" i="11" s="1"/>
  <c r="X58" i="11" s="1"/>
  <c r="Z58" i="11" s="1"/>
  <c r="AB58" i="11" s="1"/>
  <c r="AD58" i="11" s="1"/>
  <c r="AF58" i="11" s="1"/>
  <c r="AH58" i="11" s="1"/>
  <c r="E59" i="11"/>
  <c r="G59" i="11" s="1"/>
  <c r="I59" i="11" s="1"/>
  <c r="K59" i="11" s="1"/>
  <c r="M59" i="11" s="1"/>
  <c r="O59" i="11" s="1"/>
  <c r="Q59" i="11" s="1"/>
  <c r="S59" i="11" s="1"/>
  <c r="U59" i="11" s="1"/>
  <c r="W59" i="11" s="1"/>
  <c r="Y59" i="11" s="1"/>
  <c r="AA59" i="11" s="1"/>
  <c r="AC59" i="11" s="1"/>
  <c r="AE59" i="11" s="1"/>
  <c r="AG59" i="11" s="1"/>
  <c r="F59" i="11"/>
  <c r="H59" i="11"/>
  <c r="J59" i="11" s="1"/>
  <c r="L59" i="11" s="1"/>
  <c r="N59" i="11" s="1"/>
  <c r="P59" i="11" s="1"/>
  <c r="R59" i="11" s="1"/>
  <c r="T59" i="11" s="1"/>
  <c r="V59" i="11" s="1"/>
  <c r="X59" i="11" s="1"/>
  <c r="Z59" i="11" s="1"/>
  <c r="AB59" i="11" s="1"/>
  <c r="AD59" i="11" s="1"/>
  <c r="AF59" i="11" s="1"/>
  <c r="AH59" i="11" s="1"/>
  <c r="E60" i="11"/>
  <c r="G60" i="11" s="1"/>
  <c r="I60" i="11" s="1"/>
  <c r="K60" i="11" s="1"/>
  <c r="M60" i="11" s="1"/>
  <c r="O60" i="11" s="1"/>
  <c r="Q60" i="11" s="1"/>
  <c r="S60" i="11" s="1"/>
  <c r="U60" i="11" s="1"/>
  <c r="W60" i="11" s="1"/>
  <c r="Y60" i="11" s="1"/>
  <c r="AA60" i="11" s="1"/>
  <c r="AC60" i="11" s="1"/>
  <c r="AE60" i="11" s="1"/>
  <c r="AG60" i="11" s="1"/>
  <c r="F60" i="11"/>
  <c r="H60" i="11" s="1"/>
  <c r="J60" i="11" s="1"/>
  <c r="L60" i="11" s="1"/>
  <c r="N60" i="11" s="1"/>
  <c r="P60" i="11" s="1"/>
  <c r="R60" i="11" s="1"/>
  <c r="T60" i="11" s="1"/>
  <c r="V60" i="11" s="1"/>
  <c r="X60" i="11" s="1"/>
  <c r="Z60" i="11" s="1"/>
  <c r="AB60" i="11" s="1"/>
  <c r="AD60" i="11" s="1"/>
  <c r="AF60" i="11" s="1"/>
  <c r="AH60" i="11" s="1"/>
  <c r="E61" i="11"/>
  <c r="G61" i="11" s="1"/>
  <c r="I61" i="11" s="1"/>
  <c r="K61" i="11" s="1"/>
  <c r="F61" i="11"/>
  <c r="H61" i="11" s="1"/>
  <c r="J61" i="11" s="1"/>
  <c r="L61" i="11" s="1"/>
  <c r="N61" i="11" s="1"/>
  <c r="P61" i="11" s="1"/>
  <c r="R61" i="11" s="1"/>
  <c r="T61" i="11" s="1"/>
  <c r="V61" i="11" s="1"/>
  <c r="X61" i="11" s="1"/>
  <c r="Z61" i="11" s="1"/>
  <c r="AB61" i="11" s="1"/>
  <c r="AD61" i="11" s="1"/>
  <c r="AF61" i="11" s="1"/>
  <c r="AH61" i="11" s="1"/>
  <c r="M61" i="11"/>
  <c r="O61" i="11" s="1"/>
  <c r="Q61" i="11" s="1"/>
  <c r="S61" i="11" s="1"/>
  <c r="U61" i="11" s="1"/>
  <c r="W61" i="11" s="1"/>
  <c r="Y61" i="11" s="1"/>
  <c r="AA61" i="11" s="1"/>
  <c r="AC61" i="11" s="1"/>
  <c r="AE61" i="11" s="1"/>
  <c r="AG61" i="11" s="1"/>
  <c r="E62" i="11"/>
  <c r="G62" i="11" s="1"/>
  <c r="I62" i="11" s="1"/>
  <c r="K62" i="11" s="1"/>
  <c r="M62" i="11" s="1"/>
  <c r="O62" i="11" s="1"/>
  <c r="Q62" i="11" s="1"/>
  <c r="S62" i="11" s="1"/>
  <c r="U62" i="11" s="1"/>
  <c r="W62" i="11" s="1"/>
  <c r="Y62" i="11" s="1"/>
  <c r="AA62" i="11" s="1"/>
  <c r="AC62" i="11" s="1"/>
  <c r="AE62" i="11" s="1"/>
  <c r="AG62" i="11" s="1"/>
  <c r="F62" i="11"/>
  <c r="H62" i="11" s="1"/>
  <c r="J62" i="11" s="1"/>
  <c r="L62" i="11" s="1"/>
  <c r="N62" i="11" s="1"/>
  <c r="P62" i="11" s="1"/>
  <c r="R62" i="11" s="1"/>
  <c r="T62" i="11" s="1"/>
  <c r="V62" i="11" s="1"/>
  <c r="X62" i="11" s="1"/>
  <c r="Z62" i="11" s="1"/>
  <c r="AB62" i="11" s="1"/>
  <c r="AD62" i="11" s="1"/>
  <c r="AF62" i="11" s="1"/>
  <c r="AH62" i="11" s="1"/>
  <c r="E63" i="11"/>
  <c r="G63" i="11" s="1"/>
  <c r="I63" i="11" s="1"/>
  <c r="K63" i="11" s="1"/>
  <c r="M63" i="11" s="1"/>
  <c r="O63" i="11" s="1"/>
  <c r="Q63" i="11" s="1"/>
  <c r="S63" i="11" s="1"/>
  <c r="U63" i="11" s="1"/>
  <c r="W63" i="11" s="1"/>
  <c r="Y63" i="11" s="1"/>
  <c r="AA63" i="11" s="1"/>
  <c r="AC63" i="11" s="1"/>
  <c r="AE63" i="11" s="1"/>
  <c r="AG63" i="11" s="1"/>
  <c r="F63" i="11"/>
  <c r="H63" i="11" s="1"/>
  <c r="J63" i="11" s="1"/>
  <c r="L63" i="11" s="1"/>
  <c r="N63" i="11" s="1"/>
  <c r="P63" i="11" s="1"/>
  <c r="R63" i="11" s="1"/>
  <c r="T63" i="11" s="1"/>
  <c r="V63" i="11" s="1"/>
  <c r="X63" i="11" s="1"/>
  <c r="Z63" i="11" s="1"/>
  <c r="AB63" i="11" s="1"/>
  <c r="AD63" i="11" s="1"/>
  <c r="AF63" i="11" s="1"/>
  <c r="AH63" i="11" s="1"/>
  <c r="E64" i="11"/>
  <c r="G64" i="11" s="1"/>
  <c r="I64" i="11" s="1"/>
  <c r="K64" i="11" s="1"/>
  <c r="M64" i="11" s="1"/>
  <c r="O64" i="11" s="1"/>
  <c r="Q64" i="11" s="1"/>
  <c r="S64" i="11" s="1"/>
  <c r="U64" i="11" s="1"/>
  <c r="W64" i="11" s="1"/>
  <c r="Y64" i="11" s="1"/>
  <c r="AA64" i="11" s="1"/>
  <c r="AC64" i="11" s="1"/>
  <c r="AE64" i="11" s="1"/>
  <c r="AG64" i="11" s="1"/>
  <c r="F64" i="11"/>
  <c r="H64" i="11"/>
  <c r="J64" i="11" s="1"/>
  <c r="L64" i="11" s="1"/>
  <c r="N64" i="11" s="1"/>
  <c r="P64" i="11" s="1"/>
  <c r="R64" i="11" s="1"/>
  <c r="T64" i="11" s="1"/>
  <c r="V64" i="11" s="1"/>
  <c r="X64" i="11" s="1"/>
  <c r="Z64" i="11" s="1"/>
  <c r="AB64" i="11" s="1"/>
  <c r="AD64" i="11" s="1"/>
  <c r="AF64" i="11" s="1"/>
  <c r="AH64" i="11" s="1"/>
  <c r="E65" i="11"/>
  <c r="G65" i="11" s="1"/>
  <c r="I65" i="11" s="1"/>
  <c r="K65" i="11" s="1"/>
  <c r="M65" i="11" s="1"/>
  <c r="O65" i="11" s="1"/>
  <c r="Q65" i="11" s="1"/>
  <c r="S65" i="11" s="1"/>
  <c r="U65" i="11" s="1"/>
  <c r="W65" i="11" s="1"/>
  <c r="Y65" i="11" s="1"/>
  <c r="AA65" i="11" s="1"/>
  <c r="AC65" i="11" s="1"/>
  <c r="AE65" i="11" s="1"/>
  <c r="AG65" i="11" s="1"/>
  <c r="F65" i="11"/>
  <c r="H65" i="11" s="1"/>
  <c r="J65" i="11" s="1"/>
  <c r="L65" i="11" s="1"/>
  <c r="N65" i="11" s="1"/>
  <c r="P65" i="11" s="1"/>
  <c r="R65" i="11" s="1"/>
  <c r="T65" i="11" s="1"/>
  <c r="V65" i="11" s="1"/>
  <c r="X65" i="11" s="1"/>
  <c r="Z65" i="11" s="1"/>
  <c r="AB65" i="11" s="1"/>
  <c r="AD65" i="11" s="1"/>
  <c r="AF65" i="11" s="1"/>
  <c r="AH65" i="11" s="1"/>
  <c r="E66" i="11"/>
  <c r="G66" i="11" s="1"/>
  <c r="I66" i="11" s="1"/>
  <c r="K66" i="11" s="1"/>
  <c r="M66" i="11" s="1"/>
  <c r="O66" i="11" s="1"/>
  <c r="Q66" i="11" s="1"/>
  <c r="S66" i="11" s="1"/>
  <c r="U66" i="11" s="1"/>
  <c r="W66" i="11" s="1"/>
  <c r="Y66" i="11" s="1"/>
  <c r="AA66" i="11" s="1"/>
  <c r="AC66" i="11" s="1"/>
  <c r="AE66" i="11" s="1"/>
  <c r="AG66" i="11" s="1"/>
  <c r="F66" i="11"/>
  <c r="H66" i="11" s="1"/>
  <c r="J66" i="11" s="1"/>
  <c r="L66" i="11" s="1"/>
  <c r="N66" i="11" s="1"/>
  <c r="P66" i="11" s="1"/>
  <c r="R66" i="11" s="1"/>
  <c r="T66" i="11" s="1"/>
  <c r="V66" i="11" s="1"/>
  <c r="X66" i="11" s="1"/>
  <c r="Z66" i="11" s="1"/>
  <c r="AB66" i="11" s="1"/>
  <c r="AD66" i="11" s="1"/>
  <c r="AF66" i="11" s="1"/>
  <c r="AH66" i="11" s="1"/>
  <c r="E67" i="11"/>
  <c r="F67" i="11"/>
  <c r="H67" i="11" s="1"/>
  <c r="J67" i="11" s="1"/>
  <c r="L67" i="11" s="1"/>
  <c r="N67" i="11" s="1"/>
  <c r="P67" i="11" s="1"/>
  <c r="R67" i="11" s="1"/>
  <c r="T67" i="11" s="1"/>
  <c r="V67" i="11" s="1"/>
  <c r="X67" i="11" s="1"/>
  <c r="Z67" i="11" s="1"/>
  <c r="AB67" i="11" s="1"/>
  <c r="AD67" i="11" s="1"/>
  <c r="AF67" i="11" s="1"/>
  <c r="AH67" i="11" s="1"/>
  <c r="G67" i="11"/>
  <c r="I67" i="11" s="1"/>
  <c r="K67" i="11" s="1"/>
  <c r="M67" i="11" s="1"/>
  <c r="O67" i="11" s="1"/>
  <c r="Q67" i="11" s="1"/>
  <c r="S67" i="11" s="1"/>
  <c r="U67" i="11" s="1"/>
  <c r="W67" i="11" s="1"/>
  <c r="Y67" i="11" s="1"/>
  <c r="AA67" i="11" s="1"/>
  <c r="AC67" i="11" s="1"/>
  <c r="AE67" i="11" s="1"/>
  <c r="AG67" i="11" s="1"/>
  <c r="E68" i="11"/>
  <c r="G68" i="11" s="1"/>
  <c r="I68" i="11" s="1"/>
  <c r="K68" i="11" s="1"/>
  <c r="M68" i="11" s="1"/>
  <c r="O68" i="11" s="1"/>
  <c r="Q68" i="11" s="1"/>
  <c r="S68" i="11" s="1"/>
  <c r="U68" i="11" s="1"/>
  <c r="W68" i="11" s="1"/>
  <c r="Y68" i="11" s="1"/>
  <c r="AA68" i="11" s="1"/>
  <c r="AC68" i="11" s="1"/>
  <c r="AE68" i="11" s="1"/>
  <c r="AG68" i="11" s="1"/>
  <c r="F68" i="11"/>
  <c r="H68" i="11" s="1"/>
  <c r="J68" i="11" s="1"/>
  <c r="L68" i="11" s="1"/>
  <c r="N68" i="11" s="1"/>
  <c r="P68" i="11" s="1"/>
  <c r="R68" i="11" s="1"/>
  <c r="T68" i="11" s="1"/>
  <c r="V68" i="11" s="1"/>
  <c r="X68" i="11" s="1"/>
  <c r="Z68" i="11" s="1"/>
  <c r="AB68" i="11" s="1"/>
  <c r="AD68" i="11" s="1"/>
  <c r="AF68" i="11" s="1"/>
  <c r="AH68" i="11" s="1"/>
  <c r="F3" i="11"/>
  <c r="H3" i="11" s="1"/>
  <c r="J3" i="11" s="1"/>
  <c r="L3" i="11" s="1"/>
  <c r="N3" i="11" s="1"/>
  <c r="P3" i="11" s="1"/>
  <c r="R3" i="11" s="1"/>
  <c r="T3" i="11" s="1"/>
  <c r="V3" i="11" s="1"/>
  <c r="X3" i="11" s="1"/>
  <c r="Z3" i="11" s="1"/>
  <c r="AB3" i="11" s="1"/>
  <c r="AD3" i="11" s="1"/>
  <c r="AF3" i="11" s="1"/>
  <c r="AH3" i="11" s="1"/>
  <c r="E3" i="11"/>
  <c r="G3" i="11" s="1"/>
  <c r="I3" i="11" s="1"/>
  <c r="K3" i="11" s="1"/>
  <c r="M3" i="11" s="1"/>
  <c r="O3" i="11" s="1"/>
  <c r="Q3" i="11" s="1"/>
  <c r="S3" i="11" s="1"/>
  <c r="U3" i="11" s="1"/>
  <c r="W3" i="11" s="1"/>
  <c r="Y3" i="11" s="1"/>
  <c r="AA3" i="11" s="1"/>
  <c r="AC3" i="11" s="1"/>
  <c r="AE3" i="11" s="1"/>
  <c r="AG3" i="11" s="1"/>
  <c r="E4" i="4"/>
  <c r="F4" i="4"/>
  <c r="E5" i="4"/>
  <c r="F5" i="4"/>
  <c r="E6" i="4"/>
  <c r="F6" i="4"/>
  <c r="E7" i="4"/>
  <c r="F7" i="4"/>
  <c r="E8" i="4"/>
  <c r="F8" i="4"/>
  <c r="E9" i="4"/>
  <c r="F9" i="4"/>
  <c r="E10" i="4"/>
  <c r="F10" i="4"/>
  <c r="E11" i="4"/>
  <c r="F11" i="4"/>
  <c r="E12" i="4"/>
  <c r="F12" i="4"/>
  <c r="E13" i="4"/>
  <c r="F13" i="4"/>
  <c r="E14" i="4"/>
  <c r="F14" i="4"/>
  <c r="E15" i="4"/>
  <c r="F15" i="4"/>
  <c r="E16" i="4"/>
  <c r="F16" i="4"/>
  <c r="E17" i="4"/>
  <c r="F17" i="4"/>
  <c r="E18" i="4"/>
  <c r="F18" i="4"/>
  <c r="E19" i="4"/>
  <c r="F19" i="4"/>
  <c r="E20" i="4"/>
  <c r="F20" i="4"/>
  <c r="E21" i="4"/>
  <c r="F21" i="4"/>
  <c r="E22" i="4"/>
  <c r="F22" i="4"/>
  <c r="E23" i="4"/>
  <c r="F23" i="4"/>
  <c r="E24" i="4"/>
  <c r="F24" i="4"/>
  <c r="E25" i="4"/>
  <c r="F25" i="4"/>
  <c r="E26" i="4"/>
  <c r="F26" i="4"/>
  <c r="E27" i="4"/>
  <c r="F27" i="4"/>
  <c r="E28" i="4"/>
  <c r="F28" i="4"/>
  <c r="E29" i="4"/>
  <c r="F29" i="4"/>
  <c r="E30" i="4"/>
  <c r="F30" i="4"/>
  <c r="E31" i="4"/>
  <c r="F31" i="4"/>
  <c r="E32" i="4"/>
  <c r="F32" i="4"/>
  <c r="E33" i="4"/>
  <c r="F33" i="4"/>
  <c r="E34" i="4"/>
  <c r="F34" i="4"/>
  <c r="E35" i="4"/>
  <c r="F35" i="4"/>
  <c r="E36" i="4"/>
  <c r="F36" i="4"/>
  <c r="E37" i="4"/>
  <c r="F37" i="4"/>
  <c r="E38" i="4"/>
  <c r="F38" i="4"/>
  <c r="E39" i="4"/>
  <c r="F39" i="4"/>
  <c r="E40" i="4"/>
  <c r="F40" i="4"/>
  <c r="E41" i="4"/>
  <c r="F41" i="4"/>
  <c r="E42" i="4"/>
  <c r="F42" i="4"/>
  <c r="E43" i="4"/>
  <c r="F43" i="4"/>
  <c r="E44" i="4"/>
  <c r="F44" i="4"/>
  <c r="E45" i="4"/>
  <c r="F45" i="4"/>
  <c r="E46" i="4"/>
  <c r="F46" i="4"/>
  <c r="E47" i="4"/>
  <c r="F47" i="4"/>
  <c r="E48" i="4"/>
  <c r="F48" i="4"/>
  <c r="E49" i="4"/>
  <c r="F49" i="4"/>
  <c r="E50" i="4"/>
  <c r="F50" i="4"/>
  <c r="E51" i="4"/>
  <c r="F51" i="4"/>
  <c r="E52" i="4"/>
  <c r="F52" i="4"/>
  <c r="E53" i="4"/>
  <c r="F53" i="4"/>
  <c r="E54" i="4"/>
  <c r="F54" i="4"/>
  <c r="E55" i="4"/>
  <c r="F55" i="4"/>
  <c r="E56" i="4"/>
  <c r="F56" i="4"/>
  <c r="E57" i="4"/>
  <c r="F57" i="4"/>
  <c r="E58" i="4"/>
  <c r="F58" i="4"/>
  <c r="E59" i="4"/>
  <c r="F59" i="4"/>
  <c r="E60" i="4"/>
  <c r="F60" i="4"/>
  <c r="E61" i="4"/>
  <c r="F61" i="4"/>
  <c r="E62" i="4"/>
  <c r="F62" i="4"/>
  <c r="E63" i="4"/>
  <c r="F63" i="4"/>
  <c r="E64" i="4"/>
  <c r="F64" i="4"/>
  <c r="E65" i="4"/>
  <c r="F65" i="4"/>
  <c r="E66" i="4"/>
  <c r="F66" i="4"/>
  <c r="E67" i="4"/>
  <c r="F67" i="4"/>
  <c r="E68" i="4"/>
  <c r="F68" i="4"/>
  <c r="F3" i="4"/>
  <c r="E3" i="4"/>
  <c r="C5" i="19" l="1"/>
  <c r="C9" i="19"/>
  <c r="C13" i="19"/>
  <c r="C17" i="19"/>
  <c r="C21" i="19"/>
  <c r="C25" i="19"/>
  <c r="C29" i="19"/>
  <c r="C33" i="19"/>
  <c r="C37" i="19"/>
  <c r="C41" i="19"/>
  <c r="C45" i="19"/>
  <c r="C49" i="19"/>
  <c r="C53" i="19"/>
  <c r="C57" i="19"/>
  <c r="C61" i="19"/>
  <c r="C65" i="19"/>
  <c r="D3" i="19"/>
  <c r="D24" i="19"/>
  <c r="D52" i="19"/>
  <c r="D5" i="19"/>
  <c r="D9" i="19"/>
  <c r="D13" i="19"/>
  <c r="D17" i="19"/>
  <c r="D21" i="19"/>
  <c r="D25" i="19"/>
  <c r="D29" i="19"/>
  <c r="D33" i="19"/>
  <c r="D37" i="19"/>
  <c r="D41" i="19"/>
  <c r="D45" i="19"/>
  <c r="D49" i="19"/>
  <c r="D53" i="19"/>
  <c r="D57" i="19"/>
  <c r="D61" i="19"/>
  <c r="D65" i="19"/>
  <c r="C3" i="19"/>
  <c r="D16" i="19"/>
  <c r="D36" i="19"/>
  <c r="D56" i="19"/>
  <c r="C6" i="19"/>
  <c r="C10" i="19"/>
  <c r="C14" i="19"/>
  <c r="C18" i="19"/>
  <c r="C22" i="19"/>
  <c r="C26" i="19"/>
  <c r="C30" i="19"/>
  <c r="C34" i="19"/>
  <c r="C38" i="19"/>
  <c r="C42" i="19"/>
  <c r="C46" i="19"/>
  <c r="C50" i="19"/>
  <c r="C54" i="19"/>
  <c r="C58" i="19"/>
  <c r="C62" i="19"/>
  <c r="C66" i="19"/>
  <c r="D28" i="19"/>
  <c r="D60" i="19"/>
  <c r="D6" i="19"/>
  <c r="D10" i="19"/>
  <c r="D14" i="19"/>
  <c r="D18" i="19"/>
  <c r="D22" i="19"/>
  <c r="D26" i="19"/>
  <c r="D30" i="19"/>
  <c r="D34" i="19"/>
  <c r="D38" i="19"/>
  <c r="D42" i="19"/>
  <c r="D46" i="19"/>
  <c r="D50" i="19"/>
  <c r="D54" i="19"/>
  <c r="D58" i="19"/>
  <c r="D62" i="19"/>
  <c r="D66" i="19"/>
  <c r="D8" i="19"/>
  <c r="D40" i="19"/>
  <c r="C7" i="19"/>
  <c r="C11" i="19"/>
  <c r="C15" i="19"/>
  <c r="C19" i="19"/>
  <c r="C23" i="19"/>
  <c r="C27" i="19"/>
  <c r="C31" i="19"/>
  <c r="C35" i="19"/>
  <c r="C39" i="19"/>
  <c r="C43" i="19"/>
  <c r="C47" i="19"/>
  <c r="C51" i="19"/>
  <c r="C55" i="19"/>
  <c r="C59" i="19"/>
  <c r="C63" i="19"/>
  <c r="C67" i="19"/>
  <c r="D20" i="19"/>
  <c r="D48" i="19"/>
  <c r="D68" i="19"/>
  <c r="D7" i="19"/>
  <c r="D11" i="19"/>
  <c r="D15" i="19"/>
  <c r="D19" i="19"/>
  <c r="D23" i="19"/>
  <c r="D27" i="19"/>
  <c r="D31" i="19"/>
  <c r="D35" i="19"/>
  <c r="D39" i="19"/>
  <c r="D43" i="19"/>
  <c r="D47" i="19"/>
  <c r="D51" i="19"/>
  <c r="D55" i="19"/>
  <c r="D59" i="19"/>
  <c r="D63" i="19"/>
  <c r="D67" i="19"/>
  <c r="D12" i="19"/>
  <c r="D44" i="19"/>
  <c r="C4" i="19"/>
  <c r="C8" i="19"/>
  <c r="C12" i="19"/>
  <c r="C16" i="19"/>
  <c r="C20" i="19"/>
  <c r="C24" i="19"/>
  <c r="C28" i="19"/>
  <c r="C32" i="19"/>
  <c r="C36" i="19"/>
  <c r="C40" i="19"/>
  <c r="C44" i="19"/>
  <c r="C48" i="19"/>
  <c r="C52" i="19"/>
  <c r="C56" i="19"/>
  <c r="C60" i="19"/>
  <c r="C64" i="19"/>
  <c r="C68" i="19"/>
  <c r="D4" i="19"/>
  <c r="D32" i="19"/>
  <c r="D64" i="19"/>
  <c r="B43" i="9"/>
  <c r="B44" i="9"/>
  <c r="B45" i="9"/>
  <c r="B46" i="9"/>
  <c r="B47" i="9"/>
  <c r="B48" i="9"/>
  <c r="B49" i="9"/>
  <c r="B50" i="9"/>
  <c r="B51" i="9"/>
  <c r="B41" i="9"/>
  <c r="H3" i="4"/>
  <c r="J3" i="4"/>
  <c r="L3" i="4" s="1"/>
  <c r="N3" i="4" s="1"/>
  <c r="P3" i="4" s="1"/>
  <c r="R3" i="4" s="1"/>
  <c r="T3" i="4" s="1"/>
  <c r="V3" i="4" s="1"/>
  <c r="X3" i="4" s="1"/>
  <c r="Z3" i="4" s="1"/>
  <c r="AB3" i="4" s="1"/>
  <c r="AD3" i="4" s="1"/>
  <c r="AF3" i="4" s="1"/>
  <c r="AH3" i="4" s="1"/>
  <c r="H4" i="4"/>
  <c r="J4" i="4" s="1"/>
  <c r="L4" i="4"/>
  <c r="N4" i="4" s="1"/>
  <c r="P4" i="4" s="1"/>
  <c r="R4" i="4" s="1"/>
  <c r="T4" i="4" s="1"/>
  <c r="V4" i="4" s="1"/>
  <c r="X4" i="4" s="1"/>
  <c r="Z4" i="4" s="1"/>
  <c r="AB4" i="4" s="1"/>
  <c r="AD4" i="4" s="1"/>
  <c r="AF4" i="4" s="1"/>
  <c r="AH4" i="4" s="1"/>
  <c r="H5" i="4"/>
  <c r="J5" i="4" s="1"/>
  <c r="L5" i="4" s="1"/>
  <c r="N5" i="4" s="1"/>
  <c r="P5" i="4"/>
  <c r="R5" i="4" s="1"/>
  <c r="T5" i="4" s="1"/>
  <c r="V5" i="4" s="1"/>
  <c r="X5" i="4" s="1"/>
  <c r="Z5" i="4" s="1"/>
  <c r="AB5" i="4" s="1"/>
  <c r="AD5" i="4" s="1"/>
  <c r="AF5" i="4" s="1"/>
  <c r="AH5" i="4" s="1"/>
  <c r="H6" i="4"/>
  <c r="J6" i="4" s="1"/>
  <c r="L6" i="4" s="1"/>
  <c r="N6" i="4" s="1"/>
  <c r="P6" i="4" s="1"/>
  <c r="R6" i="4" s="1"/>
  <c r="T6" i="4" s="1"/>
  <c r="V6" i="4" s="1"/>
  <c r="X6" i="4" s="1"/>
  <c r="Z6" i="4" s="1"/>
  <c r="AB6" i="4" s="1"/>
  <c r="AD6" i="4" s="1"/>
  <c r="AF6" i="4" s="1"/>
  <c r="AH6" i="4" s="1"/>
  <c r="H7" i="4"/>
  <c r="J7" i="4"/>
  <c r="L7" i="4" s="1"/>
  <c r="N7" i="4" s="1"/>
  <c r="P7" i="4" s="1"/>
  <c r="R7" i="4" s="1"/>
  <c r="T7" i="4" s="1"/>
  <c r="V7" i="4" s="1"/>
  <c r="X7" i="4" s="1"/>
  <c r="Z7" i="4" s="1"/>
  <c r="AB7" i="4" s="1"/>
  <c r="AD7" i="4" s="1"/>
  <c r="AF7" i="4" s="1"/>
  <c r="AH7" i="4" s="1"/>
  <c r="H8" i="4"/>
  <c r="J8" i="4" s="1"/>
  <c r="L8" i="4" s="1"/>
  <c r="N8" i="4" s="1"/>
  <c r="P8" i="4" s="1"/>
  <c r="R8" i="4" s="1"/>
  <c r="T8" i="4" s="1"/>
  <c r="V8" i="4" s="1"/>
  <c r="X8" i="4" s="1"/>
  <c r="Z8" i="4" s="1"/>
  <c r="AB8" i="4" s="1"/>
  <c r="AD8" i="4" s="1"/>
  <c r="AF8" i="4" s="1"/>
  <c r="AH8" i="4" s="1"/>
  <c r="H9" i="4"/>
  <c r="J9" i="4" s="1"/>
  <c r="L9" i="4" s="1"/>
  <c r="N9" i="4" s="1"/>
  <c r="P9" i="4" s="1"/>
  <c r="R9" i="4" s="1"/>
  <c r="T9" i="4" s="1"/>
  <c r="V9" i="4" s="1"/>
  <c r="X9" i="4" s="1"/>
  <c r="Z9" i="4" s="1"/>
  <c r="AB9" i="4" s="1"/>
  <c r="AD9" i="4" s="1"/>
  <c r="AF9" i="4" s="1"/>
  <c r="AH9" i="4" s="1"/>
  <c r="H10" i="4"/>
  <c r="J10" i="4"/>
  <c r="L10" i="4" s="1"/>
  <c r="N10" i="4" s="1"/>
  <c r="P10" i="4" s="1"/>
  <c r="R10" i="4" s="1"/>
  <c r="T10" i="4" s="1"/>
  <c r="V10" i="4" s="1"/>
  <c r="X10" i="4" s="1"/>
  <c r="Z10" i="4" s="1"/>
  <c r="AB10" i="4" s="1"/>
  <c r="AD10" i="4" s="1"/>
  <c r="AF10" i="4" s="1"/>
  <c r="AH10" i="4" s="1"/>
  <c r="H11" i="4"/>
  <c r="J11" i="4" s="1"/>
  <c r="L11" i="4" s="1"/>
  <c r="N11" i="4" s="1"/>
  <c r="P11" i="4" s="1"/>
  <c r="R11" i="4" s="1"/>
  <c r="T11" i="4" s="1"/>
  <c r="V11" i="4" s="1"/>
  <c r="X11" i="4" s="1"/>
  <c r="Z11" i="4" s="1"/>
  <c r="AB11" i="4" s="1"/>
  <c r="AD11" i="4" s="1"/>
  <c r="AF11" i="4" s="1"/>
  <c r="AH11" i="4" s="1"/>
  <c r="H12" i="4"/>
  <c r="J12" i="4" s="1"/>
  <c r="L12" i="4"/>
  <c r="N12" i="4" s="1"/>
  <c r="P12" i="4" s="1"/>
  <c r="R12" i="4" s="1"/>
  <c r="T12" i="4"/>
  <c r="V12" i="4" s="1"/>
  <c r="X12" i="4" s="1"/>
  <c r="Z12" i="4" s="1"/>
  <c r="AB12" i="4" s="1"/>
  <c r="AD12" i="4" s="1"/>
  <c r="AF12" i="4" s="1"/>
  <c r="AH12" i="4" s="1"/>
  <c r="H13" i="4"/>
  <c r="J13" i="4" s="1"/>
  <c r="L13" i="4" s="1"/>
  <c r="N13" i="4" s="1"/>
  <c r="P13" i="4" s="1"/>
  <c r="R13" i="4" s="1"/>
  <c r="T13" i="4" s="1"/>
  <c r="V13" i="4" s="1"/>
  <c r="X13" i="4" s="1"/>
  <c r="Z13" i="4" s="1"/>
  <c r="AB13" i="4" s="1"/>
  <c r="AD13" i="4" s="1"/>
  <c r="AF13" i="4" s="1"/>
  <c r="AH13" i="4" s="1"/>
  <c r="H14" i="4"/>
  <c r="J14" i="4" s="1"/>
  <c r="L14" i="4" s="1"/>
  <c r="N14" i="4" s="1"/>
  <c r="P14" i="4" s="1"/>
  <c r="R14" i="4" s="1"/>
  <c r="T14" i="4" s="1"/>
  <c r="V14" i="4" s="1"/>
  <c r="X14" i="4" s="1"/>
  <c r="Z14" i="4" s="1"/>
  <c r="AB14" i="4" s="1"/>
  <c r="AD14" i="4" s="1"/>
  <c r="AF14" i="4" s="1"/>
  <c r="AH14" i="4" s="1"/>
  <c r="H15" i="4"/>
  <c r="J15" i="4"/>
  <c r="L15" i="4" s="1"/>
  <c r="N15" i="4" s="1"/>
  <c r="P15" i="4" s="1"/>
  <c r="R15" i="4" s="1"/>
  <c r="T15" i="4" s="1"/>
  <c r="V15" i="4" s="1"/>
  <c r="X15" i="4" s="1"/>
  <c r="Z15" i="4" s="1"/>
  <c r="AB15" i="4" s="1"/>
  <c r="AD15" i="4" s="1"/>
  <c r="AF15" i="4" s="1"/>
  <c r="AH15" i="4" s="1"/>
  <c r="H16" i="4"/>
  <c r="J16" i="4" s="1"/>
  <c r="L16" i="4" s="1"/>
  <c r="N16" i="4" s="1"/>
  <c r="P16" i="4"/>
  <c r="R16" i="4" s="1"/>
  <c r="T16" i="4" s="1"/>
  <c r="V16" i="4" s="1"/>
  <c r="X16" i="4" s="1"/>
  <c r="Z16" i="4" s="1"/>
  <c r="AB16" i="4" s="1"/>
  <c r="AD16" i="4" s="1"/>
  <c r="AF16" i="4" s="1"/>
  <c r="AH16" i="4" s="1"/>
  <c r="H17" i="4"/>
  <c r="J17" i="4" s="1"/>
  <c r="L17" i="4" s="1"/>
  <c r="N17" i="4" s="1"/>
  <c r="P17" i="4" s="1"/>
  <c r="R17" i="4" s="1"/>
  <c r="T17" i="4" s="1"/>
  <c r="V17" i="4" s="1"/>
  <c r="X17" i="4" s="1"/>
  <c r="Z17" i="4" s="1"/>
  <c r="AB17" i="4" s="1"/>
  <c r="AD17" i="4" s="1"/>
  <c r="AF17" i="4" s="1"/>
  <c r="AH17" i="4" s="1"/>
  <c r="H18" i="4"/>
  <c r="J18" i="4"/>
  <c r="L18" i="4" s="1"/>
  <c r="N18" i="4" s="1"/>
  <c r="P18" i="4" s="1"/>
  <c r="R18" i="4" s="1"/>
  <c r="T18" i="4" s="1"/>
  <c r="V18" i="4" s="1"/>
  <c r="X18" i="4" s="1"/>
  <c r="Z18" i="4" s="1"/>
  <c r="AB18" i="4" s="1"/>
  <c r="AD18" i="4" s="1"/>
  <c r="AF18" i="4" s="1"/>
  <c r="AH18" i="4" s="1"/>
  <c r="H19" i="4"/>
  <c r="J19" i="4"/>
  <c r="L19" i="4" s="1"/>
  <c r="N19" i="4" s="1"/>
  <c r="P19" i="4" s="1"/>
  <c r="R19" i="4" s="1"/>
  <c r="T19" i="4" s="1"/>
  <c r="V19" i="4" s="1"/>
  <c r="X19" i="4" s="1"/>
  <c r="Z19" i="4" s="1"/>
  <c r="AB19" i="4" s="1"/>
  <c r="AD19" i="4" s="1"/>
  <c r="AF19" i="4" s="1"/>
  <c r="AH19" i="4" s="1"/>
  <c r="H20" i="4"/>
  <c r="J20" i="4" s="1"/>
  <c r="I20" i="4"/>
  <c r="K20" i="4" s="1"/>
  <c r="M20" i="4" s="1"/>
  <c r="O20" i="4" s="1"/>
  <c r="Q20" i="4" s="1"/>
  <c r="S20" i="4" s="1"/>
  <c r="U20" i="4" s="1"/>
  <c r="W20" i="4" s="1"/>
  <c r="Y20" i="4" s="1"/>
  <c r="AA20" i="4" s="1"/>
  <c r="AC20" i="4" s="1"/>
  <c r="AE20" i="4" s="1"/>
  <c r="AG20" i="4" s="1"/>
  <c r="L20" i="4"/>
  <c r="N20" i="4" s="1"/>
  <c r="P20" i="4" s="1"/>
  <c r="R20" i="4" s="1"/>
  <c r="T20" i="4" s="1"/>
  <c r="V20" i="4" s="1"/>
  <c r="X20" i="4" s="1"/>
  <c r="Z20" i="4" s="1"/>
  <c r="AB20" i="4"/>
  <c r="AD20" i="4" s="1"/>
  <c r="AF20" i="4" s="1"/>
  <c r="AH20" i="4" s="1"/>
  <c r="H21" i="4"/>
  <c r="J21" i="4" s="1"/>
  <c r="L21" i="4" s="1"/>
  <c r="N21" i="4" s="1"/>
  <c r="P21" i="4" s="1"/>
  <c r="R21" i="4" s="1"/>
  <c r="T21" i="4" s="1"/>
  <c r="V21" i="4" s="1"/>
  <c r="X21" i="4" s="1"/>
  <c r="Z21" i="4" s="1"/>
  <c r="AB21" i="4" s="1"/>
  <c r="AD21" i="4" s="1"/>
  <c r="AF21" i="4" s="1"/>
  <c r="AH21" i="4" s="1"/>
  <c r="H22" i="4"/>
  <c r="I22" i="4"/>
  <c r="K22" i="4" s="1"/>
  <c r="M22" i="4" s="1"/>
  <c r="O22" i="4" s="1"/>
  <c r="Q22" i="4" s="1"/>
  <c r="S22" i="4" s="1"/>
  <c r="U22" i="4" s="1"/>
  <c r="W22" i="4" s="1"/>
  <c r="Y22" i="4" s="1"/>
  <c r="AA22" i="4" s="1"/>
  <c r="AC22" i="4" s="1"/>
  <c r="AE22" i="4" s="1"/>
  <c r="AG22" i="4" s="1"/>
  <c r="J22" i="4"/>
  <c r="L22" i="4" s="1"/>
  <c r="N22" i="4" s="1"/>
  <c r="P22" i="4" s="1"/>
  <c r="R22" i="4" s="1"/>
  <c r="T22" i="4" s="1"/>
  <c r="V22" i="4"/>
  <c r="X22" i="4" s="1"/>
  <c r="Z22" i="4" s="1"/>
  <c r="AB22" i="4" s="1"/>
  <c r="AD22" i="4" s="1"/>
  <c r="AF22" i="4" s="1"/>
  <c r="AH22" i="4" s="1"/>
  <c r="H23" i="4"/>
  <c r="J23" i="4"/>
  <c r="L23" i="4" s="1"/>
  <c r="N23" i="4" s="1"/>
  <c r="P23" i="4" s="1"/>
  <c r="R23" i="4" s="1"/>
  <c r="T23" i="4" s="1"/>
  <c r="V23" i="4" s="1"/>
  <c r="X23" i="4" s="1"/>
  <c r="Z23" i="4"/>
  <c r="AB23" i="4" s="1"/>
  <c r="AD23" i="4" s="1"/>
  <c r="AF23" i="4" s="1"/>
  <c r="AH23" i="4" s="1"/>
  <c r="H24" i="4"/>
  <c r="J24" i="4" s="1"/>
  <c r="L24" i="4" s="1"/>
  <c r="N24" i="4" s="1"/>
  <c r="P24" i="4" s="1"/>
  <c r="R24" i="4" s="1"/>
  <c r="T24" i="4" s="1"/>
  <c r="V24" i="4" s="1"/>
  <c r="X24" i="4" s="1"/>
  <c r="Z24" i="4" s="1"/>
  <c r="AB24" i="4" s="1"/>
  <c r="AD24" i="4" s="1"/>
  <c r="AF24" i="4" s="1"/>
  <c r="AH24" i="4" s="1"/>
  <c r="H25" i="4"/>
  <c r="J25" i="4" s="1"/>
  <c r="L25" i="4" s="1"/>
  <c r="N25" i="4" s="1"/>
  <c r="P25" i="4" s="1"/>
  <c r="R25" i="4" s="1"/>
  <c r="T25" i="4" s="1"/>
  <c r="V25" i="4" s="1"/>
  <c r="X25" i="4" s="1"/>
  <c r="Z25" i="4" s="1"/>
  <c r="AB25" i="4" s="1"/>
  <c r="AD25" i="4" s="1"/>
  <c r="AF25" i="4" s="1"/>
  <c r="AH25" i="4" s="1"/>
  <c r="H26" i="4"/>
  <c r="J26" i="4" s="1"/>
  <c r="L26" i="4" s="1"/>
  <c r="N26" i="4" s="1"/>
  <c r="P26" i="4" s="1"/>
  <c r="R26" i="4" s="1"/>
  <c r="T26" i="4" s="1"/>
  <c r="V26" i="4" s="1"/>
  <c r="X26" i="4" s="1"/>
  <c r="Z26" i="4" s="1"/>
  <c r="AB26" i="4" s="1"/>
  <c r="AD26" i="4" s="1"/>
  <c r="AF26" i="4" s="1"/>
  <c r="AH26" i="4" s="1"/>
  <c r="H27" i="4"/>
  <c r="J27" i="4" s="1"/>
  <c r="L27" i="4" s="1"/>
  <c r="N27" i="4" s="1"/>
  <c r="P27" i="4" s="1"/>
  <c r="R27" i="4" s="1"/>
  <c r="T27" i="4" s="1"/>
  <c r="V27" i="4" s="1"/>
  <c r="X27" i="4" s="1"/>
  <c r="Z27" i="4" s="1"/>
  <c r="AB27" i="4" s="1"/>
  <c r="AD27" i="4" s="1"/>
  <c r="AF27" i="4" s="1"/>
  <c r="AH27" i="4" s="1"/>
  <c r="H28" i="4"/>
  <c r="J28" i="4" s="1"/>
  <c r="L28" i="4" s="1"/>
  <c r="N28" i="4" s="1"/>
  <c r="P28" i="4" s="1"/>
  <c r="R28" i="4" s="1"/>
  <c r="T28" i="4" s="1"/>
  <c r="V28" i="4" s="1"/>
  <c r="X28" i="4"/>
  <c r="Z28" i="4" s="1"/>
  <c r="AB28" i="4" s="1"/>
  <c r="AD28" i="4" s="1"/>
  <c r="AF28" i="4" s="1"/>
  <c r="AH28" i="4" s="1"/>
  <c r="H29" i="4"/>
  <c r="J29" i="4" s="1"/>
  <c r="L29" i="4"/>
  <c r="N29" i="4" s="1"/>
  <c r="P29" i="4" s="1"/>
  <c r="R29" i="4" s="1"/>
  <c r="T29" i="4" s="1"/>
  <c r="V29" i="4" s="1"/>
  <c r="X29" i="4" s="1"/>
  <c r="Z29" i="4" s="1"/>
  <c r="AB29" i="4" s="1"/>
  <c r="AD29" i="4" s="1"/>
  <c r="AF29" i="4" s="1"/>
  <c r="AH29" i="4" s="1"/>
  <c r="H30" i="4"/>
  <c r="J30" i="4" s="1"/>
  <c r="L30" i="4" s="1"/>
  <c r="N30" i="4" s="1"/>
  <c r="P30" i="4" s="1"/>
  <c r="R30" i="4" s="1"/>
  <c r="T30" i="4" s="1"/>
  <c r="V30" i="4" s="1"/>
  <c r="X30" i="4" s="1"/>
  <c r="Z30" i="4" s="1"/>
  <c r="AB30" i="4" s="1"/>
  <c r="AD30" i="4" s="1"/>
  <c r="AF30" i="4" s="1"/>
  <c r="AH30" i="4" s="1"/>
  <c r="H31" i="4"/>
  <c r="J31" i="4" s="1"/>
  <c r="L31" i="4" s="1"/>
  <c r="N31" i="4" s="1"/>
  <c r="P31" i="4" s="1"/>
  <c r="R31" i="4" s="1"/>
  <c r="T31" i="4" s="1"/>
  <c r="V31" i="4" s="1"/>
  <c r="X31" i="4" s="1"/>
  <c r="Z31" i="4" s="1"/>
  <c r="AB31" i="4" s="1"/>
  <c r="AD31" i="4" s="1"/>
  <c r="AF31" i="4" s="1"/>
  <c r="AH31" i="4" s="1"/>
  <c r="H32" i="4"/>
  <c r="J32" i="4" s="1"/>
  <c r="L32" i="4" s="1"/>
  <c r="N32" i="4" s="1"/>
  <c r="P32" i="4" s="1"/>
  <c r="R32" i="4" s="1"/>
  <c r="T32" i="4" s="1"/>
  <c r="V32" i="4" s="1"/>
  <c r="X32" i="4" s="1"/>
  <c r="Z32" i="4" s="1"/>
  <c r="AB32" i="4" s="1"/>
  <c r="AD32" i="4" s="1"/>
  <c r="AF32" i="4" s="1"/>
  <c r="AH32" i="4" s="1"/>
  <c r="H33" i="4"/>
  <c r="J33" i="4"/>
  <c r="L33" i="4" s="1"/>
  <c r="N33" i="4" s="1"/>
  <c r="P33" i="4" s="1"/>
  <c r="R33" i="4" s="1"/>
  <c r="T33" i="4" s="1"/>
  <c r="V33" i="4" s="1"/>
  <c r="X33" i="4" s="1"/>
  <c r="Z33" i="4" s="1"/>
  <c r="AB33" i="4" s="1"/>
  <c r="AD33" i="4" s="1"/>
  <c r="AF33" i="4" s="1"/>
  <c r="AH33" i="4" s="1"/>
  <c r="H34" i="4"/>
  <c r="J34" i="4" s="1"/>
  <c r="L34" i="4" s="1"/>
  <c r="N34" i="4" s="1"/>
  <c r="P34" i="4" s="1"/>
  <c r="R34" i="4" s="1"/>
  <c r="T34" i="4" s="1"/>
  <c r="V34" i="4" s="1"/>
  <c r="X34" i="4" s="1"/>
  <c r="Z34" i="4" s="1"/>
  <c r="AB34" i="4" s="1"/>
  <c r="AD34" i="4" s="1"/>
  <c r="AF34" i="4" s="1"/>
  <c r="AH34" i="4" s="1"/>
  <c r="H35" i="4"/>
  <c r="J35" i="4" s="1"/>
  <c r="L35" i="4" s="1"/>
  <c r="N35" i="4" s="1"/>
  <c r="P35" i="4" s="1"/>
  <c r="R35" i="4" s="1"/>
  <c r="T35" i="4" s="1"/>
  <c r="V35" i="4" s="1"/>
  <c r="X35" i="4" s="1"/>
  <c r="Z35" i="4" s="1"/>
  <c r="AB35" i="4" s="1"/>
  <c r="AD35" i="4" s="1"/>
  <c r="AF35" i="4" s="1"/>
  <c r="AH35" i="4" s="1"/>
  <c r="H36" i="4"/>
  <c r="J36" i="4"/>
  <c r="L36" i="4" s="1"/>
  <c r="N36" i="4" s="1"/>
  <c r="P36" i="4" s="1"/>
  <c r="R36" i="4" s="1"/>
  <c r="T36" i="4" s="1"/>
  <c r="V36" i="4" s="1"/>
  <c r="X36" i="4" s="1"/>
  <c r="Z36" i="4" s="1"/>
  <c r="AB36" i="4" s="1"/>
  <c r="AD36" i="4" s="1"/>
  <c r="AF36" i="4" s="1"/>
  <c r="AH36" i="4" s="1"/>
  <c r="H37" i="4"/>
  <c r="J37" i="4"/>
  <c r="L37" i="4" s="1"/>
  <c r="N37" i="4"/>
  <c r="P37" i="4" s="1"/>
  <c r="R37" i="4" s="1"/>
  <c r="T37" i="4" s="1"/>
  <c r="V37" i="4" s="1"/>
  <c r="X37" i="4" s="1"/>
  <c r="Z37" i="4" s="1"/>
  <c r="AB37" i="4" s="1"/>
  <c r="AD37" i="4" s="1"/>
  <c r="AF37" i="4" s="1"/>
  <c r="AH37" i="4" s="1"/>
  <c r="H38" i="4"/>
  <c r="J38" i="4" s="1"/>
  <c r="L38" i="4" s="1"/>
  <c r="N38" i="4" s="1"/>
  <c r="P38" i="4" s="1"/>
  <c r="R38" i="4" s="1"/>
  <c r="T38" i="4" s="1"/>
  <c r="V38" i="4" s="1"/>
  <c r="X38" i="4" s="1"/>
  <c r="Z38" i="4" s="1"/>
  <c r="AB38" i="4" s="1"/>
  <c r="AD38" i="4" s="1"/>
  <c r="AF38" i="4" s="1"/>
  <c r="AH38" i="4" s="1"/>
  <c r="H39" i="4"/>
  <c r="J39" i="4" s="1"/>
  <c r="L39" i="4" s="1"/>
  <c r="N39" i="4" s="1"/>
  <c r="P39" i="4" s="1"/>
  <c r="R39" i="4" s="1"/>
  <c r="T39" i="4" s="1"/>
  <c r="V39" i="4" s="1"/>
  <c r="X39" i="4" s="1"/>
  <c r="Z39" i="4" s="1"/>
  <c r="AB39" i="4" s="1"/>
  <c r="AD39" i="4" s="1"/>
  <c r="AF39" i="4" s="1"/>
  <c r="AH39" i="4" s="1"/>
  <c r="H40" i="4"/>
  <c r="J40" i="4" s="1"/>
  <c r="L40" i="4" s="1"/>
  <c r="N40" i="4" s="1"/>
  <c r="P40" i="4" s="1"/>
  <c r="R40" i="4" s="1"/>
  <c r="T40" i="4" s="1"/>
  <c r="V40" i="4" s="1"/>
  <c r="X40" i="4" s="1"/>
  <c r="Z40" i="4" s="1"/>
  <c r="AB40" i="4" s="1"/>
  <c r="AD40" i="4" s="1"/>
  <c r="AF40" i="4" s="1"/>
  <c r="AH40" i="4" s="1"/>
  <c r="H41" i="4"/>
  <c r="J41" i="4" s="1"/>
  <c r="L41" i="4" s="1"/>
  <c r="N41" i="4" s="1"/>
  <c r="P41" i="4" s="1"/>
  <c r="R41" i="4" s="1"/>
  <c r="T41" i="4" s="1"/>
  <c r="V41" i="4" s="1"/>
  <c r="X41" i="4" s="1"/>
  <c r="Z41" i="4" s="1"/>
  <c r="AB41" i="4" s="1"/>
  <c r="AD41" i="4" s="1"/>
  <c r="AF41" i="4" s="1"/>
  <c r="AH41" i="4" s="1"/>
  <c r="H42" i="4"/>
  <c r="J42" i="4" s="1"/>
  <c r="L42" i="4" s="1"/>
  <c r="N42" i="4" s="1"/>
  <c r="P42" i="4" s="1"/>
  <c r="R42" i="4" s="1"/>
  <c r="T42" i="4" s="1"/>
  <c r="V42" i="4" s="1"/>
  <c r="X42" i="4" s="1"/>
  <c r="Z42" i="4" s="1"/>
  <c r="AB42" i="4" s="1"/>
  <c r="AD42" i="4" s="1"/>
  <c r="AF42" i="4" s="1"/>
  <c r="AH42" i="4" s="1"/>
  <c r="H43" i="4"/>
  <c r="J43" i="4" s="1"/>
  <c r="L43" i="4" s="1"/>
  <c r="N43" i="4" s="1"/>
  <c r="P43" i="4" s="1"/>
  <c r="R43" i="4" s="1"/>
  <c r="T43" i="4" s="1"/>
  <c r="V43" i="4" s="1"/>
  <c r="X43" i="4" s="1"/>
  <c r="Z43" i="4" s="1"/>
  <c r="AB43" i="4" s="1"/>
  <c r="AD43" i="4" s="1"/>
  <c r="AF43" i="4" s="1"/>
  <c r="AH43" i="4" s="1"/>
  <c r="H44" i="4"/>
  <c r="J44" i="4" s="1"/>
  <c r="L44" i="4" s="1"/>
  <c r="N44" i="4" s="1"/>
  <c r="P44" i="4" s="1"/>
  <c r="R44" i="4" s="1"/>
  <c r="T44" i="4" s="1"/>
  <c r="V44" i="4" s="1"/>
  <c r="X44" i="4" s="1"/>
  <c r="Z44" i="4" s="1"/>
  <c r="AB44" i="4" s="1"/>
  <c r="AD44" i="4" s="1"/>
  <c r="AF44" i="4" s="1"/>
  <c r="AH44" i="4" s="1"/>
  <c r="H45" i="4"/>
  <c r="J45" i="4" s="1"/>
  <c r="L45" i="4" s="1"/>
  <c r="N45" i="4" s="1"/>
  <c r="P45" i="4" s="1"/>
  <c r="R45" i="4" s="1"/>
  <c r="T45" i="4" s="1"/>
  <c r="V45" i="4" s="1"/>
  <c r="X45" i="4" s="1"/>
  <c r="Z45" i="4" s="1"/>
  <c r="AB45" i="4" s="1"/>
  <c r="AD45" i="4" s="1"/>
  <c r="AF45" i="4" s="1"/>
  <c r="AH45" i="4" s="1"/>
  <c r="I45" i="4"/>
  <c r="K45" i="4" s="1"/>
  <c r="M45" i="4" s="1"/>
  <c r="O45" i="4" s="1"/>
  <c r="Q45" i="4" s="1"/>
  <c r="S45" i="4" s="1"/>
  <c r="U45" i="4" s="1"/>
  <c r="W45" i="4" s="1"/>
  <c r="Y45" i="4" s="1"/>
  <c r="AA45" i="4" s="1"/>
  <c r="AC45" i="4" s="1"/>
  <c r="AE45" i="4" s="1"/>
  <c r="AG45" i="4" s="1"/>
  <c r="H46" i="4"/>
  <c r="J46" i="4" s="1"/>
  <c r="L46" i="4" s="1"/>
  <c r="N46" i="4" s="1"/>
  <c r="P46" i="4" s="1"/>
  <c r="R46" i="4" s="1"/>
  <c r="T46" i="4" s="1"/>
  <c r="V46" i="4" s="1"/>
  <c r="X46" i="4" s="1"/>
  <c r="Z46" i="4" s="1"/>
  <c r="AB46" i="4" s="1"/>
  <c r="AD46" i="4" s="1"/>
  <c r="AF46" i="4" s="1"/>
  <c r="AH46" i="4" s="1"/>
  <c r="H47" i="4"/>
  <c r="J47" i="4" s="1"/>
  <c r="L47" i="4" s="1"/>
  <c r="N47" i="4" s="1"/>
  <c r="P47" i="4" s="1"/>
  <c r="R47" i="4" s="1"/>
  <c r="T47" i="4" s="1"/>
  <c r="V47" i="4" s="1"/>
  <c r="X47" i="4" s="1"/>
  <c r="Z47" i="4" s="1"/>
  <c r="AB47" i="4" s="1"/>
  <c r="AD47" i="4" s="1"/>
  <c r="AF47" i="4" s="1"/>
  <c r="AH47" i="4" s="1"/>
  <c r="H48" i="4"/>
  <c r="J48" i="4" s="1"/>
  <c r="L48" i="4" s="1"/>
  <c r="N48" i="4" s="1"/>
  <c r="P48" i="4" s="1"/>
  <c r="R48" i="4"/>
  <c r="T48" i="4" s="1"/>
  <c r="V48" i="4" s="1"/>
  <c r="X48" i="4" s="1"/>
  <c r="Z48" i="4" s="1"/>
  <c r="AB48" i="4" s="1"/>
  <c r="AD48" i="4" s="1"/>
  <c r="AF48" i="4" s="1"/>
  <c r="AH48" i="4" s="1"/>
  <c r="H49" i="4"/>
  <c r="J49" i="4" s="1"/>
  <c r="L49" i="4" s="1"/>
  <c r="N49" i="4" s="1"/>
  <c r="P49" i="4" s="1"/>
  <c r="R49" i="4" s="1"/>
  <c r="T49" i="4" s="1"/>
  <c r="V49" i="4" s="1"/>
  <c r="X49" i="4" s="1"/>
  <c r="Z49" i="4" s="1"/>
  <c r="AB49" i="4" s="1"/>
  <c r="AD49" i="4" s="1"/>
  <c r="AF49" i="4" s="1"/>
  <c r="AH49" i="4" s="1"/>
  <c r="H50" i="4"/>
  <c r="J50" i="4"/>
  <c r="L50" i="4" s="1"/>
  <c r="N50" i="4" s="1"/>
  <c r="P50" i="4" s="1"/>
  <c r="R50" i="4" s="1"/>
  <c r="T50" i="4"/>
  <c r="V50" i="4" s="1"/>
  <c r="X50" i="4" s="1"/>
  <c r="Z50" i="4" s="1"/>
  <c r="AB50" i="4" s="1"/>
  <c r="AD50" i="4" s="1"/>
  <c r="AF50" i="4" s="1"/>
  <c r="AH50" i="4" s="1"/>
  <c r="H51" i="4"/>
  <c r="J51" i="4" s="1"/>
  <c r="L51" i="4" s="1"/>
  <c r="N51" i="4" s="1"/>
  <c r="P51" i="4" s="1"/>
  <c r="R51" i="4" s="1"/>
  <c r="T51" i="4" s="1"/>
  <c r="V51" i="4" s="1"/>
  <c r="X51" i="4" s="1"/>
  <c r="Z51" i="4" s="1"/>
  <c r="AB51" i="4" s="1"/>
  <c r="AD51" i="4" s="1"/>
  <c r="AF51" i="4" s="1"/>
  <c r="AH51" i="4" s="1"/>
  <c r="H52" i="4"/>
  <c r="J52" i="4" s="1"/>
  <c r="L52" i="4" s="1"/>
  <c r="N52" i="4" s="1"/>
  <c r="P52" i="4" s="1"/>
  <c r="R52" i="4" s="1"/>
  <c r="T52" i="4" s="1"/>
  <c r="V52" i="4" s="1"/>
  <c r="X52" i="4" s="1"/>
  <c r="Z52" i="4" s="1"/>
  <c r="AB52" i="4" s="1"/>
  <c r="AD52" i="4" s="1"/>
  <c r="AF52" i="4" s="1"/>
  <c r="AH52" i="4" s="1"/>
  <c r="I52" i="4"/>
  <c r="K52" i="4" s="1"/>
  <c r="M52" i="4" s="1"/>
  <c r="O52" i="4" s="1"/>
  <c r="Q52" i="4" s="1"/>
  <c r="S52" i="4" s="1"/>
  <c r="U52" i="4" s="1"/>
  <c r="W52" i="4" s="1"/>
  <c r="Y52" i="4" s="1"/>
  <c r="AA52" i="4" s="1"/>
  <c r="AC52" i="4" s="1"/>
  <c r="AE52" i="4" s="1"/>
  <c r="AG52" i="4" s="1"/>
  <c r="H53" i="4"/>
  <c r="J53" i="4" s="1"/>
  <c r="L53" i="4" s="1"/>
  <c r="N53" i="4"/>
  <c r="P53" i="4" s="1"/>
  <c r="R53" i="4" s="1"/>
  <c r="T53" i="4" s="1"/>
  <c r="V53" i="4" s="1"/>
  <c r="X53" i="4" s="1"/>
  <c r="Z53" i="4" s="1"/>
  <c r="AB53" i="4" s="1"/>
  <c r="AD53" i="4" s="1"/>
  <c r="AF53" i="4" s="1"/>
  <c r="AH53" i="4" s="1"/>
  <c r="H54" i="4"/>
  <c r="J54" i="4" s="1"/>
  <c r="L54" i="4" s="1"/>
  <c r="N54" i="4" s="1"/>
  <c r="P54" i="4" s="1"/>
  <c r="R54" i="4" s="1"/>
  <c r="T54" i="4" s="1"/>
  <c r="V54" i="4" s="1"/>
  <c r="X54" i="4" s="1"/>
  <c r="Z54" i="4" s="1"/>
  <c r="AB54" i="4" s="1"/>
  <c r="AD54" i="4" s="1"/>
  <c r="AF54" i="4" s="1"/>
  <c r="AH54" i="4" s="1"/>
  <c r="H55" i="4"/>
  <c r="J55" i="4" s="1"/>
  <c r="L55" i="4" s="1"/>
  <c r="N55" i="4" s="1"/>
  <c r="P55" i="4" s="1"/>
  <c r="R55" i="4" s="1"/>
  <c r="T55" i="4" s="1"/>
  <c r="V55" i="4" s="1"/>
  <c r="X55" i="4" s="1"/>
  <c r="Z55" i="4" s="1"/>
  <c r="AB55" i="4" s="1"/>
  <c r="AD55" i="4" s="1"/>
  <c r="AF55" i="4" s="1"/>
  <c r="AH55" i="4" s="1"/>
  <c r="I55" i="4"/>
  <c r="K55" i="4" s="1"/>
  <c r="M55" i="4" s="1"/>
  <c r="O55" i="4" s="1"/>
  <c r="Q55" i="4" s="1"/>
  <c r="S55" i="4" s="1"/>
  <c r="U55" i="4" s="1"/>
  <c r="W55" i="4" s="1"/>
  <c r="Y55" i="4" s="1"/>
  <c r="AA55" i="4" s="1"/>
  <c r="AC55" i="4" s="1"/>
  <c r="AE55" i="4" s="1"/>
  <c r="AG55" i="4" s="1"/>
  <c r="H56" i="4"/>
  <c r="J56" i="4" s="1"/>
  <c r="L56" i="4" s="1"/>
  <c r="N56" i="4" s="1"/>
  <c r="P56" i="4" s="1"/>
  <c r="R56" i="4" s="1"/>
  <c r="T56" i="4" s="1"/>
  <c r="V56" i="4" s="1"/>
  <c r="X56" i="4" s="1"/>
  <c r="Z56" i="4" s="1"/>
  <c r="AB56" i="4" s="1"/>
  <c r="AD56" i="4" s="1"/>
  <c r="AF56" i="4" s="1"/>
  <c r="AH56" i="4" s="1"/>
  <c r="H57" i="4"/>
  <c r="J57" i="4"/>
  <c r="L57" i="4" s="1"/>
  <c r="N57" i="4" s="1"/>
  <c r="P57" i="4" s="1"/>
  <c r="R57" i="4" s="1"/>
  <c r="T57" i="4" s="1"/>
  <c r="V57" i="4" s="1"/>
  <c r="X57" i="4" s="1"/>
  <c r="Z57" i="4" s="1"/>
  <c r="AB57" i="4" s="1"/>
  <c r="AD57" i="4" s="1"/>
  <c r="AF57" i="4" s="1"/>
  <c r="AH57" i="4" s="1"/>
  <c r="H58" i="4"/>
  <c r="J58" i="4" s="1"/>
  <c r="L58" i="4" s="1"/>
  <c r="N58" i="4" s="1"/>
  <c r="P58" i="4" s="1"/>
  <c r="R58" i="4" s="1"/>
  <c r="T58" i="4" s="1"/>
  <c r="V58" i="4" s="1"/>
  <c r="X58" i="4" s="1"/>
  <c r="Z58" i="4" s="1"/>
  <c r="AB58" i="4" s="1"/>
  <c r="AD58" i="4" s="1"/>
  <c r="AF58" i="4" s="1"/>
  <c r="AH58" i="4" s="1"/>
  <c r="H59" i="4"/>
  <c r="J59" i="4" s="1"/>
  <c r="L59" i="4" s="1"/>
  <c r="N59" i="4" s="1"/>
  <c r="P59" i="4" s="1"/>
  <c r="R59" i="4" s="1"/>
  <c r="T59" i="4" s="1"/>
  <c r="V59" i="4" s="1"/>
  <c r="X59" i="4" s="1"/>
  <c r="Z59" i="4" s="1"/>
  <c r="AB59" i="4" s="1"/>
  <c r="AD59" i="4" s="1"/>
  <c r="AF59" i="4" s="1"/>
  <c r="AH59" i="4" s="1"/>
  <c r="H60" i="4"/>
  <c r="J60" i="4"/>
  <c r="L60" i="4" s="1"/>
  <c r="N60" i="4" s="1"/>
  <c r="P60" i="4" s="1"/>
  <c r="R60" i="4" s="1"/>
  <c r="T60" i="4" s="1"/>
  <c r="V60" i="4" s="1"/>
  <c r="X60" i="4" s="1"/>
  <c r="Z60" i="4" s="1"/>
  <c r="AB60" i="4" s="1"/>
  <c r="AD60" i="4" s="1"/>
  <c r="AF60" i="4" s="1"/>
  <c r="AH60" i="4" s="1"/>
  <c r="H61" i="4"/>
  <c r="J61" i="4" s="1"/>
  <c r="L61" i="4" s="1"/>
  <c r="N61" i="4" s="1"/>
  <c r="P61" i="4" s="1"/>
  <c r="R61" i="4" s="1"/>
  <c r="T61" i="4" s="1"/>
  <c r="V61" i="4" s="1"/>
  <c r="X61" i="4" s="1"/>
  <c r="Z61" i="4" s="1"/>
  <c r="AB61" i="4" s="1"/>
  <c r="AD61" i="4" s="1"/>
  <c r="AF61" i="4" s="1"/>
  <c r="AH61" i="4" s="1"/>
  <c r="I61" i="4"/>
  <c r="K61" i="4" s="1"/>
  <c r="M61" i="4" s="1"/>
  <c r="O61" i="4" s="1"/>
  <c r="Q61" i="4" s="1"/>
  <c r="S61" i="4" s="1"/>
  <c r="U61" i="4" s="1"/>
  <c r="W61" i="4" s="1"/>
  <c r="Y61" i="4" s="1"/>
  <c r="AA61" i="4" s="1"/>
  <c r="AC61" i="4" s="1"/>
  <c r="AE61" i="4" s="1"/>
  <c r="AG61" i="4" s="1"/>
  <c r="H62" i="4"/>
  <c r="J62" i="4" s="1"/>
  <c r="L62" i="4" s="1"/>
  <c r="N62" i="4" s="1"/>
  <c r="P62" i="4" s="1"/>
  <c r="R62" i="4" s="1"/>
  <c r="T62" i="4" s="1"/>
  <c r="V62" i="4" s="1"/>
  <c r="X62" i="4" s="1"/>
  <c r="Z62" i="4" s="1"/>
  <c r="AB62" i="4" s="1"/>
  <c r="AD62" i="4" s="1"/>
  <c r="AF62" i="4" s="1"/>
  <c r="AH62" i="4" s="1"/>
  <c r="H63" i="4"/>
  <c r="J63" i="4" s="1"/>
  <c r="L63" i="4" s="1"/>
  <c r="N63" i="4" s="1"/>
  <c r="P63" i="4" s="1"/>
  <c r="R63" i="4" s="1"/>
  <c r="T63" i="4" s="1"/>
  <c r="V63" i="4" s="1"/>
  <c r="X63" i="4" s="1"/>
  <c r="Z63" i="4" s="1"/>
  <c r="AB63" i="4" s="1"/>
  <c r="AD63" i="4" s="1"/>
  <c r="AF63" i="4" s="1"/>
  <c r="AH63" i="4" s="1"/>
  <c r="H64" i="4"/>
  <c r="J64" i="4" s="1"/>
  <c r="L64" i="4" s="1"/>
  <c r="N64" i="4" s="1"/>
  <c r="P64" i="4" s="1"/>
  <c r="R64" i="4" s="1"/>
  <c r="T64" i="4" s="1"/>
  <c r="V64" i="4" s="1"/>
  <c r="X64" i="4" s="1"/>
  <c r="Z64" i="4" s="1"/>
  <c r="AB64" i="4" s="1"/>
  <c r="AD64" i="4" s="1"/>
  <c r="AF64" i="4" s="1"/>
  <c r="AH64" i="4" s="1"/>
  <c r="H65" i="4"/>
  <c r="J65" i="4" s="1"/>
  <c r="L65" i="4" s="1"/>
  <c r="N65" i="4" s="1"/>
  <c r="P65" i="4" s="1"/>
  <c r="R65" i="4" s="1"/>
  <c r="T65" i="4" s="1"/>
  <c r="V65" i="4" s="1"/>
  <c r="X65" i="4" s="1"/>
  <c r="Z65" i="4" s="1"/>
  <c r="AB65" i="4" s="1"/>
  <c r="AD65" i="4" s="1"/>
  <c r="AF65" i="4" s="1"/>
  <c r="AH65" i="4" s="1"/>
  <c r="H66" i="4"/>
  <c r="I66" i="4"/>
  <c r="K66" i="4" s="1"/>
  <c r="M66" i="4" s="1"/>
  <c r="O66" i="4" s="1"/>
  <c r="Q66" i="4" s="1"/>
  <c r="S66" i="4" s="1"/>
  <c r="U66" i="4" s="1"/>
  <c r="W66" i="4" s="1"/>
  <c r="Y66" i="4" s="1"/>
  <c r="AA66" i="4" s="1"/>
  <c r="AC66" i="4" s="1"/>
  <c r="AE66" i="4" s="1"/>
  <c r="AG66" i="4" s="1"/>
  <c r="J66" i="4"/>
  <c r="L66" i="4" s="1"/>
  <c r="N66" i="4" s="1"/>
  <c r="P66" i="4" s="1"/>
  <c r="R66" i="4" s="1"/>
  <c r="T66" i="4" s="1"/>
  <c r="V66" i="4" s="1"/>
  <c r="X66" i="4" s="1"/>
  <c r="Z66" i="4" s="1"/>
  <c r="AB66" i="4" s="1"/>
  <c r="AD66" i="4" s="1"/>
  <c r="AF66" i="4" s="1"/>
  <c r="AH66" i="4" s="1"/>
  <c r="H67" i="4"/>
  <c r="J67" i="4"/>
  <c r="L67" i="4" s="1"/>
  <c r="N67" i="4" s="1"/>
  <c r="P67" i="4" s="1"/>
  <c r="R67" i="4" s="1"/>
  <c r="T67" i="4" s="1"/>
  <c r="V67" i="4" s="1"/>
  <c r="X67" i="4" s="1"/>
  <c r="Z67" i="4" s="1"/>
  <c r="AB67" i="4" s="1"/>
  <c r="AD67" i="4" s="1"/>
  <c r="AF67" i="4" s="1"/>
  <c r="AH67" i="4" s="1"/>
  <c r="H68" i="4"/>
  <c r="J68" i="4" s="1"/>
  <c r="L68" i="4" s="1"/>
  <c r="N68" i="4" s="1"/>
  <c r="P68" i="4" s="1"/>
  <c r="R68" i="4" s="1"/>
  <c r="T68" i="4" s="1"/>
  <c r="V68" i="4" s="1"/>
  <c r="X68" i="4" s="1"/>
  <c r="Z68" i="4" s="1"/>
  <c r="AB68" i="4" s="1"/>
  <c r="AD68" i="4" s="1"/>
  <c r="AF68" i="4" s="1"/>
  <c r="AH68" i="4" s="1"/>
  <c r="G4" i="4"/>
  <c r="I4" i="4" s="1"/>
  <c r="K4" i="4" s="1"/>
  <c r="M4" i="4" s="1"/>
  <c r="O4" i="4" s="1"/>
  <c r="Q4" i="4" s="1"/>
  <c r="S4" i="4" s="1"/>
  <c r="U4" i="4" s="1"/>
  <c r="W4" i="4" s="1"/>
  <c r="Y4" i="4" s="1"/>
  <c r="AA4" i="4" s="1"/>
  <c r="AC4" i="4" s="1"/>
  <c r="AE4" i="4" s="1"/>
  <c r="AG4" i="4" s="1"/>
  <c r="G5" i="4"/>
  <c r="I5" i="4" s="1"/>
  <c r="K5" i="4" s="1"/>
  <c r="M5" i="4" s="1"/>
  <c r="O5" i="4" s="1"/>
  <c r="Q5" i="4" s="1"/>
  <c r="S5" i="4" s="1"/>
  <c r="U5" i="4" s="1"/>
  <c r="W5" i="4" s="1"/>
  <c r="Y5" i="4" s="1"/>
  <c r="AA5" i="4" s="1"/>
  <c r="AC5" i="4" s="1"/>
  <c r="AE5" i="4" s="1"/>
  <c r="AG5" i="4" s="1"/>
  <c r="G6" i="4"/>
  <c r="I6" i="4" s="1"/>
  <c r="K6" i="4" s="1"/>
  <c r="M6" i="4" s="1"/>
  <c r="O6" i="4" s="1"/>
  <c r="Q6" i="4" s="1"/>
  <c r="S6" i="4" s="1"/>
  <c r="U6" i="4" s="1"/>
  <c r="W6" i="4" s="1"/>
  <c r="Y6" i="4" s="1"/>
  <c r="AA6" i="4" s="1"/>
  <c r="AC6" i="4" s="1"/>
  <c r="AE6" i="4" s="1"/>
  <c r="AG6" i="4" s="1"/>
  <c r="G7" i="4"/>
  <c r="I7" i="4" s="1"/>
  <c r="K7" i="4" s="1"/>
  <c r="M7" i="4" s="1"/>
  <c r="O7" i="4" s="1"/>
  <c r="Q7" i="4" s="1"/>
  <c r="S7" i="4" s="1"/>
  <c r="U7" i="4" s="1"/>
  <c r="W7" i="4" s="1"/>
  <c r="Y7" i="4" s="1"/>
  <c r="AA7" i="4" s="1"/>
  <c r="AC7" i="4" s="1"/>
  <c r="AE7" i="4" s="1"/>
  <c r="AG7" i="4" s="1"/>
  <c r="G8" i="4"/>
  <c r="I8" i="4" s="1"/>
  <c r="K8" i="4" s="1"/>
  <c r="M8" i="4" s="1"/>
  <c r="O8" i="4" s="1"/>
  <c r="Q8" i="4" s="1"/>
  <c r="S8" i="4" s="1"/>
  <c r="U8" i="4" s="1"/>
  <c r="W8" i="4" s="1"/>
  <c r="Y8" i="4" s="1"/>
  <c r="AA8" i="4" s="1"/>
  <c r="AC8" i="4" s="1"/>
  <c r="AE8" i="4" s="1"/>
  <c r="AG8" i="4" s="1"/>
  <c r="G9" i="4"/>
  <c r="I9" i="4" s="1"/>
  <c r="K9" i="4" s="1"/>
  <c r="M9" i="4" s="1"/>
  <c r="O9" i="4" s="1"/>
  <c r="Q9" i="4" s="1"/>
  <c r="S9" i="4" s="1"/>
  <c r="U9" i="4" s="1"/>
  <c r="W9" i="4" s="1"/>
  <c r="Y9" i="4" s="1"/>
  <c r="AA9" i="4" s="1"/>
  <c r="AC9" i="4" s="1"/>
  <c r="AE9" i="4" s="1"/>
  <c r="AG9" i="4" s="1"/>
  <c r="G10" i="4"/>
  <c r="I10" i="4" s="1"/>
  <c r="K10" i="4" s="1"/>
  <c r="M10" i="4" s="1"/>
  <c r="O10" i="4" s="1"/>
  <c r="Q10" i="4" s="1"/>
  <c r="S10" i="4" s="1"/>
  <c r="U10" i="4" s="1"/>
  <c r="W10" i="4" s="1"/>
  <c r="Y10" i="4" s="1"/>
  <c r="AA10" i="4" s="1"/>
  <c r="AC10" i="4" s="1"/>
  <c r="AE10" i="4" s="1"/>
  <c r="AG10" i="4" s="1"/>
  <c r="G11" i="4"/>
  <c r="I11" i="4" s="1"/>
  <c r="K11" i="4" s="1"/>
  <c r="M11" i="4" s="1"/>
  <c r="O11" i="4" s="1"/>
  <c r="Q11" i="4" s="1"/>
  <c r="S11" i="4" s="1"/>
  <c r="U11" i="4" s="1"/>
  <c r="W11" i="4" s="1"/>
  <c r="Y11" i="4" s="1"/>
  <c r="AA11" i="4" s="1"/>
  <c r="AC11" i="4" s="1"/>
  <c r="AE11" i="4" s="1"/>
  <c r="AG11" i="4" s="1"/>
  <c r="G12" i="4"/>
  <c r="I12" i="4" s="1"/>
  <c r="K12" i="4" s="1"/>
  <c r="M12" i="4" s="1"/>
  <c r="O12" i="4" s="1"/>
  <c r="Q12" i="4" s="1"/>
  <c r="S12" i="4" s="1"/>
  <c r="U12" i="4" s="1"/>
  <c r="W12" i="4" s="1"/>
  <c r="Y12" i="4" s="1"/>
  <c r="AA12" i="4" s="1"/>
  <c r="AC12" i="4" s="1"/>
  <c r="AE12" i="4" s="1"/>
  <c r="AG12" i="4" s="1"/>
  <c r="G13" i="4"/>
  <c r="I13" i="4" s="1"/>
  <c r="K13" i="4" s="1"/>
  <c r="M13" i="4" s="1"/>
  <c r="O13" i="4" s="1"/>
  <c r="Q13" i="4" s="1"/>
  <c r="S13" i="4" s="1"/>
  <c r="U13" i="4" s="1"/>
  <c r="W13" i="4" s="1"/>
  <c r="Y13" i="4" s="1"/>
  <c r="AA13" i="4" s="1"/>
  <c r="AC13" i="4" s="1"/>
  <c r="AE13" i="4" s="1"/>
  <c r="AG13" i="4" s="1"/>
  <c r="G14" i="4"/>
  <c r="I14" i="4" s="1"/>
  <c r="K14" i="4" s="1"/>
  <c r="M14" i="4" s="1"/>
  <c r="O14" i="4" s="1"/>
  <c r="Q14" i="4" s="1"/>
  <c r="S14" i="4" s="1"/>
  <c r="U14" i="4" s="1"/>
  <c r="W14" i="4" s="1"/>
  <c r="Y14" i="4" s="1"/>
  <c r="AA14" i="4" s="1"/>
  <c r="AC14" i="4" s="1"/>
  <c r="AE14" i="4" s="1"/>
  <c r="AG14" i="4" s="1"/>
  <c r="G15" i="4"/>
  <c r="I15" i="4" s="1"/>
  <c r="K15" i="4" s="1"/>
  <c r="M15" i="4" s="1"/>
  <c r="O15" i="4" s="1"/>
  <c r="Q15" i="4" s="1"/>
  <c r="S15" i="4" s="1"/>
  <c r="U15" i="4" s="1"/>
  <c r="W15" i="4" s="1"/>
  <c r="Y15" i="4" s="1"/>
  <c r="AA15" i="4" s="1"/>
  <c r="AC15" i="4" s="1"/>
  <c r="AE15" i="4" s="1"/>
  <c r="AG15" i="4" s="1"/>
  <c r="G16" i="4"/>
  <c r="I16" i="4" s="1"/>
  <c r="K16" i="4" s="1"/>
  <c r="M16" i="4" s="1"/>
  <c r="O16" i="4" s="1"/>
  <c r="Q16" i="4" s="1"/>
  <c r="S16" i="4" s="1"/>
  <c r="U16" i="4" s="1"/>
  <c r="W16" i="4" s="1"/>
  <c r="Y16" i="4" s="1"/>
  <c r="AA16" i="4" s="1"/>
  <c r="AC16" i="4" s="1"/>
  <c r="AE16" i="4" s="1"/>
  <c r="AG16" i="4" s="1"/>
  <c r="G17" i="4"/>
  <c r="I17" i="4" s="1"/>
  <c r="K17" i="4" s="1"/>
  <c r="M17" i="4" s="1"/>
  <c r="O17" i="4" s="1"/>
  <c r="Q17" i="4" s="1"/>
  <c r="S17" i="4" s="1"/>
  <c r="U17" i="4" s="1"/>
  <c r="W17" i="4" s="1"/>
  <c r="Y17" i="4" s="1"/>
  <c r="AA17" i="4" s="1"/>
  <c r="AC17" i="4" s="1"/>
  <c r="AE17" i="4" s="1"/>
  <c r="AG17" i="4" s="1"/>
  <c r="G18" i="4"/>
  <c r="I18" i="4" s="1"/>
  <c r="K18" i="4" s="1"/>
  <c r="M18" i="4" s="1"/>
  <c r="O18" i="4" s="1"/>
  <c r="Q18" i="4" s="1"/>
  <c r="S18" i="4" s="1"/>
  <c r="U18" i="4" s="1"/>
  <c r="W18" i="4" s="1"/>
  <c r="Y18" i="4" s="1"/>
  <c r="AA18" i="4" s="1"/>
  <c r="AC18" i="4" s="1"/>
  <c r="AE18" i="4" s="1"/>
  <c r="AG18" i="4" s="1"/>
  <c r="G19" i="4"/>
  <c r="I19" i="4" s="1"/>
  <c r="K19" i="4" s="1"/>
  <c r="M19" i="4" s="1"/>
  <c r="O19" i="4" s="1"/>
  <c r="Q19" i="4" s="1"/>
  <c r="S19" i="4" s="1"/>
  <c r="U19" i="4" s="1"/>
  <c r="W19" i="4" s="1"/>
  <c r="Y19" i="4" s="1"/>
  <c r="AA19" i="4" s="1"/>
  <c r="AC19" i="4" s="1"/>
  <c r="AE19" i="4" s="1"/>
  <c r="AG19" i="4" s="1"/>
  <c r="G20" i="4"/>
  <c r="G21" i="4"/>
  <c r="I21" i="4" s="1"/>
  <c r="K21" i="4" s="1"/>
  <c r="M21" i="4" s="1"/>
  <c r="O21" i="4" s="1"/>
  <c r="Q21" i="4" s="1"/>
  <c r="S21" i="4" s="1"/>
  <c r="U21" i="4" s="1"/>
  <c r="W21" i="4" s="1"/>
  <c r="Y21" i="4" s="1"/>
  <c r="AA21" i="4" s="1"/>
  <c r="AC21" i="4" s="1"/>
  <c r="AE21" i="4" s="1"/>
  <c r="AG21" i="4" s="1"/>
  <c r="G22" i="4"/>
  <c r="G23" i="4"/>
  <c r="I23" i="4" s="1"/>
  <c r="K23" i="4" s="1"/>
  <c r="M23" i="4" s="1"/>
  <c r="O23" i="4" s="1"/>
  <c r="Q23" i="4" s="1"/>
  <c r="S23" i="4" s="1"/>
  <c r="U23" i="4" s="1"/>
  <c r="W23" i="4" s="1"/>
  <c r="Y23" i="4" s="1"/>
  <c r="AA23" i="4" s="1"/>
  <c r="AC23" i="4" s="1"/>
  <c r="AE23" i="4" s="1"/>
  <c r="AG23" i="4" s="1"/>
  <c r="G24" i="4"/>
  <c r="I24" i="4" s="1"/>
  <c r="K24" i="4" s="1"/>
  <c r="M24" i="4" s="1"/>
  <c r="O24" i="4" s="1"/>
  <c r="Q24" i="4" s="1"/>
  <c r="S24" i="4" s="1"/>
  <c r="U24" i="4" s="1"/>
  <c r="W24" i="4" s="1"/>
  <c r="Y24" i="4" s="1"/>
  <c r="AA24" i="4" s="1"/>
  <c r="AC24" i="4" s="1"/>
  <c r="AE24" i="4" s="1"/>
  <c r="AG24" i="4" s="1"/>
  <c r="G25" i="4"/>
  <c r="I25" i="4" s="1"/>
  <c r="K25" i="4" s="1"/>
  <c r="M25" i="4" s="1"/>
  <c r="O25" i="4" s="1"/>
  <c r="Q25" i="4" s="1"/>
  <c r="S25" i="4" s="1"/>
  <c r="U25" i="4" s="1"/>
  <c r="W25" i="4" s="1"/>
  <c r="Y25" i="4" s="1"/>
  <c r="AA25" i="4" s="1"/>
  <c r="AC25" i="4" s="1"/>
  <c r="AE25" i="4" s="1"/>
  <c r="AG25" i="4" s="1"/>
  <c r="G26" i="4"/>
  <c r="I26" i="4" s="1"/>
  <c r="K26" i="4" s="1"/>
  <c r="M26" i="4" s="1"/>
  <c r="O26" i="4" s="1"/>
  <c r="Q26" i="4" s="1"/>
  <c r="S26" i="4" s="1"/>
  <c r="U26" i="4" s="1"/>
  <c r="W26" i="4" s="1"/>
  <c r="Y26" i="4" s="1"/>
  <c r="AA26" i="4" s="1"/>
  <c r="AC26" i="4" s="1"/>
  <c r="AE26" i="4" s="1"/>
  <c r="AG26" i="4" s="1"/>
  <c r="G27" i="4"/>
  <c r="I27" i="4" s="1"/>
  <c r="K27" i="4" s="1"/>
  <c r="M27" i="4" s="1"/>
  <c r="O27" i="4" s="1"/>
  <c r="Q27" i="4" s="1"/>
  <c r="S27" i="4" s="1"/>
  <c r="U27" i="4" s="1"/>
  <c r="W27" i="4" s="1"/>
  <c r="Y27" i="4" s="1"/>
  <c r="AA27" i="4" s="1"/>
  <c r="AC27" i="4" s="1"/>
  <c r="AE27" i="4" s="1"/>
  <c r="AG27" i="4" s="1"/>
  <c r="G28" i="4"/>
  <c r="I28" i="4" s="1"/>
  <c r="K28" i="4" s="1"/>
  <c r="M28" i="4" s="1"/>
  <c r="O28" i="4" s="1"/>
  <c r="Q28" i="4" s="1"/>
  <c r="S28" i="4" s="1"/>
  <c r="U28" i="4" s="1"/>
  <c r="W28" i="4" s="1"/>
  <c r="Y28" i="4" s="1"/>
  <c r="AA28" i="4" s="1"/>
  <c r="AC28" i="4" s="1"/>
  <c r="AE28" i="4" s="1"/>
  <c r="AG28" i="4" s="1"/>
  <c r="G29" i="4"/>
  <c r="I29" i="4" s="1"/>
  <c r="K29" i="4" s="1"/>
  <c r="M29" i="4" s="1"/>
  <c r="O29" i="4" s="1"/>
  <c r="Q29" i="4" s="1"/>
  <c r="S29" i="4" s="1"/>
  <c r="U29" i="4" s="1"/>
  <c r="W29" i="4" s="1"/>
  <c r="Y29" i="4" s="1"/>
  <c r="AA29" i="4" s="1"/>
  <c r="AC29" i="4" s="1"/>
  <c r="AE29" i="4" s="1"/>
  <c r="AG29" i="4" s="1"/>
  <c r="G30" i="4"/>
  <c r="I30" i="4" s="1"/>
  <c r="K30" i="4" s="1"/>
  <c r="M30" i="4" s="1"/>
  <c r="O30" i="4" s="1"/>
  <c r="Q30" i="4" s="1"/>
  <c r="S30" i="4" s="1"/>
  <c r="U30" i="4" s="1"/>
  <c r="W30" i="4" s="1"/>
  <c r="Y30" i="4" s="1"/>
  <c r="AA30" i="4" s="1"/>
  <c r="AC30" i="4" s="1"/>
  <c r="AE30" i="4" s="1"/>
  <c r="AG30" i="4" s="1"/>
  <c r="G31" i="4"/>
  <c r="I31" i="4" s="1"/>
  <c r="K31" i="4" s="1"/>
  <c r="M31" i="4" s="1"/>
  <c r="O31" i="4" s="1"/>
  <c r="Q31" i="4" s="1"/>
  <c r="S31" i="4" s="1"/>
  <c r="U31" i="4" s="1"/>
  <c r="W31" i="4" s="1"/>
  <c r="Y31" i="4" s="1"/>
  <c r="AA31" i="4" s="1"/>
  <c r="AC31" i="4" s="1"/>
  <c r="AE31" i="4" s="1"/>
  <c r="AG31" i="4" s="1"/>
  <c r="G32" i="4"/>
  <c r="I32" i="4" s="1"/>
  <c r="K32" i="4" s="1"/>
  <c r="M32" i="4" s="1"/>
  <c r="O32" i="4" s="1"/>
  <c r="Q32" i="4" s="1"/>
  <c r="S32" i="4" s="1"/>
  <c r="U32" i="4" s="1"/>
  <c r="W32" i="4" s="1"/>
  <c r="Y32" i="4" s="1"/>
  <c r="AA32" i="4" s="1"/>
  <c r="AC32" i="4" s="1"/>
  <c r="AE32" i="4" s="1"/>
  <c r="AG32" i="4" s="1"/>
  <c r="G33" i="4"/>
  <c r="I33" i="4" s="1"/>
  <c r="K33" i="4" s="1"/>
  <c r="M33" i="4" s="1"/>
  <c r="O33" i="4" s="1"/>
  <c r="Q33" i="4" s="1"/>
  <c r="S33" i="4" s="1"/>
  <c r="U33" i="4" s="1"/>
  <c r="W33" i="4" s="1"/>
  <c r="Y33" i="4" s="1"/>
  <c r="AA33" i="4" s="1"/>
  <c r="AC33" i="4" s="1"/>
  <c r="AE33" i="4" s="1"/>
  <c r="AG33" i="4" s="1"/>
  <c r="G34" i="4"/>
  <c r="I34" i="4" s="1"/>
  <c r="K34" i="4" s="1"/>
  <c r="M34" i="4" s="1"/>
  <c r="O34" i="4" s="1"/>
  <c r="Q34" i="4" s="1"/>
  <c r="S34" i="4" s="1"/>
  <c r="U34" i="4" s="1"/>
  <c r="W34" i="4" s="1"/>
  <c r="Y34" i="4" s="1"/>
  <c r="AA34" i="4" s="1"/>
  <c r="AC34" i="4" s="1"/>
  <c r="AE34" i="4" s="1"/>
  <c r="AG34" i="4" s="1"/>
  <c r="G35" i="4"/>
  <c r="I35" i="4" s="1"/>
  <c r="K35" i="4" s="1"/>
  <c r="M35" i="4" s="1"/>
  <c r="O35" i="4" s="1"/>
  <c r="Q35" i="4" s="1"/>
  <c r="S35" i="4" s="1"/>
  <c r="U35" i="4" s="1"/>
  <c r="W35" i="4" s="1"/>
  <c r="Y35" i="4" s="1"/>
  <c r="AA35" i="4" s="1"/>
  <c r="AC35" i="4" s="1"/>
  <c r="AE35" i="4" s="1"/>
  <c r="AG35" i="4" s="1"/>
  <c r="G36" i="4"/>
  <c r="I36" i="4" s="1"/>
  <c r="K36" i="4" s="1"/>
  <c r="M36" i="4" s="1"/>
  <c r="O36" i="4" s="1"/>
  <c r="Q36" i="4" s="1"/>
  <c r="S36" i="4" s="1"/>
  <c r="U36" i="4" s="1"/>
  <c r="W36" i="4" s="1"/>
  <c r="Y36" i="4" s="1"/>
  <c r="AA36" i="4" s="1"/>
  <c r="AC36" i="4" s="1"/>
  <c r="AE36" i="4" s="1"/>
  <c r="AG36" i="4" s="1"/>
  <c r="G37" i="4"/>
  <c r="I37" i="4" s="1"/>
  <c r="K37" i="4" s="1"/>
  <c r="M37" i="4" s="1"/>
  <c r="O37" i="4" s="1"/>
  <c r="Q37" i="4" s="1"/>
  <c r="S37" i="4" s="1"/>
  <c r="U37" i="4" s="1"/>
  <c r="W37" i="4" s="1"/>
  <c r="Y37" i="4" s="1"/>
  <c r="AA37" i="4" s="1"/>
  <c r="AC37" i="4" s="1"/>
  <c r="AE37" i="4" s="1"/>
  <c r="AG37" i="4" s="1"/>
  <c r="G38" i="4"/>
  <c r="I38" i="4" s="1"/>
  <c r="K38" i="4" s="1"/>
  <c r="M38" i="4" s="1"/>
  <c r="O38" i="4" s="1"/>
  <c r="Q38" i="4" s="1"/>
  <c r="S38" i="4" s="1"/>
  <c r="U38" i="4" s="1"/>
  <c r="W38" i="4" s="1"/>
  <c r="Y38" i="4" s="1"/>
  <c r="AA38" i="4" s="1"/>
  <c r="AC38" i="4" s="1"/>
  <c r="AE38" i="4" s="1"/>
  <c r="AG38" i="4" s="1"/>
  <c r="G39" i="4"/>
  <c r="I39" i="4" s="1"/>
  <c r="K39" i="4" s="1"/>
  <c r="M39" i="4" s="1"/>
  <c r="O39" i="4" s="1"/>
  <c r="Q39" i="4" s="1"/>
  <c r="S39" i="4" s="1"/>
  <c r="U39" i="4" s="1"/>
  <c r="W39" i="4" s="1"/>
  <c r="Y39" i="4" s="1"/>
  <c r="AA39" i="4" s="1"/>
  <c r="AC39" i="4" s="1"/>
  <c r="AE39" i="4" s="1"/>
  <c r="AG39" i="4" s="1"/>
  <c r="G40" i="4"/>
  <c r="I40" i="4" s="1"/>
  <c r="K40" i="4" s="1"/>
  <c r="M40" i="4" s="1"/>
  <c r="O40" i="4" s="1"/>
  <c r="Q40" i="4" s="1"/>
  <c r="S40" i="4" s="1"/>
  <c r="U40" i="4" s="1"/>
  <c r="W40" i="4" s="1"/>
  <c r="Y40" i="4" s="1"/>
  <c r="AA40" i="4" s="1"/>
  <c r="AC40" i="4" s="1"/>
  <c r="AE40" i="4" s="1"/>
  <c r="AG40" i="4" s="1"/>
  <c r="G41" i="4"/>
  <c r="I41" i="4" s="1"/>
  <c r="K41" i="4" s="1"/>
  <c r="M41" i="4" s="1"/>
  <c r="O41" i="4" s="1"/>
  <c r="Q41" i="4" s="1"/>
  <c r="S41" i="4" s="1"/>
  <c r="U41" i="4" s="1"/>
  <c r="W41" i="4" s="1"/>
  <c r="Y41" i="4" s="1"/>
  <c r="AA41" i="4" s="1"/>
  <c r="AC41" i="4" s="1"/>
  <c r="AE41" i="4" s="1"/>
  <c r="AG41" i="4" s="1"/>
  <c r="G42" i="4"/>
  <c r="I42" i="4" s="1"/>
  <c r="K42" i="4" s="1"/>
  <c r="M42" i="4" s="1"/>
  <c r="O42" i="4" s="1"/>
  <c r="Q42" i="4" s="1"/>
  <c r="S42" i="4" s="1"/>
  <c r="U42" i="4" s="1"/>
  <c r="W42" i="4" s="1"/>
  <c r="Y42" i="4" s="1"/>
  <c r="AA42" i="4" s="1"/>
  <c r="AC42" i="4" s="1"/>
  <c r="AE42" i="4" s="1"/>
  <c r="AG42" i="4" s="1"/>
  <c r="G43" i="4"/>
  <c r="I43" i="4" s="1"/>
  <c r="K43" i="4" s="1"/>
  <c r="M43" i="4" s="1"/>
  <c r="O43" i="4" s="1"/>
  <c r="Q43" i="4" s="1"/>
  <c r="S43" i="4" s="1"/>
  <c r="U43" i="4" s="1"/>
  <c r="W43" i="4" s="1"/>
  <c r="Y43" i="4" s="1"/>
  <c r="AA43" i="4" s="1"/>
  <c r="AC43" i="4" s="1"/>
  <c r="AE43" i="4" s="1"/>
  <c r="AG43" i="4" s="1"/>
  <c r="G44" i="4"/>
  <c r="I44" i="4" s="1"/>
  <c r="K44" i="4" s="1"/>
  <c r="M44" i="4" s="1"/>
  <c r="O44" i="4" s="1"/>
  <c r="Q44" i="4" s="1"/>
  <c r="S44" i="4" s="1"/>
  <c r="U44" i="4" s="1"/>
  <c r="W44" i="4" s="1"/>
  <c r="Y44" i="4" s="1"/>
  <c r="AA44" i="4" s="1"/>
  <c r="AC44" i="4" s="1"/>
  <c r="AE44" i="4" s="1"/>
  <c r="AG44" i="4" s="1"/>
  <c r="G45" i="4"/>
  <c r="G46" i="4"/>
  <c r="I46" i="4" s="1"/>
  <c r="K46" i="4" s="1"/>
  <c r="M46" i="4" s="1"/>
  <c r="O46" i="4" s="1"/>
  <c r="Q46" i="4" s="1"/>
  <c r="S46" i="4" s="1"/>
  <c r="U46" i="4" s="1"/>
  <c r="W46" i="4" s="1"/>
  <c r="Y46" i="4" s="1"/>
  <c r="AA46" i="4" s="1"/>
  <c r="AC46" i="4" s="1"/>
  <c r="AE46" i="4" s="1"/>
  <c r="AG46" i="4" s="1"/>
  <c r="G47" i="4"/>
  <c r="I47" i="4" s="1"/>
  <c r="K47" i="4" s="1"/>
  <c r="M47" i="4" s="1"/>
  <c r="O47" i="4" s="1"/>
  <c r="Q47" i="4" s="1"/>
  <c r="S47" i="4" s="1"/>
  <c r="U47" i="4" s="1"/>
  <c r="W47" i="4" s="1"/>
  <c r="Y47" i="4" s="1"/>
  <c r="AA47" i="4" s="1"/>
  <c r="AC47" i="4" s="1"/>
  <c r="AE47" i="4" s="1"/>
  <c r="AG47" i="4" s="1"/>
  <c r="G48" i="4"/>
  <c r="I48" i="4" s="1"/>
  <c r="K48" i="4" s="1"/>
  <c r="M48" i="4" s="1"/>
  <c r="O48" i="4" s="1"/>
  <c r="Q48" i="4" s="1"/>
  <c r="S48" i="4" s="1"/>
  <c r="U48" i="4" s="1"/>
  <c r="W48" i="4" s="1"/>
  <c r="Y48" i="4" s="1"/>
  <c r="AA48" i="4" s="1"/>
  <c r="AC48" i="4" s="1"/>
  <c r="AE48" i="4" s="1"/>
  <c r="AG48" i="4" s="1"/>
  <c r="G49" i="4"/>
  <c r="I49" i="4" s="1"/>
  <c r="K49" i="4" s="1"/>
  <c r="M49" i="4" s="1"/>
  <c r="O49" i="4" s="1"/>
  <c r="Q49" i="4" s="1"/>
  <c r="S49" i="4" s="1"/>
  <c r="U49" i="4" s="1"/>
  <c r="W49" i="4" s="1"/>
  <c r="Y49" i="4" s="1"/>
  <c r="AA49" i="4" s="1"/>
  <c r="AC49" i="4" s="1"/>
  <c r="AE49" i="4" s="1"/>
  <c r="AG49" i="4" s="1"/>
  <c r="G50" i="4"/>
  <c r="I50" i="4" s="1"/>
  <c r="K50" i="4" s="1"/>
  <c r="M50" i="4" s="1"/>
  <c r="O50" i="4" s="1"/>
  <c r="Q50" i="4" s="1"/>
  <c r="S50" i="4" s="1"/>
  <c r="U50" i="4" s="1"/>
  <c r="W50" i="4" s="1"/>
  <c r="Y50" i="4" s="1"/>
  <c r="AA50" i="4" s="1"/>
  <c r="AC50" i="4" s="1"/>
  <c r="AE50" i="4" s="1"/>
  <c r="AG50" i="4" s="1"/>
  <c r="G51" i="4"/>
  <c r="I51" i="4" s="1"/>
  <c r="K51" i="4" s="1"/>
  <c r="M51" i="4" s="1"/>
  <c r="O51" i="4" s="1"/>
  <c r="Q51" i="4" s="1"/>
  <c r="S51" i="4" s="1"/>
  <c r="U51" i="4" s="1"/>
  <c r="W51" i="4" s="1"/>
  <c r="Y51" i="4" s="1"/>
  <c r="AA51" i="4" s="1"/>
  <c r="AC51" i="4" s="1"/>
  <c r="AE51" i="4" s="1"/>
  <c r="AG51" i="4" s="1"/>
  <c r="G52" i="4"/>
  <c r="G53" i="4"/>
  <c r="I53" i="4" s="1"/>
  <c r="K53" i="4" s="1"/>
  <c r="M53" i="4" s="1"/>
  <c r="O53" i="4" s="1"/>
  <c r="Q53" i="4" s="1"/>
  <c r="S53" i="4" s="1"/>
  <c r="U53" i="4" s="1"/>
  <c r="W53" i="4" s="1"/>
  <c r="Y53" i="4" s="1"/>
  <c r="AA53" i="4" s="1"/>
  <c r="AC53" i="4" s="1"/>
  <c r="AE53" i="4" s="1"/>
  <c r="AG53" i="4" s="1"/>
  <c r="G54" i="4"/>
  <c r="I54" i="4" s="1"/>
  <c r="K54" i="4" s="1"/>
  <c r="M54" i="4" s="1"/>
  <c r="O54" i="4" s="1"/>
  <c r="Q54" i="4" s="1"/>
  <c r="S54" i="4" s="1"/>
  <c r="U54" i="4" s="1"/>
  <c r="W54" i="4" s="1"/>
  <c r="Y54" i="4" s="1"/>
  <c r="AA54" i="4" s="1"/>
  <c r="AC54" i="4" s="1"/>
  <c r="AE54" i="4" s="1"/>
  <c r="AG54" i="4" s="1"/>
  <c r="G55" i="4"/>
  <c r="G56" i="4"/>
  <c r="I56" i="4" s="1"/>
  <c r="K56" i="4" s="1"/>
  <c r="M56" i="4" s="1"/>
  <c r="O56" i="4" s="1"/>
  <c r="Q56" i="4" s="1"/>
  <c r="S56" i="4" s="1"/>
  <c r="U56" i="4" s="1"/>
  <c r="W56" i="4" s="1"/>
  <c r="Y56" i="4" s="1"/>
  <c r="AA56" i="4" s="1"/>
  <c r="AC56" i="4" s="1"/>
  <c r="AE56" i="4" s="1"/>
  <c r="AG56" i="4" s="1"/>
  <c r="G57" i="4"/>
  <c r="I57" i="4" s="1"/>
  <c r="K57" i="4" s="1"/>
  <c r="M57" i="4" s="1"/>
  <c r="O57" i="4" s="1"/>
  <c r="Q57" i="4" s="1"/>
  <c r="S57" i="4" s="1"/>
  <c r="U57" i="4" s="1"/>
  <c r="W57" i="4" s="1"/>
  <c r="Y57" i="4" s="1"/>
  <c r="AA57" i="4" s="1"/>
  <c r="AC57" i="4" s="1"/>
  <c r="AE57" i="4" s="1"/>
  <c r="AG57" i="4" s="1"/>
  <c r="G58" i="4"/>
  <c r="I58" i="4" s="1"/>
  <c r="K58" i="4" s="1"/>
  <c r="M58" i="4" s="1"/>
  <c r="O58" i="4" s="1"/>
  <c r="Q58" i="4" s="1"/>
  <c r="S58" i="4" s="1"/>
  <c r="U58" i="4" s="1"/>
  <c r="W58" i="4" s="1"/>
  <c r="Y58" i="4" s="1"/>
  <c r="AA58" i="4" s="1"/>
  <c r="AC58" i="4" s="1"/>
  <c r="AE58" i="4" s="1"/>
  <c r="AG58" i="4" s="1"/>
  <c r="G59" i="4"/>
  <c r="I59" i="4" s="1"/>
  <c r="K59" i="4" s="1"/>
  <c r="M59" i="4" s="1"/>
  <c r="O59" i="4" s="1"/>
  <c r="Q59" i="4" s="1"/>
  <c r="S59" i="4" s="1"/>
  <c r="U59" i="4" s="1"/>
  <c r="W59" i="4" s="1"/>
  <c r="Y59" i="4" s="1"/>
  <c r="AA59" i="4" s="1"/>
  <c r="AC59" i="4" s="1"/>
  <c r="AE59" i="4" s="1"/>
  <c r="AG59" i="4" s="1"/>
  <c r="G60" i="4"/>
  <c r="I60" i="4" s="1"/>
  <c r="K60" i="4" s="1"/>
  <c r="M60" i="4" s="1"/>
  <c r="O60" i="4" s="1"/>
  <c r="Q60" i="4" s="1"/>
  <c r="S60" i="4" s="1"/>
  <c r="U60" i="4" s="1"/>
  <c r="W60" i="4" s="1"/>
  <c r="Y60" i="4" s="1"/>
  <c r="AA60" i="4" s="1"/>
  <c r="AC60" i="4" s="1"/>
  <c r="AE60" i="4" s="1"/>
  <c r="AG60" i="4" s="1"/>
  <c r="G61" i="4"/>
  <c r="G62" i="4"/>
  <c r="I62" i="4" s="1"/>
  <c r="K62" i="4" s="1"/>
  <c r="M62" i="4" s="1"/>
  <c r="O62" i="4" s="1"/>
  <c r="Q62" i="4" s="1"/>
  <c r="S62" i="4" s="1"/>
  <c r="U62" i="4" s="1"/>
  <c r="W62" i="4" s="1"/>
  <c r="Y62" i="4" s="1"/>
  <c r="AA62" i="4" s="1"/>
  <c r="AC62" i="4" s="1"/>
  <c r="AE62" i="4" s="1"/>
  <c r="AG62" i="4" s="1"/>
  <c r="G63" i="4"/>
  <c r="I63" i="4" s="1"/>
  <c r="K63" i="4" s="1"/>
  <c r="M63" i="4" s="1"/>
  <c r="O63" i="4" s="1"/>
  <c r="Q63" i="4" s="1"/>
  <c r="S63" i="4" s="1"/>
  <c r="U63" i="4" s="1"/>
  <c r="W63" i="4" s="1"/>
  <c r="Y63" i="4" s="1"/>
  <c r="AA63" i="4" s="1"/>
  <c r="AC63" i="4" s="1"/>
  <c r="AE63" i="4" s="1"/>
  <c r="AG63" i="4" s="1"/>
  <c r="G64" i="4"/>
  <c r="I64" i="4" s="1"/>
  <c r="K64" i="4" s="1"/>
  <c r="M64" i="4" s="1"/>
  <c r="O64" i="4" s="1"/>
  <c r="Q64" i="4" s="1"/>
  <c r="S64" i="4" s="1"/>
  <c r="U64" i="4" s="1"/>
  <c r="W64" i="4" s="1"/>
  <c r="Y64" i="4" s="1"/>
  <c r="AA64" i="4" s="1"/>
  <c r="AC64" i="4" s="1"/>
  <c r="AE64" i="4" s="1"/>
  <c r="AG64" i="4" s="1"/>
  <c r="G65" i="4"/>
  <c r="I65" i="4" s="1"/>
  <c r="K65" i="4" s="1"/>
  <c r="M65" i="4" s="1"/>
  <c r="O65" i="4" s="1"/>
  <c r="Q65" i="4" s="1"/>
  <c r="S65" i="4" s="1"/>
  <c r="U65" i="4" s="1"/>
  <c r="W65" i="4" s="1"/>
  <c r="Y65" i="4" s="1"/>
  <c r="AA65" i="4" s="1"/>
  <c r="AC65" i="4" s="1"/>
  <c r="AE65" i="4" s="1"/>
  <c r="AG65" i="4" s="1"/>
  <c r="G66" i="4"/>
  <c r="G67" i="4"/>
  <c r="I67" i="4" s="1"/>
  <c r="K67" i="4" s="1"/>
  <c r="M67" i="4" s="1"/>
  <c r="O67" i="4" s="1"/>
  <c r="Q67" i="4" s="1"/>
  <c r="S67" i="4" s="1"/>
  <c r="U67" i="4" s="1"/>
  <c r="W67" i="4" s="1"/>
  <c r="Y67" i="4" s="1"/>
  <c r="AA67" i="4" s="1"/>
  <c r="AC67" i="4" s="1"/>
  <c r="AE67" i="4" s="1"/>
  <c r="AG67" i="4" s="1"/>
  <c r="G68" i="4"/>
  <c r="I68" i="4" s="1"/>
  <c r="K68" i="4" s="1"/>
  <c r="M68" i="4" s="1"/>
  <c r="O68" i="4" s="1"/>
  <c r="Q68" i="4" s="1"/>
  <c r="S68" i="4" s="1"/>
  <c r="U68" i="4" s="1"/>
  <c r="W68" i="4" s="1"/>
  <c r="Y68" i="4" s="1"/>
  <c r="AA68" i="4" s="1"/>
  <c r="AC68" i="4" s="1"/>
  <c r="AE68" i="4" s="1"/>
  <c r="AG68" i="4" s="1"/>
  <c r="G3" i="4"/>
  <c r="I3" i="4" s="1"/>
  <c r="K3" i="4" s="1"/>
  <c r="M3" i="4" s="1"/>
  <c r="O3" i="4" s="1"/>
  <c r="Q3" i="4" s="1"/>
  <c r="S3" i="4" s="1"/>
  <c r="U3" i="4" s="1"/>
  <c r="W3" i="4" s="1"/>
  <c r="Y3" i="4" s="1"/>
  <c r="AA3" i="4" s="1"/>
  <c r="AC3" i="4" s="1"/>
  <c r="AE3" i="4" s="1"/>
  <c r="AG3" i="4" s="1"/>
  <c r="E32" i="19" l="1"/>
  <c r="C32" i="15"/>
  <c r="C32" i="14" s="1"/>
  <c r="E32" i="14" s="1"/>
  <c r="G32" i="14" s="1"/>
  <c r="I32" i="14" s="1"/>
  <c r="K32" i="14" s="1"/>
  <c r="M32" i="14" s="1"/>
  <c r="O32" i="14" s="1"/>
  <c r="Q32" i="14" s="1"/>
  <c r="S32" i="14" s="1"/>
  <c r="U32" i="14" s="1"/>
  <c r="W32" i="14" s="1"/>
  <c r="Y32" i="14" s="1"/>
  <c r="AA32" i="14" s="1"/>
  <c r="AC32" i="14" s="1"/>
  <c r="AE32" i="14" s="1"/>
  <c r="AG32" i="14" s="1"/>
  <c r="E23" i="19"/>
  <c r="C23" i="15"/>
  <c r="C23" i="14" s="1"/>
  <c r="E23" i="14" s="1"/>
  <c r="G23" i="14" s="1"/>
  <c r="I23" i="14" s="1"/>
  <c r="K23" i="14" s="1"/>
  <c r="F53" i="19"/>
  <c r="D53" i="15"/>
  <c r="D53" i="14" s="1"/>
  <c r="F53" i="14" s="1"/>
  <c r="H53" i="14" s="1"/>
  <c r="J53" i="14" s="1"/>
  <c r="L53" i="14" s="1"/>
  <c r="N53" i="14" s="1"/>
  <c r="P53" i="14" s="1"/>
  <c r="R53" i="14" s="1"/>
  <c r="T53" i="14" s="1"/>
  <c r="V53" i="14" s="1"/>
  <c r="X53" i="14" s="1"/>
  <c r="Z53" i="14" s="1"/>
  <c r="AB53" i="14" s="1"/>
  <c r="AD53" i="14" s="1"/>
  <c r="AF53" i="14" s="1"/>
  <c r="AH53" i="14" s="1"/>
  <c r="E33" i="19"/>
  <c r="C33" i="15"/>
  <c r="C33" i="14" s="1"/>
  <c r="E33" i="14" s="1"/>
  <c r="G33" i="14" s="1"/>
  <c r="I33" i="14" s="1"/>
  <c r="K33" i="14" s="1"/>
  <c r="M33" i="14" s="1"/>
  <c r="O33" i="14" s="1"/>
  <c r="Q33" i="14" s="1"/>
  <c r="S33" i="14" s="1"/>
  <c r="U33" i="14" s="1"/>
  <c r="W33" i="14" s="1"/>
  <c r="Y33" i="14" s="1"/>
  <c r="AA33" i="14" s="1"/>
  <c r="AC33" i="14" s="1"/>
  <c r="AE33" i="14" s="1"/>
  <c r="AG33" i="14" s="1"/>
  <c r="E60" i="19"/>
  <c r="C60" i="15"/>
  <c r="C60" i="14" s="1"/>
  <c r="E60" i="14" s="1"/>
  <c r="G60" i="14" s="1"/>
  <c r="I60" i="14" s="1"/>
  <c r="K60" i="14" s="1"/>
  <c r="M60" i="14" s="1"/>
  <c r="O60" i="14" s="1"/>
  <c r="Q60" i="14" s="1"/>
  <c r="S60" i="14" s="1"/>
  <c r="U60" i="14" s="1"/>
  <c r="W60" i="14" s="1"/>
  <c r="Y60" i="14" s="1"/>
  <c r="AA60" i="14" s="1"/>
  <c r="AC60" i="14" s="1"/>
  <c r="AE60" i="14" s="1"/>
  <c r="AG60" i="14" s="1"/>
  <c r="E28" i="19"/>
  <c r="C28" i="15"/>
  <c r="C28" i="14" s="1"/>
  <c r="E28" i="14" s="1"/>
  <c r="G28" i="14" s="1"/>
  <c r="I28" i="14" s="1"/>
  <c r="K28" i="14" s="1"/>
  <c r="M28" i="14" s="1"/>
  <c r="O28" i="14" s="1"/>
  <c r="Q28" i="14" s="1"/>
  <c r="S28" i="14" s="1"/>
  <c r="U28" i="14" s="1"/>
  <c r="W28" i="14" s="1"/>
  <c r="Y28" i="14" s="1"/>
  <c r="AA28" i="14" s="1"/>
  <c r="AC28" i="14" s="1"/>
  <c r="AE28" i="14" s="1"/>
  <c r="AG28" i="14" s="1"/>
  <c r="F12" i="19"/>
  <c r="D12" i="15"/>
  <c r="D12" i="14" s="1"/>
  <c r="F12" i="14" s="1"/>
  <c r="H12" i="14" s="1"/>
  <c r="J12" i="14" s="1"/>
  <c r="L12" i="14" s="1"/>
  <c r="N12" i="14" s="1"/>
  <c r="P12" i="14" s="1"/>
  <c r="R12" i="14" s="1"/>
  <c r="T12" i="14" s="1"/>
  <c r="V12" i="14" s="1"/>
  <c r="X12" i="14" s="1"/>
  <c r="Z12" i="14" s="1"/>
  <c r="AB12" i="14" s="1"/>
  <c r="AD12" i="14" s="1"/>
  <c r="AF12" i="14" s="1"/>
  <c r="AH12" i="14" s="1"/>
  <c r="F39" i="19"/>
  <c r="D39" i="15"/>
  <c r="D39" i="14" s="1"/>
  <c r="F39" i="14" s="1"/>
  <c r="H39" i="14" s="1"/>
  <c r="J39" i="14" s="1"/>
  <c r="L39" i="14" s="1"/>
  <c r="N39" i="14" s="1"/>
  <c r="P39" i="14" s="1"/>
  <c r="R39" i="14" s="1"/>
  <c r="T39" i="14" s="1"/>
  <c r="V39" i="14" s="1"/>
  <c r="X39" i="14" s="1"/>
  <c r="Z39" i="14" s="1"/>
  <c r="AB39" i="14" s="1"/>
  <c r="AD39" i="14" s="1"/>
  <c r="AF39" i="14" s="1"/>
  <c r="AH39" i="14" s="1"/>
  <c r="F7" i="19"/>
  <c r="D7" i="15"/>
  <c r="D7" i="14" s="1"/>
  <c r="F7" i="14" s="1"/>
  <c r="H7" i="14" s="1"/>
  <c r="J7" i="14" s="1"/>
  <c r="L7" i="14" s="1"/>
  <c r="N7" i="14" s="1"/>
  <c r="P7" i="14" s="1"/>
  <c r="R7" i="14" s="1"/>
  <c r="T7" i="14" s="1"/>
  <c r="V7" i="14" s="1"/>
  <c r="X7" i="14" s="1"/>
  <c r="Z7" i="14" s="1"/>
  <c r="AB7" i="14" s="1"/>
  <c r="AD7" i="14" s="1"/>
  <c r="AF7" i="14" s="1"/>
  <c r="AH7" i="14" s="1"/>
  <c r="E51" i="19"/>
  <c r="C51" i="15"/>
  <c r="C51" i="14" s="1"/>
  <c r="E51" i="14" s="1"/>
  <c r="G51" i="14" s="1"/>
  <c r="I51" i="14" s="1"/>
  <c r="K51" i="14" s="1"/>
  <c r="M51" i="14" s="1"/>
  <c r="O51" i="14" s="1"/>
  <c r="Q51" i="14" s="1"/>
  <c r="S51" i="14" s="1"/>
  <c r="U51" i="14" s="1"/>
  <c r="W51" i="14" s="1"/>
  <c r="Y51" i="14" s="1"/>
  <c r="AA51" i="14" s="1"/>
  <c r="AC51" i="14" s="1"/>
  <c r="AE51" i="14" s="1"/>
  <c r="AG51" i="14" s="1"/>
  <c r="E19" i="19"/>
  <c r="C19" i="15"/>
  <c r="C19" i="14" s="1"/>
  <c r="E19" i="14" s="1"/>
  <c r="G19" i="14" s="1"/>
  <c r="I19" i="14" s="1"/>
  <c r="K19" i="14" s="1"/>
  <c r="F58" i="19"/>
  <c r="D58" i="15"/>
  <c r="D58" i="14" s="1"/>
  <c r="F58" i="14" s="1"/>
  <c r="H58" i="14" s="1"/>
  <c r="J58" i="14" s="1"/>
  <c r="L58" i="14" s="1"/>
  <c r="N58" i="14" s="1"/>
  <c r="P58" i="14" s="1"/>
  <c r="R58" i="14" s="1"/>
  <c r="T58" i="14" s="1"/>
  <c r="V58" i="14" s="1"/>
  <c r="X58" i="14" s="1"/>
  <c r="Z58" i="14" s="1"/>
  <c r="AB58" i="14" s="1"/>
  <c r="AD58" i="14" s="1"/>
  <c r="AF58" i="14" s="1"/>
  <c r="AH58" i="14" s="1"/>
  <c r="F26" i="19"/>
  <c r="D26" i="15"/>
  <c r="D26" i="14" s="1"/>
  <c r="F26" i="14" s="1"/>
  <c r="H26" i="14" s="1"/>
  <c r="J26" i="14" s="1"/>
  <c r="L26" i="14" s="1"/>
  <c r="N26" i="14" s="1"/>
  <c r="P26" i="14" s="1"/>
  <c r="R26" i="14" s="1"/>
  <c r="T26" i="14" s="1"/>
  <c r="V26" i="14" s="1"/>
  <c r="X26" i="14" s="1"/>
  <c r="Z26" i="14" s="1"/>
  <c r="AB26" i="14" s="1"/>
  <c r="AD26" i="14" s="1"/>
  <c r="AF26" i="14" s="1"/>
  <c r="AH26" i="14" s="1"/>
  <c r="E66" i="19"/>
  <c r="C66" i="15"/>
  <c r="C66" i="14" s="1"/>
  <c r="E66" i="14" s="1"/>
  <c r="G66" i="14" s="1"/>
  <c r="I66" i="14" s="1"/>
  <c r="K66" i="14" s="1"/>
  <c r="M66" i="14" s="1"/>
  <c r="O66" i="14" s="1"/>
  <c r="Q66" i="14" s="1"/>
  <c r="S66" i="14" s="1"/>
  <c r="U66" i="14" s="1"/>
  <c r="W66" i="14" s="1"/>
  <c r="Y66" i="14" s="1"/>
  <c r="AA66" i="14" s="1"/>
  <c r="AC66" i="14" s="1"/>
  <c r="AE66" i="14" s="1"/>
  <c r="AG66" i="14" s="1"/>
  <c r="E34" i="19"/>
  <c r="C34" i="15"/>
  <c r="C34" i="14" s="1"/>
  <c r="E34" i="14" s="1"/>
  <c r="G34" i="14" s="1"/>
  <c r="I34" i="14" s="1"/>
  <c r="K34" i="14" s="1"/>
  <c r="M34" i="14" s="1"/>
  <c r="O34" i="14" s="1"/>
  <c r="Q34" i="14" s="1"/>
  <c r="S34" i="14" s="1"/>
  <c r="U34" i="14" s="1"/>
  <c r="W34" i="14" s="1"/>
  <c r="Y34" i="14" s="1"/>
  <c r="AA34" i="14" s="1"/>
  <c r="AC34" i="14" s="1"/>
  <c r="AE34" i="14" s="1"/>
  <c r="AG34" i="14" s="1"/>
  <c r="F56" i="19"/>
  <c r="D56" i="15"/>
  <c r="D56" i="14" s="1"/>
  <c r="F56" i="14" s="1"/>
  <c r="H56" i="14" s="1"/>
  <c r="J56" i="14" s="1"/>
  <c r="L56" i="14" s="1"/>
  <c r="N56" i="14" s="1"/>
  <c r="P56" i="14" s="1"/>
  <c r="R56" i="14" s="1"/>
  <c r="T56" i="14" s="1"/>
  <c r="V56" i="14" s="1"/>
  <c r="X56" i="14" s="1"/>
  <c r="Z56" i="14" s="1"/>
  <c r="AB56" i="14" s="1"/>
  <c r="AD56" i="14" s="1"/>
  <c r="AF56" i="14" s="1"/>
  <c r="AH56" i="14" s="1"/>
  <c r="F49" i="19"/>
  <c r="D49" i="15"/>
  <c r="D49" i="14" s="1"/>
  <c r="F49" i="14" s="1"/>
  <c r="H49" i="14" s="1"/>
  <c r="J49" i="14" s="1"/>
  <c r="L49" i="14" s="1"/>
  <c r="N49" i="14" s="1"/>
  <c r="P49" i="14" s="1"/>
  <c r="R49" i="14" s="1"/>
  <c r="T49" i="14" s="1"/>
  <c r="V49" i="14" s="1"/>
  <c r="X49" i="14" s="1"/>
  <c r="Z49" i="14" s="1"/>
  <c r="AB49" i="14" s="1"/>
  <c r="AD49" i="14" s="1"/>
  <c r="AF49" i="14" s="1"/>
  <c r="AH49" i="14" s="1"/>
  <c r="F17" i="19"/>
  <c r="D17" i="15"/>
  <c r="D17" i="14" s="1"/>
  <c r="F17" i="14" s="1"/>
  <c r="H17" i="14" s="1"/>
  <c r="J17" i="14" s="1"/>
  <c r="L17" i="14" s="1"/>
  <c r="N17" i="14" s="1"/>
  <c r="P17" i="14" s="1"/>
  <c r="R17" i="14" s="1"/>
  <c r="T17" i="14" s="1"/>
  <c r="V17" i="14" s="1"/>
  <c r="X17" i="14" s="1"/>
  <c r="Z17" i="14" s="1"/>
  <c r="AB17" i="14" s="1"/>
  <c r="AD17" i="14" s="1"/>
  <c r="AF17" i="14" s="1"/>
  <c r="AH17" i="14" s="1"/>
  <c r="E61" i="19"/>
  <c r="C61" i="15"/>
  <c r="C61" i="14" s="1"/>
  <c r="E61" i="14" s="1"/>
  <c r="G61" i="14" s="1"/>
  <c r="I61" i="14" s="1"/>
  <c r="K61" i="14" s="1"/>
  <c r="M61" i="14" s="1"/>
  <c r="O61" i="14" s="1"/>
  <c r="Q61" i="14" s="1"/>
  <c r="S61" i="14" s="1"/>
  <c r="U61" i="14" s="1"/>
  <c r="W61" i="14" s="1"/>
  <c r="Y61" i="14" s="1"/>
  <c r="AA61" i="14" s="1"/>
  <c r="AC61" i="14" s="1"/>
  <c r="AE61" i="14" s="1"/>
  <c r="AG61" i="14" s="1"/>
  <c r="E29" i="19"/>
  <c r="C29" i="15"/>
  <c r="C29" i="14" s="1"/>
  <c r="E29" i="14" s="1"/>
  <c r="G29" i="14" s="1"/>
  <c r="I29" i="14" s="1"/>
  <c r="K29" i="14" s="1"/>
  <c r="M29" i="14" s="1"/>
  <c r="O29" i="14" s="1"/>
  <c r="Q29" i="14" s="1"/>
  <c r="S29" i="14" s="1"/>
  <c r="U29" i="14" s="1"/>
  <c r="W29" i="14" s="1"/>
  <c r="Y29" i="14" s="1"/>
  <c r="AA29" i="14" s="1"/>
  <c r="AC29" i="14" s="1"/>
  <c r="AE29" i="14" s="1"/>
  <c r="AG29" i="14" s="1"/>
  <c r="F43" i="19"/>
  <c r="D43" i="15"/>
  <c r="D43" i="14" s="1"/>
  <c r="F43" i="14" s="1"/>
  <c r="H43" i="14" s="1"/>
  <c r="J43" i="14" s="1"/>
  <c r="L43" i="14" s="1"/>
  <c r="N43" i="14" s="1"/>
  <c r="P43" i="14" s="1"/>
  <c r="R43" i="14" s="1"/>
  <c r="T43" i="14" s="1"/>
  <c r="V43" i="14" s="1"/>
  <c r="X43" i="14" s="1"/>
  <c r="Z43" i="14" s="1"/>
  <c r="AB43" i="14" s="1"/>
  <c r="AD43" i="14" s="1"/>
  <c r="AF43" i="14" s="1"/>
  <c r="AH43" i="14" s="1"/>
  <c r="F62" i="19"/>
  <c r="D62" i="15"/>
  <c r="D62" i="14" s="1"/>
  <c r="F62" i="14" s="1"/>
  <c r="H62" i="14" s="1"/>
  <c r="J62" i="14" s="1"/>
  <c r="L62" i="14" s="1"/>
  <c r="N62" i="14" s="1"/>
  <c r="P62" i="14" s="1"/>
  <c r="R62" i="14" s="1"/>
  <c r="T62" i="14" s="1"/>
  <c r="V62" i="14" s="1"/>
  <c r="X62" i="14" s="1"/>
  <c r="Z62" i="14" s="1"/>
  <c r="AB62" i="14" s="1"/>
  <c r="AD62" i="14" s="1"/>
  <c r="AF62" i="14" s="1"/>
  <c r="AH62" i="14" s="1"/>
  <c r="E65" i="19"/>
  <c r="C65" i="15"/>
  <c r="C65" i="14" s="1"/>
  <c r="E65" i="14" s="1"/>
  <c r="G65" i="14" s="1"/>
  <c r="I65" i="14" s="1"/>
  <c r="K65" i="14" s="1"/>
  <c r="M65" i="14" s="1"/>
  <c r="O65" i="14" s="1"/>
  <c r="Q65" i="14" s="1"/>
  <c r="S65" i="14" s="1"/>
  <c r="U65" i="14" s="1"/>
  <c r="W65" i="14" s="1"/>
  <c r="Y65" i="14" s="1"/>
  <c r="AA65" i="14" s="1"/>
  <c r="AC65" i="14" s="1"/>
  <c r="AE65" i="14" s="1"/>
  <c r="AG65" i="14" s="1"/>
  <c r="E56" i="19"/>
  <c r="C56" i="15"/>
  <c r="C56" i="14" s="1"/>
  <c r="E56" i="14" s="1"/>
  <c r="G56" i="14" s="1"/>
  <c r="I56" i="14" s="1"/>
  <c r="K56" i="14" s="1"/>
  <c r="M56" i="14" s="1"/>
  <c r="O56" i="14" s="1"/>
  <c r="Q56" i="14" s="1"/>
  <c r="S56" i="14" s="1"/>
  <c r="U56" i="14" s="1"/>
  <c r="W56" i="14" s="1"/>
  <c r="Y56" i="14" s="1"/>
  <c r="AA56" i="14" s="1"/>
  <c r="AC56" i="14" s="1"/>
  <c r="AE56" i="14" s="1"/>
  <c r="AG56" i="14" s="1"/>
  <c r="E24" i="19"/>
  <c r="C24" i="15"/>
  <c r="C24" i="14" s="1"/>
  <c r="E24" i="14" s="1"/>
  <c r="G24" i="14" s="1"/>
  <c r="I24" i="14" s="1"/>
  <c r="K24" i="14" s="1"/>
  <c r="F67" i="19"/>
  <c r="D67" i="15"/>
  <c r="D67" i="14" s="1"/>
  <c r="F67" i="14" s="1"/>
  <c r="H67" i="14" s="1"/>
  <c r="J67" i="14" s="1"/>
  <c r="L67" i="14" s="1"/>
  <c r="N67" i="14" s="1"/>
  <c r="P67" i="14" s="1"/>
  <c r="R67" i="14" s="1"/>
  <c r="T67" i="14" s="1"/>
  <c r="V67" i="14" s="1"/>
  <c r="X67" i="14" s="1"/>
  <c r="Z67" i="14" s="1"/>
  <c r="AB67" i="14" s="1"/>
  <c r="AD67" i="14" s="1"/>
  <c r="AF67" i="14" s="1"/>
  <c r="AH67" i="14" s="1"/>
  <c r="F35" i="19"/>
  <c r="D35" i="15"/>
  <c r="D35" i="14" s="1"/>
  <c r="F35" i="14" s="1"/>
  <c r="H35" i="14" s="1"/>
  <c r="J35" i="14" s="1"/>
  <c r="L35" i="14" s="1"/>
  <c r="N35" i="14" s="1"/>
  <c r="P35" i="14" s="1"/>
  <c r="R35" i="14" s="1"/>
  <c r="T35" i="14" s="1"/>
  <c r="V35" i="14" s="1"/>
  <c r="X35" i="14" s="1"/>
  <c r="Z35" i="14" s="1"/>
  <c r="AB35" i="14" s="1"/>
  <c r="AD35" i="14" s="1"/>
  <c r="AF35" i="14" s="1"/>
  <c r="AH35" i="14" s="1"/>
  <c r="F68" i="19"/>
  <c r="D68" i="15"/>
  <c r="D68" i="14" s="1"/>
  <c r="F68" i="14" s="1"/>
  <c r="H68" i="14" s="1"/>
  <c r="J68" i="14" s="1"/>
  <c r="L68" i="14" s="1"/>
  <c r="N68" i="14" s="1"/>
  <c r="P68" i="14" s="1"/>
  <c r="R68" i="14" s="1"/>
  <c r="T68" i="14" s="1"/>
  <c r="V68" i="14" s="1"/>
  <c r="X68" i="14" s="1"/>
  <c r="Z68" i="14" s="1"/>
  <c r="AB68" i="14" s="1"/>
  <c r="AD68" i="14" s="1"/>
  <c r="AF68" i="14" s="1"/>
  <c r="AH68" i="14" s="1"/>
  <c r="E47" i="19"/>
  <c r="C47" i="15"/>
  <c r="C47" i="14" s="1"/>
  <c r="E47" i="14" s="1"/>
  <c r="G47" i="14" s="1"/>
  <c r="I47" i="14" s="1"/>
  <c r="K47" i="14" s="1"/>
  <c r="M47" i="14" s="1"/>
  <c r="O47" i="14" s="1"/>
  <c r="Q47" i="14" s="1"/>
  <c r="S47" i="14" s="1"/>
  <c r="U47" i="14" s="1"/>
  <c r="W47" i="14" s="1"/>
  <c r="Y47" i="14" s="1"/>
  <c r="AA47" i="14" s="1"/>
  <c r="AC47" i="14" s="1"/>
  <c r="AE47" i="14" s="1"/>
  <c r="AG47" i="14" s="1"/>
  <c r="E15" i="19"/>
  <c r="C15" i="15"/>
  <c r="C15" i="14" s="1"/>
  <c r="E15" i="14" s="1"/>
  <c r="G15" i="14" s="1"/>
  <c r="I15" i="14" s="1"/>
  <c r="K15" i="14" s="1"/>
  <c r="F54" i="19"/>
  <c r="D54" i="15"/>
  <c r="D54" i="14" s="1"/>
  <c r="F54" i="14" s="1"/>
  <c r="H54" i="14" s="1"/>
  <c r="J54" i="14" s="1"/>
  <c r="L54" i="14" s="1"/>
  <c r="N54" i="14" s="1"/>
  <c r="P54" i="14" s="1"/>
  <c r="R54" i="14" s="1"/>
  <c r="T54" i="14" s="1"/>
  <c r="V54" i="14" s="1"/>
  <c r="X54" i="14" s="1"/>
  <c r="Z54" i="14" s="1"/>
  <c r="AB54" i="14" s="1"/>
  <c r="AD54" i="14" s="1"/>
  <c r="AF54" i="14" s="1"/>
  <c r="AH54" i="14" s="1"/>
  <c r="F22" i="19"/>
  <c r="D22" i="15"/>
  <c r="D22" i="14" s="1"/>
  <c r="F22" i="14" s="1"/>
  <c r="H22" i="14" s="1"/>
  <c r="J22" i="14" s="1"/>
  <c r="L22" i="14" s="1"/>
  <c r="N22" i="14" s="1"/>
  <c r="P22" i="14" s="1"/>
  <c r="R22" i="14" s="1"/>
  <c r="T22" i="14" s="1"/>
  <c r="V22" i="14" s="1"/>
  <c r="X22" i="14" s="1"/>
  <c r="Z22" i="14" s="1"/>
  <c r="AB22" i="14" s="1"/>
  <c r="AD22" i="14" s="1"/>
  <c r="AF22" i="14" s="1"/>
  <c r="AH22" i="14" s="1"/>
  <c r="E62" i="19"/>
  <c r="C62" i="15"/>
  <c r="C62" i="14" s="1"/>
  <c r="E62" i="14" s="1"/>
  <c r="G62" i="14" s="1"/>
  <c r="I62" i="14" s="1"/>
  <c r="K62" i="14" s="1"/>
  <c r="M62" i="14" s="1"/>
  <c r="O62" i="14" s="1"/>
  <c r="Q62" i="14" s="1"/>
  <c r="S62" i="14" s="1"/>
  <c r="U62" i="14" s="1"/>
  <c r="W62" i="14" s="1"/>
  <c r="Y62" i="14" s="1"/>
  <c r="AA62" i="14" s="1"/>
  <c r="AC62" i="14" s="1"/>
  <c r="AE62" i="14" s="1"/>
  <c r="AG62" i="14" s="1"/>
  <c r="E30" i="19"/>
  <c r="C30" i="15"/>
  <c r="C30" i="14" s="1"/>
  <c r="E30" i="14" s="1"/>
  <c r="G30" i="14" s="1"/>
  <c r="I30" i="14" s="1"/>
  <c r="K30" i="14" s="1"/>
  <c r="M30" i="14" s="1"/>
  <c r="O30" i="14" s="1"/>
  <c r="Q30" i="14" s="1"/>
  <c r="S30" i="14" s="1"/>
  <c r="U30" i="14" s="1"/>
  <c r="W30" i="14" s="1"/>
  <c r="Y30" i="14" s="1"/>
  <c r="AA30" i="14" s="1"/>
  <c r="AC30" i="14" s="1"/>
  <c r="AE30" i="14" s="1"/>
  <c r="AG30" i="14" s="1"/>
  <c r="F36" i="19"/>
  <c r="D36" i="15"/>
  <c r="D36" i="14" s="1"/>
  <c r="F36" i="14" s="1"/>
  <c r="H36" i="14" s="1"/>
  <c r="J36" i="14" s="1"/>
  <c r="L36" i="14" s="1"/>
  <c r="N36" i="14" s="1"/>
  <c r="P36" i="14" s="1"/>
  <c r="R36" i="14" s="1"/>
  <c r="T36" i="14" s="1"/>
  <c r="V36" i="14" s="1"/>
  <c r="X36" i="14" s="1"/>
  <c r="Z36" i="14" s="1"/>
  <c r="AB36" i="14" s="1"/>
  <c r="AD36" i="14" s="1"/>
  <c r="AF36" i="14" s="1"/>
  <c r="AH36" i="14" s="1"/>
  <c r="F45" i="19"/>
  <c r="D45" i="15"/>
  <c r="D45" i="14" s="1"/>
  <c r="F45" i="14" s="1"/>
  <c r="H45" i="14" s="1"/>
  <c r="J45" i="14" s="1"/>
  <c r="L45" i="14" s="1"/>
  <c r="N45" i="14" s="1"/>
  <c r="P45" i="14" s="1"/>
  <c r="R45" i="14" s="1"/>
  <c r="T45" i="14" s="1"/>
  <c r="V45" i="14" s="1"/>
  <c r="X45" i="14" s="1"/>
  <c r="Z45" i="14" s="1"/>
  <c r="AB45" i="14" s="1"/>
  <c r="AD45" i="14" s="1"/>
  <c r="AF45" i="14" s="1"/>
  <c r="AH45" i="14" s="1"/>
  <c r="F13" i="19"/>
  <c r="D13" i="15"/>
  <c r="D13" i="14" s="1"/>
  <c r="F13" i="14" s="1"/>
  <c r="H13" i="14" s="1"/>
  <c r="J13" i="14" s="1"/>
  <c r="L13" i="14" s="1"/>
  <c r="N13" i="14" s="1"/>
  <c r="P13" i="14" s="1"/>
  <c r="R13" i="14" s="1"/>
  <c r="T13" i="14" s="1"/>
  <c r="V13" i="14" s="1"/>
  <c r="X13" i="14" s="1"/>
  <c r="Z13" i="14" s="1"/>
  <c r="AB13" i="14" s="1"/>
  <c r="AD13" i="14" s="1"/>
  <c r="AF13" i="14" s="1"/>
  <c r="AH13" i="14" s="1"/>
  <c r="E57" i="19"/>
  <c r="C57" i="15"/>
  <c r="C57" i="14" s="1"/>
  <c r="E57" i="14" s="1"/>
  <c r="G57" i="14" s="1"/>
  <c r="I57" i="14" s="1"/>
  <c r="K57" i="14" s="1"/>
  <c r="M57" i="14" s="1"/>
  <c r="O57" i="14" s="1"/>
  <c r="Q57" i="14" s="1"/>
  <c r="S57" i="14" s="1"/>
  <c r="U57" i="14" s="1"/>
  <c r="W57" i="14" s="1"/>
  <c r="Y57" i="14" s="1"/>
  <c r="AA57" i="14" s="1"/>
  <c r="AC57" i="14" s="1"/>
  <c r="AE57" i="14" s="1"/>
  <c r="AG57" i="14" s="1"/>
  <c r="E25" i="19"/>
  <c r="C25" i="15"/>
  <c r="C25" i="14" s="1"/>
  <c r="E25" i="14" s="1"/>
  <c r="G25" i="14" s="1"/>
  <c r="I25" i="14" s="1"/>
  <c r="K25" i="14" s="1"/>
  <c r="M25" i="14" s="1"/>
  <c r="O25" i="14" s="1"/>
  <c r="Q25" i="14" s="1"/>
  <c r="S25" i="14" s="1"/>
  <c r="U25" i="14" s="1"/>
  <c r="W25" i="14" s="1"/>
  <c r="Y25" i="14" s="1"/>
  <c r="AA25" i="14" s="1"/>
  <c r="AC25" i="14" s="1"/>
  <c r="AE25" i="14" s="1"/>
  <c r="AG25" i="14" s="1"/>
  <c r="F11" i="19"/>
  <c r="D11" i="15"/>
  <c r="D11" i="14" s="1"/>
  <c r="F11" i="14" s="1"/>
  <c r="H11" i="14" s="1"/>
  <c r="J11" i="14" s="1"/>
  <c r="L11" i="14" s="1"/>
  <c r="N11" i="14" s="1"/>
  <c r="P11" i="14" s="1"/>
  <c r="R11" i="14" s="1"/>
  <c r="T11" i="14" s="1"/>
  <c r="V11" i="14" s="1"/>
  <c r="X11" i="14" s="1"/>
  <c r="Z11" i="14" s="1"/>
  <c r="AB11" i="14" s="1"/>
  <c r="AD11" i="14" s="1"/>
  <c r="AF11" i="14" s="1"/>
  <c r="AH11" i="14" s="1"/>
  <c r="F28" i="19"/>
  <c r="D28" i="15"/>
  <c r="D28" i="14" s="1"/>
  <c r="F28" i="14" s="1"/>
  <c r="H28" i="14" s="1"/>
  <c r="J28" i="14" s="1"/>
  <c r="L28" i="14" s="1"/>
  <c r="N28" i="14" s="1"/>
  <c r="P28" i="14" s="1"/>
  <c r="R28" i="14" s="1"/>
  <c r="T28" i="14" s="1"/>
  <c r="V28" i="14" s="1"/>
  <c r="X28" i="14" s="1"/>
  <c r="Z28" i="14" s="1"/>
  <c r="AB28" i="14" s="1"/>
  <c r="AD28" i="14" s="1"/>
  <c r="AF28" i="14" s="1"/>
  <c r="AH28" i="14" s="1"/>
  <c r="F21" i="19"/>
  <c r="D21" i="15"/>
  <c r="D21" i="14" s="1"/>
  <c r="F21" i="14" s="1"/>
  <c r="H21" i="14" s="1"/>
  <c r="J21" i="14" s="1"/>
  <c r="L21" i="14" s="1"/>
  <c r="N21" i="14" s="1"/>
  <c r="P21" i="14" s="1"/>
  <c r="R21" i="14" s="1"/>
  <c r="T21" i="14" s="1"/>
  <c r="V21" i="14" s="1"/>
  <c r="X21" i="14" s="1"/>
  <c r="Z21" i="14" s="1"/>
  <c r="AB21" i="14" s="1"/>
  <c r="AD21" i="14" s="1"/>
  <c r="AF21" i="14" s="1"/>
  <c r="AH21" i="14" s="1"/>
  <c r="E52" i="19"/>
  <c r="C52" i="15"/>
  <c r="C52" i="14" s="1"/>
  <c r="E52" i="14" s="1"/>
  <c r="G52" i="14" s="1"/>
  <c r="I52" i="14" s="1"/>
  <c r="K52" i="14" s="1"/>
  <c r="M52" i="14" s="1"/>
  <c r="O52" i="14" s="1"/>
  <c r="Q52" i="14" s="1"/>
  <c r="S52" i="14" s="1"/>
  <c r="U52" i="14" s="1"/>
  <c r="W52" i="14" s="1"/>
  <c r="Y52" i="14" s="1"/>
  <c r="AA52" i="14" s="1"/>
  <c r="AC52" i="14" s="1"/>
  <c r="AE52" i="14" s="1"/>
  <c r="AG52" i="14" s="1"/>
  <c r="E20" i="19"/>
  <c r="C20" i="15"/>
  <c r="C20" i="14" s="1"/>
  <c r="E20" i="14" s="1"/>
  <c r="G20" i="14" s="1"/>
  <c r="I20" i="14" s="1"/>
  <c r="K20" i="14" s="1"/>
  <c r="F63" i="19"/>
  <c r="D63" i="15"/>
  <c r="D63" i="14" s="1"/>
  <c r="F63" i="14" s="1"/>
  <c r="H63" i="14" s="1"/>
  <c r="J63" i="14" s="1"/>
  <c r="L63" i="14" s="1"/>
  <c r="N63" i="14" s="1"/>
  <c r="P63" i="14" s="1"/>
  <c r="R63" i="14" s="1"/>
  <c r="T63" i="14" s="1"/>
  <c r="V63" i="14" s="1"/>
  <c r="X63" i="14" s="1"/>
  <c r="Z63" i="14" s="1"/>
  <c r="AB63" i="14" s="1"/>
  <c r="AD63" i="14" s="1"/>
  <c r="AF63" i="14" s="1"/>
  <c r="AH63" i="14" s="1"/>
  <c r="F31" i="19"/>
  <c r="D31" i="15"/>
  <c r="D31" i="14" s="1"/>
  <c r="F31" i="14" s="1"/>
  <c r="H31" i="14" s="1"/>
  <c r="J31" i="14" s="1"/>
  <c r="L31" i="14" s="1"/>
  <c r="N31" i="14" s="1"/>
  <c r="P31" i="14" s="1"/>
  <c r="R31" i="14" s="1"/>
  <c r="T31" i="14" s="1"/>
  <c r="V31" i="14" s="1"/>
  <c r="X31" i="14" s="1"/>
  <c r="Z31" i="14" s="1"/>
  <c r="AB31" i="14" s="1"/>
  <c r="AD31" i="14" s="1"/>
  <c r="AF31" i="14" s="1"/>
  <c r="AH31" i="14" s="1"/>
  <c r="F48" i="19"/>
  <c r="D48" i="15"/>
  <c r="D48" i="14" s="1"/>
  <c r="F48" i="14" s="1"/>
  <c r="H48" i="14" s="1"/>
  <c r="J48" i="14" s="1"/>
  <c r="L48" i="14" s="1"/>
  <c r="N48" i="14" s="1"/>
  <c r="P48" i="14" s="1"/>
  <c r="R48" i="14" s="1"/>
  <c r="T48" i="14" s="1"/>
  <c r="V48" i="14" s="1"/>
  <c r="X48" i="14" s="1"/>
  <c r="Z48" i="14" s="1"/>
  <c r="AB48" i="14" s="1"/>
  <c r="AD48" i="14" s="1"/>
  <c r="AF48" i="14" s="1"/>
  <c r="AH48" i="14" s="1"/>
  <c r="E43" i="19"/>
  <c r="C43" i="15"/>
  <c r="C43" i="14" s="1"/>
  <c r="E43" i="14" s="1"/>
  <c r="G43" i="14" s="1"/>
  <c r="I43" i="14" s="1"/>
  <c r="K43" i="14" s="1"/>
  <c r="M43" i="14" s="1"/>
  <c r="O43" i="14" s="1"/>
  <c r="Q43" i="14" s="1"/>
  <c r="S43" i="14" s="1"/>
  <c r="U43" i="14" s="1"/>
  <c r="W43" i="14" s="1"/>
  <c r="Y43" i="14" s="1"/>
  <c r="AA43" i="14" s="1"/>
  <c r="AC43" i="14" s="1"/>
  <c r="AE43" i="14" s="1"/>
  <c r="AG43" i="14" s="1"/>
  <c r="E11" i="19"/>
  <c r="C11" i="15"/>
  <c r="C11" i="14" s="1"/>
  <c r="E11" i="14" s="1"/>
  <c r="G11" i="14" s="1"/>
  <c r="I11" i="14" s="1"/>
  <c r="K11" i="14" s="1"/>
  <c r="M11" i="14" s="1"/>
  <c r="O11" i="14" s="1"/>
  <c r="Q11" i="14" s="1"/>
  <c r="S11" i="14" s="1"/>
  <c r="U11" i="14" s="1"/>
  <c r="W11" i="14" s="1"/>
  <c r="Y11" i="14" s="1"/>
  <c r="AA11" i="14" s="1"/>
  <c r="AC11" i="14" s="1"/>
  <c r="AE11" i="14" s="1"/>
  <c r="AG11" i="14" s="1"/>
  <c r="F50" i="19"/>
  <c r="D50" i="15"/>
  <c r="D50" i="14" s="1"/>
  <c r="F50" i="14" s="1"/>
  <c r="H50" i="14" s="1"/>
  <c r="J50" i="14" s="1"/>
  <c r="L50" i="14" s="1"/>
  <c r="N50" i="14" s="1"/>
  <c r="P50" i="14" s="1"/>
  <c r="R50" i="14" s="1"/>
  <c r="T50" i="14" s="1"/>
  <c r="V50" i="14" s="1"/>
  <c r="X50" i="14" s="1"/>
  <c r="Z50" i="14" s="1"/>
  <c r="AB50" i="14" s="1"/>
  <c r="AD50" i="14" s="1"/>
  <c r="AF50" i="14" s="1"/>
  <c r="AH50" i="14" s="1"/>
  <c r="F18" i="19"/>
  <c r="D18" i="15"/>
  <c r="D18" i="14" s="1"/>
  <c r="F18" i="14" s="1"/>
  <c r="H18" i="14" s="1"/>
  <c r="J18" i="14" s="1"/>
  <c r="L18" i="14" s="1"/>
  <c r="N18" i="14" s="1"/>
  <c r="P18" i="14" s="1"/>
  <c r="R18" i="14" s="1"/>
  <c r="T18" i="14" s="1"/>
  <c r="V18" i="14" s="1"/>
  <c r="X18" i="14" s="1"/>
  <c r="Z18" i="14" s="1"/>
  <c r="AB18" i="14" s="1"/>
  <c r="AD18" i="14" s="1"/>
  <c r="AF18" i="14" s="1"/>
  <c r="AH18" i="14" s="1"/>
  <c r="E58" i="19"/>
  <c r="C58" i="15"/>
  <c r="C58" i="14" s="1"/>
  <c r="E58" i="14" s="1"/>
  <c r="G58" i="14" s="1"/>
  <c r="I58" i="14" s="1"/>
  <c r="K58" i="14" s="1"/>
  <c r="M58" i="14" s="1"/>
  <c r="O58" i="14" s="1"/>
  <c r="Q58" i="14" s="1"/>
  <c r="S58" i="14" s="1"/>
  <c r="U58" i="14" s="1"/>
  <c r="W58" i="14" s="1"/>
  <c r="Y58" i="14" s="1"/>
  <c r="AA58" i="14" s="1"/>
  <c r="AC58" i="14" s="1"/>
  <c r="AE58" i="14" s="1"/>
  <c r="AG58" i="14" s="1"/>
  <c r="E26" i="19"/>
  <c r="C26" i="15"/>
  <c r="C26" i="14" s="1"/>
  <c r="E26" i="14" s="1"/>
  <c r="G26" i="14" s="1"/>
  <c r="I26" i="14" s="1"/>
  <c r="K26" i="14" s="1"/>
  <c r="M26" i="14" s="1"/>
  <c r="O26" i="14" s="1"/>
  <c r="Q26" i="14" s="1"/>
  <c r="S26" i="14" s="1"/>
  <c r="U26" i="14" s="1"/>
  <c r="W26" i="14" s="1"/>
  <c r="Y26" i="14" s="1"/>
  <c r="AA26" i="14" s="1"/>
  <c r="AC26" i="14" s="1"/>
  <c r="AE26" i="14" s="1"/>
  <c r="AG26" i="14" s="1"/>
  <c r="F16" i="19"/>
  <c r="D16" i="15"/>
  <c r="D16" i="14" s="1"/>
  <c r="F16" i="14" s="1"/>
  <c r="H16" i="14" s="1"/>
  <c r="J16" i="14" s="1"/>
  <c r="L16" i="14" s="1"/>
  <c r="N16" i="14" s="1"/>
  <c r="P16" i="14" s="1"/>
  <c r="R16" i="14" s="1"/>
  <c r="T16" i="14" s="1"/>
  <c r="V16" i="14" s="1"/>
  <c r="X16" i="14" s="1"/>
  <c r="Z16" i="14" s="1"/>
  <c r="AB16" i="14" s="1"/>
  <c r="AD16" i="14" s="1"/>
  <c r="AF16" i="14" s="1"/>
  <c r="AH16" i="14" s="1"/>
  <c r="F41" i="19"/>
  <c r="D41" i="15"/>
  <c r="D41" i="14" s="1"/>
  <c r="F41" i="14" s="1"/>
  <c r="H41" i="14" s="1"/>
  <c r="J41" i="14" s="1"/>
  <c r="L41" i="14" s="1"/>
  <c r="N41" i="14" s="1"/>
  <c r="P41" i="14" s="1"/>
  <c r="R41" i="14" s="1"/>
  <c r="T41" i="14" s="1"/>
  <c r="V41" i="14" s="1"/>
  <c r="X41" i="14" s="1"/>
  <c r="Z41" i="14" s="1"/>
  <c r="AB41" i="14" s="1"/>
  <c r="AD41" i="14" s="1"/>
  <c r="AF41" i="14" s="1"/>
  <c r="AH41" i="14" s="1"/>
  <c r="F9" i="19"/>
  <c r="D9" i="15"/>
  <c r="D9" i="14" s="1"/>
  <c r="F9" i="14" s="1"/>
  <c r="H9" i="14" s="1"/>
  <c r="J9" i="14" s="1"/>
  <c r="L9" i="14" s="1"/>
  <c r="N9" i="14" s="1"/>
  <c r="P9" i="14" s="1"/>
  <c r="R9" i="14" s="1"/>
  <c r="T9" i="14" s="1"/>
  <c r="V9" i="14" s="1"/>
  <c r="X9" i="14" s="1"/>
  <c r="Z9" i="14" s="1"/>
  <c r="AB9" i="14" s="1"/>
  <c r="AD9" i="14" s="1"/>
  <c r="AF9" i="14" s="1"/>
  <c r="AH9" i="14" s="1"/>
  <c r="E53" i="19"/>
  <c r="C53" i="15"/>
  <c r="C53" i="14" s="1"/>
  <c r="E53" i="14" s="1"/>
  <c r="G53" i="14" s="1"/>
  <c r="I53" i="14" s="1"/>
  <c r="K53" i="14" s="1"/>
  <c r="M53" i="14" s="1"/>
  <c r="O53" i="14" s="1"/>
  <c r="Q53" i="14" s="1"/>
  <c r="S53" i="14" s="1"/>
  <c r="U53" i="14" s="1"/>
  <c r="W53" i="14" s="1"/>
  <c r="Y53" i="14" s="1"/>
  <c r="AA53" i="14" s="1"/>
  <c r="AC53" i="14" s="1"/>
  <c r="AE53" i="14" s="1"/>
  <c r="AG53" i="14" s="1"/>
  <c r="E21" i="19"/>
  <c r="C21" i="15"/>
  <c r="C21" i="14" s="1"/>
  <c r="E21" i="14" s="1"/>
  <c r="G21" i="14" s="1"/>
  <c r="I21" i="14" s="1"/>
  <c r="K21" i="14" s="1"/>
  <c r="F30" i="19"/>
  <c r="D30" i="15"/>
  <c r="D30" i="14" s="1"/>
  <c r="F30" i="14" s="1"/>
  <c r="H30" i="14" s="1"/>
  <c r="J30" i="14" s="1"/>
  <c r="L30" i="14" s="1"/>
  <c r="N30" i="14" s="1"/>
  <c r="P30" i="14" s="1"/>
  <c r="R30" i="14" s="1"/>
  <c r="T30" i="14" s="1"/>
  <c r="V30" i="14" s="1"/>
  <c r="X30" i="14" s="1"/>
  <c r="Z30" i="14" s="1"/>
  <c r="AB30" i="14" s="1"/>
  <c r="AD30" i="14" s="1"/>
  <c r="AF30" i="14" s="1"/>
  <c r="AH30" i="14" s="1"/>
  <c r="F64" i="19"/>
  <c r="D64" i="15"/>
  <c r="D64" i="14" s="1"/>
  <c r="F64" i="14" s="1"/>
  <c r="H64" i="14" s="1"/>
  <c r="J64" i="14" s="1"/>
  <c r="L64" i="14" s="1"/>
  <c r="N64" i="14" s="1"/>
  <c r="P64" i="14" s="1"/>
  <c r="R64" i="14" s="1"/>
  <c r="T64" i="14" s="1"/>
  <c r="V64" i="14" s="1"/>
  <c r="X64" i="14" s="1"/>
  <c r="Z64" i="14" s="1"/>
  <c r="AB64" i="14" s="1"/>
  <c r="AD64" i="14" s="1"/>
  <c r="AF64" i="14" s="1"/>
  <c r="AH64" i="14" s="1"/>
  <c r="E48" i="19"/>
  <c r="C48" i="15"/>
  <c r="C48" i="14" s="1"/>
  <c r="E48" i="14" s="1"/>
  <c r="G48" i="14" s="1"/>
  <c r="I48" i="14" s="1"/>
  <c r="K48" i="14" s="1"/>
  <c r="M48" i="14" s="1"/>
  <c r="O48" i="14" s="1"/>
  <c r="Q48" i="14" s="1"/>
  <c r="S48" i="14" s="1"/>
  <c r="U48" i="14" s="1"/>
  <c r="W48" i="14" s="1"/>
  <c r="Y48" i="14" s="1"/>
  <c r="AA48" i="14" s="1"/>
  <c r="AC48" i="14" s="1"/>
  <c r="AE48" i="14" s="1"/>
  <c r="AG48" i="14" s="1"/>
  <c r="E16" i="19"/>
  <c r="C16" i="15"/>
  <c r="C16" i="14" s="1"/>
  <c r="E16" i="14" s="1"/>
  <c r="G16" i="14" s="1"/>
  <c r="I16" i="14" s="1"/>
  <c r="K16" i="14" s="1"/>
  <c r="F59" i="19"/>
  <c r="D59" i="15"/>
  <c r="D59" i="14" s="1"/>
  <c r="F59" i="14" s="1"/>
  <c r="H59" i="14" s="1"/>
  <c r="J59" i="14" s="1"/>
  <c r="L59" i="14" s="1"/>
  <c r="N59" i="14" s="1"/>
  <c r="P59" i="14" s="1"/>
  <c r="R59" i="14" s="1"/>
  <c r="T59" i="14" s="1"/>
  <c r="V59" i="14" s="1"/>
  <c r="X59" i="14" s="1"/>
  <c r="Z59" i="14" s="1"/>
  <c r="AB59" i="14" s="1"/>
  <c r="AD59" i="14" s="1"/>
  <c r="AF59" i="14" s="1"/>
  <c r="AH59" i="14" s="1"/>
  <c r="F27" i="19"/>
  <c r="D27" i="15"/>
  <c r="D27" i="14" s="1"/>
  <c r="F27" i="14" s="1"/>
  <c r="H27" i="14" s="1"/>
  <c r="J27" i="14" s="1"/>
  <c r="L27" i="14" s="1"/>
  <c r="N27" i="14" s="1"/>
  <c r="P27" i="14" s="1"/>
  <c r="R27" i="14" s="1"/>
  <c r="T27" i="14" s="1"/>
  <c r="V27" i="14" s="1"/>
  <c r="X27" i="14" s="1"/>
  <c r="Z27" i="14" s="1"/>
  <c r="AB27" i="14" s="1"/>
  <c r="AD27" i="14" s="1"/>
  <c r="AF27" i="14" s="1"/>
  <c r="AH27" i="14" s="1"/>
  <c r="F20" i="19"/>
  <c r="D20" i="15"/>
  <c r="D20" i="14" s="1"/>
  <c r="F20" i="14" s="1"/>
  <c r="H20" i="14" s="1"/>
  <c r="J20" i="14" s="1"/>
  <c r="L20" i="14" s="1"/>
  <c r="N20" i="14" s="1"/>
  <c r="P20" i="14" s="1"/>
  <c r="R20" i="14" s="1"/>
  <c r="T20" i="14" s="1"/>
  <c r="V20" i="14" s="1"/>
  <c r="X20" i="14" s="1"/>
  <c r="Z20" i="14" s="1"/>
  <c r="AB20" i="14" s="1"/>
  <c r="AD20" i="14" s="1"/>
  <c r="AF20" i="14" s="1"/>
  <c r="AH20" i="14" s="1"/>
  <c r="E39" i="19"/>
  <c r="C39" i="15"/>
  <c r="C39" i="14" s="1"/>
  <c r="E39" i="14" s="1"/>
  <c r="G39" i="14" s="1"/>
  <c r="I39" i="14" s="1"/>
  <c r="K39" i="14" s="1"/>
  <c r="M39" i="14" s="1"/>
  <c r="O39" i="14" s="1"/>
  <c r="Q39" i="14" s="1"/>
  <c r="S39" i="14" s="1"/>
  <c r="U39" i="14" s="1"/>
  <c r="W39" i="14" s="1"/>
  <c r="Y39" i="14" s="1"/>
  <c r="AA39" i="14" s="1"/>
  <c r="AC39" i="14" s="1"/>
  <c r="AE39" i="14" s="1"/>
  <c r="AG39" i="14" s="1"/>
  <c r="E7" i="19"/>
  <c r="C7" i="15"/>
  <c r="C7" i="14" s="1"/>
  <c r="E7" i="14" s="1"/>
  <c r="G7" i="14" s="1"/>
  <c r="I7" i="14" s="1"/>
  <c r="K7" i="14" s="1"/>
  <c r="M7" i="14" s="1"/>
  <c r="O7" i="14" s="1"/>
  <c r="Q7" i="14" s="1"/>
  <c r="S7" i="14" s="1"/>
  <c r="U7" i="14" s="1"/>
  <c r="W7" i="14" s="1"/>
  <c r="Y7" i="14" s="1"/>
  <c r="AA7" i="14" s="1"/>
  <c r="AC7" i="14" s="1"/>
  <c r="AE7" i="14" s="1"/>
  <c r="AG7" i="14" s="1"/>
  <c r="F46" i="19"/>
  <c r="D46" i="15"/>
  <c r="D46" i="14" s="1"/>
  <c r="F46" i="14" s="1"/>
  <c r="H46" i="14" s="1"/>
  <c r="J46" i="14" s="1"/>
  <c r="L46" i="14" s="1"/>
  <c r="N46" i="14" s="1"/>
  <c r="P46" i="14" s="1"/>
  <c r="R46" i="14" s="1"/>
  <c r="T46" i="14" s="1"/>
  <c r="V46" i="14" s="1"/>
  <c r="X46" i="14" s="1"/>
  <c r="Z46" i="14" s="1"/>
  <c r="AB46" i="14" s="1"/>
  <c r="AD46" i="14" s="1"/>
  <c r="AF46" i="14" s="1"/>
  <c r="AH46" i="14" s="1"/>
  <c r="F14" i="19"/>
  <c r="D14" i="15"/>
  <c r="D14" i="14" s="1"/>
  <c r="F14" i="14" s="1"/>
  <c r="H14" i="14" s="1"/>
  <c r="J14" i="14" s="1"/>
  <c r="L14" i="14" s="1"/>
  <c r="N14" i="14" s="1"/>
  <c r="P14" i="14" s="1"/>
  <c r="R14" i="14" s="1"/>
  <c r="T14" i="14" s="1"/>
  <c r="V14" i="14" s="1"/>
  <c r="X14" i="14" s="1"/>
  <c r="Z14" i="14" s="1"/>
  <c r="AB14" i="14" s="1"/>
  <c r="AD14" i="14" s="1"/>
  <c r="AF14" i="14" s="1"/>
  <c r="AH14" i="14" s="1"/>
  <c r="E54" i="19"/>
  <c r="C54" i="15"/>
  <c r="C54" i="14" s="1"/>
  <c r="E54" i="14" s="1"/>
  <c r="G54" i="14" s="1"/>
  <c r="I54" i="14" s="1"/>
  <c r="K54" i="14" s="1"/>
  <c r="M54" i="14" s="1"/>
  <c r="O54" i="14" s="1"/>
  <c r="Q54" i="14" s="1"/>
  <c r="S54" i="14" s="1"/>
  <c r="U54" i="14" s="1"/>
  <c r="W54" i="14" s="1"/>
  <c r="Y54" i="14" s="1"/>
  <c r="AA54" i="14" s="1"/>
  <c r="AC54" i="14" s="1"/>
  <c r="AE54" i="14" s="1"/>
  <c r="AG54" i="14" s="1"/>
  <c r="E22" i="19"/>
  <c r="C22" i="15"/>
  <c r="C22" i="14" s="1"/>
  <c r="E22" i="14" s="1"/>
  <c r="G22" i="14" s="1"/>
  <c r="I22" i="14" s="1"/>
  <c r="K22" i="14" s="1"/>
  <c r="E3" i="19"/>
  <c r="C3" i="15"/>
  <c r="C3" i="14" s="1"/>
  <c r="E3" i="14" s="1"/>
  <c r="G3" i="14" s="1"/>
  <c r="I3" i="14" s="1"/>
  <c r="K3" i="14" s="1"/>
  <c r="M3" i="14" s="1"/>
  <c r="O3" i="14" s="1"/>
  <c r="Q3" i="14" s="1"/>
  <c r="S3" i="14" s="1"/>
  <c r="U3" i="14" s="1"/>
  <c r="W3" i="14" s="1"/>
  <c r="Y3" i="14" s="1"/>
  <c r="AA3" i="14" s="1"/>
  <c r="AC3" i="14" s="1"/>
  <c r="AE3" i="14" s="1"/>
  <c r="AG3" i="14" s="1"/>
  <c r="F37" i="19"/>
  <c r="D37" i="15"/>
  <c r="D37" i="14" s="1"/>
  <c r="F37" i="14" s="1"/>
  <c r="H37" i="14" s="1"/>
  <c r="J37" i="14" s="1"/>
  <c r="L37" i="14" s="1"/>
  <c r="N37" i="14" s="1"/>
  <c r="P37" i="14" s="1"/>
  <c r="R37" i="14" s="1"/>
  <c r="T37" i="14" s="1"/>
  <c r="V37" i="14" s="1"/>
  <c r="X37" i="14" s="1"/>
  <c r="Z37" i="14" s="1"/>
  <c r="AB37" i="14" s="1"/>
  <c r="AD37" i="14" s="1"/>
  <c r="AF37" i="14" s="1"/>
  <c r="AH37" i="14" s="1"/>
  <c r="F5" i="19"/>
  <c r="D5" i="15"/>
  <c r="D5" i="14" s="1"/>
  <c r="F5" i="14" s="1"/>
  <c r="H5" i="14" s="1"/>
  <c r="J5" i="14" s="1"/>
  <c r="L5" i="14" s="1"/>
  <c r="N5" i="14" s="1"/>
  <c r="P5" i="14" s="1"/>
  <c r="R5" i="14" s="1"/>
  <c r="T5" i="14" s="1"/>
  <c r="V5" i="14" s="1"/>
  <c r="X5" i="14" s="1"/>
  <c r="Z5" i="14" s="1"/>
  <c r="AB5" i="14" s="1"/>
  <c r="AD5" i="14" s="1"/>
  <c r="AF5" i="14" s="1"/>
  <c r="AH5" i="14" s="1"/>
  <c r="E49" i="19"/>
  <c r="C49" i="15"/>
  <c r="C49" i="14" s="1"/>
  <c r="E49" i="14" s="1"/>
  <c r="G49" i="14" s="1"/>
  <c r="I49" i="14" s="1"/>
  <c r="K49" i="14" s="1"/>
  <c r="M49" i="14" s="1"/>
  <c r="O49" i="14" s="1"/>
  <c r="Q49" i="14" s="1"/>
  <c r="S49" i="14" s="1"/>
  <c r="U49" i="14" s="1"/>
  <c r="W49" i="14" s="1"/>
  <c r="Y49" i="14" s="1"/>
  <c r="AA49" i="14" s="1"/>
  <c r="AC49" i="14" s="1"/>
  <c r="AE49" i="14" s="1"/>
  <c r="AG49" i="14" s="1"/>
  <c r="E17" i="19"/>
  <c r="C17" i="15"/>
  <c r="C17" i="14" s="1"/>
  <c r="E17" i="14" s="1"/>
  <c r="G17" i="14" s="1"/>
  <c r="I17" i="14" s="1"/>
  <c r="K17" i="14" s="1"/>
  <c r="E64" i="19"/>
  <c r="C64" i="15"/>
  <c r="C64" i="14" s="1"/>
  <c r="E64" i="14" s="1"/>
  <c r="G64" i="14" s="1"/>
  <c r="I64" i="14" s="1"/>
  <c r="K64" i="14" s="1"/>
  <c r="M64" i="14" s="1"/>
  <c r="O64" i="14" s="1"/>
  <c r="Q64" i="14" s="1"/>
  <c r="S64" i="14" s="1"/>
  <c r="U64" i="14" s="1"/>
  <c r="W64" i="14" s="1"/>
  <c r="Y64" i="14" s="1"/>
  <c r="AA64" i="14" s="1"/>
  <c r="AC64" i="14" s="1"/>
  <c r="AE64" i="14" s="1"/>
  <c r="AG64" i="14" s="1"/>
  <c r="E38" i="19"/>
  <c r="C38" i="15"/>
  <c r="C38" i="14" s="1"/>
  <c r="E38" i="14" s="1"/>
  <c r="G38" i="14" s="1"/>
  <c r="I38" i="14" s="1"/>
  <c r="K38" i="14" s="1"/>
  <c r="M38" i="14" s="1"/>
  <c r="O38" i="14" s="1"/>
  <c r="Q38" i="14" s="1"/>
  <c r="S38" i="14" s="1"/>
  <c r="U38" i="14" s="1"/>
  <c r="W38" i="14" s="1"/>
  <c r="Y38" i="14" s="1"/>
  <c r="AA38" i="14" s="1"/>
  <c r="AC38" i="14" s="1"/>
  <c r="AE38" i="14" s="1"/>
  <c r="AG38" i="14" s="1"/>
  <c r="F32" i="19"/>
  <c r="D32" i="15"/>
  <c r="D32" i="14" s="1"/>
  <c r="F32" i="14" s="1"/>
  <c r="H32" i="14" s="1"/>
  <c r="J32" i="14" s="1"/>
  <c r="L32" i="14" s="1"/>
  <c r="N32" i="14" s="1"/>
  <c r="P32" i="14" s="1"/>
  <c r="R32" i="14" s="1"/>
  <c r="T32" i="14" s="1"/>
  <c r="V32" i="14" s="1"/>
  <c r="X32" i="14" s="1"/>
  <c r="Z32" i="14" s="1"/>
  <c r="AB32" i="14" s="1"/>
  <c r="AD32" i="14" s="1"/>
  <c r="AF32" i="14" s="1"/>
  <c r="AH32" i="14" s="1"/>
  <c r="E44" i="19"/>
  <c r="C44" i="15"/>
  <c r="C44" i="14" s="1"/>
  <c r="E44" i="14" s="1"/>
  <c r="G44" i="14" s="1"/>
  <c r="I44" i="14" s="1"/>
  <c r="K44" i="14" s="1"/>
  <c r="M44" i="14" s="1"/>
  <c r="O44" i="14" s="1"/>
  <c r="Q44" i="14" s="1"/>
  <c r="S44" i="14" s="1"/>
  <c r="U44" i="14" s="1"/>
  <c r="W44" i="14" s="1"/>
  <c r="Y44" i="14" s="1"/>
  <c r="AA44" i="14" s="1"/>
  <c r="AC44" i="14" s="1"/>
  <c r="AE44" i="14" s="1"/>
  <c r="AG44" i="14" s="1"/>
  <c r="E12" i="19"/>
  <c r="C12" i="15"/>
  <c r="C12" i="14" s="1"/>
  <c r="E12" i="14" s="1"/>
  <c r="G12" i="14" s="1"/>
  <c r="I12" i="14" s="1"/>
  <c r="K12" i="14" s="1"/>
  <c r="M12" i="14" s="1"/>
  <c r="O12" i="14" s="1"/>
  <c r="Q12" i="14" s="1"/>
  <c r="S12" i="14" s="1"/>
  <c r="U12" i="14" s="1"/>
  <c r="W12" i="14" s="1"/>
  <c r="Y12" i="14" s="1"/>
  <c r="AA12" i="14" s="1"/>
  <c r="AC12" i="14" s="1"/>
  <c r="AE12" i="14" s="1"/>
  <c r="AG12" i="14" s="1"/>
  <c r="F55" i="19"/>
  <c r="D55" i="15"/>
  <c r="D55" i="14" s="1"/>
  <c r="F55" i="14" s="1"/>
  <c r="H55" i="14" s="1"/>
  <c r="J55" i="14" s="1"/>
  <c r="L55" i="14" s="1"/>
  <c r="N55" i="14" s="1"/>
  <c r="P55" i="14" s="1"/>
  <c r="R55" i="14" s="1"/>
  <c r="T55" i="14" s="1"/>
  <c r="V55" i="14" s="1"/>
  <c r="X55" i="14" s="1"/>
  <c r="Z55" i="14" s="1"/>
  <c r="AB55" i="14" s="1"/>
  <c r="AD55" i="14" s="1"/>
  <c r="AF55" i="14" s="1"/>
  <c r="AH55" i="14" s="1"/>
  <c r="F23" i="19"/>
  <c r="D23" i="15"/>
  <c r="D23" i="14" s="1"/>
  <c r="F23" i="14" s="1"/>
  <c r="H23" i="14" s="1"/>
  <c r="J23" i="14" s="1"/>
  <c r="L23" i="14" s="1"/>
  <c r="N23" i="14" s="1"/>
  <c r="P23" i="14" s="1"/>
  <c r="R23" i="14" s="1"/>
  <c r="T23" i="14" s="1"/>
  <c r="V23" i="14" s="1"/>
  <c r="X23" i="14" s="1"/>
  <c r="Z23" i="14" s="1"/>
  <c r="AB23" i="14" s="1"/>
  <c r="AD23" i="14" s="1"/>
  <c r="AF23" i="14" s="1"/>
  <c r="AH23" i="14" s="1"/>
  <c r="E67" i="19"/>
  <c r="C67" i="15"/>
  <c r="C67" i="14" s="1"/>
  <c r="E67" i="14" s="1"/>
  <c r="G67" i="14" s="1"/>
  <c r="I67" i="14" s="1"/>
  <c r="K67" i="14" s="1"/>
  <c r="M67" i="14" s="1"/>
  <c r="O67" i="14" s="1"/>
  <c r="Q67" i="14" s="1"/>
  <c r="S67" i="14" s="1"/>
  <c r="U67" i="14" s="1"/>
  <c r="W67" i="14" s="1"/>
  <c r="Y67" i="14" s="1"/>
  <c r="AA67" i="14" s="1"/>
  <c r="AC67" i="14" s="1"/>
  <c r="AE67" i="14" s="1"/>
  <c r="AG67" i="14" s="1"/>
  <c r="E35" i="19"/>
  <c r="C35" i="15"/>
  <c r="C35" i="14" s="1"/>
  <c r="E35" i="14" s="1"/>
  <c r="G35" i="14" s="1"/>
  <c r="I35" i="14" s="1"/>
  <c r="K35" i="14" s="1"/>
  <c r="M35" i="14" s="1"/>
  <c r="O35" i="14" s="1"/>
  <c r="Q35" i="14" s="1"/>
  <c r="S35" i="14" s="1"/>
  <c r="U35" i="14" s="1"/>
  <c r="W35" i="14" s="1"/>
  <c r="Y35" i="14" s="1"/>
  <c r="AA35" i="14" s="1"/>
  <c r="AC35" i="14" s="1"/>
  <c r="AE35" i="14" s="1"/>
  <c r="AG35" i="14" s="1"/>
  <c r="F40" i="19"/>
  <c r="D40" i="15"/>
  <c r="D40" i="14" s="1"/>
  <c r="F40" i="14" s="1"/>
  <c r="H40" i="14" s="1"/>
  <c r="J40" i="14" s="1"/>
  <c r="L40" i="14" s="1"/>
  <c r="N40" i="14" s="1"/>
  <c r="P40" i="14" s="1"/>
  <c r="R40" i="14" s="1"/>
  <c r="T40" i="14" s="1"/>
  <c r="V40" i="14" s="1"/>
  <c r="X40" i="14" s="1"/>
  <c r="Z40" i="14" s="1"/>
  <c r="AB40" i="14" s="1"/>
  <c r="AD40" i="14" s="1"/>
  <c r="AF40" i="14" s="1"/>
  <c r="AH40" i="14" s="1"/>
  <c r="F42" i="19"/>
  <c r="D42" i="15"/>
  <c r="D42" i="14" s="1"/>
  <c r="F42" i="14" s="1"/>
  <c r="H42" i="14" s="1"/>
  <c r="J42" i="14" s="1"/>
  <c r="L42" i="14" s="1"/>
  <c r="N42" i="14" s="1"/>
  <c r="P42" i="14" s="1"/>
  <c r="R42" i="14" s="1"/>
  <c r="T42" i="14" s="1"/>
  <c r="V42" i="14" s="1"/>
  <c r="X42" i="14" s="1"/>
  <c r="Z42" i="14" s="1"/>
  <c r="AB42" i="14" s="1"/>
  <c r="AD42" i="14" s="1"/>
  <c r="AF42" i="14" s="1"/>
  <c r="AH42" i="14" s="1"/>
  <c r="F10" i="19"/>
  <c r="D10" i="15"/>
  <c r="D10" i="14" s="1"/>
  <c r="F10" i="14" s="1"/>
  <c r="H10" i="14" s="1"/>
  <c r="J10" i="14" s="1"/>
  <c r="L10" i="14" s="1"/>
  <c r="N10" i="14" s="1"/>
  <c r="P10" i="14" s="1"/>
  <c r="R10" i="14" s="1"/>
  <c r="T10" i="14" s="1"/>
  <c r="V10" i="14" s="1"/>
  <c r="X10" i="14" s="1"/>
  <c r="Z10" i="14" s="1"/>
  <c r="AB10" i="14" s="1"/>
  <c r="AD10" i="14" s="1"/>
  <c r="AF10" i="14" s="1"/>
  <c r="AH10" i="14" s="1"/>
  <c r="E50" i="19"/>
  <c r="C50" i="15"/>
  <c r="C50" i="14" s="1"/>
  <c r="E50" i="14" s="1"/>
  <c r="G50" i="14" s="1"/>
  <c r="I50" i="14" s="1"/>
  <c r="K50" i="14" s="1"/>
  <c r="M50" i="14" s="1"/>
  <c r="O50" i="14" s="1"/>
  <c r="Q50" i="14" s="1"/>
  <c r="S50" i="14" s="1"/>
  <c r="U50" i="14" s="1"/>
  <c r="W50" i="14" s="1"/>
  <c r="Y50" i="14" s="1"/>
  <c r="AA50" i="14" s="1"/>
  <c r="AC50" i="14" s="1"/>
  <c r="AE50" i="14" s="1"/>
  <c r="AG50" i="14" s="1"/>
  <c r="E18" i="19"/>
  <c r="C18" i="15"/>
  <c r="C18" i="14" s="1"/>
  <c r="E18" i="14" s="1"/>
  <c r="G18" i="14" s="1"/>
  <c r="I18" i="14" s="1"/>
  <c r="K18" i="14" s="1"/>
  <c r="F65" i="19"/>
  <c r="D65" i="15"/>
  <c r="D65" i="14" s="1"/>
  <c r="F65" i="14" s="1"/>
  <c r="H65" i="14" s="1"/>
  <c r="J65" i="14" s="1"/>
  <c r="L65" i="14" s="1"/>
  <c r="N65" i="14" s="1"/>
  <c r="P65" i="14" s="1"/>
  <c r="R65" i="14" s="1"/>
  <c r="T65" i="14" s="1"/>
  <c r="V65" i="14" s="1"/>
  <c r="X65" i="14" s="1"/>
  <c r="Z65" i="14" s="1"/>
  <c r="AB65" i="14" s="1"/>
  <c r="AD65" i="14" s="1"/>
  <c r="AF65" i="14" s="1"/>
  <c r="AH65" i="14" s="1"/>
  <c r="F33" i="19"/>
  <c r="D33" i="15"/>
  <c r="D33" i="14" s="1"/>
  <c r="F33" i="14" s="1"/>
  <c r="H33" i="14" s="1"/>
  <c r="J33" i="14" s="1"/>
  <c r="L33" i="14" s="1"/>
  <c r="N33" i="14" s="1"/>
  <c r="P33" i="14" s="1"/>
  <c r="R33" i="14" s="1"/>
  <c r="T33" i="14" s="1"/>
  <c r="V33" i="14" s="1"/>
  <c r="X33" i="14" s="1"/>
  <c r="Z33" i="14" s="1"/>
  <c r="AB33" i="14" s="1"/>
  <c r="AD33" i="14" s="1"/>
  <c r="AF33" i="14" s="1"/>
  <c r="AH33" i="14" s="1"/>
  <c r="F52" i="19"/>
  <c r="D52" i="15"/>
  <c r="D52" i="14" s="1"/>
  <c r="F52" i="14" s="1"/>
  <c r="H52" i="14" s="1"/>
  <c r="J52" i="14" s="1"/>
  <c r="L52" i="14" s="1"/>
  <c r="N52" i="14" s="1"/>
  <c r="P52" i="14" s="1"/>
  <c r="R52" i="14" s="1"/>
  <c r="T52" i="14" s="1"/>
  <c r="V52" i="14" s="1"/>
  <c r="X52" i="14" s="1"/>
  <c r="Z52" i="14" s="1"/>
  <c r="AB52" i="14" s="1"/>
  <c r="AD52" i="14" s="1"/>
  <c r="AF52" i="14" s="1"/>
  <c r="AH52" i="14" s="1"/>
  <c r="E45" i="19"/>
  <c r="C45" i="15"/>
  <c r="C45" i="14" s="1"/>
  <c r="E45" i="14" s="1"/>
  <c r="G45" i="14" s="1"/>
  <c r="I45" i="14" s="1"/>
  <c r="K45" i="14" s="1"/>
  <c r="M45" i="14" s="1"/>
  <c r="O45" i="14" s="1"/>
  <c r="Q45" i="14" s="1"/>
  <c r="S45" i="14" s="1"/>
  <c r="U45" i="14" s="1"/>
  <c r="W45" i="14" s="1"/>
  <c r="Y45" i="14" s="1"/>
  <c r="AA45" i="14" s="1"/>
  <c r="AC45" i="14" s="1"/>
  <c r="AE45" i="14" s="1"/>
  <c r="AG45" i="14" s="1"/>
  <c r="E13" i="19"/>
  <c r="C13" i="15"/>
  <c r="C13" i="14" s="1"/>
  <c r="E13" i="14" s="1"/>
  <c r="G13" i="14" s="1"/>
  <c r="I13" i="14" s="1"/>
  <c r="K13" i="14" s="1"/>
  <c r="M13" i="14" s="1"/>
  <c r="O13" i="14" s="1"/>
  <c r="Q13" i="14" s="1"/>
  <c r="S13" i="14" s="1"/>
  <c r="U13" i="14" s="1"/>
  <c r="W13" i="14" s="1"/>
  <c r="Y13" i="14" s="1"/>
  <c r="AA13" i="14" s="1"/>
  <c r="AC13" i="14" s="1"/>
  <c r="AE13" i="14" s="1"/>
  <c r="AG13" i="14" s="1"/>
  <c r="F44" i="19"/>
  <c r="D44" i="15"/>
  <c r="D44" i="14" s="1"/>
  <c r="F44" i="14" s="1"/>
  <c r="H44" i="14" s="1"/>
  <c r="J44" i="14" s="1"/>
  <c r="L44" i="14" s="1"/>
  <c r="N44" i="14" s="1"/>
  <c r="P44" i="14" s="1"/>
  <c r="R44" i="14" s="1"/>
  <c r="T44" i="14" s="1"/>
  <c r="V44" i="14" s="1"/>
  <c r="X44" i="14" s="1"/>
  <c r="Z44" i="14" s="1"/>
  <c r="AB44" i="14" s="1"/>
  <c r="AD44" i="14" s="1"/>
  <c r="AF44" i="14" s="1"/>
  <c r="AH44" i="14" s="1"/>
  <c r="E6" i="19"/>
  <c r="C6" i="15"/>
  <c r="C6" i="14" s="1"/>
  <c r="E6" i="14" s="1"/>
  <c r="G6" i="14" s="1"/>
  <c r="I6" i="14" s="1"/>
  <c r="K6" i="14" s="1"/>
  <c r="M6" i="14" s="1"/>
  <c r="O6" i="14" s="1"/>
  <c r="Q6" i="14" s="1"/>
  <c r="S6" i="14" s="1"/>
  <c r="U6" i="14" s="1"/>
  <c r="W6" i="14" s="1"/>
  <c r="Y6" i="14" s="1"/>
  <c r="AA6" i="14" s="1"/>
  <c r="AC6" i="14" s="1"/>
  <c r="AE6" i="14" s="1"/>
  <c r="AG6" i="14" s="1"/>
  <c r="F4" i="19"/>
  <c r="D4" i="15"/>
  <c r="D4" i="14" s="1"/>
  <c r="F4" i="14" s="1"/>
  <c r="H4" i="14" s="1"/>
  <c r="J4" i="14" s="1"/>
  <c r="L4" i="14" s="1"/>
  <c r="N4" i="14" s="1"/>
  <c r="P4" i="14" s="1"/>
  <c r="R4" i="14" s="1"/>
  <c r="T4" i="14" s="1"/>
  <c r="V4" i="14" s="1"/>
  <c r="X4" i="14" s="1"/>
  <c r="Z4" i="14" s="1"/>
  <c r="AB4" i="14" s="1"/>
  <c r="AD4" i="14" s="1"/>
  <c r="AF4" i="14" s="1"/>
  <c r="AH4" i="14" s="1"/>
  <c r="E40" i="19"/>
  <c r="C40" i="15"/>
  <c r="C40" i="14" s="1"/>
  <c r="E40" i="14" s="1"/>
  <c r="G40" i="14" s="1"/>
  <c r="I40" i="14" s="1"/>
  <c r="K40" i="14" s="1"/>
  <c r="M40" i="14" s="1"/>
  <c r="O40" i="14" s="1"/>
  <c r="Q40" i="14" s="1"/>
  <c r="S40" i="14" s="1"/>
  <c r="U40" i="14" s="1"/>
  <c r="W40" i="14" s="1"/>
  <c r="Y40" i="14" s="1"/>
  <c r="AA40" i="14" s="1"/>
  <c r="AC40" i="14" s="1"/>
  <c r="AE40" i="14" s="1"/>
  <c r="AG40" i="14" s="1"/>
  <c r="E8" i="19"/>
  <c r="C8" i="15"/>
  <c r="C8" i="14" s="1"/>
  <c r="E8" i="14" s="1"/>
  <c r="G8" i="14" s="1"/>
  <c r="I8" i="14" s="1"/>
  <c r="K8" i="14" s="1"/>
  <c r="M8" i="14" s="1"/>
  <c r="O8" i="14" s="1"/>
  <c r="Q8" i="14" s="1"/>
  <c r="S8" i="14" s="1"/>
  <c r="U8" i="14" s="1"/>
  <c r="W8" i="14" s="1"/>
  <c r="Y8" i="14" s="1"/>
  <c r="AA8" i="14" s="1"/>
  <c r="AC8" i="14" s="1"/>
  <c r="AE8" i="14" s="1"/>
  <c r="AG8" i="14" s="1"/>
  <c r="F51" i="19"/>
  <c r="D51" i="15"/>
  <c r="D51" i="14" s="1"/>
  <c r="F51" i="14" s="1"/>
  <c r="H51" i="14" s="1"/>
  <c r="J51" i="14" s="1"/>
  <c r="L51" i="14" s="1"/>
  <c r="N51" i="14" s="1"/>
  <c r="P51" i="14" s="1"/>
  <c r="R51" i="14" s="1"/>
  <c r="T51" i="14" s="1"/>
  <c r="V51" i="14" s="1"/>
  <c r="X51" i="14" s="1"/>
  <c r="Z51" i="14" s="1"/>
  <c r="AB51" i="14" s="1"/>
  <c r="AD51" i="14" s="1"/>
  <c r="AF51" i="14" s="1"/>
  <c r="AH51" i="14" s="1"/>
  <c r="F19" i="19"/>
  <c r="D19" i="15"/>
  <c r="D19" i="14" s="1"/>
  <c r="F19" i="14" s="1"/>
  <c r="H19" i="14" s="1"/>
  <c r="J19" i="14" s="1"/>
  <c r="L19" i="14" s="1"/>
  <c r="N19" i="14" s="1"/>
  <c r="P19" i="14" s="1"/>
  <c r="R19" i="14" s="1"/>
  <c r="T19" i="14" s="1"/>
  <c r="V19" i="14" s="1"/>
  <c r="X19" i="14" s="1"/>
  <c r="Z19" i="14" s="1"/>
  <c r="AB19" i="14" s="1"/>
  <c r="AD19" i="14" s="1"/>
  <c r="AF19" i="14" s="1"/>
  <c r="AH19" i="14" s="1"/>
  <c r="E63" i="19"/>
  <c r="C63" i="15"/>
  <c r="C63" i="14" s="1"/>
  <c r="E63" i="14" s="1"/>
  <c r="G63" i="14" s="1"/>
  <c r="I63" i="14" s="1"/>
  <c r="K63" i="14" s="1"/>
  <c r="M63" i="14" s="1"/>
  <c r="O63" i="14" s="1"/>
  <c r="Q63" i="14" s="1"/>
  <c r="S63" i="14" s="1"/>
  <c r="U63" i="14" s="1"/>
  <c r="W63" i="14" s="1"/>
  <c r="Y63" i="14" s="1"/>
  <c r="AA63" i="14" s="1"/>
  <c r="AC63" i="14" s="1"/>
  <c r="AE63" i="14" s="1"/>
  <c r="AG63" i="14" s="1"/>
  <c r="E31" i="19"/>
  <c r="C31" i="15"/>
  <c r="C31" i="14" s="1"/>
  <c r="E31" i="14" s="1"/>
  <c r="G31" i="14" s="1"/>
  <c r="I31" i="14" s="1"/>
  <c r="K31" i="14" s="1"/>
  <c r="M31" i="14" s="1"/>
  <c r="O31" i="14" s="1"/>
  <c r="Q31" i="14" s="1"/>
  <c r="S31" i="14" s="1"/>
  <c r="U31" i="14" s="1"/>
  <c r="W31" i="14" s="1"/>
  <c r="Y31" i="14" s="1"/>
  <c r="AA31" i="14" s="1"/>
  <c r="AC31" i="14" s="1"/>
  <c r="AE31" i="14" s="1"/>
  <c r="AG31" i="14" s="1"/>
  <c r="F8" i="19"/>
  <c r="D8" i="15"/>
  <c r="D8" i="14" s="1"/>
  <c r="F8" i="14" s="1"/>
  <c r="H8" i="14" s="1"/>
  <c r="J8" i="14" s="1"/>
  <c r="L8" i="14" s="1"/>
  <c r="N8" i="14" s="1"/>
  <c r="P8" i="14" s="1"/>
  <c r="R8" i="14" s="1"/>
  <c r="T8" i="14" s="1"/>
  <c r="V8" i="14" s="1"/>
  <c r="X8" i="14" s="1"/>
  <c r="Z8" i="14" s="1"/>
  <c r="AB8" i="14" s="1"/>
  <c r="AD8" i="14" s="1"/>
  <c r="AF8" i="14" s="1"/>
  <c r="AH8" i="14" s="1"/>
  <c r="F38" i="19"/>
  <c r="D38" i="15"/>
  <c r="D38" i="14" s="1"/>
  <c r="F38" i="14" s="1"/>
  <c r="H38" i="14" s="1"/>
  <c r="J38" i="14" s="1"/>
  <c r="L38" i="14" s="1"/>
  <c r="N38" i="14" s="1"/>
  <c r="P38" i="14" s="1"/>
  <c r="R38" i="14" s="1"/>
  <c r="T38" i="14" s="1"/>
  <c r="V38" i="14" s="1"/>
  <c r="X38" i="14" s="1"/>
  <c r="Z38" i="14" s="1"/>
  <c r="AB38" i="14" s="1"/>
  <c r="AD38" i="14" s="1"/>
  <c r="AF38" i="14" s="1"/>
  <c r="AH38" i="14" s="1"/>
  <c r="F6" i="19"/>
  <c r="D6" i="15"/>
  <c r="D6" i="14" s="1"/>
  <c r="F6" i="14" s="1"/>
  <c r="H6" i="14" s="1"/>
  <c r="J6" i="14" s="1"/>
  <c r="L6" i="14" s="1"/>
  <c r="N6" i="14" s="1"/>
  <c r="P6" i="14" s="1"/>
  <c r="R6" i="14" s="1"/>
  <c r="T6" i="14" s="1"/>
  <c r="V6" i="14" s="1"/>
  <c r="X6" i="14" s="1"/>
  <c r="Z6" i="14" s="1"/>
  <c r="AB6" i="14" s="1"/>
  <c r="AD6" i="14" s="1"/>
  <c r="AF6" i="14" s="1"/>
  <c r="AH6" i="14" s="1"/>
  <c r="E46" i="19"/>
  <c r="C46" i="15"/>
  <c r="C46" i="14" s="1"/>
  <c r="E46" i="14" s="1"/>
  <c r="G46" i="14" s="1"/>
  <c r="I46" i="14" s="1"/>
  <c r="K46" i="14" s="1"/>
  <c r="M46" i="14" s="1"/>
  <c r="O46" i="14" s="1"/>
  <c r="Q46" i="14" s="1"/>
  <c r="S46" i="14" s="1"/>
  <c r="U46" i="14" s="1"/>
  <c r="W46" i="14" s="1"/>
  <c r="Y46" i="14" s="1"/>
  <c r="AA46" i="14" s="1"/>
  <c r="AC46" i="14" s="1"/>
  <c r="AE46" i="14" s="1"/>
  <c r="AG46" i="14" s="1"/>
  <c r="E14" i="19"/>
  <c r="C14" i="15"/>
  <c r="C14" i="14" s="1"/>
  <c r="E14" i="14" s="1"/>
  <c r="G14" i="14" s="1"/>
  <c r="I14" i="14" s="1"/>
  <c r="K14" i="14" s="1"/>
  <c r="F61" i="19"/>
  <c r="D61" i="15"/>
  <c r="D61" i="14" s="1"/>
  <c r="F61" i="14" s="1"/>
  <c r="H61" i="14" s="1"/>
  <c r="J61" i="14" s="1"/>
  <c r="L61" i="14" s="1"/>
  <c r="N61" i="14" s="1"/>
  <c r="P61" i="14" s="1"/>
  <c r="R61" i="14" s="1"/>
  <c r="T61" i="14" s="1"/>
  <c r="V61" i="14" s="1"/>
  <c r="X61" i="14" s="1"/>
  <c r="Z61" i="14" s="1"/>
  <c r="AB61" i="14" s="1"/>
  <c r="AD61" i="14" s="1"/>
  <c r="AF61" i="14" s="1"/>
  <c r="AH61" i="14" s="1"/>
  <c r="F29" i="19"/>
  <c r="D29" i="15"/>
  <c r="D29" i="14" s="1"/>
  <c r="F29" i="14" s="1"/>
  <c r="H29" i="14" s="1"/>
  <c r="J29" i="14" s="1"/>
  <c r="L29" i="14" s="1"/>
  <c r="N29" i="14" s="1"/>
  <c r="P29" i="14" s="1"/>
  <c r="R29" i="14" s="1"/>
  <c r="T29" i="14" s="1"/>
  <c r="V29" i="14" s="1"/>
  <c r="X29" i="14" s="1"/>
  <c r="Z29" i="14" s="1"/>
  <c r="AB29" i="14" s="1"/>
  <c r="AD29" i="14" s="1"/>
  <c r="AF29" i="14" s="1"/>
  <c r="AH29" i="14" s="1"/>
  <c r="F24" i="19"/>
  <c r="D24" i="15"/>
  <c r="D24" i="14" s="1"/>
  <c r="F24" i="14" s="1"/>
  <c r="H24" i="14" s="1"/>
  <c r="J24" i="14" s="1"/>
  <c r="L24" i="14" s="1"/>
  <c r="N24" i="14" s="1"/>
  <c r="P24" i="14" s="1"/>
  <c r="R24" i="14" s="1"/>
  <c r="T24" i="14" s="1"/>
  <c r="V24" i="14" s="1"/>
  <c r="X24" i="14" s="1"/>
  <c r="Z24" i="14" s="1"/>
  <c r="AB24" i="14" s="1"/>
  <c r="AD24" i="14" s="1"/>
  <c r="AF24" i="14" s="1"/>
  <c r="AH24" i="14" s="1"/>
  <c r="E41" i="19"/>
  <c r="C41" i="15"/>
  <c r="C41" i="14" s="1"/>
  <c r="E41" i="14" s="1"/>
  <c r="G41" i="14" s="1"/>
  <c r="I41" i="14" s="1"/>
  <c r="K41" i="14" s="1"/>
  <c r="M41" i="14" s="1"/>
  <c r="O41" i="14" s="1"/>
  <c r="Q41" i="14" s="1"/>
  <c r="S41" i="14" s="1"/>
  <c r="U41" i="14" s="1"/>
  <c r="W41" i="14" s="1"/>
  <c r="Y41" i="14" s="1"/>
  <c r="AA41" i="14" s="1"/>
  <c r="AC41" i="14" s="1"/>
  <c r="AE41" i="14" s="1"/>
  <c r="AG41" i="14" s="1"/>
  <c r="E9" i="19"/>
  <c r="C9" i="15"/>
  <c r="C9" i="14" s="1"/>
  <c r="E9" i="14" s="1"/>
  <c r="G9" i="14" s="1"/>
  <c r="I9" i="14" s="1"/>
  <c r="K9" i="14" s="1"/>
  <c r="M9" i="14" s="1"/>
  <c r="O9" i="14" s="1"/>
  <c r="Q9" i="14" s="1"/>
  <c r="S9" i="14" s="1"/>
  <c r="U9" i="14" s="1"/>
  <c r="W9" i="14" s="1"/>
  <c r="Y9" i="14" s="1"/>
  <c r="AA9" i="14" s="1"/>
  <c r="AC9" i="14" s="1"/>
  <c r="AE9" i="14" s="1"/>
  <c r="AG9" i="14" s="1"/>
  <c r="E55" i="19"/>
  <c r="C55" i="15"/>
  <c r="C55" i="14" s="1"/>
  <c r="E55" i="14" s="1"/>
  <c r="G55" i="14" s="1"/>
  <c r="I55" i="14" s="1"/>
  <c r="K55" i="14" s="1"/>
  <c r="M55" i="14" s="1"/>
  <c r="O55" i="14" s="1"/>
  <c r="Q55" i="14" s="1"/>
  <c r="S55" i="14" s="1"/>
  <c r="U55" i="14" s="1"/>
  <c r="W55" i="14" s="1"/>
  <c r="Y55" i="14" s="1"/>
  <c r="AA55" i="14" s="1"/>
  <c r="AC55" i="14" s="1"/>
  <c r="AE55" i="14" s="1"/>
  <c r="AG55" i="14" s="1"/>
  <c r="E68" i="19"/>
  <c r="C68" i="15"/>
  <c r="C68" i="14" s="1"/>
  <c r="E68" i="14" s="1"/>
  <c r="G68" i="14" s="1"/>
  <c r="I68" i="14" s="1"/>
  <c r="K68" i="14" s="1"/>
  <c r="M68" i="14" s="1"/>
  <c r="O68" i="14" s="1"/>
  <c r="Q68" i="14" s="1"/>
  <c r="S68" i="14" s="1"/>
  <c r="U68" i="14" s="1"/>
  <c r="W68" i="14" s="1"/>
  <c r="Y68" i="14" s="1"/>
  <c r="AA68" i="14" s="1"/>
  <c r="AC68" i="14" s="1"/>
  <c r="AE68" i="14" s="1"/>
  <c r="AG68" i="14" s="1"/>
  <c r="E36" i="19"/>
  <c r="C36" i="15"/>
  <c r="C36" i="14" s="1"/>
  <c r="E36" i="14" s="1"/>
  <c r="G36" i="14" s="1"/>
  <c r="I36" i="14" s="1"/>
  <c r="K36" i="14" s="1"/>
  <c r="M36" i="14" s="1"/>
  <c r="O36" i="14" s="1"/>
  <c r="Q36" i="14" s="1"/>
  <c r="S36" i="14" s="1"/>
  <c r="U36" i="14" s="1"/>
  <c r="W36" i="14" s="1"/>
  <c r="Y36" i="14" s="1"/>
  <c r="AA36" i="14" s="1"/>
  <c r="AC36" i="14" s="1"/>
  <c r="AE36" i="14" s="1"/>
  <c r="AG36" i="14" s="1"/>
  <c r="E4" i="19"/>
  <c r="C4" i="15"/>
  <c r="C4" i="14" s="1"/>
  <c r="E4" i="14" s="1"/>
  <c r="G4" i="14" s="1"/>
  <c r="I4" i="14" s="1"/>
  <c r="K4" i="14" s="1"/>
  <c r="M4" i="14" s="1"/>
  <c r="O4" i="14" s="1"/>
  <c r="Q4" i="14" s="1"/>
  <c r="S4" i="14" s="1"/>
  <c r="U4" i="14" s="1"/>
  <c r="W4" i="14" s="1"/>
  <c r="Y4" i="14" s="1"/>
  <c r="AA4" i="14" s="1"/>
  <c r="AC4" i="14" s="1"/>
  <c r="AE4" i="14" s="1"/>
  <c r="AG4" i="14" s="1"/>
  <c r="F47" i="19"/>
  <c r="D47" i="15"/>
  <c r="D47" i="14" s="1"/>
  <c r="F47" i="14" s="1"/>
  <c r="H47" i="14" s="1"/>
  <c r="J47" i="14" s="1"/>
  <c r="L47" i="14" s="1"/>
  <c r="N47" i="14" s="1"/>
  <c r="P47" i="14" s="1"/>
  <c r="R47" i="14" s="1"/>
  <c r="T47" i="14" s="1"/>
  <c r="V47" i="14" s="1"/>
  <c r="X47" i="14" s="1"/>
  <c r="Z47" i="14" s="1"/>
  <c r="AB47" i="14" s="1"/>
  <c r="AD47" i="14" s="1"/>
  <c r="AF47" i="14" s="1"/>
  <c r="AH47" i="14" s="1"/>
  <c r="F15" i="19"/>
  <c r="D15" i="15"/>
  <c r="D15" i="14" s="1"/>
  <c r="F15" i="14" s="1"/>
  <c r="H15" i="14" s="1"/>
  <c r="J15" i="14" s="1"/>
  <c r="L15" i="14" s="1"/>
  <c r="N15" i="14" s="1"/>
  <c r="P15" i="14" s="1"/>
  <c r="R15" i="14" s="1"/>
  <c r="T15" i="14" s="1"/>
  <c r="V15" i="14" s="1"/>
  <c r="X15" i="14" s="1"/>
  <c r="Z15" i="14" s="1"/>
  <c r="AB15" i="14" s="1"/>
  <c r="AD15" i="14" s="1"/>
  <c r="AF15" i="14" s="1"/>
  <c r="AH15" i="14" s="1"/>
  <c r="E59" i="19"/>
  <c r="C59" i="15"/>
  <c r="C59" i="14" s="1"/>
  <c r="E59" i="14" s="1"/>
  <c r="G59" i="14" s="1"/>
  <c r="I59" i="14" s="1"/>
  <c r="K59" i="14" s="1"/>
  <c r="M59" i="14" s="1"/>
  <c r="O59" i="14" s="1"/>
  <c r="Q59" i="14" s="1"/>
  <c r="S59" i="14" s="1"/>
  <c r="U59" i="14" s="1"/>
  <c r="W59" i="14" s="1"/>
  <c r="Y59" i="14" s="1"/>
  <c r="AA59" i="14" s="1"/>
  <c r="AC59" i="14" s="1"/>
  <c r="AE59" i="14" s="1"/>
  <c r="AG59" i="14" s="1"/>
  <c r="E27" i="19"/>
  <c r="C27" i="15"/>
  <c r="C27" i="14" s="1"/>
  <c r="E27" i="14" s="1"/>
  <c r="G27" i="14" s="1"/>
  <c r="I27" i="14" s="1"/>
  <c r="K27" i="14" s="1"/>
  <c r="M27" i="14" s="1"/>
  <c r="O27" i="14" s="1"/>
  <c r="Q27" i="14" s="1"/>
  <c r="S27" i="14" s="1"/>
  <c r="U27" i="14" s="1"/>
  <c r="W27" i="14" s="1"/>
  <c r="Y27" i="14" s="1"/>
  <c r="AA27" i="14" s="1"/>
  <c r="AC27" i="14" s="1"/>
  <c r="AE27" i="14" s="1"/>
  <c r="AG27" i="14" s="1"/>
  <c r="F66" i="19"/>
  <c r="D66" i="15"/>
  <c r="D66" i="14" s="1"/>
  <c r="F66" i="14" s="1"/>
  <c r="H66" i="14" s="1"/>
  <c r="J66" i="14" s="1"/>
  <c r="L66" i="14" s="1"/>
  <c r="N66" i="14" s="1"/>
  <c r="P66" i="14" s="1"/>
  <c r="R66" i="14" s="1"/>
  <c r="T66" i="14" s="1"/>
  <c r="V66" i="14" s="1"/>
  <c r="X66" i="14" s="1"/>
  <c r="Z66" i="14" s="1"/>
  <c r="AB66" i="14" s="1"/>
  <c r="AD66" i="14" s="1"/>
  <c r="AF66" i="14" s="1"/>
  <c r="AH66" i="14" s="1"/>
  <c r="F34" i="19"/>
  <c r="D34" i="15"/>
  <c r="D34" i="14" s="1"/>
  <c r="F34" i="14" s="1"/>
  <c r="H34" i="14" s="1"/>
  <c r="J34" i="14" s="1"/>
  <c r="L34" i="14" s="1"/>
  <c r="N34" i="14" s="1"/>
  <c r="P34" i="14" s="1"/>
  <c r="R34" i="14" s="1"/>
  <c r="T34" i="14" s="1"/>
  <c r="V34" i="14" s="1"/>
  <c r="X34" i="14" s="1"/>
  <c r="Z34" i="14" s="1"/>
  <c r="AB34" i="14" s="1"/>
  <c r="AD34" i="14" s="1"/>
  <c r="AF34" i="14" s="1"/>
  <c r="AH34" i="14" s="1"/>
  <c r="F60" i="19"/>
  <c r="D60" i="15"/>
  <c r="D60" i="14" s="1"/>
  <c r="F60" i="14" s="1"/>
  <c r="H60" i="14" s="1"/>
  <c r="J60" i="14" s="1"/>
  <c r="L60" i="14" s="1"/>
  <c r="N60" i="14" s="1"/>
  <c r="P60" i="14" s="1"/>
  <c r="R60" i="14" s="1"/>
  <c r="T60" i="14" s="1"/>
  <c r="V60" i="14" s="1"/>
  <c r="X60" i="14" s="1"/>
  <c r="Z60" i="14" s="1"/>
  <c r="AB60" i="14" s="1"/>
  <c r="AD60" i="14" s="1"/>
  <c r="AF60" i="14" s="1"/>
  <c r="AH60" i="14" s="1"/>
  <c r="E42" i="19"/>
  <c r="C42" i="15"/>
  <c r="C42" i="14" s="1"/>
  <c r="E42" i="14" s="1"/>
  <c r="G42" i="14" s="1"/>
  <c r="I42" i="14" s="1"/>
  <c r="K42" i="14" s="1"/>
  <c r="M42" i="14" s="1"/>
  <c r="O42" i="14" s="1"/>
  <c r="Q42" i="14" s="1"/>
  <c r="S42" i="14" s="1"/>
  <c r="U42" i="14" s="1"/>
  <c r="W42" i="14" s="1"/>
  <c r="Y42" i="14" s="1"/>
  <c r="AA42" i="14" s="1"/>
  <c r="AC42" i="14" s="1"/>
  <c r="AE42" i="14" s="1"/>
  <c r="AG42" i="14" s="1"/>
  <c r="E10" i="19"/>
  <c r="C10" i="15"/>
  <c r="C10" i="14" s="1"/>
  <c r="E10" i="14" s="1"/>
  <c r="G10" i="14" s="1"/>
  <c r="I10" i="14" s="1"/>
  <c r="K10" i="14" s="1"/>
  <c r="M10" i="14" s="1"/>
  <c r="O10" i="14" s="1"/>
  <c r="Q10" i="14" s="1"/>
  <c r="S10" i="14" s="1"/>
  <c r="U10" i="14" s="1"/>
  <c r="W10" i="14" s="1"/>
  <c r="Y10" i="14" s="1"/>
  <c r="AA10" i="14" s="1"/>
  <c r="AC10" i="14" s="1"/>
  <c r="AE10" i="14" s="1"/>
  <c r="AG10" i="14" s="1"/>
  <c r="F57" i="19"/>
  <c r="D57" i="15"/>
  <c r="D57" i="14" s="1"/>
  <c r="F57" i="14" s="1"/>
  <c r="H57" i="14" s="1"/>
  <c r="J57" i="14" s="1"/>
  <c r="L57" i="14" s="1"/>
  <c r="N57" i="14" s="1"/>
  <c r="P57" i="14" s="1"/>
  <c r="R57" i="14" s="1"/>
  <c r="T57" i="14" s="1"/>
  <c r="V57" i="14" s="1"/>
  <c r="X57" i="14" s="1"/>
  <c r="Z57" i="14" s="1"/>
  <c r="AB57" i="14" s="1"/>
  <c r="AD57" i="14" s="1"/>
  <c r="AF57" i="14" s="1"/>
  <c r="AH57" i="14" s="1"/>
  <c r="F25" i="19"/>
  <c r="D25" i="15"/>
  <c r="D25" i="14" s="1"/>
  <c r="F25" i="14" s="1"/>
  <c r="H25" i="14" s="1"/>
  <c r="J25" i="14" s="1"/>
  <c r="L25" i="14" s="1"/>
  <c r="N25" i="14" s="1"/>
  <c r="P25" i="14" s="1"/>
  <c r="R25" i="14" s="1"/>
  <c r="T25" i="14" s="1"/>
  <c r="V25" i="14" s="1"/>
  <c r="X25" i="14" s="1"/>
  <c r="Z25" i="14" s="1"/>
  <c r="AB25" i="14" s="1"/>
  <c r="AD25" i="14" s="1"/>
  <c r="AF25" i="14" s="1"/>
  <c r="AH25" i="14" s="1"/>
  <c r="F3" i="19"/>
  <c r="D3" i="15"/>
  <c r="D3" i="14" s="1"/>
  <c r="F3" i="14" s="1"/>
  <c r="H3" i="14" s="1"/>
  <c r="J3" i="14" s="1"/>
  <c r="L3" i="14" s="1"/>
  <c r="N3" i="14" s="1"/>
  <c r="P3" i="14" s="1"/>
  <c r="R3" i="14" s="1"/>
  <c r="T3" i="14" s="1"/>
  <c r="V3" i="14" s="1"/>
  <c r="X3" i="14" s="1"/>
  <c r="Z3" i="14" s="1"/>
  <c r="AB3" i="14" s="1"/>
  <c r="AD3" i="14" s="1"/>
  <c r="AF3" i="14" s="1"/>
  <c r="AH3" i="14" s="1"/>
  <c r="E37" i="19"/>
  <c r="C37" i="15"/>
  <c r="C37" i="14" s="1"/>
  <c r="E37" i="14" s="1"/>
  <c r="G37" i="14" s="1"/>
  <c r="I37" i="14" s="1"/>
  <c r="K37" i="14" s="1"/>
  <c r="M37" i="14" s="1"/>
  <c r="O37" i="14" s="1"/>
  <c r="Q37" i="14" s="1"/>
  <c r="S37" i="14" s="1"/>
  <c r="U37" i="14" s="1"/>
  <c r="W37" i="14" s="1"/>
  <c r="Y37" i="14" s="1"/>
  <c r="AA37" i="14" s="1"/>
  <c r="AC37" i="14" s="1"/>
  <c r="AE37" i="14" s="1"/>
  <c r="AG37" i="14" s="1"/>
  <c r="E5" i="19"/>
  <c r="C5" i="15"/>
  <c r="C5" i="14" s="1"/>
  <c r="E5" i="14" s="1"/>
  <c r="G5" i="14" s="1"/>
  <c r="I5" i="14" s="1"/>
  <c r="K5" i="14" s="1"/>
  <c r="M5" i="14" s="1"/>
  <c r="O5" i="14" s="1"/>
  <c r="Q5" i="14" s="1"/>
  <c r="S5" i="14" s="1"/>
  <c r="U5" i="14" s="1"/>
  <c r="W5" i="14" s="1"/>
  <c r="Y5" i="14" s="1"/>
  <c r="AA5" i="14" s="1"/>
  <c r="AC5" i="14" s="1"/>
  <c r="AE5" i="14" s="1"/>
  <c r="AG5" i="14" s="1"/>
  <c r="C101" i="11" a="1"/>
  <c r="D101" i="11" s="1"/>
  <c r="E124" i="11"/>
  <c r="E135" i="11" s="1"/>
  <c r="E146" i="11" s="1"/>
  <c r="E157" i="11" s="1"/>
  <c r="E168" i="11" s="1"/>
  <c r="E123" i="11"/>
  <c r="E134" i="11" s="1"/>
  <c r="E145" i="11" s="1"/>
  <c r="E156" i="11" s="1"/>
  <c r="E167" i="11" s="1"/>
  <c r="E122" i="11"/>
  <c r="E133" i="11" s="1"/>
  <c r="E144" i="11" s="1"/>
  <c r="E155" i="11" s="1"/>
  <c r="E166" i="11" s="1"/>
  <c r="E121" i="11"/>
  <c r="E132" i="11" s="1"/>
  <c r="E143" i="11" s="1"/>
  <c r="E154" i="11" s="1"/>
  <c r="E165" i="11" s="1"/>
  <c r="E120" i="11"/>
  <c r="E131" i="11" s="1"/>
  <c r="E142" i="11" s="1"/>
  <c r="E153" i="11" s="1"/>
  <c r="E164" i="11" s="1"/>
  <c r="E119" i="11"/>
  <c r="E130" i="11" s="1"/>
  <c r="E141" i="11" s="1"/>
  <c r="E152" i="11" s="1"/>
  <c r="E163" i="11" s="1"/>
  <c r="E118" i="11"/>
  <c r="E129" i="11" s="1"/>
  <c r="E140" i="11" s="1"/>
  <c r="E151" i="11" s="1"/>
  <c r="E162" i="11" s="1"/>
  <c r="E117" i="11"/>
  <c r="E128" i="11" s="1"/>
  <c r="E139" i="11" s="1"/>
  <c r="E150" i="11" s="1"/>
  <c r="E161" i="11" s="1"/>
  <c r="E116" i="11"/>
  <c r="E127" i="11" s="1"/>
  <c r="E138" i="11" s="1"/>
  <c r="E149" i="11" s="1"/>
  <c r="E160" i="11" s="1"/>
  <c r="E115" i="11"/>
  <c r="E126" i="11" s="1"/>
  <c r="E137" i="11" s="1"/>
  <c r="E148" i="11" s="1"/>
  <c r="E159" i="11" s="1"/>
  <c r="E114" i="11"/>
  <c r="E125" i="11" s="1"/>
  <c r="E136" i="11" s="1"/>
  <c r="E147" i="11" s="1"/>
  <c r="E158" i="11" s="1"/>
  <c r="E113" i="11"/>
  <c r="E112" i="11"/>
  <c r="E111" i="11"/>
  <c r="E110" i="11"/>
  <c r="E109" i="11"/>
  <c r="E108" i="11"/>
  <c r="E107" i="11"/>
  <c r="E106" i="11"/>
  <c r="E105" i="11"/>
  <c r="E104" i="11"/>
  <c r="F103" i="11" a="1"/>
  <c r="F113" i="11" s="1"/>
  <c r="F124" i="11" s="1"/>
  <c r="F135" i="11" s="1"/>
  <c r="F146" i="11" s="1"/>
  <c r="F157" i="11" s="1"/>
  <c r="F168" i="11" s="1"/>
  <c r="E103" i="11"/>
  <c r="M19" i="14" l="1"/>
  <c r="O19" i="14" s="1"/>
  <c r="Q19" i="14" s="1"/>
  <c r="S19" i="14" s="1"/>
  <c r="U19" i="14" s="1"/>
  <c r="W19" i="14" s="1"/>
  <c r="Y19" i="14" s="1"/>
  <c r="AA19" i="14" s="1"/>
  <c r="AC19" i="14" s="1"/>
  <c r="AE19" i="14" s="1"/>
  <c r="AG19" i="14" s="1"/>
  <c r="D41" i="18"/>
  <c r="M17" i="14"/>
  <c r="O17" i="14" s="1"/>
  <c r="Q17" i="14" s="1"/>
  <c r="S17" i="14" s="1"/>
  <c r="U17" i="14" s="1"/>
  <c r="W17" i="14" s="1"/>
  <c r="Y17" i="14" s="1"/>
  <c r="AA17" i="14" s="1"/>
  <c r="AC17" i="14" s="1"/>
  <c r="AE17" i="14" s="1"/>
  <c r="AG17" i="14" s="1"/>
  <c r="D39" i="18"/>
  <c r="G62" i="19"/>
  <c r="E62" i="15"/>
  <c r="G47" i="19"/>
  <c r="E47" i="15"/>
  <c r="G66" i="19"/>
  <c r="E66" i="15"/>
  <c r="H12" i="19"/>
  <c r="F12" i="15"/>
  <c r="H3" i="19"/>
  <c r="F3" i="15"/>
  <c r="G42" i="19"/>
  <c r="E42" i="15"/>
  <c r="H47" i="19"/>
  <c r="F47" i="15"/>
  <c r="M14" i="14"/>
  <c r="O14" i="14" s="1"/>
  <c r="Q14" i="14" s="1"/>
  <c r="S14" i="14" s="1"/>
  <c r="U14" i="14" s="1"/>
  <c r="W14" i="14" s="1"/>
  <c r="Y14" i="14" s="1"/>
  <c r="AA14" i="14" s="1"/>
  <c r="AC14" i="14" s="1"/>
  <c r="AE14" i="14" s="1"/>
  <c r="AG14" i="14" s="1"/>
  <c r="D36" i="18"/>
  <c r="H38" i="19"/>
  <c r="F38" i="15"/>
  <c r="G13" i="19"/>
  <c r="E13" i="15"/>
  <c r="H65" i="19"/>
  <c r="F65" i="15"/>
  <c r="G67" i="19"/>
  <c r="E67" i="15"/>
  <c r="H27" i="19"/>
  <c r="F27" i="15"/>
  <c r="H31" i="19"/>
  <c r="F31" i="15"/>
  <c r="G52" i="19"/>
  <c r="E52" i="15"/>
  <c r="H45" i="19"/>
  <c r="F45" i="15"/>
  <c r="H43" i="19"/>
  <c r="F43" i="15"/>
  <c r="H49" i="19"/>
  <c r="F49" i="15"/>
  <c r="G33" i="19"/>
  <c r="E33" i="15"/>
  <c r="H61" i="19"/>
  <c r="F61" i="15"/>
  <c r="G63" i="19"/>
  <c r="E63" i="15"/>
  <c r="H10" i="19"/>
  <c r="F10" i="15"/>
  <c r="G12" i="19"/>
  <c r="E12" i="15"/>
  <c r="G49" i="19"/>
  <c r="E49" i="15"/>
  <c r="G24" i="19"/>
  <c r="E24" i="15"/>
  <c r="G27" i="19"/>
  <c r="E27" i="15"/>
  <c r="G68" i="19"/>
  <c r="E68" i="15"/>
  <c r="G41" i="19"/>
  <c r="E41" i="15"/>
  <c r="G14" i="19"/>
  <c r="E14" i="15"/>
  <c r="H19" i="19"/>
  <c r="F19" i="15"/>
  <c r="H4" i="19"/>
  <c r="F4" i="15"/>
  <c r="M18" i="14"/>
  <c r="O18" i="14" s="1"/>
  <c r="Q18" i="14" s="1"/>
  <c r="S18" i="14" s="1"/>
  <c r="U18" i="14" s="1"/>
  <c r="W18" i="14" s="1"/>
  <c r="Y18" i="14" s="1"/>
  <c r="AA18" i="14" s="1"/>
  <c r="AC18" i="14" s="1"/>
  <c r="AE18" i="14" s="1"/>
  <c r="AG18" i="14" s="1"/>
  <c r="D40" i="18"/>
  <c r="H42" i="19"/>
  <c r="F42" i="15"/>
  <c r="G64" i="19"/>
  <c r="E64" i="15"/>
  <c r="H5" i="19"/>
  <c r="F5" i="15"/>
  <c r="G7" i="19"/>
  <c r="E7" i="15"/>
  <c r="H64" i="19"/>
  <c r="F64" i="15"/>
  <c r="H9" i="19"/>
  <c r="F9" i="15"/>
  <c r="G11" i="19"/>
  <c r="E11" i="15"/>
  <c r="G25" i="19"/>
  <c r="E25" i="15"/>
  <c r="H22" i="19"/>
  <c r="F22" i="15"/>
  <c r="H68" i="19"/>
  <c r="F68" i="15"/>
  <c r="H26" i="19"/>
  <c r="F26" i="15"/>
  <c r="G51" i="19"/>
  <c r="E51" i="15"/>
  <c r="G40" i="19"/>
  <c r="E40" i="15"/>
  <c r="G48" i="19"/>
  <c r="E48" i="15"/>
  <c r="G53" i="19"/>
  <c r="E53" i="15"/>
  <c r="G26" i="19"/>
  <c r="E26" i="15"/>
  <c r="H25" i="19"/>
  <c r="F25" i="15"/>
  <c r="H60" i="19"/>
  <c r="F60" i="15"/>
  <c r="H8" i="19"/>
  <c r="F8" i="15"/>
  <c r="G45" i="19"/>
  <c r="E45" i="15"/>
  <c r="G18" i="19"/>
  <c r="E18" i="15"/>
  <c r="H23" i="19"/>
  <c r="F23" i="15"/>
  <c r="G44" i="19"/>
  <c r="E44" i="15"/>
  <c r="G54" i="19"/>
  <c r="E54" i="15"/>
  <c r="H59" i="19"/>
  <c r="F59" i="15"/>
  <c r="G58" i="19"/>
  <c r="E58" i="15"/>
  <c r="H63" i="19"/>
  <c r="F63" i="15"/>
  <c r="H21" i="19"/>
  <c r="F21" i="15"/>
  <c r="H36" i="19"/>
  <c r="F36" i="15"/>
  <c r="G56" i="19"/>
  <c r="E56" i="15"/>
  <c r="G29" i="19"/>
  <c r="E29" i="15"/>
  <c r="H56" i="19"/>
  <c r="F56" i="15"/>
  <c r="G28" i="19"/>
  <c r="E28" i="15"/>
  <c r="H53" i="19"/>
  <c r="F53" i="15"/>
  <c r="G22" i="19"/>
  <c r="E22" i="15"/>
  <c r="H51" i="19"/>
  <c r="F51" i="15"/>
  <c r="H40" i="19"/>
  <c r="F40" i="15"/>
  <c r="H37" i="19"/>
  <c r="F37" i="15"/>
  <c r="M16" i="14"/>
  <c r="O16" i="14" s="1"/>
  <c r="Q16" i="14" s="1"/>
  <c r="S16" i="14" s="1"/>
  <c r="U16" i="14" s="1"/>
  <c r="W16" i="14" s="1"/>
  <c r="Y16" i="14" s="1"/>
  <c r="AA16" i="14" s="1"/>
  <c r="AC16" i="14" s="1"/>
  <c r="AE16" i="14" s="1"/>
  <c r="AG16" i="14" s="1"/>
  <c r="D38" i="18"/>
  <c r="H30" i="19"/>
  <c r="F30" i="15"/>
  <c r="H41" i="19"/>
  <c r="F41" i="15"/>
  <c r="M20" i="14"/>
  <c r="O20" i="14" s="1"/>
  <c r="Q20" i="14" s="1"/>
  <c r="S20" i="14" s="1"/>
  <c r="U20" i="14" s="1"/>
  <c r="W20" i="14" s="1"/>
  <c r="Y20" i="14" s="1"/>
  <c r="AA20" i="14" s="1"/>
  <c r="AC20" i="14" s="1"/>
  <c r="AE20" i="14" s="1"/>
  <c r="AG20" i="14" s="1"/>
  <c r="D42" i="18"/>
  <c r="H54" i="19"/>
  <c r="F54" i="15"/>
  <c r="H35" i="19"/>
  <c r="F35" i="15"/>
  <c r="H58" i="19"/>
  <c r="F58" i="15"/>
  <c r="H7" i="19"/>
  <c r="F7" i="15"/>
  <c r="M23" i="14"/>
  <c r="O23" i="14" s="1"/>
  <c r="Q23" i="14" s="1"/>
  <c r="S23" i="14" s="1"/>
  <c r="U23" i="14" s="1"/>
  <c r="W23" i="14" s="1"/>
  <c r="Y23" i="14" s="1"/>
  <c r="AA23" i="14" s="1"/>
  <c r="AC23" i="14" s="1"/>
  <c r="AE23" i="14" s="1"/>
  <c r="AG23" i="14" s="1"/>
  <c r="D45" i="18"/>
  <c r="G4" i="19"/>
  <c r="E4" i="15"/>
  <c r="G55" i="19"/>
  <c r="E55" i="15"/>
  <c r="H24" i="19"/>
  <c r="F24" i="15"/>
  <c r="G6" i="19"/>
  <c r="E6" i="15"/>
  <c r="G5" i="19"/>
  <c r="E5" i="15"/>
  <c r="H57" i="19"/>
  <c r="F57" i="15"/>
  <c r="H34" i="19"/>
  <c r="F34" i="15"/>
  <c r="G59" i="19"/>
  <c r="E59" i="15"/>
  <c r="G46" i="19"/>
  <c r="E46" i="15"/>
  <c r="H52" i="19"/>
  <c r="F52" i="15"/>
  <c r="H55" i="19"/>
  <c r="F55" i="15"/>
  <c r="H32" i="19"/>
  <c r="F32" i="15"/>
  <c r="G17" i="19"/>
  <c r="E17" i="15"/>
  <c r="H14" i="19"/>
  <c r="F14" i="15"/>
  <c r="G39" i="19"/>
  <c r="E39" i="15"/>
  <c r="G16" i="19"/>
  <c r="E16" i="15"/>
  <c r="M21" i="14"/>
  <c r="O21" i="14" s="1"/>
  <c r="Q21" i="14" s="1"/>
  <c r="S21" i="14" s="1"/>
  <c r="U21" i="14" s="1"/>
  <c r="W21" i="14" s="1"/>
  <c r="Y21" i="14" s="1"/>
  <c r="AA21" i="14" s="1"/>
  <c r="AC21" i="14" s="1"/>
  <c r="AE21" i="14" s="1"/>
  <c r="AG21" i="14" s="1"/>
  <c r="D43" i="18"/>
  <c r="H18" i="19"/>
  <c r="F18" i="15"/>
  <c r="G43" i="19"/>
  <c r="E43" i="15"/>
  <c r="H28" i="19"/>
  <c r="F28" i="15"/>
  <c r="G57" i="19"/>
  <c r="E57" i="15"/>
  <c r="G30" i="19"/>
  <c r="E30" i="15"/>
  <c r="M15" i="14"/>
  <c r="O15" i="14" s="1"/>
  <c r="Q15" i="14" s="1"/>
  <c r="S15" i="14" s="1"/>
  <c r="U15" i="14" s="1"/>
  <c r="W15" i="14" s="1"/>
  <c r="Y15" i="14" s="1"/>
  <c r="AA15" i="14" s="1"/>
  <c r="AC15" i="14" s="1"/>
  <c r="AE15" i="14" s="1"/>
  <c r="AG15" i="14" s="1"/>
  <c r="D37" i="18"/>
  <c r="G65" i="19"/>
  <c r="E65" i="15"/>
  <c r="G61" i="19"/>
  <c r="E61" i="15"/>
  <c r="G34" i="19"/>
  <c r="E34" i="15"/>
  <c r="G23" i="19"/>
  <c r="E23" i="15"/>
  <c r="H29" i="19"/>
  <c r="F29" i="15"/>
  <c r="G31" i="19"/>
  <c r="E31" i="15"/>
  <c r="G8" i="19"/>
  <c r="E8" i="15"/>
  <c r="H44" i="19"/>
  <c r="F44" i="15"/>
  <c r="G50" i="19"/>
  <c r="E50" i="15"/>
  <c r="G3" i="19"/>
  <c r="E3" i="15"/>
  <c r="G21" i="19"/>
  <c r="E21" i="15"/>
  <c r="H16" i="19"/>
  <c r="F16" i="15"/>
  <c r="G20" i="19"/>
  <c r="E20" i="15"/>
  <c r="G15" i="19"/>
  <c r="E15" i="15"/>
  <c r="H67" i="19"/>
  <c r="F67" i="15"/>
  <c r="H39" i="19"/>
  <c r="F39" i="15"/>
  <c r="G60" i="19"/>
  <c r="E60" i="15"/>
  <c r="G37" i="19"/>
  <c r="E37" i="15"/>
  <c r="G10" i="19"/>
  <c r="E10" i="15"/>
  <c r="H66" i="19"/>
  <c r="F66" i="15"/>
  <c r="H15" i="19"/>
  <c r="F15" i="15"/>
  <c r="G36" i="19"/>
  <c r="E36" i="15"/>
  <c r="G9" i="19"/>
  <c r="E9" i="15"/>
  <c r="H6" i="19"/>
  <c r="F6" i="15"/>
  <c r="H33" i="19"/>
  <c r="F33" i="15"/>
  <c r="G35" i="19"/>
  <c r="E35" i="15"/>
  <c r="G38" i="19"/>
  <c r="E38" i="15"/>
  <c r="M22" i="14"/>
  <c r="O22" i="14" s="1"/>
  <c r="Q22" i="14" s="1"/>
  <c r="S22" i="14" s="1"/>
  <c r="U22" i="14" s="1"/>
  <c r="W22" i="14" s="1"/>
  <c r="Y22" i="14" s="1"/>
  <c r="AA22" i="14" s="1"/>
  <c r="AC22" i="14" s="1"/>
  <c r="AE22" i="14" s="1"/>
  <c r="AG22" i="14" s="1"/>
  <c r="D44" i="18"/>
  <c r="H46" i="19"/>
  <c r="F46" i="15"/>
  <c r="H20" i="19"/>
  <c r="F20" i="15"/>
  <c r="H50" i="19"/>
  <c r="F50" i="15"/>
  <c r="H48" i="19"/>
  <c r="F48" i="15"/>
  <c r="H11" i="19"/>
  <c r="F11" i="15"/>
  <c r="H13" i="19"/>
  <c r="F13" i="15"/>
  <c r="M24" i="14"/>
  <c r="O24" i="14" s="1"/>
  <c r="Q24" i="14" s="1"/>
  <c r="S24" i="14" s="1"/>
  <c r="U24" i="14" s="1"/>
  <c r="W24" i="14" s="1"/>
  <c r="Y24" i="14" s="1"/>
  <c r="AA24" i="14" s="1"/>
  <c r="AC24" i="14" s="1"/>
  <c r="AE24" i="14" s="1"/>
  <c r="AG24" i="14" s="1"/>
  <c r="D46" i="18"/>
  <c r="H62" i="19"/>
  <c r="F62" i="15"/>
  <c r="H17" i="19"/>
  <c r="F17" i="15"/>
  <c r="G19" i="19"/>
  <c r="E19" i="15"/>
  <c r="G32" i="19"/>
  <c r="E32" i="15"/>
  <c r="F110" i="11"/>
  <c r="F121" i="11" s="1"/>
  <c r="F132" i="11" s="1"/>
  <c r="F143" i="11" s="1"/>
  <c r="F154" i="11" s="1"/>
  <c r="F165" i="11" s="1"/>
  <c r="F106" i="11"/>
  <c r="F117" i="11" s="1"/>
  <c r="F128" i="11" s="1"/>
  <c r="F139" i="11" s="1"/>
  <c r="F150" i="11" s="1"/>
  <c r="F161" i="11" s="1"/>
  <c r="F107" i="11"/>
  <c r="F118" i="11" s="1"/>
  <c r="F129" i="11" s="1"/>
  <c r="F140" i="11" s="1"/>
  <c r="F151" i="11" s="1"/>
  <c r="F162" i="11" s="1"/>
  <c r="F108" i="11"/>
  <c r="F119" i="11" s="1"/>
  <c r="F130" i="11" s="1"/>
  <c r="F141" i="11" s="1"/>
  <c r="F152" i="11" s="1"/>
  <c r="F163" i="11" s="1"/>
  <c r="F109" i="11"/>
  <c r="F120" i="11" s="1"/>
  <c r="F131" i="11" s="1"/>
  <c r="F142" i="11" s="1"/>
  <c r="F153" i="11" s="1"/>
  <c r="F164" i="11" s="1"/>
  <c r="F103" i="11"/>
  <c r="F114" i="11" s="1"/>
  <c r="F125" i="11" s="1"/>
  <c r="F136" i="11" s="1"/>
  <c r="F147" i="11" s="1"/>
  <c r="F158" i="11" s="1"/>
  <c r="F111" i="11"/>
  <c r="F122" i="11" s="1"/>
  <c r="F133" i="11" s="1"/>
  <c r="F144" i="11" s="1"/>
  <c r="F155" i="11" s="1"/>
  <c r="F166" i="11" s="1"/>
  <c r="F104" i="11"/>
  <c r="F115" i="11" s="1"/>
  <c r="F126" i="11" s="1"/>
  <c r="F137" i="11" s="1"/>
  <c r="F148" i="11" s="1"/>
  <c r="F159" i="11" s="1"/>
  <c r="F112" i="11"/>
  <c r="F123" i="11" s="1"/>
  <c r="F134" i="11" s="1"/>
  <c r="F145" i="11" s="1"/>
  <c r="F156" i="11" s="1"/>
  <c r="F167" i="11" s="1"/>
  <c r="F105" i="11"/>
  <c r="F116" i="11" s="1"/>
  <c r="F127" i="11" s="1"/>
  <c r="F138" i="11" s="1"/>
  <c r="F149" i="11" s="1"/>
  <c r="F160" i="11" s="1"/>
  <c r="C101" i="11"/>
  <c r="J62" i="19" l="1"/>
  <c r="H62" i="15"/>
  <c r="J48" i="19"/>
  <c r="H48" i="15"/>
  <c r="J6" i="19"/>
  <c r="H6" i="15"/>
  <c r="J66" i="19"/>
  <c r="H66" i="15"/>
  <c r="J39" i="19"/>
  <c r="H39" i="15"/>
  <c r="J16" i="19"/>
  <c r="H16" i="15"/>
  <c r="J44" i="19"/>
  <c r="H44" i="15"/>
  <c r="I23" i="19"/>
  <c r="G23" i="15"/>
  <c r="I43" i="19"/>
  <c r="G43" i="15"/>
  <c r="I39" i="19"/>
  <c r="G39" i="15"/>
  <c r="J55" i="19"/>
  <c r="H55" i="15"/>
  <c r="J34" i="19"/>
  <c r="H34" i="15"/>
  <c r="J24" i="19"/>
  <c r="H24" i="15"/>
  <c r="J7" i="19"/>
  <c r="H7" i="15"/>
  <c r="J37" i="19"/>
  <c r="H37" i="15"/>
  <c r="J53" i="19"/>
  <c r="H53" i="15"/>
  <c r="I56" i="19"/>
  <c r="G56" i="15"/>
  <c r="I58" i="19"/>
  <c r="G58" i="15"/>
  <c r="J23" i="19"/>
  <c r="H23" i="15"/>
  <c r="J60" i="19"/>
  <c r="H60" i="15"/>
  <c r="I48" i="19"/>
  <c r="G48" i="15"/>
  <c r="J68" i="19"/>
  <c r="H68" i="15"/>
  <c r="J9" i="19"/>
  <c r="H9" i="15"/>
  <c r="I64" i="19"/>
  <c r="G64" i="15"/>
  <c r="J19" i="19"/>
  <c r="H19" i="15"/>
  <c r="I27" i="19"/>
  <c r="G27" i="15"/>
  <c r="J10" i="19"/>
  <c r="H10" i="15"/>
  <c r="J49" i="19"/>
  <c r="H49" i="15"/>
  <c r="J31" i="19"/>
  <c r="H31" i="15"/>
  <c r="I13" i="19"/>
  <c r="G13" i="15"/>
  <c r="I42" i="19"/>
  <c r="G42" i="15"/>
  <c r="I47" i="19"/>
  <c r="G47" i="15"/>
  <c r="I32" i="19"/>
  <c r="G32" i="15"/>
  <c r="J50" i="19"/>
  <c r="H50" i="15"/>
  <c r="I38" i="19"/>
  <c r="G38" i="15"/>
  <c r="I9" i="19"/>
  <c r="G9" i="15"/>
  <c r="I10" i="19"/>
  <c r="G10" i="15"/>
  <c r="J67" i="19"/>
  <c r="H67" i="15"/>
  <c r="I21" i="19"/>
  <c r="G21" i="15"/>
  <c r="I8" i="19"/>
  <c r="G8" i="15"/>
  <c r="I34" i="19"/>
  <c r="G34" i="15"/>
  <c r="I30" i="19"/>
  <c r="G30" i="15"/>
  <c r="J18" i="19"/>
  <c r="H18" i="15"/>
  <c r="J14" i="19"/>
  <c r="H14" i="15"/>
  <c r="J52" i="19"/>
  <c r="H52" i="15"/>
  <c r="J57" i="19"/>
  <c r="H57" i="15"/>
  <c r="I55" i="19"/>
  <c r="G55" i="15"/>
  <c r="J58" i="19"/>
  <c r="H58" i="15"/>
  <c r="J41" i="19"/>
  <c r="H41" i="15"/>
  <c r="J40" i="19"/>
  <c r="H40" i="15"/>
  <c r="I28" i="19"/>
  <c r="G28" i="15"/>
  <c r="J36" i="19"/>
  <c r="H36" i="15"/>
  <c r="J59" i="19"/>
  <c r="H59" i="15"/>
  <c r="I18" i="19"/>
  <c r="G18" i="15"/>
  <c r="J25" i="19"/>
  <c r="H25" i="15"/>
  <c r="I40" i="19"/>
  <c r="G40" i="15"/>
  <c r="J22" i="19"/>
  <c r="H22" i="15"/>
  <c r="J64" i="19"/>
  <c r="H64" i="15"/>
  <c r="J42" i="19"/>
  <c r="H42" i="15"/>
  <c r="I14" i="19"/>
  <c r="G14" i="15"/>
  <c r="I24" i="19"/>
  <c r="G24" i="15"/>
  <c r="I63" i="19"/>
  <c r="G63" i="15"/>
  <c r="J43" i="19"/>
  <c r="H43" i="15"/>
  <c r="J27" i="19"/>
  <c r="H27" i="15"/>
  <c r="J38" i="19"/>
  <c r="H38" i="15"/>
  <c r="J3" i="19"/>
  <c r="H3" i="15"/>
  <c r="I62" i="19"/>
  <c r="G62" i="15"/>
  <c r="I19" i="19"/>
  <c r="G19" i="15"/>
  <c r="J13" i="19"/>
  <c r="H13" i="15"/>
  <c r="J20" i="19"/>
  <c r="H20" i="15"/>
  <c r="I35" i="19"/>
  <c r="G35" i="15"/>
  <c r="I36" i="19"/>
  <c r="G36" i="15"/>
  <c r="I37" i="19"/>
  <c r="G37" i="15"/>
  <c r="I15" i="19"/>
  <c r="G15" i="15"/>
  <c r="I3" i="19"/>
  <c r="G3" i="15"/>
  <c r="I31" i="19"/>
  <c r="G31" i="15"/>
  <c r="I61" i="19"/>
  <c r="G61" i="15"/>
  <c r="I57" i="19"/>
  <c r="G57" i="15"/>
  <c r="I17" i="19"/>
  <c r="G17" i="15"/>
  <c r="I46" i="19"/>
  <c r="G46" i="15"/>
  <c r="I5" i="19"/>
  <c r="G5" i="15"/>
  <c r="I4" i="19"/>
  <c r="G4" i="15"/>
  <c r="J35" i="19"/>
  <c r="H35" i="15"/>
  <c r="J30" i="19"/>
  <c r="H30" i="15"/>
  <c r="J51" i="19"/>
  <c r="H51" i="15"/>
  <c r="J56" i="19"/>
  <c r="H56" i="15"/>
  <c r="J21" i="19"/>
  <c r="H21" i="15"/>
  <c r="I54" i="19"/>
  <c r="G54" i="15"/>
  <c r="I45" i="19"/>
  <c r="G45" i="15"/>
  <c r="I26" i="19"/>
  <c r="G26" i="15"/>
  <c r="I51" i="19"/>
  <c r="G51" i="15"/>
  <c r="I25" i="19"/>
  <c r="G25" i="15"/>
  <c r="I7" i="19"/>
  <c r="G7" i="15"/>
  <c r="I41" i="19"/>
  <c r="G41" i="15"/>
  <c r="I49" i="19"/>
  <c r="G49" i="15"/>
  <c r="J61" i="19"/>
  <c r="H61" i="15"/>
  <c r="J45" i="19"/>
  <c r="H45" i="15"/>
  <c r="I67" i="19"/>
  <c r="G67" i="15"/>
  <c r="J12" i="19"/>
  <c r="H12" i="15"/>
  <c r="J17" i="19"/>
  <c r="H17" i="15"/>
  <c r="J11" i="19"/>
  <c r="H11" i="15"/>
  <c r="J46" i="19"/>
  <c r="H46" i="15"/>
  <c r="J33" i="19"/>
  <c r="H33" i="15"/>
  <c r="J15" i="19"/>
  <c r="H15" i="15"/>
  <c r="I60" i="19"/>
  <c r="G60" i="15"/>
  <c r="I20" i="19"/>
  <c r="G20" i="15"/>
  <c r="I50" i="19"/>
  <c r="G50" i="15"/>
  <c r="J29" i="19"/>
  <c r="H29" i="15"/>
  <c r="I65" i="19"/>
  <c r="G65" i="15"/>
  <c r="J28" i="19"/>
  <c r="H28" i="15"/>
  <c r="I16" i="19"/>
  <c r="G16" i="15"/>
  <c r="J32" i="19"/>
  <c r="H32" i="15"/>
  <c r="I59" i="19"/>
  <c r="G59" i="15"/>
  <c r="I6" i="19"/>
  <c r="G6" i="15"/>
  <c r="J54" i="19"/>
  <c r="H54" i="15"/>
  <c r="I22" i="19"/>
  <c r="G22" i="15"/>
  <c r="I29" i="19"/>
  <c r="G29" i="15"/>
  <c r="J63" i="19"/>
  <c r="H63" i="15"/>
  <c r="I44" i="19"/>
  <c r="G44" i="15"/>
  <c r="J8" i="19"/>
  <c r="H8" i="15"/>
  <c r="I53" i="19"/>
  <c r="G53" i="15"/>
  <c r="J26" i="19"/>
  <c r="H26" i="15"/>
  <c r="I11" i="19"/>
  <c r="G11" i="15"/>
  <c r="J5" i="19"/>
  <c r="H5" i="15"/>
  <c r="J4" i="19"/>
  <c r="H4" i="15"/>
  <c r="I68" i="19"/>
  <c r="G68" i="15"/>
  <c r="I12" i="19"/>
  <c r="G12" i="15"/>
  <c r="I33" i="19"/>
  <c r="G33" i="15"/>
  <c r="I52" i="19"/>
  <c r="G52" i="15"/>
  <c r="J65" i="19"/>
  <c r="H65" i="15"/>
  <c r="J47" i="19"/>
  <c r="H47" i="15"/>
  <c r="I66" i="19"/>
  <c r="G66" i="15"/>
  <c r="B181" i="7" a="1"/>
  <c r="B181" i="7"/>
  <c r="C181" i="7"/>
  <c r="D181" i="7"/>
  <c r="E181" i="7"/>
  <c r="F181" i="7"/>
  <c r="G181" i="7"/>
  <c r="A182" i="7" a="1"/>
  <c r="A182" i="7"/>
  <c r="A183" i="7"/>
  <c r="A184" i="7"/>
  <c r="A185" i="7"/>
  <c r="A186" i="7"/>
  <c r="A187" i="7"/>
  <c r="A188" i="7"/>
  <c r="A189" i="7"/>
  <c r="A190" i="7"/>
  <c r="A191" i="7"/>
  <c r="A192" i="7"/>
  <c r="B146" i="7"/>
  <c r="L167" i="7"/>
  <c r="R41" i="9" a="1"/>
  <c r="R41" i="9"/>
  <c r="R42" i="9"/>
  <c r="R43" i="9"/>
  <c r="R44" i="9"/>
  <c r="R45" i="9"/>
  <c r="R46" i="9"/>
  <c r="R47" i="9"/>
  <c r="R48" i="9"/>
  <c r="R49" i="9"/>
  <c r="R50" i="9"/>
  <c r="R51" i="9"/>
  <c r="G35" i="5" a="1"/>
  <c r="G35" i="5" s="1"/>
  <c r="G36" i="5" a="1"/>
  <c r="G36" i="5" s="1"/>
  <c r="G37" i="5" a="1"/>
  <c r="G37" i="5" s="1"/>
  <c r="G38" i="5" a="1"/>
  <c r="G38" i="5" s="1"/>
  <c r="K41" i="9" a="1"/>
  <c r="K41" i="9"/>
  <c r="K42" i="9"/>
  <c r="K43" i="9"/>
  <c r="K44" i="9"/>
  <c r="K45" i="9"/>
  <c r="K46" i="9"/>
  <c r="K47" i="9"/>
  <c r="K48" i="9"/>
  <c r="K49" i="9"/>
  <c r="K50" i="9"/>
  <c r="K51" i="9"/>
  <c r="F41" i="9" a="1"/>
  <c r="F41" i="9"/>
  <c r="F42" i="9"/>
  <c r="F43" i="9"/>
  <c r="F44" i="9"/>
  <c r="F45" i="9"/>
  <c r="F46" i="9"/>
  <c r="F47" i="9"/>
  <c r="F48" i="9"/>
  <c r="F49" i="9"/>
  <c r="F50" i="9"/>
  <c r="F51" i="9"/>
  <c r="A41" i="9" a="1"/>
  <c r="A41" i="9"/>
  <c r="A42" i="9"/>
  <c r="A43" i="9"/>
  <c r="A44" i="9"/>
  <c r="A45" i="9"/>
  <c r="A46" i="9"/>
  <c r="A47" i="9"/>
  <c r="A48" i="9"/>
  <c r="A49" i="9"/>
  <c r="A50" i="9"/>
  <c r="A51" i="9"/>
  <c r="A21" i="11"/>
  <c r="B145" i="7"/>
  <c r="J168" i="7"/>
  <c r="I168" i="7"/>
  <c r="B150" i="7"/>
  <c r="D171" i="7"/>
  <c r="C171" i="7"/>
  <c r="B171" i="7"/>
  <c r="M171" i="7"/>
  <c r="L171" i="7"/>
  <c r="J171" i="7"/>
  <c r="I171" i="7"/>
  <c r="H171" i="7"/>
  <c r="B144" i="7"/>
  <c r="M165" i="7"/>
  <c r="J165" i="7"/>
  <c r="I165" i="7"/>
  <c r="H165" i="7"/>
  <c r="I170" i="7"/>
  <c r="B149" i="7"/>
  <c r="B2" i="16"/>
  <c r="H2" i="16"/>
  <c r="I2" i="16"/>
  <c r="J2" i="16"/>
  <c r="B3" i="16"/>
  <c r="H3" i="16"/>
  <c r="I3" i="16"/>
  <c r="J3" i="16"/>
  <c r="B4" i="16"/>
  <c r="H4" i="16"/>
  <c r="I4" i="16"/>
  <c r="J4" i="16"/>
  <c r="B5" i="16"/>
  <c r="H5" i="16"/>
  <c r="I5" i="16"/>
  <c r="J5" i="16"/>
  <c r="B6" i="16"/>
  <c r="H6" i="16"/>
  <c r="I6" i="16"/>
  <c r="J6" i="16"/>
  <c r="B7" i="16"/>
  <c r="H7" i="16"/>
  <c r="I7" i="16"/>
  <c r="J7" i="16"/>
  <c r="B8" i="16"/>
  <c r="H8" i="16"/>
  <c r="I8" i="16"/>
  <c r="J8" i="16"/>
  <c r="B9" i="16"/>
  <c r="H9" i="16"/>
  <c r="I9" i="16"/>
  <c r="J9" i="16"/>
  <c r="B10" i="16"/>
  <c r="H10" i="16"/>
  <c r="I10" i="16"/>
  <c r="J10" i="16"/>
  <c r="B11" i="16"/>
  <c r="H11" i="16"/>
  <c r="I11" i="16"/>
  <c r="J11" i="16"/>
  <c r="B12" i="16"/>
  <c r="H12" i="16"/>
  <c r="I12" i="16"/>
  <c r="J12" i="16"/>
  <c r="B13" i="16"/>
  <c r="H13" i="16"/>
  <c r="I13" i="16"/>
  <c r="J13" i="16"/>
  <c r="B14" i="16"/>
  <c r="H14" i="16"/>
  <c r="I14" i="16"/>
  <c r="J14" i="16"/>
  <c r="B15" i="16"/>
  <c r="H15" i="16"/>
  <c r="I15" i="16"/>
  <c r="J15" i="16"/>
  <c r="B16" i="16"/>
  <c r="H16" i="16"/>
  <c r="I16" i="16"/>
  <c r="J16" i="16"/>
  <c r="B17" i="16"/>
  <c r="H17" i="16"/>
  <c r="I17" i="16"/>
  <c r="J17" i="16"/>
  <c r="B18" i="16"/>
  <c r="H18" i="16"/>
  <c r="I18" i="16"/>
  <c r="J18" i="16"/>
  <c r="B19" i="16"/>
  <c r="H19" i="16"/>
  <c r="I19" i="16"/>
  <c r="J19" i="16"/>
  <c r="B20" i="16"/>
  <c r="H20" i="16"/>
  <c r="I20" i="16"/>
  <c r="J20" i="16"/>
  <c r="B21" i="16"/>
  <c r="H21" i="16"/>
  <c r="I21" i="16"/>
  <c r="J21" i="16"/>
  <c r="B22" i="16"/>
  <c r="H22" i="16"/>
  <c r="I22" i="16"/>
  <c r="J22" i="16"/>
  <c r="B23" i="16"/>
  <c r="H23" i="16"/>
  <c r="I23" i="16"/>
  <c r="J23" i="16"/>
  <c r="B24" i="16"/>
  <c r="H24" i="16"/>
  <c r="I24" i="16"/>
  <c r="J24" i="16"/>
  <c r="B25" i="16"/>
  <c r="H25" i="16"/>
  <c r="I25" i="16"/>
  <c r="J25" i="16"/>
  <c r="B26" i="16"/>
  <c r="H26" i="16"/>
  <c r="I26" i="16"/>
  <c r="J26" i="16"/>
  <c r="B27" i="16"/>
  <c r="H27" i="16"/>
  <c r="I27" i="16"/>
  <c r="J27" i="16"/>
  <c r="B28" i="16"/>
  <c r="H28" i="16"/>
  <c r="I28" i="16"/>
  <c r="J28" i="16"/>
  <c r="B29" i="16"/>
  <c r="H29" i="16"/>
  <c r="I29" i="16"/>
  <c r="J29" i="16"/>
  <c r="B30" i="16"/>
  <c r="H30" i="16"/>
  <c r="I30" i="16"/>
  <c r="J30" i="16"/>
  <c r="B31" i="16"/>
  <c r="H31" i="16"/>
  <c r="I31" i="16"/>
  <c r="J31" i="16"/>
  <c r="B32" i="16"/>
  <c r="H32" i="16"/>
  <c r="I32" i="16"/>
  <c r="J32" i="16"/>
  <c r="B33" i="16"/>
  <c r="H33" i="16"/>
  <c r="I33" i="16"/>
  <c r="J33" i="16"/>
  <c r="B34" i="16"/>
  <c r="H34" i="16"/>
  <c r="I34" i="16"/>
  <c r="J34" i="16"/>
  <c r="B35" i="16"/>
  <c r="H35" i="16"/>
  <c r="I35" i="16"/>
  <c r="J35" i="16"/>
  <c r="B36" i="16"/>
  <c r="H36" i="16"/>
  <c r="I36" i="16"/>
  <c r="B37" i="16"/>
  <c r="H37" i="16"/>
  <c r="I37" i="16"/>
  <c r="B38" i="16"/>
  <c r="H38" i="16"/>
  <c r="I38" i="16"/>
  <c r="J38" i="16"/>
  <c r="B39" i="16"/>
  <c r="H39" i="16"/>
  <c r="I39" i="16"/>
  <c r="J39" i="16"/>
  <c r="B40" i="16"/>
  <c r="H40" i="16"/>
  <c r="I40" i="16"/>
  <c r="J40" i="16"/>
  <c r="B42" i="16"/>
  <c r="H42" i="16"/>
  <c r="I42" i="16"/>
  <c r="J42" i="16"/>
  <c r="B43" i="16"/>
  <c r="H43" i="16"/>
  <c r="I43" i="16"/>
  <c r="J43" i="16"/>
  <c r="B44" i="16"/>
  <c r="H44" i="16"/>
  <c r="I44" i="16"/>
  <c r="J44" i="16"/>
  <c r="B45" i="16"/>
  <c r="H45" i="16"/>
  <c r="I45" i="16"/>
  <c r="J45" i="16"/>
  <c r="B46" i="16"/>
  <c r="H46" i="16"/>
  <c r="I46" i="16"/>
  <c r="J46" i="16"/>
  <c r="B47" i="16"/>
  <c r="H47" i="16"/>
  <c r="I47" i="16"/>
  <c r="J47" i="16"/>
  <c r="B48" i="16"/>
  <c r="H48" i="16"/>
  <c r="I48" i="16"/>
  <c r="J48" i="16"/>
  <c r="A2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2" i="16"/>
  <c r="A43" i="16"/>
  <c r="A44" i="16"/>
  <c r="A45" i="16"/>
  <c r="A46" i="16"/>
  <c r="A47" i="16"/>
  <c r="A48" i="16"/>
  <c r="A1" i="16"/>
  <c r="H169" i="7"/>
  <c r="C169" i="7"/>
  <c r="B169" i="7"/>
  <c r="B148" i="7"/>
  <c r="B143" i="7"/>
  <c r="B151" i="7"/>
  <c r="L164" i="7"/>
  <c r="M164" i="7"/>
  <c r="K164" i="7"/>
  <c r="J164" i="7"/>
  <c r="I164" i="7"/>
  <c r="H164" i="7"/>
  <c r="B164" i="7"/>
  <c r="B142" i="7"/>
  <c r="C163" i="7"/>
  <c r="D163" i="7"/>
  <c r="G163" i="7"/>
  <c r="L172" i="7"/>
  <c r="I172" i="7"/>
  <c r="H172" i="7"/>
  <c r="H161" i="7" a="1"/>
  <c r="H161" i="7"/>
  <c r="I161" i="7"/>
  <c r="J161" i="7"/>
  <c r="K161" i="7"/>
  <c r="L161" i="7"/>
  <c r="M161" i="7"/>
  <c r="A69" i="15"/>
  <c r="B69" i="15"/>
  <c r="A70" i="15"/>
  <c r="B70" i="15"/>
  <c r="A71" i="15"/>
  <c r="B71" i="15"/>
  <c r="A72" i="15"/>
  <c r="B72" i="15"/>
  <c r="A73" i="15"/>
  <c r="B73" i="15"/>
  <c r="A74" i="15"/>
  <c r="B74" i="15"/>
  <c r="A75" i="15"/>
  <c r="B75" i="15"/>
  <c r="A76" i="15"/>
  <c r="B76" i="15"/>
  <c r="A77" i="15"/>
  <c r="B77" i="15"/>
  <c r="A78" i="15"/>
  <c r="B78" i="15"/>
  <c r="A79" i="15"/>
  <c r="B79" i="15"/>
  <c r="A80" i="15"/>
  <c r="B80" i="15"/>
  <c r="A81" i="15"/>
  <c r="B81" i="15"/>
  <c r="A82" i="15"/>
  <c r="B82" i="15"/>
  <c r="A83" i="15"/>
  <c r="B83" i="15"/>
  <c r="A84" i="15"/>
  <c r="B84" i="15"/>
  <c r="A85" i="15"/>
  <c r="B85" i="15"/>
  <c r="A86" i="15"/>
  <c r="B86" i="15"/>
  <c r="A87" i="15"/>
  <c r="B87" i="15"/>
  <c r="A88" i="15"/>
  <c r="B88" i="15"/>
  <c r="A89" i="15"/>
  <c r="B89" i="15"/>
  <c r="A90" i="15"/>
  <c r="B90" i="15"/>
  <c r="A69" i="14"/>
  <c r="B69" i="14"/>
  <c r="A70" i="14"/>
  <c r="B70" i="14"/>
  <c r="A71" i="14"/>
  <c r="B71" i="14"/>
  <c r="A72" i="14"/>
  <c r="B72" i="14"/>
  <c r="A73" i="14"/>
  <c r="B73" i="14"/>
  <c r="A74" i="14"/>
  <c r="B74" i="14"/>
  <c r="A75" i="14"/>
  <c r="B75" i="14"/>
  <c r="A76" i="14"/>
  <c r="B76" i="14"/>
  <c r="A77" i="14"/>
  <c r="B77" i="14"/>
  <c r="A78" i="14"/>
  <c r="B78" i="14"/>
  <c r="A79" i="14"/>
  <c r="B79" i="14"/>
  <c r="A80" i="14"/>
  <c r="B80" i="14"/>
  <c r="A81" i="14"/>
  <c r="B81" i="14"/>
  <c r="A82" i="14"/>
  <c r="B82" i="14"/>
  <c r="A83" i="14"/>
  <c r="B83" i="14"/>
  <c r="A84" i="14"/>
  <c r="B84" i="14"/>
  <c r="A85" i="14"/>
  <c r="B85" i="14"/>
  <c r="A86" i="14"/>
  <c r="B86" i="14"/>
  <c r="A87" i="14"/>
  <c r="B87" i="14"/>
  <c r="A88" i="14"/>
  <c r="B88" i="14"/>
  <c r="A89" i="14"/>
  <c r="B89" i="14"/>
  <c r="A90" i="14"/>
  <c r="B90" i="14"/>
  <c r="F2" i="7"/>
  <c r="H2" i="7"/>
  <c r="J2" i="7"/>
  <c r="L2" i="7"/>
  <c r="N2" i="7"/>
  <c r="P2" i="7"/>
  <c r="R2" i="7"/>
  <c r="T2" i="7"/>
  <c r="V2" i="7"/>
  <c r="X2" i="7"/>
  <c r="Z2" i="7"/>
  <c r="AB2" i="7"/>
  <c r="AD2" i="7"/>
  <c r="AF2" i="7"/>
  <c r="AH2" i="7"/>
  <c r="E2" i="7"/>
  <c r="G2" i="7"/>
  <c r="I2" i="7"/>
  <c r="K2" i="7"/>
  <c r="M2" i="7"/>
  <c r="O2" i="7"/>
  <c r="Q2" i="7"/>
  <c r="S2" i="7"/>
  <c r="U2" i="7"/>
  <c r="W2" i="7"/>
  <c r="Y2" i="7"/>
  <c r="AA2" i="7"/>
  <c r="AC2" i="7"/>
  <c r="AE2" i="7"/>
  <c r="AG2" i="7"/>
  <c r="C1" i="7" a="1"/>
  <c r="D1" i="7"/>
  <c r="F1" i="7" s="1"/>
  <c r="H1" i="7" s="1"/>
  <c r="J1" i="7" s="1"/>
  <c r="L1" i="7" s="1"/>
  <c r="N1" i="7" s="1"/>
  <c r="P1" i="7" s="1"/>
  <c r="R1" i="7" s="1"/>
  <c r="T1" i="7" s="1"/>
  <c r="V1" i="7" s="1"/>
  <c r="X1" i="7" s="1"/>
  <c r="Z1" i="7" s="1"/>
  <c r="AB1" i="7" s="1"/>
  <c r="AD1" i="7" s="1"/>
  <c r="AF1" i="7" s="1"/>
  <c r="AH1" i="7" s="1"/>
  <c r="C1" i="7"/>
  <c r="E1" i="7" s="1"/>
  <c r="G1" i="7" s="1"/>
  <c r="I1" i="7" s="1"/>
  <c r="K1" i="7" s="1"/>
  <c r="M1" i="7" s="1"/>
  <c r="O1" i="7" s="1"/>
  <c r="Q1" i="7" s="1"/>
  <c r="S1" i="7" s="1"/>
  <c r="U1" i="7" s="1"/>
  <c r="W1" i="7" s="1"/>
  <c r="Y1" i="7" s="1"/>
  <c r="AA1" i="7" s="1"/>
  <c r="AC1" i="7" s="1"/>
  <c r="AE1" i="7" s="1"/>
  <c r="AG1" i="7" s="1"/>
  <c r="F2" i="4"/>
  <c r="H2" i="4"/>
  <c r="J2" i="4"/>
  <c r="L2" i="4"/>
  <c r="N2" i="4"/>
  <c r="P2" i="4"/>
  <c r="R2" i="4"/>
  <c r="T2" i="4"/>
  <c r="V2" i="4"/>
  <c r="X2" i="4"/>
  <c r="Z2" i="4"/>
  <c r="AB2" i="4"/>
  <c r="AD2" i="4"/>
  <c r="AF2" i="4"/>
  <c r="AH2" i="4"/>
  <c r="E2" i="4"/>
  <c r="G2" i="4"/>
  <c r="I2" i="4"/>
  <c r="K2" i="4"/>
  <c r="M2" i="4"/>
  <c r="O2" i="4"/>
  <c r="Q2" i="4"/>
  <c r="S2" i="4"/>
  <c r="U2" i="4"/>
  <c r="W2" i="4"/>
  <c r="Y2" i="4"/>
  <c r="AA2" i="4"/>
  <c r="AC2" i="4"/>
  <c r="AE2" i="4"/>
  <c r="AG2" i="4"/>
  <c r="C1" i="4" a="1"/>
  <c r="D1" i="4" s="1"/>
  <c r="F1" i="4" s="1"/>
  <c r="H1" i="4" s="1"/>
  <c r="J1" i="4" s="1"/>
  <c r="L1" i="4" s="1"/>
  <c r="N1" i="4" s="1"/>
  <c r="P1" i="4" s="1"/>
  <c r="R1" i="4" s="1"/>
  <c r="T1" i="4" s="1"/>
  <c r="V1" i="4" s="1"/>
  <c r="X1" i="4" s="1"/>
  <c r="Z1" i="4" s="1"/>
  <c r="AB1" i="4" s="1"/>
  <c r="AD1" i="4" s="1"/>
  <c r="AF1" i="4" s="1"/>
  <c r="AH1" i="4" s="1"/>
  <c r="F2" i="11"/>
  <c r="H2" i="11"/>
  <c r="J2" i="11"/>
  <c r="L2" i="11"/>
  <c r="N2" i="11"/>
  <c r="P2" i="11"/>
  <c r="R2" i="11"/>
  <c r="T2" i="11"/>
  <c r="V2" i="11"/>
  <c r="X2" i="11"/>
  <c r="Z2" i="11"/>
  <c r="AB2" i="11"/>
  <c r="AD2" i="11"/>
  <c r="AF2" i="11"/>
  <c r="AH2" i="11"/>
  <c r="E2" i="11"/>
  <c r="G2" i="11"/>
  <c r="I2" i="11"/>
  <c r="K2" i="11"/>
  <c r="M2" i="11"/>
  <c r="O2" i="11"/>
  <c r="Q2" i="11"/>
  <c r="S2" i="11"/>
  <c r="U2" i="11"/>
  <c r="W2" i="11"/>
  <c r="Y2" i="11"/>
  <c r="AA2" i="11"/>
  <c r="AC2" i="11"/>
  <c r="AE2" i="11"/>
  <c r="AG2" i="11"/>
  <c r="C1" i="11" a="1"/>
  <c r="D1" i="11" s="1"/>
  <c r="F1" i="11" s="1"/>
  <c r="H1" i="11" s="1"/>
  <c r="J1" i="11" s="1"/>
  <c r="L1" i="11" s="1"/>
  <c r="N1" i="11" s="1"/>
  <c r="P1" i="11" s="1"/>
  <c r="R1" i="11" s="1"/>
  <c r="T1" i="11" s="1"/>
  <c r="V1" i="11" s="1"/>
  <c r="X1" i="11" s="1"/>
  <c r="Z1" i="11" s="1"/>
  <c r="AB1" i="11" s="1"/>
  <c r="AD1" i="11" s="1"/>
  <c r="AF1" i="11" s="1"/>
  <c r="AH1" i="11" s="1"/>
  <c r="E2" i="9"/>
  <c r="G2" i="9"/>
  <c r="I2" i="9"/>
  <c r="K2" i="9"/>
  <c r="M2" i="9"/>
  <c r="O2" i="9"/>
  <c r="Q2" i="9"/>
  <c r="S2" i="9"/>
  <c r="U2" i="9"/>
  <c r="W2" i="9"/>
  <c r="Y2" i="9"/>
  <c r="AA2" i="9"/>
  <c r="AC2" i="9"/>
  <c r="AE2" i="9"/>
  <c r="AG2" i="9"/>
  <c r="D2" i="9"/>
  <c r="F2" i="9"/>
  <c r="H2" i="9"/>
  <c r="J2" i="9"/>
  <c r="L2" i="9"/>
  <c r="N2" i="9"/>
  <c r="P2" i="9"/>
  <c r="R2" i="9"/>
  <c r="T2" i="9"/>
  <c r="V2" i="9"/>
  <c r="X2" i="9"/>
  <c r="Z2" i="9"/>
  <c r="AB2" i="9"/>
  <c r="AD2" i="9"/>
  <c r="AF2" i="9"/>
  <c r="B1" i="9" a="1"/>
  <c r="C1" i="9"/>
  <c r="E1" i="9" s="1"/>
  <c r="G1" i="9" s="1"/>
  <c r="I1" i="9" s="1"/>
  <c r="K1" i="9" s="1"/>
  <c r="M1" i="9" s="1"/>
  <c r="O1" i="9" s="1"/>
  <c r="Q1" i="9" s="1"/>
  <c r="S1" i="9" s="1"/>
  <c r="U1" i="9" s="1"/>
  <c r="W1" i="9" s="1"/>
  <c r="Y1" i="9" s="1"/>
  <c r="AA1" i="9" s="1"/>
  <c r="AC1" i="9" s="1"/>
  <c r="AE1" i="9" s="1"/>
  <c r="AG1" i="9" s="1"/>
  <c r="B1" i="9"/>
  <c r="D1" i="9" s="1"/>
  <c r="F1" i="9" s="1"/>
  <c r="H1" i="9" s="1"/>
  <c r="J1" i="9" s="1"/>
  <c r="L1" i="9" s="1"/>
  <c r="N1" i="9" s="1"/>
  <c r="P1" i="9" s="1"/>
  <c r="R1" i="9" s="1"/>
  <c r="T1" i="9" s="1"/>
  <c r="V1" i="9" s="1"/>
  <c r="X1" i="9" s="1"/>
  <c r="Z1" i="9" s="1"/>
  <c r="AB1" i="9" s="1"/>
  <c r="AD1" i="9" s="1"/>
  <c r="AF1" i="9" s="1"/>
  <c r="F2" i="15"/>
  <c r="H2" i="15"/>
  <c r="J2" i="15"/>
  <c r="L2" i="15"/>
  <c r="N2" i="15"/>
  <c r="P2" i="15"/>
  <c r="R2" i="15"/>
  <c r="T2" i="15"/>
  <c r="V2" i="15"/>
  <c r="X2" i="15"/>
  <c r="Z2" i="15"/>
  <c r="AB2" i="15"/>
  <c r="AD2" i="15"/>
  <c r="AF2" i="15"/>
  <c r="AH2" i="15"/>
  <c r="E2" i="15"/>
  <c r="G2" i="15"/>
  <c r="I2" i="15"/>
  <c r="K2" i="15"/>
  <c r="M2" i="15"/>
  <c r="O2" i="15"/>
  <c r="Q2" i="15"/>
  <c r="S2" i="15"/>
  <c r="U2" i="15"/>
  <c r="W2" i="15"/>
  <c r="Y2" i="15"/>
  <c r="AA2" i="15"/>
  <c r="AC2" i="15"/>
  <c r="AE2" i="15"/>
  <c r="AG2" i="15"/>
  <c r="C1" i="15" a="1"/>
  <c r="C1" i="15" s="1"/>
  <c r="E1" i="15" s="1"/>
  <c r="G1" i="15" s="1"/>
  <c r="I1" i="15" s="1"/>
  <c r="K1" i="15" s="1"/>
  <c r="M1" i="15" s="1"/>
  <c r="O1" i="15" s="1"/>
  <c r="Q1" i="15" s="1"/>
  <c r="S1" i="15" s="1"/>
  <c r="U1" i="15" s="1"/>
  <c r="W1" i="15" s="1"/>
  <c r="Y1" i="15" s="1"/>
  <c r="AA1" i="15" s="1"/>
  <c r="AC1" i="15" s="1"/>
  <c r="AE1" i="15" s="1"/>
  <c r="AG1" i="15" s="1"/>
  <c r="D1" i="15"/>
  <c r="F1" i="15" s="1"/>
  <c r="H1" i="15" s="1"/>
  <c r="J1" i="15" s="1"/>
  <c r="L1" i="15" s="1"/>
  <c r="N1" i="15" s="1"/>
  <c r="P1" i="15" s="1"/>
  <c r="R1" i="15" s="1"/>
  <c r="T1" i="15" s="1"/>
  <c r="V1" i="15" s="1"/>
  <c r="X1" i="15" s="1"/>
  <c r="Z1" i="15" s="1"/>
  <c r="AB1" i="15" s="1"/>
  <c r="AD1" i="15" s="1"/>
  <c r="AF1" i="15" s="1"/>
  <c r="AH1" i="15" s="1"/>
  <c r="F2" i="14"/>
  <c r="H2" i="14"/>
  <c r="J2" i="14"/>
  <c r="L2" i="14"/>
  <c r="N2" i="14"/>
  <c r="P2" i="14"/>
  <c r="R2" i="14"/>
  <c r="T2" i="14"/>
  <c r="V2" i="14"/>
  <c r="X2" i="14"/>
  <c r="Z2" i="14"/>
  <c r="AB2" i="14"/>
  <c r="AD2" i="14"/>
  <c r="AF2" i="14"/>
  <c r="AH2" i="14"/>
  <c r="E2" i="14"/>
  <c r="G2" i="14"/>
  <c r="I2" i="14"/>
  <c r="K2" i="14"/>
  <c r="M2" i="14"/>
  <c r="O2" i="14"/>
  <c r="Q2" i="14"/>
  <c r="S2" i="14"/>
  <c r="U2" i="14"/>
  <c r="W2" i="14"/>
  <c r="Y2" i="14"/>
  <c r="AA2" i="14"/>
  <c r="AC2" i="14"/>
  <c r="AE2" i="14"/>
  <c r="AG2" i="14"/>
  <c r="C1" i="14" a="1"/>
  <c r="D1" i="14" s="1"/>
  <c r="F1" i="14" s="1"/>
  <c r="H1" i="14" s="1"/>
  <c r="J1" i="14" s="1"/>
  <c r="L1" i="14" s="1"/>
  <c r="N1" i="14" s="1"/>
  <c r="P1" i="14" s="1"/>
  <c r="R1" i="14" s="1"/>
  <c r="T1" i="14" s="1"/>
  <c r="V1" i="14" s="1"/>
  <c r="X1" i="14" s="1"/>
  <c r="Z1" i="14" s="1"/>
  <c r="AB1" i="14" s="1"/>
  <c r="AD1" i="14" s="1"/>
  <c r="AF1" i="14" s="1"/>
  <c r="AH1" i="14" s="1"/>
  <c r="A162" i="8" a="1"/>
  <c r="A162" i="8"/>
  <c r="A163" i="8"/>
  <c r="A164" i="8"/>
  <c r="A165" i="8"/>
  <c r="A166" i="8"/>
  <c r="A167" i="8"/>
  <c r="A168" i="8"/>
  <c r="A169" i="8"/>
  <c r="A170" i="8"/>
  <c r="A171" i="8"/>
  <c r="A172" i="8"/>
  <c r="B161" i="8" a="1"/>
  <c r="B161" i="8"/>
  <c r="C161" i="8"/>
  <c r="D161" i="8"/>
  <c r="E161" i="8"/>
  <c r="F161" i="8"/>
  <c r="G161" i="8"/>
  <c r="H161" i="8"/>
  <c r="I161" i="8"/>
  <c r="J161" i="8"/>
  <c r="K161" i="8"/>
  <c r="L161" i="8"/>
  <c r="M161" i="8"/>
  <c r="N161" i="8"/>
  <c r="O161" i="8"/>
  <c r="P161" i="8"/>
  <c r="Q161" i="8"/>
  <c r="A142" i="8" a="1"/>
  <c r="A142" i="8"/>
  <c r="A143" i="8"/>
  <c r="A144" i="8"/>
  <c r="A145" i="8"/>
  <c r="A146" i="8"/>
  <c r="A147" i="8"/>
  <c r="A148" i="8"/>
  <c r="A149" i="8"/>
  <c r="A150" i="8"/>
  <c r="A151" i="8"/>
  <c r="A152" i="8"/>
  <c r="B141" i="8" a="1"/>
  <c r="B141" i="8"/>
  <c r="C141" i="8"/>
  <c r="D141" i="8"/>
  <c r="E141" i="8"/>
  <c r="F141" i="8"/>
  <c r="G141" i="8"/>
  <c r="H141" i="8"/>
  <c r="I141" i="8"/>
  <c r="J141" i="8"/>
  <c r="K141" i="8"/>
  <c r="L141" i="8"/>
  <c r="M141" i="8"/>
  <c r="N141" i="8"/>
  <c r="O141" i="8"/>
  <c r="P141" i="8"/>
  <c r="Q141" i="8"/>
  <c r="A3" i="9" a="1"/>
  <c r="A12" i="9"/>
  <c r="A11" i="9"/>
  <c r="A10" i="9"/>
  <c r="A9" i="9"/>
  <c r="A8" i="9"/>
  <c r="A7" i="9"/>
  <c r="A6" i="9"/>
  <c r="A5" i="9"/>
  <c r="A4" i="9"/>
  <c r="A3" i="9"/>
  <c r="A13" i="9"/>
  <c r="B3" i="15" a="1"/>
  <c r="B13" i="15"/>
  <c r="B24" i="15"/>
  <c r="B35" i="15"/>
  <c r="B46" i="15"/>
  <c r="B57" i="15"/>
  <c r="B68" i="15"/>
  <c r="A13" i="15"/>
  <c r="A24" i="15"/>
  <c r="A35" i="15"/>
  <c r="A46" i="15"/>
  <c r="A57" i="15"/>
  <c r="A68" i="15"/>
  <c r="B12" i="15"/>
  <c r="B23" i="15"/>
  <c r="B34" i="15"/>
  <c r="B45" i="15"/>
  <c r="B56" i="15"/>
  <c r="B67" i="15"/>
  <c r="A12" i="15"/>
  <c r="A23" i="15"/>
  <c r="A34" i="15"/>
  <c r="A45" i="15"/>
  <c r="A56" i="15"/>
  <c r="A67" i="15"/>
  <c r="B11" i="15"/>
  <c r="B22" i="15"/>
  <c r="B33" i="15"/>
  <c r="B44" i="15"/>
  <c r="B55" i="15"/>
  <c r="B66" i="15"/>
  <c r="A11" i="15"/>
  <c r="A22" i="15"/>
  <c r="A33" i="15"/>
  <c r="A44" i="15"/>
  <c r="A55" i="15"/>
  <c r="A66" i="15"/>
  <c r="B10" i="15"/>
  <c r="B21" i="15"/>
  <c r="B32" i="15"/>
  <c r="B43" i="15"/>
  <c r="B54" i="15"/>
  <c r="B65" i="15"/>
  <c r="A10" i="15"/>
  <c r="A21" i="15"/>
  <c r="A32" i="15"/>
  <c r="A43" i="15"/>
  <c r="A54" i="15"/>
  <c r="A65" i="15"/>
  <c r="B9" i="15"/>
  <c r="B20" i="15"/>
  <c r="B31" i="15"/>
  <c r="B42" i="15"/>
  <c r="B53" i="15"/>
  <c r="B64" i="15"/>
  <c r="A9" i="15"/>
  <c r="A20" i="15"/>
  <c r="A31" i="15"/>
  <c r="A42" i="15"/>
  <c r="A53" i="15"/>
  <c r="A64" i="15"/>
  <c r="B8" i="15"/>
  <c r="B19" i="15"/>
  <c r="B30" i="15"/>
  <c r="B41" i="15"/>
  <c r="B52" i="15"/>
  <c r="B63" i="15"/>
  <c r="A8" i="15"/>
  <c r="A19" i="15"/>
  <c r="A30" i="15"/>
  <c r="A41" i="15"/>
  <c r="A52" i="15"/>
  <c r="A63" i="15"/>
  <c r="B7" i="15"/>
  <c r="B18" i="15"/>
  <c r="B29" i="15"/>
  <c r="B40" i="15"/>
  <c r="B51" i="15"/>
  <c r="B62" i="15"/>
  <c r="A7" i="15"/>
  <c r="A18" i="15"/>
  <c r="A29" i="15"/>
  <c r="A40" i="15"/>
  <c r="A51" i="15"/>
  <c r="A62" i="15"/>
  <c r="B6" i="15"/>
  <c r="B17" i="15"/>
  <c r="B28" i="15"/>
  <c r="B39" i="15"/>
  <c r="B50" i="15"/>
  <c r="B61" i="15"/>
  <c r="A6" i="15"/>
  <c r="A17" i="15"/>
  <c r="A28" i="15"/>
  <c r="A39" i="15"/>
  <c r="A50" i="15"/>
  <c r="A61" i="15"/>
  <c r="B5" i="15"/>
  <c r="B16" i="15"/>
  <c r="B27" i="15"/>
  <c r="B38" i="15"/>
  <c r="B49" i="15"/>
  <c r="B60" i="15"/>
  <c r="A5" i="15"/>
  <c r="A16" i="15"/>
  <c r="A27" i="15"/>
  <c r="A38" i="15"/>
  <c r="A49" i="15"/>
  <c r="A60" i="15"/>
  <c r="B4" i="15"/>
  <c r="B15" i="15"/>
  <c r="B26" i="15"/>
  <c r="B37" i="15"/>
  <c r="B48" i="15"/>
  <c r="B59" i="15"/>
  <c r="A4" i="15"/>
  <c r="A15" i="15"/>
  <c r="A26" i="15"/>
  <c r="A37" i="15"/>
  <c r="A48" i="15"/>
  <c r="A59" i="15"/>
  <c r="B3" i="15"/>
  <c r="B14" i="15"/>
  <c r="B25" i="15"/>
  <c r="B36" i="15"/>
  <c r="B47" i="15"/>
  <c r="B58" i="15"/>
  <c r="A3" i="15"/>
  <c r="A14" i="15"/>
  <c r="A25" i="15"/>
  <c r="A36" i="15"/>
  <c r="A47" i="15"/>
  <c r="A58" i="15"/>
  <c r="B3" i="14" a="1"/>
  <c r="B13" i="14"/>
  <c r="B24" i="14"/>
  <c r="B35" i="14"/>
  <c r="B46" i="14"/>
  <c r="B57" i="14"/>
  <c r="B68" i="14"/>
  <c r="A13" i="14"/>
  <c r="A24" i="14"/>
  <c r="A35" i="14"/>
  <c r="A46" i="14"/>
  <c r="A57" i="14"/>
  <c r="A68" i="14"/>
  <c r="B12" i="14"/>
  <c r="B23" i="14"/>
  <c r="B34" i="14"/>
  <c r="B45" i="14"/>
  <c r="B56" i="14"/>
  <c r="B67" i="14"/>
  <c r="A12" i="14"/>
  <c r="A23" i="14"/>
  <c r="A34" i="14"/>
  <c r="A45" i="14"/>
  <c r="A56" i="14"/>
  <c r="A67" i="14"/>
  <c r="B11" i="14"/>
  <c r="B22" i="14"/>
  <c r="B33" i="14"/>
  <c r="B44" i="14"/>
  <c r="B55" i="14"/>
  <c r="B66" i="14"/>
  <c r="A11" i="14"/>
  <c r="A22" i="14"/>
  <c r="A33" i="14"/>
  <c r="A44" i="14"/>
  <c r="A55" i="14"/>
  <c r="A66" i="14"/>
  <c r="B10" i="14"/>
  <c r="B21" i="14"/>
  <c r="B32" i="14"/>
  <c r="B43" i="14"/>
  <c r="B54" i="14"/>
  <c r="B65" i="14"/>
  <c r="A10" i="14"/>
  <c r="A21" i="14"/>
  <c r="A32" i="14"/>
  <c r="A43" i="14"/>
  <c r="A54" i="14"/>
  <c r="A65" i="14"/>
  <c r="B9" i="14"/>
  <c r="B20" i="14"/>
  <c r="B31" i="14"/>
  <c r="B42" i="14"/>
  <c r="B53" i="14"/>
  <c r="B64" i="14"/>
  <c r="A9" i="14"/>
  <c r="A20" i="14"/>
  <c r="A31" i="14"/>
  <c r="A42" i="14"/>
  <c r="A53" i="14"/>
  <c r="A64" i="14"/>
  <c r="B8" i="14"/>
  <c r="B19" i="14"/>
  <c r="B30" i="14"/>
  <c r="B41" i="14"/>
  <c r="B52" i="14"/>
  <c r="B63" i="14"/>
  <c r="A8" i="14"/>
  <c r="A19" i="14"/>
  <c r="A30" i="14"/>
  <c r="A41" i="14"/>
  <c r="A52" i="14"/>
  <c r="A63" i="14"/>
  <c r="B7" i="14"/>
  <c r="B18" i="14"/>
  <c r="B29" i="14"/>
  <c r="B40" i="14"/>
  <c r="B51" i="14"/>
  <c r="B62" i="14"/>
  <c r="A7" i="14"/>
  <c r="A18" i="14"/>
  <c r="A29" i="14"/>
  <c r="A40" i="14"/>
  <c r="A51" i="14"/>
  <c r="A62" i="14"/>
  <c r="B6" i="14"/>
  <c r="B17" i="14"/>
  <c r="B28" i="14"/>
  <c r="B39" i="14"/>
  <c r="B50" i="14"/>
  <c r="B61" i="14"/>
  <c r="A6" i="14"/>
  <c r="A17" i="14"/>
  <c r="A28" i="14"/>
  <c r="A39" i="14"/>
  <c r="A50" i="14"/>
  <c r="A61" i="14"/>
  <c r="B5" i="14"/>
  <c r="B16" i="14"/>
  <c r="B27" i="14"/>
  <c r="B38" i="14"/>
  <c r="B49" i="14"/>
  <c r="B60" i="14"/>
  <c r="A5" i="14"/>
  <c r="A16" i="14"/>
  <c r="A27" i="14"/>
  <c r="A38" i="14"/>
  <c r="A49" i="14"/>
  <c r="A60" i="14"/>
  <c r="B4" i="14"/>
  <c r="B15" i="14"/>
  <c r="B26" i="14"/>
  <c r="B37" i="14"/>
  <c r="B48" i="14"/>
  <c r="B59" i="14"/>
  <c r="A4" i="14"/>
  <c r="A15" i="14"/>
  <c r="A26" i="14"/>
  <c r="A37" i="14"/>
  <c r="A48" i="14"/>
  <c r="A59" i="14"/>
  <c r="B3" i="14"/>
  <c r="B14" i="14"/>
  <c r="B25" i="14"/>
  <c r="B36" i="14"/>
  <c r="B47" i="14"/>
  <c r="B58" i="14"/>
  <c r="A3" i="14"/>
  <c r="A14" i="14"/>
  <c r="A25" i="14"/>
  <c r="A36" i="14"/>
  <c r="A47" i="14"/>
  <c r="A58" i="14"/>
  <c r="B161" i="7" a="1"/>
  <c r="B161" i="7"/>
  <c r="C161" i="7"/>
  <c r="D161" i="7"/>
  <c r="E161" i="7"/>
  <c r="F161" i="7"/>
  <c r="G161" i="7"/>
  <c r="B3" i="11" a="1"/>
  <c r="B13" i="11"/>
  <c r="B24" i="11"/>
  <c r="B35" i="11"/>
  <c r="B46" i="11"/>
  <c r="B57" i="11"/>
  <c r="B68" i="11"/>
  <c r="A13" i="11"/>
  <c r="A24" i="11"/>
  <c r="A35" i="11"/>
  <c r="A46" i="11"/>
  <c r="A57" i="11"/>
  <c r="A68" i="11"/>
  <c r="B12" i="11"/>
  <c r="B23" i="11"/>
  <c r="B34" i="11"/>
  <c r="B45" i="11"/>
  <c r="B56" i="11"/>
  <c r="B67" i="11"/>
  <c r="A12" i="11"/>
  <c r="A23" i="11"/>
  <c r="A34" i="11"/>
  <c r="A45" i="11"/>
  <c r="A56" i="11"/>
  <c r="A67" i="11"/>
  <c r="B11" i="11"/>
  <c r="B22" i="11"/>
  <c r="B33" i="11"/>
  <c r="B44" i="11"/>
  <c r="B55" i="11"/>
  <c r="B66" i="11"/>
  <c r="A11" i="11"/>
  <c r="A22" i="11"/>
  <c r="A33" i="11"/>
  <c r="A44" i="11"/>
  <c r="A55" i="11"/>
  <c r="A66" i="11"/>
  <c r="B10" i="11"/>
  <c r="B21" i="11"/>
  <c r="B32" i="11"/>
  <c r="B43" i="11"/>
  <c r="B54" i="11"/>
  <c r="B65" i="11"/>
  <c r="A10" i="11"/>
  <c r="A32" i="11"/>
  <c r="A43" i="11"/>
  <c r="A54" i="11"/>
  <c r="A65" i="11"/>
  <c r="B9" i="11"/>
  <c r="B20" i="11"/>
  <c r="B31" i="11"/>
  <c r="B42" i="11"/>
  <c r="B53" i="11"/>
  <c r="B64" i="11"/>
  <c r="A9" i="11"/>
  <c r="A20" i="11"/>
  <c r="A31" i="11"/>
  <c r="A42" i="11"/>
  <c r="A53" i="11"/>
  <c r="A64" i="11"/>
  <c r="B8" i="11"/>
  <c r="B19" i="11"/>
  <c r="B30" i="11"/>
  <c r="B41" i="11"/>
  <c r="B52" i="11"/>
  <c r="B63" i="11"/>
  <c r="A8" i="11"/>
  <c r="A19" i="11"/>
  <c r="A30" i="11"/>
  <c r="A41" i="11"/>
  <c r="A52" i="11"/>
  <c r="A63" i="11"/>
  <c r="B7" i="11"/>
  <c r="B18" i="11"/>
  <c r="B29" i="11"/>
  <c r="B40" i="11"/>
  <c r="B51" i="11"/>
  <c r="B62" i="11"/>
  <c r="A7" i="11"/>
  <c r="A18" i="11"/>
  <c r="A29" i="11"/>
  <c r="A40" i="11"/>
  <c r="A51" i="11"/>
  <c r="A62" i="11"/>
  <c r="B6" i="11"/>
  <c r="B17" i="11"/>
  <c r="B28" i="11"/>
  <c r="B39" i="11"/>
  <c r="B50" i="11"/>
  <c r="B61" i="11"/>
  <c r="A6" i="11"/>
  <c r="A17" i="11"/>
  <c r="A28" i="11"/>
  <c r="A39" i="11"/>
  <c r="A50" i="11"/>
  <c r="A61" i="11"/>
  <c r="B5" i="11"/>
  <c r="B16" i="11"/>
  <c r="B27" i="11"/>
  <c r="B38" i="11"/>
  <c r="B49" i="11"/>
  <c r="B60" i="11"/>
  <c r="A5" i="11"/>
  <c r="A16" i="11"/>
  <c r="A27" i="11"/>
  <c r="A38" i="11"/>
  <c r="A49" i="11"/>
  <c r="A60" i="11"/>
  <c r="B4" i="11"/>
  <c r="B15" i="11"/>
  <c r="B26" i="11"/>
  <c r="B37" i="11"/>
  <c r="B48" i="11"/>
  <c r="B59" i="11"/>
  <c r="A4" i="11"/>
  <c r="A15" i="11"/>
  <c r="A26" i="11"/>
  <c r="A37" i="11"/>
  <c r="A48" i="11"/>
  <c r="A59" i="11"/>
  <c r="B3" i="11"/>
  <c r="B14" i="11"/>
  <c r="B25" i="11"/>
  <c r="B36" i="11"/>
  <c r="B47" i="11"/>
  <c r="B58" i="11"/>
  <c r="A3" i="11"/>
  <c r="A14" i="11"/>
  <c r="A25" i="11"/>
  <c r="A36" i="11"/>
  <c r="A47" i="11"/>
  <c r="A58" i="11"/>
  <c r="G38" i="10" a="1"/>
  <c r="G38" i="10" s="1"/>
  <c r="G37" i="10" a="1"/>
  <c r="G37" i="10" s="1"/>
  <c r="G36" i="10" a="1"/>
  <c r="G36" i="10" s="1"/>
  <c r="G35" i="10" a="1"/>
  <c r="G35" i="10" s="1"/>
  <c r="H34" i="10"/>
  <c r="N33" i="10" a="1"/>
  <c r="N33" i="10" s="1"/>
  <c r="M33" i="10" a="1"/>
  <c r="M33" i="10" s="1"/>
  <c r="L33" i="10" a="1"/>
  <c r="L33" i="10" s="1"/>
  <c r="K33" i="10" a="1"/>
  <c r="K33" i="10" s="1"/>
  <c r="J33" i="10" a="1"/>
  <c r="J33" i="10" s="1"/>
  <c r="I33" i="10" a="1"/>
  <c r="I33" i="10" s="1"/>
  <c r="H33" i="10" a="1"/>
  <c r="H33" i="10" s="1"/>
  <c r="G33" i="10" a="1"/>
  <c r="G33" i="10" s="1"/>
  <c r="F33" i="10" a="1"/>
  <c r="F33" i="10" s="1"/>
  <c r="E33" i="10" a="1"/>
  <c r="E33" i="10" s="1"/>
  <c r="D33" i="10" a="1"/>
  <c r="D33" i="10" s="1"/>
  <c r="C23" i="10"/>
  <c r="C24" i="10" s="1"/>
  <c r="N23" i="10" a="1"/>
  <c r="N23" i="10" s="1"/>
  <c r="M23" i="10" a="1"/>
  <c r="M23" i="10" s="1"/>
  <c r="L23" i="10" a="1"/>
  <c r="L23" i="10" s="1"/>
  <c r="K23" i="10" a="1"/>
  <c r="K23" i="10" s="1"/>
  <c r="J23" i="10" a="1"/>
  <c r="J23" i="10" s="1"/>
  <c r="I23" i="10" a="1"/>
  <c r="I23" i="10" s="1"/>
  <c r="H23" i="10" a="1"/>
  <c r="H23" i="10" s="1"/>
  <c r="G23" i="10" a="1"/>
  <c r="G23" i="10" s="1"/>
  <c r="F23" i="10" a="1"/>
  <c r="F23" i="10" s="1"/>
  <c r="E23" i="10" a="1"/>
  <c r="E23" i="10" s="1"/>
  <c r="D23" i="10" a="1"/>
  <c r="D23" i="10" s="1"/>
  <c r="N22" i="10" a="1"/>
  <c r="N22" i="10" s="1"/>
  <c r="M22" i="10" a="1"/>
  <c r="M22" i="10" s="1"/>
  <c r="L22" i="10" a="1"/>
  <c r="L22" i="10" s="1"/>
  <c r="K22" i="10" a="1"/>
  <c r="K22" i="10" s="1"/>
  <c r="J22" i="10" a="1"/>
  <c r="J22" i="10" s="1"/>
  <c r="I22" i="10" a="1"/>
  <c r="I22" i="10" s="1"/>
  <c r="H22" i="10" a="1"/>
  <c r="H22" i="10" s="1"/>
  <c r="G22" i="10" a="1"/>
  <c r="G22" i="10" s="1"/>
  <c r="E9" i="10" s="1"/>
  <c r="F22" i="10" a="1"/>
  <c r="F22" i="10" s="1"/>
  <c r="E22" i="10" a="1"/>
  <c r="E22" i="10" s="1"/>
  <c r="D22" i="10" a="1"/>
  <c r="D22" i="10" s="1"/>
  <c r="A1" i="6" a="1"/>
  <c r="A1" i="6"/>
  <c r="B4" i="3"/>
  <c r="A2" i="6"/>
  <c r="B5" i="3"/>
  <c r="A3" i="6"/>
  <c r="B6" i="3"/>
  <c r="A4" i="6"/>
  <c r="B7" i="3"/>
  <c r="A5" i="6"/>
  <c r="B8" i="3"/>
  <c r="A6" i="6"/>
  <c r="B9" i="3"/>
  <c r="A7" i="6"/>
  <c r="B10" i="3"/>
  <c r="A8" i="6"/>
  <c r="B11" i="3"/>
  <c r="A9" i="6"/>
  <c r="B12" i="3"/>
  <c r="A10" i="6"/>
  <c r="B13" i="3"/>
  <c r="A11" i="6"/>
  <c r="B14" i="3"/>
  <c r="A12" i="6"/>
  <c r="B15" i="3"/>
  <c r="A13" i="6"/>
  <c r="B16" i="3"/>
  <c r="A14" i="6"/>
  <c r="B17" i="3"/>
  <c r="A15" i="6"/>
  <c r="B18" i="3"/>
  <c r="A16" i="6"/>
  <c r="D22" i="5" a="1"/>
  <c r="D22" i="5" s="1"/>
  <c r="C23" i="5"/>
  <c r="C24" i="5" s="1"/>
  <c r="D23" i="5" a="1"/>
  <c r="D23" i="5" s="1"/>
  <c r="D33" i="5" a="1"/>
  <c r="D33" i="5"/>
  <c r="E22" i="5" a="1"/>
  <c r="E22" i="5"/>
  <c r="C9" i="5" s="1"/>
  <c r="E23" i="5" a="1"/>
  <c r="E23" i="5"/>
  <c r="E33" i="5" a="1"/>
  <c r="E33" i="5" s="1"/>
  <c r="F22" i="5" a="1"/>
  <c r="F22" i="5" s="1"/>
  <c r="F23" i="5" a="1"/>
  <c r="F23" i="5" s="1"/>
  <c r="F33" i="5" a="1"/>
  <c r="F33" i="5" s="1"/>
  <c r="G22" i="5" a="1"/>
  <c r="G22" i="5"/>
  <c r="E9" i="5" s="1"/>
  <c r="AH9" i="5" s="1"/>
  <c r="G23" i="5" a="1"/>
  <c r="G23" i="5" s="1"/>
  <c r="G33" i="5" a="1"/>
  <c r="G33" i="5"/>
  <c r="H34" i="5"/>
  <c r="H22" i="5" a="1"/>
  <c r="H22" i="5" s="1"/>
  <c r="H23" i="5" a="1"/>
  <c r="H23" i="5" s="1"/>
  <c r="H33" i="5" a="1"/>
  <c r="H33" i="5" s="1"/>
  <c r="I22" i="5" a="1"/>
  <c r="I22" i="5" s="1"/>
  <c r="G9" i="5" s="1"/>
  <c r="I23" i="5" a="1"/>
  <c r="I23" i="5" s="1"/>
  <c r="I33" i="5" a="1"/>
  <c r="I33" i="5" s="1"/>
  <c r="J22" i="5" a="1"/>
  <c r="J22" i="5" s="1"/>
  <c r="J23" i="5" a="1"/>
  <c r="J23" i="5"/>
  <c r="J33" i="5" a="1"/>
  <c r="J33" i="5" s="1"/>
  <c r="K22" i="5" a="1"/>
  <c r="K22" i="5" s="1"/>
  <c r="K23" i="5" a="1"/>
  <c r="K23" i="5" s="1"/>
  <c r="K33" i="5" a="1"/>
  <c r="K33" i="5" s="1"/>
  <c r="L22" i="5" a="1"/>
  <c r="L22" i="5" s="1"/>
  <c r="J9" i="5" s="1"/>
  <c r="L23" i="5" a="1"/>
  <c r="L23" i="5" s="1"/>
  <c r="L33" i="5" a="1"/>
  <c r="L33" i="5" s="1"/>
  <c r="M22" i="5" a="1"/>
  <c r="M22" i="5" s="1"/>
  <c r="M23" i="5" a="1"/>
  <c r="M23" i="5" s="1"/>
  <c r="M33" i="5" a="1"/>
  <c r="M33" i="5" s="1"/>
  <c r="N22" i="5" a="1"/>
  <c r="N22" i="5" s="1"/>
  <c r="N23" i="5" a="1"/>
  <c r="N23" i="5" s="1"/>
  <c r="N33" i="5" a="1"/>
  <c r="N33" i="5" s="1"/>
  <c r="K121" i="8" a="1"/>
  <c r="K121" i="8"/>
  <c r="K122" i="8"/>
  <c r="K123" i="8"/>
  <c r="K124" i="8"/>
  <c r="K125" i="8"/>
  <c r="K126" i="8"/>
  <c r="K127" i="8"/>
  <c r="K128" i="8"/>
  <c r="K129" i="8"/>
  <c r="K130" i="8"/>
  <c r="K131" i="8"/>
  <c r="F121" i="8" a="1"/>
  <c r="F121" i="8"/>
  <c r="F122" i="8"/>
  <c r="F123" i="8"/>
  <c r="F124" i="8"/>
  <c r="F125" i="8"/>
  <c r="F126" i="8"/>
  <c r="F127" i="8"/>
  <c r="F128" i="8"/>
  <c r="F129" i="8"/>
  <c r="F130" i="8"/>
  <c r="F131" i="8"/>
  <c r="A121" i="8" a="1"/>
  <c r="A121" i="8"/>
  <c r="A122" i="8"/>
  <c r="A123" i="8"/>
  <c r="A124" i="8"/>
  <c r="A125" i="8"/>
  <c r="A126" i="8"/>
  <c r="A127" i="8"/>
  <c r="A128" i="8"/>
  <c r="A129" i="8"/>
  <c r="A130" i="8"/>
  <c r="A131" i="8"/>
  <c r="A82" i="8" a="1"/>
  <c r="A82" i="8"/>
  <c r="A83" i="8"/>
  <c r="A84" i="8"/>
  <c r="A85" i="8"/>
  <c r="A86" i="8"/>
  <c r="A87" i="8"/>
  <c r="A88" i="8"/>
  <c r="A89" i="8"/>
  <c r="A90" i="8"/>
  <c r="A91" i="8"/>
  <c r="A92" i="8"/>
  <c r="B81" i="8" a="1"/>
  <c r="B81" i="8"/>
  <c r="C81" i="8"/>
  <c r="D81" i="8"/>
  <c r="E81" i="8"/>
  <c r="F81" i="8"/>
  <c r="G81" i="8"/>
  <c r="H81" i="8"/>
  <c r="I81" i="8"/>
  <c r="J81" i="8"/>
  <c r="K81" i="8"/>
  <c r="L81" i="8"/>
  <c r="M81" i="8"/>
  <c r="N81" i="8"/>
  <c r="O81" i="8"/>
  <c r="P81" i="8"/>
  <c r="Q81" i="8"/>
  <c r="A62" i="8" a="1"/>
  <c r="A62" i="8"/>
  <c r="A63" i="8"/>
  <c r="A64" i="8"/>
  <c r="A65" i="8"/>
  <c r="A66" i="8"/>
  <c r="A67" i="8"/>
  <c r="A68" i="8"/>
  <c r="A69" i="8"/>
  <c r="A70" i="8"/>
  <c r="A71" i="8"/>
  <c r="A72" i="8"/>
  <c r="B61" i="8" a="1"/>
  <c r="B61" i="8"/>
  <c r="C61" i="8"/>
  <c r="D61" i="8"/>
  <c r="E61" i="8"/>
  <c r="F61" i="8"/>
  <c r="G61" i="8"/>
  <c r="H61" i="8"/>
  <c r="I61" i="8"/>
  <c r="J61" i="8"/>
  <c r="K61" i="8"/>
  <c r="L61" i="8"/>
  <c r="M61" i="8"/>
  <c r="N61" i="8"/>
  <c r="O61" i="8"/>
  <c r="P61" i="8"/>
  <c r="Q61" i="8"/>
  <c r="A42" i="8" a="1"/>
  <c r="A42" i="8"/>
  <c r="A43" i="8"/>
  <c r="A44" i="8"/>
  <c r="A45" i="8"/>
  <c r="A46" i="8"/>
  <c r="A47" i="8"/>
  <c r="A48" i="8"/>
  <c r="A49" i="8"/>
  <c r="A50" i="8"/>
  <c r="A51" i="8"/>
  <c r="A52" i="8"/>
  <c r="B41" i="8" a="1"/>
  <c r="B41" i="8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A22" i="8" a="1"/>
  <c r="A22" i="8"/>
  <c r="A23" i="8"/>
  <c r="A24" i="8"/>
  <c r="A25" i="8"/>
  <c r="A26" i="8"/>
  <c r="A27" i="8"/>
  <c r="A28" i="8"/>
  <c r="A29" i="8"/>
  <c r="A30" i="8"/>
  <c r="A31" i="8"/>
  <c r="A32" i="8"/>
  <c r="B21" i="8" a="1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A2" i="8" a="1"/>
  <c r="A2" i="8"/>
  <c r="A3" i="8"/>
  <c r="A4" i="8"/>
  <c r="A5" i="8"/>
  <c r="A6" i="8"/>
  <c r="A7" i="8"/>
  <c r="A8" i="8"/>
  <c r="A9" i="8"/>
  <c r="A10" i="8"/>
  <c r="A11" i="8"/>
  <c r="A12" i="8"/>
  <c r="B1" i="8" a="1"/>
  <c r="B1" i="8"/>
  <c r="C1" i="8"/>
  <c r="D1" i="8"/>
  <c r="E1" i="8"/>
  <c r="F1" i="8"/>
  <c r="G1" i="8"/>
  <c r="H1" i="8"/>
  <c r="I1" i="8"/>
  <c r="J1" i="8"/>
  <c r="K1" i="8"/>
  <c r="L1" i="8"/>
  <c r="M1" i="8"/>
  <c r="N1" i="8"/>
  <c r="O1" i="8"/>
  <c r="P1" i="8"/>
  <c r="Q1" i="8"/>
  <c r="A162" i="7" a="1"/>
  <c r="A162" i="7"/>
  <c r="A163" i="7"/>
  <c r="A164" i="7"/>
  <c r="A165" i="7"/>
  <c r="A166" i="7"/>
  <c r="A167" i="7"/>
  <c r="A168" i="7"/>
  <c r="A169" i="7"/>
  <c r="A170" i="7"/>
  <c r="A171" i="7"/>
  <c r="A172" i="7"/>
  <c r="A141" i="7" a="1"/>
  <c r="A141" i="7"/>
  <c r="A142" i="7"/>
  <c r="A143" i="7"/>
  <c r="A144" i="7"/>
  <c r="A145" i="7"/>
  <c r="A146" i="7"/>
  <c r="A147" i="7"/>
  <c r="A148" i="7"/>
  <c r="A149" i="7"/>
  <c r="A150" i="7"/>
  <c r="A151" i="7"/>
  <c r="A122" i="7" a="1"/>
  <c r="A122" i="7"/>
  <c r="A123" i="7"/>
  <c r="A124" i="7"/>
  <c r="A125" i="7"/>
  <c r="A126" i="7"/>
  <c r="A127" i="7"/>
  <c r="A128" i="7"/>
  <c r="A129" i="7"/>
  <c r="A130" i="7"/>
  <c r="A131" i="7"/>
  <c r="A132" i="7"/>
  <c r="B121" i="7" a="1"/>
  <c r="B121" i="7"/>
  <c r="C121" i="7"/>
  <c r="D121" i="7"/>
  <c r="E121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B101" i="7" a="1"/>
  <c r="B101" i="7"/>
  <c r="C101" i="7"/>
  <c r="D101" i="7"/>
  <c r="E101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A102" i="7" a="1"/>
  <c r="A102" i="7"/>
  <c r="A103" i="7"/>
  <c r="A104" i="7"/>
  <c r="A105" i="7"/>
  <c r="A106" i="7"/>
  <c r="A107" i="7"/>
  <c r="A108" i="7"/>
  <c r="A109" i="7"/>
  <c r="A110" i="7"/>
  <c r="A111" i="7"/>
  <c r="A112" i="7"/>
  <c r="B3" i="4" a="1"/>
  <c r="B3" i="4"/>
  <c r="B3" i="7"/>
  <c r="B4" i="4"/>
  <c r="B4" i="7"/>
  <c r="B5" i="4"/>
  <c r="B5" i="7"/>
  <c r="B6" i="4"/>
  <c r="B6" i="7"/>
  <c r="B7" i="4"/>
  <c r="B7" i="7"/>
  <c r="B8" i="4"/>
  <c r="B8" i="7"/>
  <c r="B9" i="4"/>
  <c r="B9" i="7"/>
  <c r="B10" i="4"/>
  <c r="B10" i="7"/>
  <c r="B11" i="4"/>
  <c r="B11" i="7"/>
  <c r="B12" i="4"/>
  <c r="B12" i="7"/>
  <c r="B13" i="4"/>
  <c r="B13" i="7"/>
  <c r="B14" i="4"/>
  <c r="B14" i="7"/>
  <c r="B15" i="4"/>
  <c r="B15" i="7"/>
  <c r="B16" i="4"/>
  <c r="B16" i="7"/>
  <c r="B17" i="4"/>
  <c r="B17" i="7"/>
  <c r="B18" i="4"/>
  <c r="B18" i="7"/>
  <c r="B19" i="4"/>
  <c r="B19" i="7"/>
  <c r="B20" i="4"/>
  <c r="B20" i="7"/>
  <c r="B21" i="4"/>
  <c r="B21" i="7"/>
  <c r="B22" i="4"/>
  <c r="B22" i="7"/>
  <c r="B23" i="4"/>
  <c r="B23" i="7"/>
  <c r="B24" i="4"/>
  <c r="B24" i="7"/>
  <c r="B25" i="4"/>
  <c r="B25" i="7"/>
  <c r="B26" i="4"/>
  <c r="B26" i="7"/>
  <c r="B27" i="4"/>
  <c r="B27" i="7"/>
  <c r="B28" i="4"/>
  <c r="B28" i="7"/>
  <c r="B29" i="4"/>
  <c r="B29" i="7"/>
  <c r="B30" i="4"/>
  <c r="B30" i="7"/>
  <c r="B31" i="4"/>
  <c r="B31" i="7"/>
  <c r="B32" i="4"/>
  <c r="B32" i="7"/>
  <c r="B33" i="4"/>
  <c r="B33" i="7"/>
  <c r="B34" i="4"/>
  <c r="B34" i="7"/>
  <c r="B35" i="4"/>
  <c r="B35" i="7"/>
  <c r="B36" i="4"/>
  <c r="B36" i="7"/>
  <c r="B37" i="4"/>
  <c r="B37" i="7"/>
  <c r="B38" i="4"/>
  <c r="B38" i="7"/>
  <c r="B39" i="4"/>
  <c r="B39" i="7"/>
  <c r="B40" i="4"/>
  <c r="B40" i="7"/>
  <c r="B41" i="4"/>
  <c r="B41" i="7"/>
  <c r="B42" i="4"/>
  <c r="B42" i="7"/>
  <c r="B43" i="4"/>
  <c r="B43" i="7"/>
  <c r="B44" i="4"/>
  <c r="B44" i="7"/>
  <c r="B45" i="4"/>
  <c r="B45" i="7"/>
  <c r="B46" i="4"/>
  <c r="B46" i="7"/>
  <c r="B47" i="4"/>
  <c r="B47" i="7"/>
  <c r="B48" i="4"/>
  <c r="B48" i="7"/>
  <c r="B49" i="4"/>
  <c r="B49" i="7"/>
  <c r="B50" i="4"/>
  <c r="B50" i="7"/>
  <c r="B51" i="4"/>
  <c r="B51" i="7"/>
  <c r="B52" i="4"/>
  <c r="B52" i="7"/>
  <c r="B53" i="4"/>
  <c r="B53" i="7"/>
  <c r="B54" i="4"/>
  <c r="B54" i="7"/>
  <c r="B55" i="4"/>
  <c r="B55" i="7"/>
  <c r="B56" i="4"/>
  <c r="B56" i="7"/>
  <c r="B57" i="4"/>
  <c r="B57" i="7"/>
  <c r="B58" i="4"/>
  <c r="B58" i="7"/>
  <c r="B59" i="4"/>
  <c r="B59" i="7"/>
  <c r="B60" i="4"/>
  <c r="B60" i="7"/>
  <c r="B61" i="4"/>
  <c r="B61" i="7"/>
  <c r="B62" i="4"/>
  <c r="B62" i="7"/>
  <c r="B63" i="4"/>
  <c r="B63" i="7"/>
  <c r="B64" i="4"/>
  <c r="B64" i="7"/>
  <c r="B65" i="4"/>
  <c r="B65" i="7"/>
  <c r="B66" i="4"/>
  <c r="B66" i="7"/>
  <c r="B67" i="4"/>
  <c r="B67" i="7"/>
  <c r="B68" i="4"/>
  <c r="B68" i="7"/>
  <c r="A4" i="4"/>
  <c r="A4" i="7"/>
  <c r="A5" i="4"/>
  <c r="A5" i="7"/>
  <c r="A6" i="4"/>
  <c r="A6" i="7"/>
  <c r="A7" i="4"/>
  <c r="A7" i="7"/>
  <c r="A8" i="4"/>
  <c r="A8" i="7"/>
  <c r="A9" i="4"/>
  <c r="A9" i="7"/>
  <c r="A10" i="4"/>
  <c r="A10" i="7"/>
  <c r="A11" i="4"/>
  <c r="A11" i="7"/>
  <c r="A12" i="4"/>
  <c r="A12" i="7"/>
  <c r="A13" i="4"/>
  <c r="A13" i="7"/>
  <c r="A3" i="4"/>
  <c r="A14" i="4"/>
  <c r="A14" i="7"/>
  <c r="A15" i="4"/>
  <c r="A15" i="7"/>
  <c r="A16" i="4"/>
  <c r="A16" i="7"/>
  <c r="A17" i="4"/>
  <c r="A17" i="7"/>
  <c r="A18" i="4"/>
  <c r="A18" i="7"/>
  <c r="A19" i="4"/>
  <c r="A19" i="7"/>
  <c r="A20" i="4"/>
  <c r="A20" i="7"/>
  <c r="A21" i="4"/>
  <c r="A21" i="7"/>
  <c r="A22" i="4"/>
  <c r="A22" i="7"/>
  <c r="A23" i="4"/>
  <c r="A23" i="7"/>
  <c r="A24" i="4"/>
  <c r="A24" i="7"/>
  <c r="A25" i="4"/>
  <c r="A25" i="7"/>
  <c r="A26" i="4"/>
  <c r="A26" i="7"/>
  <c r="A27" i="4"/>
  <c r="A27" i="7"/>
  <c r="A28" i="4"/>
  <c r="A28" i="7"/>
  <c r="A29" i="4"/>
  <c r="A29" i="7"/>
  <c r="A30" i="4"/>
  <c r="A30" i="7"/>
  <c r="A31" i="4"/>
  <c r="A31" i="7"/>
  <c r="A32" i="4"/>
  <c r="A32" i="7"/>
  <c r="A33" i="4"/>
  <c r="A33" i="7"/>
  <c r="A34" i="4"/>
  <c r="A34" i="7"/>
  <c r="A35" i="4"/>
  <c r="A35" i="7"/>
  <c r="A36" i="4"/>
  <c r="A36" i="7"/>
  <c r="A37" i="4"/>
  <c r="A37" i="7"/>
  <c r="A38" i="4"/>
  <c r="A38" i="7"/>
  <c r="A39" i="4"/>
  <c r="A39" i="7"/>
  <c r="A40" i="4"/>
  <c r="A40" i="7"/>
  <c r="A41" i="4"/>
  <c r="A41" i="7"/>
  <c r="A42" i="4"/>
  <c r="A42" i="7"/>
  <c r="A43" i="4"/>
  <c r="A43" i="7"/>
  <c r="A44" i="4"/>
  <c r="A44" i="7"/>
  <c r="A45" i="4"/>
  <c r="A45" i="7"/>
  <c r="A46" i="4"/>
  <c r="A46" i="7"/>
  <c r="A47" i="4"/>
  <c r="A47" i="7"/>
  <c r="A48" i="4"/>
  <c r="A48" i="7"/>
  <c r="A49" i="4"/>
  <c r="A49" i="7"/>
  <c r="A50" i="4"/>
  <c r="A50" i="7"/>
  <c r="A51" i="4"/>
  <c r="A51" i="7"/>
  <c r="A52" i="4"/>
  <c r="A52" i="7"/>
  <c r="A53" i="4"/>
  <c r="A53" i="7"/>
  <c r="A54" i="4"/>
  <c r="A54" i="7"/>
  <c r="A55" i="4"/>
  <c r="A55" i="7"/>
  <c r="A56" i="4"/>
  <c r="A56" i="7"/>
  <c r="A57" i="4"/>
  <c r="A57" i="7"/>
  <c r="A58" i="4"/>
  <c r="A58" i="7"/>
  <c r="A59" i="4"/>
  <c r="A59" i="7"/>
  <c r="A60" i="4"/>
  <c r="A60" i="7"/>
  <c r="A61" i="4"/>
  <c r="A61" i="7"/>
  <c r="A62" i="4"/>
  <c r="A62" i="7"/>
  <c r="A63" i="4"/>
  <c r="A63" i="7"/>
  <c r="A64" i="4"/>
  <c r="A64" i="7"/>
  <c r="A65" i="4"/>
  <c r="A65" i="7"/>
  <c r="A66" i="4"/>
  <c r="A66" i="7"/>
  <c r="A67" i="4"/>
  <c r="A67" i="7"/>
  <c r="A68" i="4"/>
  <c r="A68" i="7"/>
  <c r="A3" i="7"/>
  <c r="K24" i="10" l="1" a="1"/>
  <c r="K24" i="10" s="1"/>
  <c r="D24" i="10" a="1"/>
  <c r="D24" i="10" s="1"/>
  <c r="J24" i="10" a="1"/>
  <c r="J24" i="10" s="1"/>
  <c r="I24" i="10" a="1"/>
  <c r="I24" i="10" s="1"/>
  <c r="E24" i="10" a="1"/>
  <c r="E24" i="10" s="1"/>
  <c r="H24" i="10" a="1"/>
  <c r="H24" i="10" s="1"/>
  <c r="N24" i="10" a="1"/>
  <c r="N24" i="10" s="1"/>
  <c r="L24" i="10" a="1"/>
  <c r="L24" i="10" s="1"/>
  <c r="M24" i="10" a="1"/>
  <c r="M24" i="10" s="1"/>
  <c r="K2" i="10" s="1"/>
  <c r="G24" i="10" a="1"/>
  <c r="G24" i="10" s="1"/>
  <c r="C25" i="10"/>
  <c r="F24" i="10" a="1"/>
  <c r="F24" i="10" s="1"/>
  <c r="H10" i="10"/>
  <c r="E4" i="10"/>
  <c r="U9" i="5"/>
  <c r="C12" i="5"/>
  <c r="J6" i="5"/>
  <c r="L4" i="5"/>
  <c r="L3" i="5"/>
  <c r="H6" i="5"/>
  <c r="H9" i="5"/>
  <c r="F9" i="5"/>
  <c r="F10" i="5"/>
  <c r="D12" i="5"/>
  <c r="D9" i="5"/>
  <c r="K9" i="5"/>
  <c r="K7" i="5"/>
  <c r="K24" i="5" a="1"/>
  <c r="K24" i="5" s="1"/>
  <c r="D24" i="5" a="1"/>
  <c r="D24" i="5" s="1"/>
  <c r="L24" i="5" a="1"/>
  <c r="L24" i="5" s="1"/>
  <c r="N24" i="5" a="1"/>
  <c r="N24" i="5" s="1"/>
  <c r="E24" i="5" a="1"/>
  <c r="E24" i="5" s="1"/>
  <c r="M24" i="5" a="1"/>
  <c r="M24" i="5" s="1"/>
  <c r="C25" i="5"/>
  <c r="F24" i="5" a="1"/>
  <c r="F24" i="5" s="1"/>
  <c r="G24" i="5" a="1"/>
  <c r="G24" i="5" s="1"/>
  <c r="H24" i="5" a="1"/>
  <c r="H24" i="5" s="1"/>
  <c r="I24" i="5" a="1"/>
  <c r="I24" i="5" s="1"/>
  <c r="J24" i="5" a="1"/>
  <c r="J24" i="5" s="1"/>
  <c r="I3" i="5"/>
  <c r="I4" i="5"/>
  <c r="I2" i="5"/>
  <c r="B9" i="5"/>
  <c r="B11" i="5"/>
  <c r="E4" i="5"/>
  <c r="AH4" i="5" s="1"/>
  <c r="G11" i="5"/>
  <c r="K11" i="19"/>
  <c r="I11" i="15"/>
  <c r="K50" i="19"/>
  <c r="I50" i="15"/>
  <c r="L66" i="19"/>
  <c r="J66" i="15"/>
  <c r="L61" i="19"/>
  <c r="J61" i="15"/>
  <c r="K25" i="19"/>
  <c r="I25" i="15"/>
  <c r="K54" i="19"/>
  <c r="I54" i="15"/>
  <c r="L30" i="19"/>
  <c r="J30" i="15"/>
  <c r="K46" i="19"/>
  <c r="I46" i="15"/>
  <c r="K31" i="19"/>
  <c r="I31" i="15"/>
  <c r="K36" i="19"/>
  <c r="I36" i="15"/>
  <c r="K19" i="19"/>
  <c r="I19" i="15"/>
  <c r="L3" i="19"/>
  <c r="J3" i="15"/>
  <c r="K63" i="19"/>
  <c r="I63" i="15"/>
  <c r="L64" i="19"/>
  <c r="J64" i="15"/>
  <c r="K18" i="19"/>
  <c r="I18" i="15"/>
  <c r="L40" i="19"/>
  <c r="J40" i="15"/>
  <c r="L57" i="19"/>
  <c r="J57" i="15"/>
  <c r="K30" i="19"/>
  <c r="I30" i="15"/>
  <c r="L67" i="19"/>
  <c r="J67" i="15"/>
  <c r="L50" i="19"/>
  <c r="J50" i="15"/>
  <c r="L54" i="19"/>
  <c r="J54" i="15"/>
  <c r="L33" i="19"/>
  <c r="J33" i="15"/>
  <c r="L60" i="19"/>
  <c r="J60" i="15"/>
  <c r="L65" i="19"/>
  <c r="J65" i="15"/>
  <c r="K68" i="19"/>
  <c r="I68" i="15"/>
  <c r="L26" i="19"/>
  <c r="J26" i="15"/>
  <c r="L63" i="19"/>
  <c r="J63" i="15"/>
  <c r="K6" i="19"/>
  <c r="I6" i="15"/>
  <c r="L28" i="19"/>
  <c r="J28" i="15"/>
  <c r="K20" i="19"/>
  <c r="I20" i="15"/>
  <c r="L46" i="19"/>
  <c r="J46" i="15"/>
  <c r="K42" i="19"/>
  <c r="I42" i="15"/>
  <c r="L10" i="19"/>
  <c r="J10" i="15"/>
  <c r="L9" i="19"/>
  <c r="J9" i="15"/>
  <c r="L23" i="19"/>
  <c r="J23" i="15"/>
  <c r="L37" i="19"/>
  <c r="J37" i="15"/>
  <c r="L55" i="19"/>
  <c r="J55" i="15"/>
  <c r="L44" i="19"/>
  <c r="J44" i="15"/>
  <c r="L6" i="19"/>
  <c r="J6" i="15"/>
  <c r="L34" i="19"/>
  <c r="J34" i="15"/>
  <c r="L12" i="19"/>
  <c r="J12" i="15"/>
  <c r="K49" i="19"/>
  <c r="I49" i="15"/>
  <c r="K51" i="19"/>
  <c r="I51" i="15"/>
  <c r="L21" i="19"/>
  <c r="J21" i="15"/>
  <c r="L35" i="19"/>
  <c r="J35" i="15"/>
  <c r="K17" i="19"/>
  <c r="I17" i="15"/>
  <c r="K3" i="19"/>
  <c r="I3" i="15"/>
  <c r="K35" i="19"/>
  <c r="I35" i="15"/>
  <c r="L38" i="19"/>
  <c r="J38" i="15"/>
  <c r="K24" i="19"/>
  <c r="I24" i="15"/>
  <c r="L22" i="19"/>
  <c r="J22" i="15"/>
  <c r="L59" i="19"/>
  <c r="J59" i="15"/>
  <c r="L41" i="19"/>
  <c r="J41" i="15"/>
  <c r="L52" i="19"/>
  <c r="J52" i="15"/>
  <c r="K34" i="19"/>
  <c r="I34" i="15"/>
  <c r="K10" i="19"/>
  <c r="I10" i="15"/>
  <c r="K32" i="19"/>
  <c r="I32" i="15"/>
  <c r="L49" i="19"/>
  <c r="J49" i="15"/>
  <c r="K52" i="19"/>
  <c r="I52" i="15"/>
  <c r="L4" i="19"/>
  <c r="J4" i="15"/>
  <c r="K53" i="19"/>
  <c r="I53" i="15"/>
  <c r="K29" i="19"/>
  <c r="I29" i="15"/>
  <c r="K59" i="19"/>
  <c r="I59" i="15"/>
  <c r="K65" i="19"/>
  <c r="I65" i="15"/>
  <c r="K60" i="19"/>
  <c r="I60" i="15"/>
  <c r="L11" i="19"/>
  <c r="J11" i="15"/>
  <c r="K13" i="19"/>
  <c r="I13" i="15"/>
  <c r="K27" i="19"/>
  <c r="I27" i="15"/>
  <c r="L68" i="19"/>
  <c r="J68" i="15"/>
  <c r="K58" i="19"/>
  <c r="I58" i="15"/>
  <c r="L7" i="19"/>
  <c r="J7" i="15"/>
  <c r="K39" i="19"/>
  <c r="I39" i="15"/>
  <c r="L16" i="19"/>
  <c r="J16" i="15"/>
  <c r="L48" i="19"/>
  <c r="J48" i="15"/>
  <c r="L47" i="19"/>
  <c r="J47" i="15"/>
  <c r="K16" i="19"/>
  <c r="I16" i="15"/>
  <c r="K47" i="19"/>
  <c r="I47" i="15"/>
  <c r="K23" i="19"/>
  <c r="I23" i="15"/>
  <c r="K67" i="19"/>
  <c r="I67" i="15"/>
  <c r="K41" i="19"/>
  <c r="I41" i="15"/>
  <c r="K26" i="19"/>
  <c r="I26" i="15"/>
  <c r="L56" i="19"/>
  <c r="J56" i="15"/>
  <c r="K4" i="19"/>
  <c r="I4" i="15"/>
  <c r="K57" i="19"/>
  <c r="I57" i="15"/>
  <c r="K15" i="19"/>
  <c r="I15" i="15"/>
  <c r="L20" i="19"/>
  <c r="J20" i="15"/>
  <c r="L27" i="19"/>
  <c r="J27" i="15"/>
  <c r="K14" i="19"/>
  <c r="I14" i="15"/>
  <c r="K40" i="19"/>
  <c r="I40" i="15"/>
  <c r="L36" i="19"/>
  <c r="J36" i="15"/>
  <c r="L58" i="19"/>
  <c r="J58" i="15"/>
  <c r="L14" i="19"/>
  <c r="J14" i="15"/>
  <c r="K8" i="19"/>
  <c r="I8" i="15"/>
  <c r="K9" i="19"/>
  <c r="I9" i="15"/>
  <c r="K44" i="19"/>
  <c r="I44" i="15"/>
  <c r="K64" i="19"/>
  <c r="I64" i="15"/>
  <c r="K66" i="19"/>
  <c r="I66" i="15"/>
  <c r="K33" i="19"/>
  <c r="I33" i="15"/>
  <c r="L5" i="19"/>
  <c r="J5" i="15"/>
  <c r="L8" i="19"/>
  <c r="J8" i="15"/>
  <c r="K22" i="19"/>
  <c r="I22" i="15"/>
  <c r="L32" i="19"/>
  <c r="J32" i="15"/>
  <c r="L29" i="19"/>
  <c r="J29" i="15"/>
  <c r="L15" i="19"/>
  <c r="J15" i="15"/>
  <c r="L17" i="19"/>
  <c r="J17" i="15"/>
  <c r="L31" i="19"/>
  <c r="J31" i="15"/>
  <c r="L19" i="19"/>
  <c r="J19" i="15"/>
  <c r="K48" i="19"/>
  <c r="I48" i="15"/>
  <c r="K56" i="19"/>
  <c r="I56" i="15"/>
  <c r="L24" i="19"/>
  <c r="J24" i="15"/>
  <c r="K43" i="19"/>
  <c r="I43" i="15"/>
  <c r="L39" i="19"/>
  <c r="J39" i="15"/>
  <c r="L62" i="19"/>
  <c r="J62" i="15"/>
  <c r="K12" i="19"/>
  <c r="I12" i="15"/>
  <c r="L53" i="19"/>
  <c r="J53" i="15"/>
  <c r="L45" i="19"/>
  <c r="J45" i="15"/>
  <c r="K7" i="19"/>
  <c r="I7" i="15"/>
  <c r="K45" i="19"/>
  <c r="I45" i="15"/>
  <c r="L51" i="19"/>
  <c r="J51" i="15"/>
  <c r="K5" i="19"/>
  <c r="I5" i="15"/>
  <c r="K61" i="19"/>
  <c r="I61" i="15"/>
  <c r="K37" i="19"/>
  <c r="I37" i="15"/>
  <c r="L13" i="19"/>
  <c r="J13" i="15"/>
  <c r="K62" i="19"/>
  <c r="I62" i="15"/>
  <c r="L43" i="19"/>
  <c r="J43" i="15"/>
  <c r="L42" i="19"/>
  <c r="J42" i="15"/>
  <c r="L25" i="19"/>
  <c r="J25" i="15"/>
  <c r="K28" i="19"/>
  <c r="I28" i="15"/>
  <c r="K55" i="19"/>
  <c r="I55" i="15"/>
  <c r="L18" i="19"/>
  <c r="J18" i="15"/>
  <c r="K21" i="19"/>
  <c r="I21" i="15"/>
  <c r="K38" i="19"/>
  <c r="I38" i="15"/>
  <c r="J9" i="10"/>
  <c r="J6" i="10"/>
  <c r="K7" i="10"/>
  <c r="K9" i="10"/>
  <c r="F10" i="10"/>
  <c r="F9" i="10"/>
  <c r="F8" i="10"/>
  <c r="L4" i="10"/>
  <c r="L3" i="10"/>
  <c r="G9" i="10"/>
  <c r="G11" i="10"/>
  <c r="B9" i="10"/>
  <c r="B11" i="10"/>
  <c r="I2" i="10"/>
  <c r="C12" i="10"/>
  <c r="C4" i="10"/>
  <c r="C9" i="10"/>
  <c r="D9" i="10"/>
  <c r="D12" i="10"/>
  <c r="H6" i="10"/>
  <c r="I4" i="10"/>
  <c r="H9" i="10"/>
  <c r="I3" i="10"/>
  <c r="C1" i="4"/>
  <c r="E1" i="4" s="1"/>
  <c r="G1" i="4" s="1"/>
  <c r="I1" i="4" s="1"/>
  <c r="K1" i="4" s="1"/>
  <c r="M1" i="4" s="1"/>
  <c r="O1" i="4" s="1"/>
  <c r="Q1" i="4" s="1"/>
  <c r="S1" i="4" s="1"/>
  <c r="U1" i="4" s="1"/>
  <c r="W1" i="4" s="1"/>
  <c r="Y1" i="4" s="1"/>
  <c r="AA1" i="4" s="1"/>
  <c r="AC1" i="4" s="1"/>
  <c r="AE1" i="4" s="1"/>
  <c r="AG1" i="4" s="1"/>
  <c r="C1" i="14"/>
  <c r="E1" i="14" s="1"/>
  <c r="G1" i="14" s="1"/>
  <c r="I1" i="14" s="1"/>
  <c r="K1" i="14" s="1"/>
  <c r="M1" i="14" s="1"/>
  <c r="O1" i="14" s="1"/>
  <c r="Q1" i="14" s="1"/>
  <c r="S1" i="14" s="1"/>
  <c r="U1" i="14" s="1"/>
  <c r="W1" i="14" s="1"/>
  <c r="Y1" i="14" s="1"/>
  <c r="AA1" i="14" s="1"/>
  <c r="AC1" i="14" s="1"/>
  <c r="AE1" i="14" s="1"/>
  <c r="AG1" i="14" s="1"/>
  <c r="C1" i="11"/>
  <c r="E1" i="11" s="1"/>
  <c r="G1" i="11" s="1"/>
  <c r="I1" i="11" s="1"/>
  <c r="K1" i="11" s="1"/>
  <c r="M1" i="11" s="1"/>
  <c r="O1" i="11" s="1"/>
  <c r="Q1" i="11" s="1"/>
  <c r="S1" i="11" s="1"/>
  <c r="U1" i="11" s="1"/>
  <c r="W1" i="11" s="1"/>
  <c r="Y1" i="11" s="1"/>
  <c r="AA1" i="11" s="1"/>
  <c r="AC1" i="11" s="1"/>
  <c r="AE1" i="11" s="1"/>
  <c r="AG1" i="11" s="1"/>
  <c r="J8" i="10" l="1"/>
  <c r="D3" i="10"/>
  <c r="C26" i="10"/>
  <c r="N25" i="10" a="1"/>
  <c r="N25" i="10" s="1"/>
  <c r="G25" i="10" a="1"/>
  <c r="G25" i="10" s="1"/>
  <c r="M25" i="10" a="1"/>
  <c r="M25" i="10" s="1"/>
  <c r="F25" i="10" a="1"/>
  <c r="F25" i="10" s="1"/>
  <c r="E25" i="10" a="1"/>
  <c r="E25" i="10" s="1"/>
  <c r="L25" i="10" a="1"/>
  <c r="L25" i="10" s="1"/>
  <c r="D25" i="10" a="1"/>
  <c r="D25" i="10" s="1"/>
  <c r="H25" i="10" a="1"/>
  <c r="H25" i="10" s="1"/>
  <c r="K25" i="10" a="1"/>
  <c r="K25" i="10" s="1"/>
  <c r="J25" i="10" a="1"/>
  <c r="J25" i="10" s="1"/>
  <c r="I25" i="10" a="1"/>
  <c r="I25" i="10" s="1"/>
  <c r="U4" i="5"/>
  <c r="H10" i="5"/>
  <c r="J25" i="5" a="1"/>
  <c r="J25" i="5" s="1"/>
  <c r="K25" i="5" a="1"/>
  <c r="K25" i="5" s="1"/>
  <c r="L25" i="5" a="1"/>
  <c r="L25" i="5" s="1"/>
  <c r="E25" i="5" a="1"/>
  <c r="E25" i="5" s="1"/>
  <c r="D25" i="5" a="1"/>
  <c r="D25" i="5" s="1"/>
  <c r="F25" i="5" a="1"/>
  <c r="F25" i="5" s="1"/>
  <c r="D5" i="5" s="1"/>
  <c r="N25" i="5" a="1"/>
  <c r="N25" i="5" s="1"/>
  <c r="C26" i="5"/>
  <c r="G25" i="5" a="1"/>
  <c r="G25" i="5" s="1"/>
  <c r="H25" i="5" a="1"/>
  <c r="H25" i="5" s="1"/>
  <c r="M25" i="5" a="1"/>
  <c r="M25" i="5" s="1"/>
  <c r="I25" i="5" a="1"/>
  <c r="I25" i="5" s="1"/>
  <c r="D3" i="5"/>
  <c r="J8" i="5"/>
  <c r="C4" i="5"/>
  <c r="K2" i="5"/>
  <c r="F8" i="5"/>
  <c r="M38" i="19"/>
  <c r="K38" i="15"/>
  <c r="M28" i="19"/>
  <c r="K28" i="15"/>
  <c r="M62" i="19"/>
  <c r="K62" i="15"/>
  <c r="M5" i="19"/>
  <c r="K5" i="15"/>
  <c r="N45" i="19"/>
  <c r="L45" i="15"/>
  <c r="N39" i="19"/>
  <c r="L39" i="15"/>
  <c r="M48" i="19"/>
  <c r="K48" i="15"/>
  <c r="N15" i="19"/>
  <c r="L15" i="15"/>
  <c r="N8" i="19"/>
  <c r="L8" i="15"/>
  <c r="M64" i="19"/>
  <c r="K64" i="15"/>
  <c r="N14" i="19"/>
  <c r="L14" i="15"/>
  <c r="M14" i="19"/>
  <c r="K14" i="15"/>
  <c r="J36" i="18"/>
  <c r="M57" i="19"/>
  <c r="K57" i="15"/>
  <c r="M41" i="19"/>
  <c r="K41" i="15"/>
  <c r="M16" i="19"/>
  <c r="K16" i="15"/>
  <c r="J38" i="18"/>
  <c r="M39" i="19"/>
  <c r="K39" i="15"/>
  <c r="M27" i="19"/>
  <c r="K27" i="15"/>
  <c r="M65" i="19"/>
  <c r="K65" i="15"/>
  <c r="N4" i="19"/>
  <c r="L4" i="15"/>
  <c r="M10" i="19"/>
  <c r="K10" i="15"/>
  <c r="N59" i="19"/>
  <c r="L59" i="15"/>
  <c r="M35" i="19"/>
  <c r="K35" i="15"/>
  <c r="N21" i="19"/>
  <c r="L21" i="15"/>
  <c r="N34" i="19"/>
  <c r="L34" i="15"/>
  <c r="N37" i="19"/>
  <c r="L37" i="15"/>
  <c r="M42" i="19"/>
  <c r="K42" i="15"/>
  <c r="M6" i="19"/>
  <c r="K6" i="15"/>
  <c r="N65" i="19"/>
  <c r="L65" i="15"/>
  <c r="N50" i="19"/>
  <c r="L50" i="15"/>
  <c r="N40" i="19"/>
  <c r="L40" i="15"/>
  <c r="N3" i="19"/>
  <c r="L3" i="15"/>
  <c r="M46" i="19"/>
  <c r="K46" i="15"/>
  <c r="N61" i="19"/>
  <c r="L61" i="15"/>
  <c r="M21" i="19"/>
  <c r="K21" i="15"/>
  <c r="J43" i="18"/>
  <c r="N25" i="19"/>
  <c r="L25" i="15"/>
  <c r="N13" i="19"/>
  <c r="L13" i="15"/>
  <c r="N51" i="19"/>
  <c r="L51" i="15"/>
  <c r="N53" i="19"/>
  <c r="L53" i="15"/>
  <c r="M43" i="19"/>
  <c r="K43" i="15"/>
  <c r="N19" i="19"/>
  <c r="L19" i="15"/>
  <c r="N29" i="19"/>
  <c r="L29" i="15"/>
  <c r="N5" i="19"/>
  <c r="L5" i="15"/>
  <c r="M44" i="19"/>
  <c r="K44" i="15"/>
  <c r="N58" i="19"/>
  <c r="L58" i="15"/>
  <c r="N27" i="19"/>
  <c r="L27" i="15"/>
  <c r="M4" i="19"/>
  <c r="K4" i="15"/>
  <c r="M67" i="19"/>
  <c r="K67" i="15"/>
  <c r="N47" i="19"/>
  <c r="L47" i="15"/>
  <c r="N7" i="19"/>
  <c r="L7" i="15"/>
  <c r="M13" i="19"/>
  <c r="K13" i="15"/>
  <c r="M59" i="19"/>
  <c r="K59" i="15"/>
  <c r="M52" i="19"/>
  <c r="K52" i="15"/>
  <c r="M34" i="19"/>
  <c r="K34" i="15"/>
  <c r="N22" i="19"/>
  <c r="L22" i="15"/>
  <c r="M3" i="19"/>
  <c r="K3" i="15"/>
  <c r="M51" i="19"/>
  <c r="K51" i="15"/>
  <c r="N6" i="19"/>
  <c r="L6" i="15"/>
  <c r="N23" i="19"/>
  <c r="L23" i="15"/>
  <c r="N46" i="19"/>
  <c r="L46" i="15"/>
  <c r="N63" i="19"/>
  <c r="L63" i="15"/>
  <c r="N60" i="19"/>
  <c r="L60" i="15"/>
  <c r="N67" i="19"/>
  <c r="L67" i="15"/>
  <c r="M18" i="19"/>
  <c r="K18" i="15"/>
  <c r="J40" i="18"/>
  <c r="M19" i="19"/>
  <c r="K19" i="15"/>
  <c r="J41" i="18"/>
  <c r="N30" i="19"/>
  <c r="L30" i="15"/>
  <c r="N66" i="19"/>
  <c r="L66" i="15"/>
  <c r="N18" i="19"/>
  <c r="L18" i="15"/>
  <c r="N42" i="19"/>
  <c r="L42" i="15"/>
  <c r="M37" i="19"/>
  <c r="K37" i="15"/>
  <c r="M45" i="19"/>
  <c r="K45" i="15"/>
  <c r="M12" i="19"/>
  <c r="K12" i="15"/>
  <c r="N24" i="19"/>
  <c r="L24" i="15"/>
  <c r="N31" i="19"/>
  <c r="L31" i="15"/>
  <c r="N32" i="19"/>
  <c r="L32" i="15"/>
  <c r="M33" i="19"/>
  <c r="K33" i="15"/>
  <c r="M9" i="19"/>
  <c r="K9" i="15"/>
  <c r="N36" i="19"/>
  <c r="L36" i="15"/>
  <c r="N20" i="19"/>
  <c r="L20" i="15"/>
  <c r="N56" i="19"/>
  <c r="L56" i="15"/>
  <c r="M23" i="19"/>
  <c r="K23" i="15"/>
  <c r="G45" i="18" s="1"/>
  <c r="J45" i="18"/>
  <c r="N48" i="19"/>
  <c r="L48" i="15"/>
  <c r="M58" i="19"/>
  <c r="K58" i="15"/>
  <c r="N11" i="19"/>
  <c r="L11" i="15"/>
  <c r="M29" i="19"/>
  <c r="K29" i="15"/>
  <c r="N49" i="19"/>
  <c r="L49" i="15"/>
  <c r="N52" i="19"/>
  <c r="L52" i="15"/>
  <c r="M24" i="19"/>
  <c r="K24" i="15"/>
  <c r="J46" i="18"/>
  <c r="M17" i="19"/>
  <c r="K17" i="15"/>
  <c r="J39" i="18"/>
  <c r="M49" i="19"/>
  <c r="K49" i="15"/>
  <c r="N44" i="19"/>
  <c r="L44" i="15"/>
  <c r="N9" i="19"/>
  <c r="L9" i="15"/>
  <c r="M20" i="19"/>
  <c r="K20" i="15"/>
  <c r="J42" i="18"/>
  <c r="N26" i="19"/>
  <c r="L26" i="15"/>
  <c r="N33" i="19"/>
  <c r="L33" i="15"/>
  <c r="M30" i="19"/>
  <c r="K30" i="15"/>
  <c r="N64" i="19"/>
  <c r="L64" i="15"/>
  <c r="M36" i="19"/>
  <c r="K36" i="15"/>
  <c r="M54" i="19"/>
  <c r="K54" i="15"/>
  <c r="M50" i="19"/>
  <c r="K50" i="15"/>
  <c r="M55" i="19"/>
  <c r="K55" i="15"/>
  <c r="N43" i="19"/>
  <c r="L43" i="15"/>
  <c r="M61" i="19"/>
  <c r="K61" i="15"/>
  <c r="M7" i="19"/>
  <c r="K7" i="15"/>
  <c r="N62" i="19"/>
  <c r="L62" i="15"/>
  <c r="M56" i="19"/>
  <c r="K56" i="15"/>
  <c r="N17" i="19"/>
  <c r="L17" i="15"/>
  <c r="M22" i="19"/>
  <c r="K22" i="15"/>
  <c r="J44" i="18"/>
  <c r="M66" i="19"/>
  <c r="K66" i="15"/>
  <c r="M8" i="19"/>
  <c r="K8" i="15"/>
  <c r="M40" i="19"/>
  <c r="K40" i="15"/>
  <c r="M15" i="19"/>
  <c r="K15" i="15"/>
  <c r="J37" i="18"/>
  <c r="M26" i="19"/>
  <c r="K26" i="15"/>
  <c r="M47" i="19"/>
  <c r="K47" i="15"/>
  <c r="N16" i="19"/>
  <c r="L16" i="15"/>
  <c r="N68" i="19"/>
  <c r="L68" i="15"/>
  <c r="M60" i="19"/>
  <c r="K60" i="15"/>
  <c r="M53" i="19"/>
  <c r="K53" i="15"/>
  <c r="M32" i="19"/>
  <c r="K32" i="15"/>
  <c r="N41" i="19"/>
  <c r="L41" i="15"/>
  <c r="N38" i="19"/>
  <c r="L38" i="15"/>
  <c r="N35" i="19"/>
  <c r="L35" i="15"/>
  <c r="N12" i="19"/>
  <c r="L12" i="15"/>
  <c r="N55" i="19"/>
  <c r="L55" i="15"/>
  <c r="N10" i="19"/>
  <c r="L10" i="15"/>
  <c r="N28" i="19"/>
  <c r="L28" i="15"/>
  <c r="M68" i="19"/>
  <c r="K68" i="15"/>
  <c r="N54" i="19"/>
  <c r="L54" i="15"/>
  <c r="N57" i="19"/>
  <c r="L57" i="15"/>
  <c r="M63" i="19"/>
  <c r="K63" i="15"/>
  <c r="M31" i="19"/>
  <c r="K31" i="15"/>
  <c r="M25" i="19"/>
  <c r="K25" i="15"/>
  <c r="M11" i="19"/>
  <c r="K11" i="15"/>
  <c r="G39" i="18" l="1"/>
  <c r="R39" i="18" s="1"/>
  <c r="G37" i="18"/>
  <c r="M37" i="18" s="1"/>
  <c r="G44" i="18"/>
  <c r="M44" i="18" s="1"/>
  <c r="G42" i="18"/>
  <c r="M42" i="18" s="1"/>
  <c r="G38" i="18"/>
  <c r="R38" i="18" s="1"/>
  <c r="G43" i="18"/>
  <c r="M43" i="18" s="1"/>
  <c r="G46" i="18"/>
  <c r="M46" i="18" s="1"/>
  <c r="G41" i="18"/>
  <c r="R41" i="18" s="1"/>
  <c r="G40" i="18"/>
  <c r="M40" i="18" s="1"/>
  <c r="G36" i="18"/>
  <c r="M36" i="18" s="1"/>
  <c r="C10" i="10"/>
  <c r="D5" i="10"/>
  <c r="I8" i="10"/>
  <c r="J26" i="10" a="1"/>
  <c r="J26" i="10" s="1"/>
  <c r="C27" i="10"/>
  <c r="I26" i="10" a="1"/>
  <c r="I26" i="10" s="1"/>
  <c r="H26" i="10" a="1"/>
  <c r="H26" i="10" s="1"/>
  <c r="G26" i="10" a="1"/>
  <c r="G26" i="10" s="1"/>
  <c r="N26" i="10" a="1"/>
  <c r="N26" i="10" s="1"/>
  <c r="M26" i="10" a="1"/>
  <c r="M26" i="10" s="1"/>
  <c r="F26" i="10" a="1"/>
  <c r="F26" i="10" s="1"/>
  <c r="D26" i="10" a="1"/>
  <c r="D26" i="10" s="1"/>
  <c r="L26" i="10" a="1"/>
  <c r="L26" i="10" s="1"/>
  <c r="E26" i="10" a="1"/>
  <c r="E26" i="10" s="1"/>
  <c r="K26" i="10" a="1"/>
  <c r="K26" i="10" s="1"/>
  <c r="I8" i="5"/>
  <c r="C10" i="5"/>
  <c r="C27" i="5"/>
  <c r="G26" i="5" a="1"/>
  <c r="G26" i="5" s="1"/>
  <c r="I26" i="5" a="1"/>
  <c r="I26" i="5" s="1"/>
  <c r="J26" i="5" a="1"/>
  <c r="J26" i="5" s="1"/>
  <c r="K26" i="5" a="1"/>
  <c r="K26" i="5" s="1"/>
  <c r="E26" i="5" a="1"/>
  <c r="E26" i="5" s="1"/>
  <c r="M26" i="5" a="1"/>
  <c r="M26" i="5" s="1"/>
  <c r="F26" i="5" a="1"/>
  <c r="F26" i="5" s="1"/>
  <c r="N26" i="5" a="1"/>
  <c r="N26" i="5" s="1"/>
  <c r="L26" i="5" a="1"/>
  <c r="L26" i="5" s="1"/>
  <c r="D26" i="5" a="1"/>
  <c r="D26" i="5" s="1"/>
  <c r="H26" i="5" a="1"/>
  <c r="H26" i="5" s="1"/>
  <c r="I6" i="5"/>
  <c r="M45" i="18"/>
  <c r="P66" i="19"/>
  <c r="N66" i="15"/>
  <c r="O59" i="19"/>
  <c r="M59" i="15"/>
  <c r="O20" i="19"/>
  <c r="M20" i="15"/>
  <c r="P49" i="19"/>
  <c r="N49" i="15"/>
  <c r="P48" i="19"/>
  <c r="N48" i="15"/>
  <c r="P3" i="19"/>
  <c r="N3" i="15"/>
  <c r="O6" i="19"/>
  <c r="M6" i="15"/>
  <c r="P21" i="19"/>
  <c r="N21" i="15"/>
  <c r="P4" i="19"/>
  <c r="N4" i="15"/>
  <c r="O14" i="19"/>
  <c r="M14" i="15"/>
  <c r="P15" i="19"/>
  <c r="N15" i="15"/>
  <c r="O5" i="19"/>
  <c r="M5" i="15"/>
  <c r="P62" i="19"/>
  <c r="N62" i="15"/>
  <c r="O55" i="19"/>
  <c r="M55" i="15"/>
  <c r="O45" i="19"/>
  <c r="M45" i="15"/>
  <c r="O3" i="19"/>
  <c r="M3" i="15"/>
  <c r="O31" i="19"/>
  <c r="M31" i="15"/>
  <c r="O68" i="19"/>
  <c r="M68" i="15"/>
  <c r="P12" i="19"/>
  <c r="N12" i="15"/>
  <c r="O32" i="19"/>
  <c r="M32" i="15"/>
  <c r="P16" i="19"/>
  <c r="N16" i="15"/>
  <c r="O22" i="19"/>
  <c r="M22" i="15"/>
  <c r="O7" i="19"/>
  <c r="M7" i="15"/>
  <c r="O50" i="19"/>
  <c r="M50" i="15"/>
  <c r="O30" i="19"/>
  <c r="M30" i="15"/>
  <c r="O17" i="19"/>
  <c r="M17" i="15"/>
  <c r="R45" i="18"/>
  <c r="P36" i="19"/>
  <c r="N36" i="15"/>
  <c r="P31" i="19"/>
  <c r="N31" i="15"/>
  <c r="O37" i="19"/>
  <c r="M37" i="15"/>
  <c r="P30" i="19"/>
  <c r="N30" i="15"/>
  <c r="P67" i="19"/>
  <c r="N67" i="15"/>
  <c r="P23" i="19"/>
  <c r="N23" i="15"/>
  <c r="P22" i="19"/>
  <c r="N22" i="15"/>
  <c r="O13" i="19"/>
  <c r="M13" i="15"/>
  <c r="O4" i="19"/>
  <c r="M4" i="15"/>
  <c r="P5" i="19"/>
  <c r="N5" i="15"/>
  <c r="P53" i="19"/>
  <c r="N53" i="15"/>
  <c r="O16" i="19"/>
  <c r="M16" i="15"/>
  <c r="O21" i="19"/>
  <c r="M21" i="15"/>
  <c r="P40" i="19"/>
  <c r="N40" i="15"/>
  <c r="O42" i="19"/>
  <c r="M42" i="15"/>
  <c r="O35" i="19"/>
  <c r="M35" i="15"/>
  <c r="O65" i="19"/>
  <c r="M65" i="15"/>
  <c r="P14" i="19"/>
  <c r="N14" i="15"/>
  <c r="O48" i="19"/>
  <c r="M48" i="15"/>
  <c r="O62" i="19"/>
  <c r="M62" i="15"/>
  <c r="O25" i="19"/>
  <c r="M25" i="15"/>
  <c r="P54" i="19"/>
  <c r="N54" i="15"/>
  <c r="P55" i="19"/>
  <c r="N55" i="15"/>
  <c r="P41" i="19"/>
  <c r="N41" i="15"/>
  <c r="P68" i="19"/>
  <c r="N68" i="15"/>
  <c r="O15" i="19"/>
  <c r="M15" i="15"/>
  <c r="O40" i="19"/>
  <c r="M40" i="15"/>
  <c r="P9" i="19"/>
  <c r="N9" i="15"/>
  <c r="O23" i="19"/>
  <c r="M23" i="15"/>
  <c r="O9" i="19"/>
  <c r="M9" i="15"/>
  <c r="P42" i="19"/>
  <c r="N42" i="15"/>
  <c r="P60" i="19"/>
  <c r="N60" i="15"/>
  <c r="P6" i="19"/>
  <c r="N6" i="15"/>
  <c r="O34" i="19"/>
  <c r="M34" i="15"/>
  <c r="P7" i="19"/>
  <c r="N7" i="15"/>
  <c r="P27" i="19"/>
  <c r="N27" i="15"/>
  <c r="P29" i="19"/>
  <c r="N29" i="15"/>
  <c r="P51" i="19"/>
  <c r="N51" i="15"/>
  <c r="O41" i="19"/>
  <c r="M41" i="15"/>
  <c r="P20" i="19"/>
  <c r="N20" i="15"/>
  <c r="O18" i="19"/>
  <c r="M18" i="15"/>
  <c r="O67" i="19"/>
  <c r="M67" i="15"/>
  <c r="O43" i="19"/>
  <c r="M43" i="15"/>
  <c r="P25" i="19"/>
  <c r="N25" i="15"/>
  <c r="O29" i="19"/>
  <c r="M29" i="15"/>
  <c r="O63" i="19"/>
  <c r="M63" i="15"/>
  <c r="P28" i="19"/>
  <c r="N28" i="15"/>
  <c r="P35" i="19"/>
  <c r="N35" i="15"/>
  <c r="O53" i="19"/>
  <c r="M53" i="15"/>
  <c r="O47" i="19"/>
  <c r="M47" i="15"/>
  <c r="P17" i="19"/>
  <c r="N17" i="15"/>
  <c r="O61" i="19"/>
  <c r="M61" i="15"/>
  <c r="O54" i="19"/>
  <c r="M54" i="15"/>
  <c r="P33" i="19"/>
  <c r="N33" i="15"/>
  <c r="P24" i="19"/>
  <c r="N24" i="15"/>
  <c r="O8" i="19"/>
  <c r="M8" i="15"/>
  <c r="P44" i="19"/>
  <c r="N44" i="15"/>
  <c r="O24" i="19"/>
  <c r="M24" i="15"/>
  <c r="P11" i="19"/>
  <c r="N11" i="15"/>
  <c r="O19" i="19"/>
  <c r="M19" i="15"/>
  <c r="P61" i="19"/>
  <c r="N61" i="15"/>
  <c r="P50" i="19"/>
  <c r="N50" i="15"/>
  <c r="P37" i="19"/>
  <c r="N37" i="15"/>
  <c r="P59" i="19"/>
  <c r="N59" i="15"/>
  <c r="O27" i="19"/>
  <c r="M27" i="15"/>
  <c r="O64" i="19"/>
  <c r="M64" i="15"/>
  <c r="P39" i="19"/>
  <c r="N39" i="15"/>
  <c r="O28" i="19"/>
  <c r="M28" i="15"/>
  <c r="P64" i="19"/>
  <c r="N64" i="15"/>
  <c r="P32" i="19"/>
  <c r="N32" i="15"/>
  <c r="P46" i="19"/>
  <c r="N46" i="15"/>
  <c r="O44" i="19"/>
  <c r="M44" i="15"/>
  <c r="O11" i="19"/>
  <c r="M11" i="15"/>
  <c r="P57" i="19"/>
  <c r="N57" i="15"/>
  <c r="P10" i="19"/>
  <c r="N10" i="15"/>
  <c r="P38" i="19"/>
  <c r="N38" i="15"/>
  <c r="O60" i="19"/>
  <c r="M60" i="15"/>
  <c r="O26" i="19"/>
  <c r="M26" i="15"/>
  <c r="O56" i="19"/>
  <c r="M56" i="15"/>
  <c r="P43" i="19"/>
  <c r="N43" i="15"/>
  <c r="O36" i="19"/>
  <c r="M36" i="15"/>
  <c r="P26" i="19"/>
  <c r="N26" i="15"/>
  <c r="P56" i="19"/>
  <c r="N56" i="15"/>
  <c r="O33" i="19"/>
  <c r="M33" i="15"/>
  <c r="O12" i="19"/>
  <c r="M12" i="15"/>
  <c r="P18" i="19"/>
  <c r="N18" i="15"/>
  <c r="P63" i="19"/>
  <c r="N63" i="15"/>
  <c r="O51" i="19"/>
  <c r="M51" i="15"/>
  <c r="O52" i="19"/>
  <c r="M52" i="15"/>
  <c r="P47" i="19"/>
  <c r="N47" i="15"/>
  <c r="P58" i="19"/>
  <c r="N58" i="15"/>
  <c r="P19" i="19"/>
  <c r="N19" i="15"/>
  <c r="P13" i="19"/>
  <c r="N13" i="15"/>
  <c r="O57" i="19"/>
  <c r="M57" i="15"/>
  <c r="O66" i="19"/>
  <c r="M66" i="15"/>
  <c r="O49" i="19"/>
  <c r="M49" i="15"/>
  <c r="P52" i="19"/>
  <c r="N52" i="15"/>
  <c r="O58" i="19"/>
  <c r="M58" i="15"/>
  <c r="O46" i="19"/>
  <c r="M46" i="15"/>
  <c r="P65" i="19"/>
  <c r="N65" i="15"/>
  <c r="P34" i="19"/>
  <c r="N34" i="15"/>
  <c r="O10" i="19"/>
  <c r="M10" i="15"/>
  <c r="O39" i="19"/>
  <c r="M39" i="15"/>
  <c r="P8" i="19"/>
  <c r="N8" i="15"/>
  <c r="P45" i="19"/>
  <c r="N45" i="15"/>
  <c r="O38" i="19"/>
  <c r="M38" i="15"/>
  <c r="M39" i="18" l="1"/>
  <c r="R44" i="18"/>
  <c r="R37" i="18"/>
  <c r="R42" i="18"/>
  <c r="R40" i="18"/>
  <c r="R43" i="18"/>
  <c r="R36" i="18"/>
  <c r="M38" i="18"/>
  <c r="M41" i="18"/>
  <c r="R46" i="18"/>
  <c r="M27" i="10" a="1"/>
  <c r="M27" i="10" s="1"/>
  <c r="G27" i="10" a="1"/>
  <c r="G27" i="10" s="1"/>
  <c r="L27" i="10" a="1"/>
  <c r="L27" i="10" s="1"/>
  <c r="F27" i="10" a="1"/>
  <c r="F27" i="10" s="1"/>
  <c r="N27" i="10" a="1"/>
  <c r="N27" i="10" s="1"/>
  <c r="C28" i="10"/>
  <c r="E27" i="10" a="1"/>
  <c r="E27" i="10" s="1"/>
  <c r="K27" i="10" a="1"/>
  <c r="K27" i="10" s="1"/>
  <c r="D27" i="10" a="1"/>
  <c r="D27" i="10" s="1"/>
  <c r="J27" i="10" a="1"/>
  <c r="J27" i="10" s="1"/>
  <c r="I27" i="10" a="1"/>
  <c r="I27" i="10" s="1"/>
  <c r="H27" i="10" a="1"/>
  <c r="H27" i="10" s="1"/>
  <c r="H27" i="5" a="1"/>
  <c r="H27" i="5" s="1"/>
  <c r="D27" i="5" a="1"/>
  <c r="D27" i="5" s="1"/>
  <c r="G27" i="5" a="1"/>
  <c r="G27" i="5" s="1"/>
  <c r="I27" i="5" a="1"/>
  <c r="I27" i="5" s="1"/>
  <c r="C28" i="5"/>
  <c r="J27" i="5" a="1"/>
  <c r="J27" i="5" s="1"/>
  <c r="L27" i="5" a="1"/>
  <c r="L27" i="5" s="1"/>
  <c r="E27" i="5" a="1"/>
  <c r="E27" i="5" s="1"/>
  <c r="M27" i="5" a="1"/>
  <c r="M27" i="5" s="1"/>
  <c r="F27" i="5" a="1"/>
  <c r="F27" i="5" s="1"/>
  <c r="N27" i="5" a="1"/>
  <c r="N27" i="5" s="1"/>
  <c r="K27" i="5" a="1"/>
  <c r="K27" i="5" s="1"/>
  <c r="Q52" i="19"/>
  <c r="O52" i="15"/>
  <c r="Q9" i="19"/>
  <c r="O9" i="15"/>
  <c r="Q17" i="19"/>
  <c r="O17" i="15"/>
  <c r="Q22" i="19"/>
  <c r="O22" i="15"/>
  <c r="Q68" i="19"/>
  <c r="O68" i="15"/>
  <c r="Q55" i="19"/>
  <c r="O55" i="15"/>
  <c r="Q6" i="19"/>
  <c r="O6" i="15"/>
  <c r="R65" i="19"/>
  <c r="P65" i="15"/>
  <c r="Q49" i="19"/>
  <c r="O49" i="15"/>
  <c r="Q12" i="19"/>
  <c r="O12" i="15"/>
  <c r="Q36" i="19"/>
  <c r="O36" i="15"/>
  <c r="Q60" i="19"/>
  <c r="O60" i="15"/>
  <c r="Q11" i="19"/>
  <c r="O11" i="15"/>
  <c r="R64" i="19"/>
  <c r="P64" i="15"/>
  <c r="Q27" i="19"/>
  <c r="O27" i="15"/>
  <c r="R61" i="19"/>
  <c r="P61" i="15"/>
  <c r="R44" i="19"/>
  <c r="P44" i="15"/>
  <c r="Q54" i="19"/>
  <c r="O54" i="15"/>
  <c r="Q53" i="19"/>
  <c r="O53" i="15"/>
  <c r="Q29" i="19"/>
  <c r="O29" i="15"/>
  <c r="Q18" i="19"/>
  <c r="O18" i="15"/>
  <c r="R29" i="19"/>
  <c r="P29" i="15"/>
  <c r="R6" i="19"/>
  <c r="P6" i="15"/>
  <c r="Q15" i="19"/>
  <c r="O15" i="15"/>
  <c r="R55" i="19"/>
  <c r="P55" i="15"/>
  <c r="Q48" i="19"/>
  <c r="O48" i="15"/>
  <c r="Q42" i="19"/>
  <c r="O42" i="15"/>
  <c r="R53" i="19"/>
  <c r="P53" i="15"/>
  <c r="R22" i="19"/>
  <c r="P22" i="15"/>
  <c r="Q37" i="19"/>
  <c r="O37" i="15"/>
  <c r="Q14" i="19"/>
  <c r="O14" i="15"/>
  <c r="Q23" i="19"/>
  <c r="O23" i="15"/>
  <c r="Q30" i="19"/>
  <c r="O30" i="15"/>
  <c r="R16" i="19"/>
  <c r="P16" i="15"/>
  <c r="Q31" i="19"/>
  <c r="O31" i="15"/>
  <c r="R62" i="19"/>
  <c r="P62" i="15"/>
  <c r="R3" i="19"/>
  <c r="P3" i="15"/>
  <c r="Q20" i="19"/>
  <c r="O20" i="15"/>
  <c r="Q39" i="19"/>
  <c r="O39" i="15"/>
  <c r="Q46" i="19"/>
  <c r="O46" i="15"/>
  <c r="Q33" i="19"/>
  <c r="O33" i="15"/>
  <c r="R43" i="19"/>
  <c r="P43" i="15"/>
  <c r="R38" i="19"/>
  <c r="P38" i="15"/>
  <c r="Q44" i="19"/>
  <c r="O44" i="15"/>
  <c r="Q28" i="19"/>
  <c r="O28" i="15"/>
  <c r="R59" i="19"/>
  <c r="P59" i="15"/>
  <c r="Q19" i="19"/>
  <c r="O19" i="15"/>
  <c r="Q8" i="19"/>
  <c r="O8" i="15"/>
  <c r="Q61" i="19"/>
  <c r="O61" i="15"/>
  <c r="R35" i="19"/>
  <c r="P35" i="15"/>
  <c r="R25" i="19"/>
  <c r="P25" i="15"/>
  <c r="R20" i="19"/>
  <c r="P20" i="15"/>
  <c r="R27" i="19"/>
  <c r="P27" i="15"/>
  <c r="R60" i="19"/>
  <c r="P60" i="15"/>
  <c r="R54" i="19"/>
  <c r="P54" i="15"/>
  <c r="R14" i="19"/>
  <c r="P14" i="15"/>
  <c r="R40" i="19"/>
  <c r="P40" i="15"/>
  <c r="R5" i="19"/>
  <c r="P5" i="15"/>
  <c r="R23" i="19"/>
  <c r="P23" i="15"/>
  <c r="R31" i="19"/>
  <c r="P31" i="15"/>
  <c r="R19" i="19"/>
  <c r="P19" i="15"/>
  <c r="Q51" i="19"/>
  <c r="O51" i="15"/>
  <c r="Q38" i="19"/>
  <c r="O38" i="15"/>
  <c r="R58" i="19"/>
  <c r="P58" i="15"/>
  <c r="R63" i="19"/>
  <c r="P63" i="15"/>
  <c r="Q50" i="19"/>
  <c r="O50" i="15"/>
  <c r="Q32" i="19"/>
  <c r="O32" i="15"/>
  <c r="Q3" i="19"/>
  <c r="O3" i="15"/>
  <c r="R4" i="19"/>
  <c r="P4" i="15"/>
  <c r="Q66" i="19"/>
  <c r="O66" i="15"/>
  <c r="Q10" i="19"/>
  <c r="O10" i="15"/>
  <c r="Q58" i="19"/>
  <c r="O58" i="15"/>
  <c r="R56" i="19"/>
  <c r="P56" i="15"/>
  <c r="Q56" i="19"/>
  <c r="O56" i="15"/>
  <c r="R10" i="19"/>
  <c r="P10" i="15"/>
  <c r="R46" i="19"/>
  <c r="P46" i="15"/>
  <c r="R39" i="19"/>
  <c r="P39" i="15"/>
  <c r="R37" i="19"/>
  <c r="P37" i="15"/>
  <c r="R11" i="19"/>
  <c r="P11" i="15"/>
  <c r="R24" i="19"/>
  <c r="P24" i="15"/>
  <c r="R17" i="19"/>
  <c r="P17" i="15"/>
  <c r="R28" i="19"/>
  <c r="P28" i="15"/>
  <c r="Q43" i="19"/>
  <c r="O43" i="15"/>
  <c r="Q41" i="19"/>
  <c r="O41" i="15"/>
  <c r="R7" i="19"/>
  <c r="P7" i="15"/>
  <c r="R9" i="19"/>
  <c r="P9" i="15"/>
  <c r="R68" i="19"/>
  <c r="P68" i="15"/>
  <c r="Q25" i="19"/>
  <c r="O25" i="15"/>
  <c r="Q65" i="19"/>
  <c r="O65" i="15"/>
  <c r="Q21" i="19"/>
  <c r="O21" i="15"/>
  <c r="Q4" i="19"/>
  <c r="O4" i="15"/>
  <c r="R67" i="19"/>
  <c r="P67" i="15"/>
  <c r="R36" i="19"/>
  <c r="P36" i="15"/>
  <c r="Q5" i="19"/>
  <c r="O5" i="15"/>
  <c r="R48" i="19"/>
  <c r="P48" i="15"/>
  <c r="Q59" i="19"/>
  <c r="O59" i="15"/>
  <c r="R8" i="19"/>
  <c r="P8" i="15"/>
  <c r="R45" i="19"/>
  <c r="P45" i="15"/>
  <c r="R42" i="19"/>
  <c r="P42" i="15"/>
  <c r="Q7" i="19"/>
  <c r="O7" i="15"/>
  <c r="R12" i="19"/>
  <c r="P12" i="15"/>
  <c r="Q45" i="19"/>
  <c r="O45" i="15"/>
  <c r="R21" i="19"/>
  <c r="P21" i="15"/>
  <c r="R13" i="19"/>
  <c r="P13" i="15"/>
  <c r="Q57" i="19"/>
  <c r="O57" i="15"/>
  <c r="R47" i="19"/>
  <c r="P47" i="15"/>
  <c r="R34" i="19"/>
  <c r="P34" i="15"/>
  <c r="R52" i="19"/>
  <c r="P52" i="15"/>
  <c r="R18" i="19"/>
  <c r="P18" i="15"/>
  <c r="R26" i="19"/>
  <c r="P26" i="15"/>
  <c r="Q26" i="19"/>
  <c r="O26" i="15"/>
  <c r="R57" i="19"/>
  <c r="P57" i="15"/>
  <c r="R32" i="19"/>
  <c r="P32" i="15"/>
  <c r="Q64" i="19"/>
  <c r="O64" i="15"/>
  <c r="R50" i="19"/>
  <c r="P50" i="15"/>
  <c r="Q24" i="19"/>
  <c r="O24" i="15"/>
  <c r="R33" i="19"/>
  <c r="P33" i="15"/>
  <c r="Q47" i="19"/>
  <c r="O47" i="15"/>
  <c r="Q63" i="19"/>
  <c r="O63" i="15"/>
  <c r="Q67" i="19"/>
  <c r="O67" i="15"/>
  <c r="R51" i="19"/>
  <c r="P51" i="15"/>
  <c r="Q34" i="19"/>
  <c r="O34" i="15"/>
  <c r="Q40" i="19"/>
  <c r="O40" i="15"/>
  <c r="R41" i="19"/>
  <c r="P41" i="15"/>
  <c r="Q62" i="19"/>
  <c r="O62" i="15"/>
  <c r="Q35" i="19"/>
  <c r="O35" i="15"/>
  <c r="Q16" i="19"/>
  <c r="O16" i="15"/>
  <c r="Q13" i="19"/>
  <c r="O13" i="15"/>
  <c r="R30" i="19"/>
  <c r="P30" i="15"/>
  <c r="R15" i="19"/>
  <c r="P15" i="15"/>
  <c r="R49" i="19"/>
  <c r="P49" i="15"/>
  <c r="R66" i="19"/>
  <c r="P66" i="15"/>
  <c r="M53" i="18" l="1"/>
  <c r="M52" i="18"/>
  <c r="J28" i="10" a="1"/>
  <c r="J28" i="10" s="1"/>
  <c r="I28" i="10" a="1"/>
  <c r="I28" i="10" s="1"/>
  <c r="H28" i="10" a="1"/>
  <c r="H28" i="10" s="1"/>
  <c r="K28" i="10" a="1"/>
  <c r="K28" i="10" s="1"/>
  <c r="I11" i="10" s="1"/>
  <c r="C29" i="10"/>
  <c r="N28" i="10" a="1"/>
  <c r="N28" i="10" s="1"/>
  <c r="G28" i="10" a="1"/>
  <c r="G28" i="10" s="1"/>
  <c r="M28" i="10" a="1"/>
  <c r="M28" i="10" s="1"/>
  <c r="F28" i="10" a="1"/>
  <c r="F28" i="10" s="1"/>
  <c r="L28" i="10" a="1"/>
  <c r="L28" i="10" s="1"/>
  <c r="E28" i="10" a="1"/>
  <c r="E28" i="10" s="1"/>
  <c r="D28" i="10" a="1"/>
  <c r="D28" i="10" s="1"/>
  <c r="I10" i="10"/>
  <c r="J28" i="5" a="1"/>
  <c r="J28" i="5" s="1"/>
  <c r="H28" i="5" a="1"/>
  <c r="H28" i="5" s="1"/>
  <c r="G28" i="5" a="1"/>
  <c r="G28" i="5" s="1"/>
  <c r="I28" i="5" a="1"/>
  <c r="I28" i="5" s="1"/>
  <c r="D28" i="5" a="1"/>
  <c r="D28" i="5" s="1"/>
  <c r="C29" i="5"/>
  <c r="K28" i="5" a="1"/>
  <c r="K28" i="5" s="1"/>
  <c r="I11" i="5" s="1"/>
  <c r="L28" i="5" a="1"/>
  <c r="L28" i="5" s="1"/>
  <c r="M28" i="5" a="1"/>
  <c r="M28" i="5" s="1"/>
  <c r="N28" i="5" a="1"/>
  <c r="N28" i="5" s="1"/>
  <c r="E28" i="5" a="1"/>
  <c r="E28" i="5" s="1"/>
  <c r="F28" i="5" a="1"/>
  <c r="F28" i="5" s="1"/>
  <c r="T66" i="19"/>
  <c r="R66" i="15"/>
  <c r="S13" i="19"/>
  <c r="Q13" i="15"/>
  <c r="T41" i="19"/>
  <c r="R41" i="15"/>
  <c r="S67" i="19"/>
  <c r="Q67" i="15"/>
  <c r="S24" i="19"/>
  <c r="Q24" i="15"/>
  <c r="T57" i="19"/>
  <c r="R57" i="15"/>
  <c r="T52" i="19"/>
  <c r="R52" i="15"/>
  <c r="T13" i="19"/>
  <c r="R13" i="15"/>
  <c r="S7" i="19"/>
  <c r="Q7" i="15"/>
  <c r="S59" i="19"/>
  <c r="Q59" i="15"/>
  <c r="T67" i="19"/>
  <c r="R67" i="15"/>
  <c r="S25" i="19"/>
  <c r="Q25" i="15"/>
  <c r="S41" i="19"/>
  <c r="Q41" i="15"/>
  <c r="T24" i="19"/>
  <c r="R24" i="15"/>
  <c r="T46" i="19"/>
  <c r="R46" i="15"/>
  <c r="S58" i="19"/>
  <c r="Q58" i="15"/>
  <c r="S3" i="19"/>
  <c r="Q3" i="15"/>
  <c r="T58" i="19"/>
  <c r="R58" i="15"/>
  <c r="T31" i="19"/>
  <c r="R31" i="15"/>
  <c r="T14" i="19"/>
  <c r="R14" i="15"/>
  <c r="T20" i="19"/>
  <c r="R20" i="15"/>
  <c r="S8" i="19"/>
  <c r="Q8" i="15"/>
  <c r="S44" i="19"/>
  <c r="Q44" i="15"/>
  <c r="S46" i="19"/>
  <c r="Q46" i="15"/>
  <c r="T62" i="19"/>
  <c r="R62" i="15"/>
  <c r="S23" i="19"/>
  <c r="Q23" i="15"/>
  <c r="T53" i="19"/>
  <c r="R53" i="15"/>
  <c r="S15" i="19"/>
  <c r="Q15" i="15"/>
  <c r="S29" i="19"/>
  <c r="Q29" i="15"/>
  <c r="T61" i="19"/>
  <c r="R61" i="15"/>
  <c r="S60" i="19"/>
  <c r="Q60" i="15"/>
  <c r="T65" i="19"/>
  <c r="R65" i="15"/>
  <c r="S22" i="19"/>
  <c r="Q22" i="15"/>
  <c r="T49" i="19"/>
  <c r="R49" i="15"/>
  <c r="S16" i="19"/>
  <c r="Q16" i="15"/>
  <c r="S40" i="19"/>
  <c r="Q40" i="15"/>
  <c r="S63" i="19"/>
  <c r="Q63" i="15"/>
  <c r="T50" i="19"/>
  <c r="R50" i="15"/>
  <c r="S26" i="19"/>
  <c r="Q26" i="15"/>
  <c r="T34" i="19"/>
  <c r="R34" i="15"/>
  <c r="T21" i="19"/>
  <c r="R21" i="15"/>
  <c r="T42" i="19"/>
  <c r="R42" i="15"/>
  <c r="T48" i="19"/>
  <c r="R48" i="15"/>
  <c r="S4" i="19"/>
  <c r="Q4" i="15"/>
  <c r="T68" i="19"/>
  <c r="R68" i="15"/>
  <c r="S43" i="19"/>
  <c r="Q43" i="15"/>
  <c r="T11" i="19"/>
  <c r="R11" i="15"/>
  <c r="T10" i="19"/>
  <c r="R10" i="15"/>
  <c r="S10" i="19"/>
  <c r="Q10" i="15"/>
  <c r="S32" i="19"/>
  <c r="Q32" i="15"/>
  <c r="S38" i="19"/>
  <c r="Q38" i="15"/>
  <c r="T23" i="19"/>
  <c r="R23" i="15"/>
  <c r="T54" i="19"/>
  <c r="R54" i="15"/>
  <c r="T25" i="19"/>
  <c r="R25" i="15"/>
  <c r="S19" i="19"/>
  <c r="Q19" i="15"/>
  <c r="T38" i="19"/>
  <c r="R38" i="15"/>
  <c r="S39" i="19"/>
  <c r="Q39" i="15"/>
  <c r="S31" i="19"/>
  <c r="Q31" i="15"/>
  <c r="S14" i="19"/>
  <c r="Q14" i="15"/>
  <c r="S42" i="19"/>
  <c r="Q42" i="15"/>
  <c r="T6" i="19"/>
  <c r="R6" i="15"/>
  <c r="S53" i="19"/>
  <c r="Q53" i="15"/>
  <c r="S27" i="19"/>
  <c r="Q27" i="15"/>
  <c r="S36" i="19"/>
  <c r="Q36" i="15"/>
  <c r="S6" i="19"/>
  <c r="Q6" i="15"/>
  <c r="S17" i="19"/>
  <c r="Q17" i="15"/>
  <c r="T15" i="19"/>
  <c r="R15" i="15"/>
  <c r="S35" i="19"/>
  <c r="Q35" i="15"/>
  <c r="S34" i="19"/>
  <c r="Q34" i="15"/>
  <c r="S47" i="19"/>
  <c r="Q47" i="15"/>
  <c r="S64" i="19"/>
  <c r="Q64" i="15"/>
  <c r="T26" i="19"/>
  <c r="R26" i="15"/>
  <c r="T47" i="19"/>
  <c r="R47" i="15"/>
  <c r="S45" i="19"/>
  <c r="Q45" i="15"/>
  <c r="T45" i="19"/>
  <c r="R45" i="15"/>
  <c r="S5" i="19"/>
  <c r="Q5" i="15"/>
  <c r="S21" i="19"/>
  <c r="Q21" i="15"/>
  <c r="T9" i="19"/>
  <c r="R9" i="15"/>
  <c r="T28" i="19"/>
  <c r="R28" i="15"/>
  <c r="T37" i="19"/>
  <c r="R37" i="15"/>
  <c r="S56" i="19"/>
  <c r="Q56" i="15"/>
  <c r="S66" i="19"/>
  <c r="Q66" i="15"/>
  <c r="S50" i="19"/>
  <c r="Q50" i="15"/>
  <c r="S51" i="19"/>
  <c r="Q51" i="15"/>
  <c r="T5" i="19"/>
  <c r="R5" i="15"/>
  <c r="T60" i="19"/>
  <c r="R60" i="15"/>
  <c r="T35" i="19"/>
  <c r="R35" i="15"/>
  <c r="T59" i="19"/>
  <c r="R59" i="15"/>
  <c r="T43" i="19"/>
  <c r="R43" i="15"/>
  <c r="S20" i="19"/>
  <c r="Q20" i="15"/>
  <c r="T16" i="19"/>
  <c r="R16" i="15"/>
  <c r="S37" i="19"/>
  <c r="Q37" i="15"/>
  <c r="S48" i="19"/>
  <c r="Q48" i="15"/>
  <c r="T29" i="19"/>
  <c r="R29" i="15"/>
  <c r="S54" i="19"/>
  <c r="Q54" i="15"/>
  <c r="T64" i="19"/>
  <c r="R64" i="15"/>
  <c r="S12" i="19"/>
  <c r="Q12" i="15"/>
  <c r="S55" i="19"/>
  <c r="Q55" i="15"/>
  <c r="S9" i="19"/>
  <c r="Q9" i="15"/>
  <c r="T30" i="19"/>
  <c r="R30" i="15"/>
  <c r="S62" i="19"/>
  <c r="Q62" i="15"/>
  <c r="T51" i="19"/>
  <c r="R51" i="15"/>
  <c r="T33" i="19"/>
  <c r="R33" i="15"/>
  <c r="T32" i="19"/>
  <c r="R32" i="15"/>
  <c r="T18" i="19"/>
  <c r="R18" i="15"/>
  <c r="S57" i="19"/>
  <c r="Q57" i="15"/>
  <c r="T12" i="19"/>
  <c r="R12" i="15"/>
  <c r="T8" i="19"/>
  <c r="R8" i="15"/>
  <c r="T36" i="19"/>
  <c r="R36" i="15"/>
  <c r="S65" i="19"/>
  <c r="Q65" i="15"/>
  <c r="T7" i="19"/>
  <c r="R7" i="15"/>
  <c r="T17" i="19"/>
  <c r="R17" i="15"/>
  <c r="T39" i="19"/>
  <c r="R39" i="15"/>
  <c r="T56" i="19"/>
  <c r="R56" i="15"/>
  <c r="T4" i="19"/>
  <c r="R4" i="15"/>
  <c r="T63" i="19"/>
  <c r="R63" i="15"/>
  <c r="T19" i="19"/>
  <c r="R19" i="15"/>
  <c r="T40" i="19"/>
  <c r="R40" i="15"/>
  <c r="T27" i="19"/>
  <c r="R27" i="15"/>
  <c r="S61" i="19"/>
  <c r="Q61" i="15"/>
  <c r="S28" i="19"/>
  <c r="Q28" i="15"/>
  <c r="S33" i="19"/>
  <c r="Q33" i="15"/>
  <c r="T3" i="19"/>
  <c r="R3" i="15"/>
  <c r="S30" i="19"/>
  <c r="Q30" i="15"/>
  <c r="T22" i="19"/>
  <c r="R22" i="15"/>
  <c r="T55" i="19"/>
  <c r="R55" i="15"/>
  <c r="S18" i="19"/>
  <c r="Q18" i="15"/>
  <c r="T44" i="19"/>
  <c r="R44" i="15"/>
  <c r="S11" i="19"/>
  <c r="Q11" i="15"/>
  <c r="S49" i="19"/>
  <c r="Q49" i="15"/>
  <c r="S68" i="19"/>
  <c r="Q68" i="15"/>
  <c r="S52" i="19"/>
  <c r="Q52" i="15"/>
  <c r="M29" i="10" l="1" a="1"/>
  <c r="M29" i="10" s="1"/>
  <c r="L29" i="10" a="1"/>
  <c r="L29" i="10" s="1"/>
  <c r="E29" i="10" a="1"/>
  <c r="E29" i="10" s="1"/>
  <c r="K29" i="10" a="1"/>
  <c r="K29" i="10" s="1"/>
  <c r="I7" i="10" s="1"/>
  <c r="D29" i="10" a="1"/>
  <c r="D29" i="10" s="1"/>
  <c r="J29" i="10" a="1"/>
  <c r="J29" i="10" s="1"/>
  <c r="N29" i="10" a="1"/>
  <c r="N29" i="10" s="1"/>
  <c r="C30" i="10"/>
  <c r="I29" i="10" a="1"/>
  <c r="I29" i="10" s="1"/>
  <c r="F29" i="10" a="1"/>
  <c r="F29" i="10" s="1"/>
  <c r="H29" i="10" a="1"/>
  <c r="H29" i="10" s="1"/>
  <c r="G29" i="10" a="1"/>
  <c r="G29" i="10" s="1"/>
  <c r="F29" i="5" a="1"/>
  <c r="F29" i="5" s="1"/>
  <c r="N29" i="5" a="1"/>
  <c r="N29" i="5" s="1"/>
  <c r="H29" i="5" a="1"/>
  <c r="H29" i="5" s="1"/>
  <c r="I29" i="5" a="1"/>
  <c r="I29" i="5" s="1"/>
  <c r="G29" i="5" a="1"/>
  <c r="G29" i="5" s="1"/>
  <c r="J29" i="5" a="1"/>
  <c r="J29" i="5" s="1"/>
  <c r="D29" i="5" a="1"/>
  <c r="D29" i="5" s="1"/>
  <c r="K29" i="5" a="1"/>
  <c r="K29" i="5" s="1"/>
  <c r="I7" i="5" s="1"/>
  <c r="C30" i="5"/>
  <c r="L29" i="5" a="1"/>
  <c r="L29" i="5" s="1"/>
  <c r="E29" i="5" a="1"/>
  <c r="E29" i="5" s="1"/>
  <c r="M29" i="5" a="1"/>
  <c r="M29" i="5" s="1"/>
  <c r="U52" i="19"/>
  <c r="S52" i="15"/>
  <c r="V44" i="19"/>
  <c r="T44" i="15"/>
  <c r="U30" i="19"/>
  <c r="S30" i="15"/>
  <c r="U61" i="19"/>
  <c r="S61" i="15"/>
  <c r="V63" i="19"/>
  <c r="T63" i="15"/>
  <c r="V17" i="19"/>
  <c r="T17" i="15"/>
  <c r="V8" i="19"/>
  <c r="T8" i="15"/>
  <c r="V32" i="19"/>
  <c r="T32" i="15"/>
  <c r="V30" i="19"/>
  <c r="T30" i="15"/>
  <c r="V64" i="19"/>
  <c r="T64" i="15"/>
  <c r="U37" i="19"/>
  <c r="S37" i="15"/>
  <c r="V59" i="19"/>
  <c r="T59" i="15"/>
  <c r="U51" i="19"/>
  <c r="S51" i="15"/>
  <c r="V37" i="19"/>
  <c r="T37" i="15"/>
  <c r="U5" i="19"/>
  <c r="S5" i="15"/>
  <c r="V26" i="19"/>
  <c r="T26" i="15"/>
  <c r="U35" i="19"/>
  <c r="S35" i="15"/>
  <c r="U36" i="19"/>
  <c r="S36" i="15"/>
  <c r="U42" i="19"/>
  <c r="S42" i="15"/>
  <c r="V38" i="19"/>
  <c r="T38" i="15"/>
  <c r="V23" i="19"/>
  <c r="T23" i="15"/>
  <c r="V10" i="19"/>
  <c r="T10" i="15"/>
  <c r="U4" i="19"/>
  <c r="S4" i="15"/>
  <c r="V34" i="19"/>
  <c r="T34" i="15"/>
  <c r="U40" i="19"/>
  <c r="S40" i="15"/>
  <c r="V65" i="19"/>
  <c r="T65" i="15"/>
  <c r="U15" i="19"/>
  <c r="S15" i="15"/>
  <c r="U46" i="19"/>
  <c r="S46" i="15"/>
  <c r="V14" i="19"/>
  <c r="T14" i="15"/>
  <c r="U58" i="19"/>
  <c r="S58" i="15"/>
  <c r="U25" i="19"/>
  <c r="S25" i="15"/>
  <c r="V13" i="19"/>
  <c r="T13" i="15"/>
  <c r="U67" i="19"/>
  <c r="S67" i="15"/>
  <c r="U68" i="19"/>
  <c r="S68" i="15"/>
  <c r="U18" i="19"/>
  <c r="S18" i="15"/>
  <c r="V3" i="19"/>
  <c r="T3" i="15"/>
  <c r="V27" i="19"/>
  <c r="T27" i="15"/>
  <c r="V4" i="19"/>
  <c r="T4" i="15"/>
  <c r="V7" i="19"/>
  <c r="T7" i="15"/>
  <c r="V12" i="19"/>
  <c r="T12" i="15"/>
  <c r="V33" i="19"/>
  <c r="T33" i="15"/>
  <c r="U9" i="19"/>
  <c r="S9" i="15"/>
  <c r="U54" i="19"/>
  <c r="S54" i="15"/>
  <c r="V16" i="19"/>
  <c r="T16" i="15"/>
  <c r="V35" i="19"/>
  <c r="T35" i="15"/>
  <c r="U50" i="19"/>
  <c r="S50" i="15"/>
  <c r="V28" i="19"/>
  <c r="T28" i="15"/>
  <c r="V45" i="19"/>
  <c r="T45" i="15"/>
  <c r="U64" i="19"/>
  <c r="S64" i="15"/>
  <c r="V15" i="19"/>
  <c r="T15" i="15"/>
  <c r="U27" i="19"/>
  <c r="S27" i="15"/>
  <c r="U14" i="19"/>
  <c r="S14" i="15"/>
  <c r="U19" i="19"/>
  <c r="S19" i="15"/>
  <c r="U38" i="19"/>
  <c r="S38" i="15"/>
  <c r="V11" i="19"/>
  <c r="T11" i="15"/>
  <c r="V48" i="19"/>
  <c r="T48" i="15"/>
  <c r="U26" i="19"/>
  <c r="S26" i="15"/>
  <c r="U16" i="19"/>
  <c r="S16" i="15"/>
  <c r="U60" i="19"/>
  <c r="S60" i="15"/>
  <c r="V53" i="19"/>
  <c r="T53" i="15"/>
  <c r="U44" i="19"/>
  <c r="S44" i="15"/>
  <c r="V31" i="19"/>
  <c r="T31" i="15"/>
  <c r="V46" i="19"/>
  <c r="T46" i="15"/>
  <c r="V67" i="19"/>
  <c r="T67" i="15"/>
  <c r="V52" i="19"/>
  <c r="T52" i="15"/>
  <c r="V41" i="19"/>
  <c r="T41" i="15"/>
  <c r="U49" i="19"/>
  <c r="S49" i="15"/>
  <c r="V55" i="19"/>
  <c r="T55" i="15"/>
  <c r="U33" i="19"/>
  <c r="S33" i="15"/>
  <c r="V40" i="19"/>
  <c r="T40" i="15"/>
  <c r="V56" i="19"/>
  <c r="T56" i="15"/>
  <c r="U65" i="19"/>
  <c r="S65" i="15"/>
  <c r="U57" i="19"/>
  <c r="S57" i="15"/>
  <c r="V51" i="19"/>
  <c r="T51" i="15"/>
  <c r="U55" i="19"/>
  <c r="S55" i="15"/>
  <c r="V29" i="19"/>
  <c r="T29" i="15"/>
  <c r="U20" i="19"/>
  <c r="S20" i="15"/>
  <c r="V60" i="19"/>
  <c r="T60" i="15"/>
  <c r="U66" i="19"/>
  <c r="S66" i="15"/>
  <c r="V9" i="19"/>
  <c r="T9" i="15"/>
  <c r="U45" i="19"/>
  <c r="S45" i="15"/>
  <c r="U47" i="19"/>
  <c r="S47" i="15"/>
  <c r="U17" i="19"/>
  <c r="S17" i="15"/>
  <c r="U53" i="19"/>
  <c r="S53" i="15"/>
  <c r="U31" i="19"/>
  <c r="S31" i="15"/>
  <c r="V25" i="19"/>
  <c r="T25" i="15"/>
  <c r="U32" i="19"/>
  <c r="S32" i="15"/>
  <c r="U43" i="19"/>
  <c r="S43" i="15"/>
  <c r="V42" i="19"/>
  <c r="T42" i="15"/>
  <c r="V50" i="19"/>
  <c r="T50" i="15"/>
  <c r="V49" i="19"/>
  <c r="T49" i="15"/>
  <c r="V61" i="19"/>
  <c r="T61" i="15"/>
  <c r="U23" i="19"/>
  <c r="S23" i="15"/>
  <c r="U8" i="19"/>
  <c r="S8" i="15"/>
  <c r="V58" i="19"/>
  <c r="T58" i="15"/>
  <c r="V24" i="19"/>
  <c r="T24" i="15"/>
  <c r="U59" i="19"/>
  <c r="S59" i="15"/>
  <c r="V57" i="19"/>
  <c r="T57" i="15"/>
  <c r="U13" i="19"/>
  <c r="S13" i="15"/>
  <c r="U11" i="19"/>
  <c r="S11" i="15"/>
  <c r="V22" i="19"/>
  <c r="T22" i="15"/>
  <c r="U28" i="19"/>
  <c r="S28" i="15"/>
  <c r="V19" i="19"/>
  <c r="T19" i="15"/>
  <c r="V39" i="19"/>
  <c r="T39" i="15"/>
  <c r="V36" i="19"/>
  <c r="T36" i="15"/>
  <c r="V18" i="19"/>
  <c r="T18" i="15"/>
  <c r="U62" i="19"/>
  <c r="S62" i="15"/>
  <c r="U12" i="19"/>
  <c r="S12" i="15"/>
  <c r="U48" i="19"/>
  <c r="S48" i="15"/>
  <c r="V43" i="19"/>
  <c r="T43" i="15"/>
  <c r="V5" i="19"/>
  <c r="T5" i="15"/>
  <c r="U56" i="19"/>
  <c r="S56" i="15"/>
  <c r="U21" i="19"/>
  <c r="S21" i="15"/>
  <c r="V47" i="19"/>
  <c r="T47" i="15"/>
  <c r="U34" i="19"/>
  <c r="S34" i="15"/>
  <c r="U6" i="19"/>
  <c r="S6" i="15"/>
  <c r="V6" i="19"/>
  <c r="T6" i="15"/>
  <c r="U39" i="19"/>
  <c r="S39" i="15"/>
  <c r="V54" i="19"/>
  <c r="T54" i="15"/>
  <c r="U10" i="19"/>
  <c r="S10" i="15"/>
  <c r="V68" i="19"/>
  <c r="T68" i="15"/>
  <c r="V21" i="19"/>
  <c r="T21" i="15"/>
  <c r="U63" i="19"/>
  <c r="S63" i="15"/>
  <c r="U22" i="19"/>
  <c r="S22" i="15"/>
  <c r="U29" i="19"/>
  <c r="S29" i="15"/>
  <c r="V62" i="19"/>
  <c r="T62" i="15"/>
  <c r="V20" i="19"/>
  <c r="T20" i="15"/>
  <c r="U3" i="19"/>
  <c r="S3" i="15"/>
  <c r="U41" i="19"/>
  <c r="S41" i="15"/>
  <c r="U7" i="19"/>
  <c r="S7" i="15"/>
  <c r="U24" i="19"/>
  <c r="S24" i="15"/>
  <c r="V66" i="19"/>
  <c r="T66" i="15"/>
  <c r="I30" i="10" l="1" a="1"/>
  <c r="I30" i="10" s="1"/>
  <c r="H30" i="10" a="1"/>
  <c r="H30" i="10" s="1"/>
  <c r="N30" i="10" a="1"/>
  <c r="N30" i="10" s="1"/>
  <c r="G30" i="10" a="1"/>
  <c r="G30" i="10" s="1"/>
  <c r="M30" i="10" a="1"/>
  <c r="M30" i="10" s="1"/>
  <c r="F30" i="10" a="1"/>
  <c r="F30" i="10" s="1"/>
  <c r="L30" i="10" a="1"/>
  <c r="L30" i="10" s="1"/>
  <c r="C31" i="10"/>
  <c r="K30" i="10" a="1"/>
  <c r="K30" i="10" s="1"/>
  <c r="E30" i="10" a="1"/>
  <c r="E30" i="10" s="1"/>
  <c r="J30" i="10" a="1"/>
  <c r="J30" i="10" s="1"/>
  <c r="D30" i="10" a="1"/>
  <c r="D30" i="10" s="1"/>
  <c r="C31" i="5"/>
  <c r="E30" i="5" a="1"/>
  <c r="E30" i="5" s="1"/>
  <c r="M30" i="5" a="1"/>
  <c r="M30" i="5" s="1"/>
  <c r="F30" i="5" a="1"/>
  <c r="F30" i="5" s="1"/>
  <c r="H30" i="5" a="1"/>
  <c r="H30" i="5" s="1"/>
  <c r="G30" i="5" a="1"/>
  <c r="G30" i="5" s="1"/>
  <c r="I30" i="5" a="1"/>
  <c r="I30" i="5" s="1"/>
  <c r="J30" i="5" a="1"/>
  <c r="J30" i="5" s="1"/>
  <c r="K30" i="5" a="1"/>
  <c r="K30" i="5" s="1"/>
  <c r="N30" i="5" a="1"/>
  <c r="N30" i="5" s="1"/>
  <c r="D30" i="5" a="1"/>
  <c r="D30" i="5" s="1"/>
  <c r="L30" i="5" a="1"/>
  <c r="L30" i="5" s="1"/>
  <c r="I5" i="5"/>
  <c r="X66" i="19"/>
  <c r="V66" i="15"/>
  <c r="W3" i="19"/>
  <c r="U3" i="15"/>
  <c r="W22" i="19"/>
  <c r="U22" i="15"/>
  <c r="W10" i="19"/>
  <c r="U10" i="15"/>
  <c r="W6" i="19"/>
  <c r="U6" i="15"/>
  <c r="W56" i="19"/>
  <c r="U56" i="15"/>
  <c r="W12" i="19"/>
  <c r="U12" i="15"/>
  <c r="X39" i="19"/>
  <c r="V39" i="15"/>
  <c r="W11" i="19"/>
  <c r="U11" i="15"/>
  <c r="X24" i="19"/>
  <c r="V24" i="15"/>
  <c r="X61" i="19"/>
  <c r="V61" i="15"/>
  <c r="W43" i="19"/>
  <c r="U43" i="15"/>
  <c r="W53" i="19"/>
  <c r="U53" i="15"/>
  <c r="X9" i="19"/>
  <c r="V9" i="15"/>
  <c r="X29" i="19"/>
  <c r="V29" i="15"/>
  <c r="W65" i="19"/>
  <c r="U65" i="15"/>
  <c r="X55" i="19"/>
  <c r="V55" i="15"/>
  <c r="X67" i="19"/>
  <c r="V67" i="15"/>
  <c r="X53" i="19"/>
  <c r="V53" i="15"/>
  <c r="X48" i="19"/>
  <c r="V48" i="15"/>
  <c r="W14" i="19"/>
  <c r="U14" i="15"/>
  <c r="X45" i="19"/>
  <c r="V45" i="15"/>
  <c r="X16" i="19"/>
  <c r="V16" i="15"/>
  <c r="X12" i="19"/>
  <c r="V12" i="15"/>
  <c r="X3" i="19"/>
  <c r="V3" i="15"/>
  <c r="X13" i="19"/>
  <c r="V13" i="15"/>
  <c r="W46" i="19"/>
  <c r="U46" i="15"/>
  <c r="X34" i="19"/>
  <c r="V34" i="15"/>
  <c r="X38" i="19"/>
  <c r="V38" i="15"/>
  <c r="X26" i="19"/>
  <c r="V26" i="15"/>
  <c r="X59" i="19"/>
  <c r="V59" i="15"/>
  <c r="X32" i="19"/>
  <c r="V32" i="15"/>
  <c r="W61" i="19"/>
  <c r="U61" i="15"/>
  <c r="W24" i="19"/>
  <c r="U24" i="15"/>
  <c r="X20" i="19"/>
  <c r="V20" i="15"/>
  <c r="W63" i="19"/>
  <c r="U63" i="15"/>
  <c r="X54" i="19"/>
  <c r="V54" i="15"/>
  <c r="W34" i="19"/>
  <c r="U34" i="15"/>
  <c r="X5" i="19"/>
  <c r="V5" i="15"/>
  <c r="W62" i="19"/>
  <c r="U62" i="15"/>
  <c r="X19" i="19"/>
  <c r="V19" i="15"/>
  <c r="W13" i="19"/>
  <c r="U13" i="15"/>
  <c r="X58" i="19"/>
  <c r="V58" i="15"/>
  <c r="X49" i="19"/>
  <c r="V49" i="15"/>
  <c r="W32" i="19"/>
  <c r="U32" i="15"/>
  <c r="W17" i="19"/>
  <c r="U17" i="15"/>
  <c r="W66" i="19"/>
  <c r="U66" i="15"/>
  <c r="W55" i="19"/>
  <c r="U55" i="15"/>
  <c r="X56" i="19"/>
  <c r="V56" i="15"/>
  <c r="W49" i="19"/>
  <c r="U49" i="15"/>
  <c r="X46" i="19"/>
  <c r="V46" i="15"/>
  <c r="W60" i="19"/>
  <c r="U60" i="15"/>
  <c r="X11" i="19"/>
  <c r="V11" i="15"/>
  <c r="W27" i="19"/>
  <c r="U27" i="15"/>
  <c r="X28" i="19"/>
  <c r="V28" i="15"/>
  <c r="W54" i="19"/>
  <c r="U54" i="15"/>
  <c r="X7" i="19"/>
  <c r="V7" i="15"/>
  <c r="W18" i="19"/>
  <c r="U18" i="15"/>
  <c r="W25" i="19"/>
  <c r="U25" i="15"/>
  <c r="W15" i="19"/>
  <c r="U15" i="15"/>
  <c r="W4" i="19"/>
  <c r="U4" i="15"/>
  <c r="W42" i="19"/>
  <c r="U42" i="15"/>
  <c r="W5" i="19"/>
  <c r="U5" i="15"/>
  <c r="W37" i="19"/>
  <c r="U37" i="15"/>
  <c r="X8" i="19"/>
  <c r="V8" i="15"/>
  <c r="W30" i="19"/>
  <c r="U30" i="15"/>
  <c r="W7" i="19"/>
  <c r="U7" i="15"/>
  <c r="X62" i="19"/>
  <c r="V62" i="15"/>
  <c r="X21" i="19"/>
  <c r="V21" i="15"/>
  <c r="W39" i="19"/>
  <c r="U39" i="15"/>
  <c r="X47" i="19"/>
  <c r="V47" i="15"/>
  <c r="X43" i="19"/>
  <c r="V43" i="15"/>
  <c r="X18" i="19"/>
  <c r="V18" i="15"/>
  <c r="W28" i="19"/>
  <c r="U28" i="15"/>
  <c r="X57" i="19"/>
  <c r="V57" i="15"/>
  <c r="W8" i="19"/>
  <c r="U8" i="15"/>
  <c r="X50" i="19"/>
  <c r="V50" i="15"/>
  <c r="X25" i="19"/>
  <c r="V25" i="15"/>
  <c r="W47" i="19"/>
  <c r="U47" i="15"/>
  <c r="X60" i="19"/>
  <c r="V60" i="15"/>
  <c r="X51" i="19"/>
  <c r="V51" i="15"/>
  <c r="X40" i="19"/>
  <c r="V40" i="15"/>
  <c r="X41" i="19"/>
  <c r="V41" i="15"/>
  <c r="X31" i="19"/>
  <c r="V31" i="15"/>
  <c r="W16" i="19"/>
  <c r="U16" i="15"/>
  <c r="W38" i="19"/>
  <c r="U38" i="15"/>
  <c r="X15" i="19"/>
  <c r="V15" i="15"/>
  <c r="W50" i="19"/>
  <c r="U50" i="15"/>
  <c r="W9" i="19"/>
  <c r="U9" i="15"/>
  <c r="X4" i="19"/>
  <c r="V4" i="15"/>
  <c r="W68" i="19"/>
  <c r="U68" i="15"/>
  <c r="W58" i="19"/>
  <c r="U58" i="15"/>
  <c r="X65" i="19"/>
  <c r="V65" i="15"/>
  <c r="X10" i="19"/>
  <c r="V10" i="15"/>
  <c r="W36" i="19"/>
  <c r="U36" i="15"/>
  <c r="X37" i="19"/>
  <c r="V37" i="15"/>
  <c r="X64" i="19"/>
  <c r="V64" i="15"/>
  <c r="X17" i="19"/>
  <c r="V17" i="15"/>
  <c r="X44" i="19"/>
  <c r="V44" i="15"/>
  <c r="W41" i="19"/>
  <c r="U41" i="15"/>
  <c r="W29" i="19"/>
  <c r="U29" i="15"/>
  <c r="X68" i="19"/>
  <c r="V68" i="15"/>
  <c r="X6" i="19"/>
  <c r="V6" i="15"/>
  <c r="W21" i="19"/>
  <c r="U21" i="15"/>
  <c r="W48" i="19"/>
  <c r="U48" i="15"/>
  <c r="X36" i="19"/>
  <c r="V36" i="15"/>
  <c r="X22" i="19"/>
  <c r="V22" i="15"/>
  <c r="W59" i="19"/>
  <c r="U59" i="15"/>
  <c r="W23" i="19"/>
  <c r="U23" i="15"/>
  <c r="X42" i="19"/>
  <c r="V42" i="15"/>
  <c r="W31" i="19"/>
  <c r="U31" i="15"/>
  <c r="W45" i="19"/>
  <c r="U45" i="15"/>
  <c r="W20" i="19"/>
  <c r="U20" i="15"/>
  <c r="W57" i="19"/>
  <c r="U57" i="15"/>
  <c r="W33" i="19"/>
  <c r="U33" i="15"/>
  <c r="X52" i="19"/>
  <c r="V52" i="15"/>
  <c r="W44" i="19"/>
  <c r="U44" i="15"/>
  <c r="W26" i="19"/>
  <c r="U26" i="15"/>
  <c r="W19" i="19"/>
  <c r="U19" i="15"/>
  <c r="W64" i="19"/>
  <c r="U64" i="15"/>
  <c r="X35" i="19"/>
  <c r="V35" i="15"/>
  <c r="X33" i="19"/>
  <c r="V33" i="15"/>
  <c r="X27" i="19"/>
  <c r="V27" i="15"/>
  <c r="W67" i="19"/>
  <c r="U67" i="15"/>
  <c r="X14" i="19"/>
  <c r="V14" i="15"/>
  <c r="W40" i="19"/>
  <c r="U40" i="15"/>
  <c r="X23" i="19"/>
  <c r="V23" i="15"/>
  <c r="W35" i="19"/>
  <c r="U35" i="15"/>
  <c r="W51" i="19"/>
  <c r="U51" i="15"/>
  <c r="X30" i="19"/>
  <c r="V30" i="15"/>
  <c r="X63" i="19"/>
  <c r="V63" i="15"/>
  <c r="W52" i="19"/>
  <c r="U52" i="15"/>
  <c r="K31" i="10" l="1" a="1"/>
  <c r="K31" i="10" s="1"/>
  <c r="D31" i="10" a="1"/>
  <c r="D31" i="10" s="1"/>
  <c r="L31" i="10" a="1"/>
  <c r="L31" i="10" s="1"/>
  <c r="J31" i="10" a="1"/>
  <c r="J31" i="10" s="1"/>
  <c r="I31" i="10" a="1"/>
  <c r="I31" i="10" s="1"/>
  <c r="H31" i="10" a="1"/>
  <c r="H31" i="10" s="1"/>
  <c r="N31" i="10" a="1"/>
  <c r="N31" i="10" s="1"/>
  <c r="G31" i="10" a="1"/>
  <c r="G31" i="10" s="1"/>
  <c r="C32" i="10"/>
  <c r="M31" i="10" a="1"/>
  <c r="M31" i="10" s="1"/>
  <c r="F31" i="10" a="1"/>
  <c r="F31" i="10" s="1"/>
  <c r="E31" i="10" a="1"/>
  <c r="E31" i="10" s="1"/>
  <c r="L31" i="5" a="1"/>
  <c r="L31" i="5" s="1"/>
  <c r="M31" i="5" a="1"/>
  <c r="M31" i="5" s="1"/>
  <c r="D31" i="5" a="1"/>
  <c r="D31" i="5" s="1"/>
  <c r="E31" i="5" a="1"/>
  <c r="E31" i="5" s="1"/>
  <c r="C32" i="5"/>
  <c r="F31" i="5" a="1"/>
  <c r="F31" i="5" s="1"/>
  <c r="N31" i="5" a="1"/>
  <c r="N31" i="5" s="1"/>
  <c r="H31" i="5" a="1"/>
  <c r="H31" i="5" s="1"/>
  <c r="G31" i="5" a="1"/>
  <c r="G31" i="5" s="1"/>
  <c r="I31" i="5" a="1"/>
  <c r="I31" i="5" s="1"/>
  <c r="J31" i="5" a="1"/>
  <c r="J31" i="5" s="1"/>
  <c r="K31" i="5" a="1"/>
  <c r="K31" i="5" s="1"/>
  <c r="Y52" i="19"/>
  <c r="W52" i="15"/>
  <c r="Y35" i="19"/>
  <c r="W35" i="15"/>
  <c r="Y67" i="19"/>
  <c r="W67" i="15"/>
  <c r="Y64" i="19"/>
  <c r="W64" i="15"/>
  <c r="Z52" i="19"/>
  <c r="X52" i="15"/>
  <c r="Y45" i="19"/>
  <c r="W45" i="15"/>
  <c r="Y59" i="19"/>
  <c r="W59" i="15"/>
  <c r="Y21" i="19"/>
  <c r="W21" i="15"/>
  <c r="Y41" i="19"/>
  <c r="W41" i="15"/>
  <c r="Z37" i="19"/>
  <c r="X37" i="15"/>
  <c r="Y58" i="19"/>
  <c r="W58" i="15"/>
  <c r="Y50" i="19"/>
  <c r="W50" i="15"/>
  <c r="Z31" i="19"/>
  <c r="X31" i="15"/>
  <c r="Z60" i="19"/>
  <c r="X60" i="15"/>
  <c r="Y8" i="19"/>
  <c r="W8" i="15"/>
  <c r="Z43" i="19"/>
  <c r="X43" i="15"/>
  <c r="Z62" i="19"/>
  <c r="X62" i="15"/>
  <c r="Y37" i="19"/>
  <c r="W37" i="15"/>
  <c r="Y15" i="19"/>
  <c r="W15" i="15"/>
  <c r="Y54" i="19"/>
  <c r="W54" i="15"/>
  <c r="Y60" i="19"/>
  <c r="W60" i="15"/>
  <c r="Y55" i="19"/>
  <c r="W55" i="15"/>
  <c r="Z49" i="19"/>
  <c r="X49" i="15"/>
  <c r="Y62" i="19"/>
  <c r="W62" i="15"/>
  <c r="Y63" i="19"/>
  <c r="W63" i="15"/>
  <c r="Z32" i="19"/>
  <c r="X32" i="15"/>
  <c r="Z34" i="19"/>
  <c r="X34" i="15"/>
  <c r="Z12" i="19"/>
  <c r="X12" i="15"/>
  <c r="Z48" i="19"/>
  <c r="X48" i="15"/>
  <c r="Y65" i="19"/>
  <c r="W65" i="15"/>
  <c r="Y43" i="19"/>
  <c r="W43" i="15"/>
  <c r="Z39" i="19"/>
  <c r="X39" i="15"/>
  <c r="Y10" i="19"/>
  <c r="W10" i="15"/>
  <c r="Z63" i="19"/>
  <c r="X63" i="15"/>
  <c r="Z23" i="19"/>
  <c r="X23" i="15"/>
  <c r="Z27" i="19"/>
  <c r="X27" i="15"/>
  <c r="Y19" i="19"/>
  <c r="W19" i="15"/>
  <c r="Y33" i="19"/>
  <c r="W33" i="15"/>
  <c r="Y31" i="19"/>
  <c r="W31" i="15"/>
  <c r="Z22" i="19"/>
  <c r="X22" i="15"/>
  <c r="Z6" i="19"/>
  <c r="X6" i="15"/>
  <c r="Z44" i="19"/>
  <c r="X44" i="15"/>
  <c r="Y36" i="19"/>
  <c r="W36" i="15"/>
  <c r="Y68" i="19"/>
  <c r="W68" i="15"/>
  <c r="Z15" i="19"/>
  <c r="X15" i="15"/>
  <c r="Z41" i="19"/>
  <c r="X41" i="15"/>
  <c r="Y47" i="19"/>
  <c r="W47" i="15"/>
  <c r="Z57" i="19"/>
  <c r="X57" i="15"/>
  <c r="Z47" i="19"/>
  <c r="X47" i="15"/>
  <c r="Y7" i="19"/>
  <c r="W7" i="15"/>
  <c r="Y5" i="19"/>
  <c r="W5" i="15"/>
  <c r="Y25" i="19"/>
  <c r="W25" i="15"/>
  <c r="Z28" i="19"/>
  <c r="X28" i="15"/>
  <c r="Z46" i="19"/>
  <c r="X46" i="15"/>
  <c r="Y66" i="19"/>
  <c r="W66" i="15"/>
  <c r="Z58" i="19"/>
  <c r="X58" i="15"/>
  <c r="Z5" i="19"/>
  <c r="X5" i="15"/>
  <c r="Z20" i="19"/>
  <c r="X20" i="15"/>
  <c r="Z59" i="19"/>
  <c r="X59" i="15"/>
  <c r="Y46" i="19"/>
  <c r="W46" i="15"/>
  <c r="Z16" i="19"/>
  <c r="X16" i="15"/>
  <c r="Z53" i="19"/>
  <c r="X53" i="15"/>
  <c r="Z29" i="19"/>
  <c r="X29" i="15"/>
  <c r="Z61" i="19"/>
  <c r="X61" i="15"/>
  <c r="Y12" i="19"/>
  <c r="W12" i="15"/>
  <c r="Y22" i="19"/>
  <c r="W22" i="15"/>
  <c r="Z30" i="19"/>
  <c r="X30" i="15"/>
  <c r="Y40" i="19"/>
  <c r="W40" i="15"/>
  <c r="Z33" i="19"/>
  <c r="X33" i="15"/>
  <c r="Y26" i="19"/>
  <c r="W26" i="15"/>
  <c r="Y57" i="19"/>
  <c r="W57" i="15"/>
  <c r="Z42" i="19"/>
  <c r="X42" i="15"/>
  <c r="Z36" i="19"/>
  <c r="X36" i="15"/>
  <c r="Z68" i="19"/>
  <c r="X68" i="15"/>
  <c r="Z17" i="19"/>
  <c r="X17" i="15"/>
  <c r="Z10" i="19"/>
  <c r="X10" i="15"/>
  <c r="Z4" i="19"/>
  <c r="X4" i="15"/>
  <c r="Y38" i="19"/>
  <c r="W38" i="15"/>
  <c r="Z40" i="19"/>
  <c r="X40" i="15"/>
  <c r="Z25" i="19"/>
  <c r="X25" i="15"/>
  <c r="Y28" i="19"/>
  <c r="W28" i="15"/>
  <c r="Y39" i="19"/>
  <c r="W39" i="15"/>
  <c r="Y30" i="19"/>
  <c r="W30" i="15"/>
  <c r="Y42" i="19"/>
  <c r="W42" i="15"/>
  <c r="Y18" i="19"/>
  <c r="W18" i="15"/>
  <c r="Y27" i="19"/>
  <c r="W27" i="15"/>
  <c r="Y49" i="19"/>
  <c r="W49" i="15"/>
  <c r="Y17" i="19"/>
  <c r="W17" i="15"/>
  <c r="Y13" i="19"/>
  <c r="W13" i="15"/>
  <c r="Y34" i="19"/>
  <c r="W34" i="15"/>
  <c r="Y24" i="19"/>
  <c r="W24" i="15"/>
  <c r="Z26" i="19"/>
  <c r="X26" i="15"/>
  <c r="Z13" i="19"/>
  <c r="X13" i="15"/>
  <c r="Z45" i="19"/>
  <c r="X45" i="15"/>
  <c r="Z67" i="19"/>
  <c r="X67" i="15"/>
  <c r="Z9" i="19"/>
  <c r="X9" i="15"/>
  <c r="Z24" i="19"/>
  <c r="X24" i="15"/>
  <c r="Y56" i="19"/>
  <c r="W56" i="15"/>
  <c r="Y3" i="19"/>
  <c r="W3" i="15"/>
  <c r="Y51" i="19"/>
  <c r="W51" i="15"/>
  <c r="Z14" i="19"/>
  <c r="X14" i="15"/>
  <c r="Z35" i="19"/>
  <c r="X35" i="15"/>
  <c r="Y44" i="19"/>
  <c r="W44" i="15"/>
  <c r="Y20" i="19"/>
  <c r="W20" i="15"/>
  <c r="Y23" i="19"/>
  <c r="W23" i="15"/>
  <c r="Y48" i="19"/>
  <c r="W48" i="15"/>
  <c r="Y29" i="19"/>
  <c r="W29" i="15"/>
  <c r="Z64" i="19"/>
  <c r="X64" i="15"/>
  <c r="Z65" i="19"/>
  <c r="X65" i="15"/>
  <c r="Y9" i="19"/>
  <c r="W9" i="15"/>
  <c r="Y16" i="19"/>
  <c r="W16" i="15"/>
  <c r="Z51" i="19"/>
  <c r="X51" i="15"/>
  <c r="Z50" i="19"/>
  <c r="X50" i="15"/>
  <c r="Z18" i="19"/>
  <c r="X18" i="15"/>
  <c r="Z21" i="19"/>
  <c r="X21" i="15"/>
  <c r="Z8" i="19"/>
  <c r="X8" i="15"/>
  <c r="Y4" i="19"/>
  <c r="W4" i="15"/>
  <c r="Z7" i="19"/>
  <c r="X7" i="15"/>
  <c r="Z11" i="19"/>
  <c r="X11" i="15"/>
  <c r="Z56" i="19"/>
  <c r="X56" i="15"/>
  <c r="Y32" i="19"/>
  <c r="W32" i="15"/>
  <c r="Z19" i="19"/>
  <c r="X19" i="15"/>
  <c r="Z54" i="19"/>
  <c r="X54" i="15"/>
  <c r="Y61" i="19"/>
  <c r="W61" i="15"/>
  <c r="Z38" i="19"/>
  <c r="X38" i="15"/>
  <c r="Z3" i="19"/>
  <c r="X3" i="15"/>
  <c r="Y14" i="19"/>
  <c r="W14" i="15"/>
  <c r="Z55" i="19"/>
  <c r="X55" i="15"/>
  <c r="Y53" i="19"/>
  <c r="W53" i="15"/>
  <c r="Y11" i="19"/>
  <c r="W11" i="15"/>
  <c r="Y6" i="19"/>
  <c r="W6" i="15"/>
  <c r="Z66" i="19"/>
  <c r="X66" i="15"/>
  <c r="M32" i="10" l="1" a="1"/>
  <c r="M32" i="10" s="1"/>
  <c r="F32" i="10" a="1"/>
  <c r="F32" i="10" s="1"/>
  <c r="D2" i="10" s="1"/>
  <c r="L32" i="10" a="1"/>
  <c r="L32" i="10" s="1"/>
  <c r="J12" i="10" s="1"/>
  <c r="E32" i="10" a="1"/>
  <c r="E32" i="10" s="1"/>
  <c r="C3" i="10" s="1"/>
  <c r="K32" i="10" a="1"/>
  <c r="K32" i="10" s="1"/>
  <c r="J32" i="10" a="1"/>
  <c r="J32" i="10" s="1"/>
  <c r="D32" i="10" a="1"/>
  <c r="D32" i="10" s="1"/>
  <c r="I32" i="10" a="1"/>
  <c r="I32" i="10" s="1"/>
  <c r="G3" i="10" s="1"/>
  <c r="G32" i="10" a="1"/>
  <c r="G32" i="10" s="1"/>
  <c r="E2" i="10" s="1"/>
  <c r="N32" i="10" a="1"/>
  <c r="N32" i="10" s="1"/>
  <c r="L10" i="10" s="1"/>
  <c r="H32" i="10" a="1"/>
  <c r="H32" i="10" s="1"/>
  <c r="K32" i="5" a="1"/>
  <c r="K32" i="5" s="1"/>
  <c r="N32" i="5" a="1"/>
  <c r="N32" i="5" s="1"/>
  <c r="L32" i="5" a="1"/>
  <c r="L32" i="5" s="1"/>
  <c r="E32" i="5" a="1"/>
  <c r="E32" i="5" s="1"/>
  <c r="M32" i="5" a="1"/>
  <c r="M32" i="5" s="1"/>
  <c r="D32" i="5" a="1"/>
  <c r="D32" i="5" s="1"/>
  <c r="F32" i="5" a="1"/>
  <c r="F32" i="5" s="1"/>
  <c r="H32" i="5" a="1"/>
  <c r="H32" i="5" s="1"/>
  <c r="G32" i="5" a="1"/>
  <c r="G32" i="5" s="1"/>
  <c r="I32" i="5" a="1"/>
  <c r="I32" i="5" s="1"/>
  <c r="J32" i="5" a="1"/>
  <c r="J32" i="5" s="1"/>
  <c r="AB66" i="19"/>
  <c r="Z66" i="15"/>
  <c r="AB55" i="19"/>
  <c r="Z55" i="15"/>
  <c r="AA61" i="19"/>
  <c r="Y61" i="15"/>
  <c r="AB56" i="19"/>
  <c r="Z56" i="15"/>
  <c r="AB8" i="19"/>
  <c r="Z8" i="15"/>
  <c r="AB51" i="19"/>
  <c r="Z51" i="15"/>
  <c r="AB64" i="19"/>
  <c r="Z64" i="15"/>
  <c r="AA20" i="19"/>
  <c r="Y20" i="15"/>
  <c r="AA51" i="19"/>
  <c r="Y51" i="15"/>
  <c r="AB9" i="19"/>
  <c r="Z9" i="15"/>
  <c r="AB26" i="19"/>
  <c r="Z26" i="15"/>
  <c r="AA17" i="19"/>
  <c r="Y17" i="15"/>
  <c r="AA42" i="19"/>
  <c r="Y42" i="15"/>
  <c r="AB25" i="19"/>
  <c r="Z25" i="15"/>
  <c r="AB10" i="19"/>
  <c r="Z10" i="15"/>
  <c r="AB42" i="19"/>
  <c r="Z42" i="15"/>
  <c r="AA40" i="19"/>
  <c r="Y40" i="15"/>
  <c r="AB61" i="19"/>
  <c r="Z61" i="15"/>
  <c r="AA46" i="19"/>
  <c r="Y46" i="15"/>
  <c r="AB58" i="19"/>
  <c r="Z58" i="15"/>
  <c r="AA25" i="19"/>
  <c r="Y25" i="15"/>
  <c r="AB57" i="19"/>
  <c r="Z57" i="15"/>
  <c r="AA68" i="19"/>
  <c r="Y68" i="15"/>
  <c r="AB22" i="19"/>
  <c r="Z22" i="15"/>
  <c r="AB27" i="19"/>
  <c r="Z27" i="15"/>
  <c r="AB39" i="19"/>
  <c r="Z39" i="15"/>
  <c r="AB12" i="19"/>
  <c r="Z12" i="15"/>
  <c r="AA62" i="19"/>
  <c r="Y62" i="15"/>
  <c r="AA54" i="19"/>
  <c r="Y54" i="15"/>
  <c r="AB43" i="19"/>
  <c r="Z43" i="15"/>
  <c r="AA50" i="19"/>
  <c r="Y50" i="15"/>
  <c r="AA21" i="19"/>
  <c r="Y21" i="15"/>
  <c r="AA64" i="19"/>
  <c r="Y64" i="15"/>
  <c r="AA6" i="19"/>
  <c r="Y6" i="15"/>
  <c r="AA14" i="19"/>
  <c r="Y14" i="15"/>
  <c r="AB54" i="19"/>
  <c r="Z54" i="15"/>
  <c r="AB11" i="19"/>
  <c r="Z11" i="15"/>
  <c r="AB21" i="19"/>
  <c r="Z21" i="15"/>
  <c r="AA16" i="19"/>
  <c r="Y16" i="15"/>
  <c r="AA29" i="19"/>
  <c r="Y29" i="15"/>
  <c r="AA44" i="19"/>
  <c r="Y44" i="15"/>
  <c r="AA3" i="19"/>
  <c r="Y3" i="15"/>
  <c r="AB67" i="19"/>
  <c r="Z67" i="15"/>
  <c r="AA24" i="19"/>
  <c r="Y24" i="15"/>
  <c r="AA49" i="19"/>
  <c r="Y49" i="15"/>
  <c r="AA30" i="19"/>
  <c r="Y30" i="15"/>
  <c r="AB40" i="19"/>
  <c r="Z40" i="15"/>
  <c r="AB17" i="19"/>
  <c r="Z17" i="15"/>
  <c r="AA57" i="19"/>
  <c r="Y57" i="15"/>
  <c r="AB30" i="19"/>
  <c r="Z30" i="15"/>
  <c r="AB29" i="19"/>
  <c r="Z29" i="15"/>
  <c r="AB59" i="19"/>
  <c r="Z59" i="15"/>
  <c r="AA66" i="19"/>
  <c r="Y66" i="15"/>
  <c r="AA5" i="19"/>
  <c r="Y5" i="15"/>
  <c r="AA47" i="19"/>
  <c r="Y47" i="15"/>
  <c r="AA36" i="19"/>
  <c r="Y36" i="15"/>
  <c r="AA31" i="19"/>
  <c r="Y31" i="15"/>
  <c r="AB23" i="19"/>
  <c r="Z23" i="15"/>
  <c r="AA43" i="19"/>
  <c r="Y43" i="15"/>
  <c r="AB34" i="19"/>
  <c r="Z34" i="15"/>
  <c r="AB49" i="19"/>
  <c r="Z49" i="15"/>
  <c r="AA15" i="19"/>
  <c r="Y15" i="15"/>
  <c r="AA8" i="19"/>
  <c r="Y8" i="15"/>
  <c r="AA58" i="19"/>
  <c r="Y58" i="15"/>
  <c r="AA59" i="19"/>
  <c r="Y59" i="15"/>
  <c r="AA67" i="19"/>
  <c r="Y67" i="15"/>
  <c r="AA11" i="19"/>
  <c r="Y11" i="15"/>
  <c r="AB3" i="19"/>
  <c r="Z3" i="15"/>
  <c r="AB19" i="19"/>
  <c r="Z19" i="15"/>
  <c r="AB7" i="19"/>
  <c r="Z7" i="15"/>
  <c r="AB18" i="19"/>
  <c r="Z18" i="15"/>
  <c r="AA9" i="19"/>
  <c r="Y9" i="15"/>
  <c r="AA48" i="19"/>
  <c r="Y48" i="15"/>
  <c r="AB35" i="19"/>
  <c r="Z35" i="15"/>
  <c r="AA56" i="19"/>
  <c r="Y56" i="15"/>
  <c r="AB45" i="19"/>
  <c r="Z45" i="15"/>
  <c r="AA34" i="19"/>
  <c r="Y34" i="15"/>
  <c r="AA27" i="19"/>
  <c r="Y27" i="15"/>
  <c r="AA39" i="19"/>
  <c r="Y39" i="15"/>
  <c r="AA38" i="19"/>
  <c r="Y38" i="15"/>
  <c r="AB68" i="19"/>
  <c r="Z68" i="15"/>
  <c r="AA26" i="19"/>
  <c r="Y26" i="15"/>
  <c r="AA22" i="19"/>
  <c r="Y22" i="15"/>
  <c r="AB53" i="19"/>
  <c r="Z53" i="15"/>
  <c r="AB20" i="19"/>
  <c r="Z20" i="15"/>
  <c r="AB46" i="19"/>
  <c r="Z46" i="15"/>
  <c r="AA7" i="19"/>
  <c r="Y7" i="15"/>
  <c r="AB41" i="19"/>
  <c r="Z41" i="15"/>
  <c r="AB44" i="19"/>
  <c r="Z44" i="15"/>
  <c r="AA33" i="19"/>
  <c r="Y33" i="15"/>
  <c r="AB63" i="19"/>
  <c r="Z63" i="15"/>
  <c r="AA65" i="19"/>
  <c r="Y65" i="15"/>
  <c r="AB32" i="19"/>
  <c r="Z32" i="15"/>
  <c r="AA55" i="19"/>
  <c r="Y55" i="15"/>
  <c r="AA37" i="19"/>
  <c r="Y37" i="15"/>
  <c r="AB60" i="19"/>
  <c r="Z60" i="15"/>
  <c r="AB37" i="19"/>
  <c r="Z37" i="15"/>
  <c r="AA45" i="19"/>
  <c r="Y45" i="15"/>
  <c r="AA35" i="19"/>
  <c r="Y35" i="15"/>
  <c r="AA53" i="19"/>
  <c r="Y53" i="15"/>
  <c r="AB38" i="19"/>
  <c r="Z38" i="15"/>
  <c r="AA32" i="19"/>
  <c r="Y32" i="15"/>
  <c r="AA4" i="19"/>
  <c r="Y4" i="15"/>
  <c r="AB50" i="19"/>
  <c r="Z50" i="15"/>
  <c r="AB65" i="19"/>
  <c r="Z65" i="15"/>
  <c r="AA23" i="19"/>
  <c r="Y23" i="15"/>
  <c r="AB14" i="19"/>
  <c r="Z14" i="15"/>
  <c r="AB24" i="19"/>
  <c r="Z24" i="15"/>
  <c r="AB13" i="19"/>
  <c r="Z13" i="15"/>
  <c r="AA13" i="19"/>
  <c r="Y13" i="15"/>
  <c r="AA18" i="19"/>
  <c r="Y18" i="15"/>
  <c r="AA28" i="19"/>
  <c r="Y28" i="15"/>
  <c r="AB4" i="19"/>
  <c r="Z4" i="15"/>
  <c r="AB36" i="19"/>
  <c r="Z36" i="15"/>
  <c r="AB33" i="19"/>
  <c r="Z33" i="15"/>
  <c r="AA12" i="19"/>
  <c r="Y12" i="15"/>
  <c r="AB16" i="19"/>
  <c r="Z16" i="15"/>
  <c r="AB5" i="19"/>
  <c r="Z5" i="15"/>
  <c r="AB28" i="19"/>
  <c r="Z28" i="15"/>
  <c r="AB47" i="19"/>
  <c r="Z47" i="15"/>
  <c r="AB15" i="19"/>
  <c r="Z15" i="15"/>
  <c r="AB6" i="19"/>
  <c r="Z6" i="15"/>
  <c r="AA19" i="19"/>
  <c r="Y19" i="15"/>
  <c r="AA10" i="19"/>
  <c r="Y10" i="15"/>
  <c r="AB48" i="19"/>
  <c r="Z48" i="15"/>
  <c r="AA63" i="19"/>
  <c r="Y63" i="15"/>
  <c r="AA60" i="19"/>
  <c r="Y60" i="15"/>
  <c r="AB62" i="19"/>
  <c r="Z62" i="15"/>
  <c r="AB31" i="19"/>
  <c r="Z31" i="15"/>
  <c r="AA41" i="19"/>
  <c r="Y41" i="15"/>
  <c r="AB52" i="19"/>
  <c r="Z52" i="15"/>
  <c r="AA52" i="19"/>
  <c r="Y52" i="15"/>
  <c r="C6" i="10" l="1"/>
  <c r="J5" i="10"/>
  <c r="G10" i="10"/>
  <c r="H8" i="10"/>
  <c r="H5" i="10"/>
  <c r="H4" i="10"/>
  <c r="H2" i="10"/>
  <c r="L6" i="10"/>
  <c r="I6" i="10"/>
  <c r="I5" i="10"/>
  <c r="I12" i="10"/>
  <c r="I9" i="10"/>
  <c r="G6" i="10"/>
  <c r="L7" i="10"/>
  <c r="C5" i="10"/>
  <c r="C7" i="10"/>
  <c r="C2" i="10"/>
  <c r="L11" i="10"/>
  <c r="F11" i="10"/>
  <c r="F4" i="10"/>
  <c r="F3" i="10"/>
  <c r="F2" i="10"/>
  <c r="F7" i="10"/>
  <c r="J10" i="10"/>
  <c r="J11" i="10"/>
  <c r="J7" i="10"/>
  <c r="J2" i="10"/>
  <c r="J4" i="10"/>
  <c r="H11" i="10"/>
  <c r="F5" i="10"/>
  <c r="L5" i="10"/>
  <c r="D11" i="10"/>
  <c r="D6" i="10"/>
  <c r="D10" i="10"/>
  <c r="D8" i="10"/>
  <c r="D4" i="10"/>
  <c r="D7" i="10"/>
  <c r="H12" i="10"/>
  <c r="F6" i="10"/>
  <c r="L12" i="10"/>
  <c r="E10" i="10"/>
  <c r="E8" i="10"/>
  <c r="E7" i="10"/>
  <c r="E12" i="10"/>
  <c r="E11" i="10"/>
  <c r="E6" i="10"/>
  <c r="E3" i="10"/>
  <c r="K11" i="10"/>
  <c r="K8" i="10"/>
  <c r="K6" i="10"/>
  <c r="K5" i="10"/>
  <c r="K3" i="10"/>
  <c r="K10" i="10"/>
  <c r="K12" i="10"/>
  <c r="H3" i="10"/>
  <c r="F12" i="10"/>
  <c r="L8" i="10"/>
  <c r="G5" i="10"/>
  <c r="G7" i="10"/>
  <c r="G12" i="10"/>
  <c r="G8" i="10"/>
  <c r="G2" i="10"/>
  <c r="C11" i="10"/>
  <c r="H7" i="10"/>
  <c r="L9" i="10"/>
  <c r="K4" i="10"/>
  <c r="E5" i="10"/>
  <c r="B5" i="10"/>
  <c r="B8" i="10"/>
  <c r="B6" i="10"/>
  <c r="B12" i="10"/>
  <c r="B2" i="10"/>
  <c r="B10" i="10"/>
  <c r="B3" i="10"/>
  <c r="B7" i="10"/>
  <c r="B4" i="10"/>
  <c r="J3" i="10"/>
  <c r="G4" i="10"/>
  <c r="L2" i="10"/>
  <c r="C8" i="10"/>
  <c r="D7" i="5"/>
  <c r="D8" i="5"/>
  <c r="D10" i="5"/>
  <c r="D6" i="5"/>
  <c r="D11" i="5"/>
  <c r="D4" i="5"/>
  <c r="D2" i="5"/>
  <c r="B10" i="5"/>
  <c r="B12" i="5"/>
  <c r="B3" i="5"/>
  <c r="B8" i="5"/>
  <c r="B2" i="5"/>
  <c r="B7" i="5"/>
  <c r="B6" i="5"/>
  <c r="B5" i="5"/>
  <c r="B4" i="5"/>
  <c r="K8" i="5"/>
  <c r="K11" i="5"/>
  <c r="K3" i="5"/>
  <c r="K5" i="5"/>
  <c r="K10" i="5"/>
  <c r="K6" i="5"/>
  <c r="K12" i="5"/>
  <c r="K4" i="5"/>
  <c r="F7" i="5"/>
  <c r="F4" i="5"/>
  <c r="F2" i="5"/>
  <c r="F3" i="5"/>
  <c r="F12" i="5"/>
  <c r="F6" i="5"/>
  <c r="F11" i="5"/>
  <c r="F5" i="5"/>
  <c r="C3" i="5"/>
  <c r="C6" i="5"/>
  <c r="C7" i="5"/>
  <c r="C8" i="5"/>
  <c r="C2" i="5"/>
  <c r="C5" i="5"/>
  <c r="C11" i="5"/>
  <c r="H3" i="5"/>
  <c r="H8" i="5"/>
  <c r="H4" i="5"/>
  <c r="H5" i="5"/>
  <c r="H12" i="5"/>
  <c r="H7" i="5"/>
  <c r="H2" i="5"/>
  <c r="H11" i="5"/>
  <c r="J12" i="5"/>
  <c r="J7" i="5"/>
  <c r="J2" i="5"/>
  <c r="J11" i="5"/>
  <c r="J5" i="5"/>
  <c r="J4" i="5"/>
  <c r="J3" i="5"/>
  <c r="J10" i="5"/>
  <c r="G3" i="5"/>
  <c r="G7" i="5"/>
  <c r="G10" i="5"/>
  <c r="G12" i="5"/>
  <c r="G6" i="5"/>
  <c r="G5" i="5"/>
  <c r="G2" i="5"/>
  <c r="G8" i="5"/>
  <c r="G4" i="5"/>
  <c r="L9" i="5"/>
  <c r="L2" i="5"/>
  <c r="L6" i="5"/>
  <c r="L7" i="5"/>
  <c r="L10" i="5"/>
  <c r="L8" i="5"/>
  <c r="L12" i="5"/>
  <c r="L11" i="5"/>
  <c r="L5" i="5"/>
  <c r="E12" i="5"/>
  <c r="AH12" i="5" s="1"/>
  <c r="E7" i="5"/>
  <c r="AH7" i="5" s="1"/>
  <c r="E11" i="5"/>
  <c r="AH11" i="5" s="1"/>
  <c r="E5" i="5"/>
  <c r="AH5" i="5" s="1"/>
  <c r="E2" i="5"/>
  <c r="E6" i="5"/>
  <c r="AH6" i="5" s="1"/>
  <c r="E3" i="5"/>
  <c r="AH3" i="5" s="1"/>
  <c r="E10" i="5"/>
  <c r="AH10" i="5" s="1"/>
  <c r="E8" i="5"/>
  <c r="AH8" i="5" s="1"/>
  <c r="I10" i="5"/>
  <c r="I12" i="5"/>
  <c r="I9" i="5"/>
  <c r="AC52" i="19"/>
  <c r="AA52" i="15"/>
  <c r="AD62" i="19"/>
  <c r="AB62" i="15"/>
  <c r="AC10" i="19"/>
  <c r="AA10" i="15"/>
  <c r="AD47" i="19"/>
  <c r="AB47" i="15"/>
  <c r="AC12" i="19"/>
  <c r="AA12" i="15"/>
  <c r="AC28" i="19"/>
  <c r="AA28" i="15"/>
  <c r="AD24" i="19"/>
  <c r="AB24" i="15"/>
  <c r="AD50" i="19"/>
  <c r="AB50" i="15"/>
  <c r="AC53" i="19"/>
  <c r="AA53" i="15"/>
  <c r="AD60" i="19"/>
  <c r="AB60" i="15"/>
  <c r="AC65" i="19"/>
  <c r="AA65" i="15"/>
  <c r="AD41" i="19"/>
  <c r="AB41" i="15"/>
  <c r="AD53" i="19"/>
  <c r="AB53" i="15"/>
  <c r="AC38" i="19"/>
  <c r="AA38" i="15"/>
  <c r="AD45" i="19"/>
  <c r="AB45" i="15"/>
  <c r="AC9" i="19"/>
  <c r="AA9" i="15"/>
  <c r="AD3" i="19"/>
  <c r="AB3" i="15"/>
  <c r="AC58" i="19"/>
  <c r="AA58" i="15"/>
  <c r="AD34" i="19"/>
  <c r="AB34" i="15"/>
  <c r="AC36" i="19"/>
  <c r="AA36" i="15"/>
  <c r="AD59" i="19"/>
  <c r="AB59" i="15"/>
  <c r="AD17" i="19"/>
  <c r="AB17" i="15"/>
  <c r="AC24" i="19"/>
  <c r="AA24" i="15"/>
  <c r="AC29" i="19"/>
  <c r="AA29" i="15"/>
  <c r="AD54" i="19"/>
  <c r="AB54" i="15"/>
  <c r="AC21" i="19"/>
  <c r="AA21" i="15"/>
  <c r="AC62" i="19"/>
  <c r="AA62" i="15"/>
  <c r="AD22" i="19"/>
  <c r="AB22" i="15"/>
  <c r="AD58" i="19"/>
  <c r="AB58" i="15"/>
  <c r="AD42" i="19"/>
  <c r="AB42" i="15"/>
  <c r="AC17" i="19"/>
  <c r="AA17" i="15"/>
  <c r="AC20" i="19"/>
  <c r="AA20" i="15"/>
  <c r="AD56" i="19"/>
  <c r="AB56" i="15"/>
  <c r="AD52" i="19"/>
  <c r="AB52" i="15"/>
  <c r="AC60" i="19"/>
  <c r="AA60" i="15"/>
  <c r="AC19" i="19"/>
  <c r="AA19" i="15"/>
  <c r="AD28" i="19"/>
  <c r="AB28" i="15"/>
  <c r="AD33" i="19"/>
  <c r="AB33" i="15"/>
  <c r="AC18" i="19"/>
  <c r="AA18" i="15"/>
  <c r="AD14" i="19"/>
  <c r="AB14" i="15"/>
  <c r="AC4" i="19"/>
  <c r="AA4" i="15"/>
  <c r="AC35" i="19"/>
  <c r="AA35" i="15"/>
  <c r="AC37" i="19"/>
  <c r="AA37" i="15"/>
  <c r="AD63" i="19"/>
  <c r="AB63" i="15"/>
  <c r="AC7" i="19"/>
  <c r="AA7" i="15"/>
  <c r="AC22" i="19"/>
  <c r="AA22" i="15"/>
  <c r="AC39" i="19"/>
  <c r="AA39" i="15"/>
  <c r="AC56" i="19"/>
  <c r="AA56" i="15"/>
  <c r="AD18" i="19"/>
  <c r="AB18" i="15"/>
  <c r="AC11" i="19"/>
  <c r="AA11" i="15"/>
  <c r="AC8" i="19"/>
  <c r="AA8" i="15"/>
  <c r="AC43" i="19"/>
  <c r="AA43" i="15"/>
  <c r="AC47" i="19"/>
  <c r="AA47" i="15"/>
  <c r="AD29" i="19"/>
  <c r="AB29" i="15"/>
  <c r="AD40" i="19"/>
  <c r="AB40" i="15"/>
  <c r="AD67" i="19"/>
  <c r="AB67" i="15"/>
  <c r="AC16" i="19"/>
  <c r="AA16" i="15"/>
  <c r="AC14" i="19"/>
  <c r="AA14" i="15"/>
  <c r="AC50" i="19"/>
  <c r="AA50" i="15"/>
  <c r="AD12" i="19"/>
  <c r="AB12" i="15"/>
  <c r="AC68" i="19"/>
  <c r="AA68" i="15"/>
  <c r="AC46" i="19"/>
  <c r="AA46" i="15"/>
  <c r="AD10" i="19"/>
  <c r="AB10" i="15"/>
  <c r="AD26" i="19"/>
  <c r="AB26" i="15"/>
  <c r="AD64" i="19"/>
  <c r="AB64" i="15"/>
  <c r="AC61" i="19"/>
  <c r="AA61" i="15"/>
  <c r="AC41" i="19"/>
  <c r="AA41" i="15"/>
  <c r="AC63" i="19"/>
  <c r="AA63" i="15"/>
  <c r="AD6" i="19"/>
  <c r="AB6" i="15"/>
  <c r="AD5" i="19"/>
  <c r="AB5" i="15"/>
  <c r="AD36" i="19"/>
  <c r="AB36" i="15"/>
  <c r="AC13" i="19"/>
  <c r="AA13" i="15"/>
  <c r="AC23" i="19"/>
  <c r="AA23" i="15"/>
  <c r="AC32" i="19"/>
  <c r="AA32" i="15"/>
  <c r="AC45" i="19"/>
  <c r="AA45" i="15"/>
  <c r="AC55" i="19"/>
  <c r="AA55" i="15"/>
  <c r="AC33" i="19"/>
  <c r="AA33" i="15"/>
  <c r="AD46" i="19"/>
  <c r="AB46" i="15"/>
  <c r="AC26" i="19"/>
  <c r="AA26" i="15"/>
  <c r="AC27" i="19"/>
  <c r="AA27" i="15"/>
  <c r="AD35" i="19"/>
  <c r="AB35" i="15"/>
  <c r="AD7" i="19"/>
  <c r="AB7" i="15"/>
  <c r="AC67" i="19"/>
  <c r="AA67" i="15"/>
  <c r="AC15" i="19"/>
  <c r="AA15" i="15"/>
  <c r="AD23" i="19"/>
  <c r="AB23" i="15"/>
  <c r="AC5" i="19"/>
  <c r="AA5" i="15"/>
  <c r="AD30" i="19"/>
  <c r="AB30" i="15"/>
  <c r="AC30" i="19"/>
  <c r="AA30" i="15"/>
  <c r="AC3" i="19"/>
  <c r="AA3" i="15"/>
  <c r="AD21" i="19"/>
  <c r="AB21" i="15"/>
  <c r="AC6" i="19"/>
  <c r="AA6" i="15"/>
  <c r="AD43" i="19"/>
  <c r="AB43" i="15"/>
  <c r="AD39" i="19"/>
  <c r="AB39" i="15"/>
  <c r="AD57" i="19"/>
  <c r="AB57" i="15"/>
  <c r="AD61" i="19"/>
  <c r="AB61" i="15"/>
  <c r="AD25" i="19"/>
  <c r="AB25" i="15"/>
  <c r="AD9" i="19"/>
  <c r="AB9" i="15"/>
  <c r="AD51" i="19"/>
  <c r="AB51" i="15"/>
  <c r="AD55" i="19"/>
  <c r="AB55" i="15"/>
  <c r="AD31" i="19"/>
  <c r="AB31" i="15"/>
  <c r="AD48" i="19"/>
  <c r="AB48" i="15"/>
  <c r="AD15" i="19"/>
  <c r="AB15" i="15"/>
  <c r="AD16" i="19"/>
  <c r="AB16" i="15"/>
  <c r="AD4" i="19"/>
  <c r="AB4" i="15"/>
  <c r="AD13" i="19"/>
  <c r="AB13" i="15"/>
  <c r="AD65" i="19"/>
  <c r="AB65" i="15"/>
  <c r="AD38" i="19"/>
  <c r="AB38" i="15"/>
  <c r="AD37" i="19"/>
  <c r="AB37" i="15"/>
  <c r="AD32" i="19"/>
  <c r="AB32" i="15"/>
  <c r="AD44" i="19"/>
  <c r="AB44" i="15"/>
  <c r="AD20" i="19"/>
  <c r="AB20" i="15"/>
  <c r="AD68" i="19"/>
  <c r="AB68" i="15"/>
  <c r="AC34" i="19"/>
  <c r="AA34" i="15"/>
  <c r="AC48" i="19"/>
  <c r="AA48" i="15"/>
  <c r="AD19" i="19"/>
  <c r="AB19" i="15"/>
  <c r="AC59" i="19"/>
  <c r="AA59" i="15"/>
  <c r="AD49" i="19"/>
  <c r="AB49" i="15"/>
  <c r="AC31" i="19"/>
  <c r="AA31" i="15"/>
  <c r="AC66" i="19"/>
  <c r="AA66" i="15"/>
  <c r="AC57" i="19"/>
  <c r="AA57" i="15"/>
  <c r="AC49" i="19"/>
  <c r="AA49" i="15"/>
  <c r="AC44" i="19"/>
  <c r="AA44" i="15"/>
  <c r="AD11" i="19"/>
  <c r="AB11" i="15"/>
  <c r="AC64" i="19"/>
  <c r="AA64" i="15"/>
  <c r="AC54" i="19"/>
  <c r="AA54" i="15"/>
  <c r="AD27" i="19"/>
  <c r="AB27" i="15"/>
  <c r="AC25" i="19"/>
  <c r="AA25" i="15"/>
  <c r="AC40" i="19"/>
  <c r="AA40" i="15"/>
  <c r="AC42" i="19"/>
  <c r="AA42" i="15"/>
  <c r="AC51" i="19"/>
  <c r="AA51" i="15"/>
  <c r="AD8" i="19"/>
  <c r="AB8" i="15"/>
  <c r="AD66" i="19"/>
  <c r="AB66" i="15"/>
  <c r="U3" i="5" l="1"/>
  <c r="U6" i="5"/>
  <c r="U2" i="5"/>
  <c r="AH2" i="5"/>
  <c r="U5" i="5"/>
  <c r="U11" i="5"/>
  <c r="U7" i="5"/>
  <c r="U8" i="5"/>
  <c r="U12" i="5"/>
  <c r="U10" i="5"/>
  <c r="AF66" i="19"/>
  <c r="AD66" i="15"/>
  <c r="AE40" i="19"/>
  <c r="AC40" i="15"/>
  <c r="AE64" i="19"/>
  <c r="AC64" i="15"/>
  <c r="AE57" i="19"/>
  <c r="AC57" i="15"/>
  <c r="AE59" i="19"/>
  <c r="AC59" i="15"/>
  <c r="AF68" i="19"/>
  <c r="AD68" i="15"/>
  <c r="AF37" i="19"/>
  <c r="AD37" i="15"/>
  <c r="AF4" i="19"/>
  <c r="AD4" i="15"/>
  <c r="AF31" i="19"/>
  <c r="AD31" i="15"/>
  <c r="AF25" i="19"/>
  <c r="AD25" i="15"/>
  <c r="AF43" i="19"/>
  <c r="AD43" i="15"/>
  <c r="AE30" i="19"/>
  <c r="AC30" i="15"/>
  <c r="AE15" i="19"/>
  <c r="AC15" i="15"/>
  <c r="AE27" i="19"/>
  <c r="AC27" i="15"/>
  <c r="AE55" i="19"/>
  <c r="AC55" i="15"/>
  <c r="AE13" i="19"/>
  <c r="AC13" i="15"/>
  <c r="AE63" i="19"/>
  <c r="AC63" i="15"/>
  <c r="AF26" i="19"/>
  <c r="AD26" i="15"/>
  <c r="AF12" i="19"/>
  <c r="AD12" i="15"/>
  <c r="AF67" i="19"/>
  <c r="AD67" i="15"/>
  <c r="AE43" i="19"/>
  <c r="AC43" i="15"/>
  <c r="AE56" i="19"/>
  <c r="AC56" i="15"/>
  <c r="AF63" i="19"/>
  <c r="AD63" i="15"/>
  <c r="AF14" i="19"/>
  <c r="AD14" i="15"/>
  <c r="AE19" i="19"/>
  <c r="AC19" i="15"/>
  <c r="AE20" i="19"/>
  <c r="AC20" i="15"/>
  <c r="AF22" i="19"/>
  <c r="AD22" i="15"/>
  <c r="AE29" i="19"/>
  <c r="AC29" i="15"/>
  <c r="AE36" i="19"/>
  <c r="AC36" i="15"/>
  <c r="AE9" i="19"/>
  <c r="AC9" i="15"/>
  <c r="AF41" i="19"/>
  <c r="AD41" i="15"/>
  <c r="AF50" i="19"/>
  <c r="AD50" i="15"/>
  <c r="AF47" i="19"/>
  <c r="AD47" i="15"/>
  <c r="AF8" i="19"/>
  <c r="AD8" i="15"/>
  <c r="AE25" i="19"/>
  <c r="AC25" i="15"/>
  <c r="AF11" i="19"/>
  <c r="AD11" i="15"/>
  <c r="AE66" i="19"/>
  <c r="AC66" i="15"/>
  <c r="AF19" i="19"/>
  <c r="AD19" i="15"/>
  <c r="AF20" i="19"/>
  <c r="AD20" i="15"/>
  <c r="AF38" i="19"/>
  <c r="AD38" i="15"/>
  <c r="AF16" i="19"/>
  <c r="AD16" i="15"/>
  <c r="AF55" i="19"/>
  <c r="AD55" i="15"/>
  <c r="AF61" i="19"/>
  <c r="AD61" i="15"/>
  <c r="AE6" i="19"/>
  <c r="AC6" i="15"/>
  <c r="AF30" i="19"/>
  <c r="AD30" i="15"/>
  <c r="AE67" i="19"/>
  <c r="AC67" i="15"/>
  <c r="AE26" i="19"/>
  <c r="AC26" i="15"/>
  <c r="AE45" i="19"/>
  <c r="AC45" i="15"/>
  <c r="AF36" i="19"/>
  <c r="AD36" i="15"/>
  <c r="AE41" i="19"/>
  <c r="AC41" i="15"/>
  <c r="AF10" i="19"/>
  <c r="AD10" i="15"/>
  <c r="AE50" i="19"/>
  <c r="AC50" i="15"/>
  <c r="AF40" i="19"/>
  <c r="AD40" i="15"/>
  <c r="AE8" i="19"/>
  <c r="AC8" i="15"/>
  <c r="AE39" i="19"/>
  <c r="AC39" i="15"/>
  <c r="AE37" i="19"/>
  <c r="AC37" i="15"/>
  <c r="AE18" i="19"/>
  <c r="AC18" i="15"/>
  <c r="AE60" i="19"/>
  <c r="AC60" i="15"/>
  <c r="AE17" i="19"/>
  <c r="AC17" i="15"/>
  <c r="AE62" i="19"/>
  <c r="AC62" i="15"/>
  <c r="AE24" i="19"/>
  <c r="AC24" i="15"/>
  <c r="AF34" i="19"/>
  <c r="AD34" i="15"/>
  <c r="AF45" i="19"/>
  <c r="AD45" i="15"/>
  <c r="AE65" i="19"/>
  <c r="AC65" i="15"/>
  <c r="AF24" i="19"/>
  <c r="AD24" i="15"/>
  <c r="AE10" i="19"/>
  <c r="AC10" i="15"/>
  <c r="AE51" i="19"/>
  <c r="AC51" i="15"/>
  <c r="AF27" i="19"/>
  <c r="AD27" i="15"/>
  <c r="AE44" i="19"/>
  <c r="AC44" i="15"/>
  <c r="AE31" i="19"/>
  <c r="AC31" i="15"/>
  <c r="AE48" i="19"/>
  <c r="AC48" i="15"/>
  <c r="AF44" i="19"/>
  <c r="AD44" i="15"/>
  <c r="AF65" i="19"/>
  <c r="AD65" i="15"/>
  <c r="AF15" i="19"/>
  <c r="AD15" i="15"/>
  <c r="AF51" i="19"/>
  <c r="AD51" i="15"/>
  <c r="AF57" i="19"/>
  <c r="AD57" i="15"/>
  <c r="AF21" i="19"/>
  <c r="AD21" i="15"/>
  <c r="AE5" i="19"/>
  <c r="AC5" i="15"/>
  <c r="AF7" i="19"/>
  <c r="AD7" i="15"/>
  <c r="AF46" i="19"/>
  <c r="AD46" i="15"/>
  <c r="AE32" i="19"/>
  <c r="AC32" i="15"/>
  <c r="AF5" i="19"/>
  <c r="AD5" i="15"/>
  <c r="AE61" i="19"/>
  <c r="AC61" i="15"/>
  <c r="AE46" i="19"/>
  <c r="AC46" i="15"/>
  <c r="AE14" i="19"/>
  <c r="AC14" i="15"/>
  <c r="AF29" i="19"/>
  <c r="AD29" i="15"/>
  <c r="AE11" i="19"/>
  <c r="AC11" i="15"/>
  <c r="AE22" i="19"/>
  <c r="AC22" i="15"/>
  <c r="AE35" i="19"/>
  <c r="AC35" i="15"/>
  <c r="AF33" i="19"/>
  <c r="AD33" i="15"/>
  <c r="AF52" i="19"/>
  <c r="AD52" i="15"/>
  <c r="AF42" i="19"/>
  <c r="AD42" i="15"/>
  <c r="AE21" i="19"/>
  <c r="AC21" i="15"/>
  <c r="AF17" i="19"/>
  <c r="AD17" i="15"/>
  <c r="AE58" i="19"/>
  <c r="AC58" i="15"/>
  <c r="AE38" i="19"/>
  <c r="AC38" i="15"/>
  <c r="AF60" i="19"/>
  <c r="AD60" i="15"/>
  <c r="AE28" i="19"/>
  <c r="AC28" i="15"/>
  <c r="AF62" i="19"/>
  <c r="AD62" i="15"/>
  <c r="AE42" i="19"/>
  <c r="AC42" i="15"/>
  <c r="AE54" i="19"/>
  <c r="AC54" i="15"/>
  <c r="AE49" i="19"/>
  <c r="AC49" i="15"/>
  <c r="AF49" i="19"/>
  <c r="AD49" i="15"/>
  <c r="AE34" i="19"/>
  <c r="AC34" i="15"/>
  <c r="AF32" i="19"/>
  <c r="AD32" i="15"/>
  <c r="AF13" i="19"/>
  <c r="AD13" i="15"/>
  <c r="AF48" i="19"/>
  <c r="AD48" i="15"/>
  <c r="AF9" i="19"/>
  <c r="AD9" i="15"/>
  <c r="AF39" i="19"/>
  <c r="AD39" i="15"/>
  <c r="AE3" i="19"/>
  <c r="AC3" i="15"/>
  <c r="AF23" i="19"/>
  <c r="AD23" i="15"/>
  <c r="AF35" i="19"/>
  <c r="AD35" i="15"/>
  <c r="AE33" i="19"/>
  <c r="AC33" i="15"/>
  <c r="AE23" i="19"/>
  <c r="AC23" i="15"/>
  <c r="AF6" i="19"/>
  <c r="AD6" i="15"/>
  <c r="AF64" i="19"/>
  <c r="AD64" i="15"/>
  <c r="AE68" i="19"/>
  <c r="AC68" i="15"/>
  <c r="AE16" i="19"/>
  <c r="AC16" i="15"/>
  <c r="AE47" i="19"/>
  <c r="AC47" i="15"/>
  <c r="AF18" i="19"/>
  <c r="AD18" i="15"/>
  <c r="AE7" i="19"/>
  <c r="AC7" i="15"/>
  <c r="AE4" i="19"/>
  <c r="AC4" i="15"/>
  <c r="AF28" i="19"/>
  <c r="AD28" i="15"/>
  <c r="AF56" i="19"/>
  <c r="AD56" i="15"/>
  <c r="AF58" i="19"/>
  <c r="AD58" i="15"/>
  <c r="AF54" i="19"/>
  <c r="AD54" i="15"/>
  <c r="AF59" i="19"/>
  <c r="AD59" i="15"/>
  <c r="AF3" i="19"/>
  <c r="AD3" i="15"/>
  <c r="AF53" i="19"/>
  <c r="AD53" i="15"/>
  <c r="AE53" i="19"/>
  <c r="AC53" i="15"/>
  <c r="AE12" i="19"/>
  <c r="AC12" i="15"/>
  <c r="AE52" i="19"/>
  <c r="AC52" i="15"/>
  <c r="AG52" i="19" l="1"/>
  <c r="AG52" i="15" s="1"/>
  <c r="AE52" i="15"/>
  <c r="AH3" i="19"/>
  <c r="AH3" i="15" s="1"/>
  <c r="AF3" i="15"/>
  <c r="AH56" i="19"/>
  <c r="AH56" i="15" s="1"/>
  <c r="AF56" i="15"/>
  <c r="AH18" i="19"/>
  <c r="AH18" i="15" s="1"/>
  <c r="AF18" i="15"/>
  <c r="AH64" i="19"/>
  <c r="AH64" i="15" s="1"/>
  <c r="AF64" i="15"/>
  <c r="AH35" i="19"/>
  <c r="AH35" i="15" s="1"/>
  <c r="AF35" i="15"/>
  <c r="AH9" i="19"/>
  <c r="AH9" i="15" s="1"/>
  <c r="AF9" i="15"/>
  <c r="AG34" i="19"/>
  <c r="AG34" i="15" s="1"/>
  <c r="AE34" i="15"/>
  <c r="AG42" i="19"/>
  <c r="AG42" i="15" s="1"/>
  <c r="AE42" i="15"/>
  <c r="AG38" i="19"/>
  <c r="AG38" i="15" s="1"/>
  <c r="AE38" i="15"/>
  <c r="AH42" i="19"/>
  <c r="AH42" i="15" s="1"/>
  <c r="AF42" i="15"/>
  <c r="AG22" i="19"/>
  <c r="AG22" i="15" s="1"/>
  <c r="AE22" i="15"/>
  <c r="AG46" i="19"/>
  <c r="AG46" i="15" s="1"/>
  <c r="AE46" i="15"/>
  <c r="AH46" i="19"/>
  <c r="AH46" i="15" s="1"/>
  <c r="AF46" i="15"/>
  <c r="AH57" i="19"/>
  <c r="AH57" i="15" s="1"/>
  <c r="AF57" i="15"/>
  <c r="AH44" i="19"/>
  <c r="AH44" i="15" s="1"/>
  <c r="AF44" i="15"/>
  <c r="AH27" i="19"/>
  <c r="AH27" i="15" s="1"/>
  <c r="AF27" i="15"/>
  <c r="AG65" i="19"/>
  <c r="AG65" i="15" s="1"/>
  <c r="AE65" i="15"/>
  <c r="AG62" i="19"/>
  <c r="AG62" i="15" s="1"/>
  <c r="AE62" i="15"/>
  <c r="AG37" i="19"/>
  <c r="AG37" i="15" s="1"/>
  <c r="AE37" i="15"/>
  <c r="AG50" i="19"/>
  <c r="AG50" i="15" s="1"/>
  <c r="AE50" i="15"/>
  <c r="AG45" i="19"/>
  <c r="AG45" i="15" s="1"/>
  <c r="AE45" i="15"/>
  <c r="AG6" i="19"/>
  <c r="AG6" i="15" s="1"/>
  <c r="AE6" i="15"/>
  <c r="AH38" i="19"/>
  <c r="AH38" i="15" s="1"/>
  <c r="AF38" i="15"/>
  <c r="AH11" i="19"/>
  <c r="AH11" i="15" s="1"/>
  <c r="AF11" i="15"/>
  <c r="AH50" i="19"/>
  <c r="AH50" i="15" s="1"/>
  <c r="AF50" i="15"/>
  <c r="AG29" i="19"/>
  <c r="AG29" i="15" s="1"/>
  <c r="AE29" i="15"/>
  <c r="AH14" i="19"/>
  <c r="AH14" i="15" s="1"/>
  <c r="AF14" i="15"/>
  <c r="AH67" i="19"/>
  <c r="AH67" i="15" s="1"/>
  <c r="AF67" i="15"/>
  <c r="AG13" i="19"/>
  <c r="AG13" i="15" s="1"/>
  <c r="AE13" i="15"/>
  <c r="AG30" i="19"/>
  <c r="AG30" i="15" s="1"/>
  <c r="AE30" i="15"/>
  <c r="AH4" i="19"/>
  <c r="AH4" i="15" s="1"/>
  <c r="AF4" i="15"/>
  <c r="AG57" i="19"/>
  <c r="AG57" i="15" s="1"/>
  <c r="AE57" i="15"/>
  <c r="AG12" i="19"/>
  <c r="AG12" i="15" s="1"/>
  <c r="AE12" i="15"/>
  <c r="AH59" i="19"/>
  <c r="AH59" i="15" s="1"/>
  <c r="AF59" i="15"/>
  <c r="AH28" i="19"/>
  <c r="AH28" i="15" s="1"/>
  <c r="AF28" i="15"/>
  <c r="AG47" i="19"/>
  <c r="AG47" i="15" s="1"/>
  <c r="AE47" i="15"/>
  <c r="AH6" i="19"/>
  <c r="AH6" i="15" s="1"/>
  <c r="AF6" i="15"/>
  <c r="AH23" i="19"/>
  <c r="AH23" i="15" s="1"/>
  <c r="AF23" i="15"/>
  <c r="AH48" i="19"/>
  <c r="AH48" i="15" s="1"/>
  <c r="AF48" i="15"/>
  <c r="AH49" i="19"/>
  <c r="AH49" i="15" s="1"/>
  <c r="AF49" i="15"/>
  <c r="AH62" i="19"/>
  <c r="AH62" i="15" s="1"/>
  <c r="AF62" i="15"/>
  <c r="AG58" i="19"/>
  <c r="AG58" i="15" s="1"/>
  <c r="AE58" i="15"/>
  <c r="AH52" i="19"/>
  <c r="AH52" i="15" s="1"/>
  <c r="AF52" i="15"/>
  <c r="AG11" i="19"/>
  <c r="AG11" i="15" s="1"/>
  <c r="AE11" i="15"/>
  <c r="AG61" i="19"/>
  <c r="AG61" i="15" s="1"/>
  <c r="AE61" i="15"/>
  <c r="AH7" i="19"/>
  <c r="AH7" i="15" s="1"/>
  <c r="AF7" i="15"/>
  <c r="AH51" i="19"/>
  <c r="AH51" i="15" s="1"/>
  <c r="AF51" i="15"/>
  <c r="AG48" i="19"/>
  <c r="AG48" i="15" s="1"/>
  <c r="AE48" i="15"/>
  <c r="AG51" i="19"/>
  <c r="AG51" i="15" s="1"/>
  <c r="AE51" i="15"/>
  <c r="AH45" i="19"/>
  <c r="AH45" i="15" s="1"/>
  <c r="AF45" i="15"/>
  <c r="AG17" i="19"/>
  <c r="AG17" i="15" s="1"/>
  <c r="AE17" i="15"/>
  <c r="AG39" i="19"/>
  <c r="AG39" i="15" s="1"/>
  <c r="AE39" i="15"/>
  <c r="AH10" i="19"/>
  <c r="AH10" i="15" s="1"/>
  <c r="AF10" i="15"/>
  <c r="AG26" i="19"/>
  <c r="AG26" i="15" s="1"/>
  <c r="AE26" i="15"/>
  <c r="AH61" i="19"/>
  <c r="AH61" i="15" s="1"/>
  <c r="AF61" i="15"/>
  <c r="AH20" i="19"/>
  <c r="AH20" i="15" s="1"/>
  <c r="AF20" i="15"/>
  <c r="AG25" i="19"/>
  <c r="AG25" i="15" s="1"/>
  <c r="AE25" i="15"/>
  <c r="AH41" i="19"/>
  <c r="AH41" i="15" s="1"/>
  <c r="AF41" i="15"/>
  <c r="AH22" i="19"/>
  <c r="AH22" i="15" s="1"/>
  <c r="AF22" i="15"/>
  <c r="AH63" i="19"/>
  <c r="AH63" i="15" s="1"/>
  <c r="AF63" i="15"/>
  <c r="AH12" i="19"/>
  <c r="AH12" i="15" s="1"/>
  <c r="AF12" i="15"/>
  <c r="AG55" i="19"/>
  <c r="AG55" i="15" s="1"/>
  <c r="AE55" i="15"/>
  <c r="AH43" i="19"/>
  <c r="AH43" i="15" s="1"/>
  <c r="AF43" i="15"/>
  <c r="AH37" i="19"/>
  <c r="AH37" i="15" s="1"/>
  <c r="AF37" i="15"/>
  <c r="AG64" i="19"/>
  <c r="AG64" i="15" s="1"/>
  <c r="AE64" i="15"/>
  <c r="AG53" i="19"/>
  <c r="AG53" i="15" s="1"/>
  <c r="AE53" i="15"/>
  <c r="AH54" i="19"/>
  <c r="AH54" i="15" s="1"/>
  <c r="AF54" i="15"/>
  <c r="AG4" i="19"/>
  <c r="AG4" i="15" s="1"/>
  <c r="AE4" i="15"/>
  <c r="AG16" i="19"/>
  <c r="AG16" i="15" s="1"/>
  <c r="AE16" i="15"/>
  <c r="AG23" i="19"/>
  <c r="AG23" i="15" s="1"/>
  <c r="AE23" i="15"/>
  <c r="AG3" i="19"/>
  <c r="AG3" i="15" s="1"/>
  <c r="AE3" i="15"/>
  <c r="AH13" i="19"/>
  <c r="AH13" i="15" s="1"/>
  <c r="AF13" i="15"/>
  <c r="AG49" i="19"/>
  <c r="AG49" i="15" s="1"/>
  <c r="AE49" i="15"/>
  <c r="AG28" i="19"/>
  <c r="AG28" i="15" s="1"/>
  <c r="AE28" i="15"/>
  <c r="AH17" i="19"/>
  <c r="AH17" i="15" s="1"/>
  <c r="AF17" i="15"/>
  <c r="AH33" i="19"/>
  <c r="AH33" i="15" s="1"/>
  <c r="AF33" i="15"/>
  <c r="AH29" i="19"/>
  <c r="AH29" i="15" s="1"/>
  <c r="AF29" i="15"/>
  <c r="AH5" i="19"/>
  <c r="AH5" i="15" s="1"/>
  <c r="AF5" i="15"/>
  <c r="AG5" i="19"/>
  <c r="AG5" i="15" s="1"/>
  <c r="AE5" i="15"/>
  <c r="AH15" i="19"/>
  <c r="AH15" i="15" s="1"/>
  <c r="AF15" i="15"/>
  <c r="AG31" i="19"/>
  <c r="AG31" i="15" s="1"/>
  <c r="AE31" i="15"/>
  <c r="AG10" i="19"/>
  <c r="AG10" i="15" s="1"/>
  <c r="AE10" i="15"/>
  <c r="AH34" i="19"/>
  <c r="AH34" i="15" s="1"/>
  <c r="AF34" i="15"/>
  <c r="AG60" i="19"/>
  <c r="AG60" i="15" s="1"/>
  <c r="AE60" i="15"/>
  <c r="AG8" i="19"/>
  <c r="AG8" i="15" s="1"/>
  <c r="AE8" i="15"/>
  <c r="AG41" i="19"/>
  <c r="AG41" i="15" s="1"/>
  <c r="AE41" i="15"/>
  <c r="AG67" i="19"/>
  <c r="AG67" i="15" s="1"/>
  <c r="AE67" i="15"/>
  <c r="AH55" i="19"/>
  <c r="AH55" i="15" s="1"/>
  <c r="AF55" i="15"/>
  <c r="AH19" i="19"/>
  <c r="AH19" i="15" s="1"/>
  <c r="AF19" i="15"/>
  <c r="AH8" i="19"/>
  <c r="AH8" i="15" s="1"/>
  <c r="AF8" i="15"/>
  <c r="AG9" i="19"/>
  <c r="AG9" i="15" s="1"/>
  <c r="AE9" i="15"/>
  <c r="AG20" i="19"/>
  <c r="AG20" i="15" s="1"/>
  <c r="AE20" i="15"/>
  <c r="AG56" i="19"/>
  <c r="AG56" i="15" s="1"/>
  <c r="AE56" i="15"/>
  <c r="AH26" i="19"/>
  <c r="AH26" i="15" s="1"/>
  <c r="AF26" i="15"/>
  <c r="AG27" i="19"/>
  <c r="AG27" i="15" s="1"/>
  <c r="AE27" i="15"/>
  <c r="AH25" i="19"/>
  <c r="AH25" i="15" s="1"/>
  <c r="AF25" i="15"/>
  <c r="AH68" i="19"/>
  <c r="AH68" i="15" s="1"/>
  <c r="AF68" i="15"/>
  <c r="AG40" i="19"/>
  <c r="AG40" i="15" s="1"/>
  <c r="AE40" i="15"/>
  <c r="AH53" i="19"/>
  <c r="AH53" i="15" s="1"/>
  <c r="AF53" i="15"/>
  <c r="AH58" i="19"/>
  <c r="AH58" i="15" s="1"/>
  <c r="AF58" i="15"/>
  <c r="AG7" i="19"/>
  <c r="AG7" i="15" s="1"/>
  <c r="AE7" i="15"/>
  <c r="AG68" i="19"/>
  <c r="AG68" i="15" s="1"/>
  <c r="AE68" i="15"/>
  <c r="AG33" i="19"/>
  <c r="AG33" i="15" s="1"/>
  <c r="AE33" i="15"/>
  <c r="AH39" i="19"/>
  <c r="AH39" i="15" s="1"/>
  <c r="AF39" i="15"/>
  <c r="AH32" i="19"/>
  <c r="AH32" i="15" s="1"/>
  <c r="AF32" i="15"/>
  <c r="AG54" i="19"/>
  <c r="AG54" i="15" s="1"/>
  <c r="AE54" i="15"/>
  <c r="AH60" i="19"/>
  <c r="AH60" i="15" s="1"/>
  <c r="AF60" i="15"/>
  <c r="AG21" i="19"/>
  <c r="AG21" i="15" s="1"/>
  <c r="AE21" i="15"/>
  <c r="AG35" i="19"/>
  <c r="AG35" i="15" s="1"/>
  <c r="AE35" i="15"/>
  <c r="AG14" i="19"/>
  <c r="AG14" i="15" s="1"/>
  <c r="AE14" i="15"/>
  <c r="AG32" i="19"/>
  <c r="AG32" i="15" s="1"/>
  <c r="AE32" i="15"/>
  <c r="AH21" i="19"/>
  <c r="AH21" i="15" s="1"/>
  <c r="AF21" i="15"/>
  <c r="AH65" i="19"/>
  <c r="AH65" i="15" s="1"/>
  <c r="AF65" i="15"/>
  <c r="AG44" i="19"/>
  <c r="AG44" i="15" s="1"/>
  <c r="AE44" i="15"/>
  <c r="AH24" i="19"/>
  <c r="AH24" i="15" s="1"/>
  <c r="AF24" i="15"/>
  <c r="AG24" i="19"/>
  <c r="AG24" i="15" s="1"/>
  <c r="AE24" i="15"/>
  <c r="AG18" i="19"/>
  <c r="AG18" i="15" s="1"/>
  <c r="AE18" i="15"/>
  <c r="AH40" i="19"/>
  <c r="AH40" i="15" s="1"/>
  <c r="AF40" i="15"/>
  <c r="AH36" i="19"/>
  <c r="AH36" i="15" s="1"/>
  <c r="AF36" i="15"/>
  <c r="AH30" i="19"/>
  <c r="AH30" i="15" s="1"/>
  <c r="AF30" i="15"/>
  <c r="AH16" i="19"/>
  <c r="AH16" i="15" s="1"/>
  <c r="AF16" i="15"/>
  <c r="AG66" i="19"/>
  <c r="AG66" i="15" s="1"/>
  <c r="AE66" i="15"/>
  <c r="AH47" i="19"/>
  <c r="AH47" i="15" s="1"/>
  <c r="AF47" i="15"/>
  <c r="AG36" i="19"/>
  <c r="AG36" i="15" s="1"/>
  <c r="AE36" i="15"/>
  <c r="AG19" i="19"/>
  <c r="AG19" i="15" s="1"/>
  <c r="AE19" i="15"/>
  <c r="AG43" i="19"/>
  <c r="AG43" i="15" s="1"/>
  <c r="AE43" i="15"/>
  <c r="AG63" i="19"/>
  <c r="AG63" i="15" s="1"/>
  <c r="AE63" i="15"/>
  <c r="AG15" i="19"/>
  <c r="AG15" i="15" s="1"/>
  <c r="AE15" i="15"/>
  <c r="AH31" i="19"/>
  <c r="AH31" i="15" s="1"/>
  <c r="AF31" i="15"/>
  <c r="AG59" i="19"/>
  <c r="AG59" i="15" s="1"/>
  <c r="AE59" i="15"/>
  <c r="AH66" i="19"/>
  <c r="AH66" i="15" s="1"/>
  <c r="AF66" i="15"/>
</calcChain>
</file>

<file path=xl/sharedStrings.xml><?xml version="1.0" encoding="utf-8"?>
<sst xmlns="http://schemas.openxmlformats.org/spreadsheetml/2006/main" count="845" uniqueCount="152">
  <si>
    <t>Years</t>
  </si>
  <si>
    <t>Seasons</t>
  </si>
  <si>
    <t>Belg</t>
  </si>
  <si>
    <t>Kremt</t>
  </si>
  <si>
    <t>Nodes</t>
  </si>
  <si>
    <t>AddisAbaba</t>
  </si>
  <si>
    <t>Afar</t>
  </si>
  <si>
    <t>Amhara</t>
  </si>
  <si>
    <t>Gumuz</t>
  </si>
  <si>
    <t>DireDawa</t>
  </si>
  <si>
    <t>Gambela</t>
  </si>
  <si>
    <t>Harari</t>
  </si>
  <si>
    <t>Oromia</t>
  </si>
  <si>
    <t>Somali</t>
  </si>
  <si>
    <t>Tigray</t>
  </si>
  <si>
    <t>Crops</t>
  </si>
  <si>
    <t>Teff</t>
  </si>
  <si>
    <t>Maize</t>
  </si>
  <si>
    <t>Coffee</t>
  </si>
  <si>
    <t>SNNPR</t>
  </si>
  <si>
    <t>Sorghum</t>
  </si>
  <si>
    <t>Vegetables</t>
  </si>
  <si>
    <t>Beef</t>
  </si>
  <si>
    <t>Milk</t>
  </si>
  <si>
    <t>Lentils</t>
  </si>
  <si>
    <t>set</t>
  </si>
  <si>
    <t>Food</t>
  </si>
  <si>
    <t>rdim</t>
  </si>
  <si>
    <t>cdim</t>
  </si>
  <si>
    <t>par</t>
  </si>
  <si>
    <t>CYF</t>
  </si>
  <si>
    <t>DiscFact</t>
  </si>
  <si>
    <t>C_convert</t>
  </si>
  <si>
    <t>C_chg</t>
  </si>
  <si>
    <t>pr_Hide</t>
  </si>
  <si>
    <t>Yld_H</t>
  </si>
  <si>
    <t>k</t>
  </si>
  <si>
    <t>kappa</t>
  </si>
  <si>
    <t>C_Cow</t>
  </si>
  <si>
    <t>CowtranYr1</t>
  </si>
  <si>
    <t>InitCow</t>
  </si>
  <si>
    <t>Herdsize</t>
  </si>
  <si>
    <t>CowDeath</t>
  </si>
  <si>
    <t>Start</t>
  </si>
  <si>
    <t>End</t>
  </si>
  <si>
    <t>TotArea</t>
  </si>
  <si>
    <t>Area_init</t>
  </si>
  <si>
    <t>Eline</t>
  </si>
  <si>
    <t>Cap_Road</t>
  </si>
  <si>
    <t>CF_Road_data</t>
  </si>
  <si>
    <t>Year</t>
  </si>
  <si>
    <t>Season</t>
  </si>
  <si>
    <t>Node</t>
  </si>
  <si>
    <t>FoodItem</t>
  </si>
  <si>
    <t>Crop</t>
  </si>
  <si>
    <t>Road</t>
  </si>
  <si>
    <t>aFAO</t>
  </si>
  <si>
    <t>C_prod</t>
  </si>
  <si>
    <t>DemInt</t>
  </si>
  <si>
    <t>DemSlope</t>
  </si>
  <si>
    <t>MilkYield</t>
  </si>
  <si>
    <t>BeefYield</t>
  </si>
  <si>
    <t>Teff and Barley</t>
  </si>
  <si>
    <t>and others</t>
  </si>
  <si>
    <t>all pulse</t>
  </si>
  <si>
    <t>and rootcrops</t>
  </si>
  <si>
    <t>and oilseeds</t>
  </si>
  <si>
    <t>and wheat</t>
  </si>
  <si>
    <t>FAO's parameter</t>
  </si>
  <si>
    <t xml:space="preserve">Season </t>
  </si>
  <si>
    <t>Set dependency</t>
  </si>
  <si>
    <t>Units</t>
  </si>
  <si>
    <t>Explanation</t>
  </si>
  <si>
    <t>1000s of Hectares</t>
  </si>
  <si>
    <t>Parameter</t>
  </si>
  <si>
    <t>Value</t>
  </si>
  <si>
    <t>CSA - Production ; CSA - Belg Survey</t>
  </si>
  <si>
    <t>Presence</t>
  </si>
  <si>
    <t>Map Adjacency</t>
  </si>
  <si>
    <t xml:space="preserve">  </t>
  </si>
  <si>
    <t>C_Elec_L1</t>
  </si>
  <si>
    <t>C_Elec_Q1</t>
  </si>
  <si>
    <t>Cap_Elec1</t>
  </si>
  <si>
    <t>Population in million</t>
  </si>
  <si>
    <t>qWInit</t>
  </si>
  <si>
    <t>DemCrossElas</t>
  </si>
  <si>
    <t xml:space="preserve"> </t>
  </si>
  <si>
    <t>Base_Elec_Dem1</t>
  </si>
  <si>
    <t>Yield from tables</t>
  </si>
  <si>
    <t>InitArea</t>
  </si>
  <si>
    <t>Produce</t>
  </si>
  <si>
    <t>Ethiopia</t>
  </si>
  <si>
    <t>Cost</t>
  </si>
  <si>
    <t>Expense</t>
  </si>
  <si>
    <t>Avg</t>
  </si>
  <si>
    <t>Cost per Food</t>
  </si>
  <si>
    <t>Crop Production</t>
  </si>
  <si>
    <t>Crop Consumption</t>
  </si>
  <si>
    <t>Consumption</t>
  </si>
  <si>
    <t>Price</t>
  </si>
  <si>
    <t>Elasticity</t>
  </si>
  <si>
    <t/>
  </si>
  <si>
    <t>Total Produce</t>
  </si>
  <si>
    <t>TargPrice</t>
  </si>
  <si>
    <t>Production</t>
  </si>
  <si>
    <t>Profit Margin</t>
  </si>
  <si>
    <t>DemElas</t>
  </si>
  <si>
    <t>Land</t>
  </si>
  <si>
    <t>Avg Yield</t>
  </si>
  <si>
    <t>SeasonAvg</t>
  </si>
  <si>
    <t>Cell Info</t>
  </si>
  <si>
    <t>Sheet</t>
  </si>
  <si>
    <t>Cell</t>
  </si>
  <si>
    <t>Name Start</t>
  </si>
  <si>
    <t>Name End</t>
  </si>
  <si>
    <t>Price of hide obtained after cattle slaughter</t>
  </si>
  <si>
    <t>Amount of hide obtained when slaughtering a cattle</t>
  </si>
  <si>
    <t>Fertility rate of cattle</t>
  </si>
  <si>
    <t>Mortality rate of cattle</t>
  </si>
  <si>
    <t>Cost of raising cattle</t>
  </si>
  <si>
    <t>Cost of transporting cattle</t>
  </si>
  <si>
    <t>Number of cattle in the herd in the starting year</t>
  </si>
  <si>
    <t>The minimum herd size to be maintained</t>
  </si>
  <si>
    <t>Minimum fraction of cattle to be slaughtered each year</t>
  </si>
  <si>
    <t>Quantity of beef obtained by slaughtering unit cattle</t>
  </si>
  <si>
    <t>Quantity of milk obtained from unit cattle</t>
  </si>
  <si>
    <t>Cost of producing crops</t>
  </si>
  <si>
    <t>Cost of converting non-arable land to arable land</t>
  </si>
  <si>
    <t>Cost of changing crop patterns</t>
  </si>
  <si>
    <t>Total area available in the region</t>
  </si>
  <si>
    <t>Cropping pattern in the initial year</t>
  </si>
  <si>
    <t>Crop Yield Factor (FAO's parameter)</t>
  </si>
  <si>
    <t>Discount Factor - for time value of money</t>
  </si>
  <si>
    <t>Presence of electricity lines</t>
  </si>
  <si>
    <t>Presence of Roads</t>
  </si>
  <si>
    <t>Cost of transportation of food</t>
  </si>
  <si>
    <t>Road capacity</t>
  </si>
  <si>
    <t>Set of years</t>
  </si>
  <si>
    <t>Set of seasons</t>
  </si>
  <si>
    <t>Set of nodes</t>
  </si>
  <si>
    <t>Set of Food items</t>
  </si>
  <si>
    <t>Subset of food items which are agricultural crops (Excluding animal products)</t>
  </si>
  <si>
    <t>Intercept of the demand curve</t>
  </si>
  <si>
    <t>Slope of the demand curve</t>
  </si>
  <si>
    <t>Basic demand for electricity</t>
  </si>
  <si>
    <t>Capacity of Electricity production</t>
  </si>
  <si>
    <t>Linear cost of electricity production</t>
  </si>
  <si>
    <t>Quadratic cost of electricity production</t>
  </si>
  <si>
    <t>Quantity available in Storage warehouses in the beginning</t>
  </si>
  <si>
    <t>Cross elasticity of demand</t>
  </si>
  <si>
    <t>Self Elasticity of demand (For calibration)</t>
  </si>
  <si>
    <t>Target consumption (For calibration)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</si>
</sst>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;[Red]0.00;&quot;-&quot;"/>
    <numFmt numFmtId="165" formatCode="0;[Red]0;&quot;-&quot;"/>
    <numFmt numFmtId="166" formatCode="#,##0_);[Red]\(#,##0\);&quot;-&quot;"/>
    <numFmt numFmtId="167" formatCode="#,##0.00_);[Red]\(#,##0.00\);&quot;-&quot;"/>
    <numFmt numFmtId="168" formatCode=";;"/>
  </numFmts>
  <fonts count="14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sz val="12"/>
      <color theme="0" tint="-0.34998626667073579"/>
      <name val="Inherit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7" tint="0.79998168889431442"/>
        <bgColor indexed="65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4" fillId="2" borderId="1" applyNumberFormat="0" applyAlignment="0" applyProtection="0"/>
    <xf numFmtId="0" fontId="3" fillId="0" borderId="0"/>
    <xf numFmtId="0" fontId="9" fillId="4" borderId="0" applyNumberFormat="0" applyBorder="0" applyAlignment="0" applyProtection="0"/>
    <xf numFmtId="0" fontId="2" fillId="5" borderId="0" applyNumberFormat="0" applyBorder="0" applyAlignment="0" applyProtection="0"/>
    <xf numFmtId="0" fontId="12" fillId="6" borderId="0" applyNumberFormat="0" applyBorder="0" applyAlignment="0" applyProtection="0"/>
    <xf numFmtId="0" fontId="1" fillId="7" borderId="0" applyNumberFormat="0" applyBorder="0" applyAlignment="0" applyProtection="0"/>
  </cellStyleXfs>
  <cellXfs count="81">
    <xf numFmtId="0" fontId="0" fillId="0" borderId="0" xfId="0"/>
    <xf numFmtId="0" fontId="5" fillId="0" borderId="0" xfId="0" applyFont="1"/>
    <xf numFmtId="4" fontId="0" fillId="0" borderId="0" xfId="0" applyNumberFormat="1"/>
    <xf numFmtId="3" fontId="0" fillId="0" borderId="0" xfId="0" applyNumberFormat="1"/>
    <xf numFmtId="0" fontId="0" fillId="0" borderId="0" xfId="0" applyFill="1"/>
    <xf numFmtId="0" fontId="4" fillId="2" borderId="1" xfId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3" borderId="0" xfId="0" applyFill="1"/>
    <xf numFmtId="0" fontId="5" fillId="0" borderId="0" xfId="0" applyFont="1" applyAlignment="1">
      <alignment horizontal="center"/>
    </xf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5" fillId="0" borderId="2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4" fontId="3" fillId="0" borderId="0" xfId="2" applyNumberFormat="1"/>
    <xf numFmtId="164" fontId="0" fillId="0" borderId="0" xfId="0" quotePrefix="1" applyNumberFormat="1" applyBorder="1"/>
    <xf numFmtId="165" fontId="0" fillId="0" borderId="0" xfId="0" quotePrefix="1" applyNumberFormat="1" applyBorder="1"/>
    <xf numFmtId="165" fontId="0" fillId="0" borderId="0" xfId="0" applyNumberFormat="1"/>
    <xf numFmtId="165" fontId="0" fillId="0" borderId="0" xfId="0" applyNumberFormat="1" applyFill="1" applyBorder="1"/>
    <xf numFmtId="166" fontId="0" fillId="0" borderId="0" xfId="0" applyNumberFormat="1"/>
    <xf numFmtId="0" fontId="0" fillId="0" borderId="0" xfId="0" applyFont="1"/>
    <xf numFmtId="0" fontId="0" fillId="0" borderId="3" xfId="0" applyFont="1" applyBorder="1"/>
    <xf numFmtId="0" fontId="5" fillId="0" borderId="15" xfId="0" applyFont="1" applyBorder="1"/>
    <xf numFmtId="0" fontId="5" fillId="0" borderId="4" xfId="0" applyFont="1" applyBorder="1"/>
    <xf numFmtId="0" fontId="5" fillId="0" borderId="5" xfId="0" applyFont="1" applyBorder="1"/>
    <xf numFmtId="166" fontId="0" fillId="0" borderId="0" xfId="0" applyNumberFormat="1" applyBorder="1"/>
    <xf numFmtId="166" fontId="0" fillId="0" borderId="6" xfId="0" applyNumberFormat="1" applyBorder="1"/>
    <xf numFmtId="0" fontId="0" fillId="0" borderId="0" xfId="0" applyBorder="1"/>
    <xf numFmtId="0" fontId="5" fillId="0" borderId="7" xfId="0" applyFont="1" applyBorder="1"/>
    <xf numFmtId="0" fontId="0" fillId="0" borderId="9" xfId="0" applyBorder="1"/>
    <xf numFmtId="167" fontId="0" fillId="0" borderId="0" xfId="0" applyNumberFormat="1" applyBorder="1"/>
    <xf numFmtId="167" fontId="0" fillId="0" borderId="6" xfId="0" applyNumberFormat="1" applyBorder="1"/>
    <xf numFmtId="166" fontId="2" fillId="5" borderId="0" xfId="4" applyNumberFormat="1" applyBorder="1"/>
    <xf numFmtId="166" fontId="2" fillId="5" borderId="6" xfId="4" applyNumberFormat="1" applyBorder="1"/>
    <xf numFmtId="0" fontId="2" fillId="5" borderId="0" xfId="4" applyBorder="1"/>
    <xf numFmtId="0" fontId="2" fillId="5" borderId="6" xfId="4" applyBorder="1"/>
    <xf numFmtId="0" fontId="2" fillId="5" borderId="9" xfId="4" applyBorder="1"/>
    <xf numFmtId="0" fontId="2" fillId="5" borderId="8" xfId="4" applyBorder="1"/>
    <xf numFmtId="0" fontId="10" fillId="5" borderId="5" xfId="4" applyFont="1" applyBorder="1"/>
    <xf numFmtId="0" fontId="10" fillId="5" borderId="7" xfId="4" applyFont="1" applyBorder="1"/>
    <xf numFmtId="0" fontId="2" fillId="5" borderId="3" xfId="4" applyFont="1" applyBorder="1"/>
    <xf numFmtId="0" fontId="10" fillId="5" borderId="15" xfId="4" applyFont="1" applyBorder="1"/>
    <xf numFmtId="0" fontId="10" fillId="5" borderId="4" xfId="4" applyFont="1" applyBorder="1"/>
    <xf numFmtId="166" fontId="5" fillId="0" borderId="0" xfId="0" applyNumberFormat="1" applyFont="1"/>
    <xf numFmtId="0" fontId="9" fillId="4" borderId="2" xfId="3" applyBorder="1"/>
    <xf numFmtId="167" fontId="2" fillId="5" borderId="6" xfId="4" applyNumberFormat="1" applyBorder="1"/>
    <xf numFmtId="168" fontId="5" fillId="0" borderId="2" xfId="0" applyNumberFormat="1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3" xfId="0" applyFont="1" applyBorder="1"/>
    <xf numFmtId="0" fontId="5" fillId="0" borderId="14" xfId="0" applyFont="1" applyBorder="1"/>
    <xf numFmtId="167" fontId="5" fillId="0" borderId="0" xfId="0" applyNumberFormat="1" applyFont="1"/>
    <xf numFmtId="167" fontId="0" fillId="0" borderId="0" xfId="0" applyNumberFormat="1"/>
    <xf numFmtId="10" fontId="12" fillId="6" borderId="0" xfId="5" applyNumberFormat="1"/>
    <xf numFmtId="4" fontId="5" fillId="0" borderId="0" xfId="0" applyNumberFormat="1" applyFont="1"/>
    <xf numFmtId="4" fontId="0" fillId="3" borderId="0" xfId="0" applyNumberFormat="1" applyFill="1"/>
    <xf numFmtId="165" fontId="5" fillId="0" borderId="0" xfId="0" applyNumberFormat="1" applyFont="1"/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11" fillId="0" borderId="16" xfId="0" applyFont="1" applyBorder="1" applyAlignment="1">
      <alignment horizontal="center" vertical="center" textRotation="90"/>
    </xf>
    <xf numFmtId="0" fontId="11" fillId="0" borderId="10" xfId="0" applyFont="1" applyBorder="1" applyAlignment="1">
      <alignment horizontal="center" vertical="center" textRotation="90"/>
    </xf>
    <xf numFmtId="0" fontId="11" fillId="0" borderId="11" xfId="0" applyFont="1" applyBorder="1" applyAlignment="1">
      <alignment horizontal="center" vertical="center" textRotation="90"/>
    </xf>
    <xf numFmtId="3" fontId="13" fillId="7" borderId="0" xfId="6" applyNumberFormat="1" applyFont="1" applyBorder="1"/>
    <xf numFmtId="3" fontId="13" fillId="7" borderId="6" xfId="6" applyNumberFormat="1" applyFont="1" applyBorder="1"/>
    <xf numFmtId="3" fontId="13" fillId="7" borderId="9" xfId="6" applyNumberFormat="1" applyFont="1" applyBorder="1"/>
    <xf numFmtId="3" fontId="13" fillId="7" borderId="8" xfId="6" applyNumberFormat="1" applyFont="1" applyBorder="1"/>
    <xf numFmtId="3" fontId="10" fillId="7" borderId="0" xfId="6" applyNumberFormat="1" applyFont="1" applyBorder="1"/>
    <xf numFmtId="3" fontId="10" fillId="7" borderId="9" xfId="6" applyNumberFormat="1" applyFont="1" applyBorder="1"/>
  </cellXfs>
  <cellStyles count="7">
    <cellStyle name="20% - Accent4" xfId="6" builtinId="42"/>
    <cellStyle name="20% - Accent6" xfId="4" builtinId="50"/>
    <cellStyle name="Accent2" xfId="5" builtinId="33"/>
    <cellStyle name="Good" xfId="3" builtinId="26"/>
    <cellStyle name="Input" xfId="1" builtinId="20"/>
    <cellStyle name="Normal" xfId="0" builtinId="0"/>
    <cellStyle name="Normal 2" xfId="2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9"/>
  <sheetViews>
    <sheetView zoomScale="85" zoomScaleNormal="85" workbookViewId="0">
      <selection activeCell="D6" sqref="D6"/>
    </sheetView>
  </sheetViews>
  <sheetFormatPr defaultColWidth="11" defaultRowHeight="15.75"/>
  <cols>
    <col min="2" max="2" width="15.625" bestFit="1" customWidth="1"/>
    <col min="3" max="3" width="20.625" bestFit="1" customWidth="1"/>
  </cols>
  <sheetData>
    <row r="1" spans="1:5">
      <c r="D1" t="s">
        <v>27</v>
      </c>
      <c r="E1" t="s">
        <v>28</v>
      </c>
    </row>
    <row r="2" spans="1:5">
      <c r="A2" t="s">
        <v>29</v>
      </c>
      <c r="B2" s="9" t="s">
        <v>56</v>
      </c>
      <c r="C2" t="str">
        <f ca="1">ADDRESS(ROW(INDIRECT(Explained!C2)),COLUMN(INDIRECT(Explained!C2)),4,1,Explained!F2)</f>
        <v>aFAO!A1</v>
      </c>
      <c r="D2">
        <v>2</v>
      </c>
      <c r="E2">
        <v>2</v>
      </c>
    </row>
    <row r="3" spans="1:5">
      <c r="A3" t="s">
        <v>29</v>
      </c>
      <c r="B3" t="s">
        <v>34</v>
      </c>
      <c r="C3" t="str">
        <f ca="1">ADDRESS(ROW(INDIRECT(Explained!C3)),COLUMN(INDIRECT(Explained!C3)),4,1,Explained!F3)</f>
        <v>Cattle!A1</v>
      </c>
      <c r="D3">
        <v>1</v>
      </c>
      <c r="E3">
        <v>1</v>
      </c>
    </row>
    <row r="4" spans="1:5">
      <c r="A4" t="s">
        <v>29</v>
      </c>
      <c r="B4" t="s">
        <v>35</v>
      </c>
      <c r="C4" t="str">
        <f ca="1">ADDRESS(ROW(INDIRECT(Explained!C4)),COLUMN(INDIRECT(Explained!C4)),4,1,Explained!F4)</f>
        <v>Cattle!A21</v>
      </c>
      <c r="D4">
        <v>1</v>
      </c>
      <c r="E4">
        <v>1</v>
      </c>
    </row>
    <row r="5" spans="1:5">
      <c r="A5" t="s">
        <v>29</v>
      </c>
      <c r="B5" t="s">
        <v>36</v>
      </c>
      <c r="C5" t="str">
        <f ca="1">ADDRESS(ROW(INDIRECT(Explained!C5)),COLUMN(INDIRECT(Explained!C5)),4,1,Explained!F5)</f>
        <v>Cattle!A41</v>
      </c>
      <c r="D5">
        <v>1</v>
      </c>
      <c r="E5">
        <v>1</v>
      </c>
    </row>
    <row r="6" spans="1:5">
      <c r="A6" t="s">
        <v>29</v>
      </c>
      <c r="B6" t="s">
        <v>37</v>
      </c>
      <c r="C6" t="str">
        <f ca="1">ADDRESS(ROW(INDIRECT(Explained!C6)),COLUMN(INDIRECT(Explained!C6)),4,1,Explained!F6)</f>
        <v>Cattle!A61</v>
      </c>
      <c r="D6">
        <v>1</v>
      </c>
      <c r="E6">
        <v>1</v>
      </c>
    </row>
    <row r="7" spans="1:5">
      <c r="A7" t="s">
        <v>29</v>
      </c>
      <c r="B7" t="s">
        <v>38</v>
      </c>
      <c r="C7" t="str">
        <f ca="1">ADDRESS(ROW(INDIRECT(Explained!C7)),COLUMN(INDIRECT(Explained!C7)),4,1,Explained!F7)</f>
        <v>Cattle!A81</v>
      </c>
      <c r="D7">
        <v>1</v>
      </c>
      <c r="E7">
        <v>1</v>
      </c>
    </row>
    <row r="8" spans="1:5">
      <c r="A8" t="s">
        <v>29</v>
      </c>
      <c r="B8" t="s">
        <v>39</v>
      </c>
      <c r="C8" t="str">
        <f ca="1">ADDRESS(ROW(INDIRECT(Explained!C8)),COLUMN(INDIRECT(Explained!C8)),4,1,Explained!F8)</f>
        <v>Cattle!A101</v>
      </c>
      <c r="D8">
        <v>1</v>
      </c>
      <c r="E8">
        <v>1</v>
      </c>
    </row>
    <row r="9" spans="1:5">
      <c r="A9" t="s">
        <v>29</v>
      </c>
      <c r="B9" t="s">
        <v>40</v>
      </c>
      <c r="C9" t="str">
        <f ca="1">ADDRESS(ROW(INDIRECT(Explained!C9)),COLUMN(INDIRECT(Explained!C9)),4,1,Explained!F9)</f>
        <v>Cattle!A121</v>
      </c>
      <c r="D9">
        <v>1</v>
      </c>
      <c r="E9">
        <v>0</v>
      </c>
    </row>
    <row r="10" spans="1:5">
      <c r="A10" t="s">
        <v>29</v>
      </c>
      <c r="B10" t="s">
        <v>41</v>
      </c>
      <c r="C10" t="str">
        <f ca="1">ADDRESS(ROW(INDIRECT(Explained!C10)),COLUMN(INDIRECT(Explained!C10)),4,1,Explained!F10)</f>
        <v>Cattle!F121</v>
      </c>
      <c r="D10">
        <v>1</v>
      </c>
      <c r="E10">
        <v>0</v>
      </c>
    </row>
    <row r="11" spans="1:5">
      <c r="A11" t="s">
        <v>29</v>
      </c>
      <c r="B11" t="s">
        <v>42</v>
      </c>
      <c r="C11" t="str">
        <f ca="1">ADDRESS(ROW(INDIRECT(Explained!C11)),COLUMN(INDIRECT(Explained!C11)),4,1,Explained!F11)</f>
        <v>Cattle!K121</v>
      </c>
      <c r="D11">
        <v>1</v>
      </c>
      <c r="E11">
        <v>0</v>
      </c>
    </row>
    <row r="12" spans="1:5">
      <c r="A12" t="s">
        <v>29</v>
      </c>
      <c r="B12" s="9" t="s">
        <v>61</v>
      </c>
      <c r="C12" t="str">
        <f ca="1">ADDRESS(ROW(INDIRECT(Explained!C12)),COLUMN(INDIRECT(Explained!C12)),4,1,Explained!F12)</f>
        <v>Cattle!A141</v>
      </c>
      <c r="D12">
        <v>1</v>
      </c>
      <c r="E12">
        <v>1</v>
      </c>
    </row>
    <row r="13" spans="1:5">
      <c r="A13" t="s">
        <v>29</v>
      </c>
      <c r="B13" s="9" t="s">
        <v>60</v>
      </c>
      <c r="C13" t="str">
        <f ca="1">ADDRESS(ROW(INDIRECT(Explained!C13)),COLUMN(INDIRECT(Explained!C13)),4,1,Explained!F13)</f>
        <v>Cattle!A161</v>
      </c>
      <c r="D13">
        <v>1</v>
      </c>
      <c r="E13">
        <v>1</v>
      </c>
    </row>
    <row r="14" spans="1:5">
      <c r="A14" t="s">
        <v>29</v>
      </c>
      <c r="B14" t="s">
        <v>57</v>
      </c>
      <c r="C14" t="str">
        <f ca="1">ADDRESS(ROW(INDIRECT(Explained!C14)),COLUMN(INDIRECT(Explained!C14)),4,1,Explained!F14)</f>
        <v>Crop!A1</v>
      </c>
      <c r="D14">
        <v>2</v>
      </c>
      <c r="E14">
        <v>2</v>
      </c>
    </row>
    <row r="15" spans="1:5">
      <c r="A15" t="s">
        <v>29</v>
      </c>
      <c r="B15" t="s">
        <v>32</v>
      </c>
      <c r="C15" t="str">
        <f ca="1">ADDRESS(ROW(INDIRECT(Explained!C15)),COLUMN(INDIRECT(Explained!C15)),4,1,Explained!F15)</f>
        <v>Crop!A101</v>
      </c>
      <c r="D15">
        <v>1</v>
      </c>
      <c r="E15">
        <v>1</v>
      </c>
    </row>
    <row r="16" spans="1:5">
      <c r="A16" t="s">
        <v>29</v>
      </c>
      <c r="B16" t="s">
        <v>33</v>
      </c>
      <c r="C16" t="str">
        <f ca="1">ADDRESS(ROW(INDIRECT(Explained!C16)),COLUMN(INDIRECT(Explained!C16)),4,1,Explained!F16)</f>
        <v>Crop!A121</v>
      </c>
      <c r="D16">
        <v>1</v>
      </c>
      <c r="E16">
        <v>1</v>
      </c>
    </row>
    <row r="17" spans="1:5">
      <c r="A17" t="s">
        <v>29</v>
      </c>
      <c r="B17" s="9" t="s">
        <v>45</v>
      </c>
      <c r="C17" t="str">
        <f ca="1">ADDRESS(ROW(INDIRECT(Explained!C17)),COLUMN(INDIRECT(Explained!C17)),4,1,Explained!F17)</f>
        <v>Crop!A141</v>
      </c>
      <c r="D17">
        <v>1</v>
      </c>
      <c r="E17">
        <v>0</v>
      </c>
    </row>
    <row r="18" spans="1:5">
      <c r="A18" t="s">
        <v>29</v>
      </c>
      <c r="B18" s="9" t="s">
        <v>46</v>
      </c>
      <c r="C18" t="str">
        <f ca="1">ADDRESS(ROW(INDIRECT(Explained!C18)),COLUMN(INDIRECT(Explained!C18)),4,1,Explained!F18)</f>
        <v>Crop!A160</v>
      </c>
      <c r="D18">
        <v>1</v>
      </c>
      <c r="E18">
        <v>2</v>
      </c>
    </row>
    <row r="19" spans="1:5">
      <c r="A19" t="s">
        <v>29</v>
      </c>
      <c r="B19" s="9" t="s">
        <v>30</v>
      </c>
      <c r="C19" t="str">
        <f ca="1">ADDRESS(ROW(INDIRECT(Explained!C19)),COLUMN(INDIRECT(Explained!C19)),4,1,Explained!F19)</f>
        <v>CYF!A1</v>
      </c>
      <c r="D19">
        <v>2</v>
      </c>
      <c r="E19">
        <v>2</v>
      </c>
    </row>
    <row r="20" spans="1:5">
      <c r="A20" t="s">
        <v>29</v>
      </c>
      <c r="B20" s="9" t="s">
        <v>31</v>
      </c>
      <c r="C20" t="str">
        <f ca="1">ADDRESS(ROW(INDIRECT(Explained!C20)),COLUMN(INDIRECT(Explained!C20)),4,1,Explained!F20)</f>
        <v>DiscFact!A1</v>
      </c>
      <c r="D20">
        <v>1</v>
      </c>
      <c r="E20">
        <v>0</v>
      </c>
    </row>
    <row r="21" spans="1:5">
      <c r="A21" t="s">
        <v>25</v>
      </c>
      <c r="B21" s="9" t="s">
        <v>47</v>
      </c>
      <c r="C21" t="str">
        <f ca="1">ADDRESS(ROW(INDIRECT(Explained!C21)),COLUMN(INDIRECT(Explained!C21)),4,1,Explained!F21)</f>
        <v>ElecLine!A1</v>
      </c>
      <c r="D21">
        <v>1</v>
      </c>
      <c r="E21">
        <v>1</v>
      </c>
    </row>
    <row r="22" spans="1:5">
      <c r="A22" t="s">
        <v>25</v>
      </c>
      <c r="B22" s="9" t="s">
        <v>55</v>
      </c>
      <c r="C22" t="str">
        <f ca="1">ADDRESS(ROW(INDIRECT(Explained!C22)),COLUMN(INDIRECT(Explained!C22)),4,1,Explained!F22)</f>
        <v>Roads!A1</v>
      </c>
      <c r="D22">
        <v>1</v>
      </c>
      <c r="E22">
        <v>1</v>
      </c>
    </row>
    <row r="23" spans="1:5">
      <c r="A23" t="s">
        <v>29</v>
      </c>
      <c r="B23" t="s">
        <v>49</v>
      </c>
      <c r="C23" t="str">
        <f ca="1">ADDRESS(ROW(INDIRECT(Explained!C23)),COLUMN(INDIRECT(Explained!C23)),4,1,Explained!F23)</f>
        <v>Roads!Q1</v>
      </c>
      <c r="D23">
        <v>1</v>
      </c>
      <c r="E23">
        <v>1</v>
      </c>
    </row>
    <row r="24" spans="1:5">
      <c r="A24" t="s">
        <v>29</v>
      </c>
      <c r="B24" t="s">
        <v>48</v>
      </c>
      <c r="C24" t="str">
        <f ca="1">ADDRESS(ROW(INDIRECT(Explained!C24)),COLUMN(INDIRECT(Explained!C24)),4,1,Explained!F24)</f>
        <v>Roads!AD1</v>
      </c>
      <c r="D24">
        <v>1</v>
      </c>
      <c r="E24">
        <v>1</v>
      </c>
    </row>
    <row r="25" spans="1:5">
      <c r="A25" t="s">
        <v>25</v>
      </c>
      <c r="B25" s="9" t="s">
        <v>50</v>
      </c>
      <c r="C25" t="str">
        <f ca="1">ADDRESS(ROW(INDIRECT(Explained!C25)),COLUMN(INDIRECT(Explained!C25)),4,1,Explained!F25)</f>
        <v>sets!B3</v>
      </c>
      <c r="D25">
        <v>1</v>
      </c>
      <c r="E25">
        <v>0</v>
      </c>
    </row>
    <row r="26" spans="1:5">
      <c r="A26" t="s">
        <v>25</v>
      </c>
      <c r="B26" s="9" t="s">
        <v>51</v>
      </c>
      <c r="C26" t="str">
        <f ca="1">ADDRESS(ROW(INDIRECT(Explained!C26)),COLUMN(INDIRECT(Explained!C26)),4,1,Explained!F26)</f>
        <v>sets!D3</v>
      </c>
      <c r="D26">
        <v>1</v>
      </c>
      <c r="E26">
        <v>0</v>
      </c>
    </row>
    <row r="27" spans="1:5">
      <c r="A27" t="s">
        <v>25</v>
      </c>
      <c r="B27" s="9" t="s">
        <v>52</v>
      </c>
      <c r="C27" t="str">
        <f ca="1">ADDRESS(ROW(INDIRECT(Explained!C27)),COLUMN(INDIRECT(Explained!C27)),4,1,Explained!F27)</f>
        <v>sets!F3</v>
      </c>
      <c r="D27">
        <v>1</v>
      </c>
      <c r="E27">
        <v>0</v>
      </c>
    </row>
    <row r="28" spans="1:5">
      <c r="A28" t="s">
        <v>25</v>
      </c>
      <c r="B28" s="9" t="s">
        <v>53</v>
      </c>
      <c r="C28" t="str">
        <f ca="1">ADDRESS(ROW(INDIRECT(Explained!C28)),COLUMN(INDIRECT(Explained!C28)),4,1,Explained!F28)</f>
        <v>sets!H3</v>
      </c>
      <c r="D28">
        <v>1</v>
      </c>
      <c r="E28">
        <v>0</v>
      </c>
    </row>
    <row r="29" spans="1:5">
      <c r="A29" t="s">
        <v>25</v>
      </c>
      <c r="B29" s="9" t="s">
        <v>54</v>
      </c>
      <c r="C29" t="str">
        <f ca="1">ADDRESS(ROW(INDIRECT(Explained!C29)),COLUMN(INDIRECT(Explained!C29)),4,1,Explained!F29)</f>
        <v>sets!J3</v>
      </c>
      <c r="D29">
        <v>1</v>
      </c>
      <c r="E29">
        <v>0</v>
      </c>
    </row>
    <row r="30" spans="1:5">
      <c r="A30" t="s">
        <v>29</v>
      </c>
      <c r="B30" s="9" t="s">
        <v>58</v>
      </c>
      <c r="C30" t="str">
        <f ca="1">ADDRESS(ROW(INDIRECT(Explained!C30)),COLUMN(INDIRECT(Explained!C30)),4,1,Explained!F30)</f>
        <v>DemInt!A1</v>
      </c>
      <c r="D30">
        <v>2</v>
      </c>
      <c r="E30">
        <v>2</v>
      </c>
    </row>
    <row r="31" spans="1:5">
      <c r="A31" t="s">
        <v>29</v>
      </c>
      <c r="B31" s="9" t="s">
        <v>59</v>
      </c>
      <c r="C31" t="str">
        <f ca="1">ADDRESS(ROW(INDIRECT(Explained!C31)),COLUMN(INDIRECT(Explained!C31)),4,1,Explained!F31)</f>
        <v>DemSlope!A1</v>
      </c>
      <c r="D31">
        <v>2</v>
      </c>
      <c r="E31">
        <v>2</v>
      </c>
    </row>
    <row r="32" spans="1:5">
      <c r="A32" t="s">
        <v>29</v>
      </c>
      <c r="B32" s="9" t="s">
        <v>87</v>
      </c>
      <c r="C32" t="str">
        <f ca="1">ADDRESS(ROW(INDIRECT(Explained!C32)),COLUMN(INDIRECT(Explained!C32)),4,1,Explained!F32)</f>
        <v>Elec!A1</v>
      </c>
      <c r="D32">
        <v>1</v>
      </c>
      <c r="E32">
        <v>2</v>
      </c>
    </row>
    <row r="33" spans="1:5">
      <c r="A33" t="s">
        <v>29</v>
      </c>
      <c r="B33" s="9" t="s">
        <v>82</v>
      </c>
      <c r="C33" t="str">
        <f ca="1">ADDRESS(ROW(INDIRECT(Explained!C33)),COLUMN(INDIRECT(Explained!C33)),4,1,Explained!F33)</f>
        <v>Elec!A41</v>
      </c>
      <c r="D33">
        <v>1</v>
      </c>
      <c r="E33">
        <v>0</v>
      </c>
    </row>
    <row r="34" spans="1:5">
      <c r="A34" t="s">
        <v>29</v>
      </c>
      <c r="B34" s="9" t="s">
        <v>80</v>
      </c>
      <c r="C34" t="str">
        <f ca="1">ADDRESS(ROW(INDIRECT(Explained!C34)),COLUMN(INDIRECT(Explained!C34)),4,1,Explained!F34)</f>
        <v>Elec!F41</v>
      </c>
      <c r="D34">
        <v>1</v>
      </c>
      <c r="E34">
        <v>0</v>
      </c>
    </row>
    <row r="35" spans="1:5">
      <c r="A35" t="s">
        <v>29</v>
      </c>
      <c r="B35" s="9" t="s">
        <v>81</v>
      </c>
      <c r="C35" t="str">
        <f ca="1">ADDRESS(ROW(INDIRECT(Explained!C35)),COLUMN(INDIRECT(Explained!C35)),4,1,Explained!F35)</f>
        <v>Elec!K41</v>
      </c>
      <c r="D35">
        <v>1</v>
      </c>
      <c r="E35">
        <v>0</v>
      </c>
    </row>
    <row r="36" spans="1:5">
      <c r="A36" t="s">
        <v>29</v>
      </c>
      <c r="B36" s="9" t="s">
        <v>84</v>
      </c>
      <c r="C36" t="str">
        <f ca="1">ADDRESS(ROW(INDIRECT(Explained!C36)),COLUMN(INDIRECT(Explained!C36)),4,1,Explained!F36)</f>
        <v>Crop!A181</v>
      </c>
      <c r="D36">
        <v>1</v>
      </c>
      <c r="E36">
        <v>1</v>
      </c>
    </row>
    <row r="37" spans="1:5">
      <c r="A37" t="s">
        <v>29</v>
      </c>
      <c r="B37" s="9" t="s">
        <v>85</v>
      </c>
      <c r="C37" t="str">
        <f ca="1">ADDRESS(ROW(INDIRECT(Explained!C37)),COLUMN(INDIRECT(Explained!C37)),4,1,Explained!F37)</f>
        <v>DemElas!A1</v>
      </c>
      <c r="D37">
        <v>1</v>
      </c>
      <c r="E37">
        <v>1</v>
      </c>
    </row>
    <row r="38" spans="1:5">
      <c r="A38" t="s">
        <v>29</v>
      </c>
      <c r="B38" s="9" t="s">
        <v>98</v>
      </c>
      <c r="C38" t="str">
        <f ca="1">ADDRESS(ROW(INDIRECT(Explained!C38)),COLUMN(INDIRECT(Explained!C38)),4,1,Explained!F38)</f>
        <v>TargetConsumption!A1</v>
      </c>
      <c r="D38">
        <v>2</v>
      </c>
      <c r="E38">
        <v>2</v>
      </c>
    </row>
    <row r="39" spans="1:5">
      <c r="A39" t="s">
        <v>29</v>
      </c>
      <c r="B39" s="9" t="s">
        <v>106</v>
      </c>
      <c r="C39" t="str">
        <f ca="1">ADDRESS(ROW(INDIRECT(Explained!C39)),COLUMN(INDIRECT(Explained!C39)),4,1,Explained!F39)</f>
        <v>DemElas!A21</v>
      </c>
      <c r="D39">
        <v>1</v>
      </c>
      <c r="E39">
        <v>0</v>
      </c>
    </row>
  </sheetData>
  <autoFilter ref="A1:E29">
    <sortState ref="A2:E28">
      <sortCondition ref="C1:C28"/>
    </sortState>
  </autoFilter>
  <pageMargins left="0.75" right="0.75" top="1" bottom="1" header="0.3" footer="0.3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48"/>
  <sheetViews>
    <sheetView topLeftCell="B1" zoomScale="85" zoomScaleNormal="85" workbookViewId="0">
      <selection activeCell="B2" sqref="B2"/>
    </sheetView>
  </sheetViews>
  <sheetFormatPr defaultRowHeight="15.75"/>
  <cols>
    <col min="1" max="1" width="3.75" hidden="1" customWidth="1"/>
    <col min="2" max="2" width="15.625" bestFit="1" customWidth="1"/>
    <col min="3" max="3" width="34.5" hidden="1" customWidth="1"/>
    <col min="4" max="5" width="10.625" hidden="1" customWidth="1"/>
    <col min="6" max="6" width="22.75" hidden="1" customWidth="1"/>
    <col min="7" max="7" width="20.625" customWidth="1"/>
    <col min="8" max="9" width="2" hidden="1" customWidth="1"/>
    <col min="16" max="16" width="22.625" bestFit="1" customWidth="1"/>
    <col min="17" max="17" width="94" customWidth="1"/>
    <col min="18" max="18" width="73.125" customWidth="1"/>
  </cols>
  <sheetData>
    <row r="1" spans="1:18" s="10" customFormat="1">
      <c r="A1" s="10" t="str">
        <f>IF(index!A1="","",index!A1)</f>
        <v/>
      </c>
      <c r="B1" s="18" t="s">
        <v>74</v>
      </c>
      <c r="C1" s="1" t="s">
        <v>110</v>
      </c>
      <c r="D1" s="1" t="s">
        <v>113</v>
      </c>
      <c r="E1" s="1" t="s">
        <v>114</v>
      </c>
      <c r="F1" s="1" t="s">
        <v>111</v>
      </c>
      <c r="G1" s="1" t="s">
        <v>112</v>
      </c>
      <c r="J1" s="69" t="s">
        <v>70</v>
      </c>
      <c r="K1" s="70"/>
      <c r="L1" s="70"/>
      <c r="M1" s="70"/>
      <c r="N1" s="70"/>
      <c r="O1" s="71"/>
      <c r="P1" s="18" t="s">
        <v>71</v>
      </c>
      <c r="Q1" s="19" t="s">
        <v>72</v>
      </c>
      <c r="R1" s="18" t="s">
        <v>75</v>
      </c>
    </row>
    <row r="2" spans="1:18">
      <c r="A2" t="str">
        <f>IF(index!A2="","",index!A2)</f>
        <v>par</v>
      </c>
      <c r="B2" s="11" t="str">
        <f>IF(index!B2="","",index!B2)</f>
        <v>aFAO</v>
      </c>
      <c r="C2" t="str">
        <f ca="1">CELL("address", aFAO!A1)</f>
        <v>[DataXL.xlsm]aFAO!$A$1</v>
      </c>
      <c r="D2">
        <f ca="1">FIND("]",C2)+1</f>
        <v>14</v>
      </c>
      <c r="E2">
        <f ca="1">FIND("!",C2)+1</f>
        <v>19</v>
      </c>
      <c r="F2" t="str">
        <f ca="1">MID(C2,D2,E2-D2-1)</f>
        <v>aFAO</v>
      </c>
      <c r="G2" t="str">
        <f ca="1">ADDRESS(ROW(INDIRECT(C2)),COLUMN(INDIRECT(C2)),4,1,F2)</f>
        <v>aFAO!A1</v>
      </c>
      <c r="H2">
        <f>IF(index!D2="","",index!D2)</f>
        <v>2</v>
      </c>
      <c r="I2">
        <f>IF(index!E2="","",index!E2)</f>
        <v>2</v>
      </c>
      <c r="J2" s="20" t="str">
        <f>IF(index!F2="","",index!F2)</f>
        <v/>
      </c>
      <c r="K2" s="21" t="s">
        <v>54</v>
      </c>
      <c r="L2" s="21"/>
      <c r="M2" s="21" t="s">
        <v>52</v>
      </c>
      <c r="N2" s="21" t="s">
        <v>69</v>
      </c>
      <c r="O2" s="22" t="s">
        <v>50</v>
      </c>
      <c r="P2" s="16"/>
      <c r="Q2" s="13" t="s">
        <v>68</v>
      </c>
      <c r="R2" s="16"/>
    </row>
    <row r="3" spans="1:18">
      <c r="A3" t="str">
        <f>IF(index!A3="","",index!A3)</f>
        <v>par</v>
      </c>
      <c r="B3" s="12" t="str">
        <f>IF(index!B3="","",index!B3)</f>
        <v>pr_Hide</v>
      </c>
      <c r="C3" t="str">
        <f ca="1">CELL("address", Cattle!A1)</f>
        <v>[DataXL.xlsm]Cattle!$A$1</v>
      </c>
      <c r="D3">
        <f ca="1">FIND("]",C3)+1</f>
        <v>14</v>
      </c>
      <c r="E3">
        <f ca="1">FIND("!",C3)+1</f>
        <v>21</v>
      </c>
      <c r="F3" t="str">
        <f ca="1">MID(C3,D3,E3-D3-1)</f>
        <v>Cattle</v>
      </c>
      <c r="G3" t="str">
        <f ca="1">ADDRESS(ROW(INDIRECT(C3)),COLUMN(INDIRECT(C3)),4,1,F3)</f>
        <v>Cattle!A1</v>
      </c>
      <c r="H3">
        <f>IF(index!D3="","",index!D3)</f>
        <v>1</v>
      </c>
      <c r="I3">
        <f>IF(index!E3="","",index!E3)</f>
        <v>1</v>
      </c>
      <c r="J3" s="20" t="str">
        <f>IF(index!F3="","",index!F3)</f>
        <v/>
      </c>
      <c r="K3" s="21"/>
      <c r="L3" s="21"/>
      <c r="M3" s="21" t="s">
        <v>52</v>
      </c>
      <c r="N3" s="21"/>
      <c r="O3" s="22" t="s">
        <v>50</v>
      </c>
      <c r="P3" s="16"/>
      <c r="Q3" s="13" t="s">
        <v>115</v>
      </c>
      <c r="R3" s="16"/>
    </row>
    <row r="4" spans="1:18">
      <c r="A4" t="str">
        <f>IF(index!A4="","",index!A4)</f>
        <v>par</v>
      </c>
      <c r="B4" s="12" t="str">
        <f>IF(index!B4="","",index!B4)</f>
        <v>Yld_H</v>
      </c>
      <c r="C4" t="str">
        <f ca="1">CELL("address", Cattle!A21)</f>
        <v>[DataXL.xlsm]Cattle!$A$21</v>
      </c>
      <c r="D4">
        <f ca="1">FIND("]",C4)+1</f>
        <v>14</v>
      </c>
      <c r="E4">
        <f ca="1">FIND("!",C4)+1</f>
        <v>21</v>
      </c>
      <c r="F4" t="str">
        <f ca="1">MID(C4,D4,E4-D4-1)</f>
        <v>Cattle</v>
      </c>
      <c r="G4" t="str">
        <f ca="1">ADDRESS(ROW(INDIRECT(C4)),COLUMN(INDIRECT(C4)),4,1,F4)</f>
        <v>Cattle!A21</v>
      </c>
      <c r="H4">
        <f>IF(index!D4="","",index!D4)</f>
        <v>1</v>
      </c>
      <c r="I4">
        <f>IF(index!E4="","",index!E4)</f>
        <v>1</v>
      </c>
      <c r="J4" s="20" t="str">
        <f>IF(index!F4="","",index!F4)</f>
        <v/>
      </c>
      <c r="K4" s="21"/>
      <c r="L4" s="21"/>
      <c r="M4" s="21" t="s">
        <v>52</v>
      </c>
      <c r="N4" s="21"/>
      <c r="O4" s="22" t="s">
        <v>50</v>
      </c>
      <c r="P4" s="16"/>
      <c r="Q4" s="13" t="s">
        <v>116</v>
      </c>
      <c r="R4" s="16"/>
    </row>
    <row r="5" spans="1:18">
      <c r="A5" t="str">
        <f>IF(index!A5="","",index!A5)</f>
        <v>par</v>
      </c>
      <c r="B5" s="12" t="str">
        <f>IF(index!B5="","",index!B5)</f>
        <v>k</v>
      </c>
      <c r="C5" t="str">
        <f ca="1">CELL("address", Cattle!A41)</f>
        <v>[DataXL.xlsm]Cattle!$A$41</v>
      </c>
      <c r="D5">
        <f ca="1">FIND("]",C5)+1</f>
        <v>14</v>
      </c>
      <c r="E5">
        <f ca="1">FIND("!",C5)+1</f>
        <v>21</v>
      </c>
      <c r="F5" t="str">
        <f ca="1">MID(C5,D5,E5-D5-1)</f>
        <v>Cattle</v>
      </c>
      <c r="G5" t="str">
        <f ca="1">ADDRESS(ROW(INDIRECT(C5)),COLUMN(INDIRECT(C5)),4,1,F5)</f>
        <v>Cattle!A41</v>
      </c>
      <c r="H5">
        <f>IF(index!D5="","",index!D5)</f>
        <v>1</v>
      </c>
      <c r="I5">
        <f>IF(index!E5="","",index!E5)</f>
        <v>1</v>
      </c>
      <c r="J5" s="20" t="str">
        <f>IF(index!F5="","",index!F5)</f>
        <v/>
      </c>
      <c r="K5" s="21"/>
      <c r="L5" s="21"/>
      <c r="M5" s="21" t="s">
        <v>52</v>
      </c>
      <c r="N5" s="21"/>
      <c r="O5" s="22" t="s">
        <v>50</v>
      </c>
      <c r="P5" s="16"/>
      <c r="Q5" s="13" t="s">
        <v>117</v>
      </c>
      <c r="R5" s="16"/>
    </row>
    <row r="6" spans="1:18">
      <c r="A6" t="str">
        <f>IF(index!A6="","",index!A6)</f>
        <v>par</v>
      </c>
      <c r="B6" s="12" t="str">
        <f>IF(index!B6="","",index!B6)</f>
        <v>kappa</v>
      </c>
      <c r="C6" t="str">
        <f ca="1">CELL("address", Cattle!A61)</f>
        <v>[DataXL.xlsm]Cattle!$A$61</v>
      </c>
      <c r="D6">
        <f ca="1">FIND("]",C6)+1</f>
        <v>14</v>
      </c>
      <c r="E6">
        <f ca="1">FIND("!",C6)+1</f>
        <v>21</v>
      </c>
      <c r="F6" t="str">
        <f ca="1">MID(C6,D6,E6-D6-1)</f>
        <v>Cattle</v>
      </c>
      <c r="G6" t="str">
        <f ca="1">ADDRESS(ROW(INDIRECT(C6)),COLUMN(INDIRECT(C6)),4,1,F6)</f>
        <v>Cattle!A61</v>
      </c>
      <c r="H6">
        <f>IF(index!D6="","",index!D6)</f>
        <v>1</v>
      </c>
      <c r="I6">
        <f>IF(index!E6="","",index!E6)</f>
        <v>1</v>
      </c>
      <c r="J6" s="20" t="str">
        <f>IF(index!F6="","",index!F6)</f>
        <v/>
      </c>
      <c r="K6" s="21"/>
      <c r="L6" s="21"/>
      <c r="M6" s="21" t="s">
        <v>52</v>
      </c>
      <c r="N6" s="21"/>
      <c r="O6" s="22" t="s">
        <v>50</v>
      </c>
      <c r="P6" s="16"/>
      <c r="Q6" s="13" t="s">
        <v>118</v>
      </c>
      <c r="R6" s="16"/>
    </row>
    <row r="7" spans="1:18">
      <c r="A7" t="str">
        <f>IF(index!A7="","",index!A7)</f>
        <v>par</v>
      </c>
      <c r="B7" s="12" t="str">
        <f>IF(index!B7="","",index!B7)</f>
        <v>C_Cow</v>
      </c>
      <c r="C7" t="str">
        <f ca="1">CELL("address", Cattle!A81)</f>
        <v>[DataXL.xlsm]Cattle!$A$81</v>
      </c>
      <c r="D7">
        <f ca="1">FIND("]",C7)+1</f>
        <v>14</v>
      </c>
      <c r="E7">
        <f ca="1">FIND("!",C7)+1</f>
        <v>21</v>
      </c>
      <c r="F7" t="str">
        <f ca="1">MID(C7,D7,E7-D7-1)</f>
        <v>Cattle</v>
      </c>
      <c r="G7" t="str">
        <f ca="1">ADDRESS(ROW(INDIRECT(C7)),COLUMN(INDIRECT(C7)),4,1,F7)</f>
        <v>Cattle!A81</v>
      </c>
      <c r="H7">
        <f>IF(index!D7="","",index!D7)</f>
        <v>1</v>
      </c>
      <c r="I7">
        <f>IF(index!E7="","",index!E7)</f>
        <v>1</v>
      </c>
      <c r="J7" s="20" t="str">
        <f>IF(index!F7="","",index!F7)</f>
        <v/>
      </c>
      <c r="K7" s="21"/>
      <c r="L7" s="21"/>
      <c r="M7" s="21" t="s">
        <v>52</v>
      </c>
      <c r="N7" s="21"/>
      <c r="O7" s="22" t="s">
        <v>50</v>
      </c>
      <c r="P7" s="16"/>
      <c r="Q7" s="13" t="s">
        <v>119</v>
      </c>
      <c r="R7" s="16"/>
    </row>
    <row r="8" spans="1:18">
      <c r="A8" t="str">
        <f>IF(index!A8="","",index!A8)</f>
        <v>par</v>
      </c>
      <c r="B8" s="12" t="str">
        <f>IF(index!B8="","",index!B8)</f>
        <v>CowtranYr1</v>
      </c>
      <c r="C8" t="str">
        <f ca="1">CELL("address", Cattle!A101)</f>
        <v>[DataXL.xlsm]Cattle!$A$101</v>
      </c>
      <c r="D8">
        <f ca="1">FIND("]",C8)+1</f>
        <v>14</v>
      </c>
      <c r="E8">
        <f ca="1">FIND("!",C8)+1</f>
        <v>21</v>
      </c>
      <c r="F8" t="str">
        <f ca="1">MID(C8,D8,E8-D8-1)</f>
        <v>Cattle</v>
      </c>
      <c r="G8" t="str">
        <f ca="1">ADDRESS(ROW(INDIRECT(C8)),COLUMN(INDIRECT(C8)),4,1,F8)</f>
        <v>Cattle!A101</v>
      </c>
      <c r="H8">
        <f>IF(index!D8="","",index!D8)</f>
        <v>1</v>
      </c>
      <c r="I8">
        <f>IF(index!E8="","",index!E8)</f>
        <v>1</v>
      </c>
      <c r="J8" s="20" t="str">
        <f>IF(index!F8="","",index!F8)</f>
        <v/>
      </c>
      <c r="K8" s="21"/>
      <c r="L8" s="21"/>
      <c r="M8" s="21" t="s">
        <v>52</v>
      </c>
      <c r="N8" s="21"/>
      <c r="O8" s="22" t="s">
        <v>50</v>
      </c>
      <c r="P8" s="16"/>
      <c r="Q8" s="13" t="s">
        <v>120</v>
      </c>
      <c r="R8" s="16"/>
    </row>
    <row r="9" spans="1:18">
      <c r="A9" t="str">
        <f>IF(index!A9="","",index!A9)</f>
        <v>par</v>
      </c>
      <c r="B9" s="12" t="str">
        <f>IF(index!B9="","",index!B9)</f>
        <v>InitCow</v>
      </c>
      <c r="C9" t="str">
        <f ca="1">CELL("address", Cattle!A121)</f>
        <v>[DataXL.xlsm]Cattle!$A$121</v>
      </c>
      <c r="D9">
        <f ca="1">FIND("]",C9)+1</f>
        <v>14</v>
      </c>
      <c r="E9">
        <f ca="1">FIND("!",C9)+1</f>
        <v>21</v>
      </c>
      <c r="F9" t="str">
        <f ca="1">MID(C9,D9,E9-D9-1)</f>
        <v>Cattle</v>
      </c>
      <c r="G9" t="str">
        <f ca="1">ADDRESS(ROW(INDIRECT(C9)),COLUMN(INDIRECT(C9)),4,1,F9)</f>
        <v>Cattle!A121</v>
      </c>
      <c r="H9">
        <f>IF(index!D9="","",index!D9)</f>
        <v>1</v>
      </c>
      <c r="I9">
        <f>IF(index!E9="","",index!E9)</f>
        <v>0</v>
      </c>
      <c r="J9" s="20" t="str">
        <f>IF(index!F9="","",index!F9)</f>
        <v/>
      </c>
      <c r="K9" s="21"/>
      <c r="L9" s="21"/>
      <c r="M9" s="21" t="s">
        <v>52</v>
      </c>
      <c r="N9" s="21"/>
      <c r="O9" s="22"/>
      <c r="P9" s="16"/>
      <c r="Q9" s="13" t="s">
        <v>121</v>
      </c>
      <c r="R9" s="16"/>
    </row>
    <row r="10" spans="1:18">
      <c r="A10" t="str">
        <f>IF(index!A10="","",index!A10)</f>
        <v>par</v>
      </c>
      <c r="B10" s="12" t="str">
        <f>IF(index!B10="","",index!B10)</f>
        <v>Herdsize</v>
      </c>
      <c r="C10" t="str">
        <f ca="1">CELL("address", Cattle!F121)</f>
        <v>[DataXL.xlsm]Cattle!$F$121</v>
      </c>
      <c r="D10">
        <f ca="1">FIND("]",C10)+1</f>
        <v>14</v>
      </c>
      <c r="E10">
        <f ca="1">FIND("!",C10)+1</f>
        <v>21</v>
      </c>
      <c r="F10" t="str">
        <f ca="1">MID(C10,D10,E10-D10-1)</f>
        <v>Cattle</v>
      </c>
      <c r="G10" t="str">
        <f ca="1">ADDRESS(ROW(INDIRECT(C10)),COLUMN(INDIRECT(C10)),4,1,F10)</f>
        <v>Cattle!F121</v>
      </c>
      <c r="H10">
        <f>IF(index!D10="","",index!D10)</f>
        <v>1</v>
      </c>
      <c r="I10">
        <f>IF(index!E10="","",index!E10)</f>
        <v>0</v>
      </c>
      <c r="J10" s="20" t="str">
        <f>IF(index!F10="","",index!F10)</f>
        <v/>
      </c>
      <c r="K10" s="21"/>
      <c r="L10" s="21"/>
      <c r="M10" s="21" t="s">
        <v>52</v>
      </c>
      <c r="N10" s="21"/>
      <c r="O10" s="22"/>
      <c r="P10" s="16"/>
      <c r="Q10" s="13" t="s">
        <v>122</v>
      </c>
      <c r="R10" s="16"/>
    </row>
    <row r="11" spans="1:18">
      <c r="A11" t="str">
        <f>IF(index!A11="","",index!A11)</f>
        <v>par</v>
      </c>
      <c r="B11" s="12" t="str">
        <f>IF(index!B11="","",index!B11)</f>
        <v>CowDeath</v>
      </c>
      <c r="C11" t="str">
        <f ca="1">CELL("address", Cattle!K121)</f>
        <v>[DataXL.xlsm]Cattle!$K$121</v>
      </c>
      <c r="D11">
        <f ca="1">FIND("]",C11)+1</f>
        <v>14</v>
      </c>
      <c r="E11">
        <f ca="1">FIND("!",C11)+1</f>
        <v>21</v>
      </c>
      <c r="F11" t="str">
        <f ca="1">MID(C11,D11,E11-D11-1)</f>
        <v>Cattle</v>
      </c>
      <c r="G11" t="str">
        <f ca="1">ADDRESS(ROW(INDIRECT(C11)),COLUMN(INDIRECT(C11)),4,1,F11)</f>
        <v>Cattle!K121</v>
      </c>
      <c r="H11">
        <f>IF(index!D11="","",index!D11)</f>
        <v>1</v>
      </c>
      <c r="I11">
        <f>IF(index!E11="","",index!E11)</f>
        <v>0</v>
      </c>
      <c r="J11" s="20" t="str">
        <f>IF(index!F11="","",index!F11)</f>
        <v/>
      </c>
      <c r="K11" s="21"/>
      <c r="L11" s="21"/>
      <c r="M11" s="21" t="s">
        <v>52</v>
      </c>
      <c r="N11" s="21"/>
      <c r="O11" s="22"/>
      <c r="P11" s="16"/>
      <c r="Q11" s="13" t="s">
        <v>123</v>
      </c>
      <c r="R11" s="16"/>
    </row>
    <row r="12" spans="1:18">
      <c r="A12" t="str">
        <f>IF(index!A12="","",index!A12)</f>
        <v>par</v>
      </c>
      <c r="B12" s="12" t="str">
        <f>IF(index!B12="","",index!B12)</f>
        <v>BeefYield</v>
      </c>
      <c r="C12" t="str">
        <f ca="1">CELL("address", Cattle!A141)</f>
        <v>[DataXL.xlsm]Cattle!$A$141</v>
      </c>
      <c r="D12">
        <f ca="1">FIND("]",C12)+1</f>
        <v>14</v>
      </c>
      <c r="E12">
        <f ca="1">FIND("!",C12)+1</f>
        <v>21</v>
      </c>
      <c r="F12" t="str">
        <f ca="1">MID(C12,D12,E12-D12-1)</f>
        <v>Cattle</v>
      </c>
      <c r="G12" t="str">
        <f ca="1">ADDRESS(ROW(INDIRECT(C12)),COLUMN(INDIRECT(C12)),4,1,F12)</f>
        <v>Cattle!A141</v>
      </c>
      <c r="H12">
        <f>IF(index!D12="","",index!D12)</f>
        <v>1</v>
      </c>
      <c r="I12">
        <f>IF(index!E12="","",index!E12)</f>
        <v>1</v>
      </c>
      <c r="J12" s="20" t="str">
        <f>IF(index!F12="","",index!F12)</f>
        <v/>
      </c>
      <c r="K12" s="21"/>
      <c r="L12" s="21"/>
      <c r="M12" s="21" t="s">
        <v>52</v>
      </c>
      <c r="N12" s="21"/>
      <c r="O12" s="22" t="s">
        <v>50</v>
      </c>
      <c r="P12" s="16"/>
      <c r="Q12" s="13" t="s">
        <v>124</v>
      </c>
      <c r="R12" s="16"/>
    </row>
    <row r="13" spans="1:18">
      <c r="A13" t="str">
        <f>IF(index!A13="","",index!A13)</f>
        <v>par</v>
      </c>
      <c r="B13" s="12" t="str">
        <f>IF(index!B13="","",index!B13)</f>
        <v>MilkYield</v>
      </c>
      <c r="C13" t="str">
        <f ca="1">CELL("address", Cattle!A161)</f>
        <v>[DataXL.xlsm]Cattle!$A$161</v>
      </c>
      <c r="D13">
        <f ca="1">FIND("]",C13)+1</f>
        <v>14</v>
      </c>
      <c r="E13">
        <f ca="1">FIND("!",C13)+1</f>
        <v>21</v>
      </c>
      <c r="F13" t="str">
        <f ca="1">MID(C13,D13,E13-D13-1)</f>
        <v>Cattle</v>
      </c>
      <c r="G13" t="str">
        <f ca="1">ADDRESS(ROW(INDIRECT(C13)),COLUMN(INDIRECT(C13)),4,1,F13)</f>
        <v>Cattle!A161</v>
      </c>
      <c r="H13">
        <f>IF(index!D13="","",index!D13)</f>
        <v>1</v>
      </c>
      <c r="I13">
        <f>IF(index!E13="","",index!E13)</f>
        <v>1</v>
      </c>
      <c r="J13" s="20" t="str">
        <f>IF(index!F13="","",index!F13)</f>
        <v/>
      </c>
      <c r="K13" s="21"/>
      <c r="L13" s="21"/>
      <c r="M13" s="21" t="s">
        <v>52</v>
      </c>
      <c r="N13" s="21"/>
      <c r="O13" s="22" t="s">
        <v>50</v>
      </c>
      <c r="P13" s="16"/>
      <c r="Q13" s="13" t="s">
        <v>125</v>
      </c>
      <c r="R13" s="16"/>
    </row>
    <row r="14" spans="1:18">
      <c r="A14" t="str">
        <f>IF(index!A14="","",index!A14)</f>
        <v>par</v>
      </c>
      <c r="B14" s="12" t="str">
        <f>IF(index!B14="","",index!B14)</f>
        <v>C_prod</v>
      </c>
      <c r="C14" t="str">
        <f ca="1">CELL("address", Crop!A1)</f>
        <v>[DataXL.xlsm]Crop!$A$1</v>
      </c>
      <c r="D14">
        <f ca="1">FIND("]",C14)+1</f>
        <v>14</v>
      </c>
      <c r="E14">
        <f ca="1">FIND("!",C14)+1</f>
        <v>19</v>
      </c>
      <c r="F14" t="str">
        <f ca="1">MID(C14,D14,E14-D14-1)</f>
        <v>Crop</v>
      </c>
      <c r="G14" t="str">
        <f ca="1">ADDRESS(ROW(INDIRECT(C14)),COLUMN(INDIRECT(C14)),4,1,F14)</f>
        <v>Crop!A1</v>
      </c>
      <c r="H14">
        <f>IF(index!D14="","",index!D14)</f>
        <v>2</v>
      </c>
      <c r="I14">
        <f>IF(index!E14="","",index!E14)</f>
        <v>2</v>
      </c>
      <c r="J14" s="20" t="str">
        <f>IF(index!F14="","",index!F14)</f>
        <v/>
      </c>
      <c r="K14" s="21" t="s">
        <v>54</v>
      </c>
      <c r="L14" s="21"/>
      <c r="M14" s="21" t="s">
        <v>52</v>
      </c>
      <c r="N14" s="21" t="s">
        <v>69</v>
      </c>
      <c r="O14" s="22" t="s">
        <v>50</v>
      </c>
      <c r="P14" s="16"/>
      <c r="Q14" s="13" t="s">
        <v>126</v>
      </c>
      <c r="R14" s="16"/>
    </row>
    <row r="15" spans="1:18">
      <c r="A15" t="str">
        <f>IF(index!A15="","",index!A15)</f>
        <v>par</v>
      </c>
      <c r="B15" s="12" t="str">
        <f>IF(index!B15="","",index!B15)</f>
        <v>C_convert</v>
      </c>
      <c r="C15" t="str">
        <f ca="1">CELL("address", Crop!A101)</f>
        <v>[DataXL.xlsm]Crop!$A$101</v>
      </c>
      <c r="D15">
        <f ca="1">FIND("]",C15)+1</f>
        <v>14</v>
      </c>
      <c r="E15">
        <f ca="1">FIND("!",C15)+1</f>
        <v>19</v>
      </c>
      <c r="F15" t="str">
        <f ca="1">MID(C15,D15,E15-D15-1)</f>
        <v>Crop</v>
      </c>
      <c r="G15" t="str">
        <f ca="1">ADDRESS(ROW(INDIRECT(C15)),COLUMN(INDIRECT(C15)),4,1,F15)</f>
        <v>Crop!A101</v>
      </c>
      <c r="H15">
        <f>IF(index!D15="","",index!D15)</f>
        <v>1</v>
      </c>
      <c r="I15">
        <f>IF(index!E15="","",index!E15)</f>
        <v>1</v>
      </c>
      <c r="J15" s="20" t="str">
        <f>IF(index!F15="","",index!F15)</f>
        <v/>
      </c>
      <c r="K15" s="21"/>
      <c r="L15" s="21"/>
      <c r="M15" s="21" t="s">
        <v>52</v>
      </c>
      <c r="N15" s="21"/>
      <c r="O15" s="22" t="s">
        <v>50</v>
      </c>
      <c r="P15" s="16"/>
      <c r="Q15" s="13" t="s">
        <v>127</v>
      </c>
      <c r="R15" s="16"/>
    </row>
    <row r="16" spans="1:18">
      <c r="A16" t="str">
        <f>IF(index!A16="","",index!A16)</f>
        <v>par</v>
      </c>
      <c r="B16" s="12" t="str">
        <f>IF(index!B16="","",index!B16)</f>
        <v>C_chg</v>
      </c>
      <c r="C16" t="str">
        <f ca="1">CELL("address", Crop!A121)</f>
        <v>[DataXL.xlsm]Crop!$A$121</v>
      </c>
      <c r="D16">
        <f ca="1">FIND("]",C16)+1</f>
        <v>14</v>
      </c>
      <c r="E16">
        <f ca="1">FIND("!",C16)+1</f>
        <v>19</v>
      </c>
      <c r="F16" t="str">
        <f ca="1">MID(C16,D16,E16-D16-1)</f>
        <v>Crop</v>
      </c>
      <c r="G16" t="str">
        <f ca="1">ADDRESS(ROW(INDIRECT(C16)),COLUMN(INDIRECT(C16)),4,1,F16)</f>
        <v>Crop!A121</v>
      </c>
      <c r="H16">
        <f>IF(index!D16="","",index!D16)</f>
        <v>1</v>
      </c>
      <c r="I16">
        <f>IF(index!E16="","",index!E16)</f>
        <v>1</v>
      </c>
      <c r="J16" s="20" t="str">
        <f>IF(index!F16="","",index!F16)</f>
        <v/>
      </c>
      <c r="K16" s="21"/>
      <c r="L16" s="21"/>
      <c r="M16" s="21" t="s">
        <v>52</v>
      </c>
      <c r="N16" s="21"/>
      <c r="O16" s="22" t="s">
        <v>50</v>
      </c>
      <c r="P16" s="16"/>
      <c r="Q16" s="13" t="s">
        <v>128</v>
      </c>
      <c r="R16" s="16"/>
    </row>
    <row r="17" spans="1:18">
      <c r="A17" t="str">
        <f>IF(index!A17="","",index!A17)</f>
        <v>par</v>
      </c>
      <c r="B17" s="12" t="str">
        <f>IF(index!B17="","",index!B17)</f>
        <v>TotArea</v>
      </c>
      <c r="C17" t="str">
        <f ca="1">CELL("address", Crop!A141)</f>
        <v>[DataXL.xlsm]Crop!$A$141</v>
      </c>
      <c r="D17">
        <f ca="1">FIND("]",C17)+1</f>
        <v>14</v>
      </c>
      <c r="E17">
        <f ca="1">FIND("!",C17)+1</f>
        <v>19</v>
      </c>
      <c r="F17" t="str">
        <f ca="1">MID(C17,D17,E17-D17-1)</f>
        <v>Crop</v>
      </c>
      <c r="G17" t="str">
        <f ca="1">ADDRESS(ROW(INDIRECT(C17)),COLUMN(INDIRECT(C17)),4,1,F17)</f>
        <v>Crop!A141</v>
      </c>
      <c r="H17">
        <f>IF(index!D17="","",index!D17)</f>
        <v>1</v>
      </c>
      <c r="I17">
        <f>IF(index!E17="","",index!E17)</f>
        <v>0</v>
      </c>
      <c r="J17" s="20" t="str">
        <f>IF(index!F17="","",index!F17)</f>
        <v/>
      </c>
      <c r="K17" s="21"/>
      <c r="L17" s="21"/>
      <c r="M17" s="21" t="s">
        <v>52</v>
      </c>
      <c r="N17" s="21"/>
      <c r="O17" s="22"/>
      <c r="P17" s="16" t="s">
        <v>73</v>
      </c>
      <c r="Q17" s="13" t="s">
        <v>129</v>
      </c>
      <c r="R17" s="16" t="s">
        <v>76</v>
      </c>
    </row>
    <row r="18" spans="1:18">
      <c r="A18" t="str">
        <f>IF(index!A18="","",index!A18)</f>
        <v>par</v>
      </c>
      <c r="B18" s="12" t="str">
        <f>IF(index!B18="","",index!B18)</f>
        <v>Area_init</v>
      </c>
      <c r="C18" t="str">
        <f ca="1">CELL("address", Crop!A160)</f>
        <v>[DataXL.xlsm]Crop!$A$160</v>
      </c>
      <c r="D18">
        <f ca="1">FIND("]",C18)+1</f>
        <v>14</v>
      </c>
      <c r="E18">
        <f ca="1">FIND("!",C18)+1</f>
        <v>19</v>
      </c>
      <c r="F18" t="str">
        <f ca="1">MID(C18,D18,E18-D18-1)</f>
        <v>Crop</v>
      </c>
      <c r="G18" t="str">
        <f ca="1">ADDRESS(ROW(INDIRECT(C18)),COLUMN(INDIRECT(C18)),4,1,F18)</f>
        <v>Crop!A160</v>
      </c>
      <c r="H18">
        <f>IF(index!D18="","",index!D18)</f>
        <v>1</v>
      </c>
      <c r="I18">
        <f>IF(index!E18="","",index!E18)</f>
        <v>2</v>
      </c>
      <c r="J18" s="20" t="str">
        <f>IF(index!F18="","",index!F18)</f>
        <v/>
      </c>
      <c r="K18" s="21" t="s">
        <v>54</v>
      </c>
      <c r="L18" s="21"/>
      <c r="M18" s="21" t="s">
        <v>52</v>
      </c>
      <c r="N18" s="21" t="s">
        <v>69</v>
      </c>
      <c r="O18" s="22"/>
      <c r="P18" s="16" t="s">
        <v>73</v>
      </c>
      <c r="Q18" s="13" t="s">
        <v>130</v>
      </c>
      <c r="R18" s="16" t="s">
        <v>76</v>
      </c>
    </row>
    <row r="19" spans="1:18">
      <c r="A19" t="str">
        <f>IF(index!A19="","",index!A19)</f>
        <v>par</v>
      </c>
      <c r="B19" s="12" t="str">
        <f>IF(index!B19="","",index!B19)</f>
        <v>CYF</v>
      </c>
      <c r="C19" t="str">
        <f ca="1">CELL("address", CYF!A1)</f>
        <v>[DataXL.xlsm]CYF!$A$1</v>
      </c>
      <c r="D19">
        <f ca="1">FIND("]",C19)+1</f>
        <v>14</v>
      </c>
      <c r="E19">
        <f ca="1">FIND("!",C19)+1</f>
        <v>18</v>
      </c>
      <c r="F19" t="str">
        <f ca="1">MID(C19,D19,E19-D19-1)</f>
        <v>CYF</v>
      </c>
      <c r="G19" t="str">
        <f ca="1">ADDRESS(ROW(INDIRECT(C19)),COLUMN(INDIRECT(C19)),4,1,F19)</f>
        <v>CYF!A1</v>
      </c>
      <c r="H19">
        <f>IF(index!D19="","",index!D19)</f>
        <v>2</v>
      </c>
      <c r="I19">
        <f>IF(index!E19="","",index!E19)</f>
        <v>2</v>
      </c>
      <c r="J19" s="20" t="str">
        <f>IF(index!F19="","",index!F19)</f>
        <v/>
      </c>
      <c r="K19" s="21" t="s">
        <v>54</v>
      </c>
      <c r="L19" s="21"/>
      <c r="M19" s="21" t="s">
        <v>52</v>
      </c>
      <c r="N19" s="21" t="s">
        <v>69</v>
      </c>
      <c r="O19" s="22" t="s">
        <v>50</v>
      </c>
      <c r="P19" s="16"/>
      <c r="Q19" s="13" t="s">
        <v>131</v>
      </c>
      <c r="R19" s="16"/>
    </row>
    <row r="20" spans="1:18">
      <c r="A20" t="str">
        <f>IF(index!A20="","",index!A20)</f>
        <v>par</v>
      </c>
      <c r="B20" s="12" t="str">
        <f>IF(index!B20="","",index!B20)</f>
        <v>DiscFact</v>
      </c>
      <c r="C20" t="str">
        <f ca="1">CELL("address", DiscFact!A1)</f>
        <v>[DataXL.xlsm]DiscFact!$A$1</v>
      </c>
      <c r="D20">
        <f ca="1">FIND("]",C20)+1</f>
        <v>14</v>
      </c>
      <c r="E20">
        <f ca="1">FIND("!",C20)+1</f>
        <v>23</v>
      </c>
      <c r="F20" t="str">
        <f ca="1">MID(C20,D20,E20-D20-1)</f>
        <v>DiscFact</v>
      </c>
      <c r="G20" t="str">
        <f ca="1">ADDRESS(ROW(INDIRECT(C20)),COLUMN(INDIRECT(C20)),4,1,F20)</f>
        <v>DiscFact!A1</v>
      </c>
      <c r="H20">
        <f>IF(index!D20="","",index!D20)</f>
        <v>1</v>
      </c>
      <c r="I20">
        <f>IF(index!E20="","",index!E20)</f>
        <v>0</v>
      </c>
      <c r="J20" s="20" t="str">
        <f>IF(index!F20="","",index!F20)</f>
        <v/>
      </c>
      <c r="K20" s="21"/>
      <c r="L20" s="21"/>
      <c r="M20" s="21"/>
      <c r="N20" s="21"/>
      <c r="O20" s="22" t="s">
        <v>50</v>
      </c>
      <c r="P20" s="16"/>
      <c r="Q20" s="13" t="s">
        <v>132</v>
      </c>
      <c r="R20" s="16"/>
    </row>
    <row r="21" spans="1:18">
      <c r="A21" t="str">
        <f>IF(index!A21="","",index!A21)</f>
        <v>set</v>
      </c>
      <c r="B21" s="12" t="str">
        <f>IF(index!B21="","",index!B21)</f>
        <v>Eline</v>
      </c>
      <c r="C21" t="str">
        <f ca="1">CELL("address", ElecLine!A1)</f>
        <v>[DataXL.xlsm]ElecLine!$A$1</v>
      </c>
      <c r="D21">
        <f ca="1">FIND("]",C21)+1</f>
        <v>14</v>
      </c>
      <c r="E21">
        <f ca="1">FIND("!",C21)+1</f>
        <v>23</v>
      </c>
      <c r="F21" t="str">
        <f ca="1">MID(C21,D21,E21-D21-1)</f>
        <v>ElecLine</v>
      </c>
      <c r="G21" t="str">
        <f ca="1">ADDRESS(ROW(INDIRECT(C21)),COLUMN(INDIRECT(C21)),4,1,F21)</f>
        <v>ElecLine!A1</v>
      </c>
      <c r="H21">
        <f>IF(index!D21="","",index!D21)</f>
        <v>1</v>
      </c>
      <c r="I21">
        <f>IF(index!E21="","",index!E21)</f>
        <v>1</v>
      </c>
      <c r="J21" s="20" t="str">
        <f>IF(index!F21="","",index!F21)</f>
        <v/>
      </c>
      <c r="K21" s="21"/>
      <c r="L21" s="21" t="s">
        <v>52</v>
      </c>
      <c r="M21" s="21" t="s">
        <v>52</v>
      </c>
      <c r="N21" s="21"/>
      <c r="O21" s="22"/>
      <c r="P21" s="16"/>
      <c r="Q21" s="13" t="s">
        <v>133</v>
      </c>
      <c r="R21" s="16"/>
    </row>
    <row r="22" spans="1:18">
      <c r="A22" t="str">
        <f>IF(index!A22="","",index!A22)</f>
        <v>set</v>
      </c>
      <c r="B22" s="12" t="str">
        <f>IF(index!B22="","",index!B22)</f>
        <v>Road</v>
      </c>
      <c r="C22" t="str">
        <f ca="1">CELL("address", Roads!A1)</f>
        <v>[DataXL.xlsm]Roads!$A$1</v>
      </c>
      <c r="D22">
        <f ca="1">FIND("]",C22)+1</f>
        <v>14</v>
      </c>
      <c r="E22">
        <f ca="1">FIND("!",C22)+1</f>
        <v>20</v>
      </c>
      <c r="F22" t="str">
        <f ca="1">MID(C22,D22,E22-D22-1)</f>
        <v>Roads</v>
      </c>
      <c r="G22" t="str">
        <f ca="1">ADDRESS(ROW(INDIRECT(C22)),COLUMN(INDIRECT(C22)),4,1,F22)</f>
        <v>Roads!A1</v>
      </c>
      <c r="H22">
        <f>IF(index!D22="","",index!D22)</f>
        <v>1</v>
      </c>
      <c r="I22">
        <f>IF(index!E22="","",index!E22)</f>
        <v>1</v>
      </c>
      <c r="J22" s="20" t="str">
        <f>IF(index!F22="","",index!F22)</f>
        <v/>
      </c>
      <c r="K22" s="21"/>
      <c r="L22" s="21" t="s">
        <v>52</v>
      </c>
      <c r="M22" s="21" t="s">
        <v>52</v>
      </c>
      <c r="N22" s="21"/>
      <c r="O22" s="22"/>
      <c r="P22" s="16" t="s">
        <v>77</v>
      </c>
      <c r="Q22" s="13" t="s">
        <v>134</v>
      </c>
      <c r="R22" s="16" t="s">
        <v>78</v>
      </c>
    </row>
    <row r="23" spans="1:18">
      <c r="A23" t="str">
        <f>IF(index!A23="","",index!A23)</f>
        <v>par</v>
      </c>
      <c r="B23" s="12" t="str">
        <f>IF(index!B23="","",index!B23)</f>
        <v>CF_Road_data</v>
      </c>
      <c r="C23" t="str">
        <f ca="1">CELL("address", Roads!Q1)</f>
        <v>[DataXL.xlsm]Roads!$Q$1</v>
      </c>
      <c r="D23">
        <f ca="1">FIND("]",C23)+1</f>
        <v>14</v>
      </c>
      <c r="E23">
        <f ca="1">FIND("!",C23)+1</f>
        <v>20</v>
      </c>
      <c r="F23" t="str">
        <f ca="1">MID(C23,D23,E23-D23-1)</f>
        <v>Roads</v>
      </c>
      <c r="G23" t="str">
        <f ca="1">ADDRESS(ROW(INDIRECT(C23)),COLUMN(INDIRECT(C23)),4,1,F23)</f>
        <v>Roads!Q1</v>
      </c>
      <c r="H23">
        <f>IF(index!D23="","",index!D23)</f>
        <v>1</v>
      </c>
      <c r="I23">
        <f>IF(index!E23="","",index!E23)</f>
        <v>1</v>
      </c>
      <c r="J23" s="20" t="str">
        <f>IF(index!F23="","",index!F23)</f>
        <v/>
      </c>
      <c r="K23" s="21"/>
      <c r="L23" s="21" t="s">
        <v>52</v>
      </c>
      <c r="M23" s="21" t="s">
        <v>52</v>
      </c>
      <c r="N23" s="21"/>
      <c r="O23" s="22"/>
      <c r="P23" s="16"/>
      <c r="Q23" s="13" t="s">
        <v>135</v>
      </c>
      <c r="R23" s="16"/>
    </row>
    <row r="24" spans="1:18">
      <c r="A24" t="str">
        <f>IF(index!A24="","",index!A24)</f>
        <v>par</v>
      </c>
      <c r="B24" s="12" t="str">
        <f>IF(index!B24="","",index!B24)</f>
        <v>Cap_Road</v>
      </c>
      <c r="C24" t="str">
        <f ca="1">CELL("address", Roads!AD1)</f>
        <v>[DataXL.xlsm]Roads!$AD$1</v>
      </c>
      <c r="D24">
        <f ca="1">FIND("]",C24)+1</f>
        <v>14</v>
      </c>
      <c r="E24">
        <f ca="1">FIND("!",C24)+1</f>
        <v>20</v>
      </c>
      <c r="F24" t="str">
        <f ca="1">MID(C24,D24,E24-D24-1)</f>
        <v>Roads</v>
      </c>
      <c r="G24" t="str">
        <f ca="1">ADDRESS(ROW(INDIRECT(C24)),COLUMN(INDIRECT(C24)),4,1,F24)</f>
        <v>Roads!AD1</v>
      </c>
      <c r="H24">
        <f>IF(index!D24="","",index!D24)</f>
        <v>1</v>
      </c>
      <c r="I24">
        <f>IF(index!E24="","",index!E24)</f>
        <v>1</v>
      </c>
      <c r="J24" s="20" t="str">
        <f>IF(index!F24="","",index!F24)</f>
        <v/>
      </c>
      <c r="K24" s="21"/>
      <c r="L24" s="21" t="s">
        <v>52</v>
      </c>
      <c r="M24" s="21" t="s">
        <v>52</v>
      </c>
      <c r="N24" s="21"/>
      <c r="O24" s="22"/>
      <c r="P24" s="16"/>
      <c r="Q24" s="13" t="s">
        <v>136</v>
      </c>
      <c r="R24" s="16"/>
    </row>
    <row r="25" spans="1:18">
      <c r="A25" t="str">
        <f>IF(index!A25="","",index!A25)</f>
        <v>set</v>
      </c>
      <c r="B25" s="12" t="str">
        <f>IF(index!B25="","",index!B25)</f>
        <v>Year</v>
      </c>
      <c r="C25" t="str">
        <f ca="1">CELL("address", sets!B3)</f>
        <v>[DataXL.xlsm]sets!$B$3</v>
      </c>
      <c r="D25">
        <f ca="1">FIND("]",C25)+1</f>
        <v>14</v>
      </c>
      <c r="E25">
        <f ca="1">FIND("!",C25)+1</f>
        <v>19</v>
      </c>
      <c r="F25" t="str">
        <f ca="1">MID(C25,D25,E25-D25-1)</f>
        <v>sets</v>
      </c>
      <c r="G25" t="str">
        <f ca="1">ADDRESS(ROW(INDIRECT(C25)),COLUMN(INDIRECT(C25)),4,1,F25)</f>
        <v>sets!B3</v>
      </c>
      <c r="H25">
        <f>IF(index!D25="","",index!D25)</f>
        <v>1</v>
      </c>
      <c r="I25">
        <f>IF(index!E25="","",index!E25)</f>
        <v>0</v>
      </c>
      <c r="J25" s="20" t="str">
        <f>IF(index!F25="","",index!F25)</f>
        <v/>
      </c>
      <c r="K25" s="21"/>
      <c r="L25" s="21"/>
      <c r="M25" s="21"/>
      <c r="N25" s="21"/>
      <c r="O25" s="22"/>
      <c r="P25" s="16" t="s">
        <v>77</v>
      </c>
      <c r="Q25" s="13" t="s">
        <v>137</v>
      </c>
      <c r="R25" s="16" t="s">
        <v>78</v>
      </c>
    </row>
    <row r="26" spans="1:18">
      <c r="A26" t="str">
        <f>IF(index!A26="","",index!A26)</f>
        <v>set</v>
      </c>
      <c r="B26" s="12" t="str">
        <f>IF(index!B26="","",index!B26)</f>
        <v>Season</v>
      </c>
      <c r="C26" t="str">
        <f ca="1">CELL("address", sets!D3)</f>
        <v>[DataXL.xlsm]sets!$D$3</v>
      </c>
      <c r="D26">
        <f ca="1">FIND("]",C26)+1</f>
        <v>14</v>
      </c>
      <c r="E26">
        <f ca="1">FIND("!",C26)+1</f>
        <v>19</v>
      </c>
      <c r="F26" t="str">
        <f ca="1">MID(C26,D26,E26-D26-1)</f>
        <v>sets</v>
      </c>
      <c r="G26" t="str">
        <f ca="1">ADDRESS(ROW(INDIRECT(C26)),COLUMN(INDIRECT(C26)),4,1,F26)</f>
        <v>sets!D3</v>
      </c>
      <c r="H26">
        <f>IF(index!D26="","",index!D26)</f>
        <v>1</v>
      </c>
      <c r="I26">
        <f>IF(index!E26="","",index!E26)</f>
        <v>0</v>
      </c>
      <c r="J26" s="20" t="str">
        <f>IF(index!F26="","",index!F26)</f>
        <v/>
      </c>
      <c r="K26" s="21"/>
      <c r="L26" s="21"/>
      <c r="M26" s="21"/>
      <c r="N26" s="21"/>
      <c r="O26" s="22"/>
      <c r="P26" s="16"/>
      <c r="Q26" s="13" t="s">
        <v>138</v>
      </c>
      <c r="R26" s="16"/>
    </row>
    <row r="27" spans="1:18">
      <c r="A27" t="str">
        <f>IF(index!A27="","",index!A27)</f>
        <v>set</v>
      </c>
      <c r="B27" s="12" t="str">
        <f>IF(index!B27="","",index!B27)</f>
        <v>Node</v>
      </c>
      <c r="C27" t="str">
        <f ca="1">CELL("address", sets!F3)</f>
        <v>[DataXL.xlsm]sets!$F$3</v>
      </c>
      <c r="D27">
        <f ca="1">FIND("]",C27)+1</f>
        <v>14</v>
      </c>
      <c r="E27">
        <f ca="1">FIND("!",C27)+1</f>
        <v>19</v>
      </c>
      <c r="F27" t="str">
        <f ca="1">MID(C27,D27,E27-D27-1)</f>
        <v>sets</v>
      </c>
      <c r="G27" t="str">
        <f ca="1">ADDRESS(ROW(INDIRECT(C27)),COLUMN(INDIRECT(C27)),4,1,F27)</f>
        <v>sets!F3</v>
      </c>
      <c r="H27">
        <f>IF(index!D27="","",index!D27)</f>
        <v>1</v>
      </c>
      <c r="I27">
        <f>IF(index!E27="","",index!E27)</f>
        <v>0</v>
      </c>
      <c r="J27" s="20" t="str">
        <f>IF(index!F27="","",index!F27)</f>
        <v/>
      </c>
      <c r="K27" s="21"/>
      <c r="L27" s="21"/>
      <c r="M27" s="21"/>
      <c r="N27" s="21"/>
      <c r="O27" s="22"/>
      <c r="P27" s="16"/>
      <c r="Q27" s="13" t="s">
        <v>139</v>
      </c>
      <c r="R27" s="16"/>
    </row>
    <row r="28" spans="1:18">
      <c r="A28" t="str">
        <f>IF(index!A28="","",index!A28)</f>
        <v>set</v>
      </c>
      <c r="B28" s="12" t="str">
        <f>IF(index!B28="","",index!B28)</f>
        <v>FoodItem</v>
      </c>
      <c r="C28" t="str">
        <f ca="1">CELL("address", sets!H3)</f>
        <v>[DataXL.xlsm]sets!$H$3</v>
      </c>
      <c r="D28">
        <f ca="1">FIND("]",C28)+1</f>
        <v>14</v>
      </c>
      <c r="E28">
        <f ca="1">FIND("!",C28)+1</f>
        <v>19</v>
      </c>
      <c r="F28" t="str">
        <f ca="1">MID(C28,D28,E28-D28-1)</f>
        <v>sets</v>
      </c>
      <c r="G28" t="str">
        <f ca="1">ADDRESS(ROW(INDIRECT(C28)),COLUMN(INDIRECT(C28)),4,1,F28)</f>
        <v>sets!H3</v>
      </c>
      <c r="H28">
        <f>IF(index!D28="","",index!D28)</f>
        <v>1</v>
      </c>
      <c r="I28">
        <f>IF(index!E28="","",index!E28)</f>
        <v>0</v>
      </c>
      <c r="J28" s="20" t="str">
        <f>IF(index!F28="","",index!F28)</f>
        <v/>
      </c>
      <c r="K28" s="21"/>
      <c r="L28" s="21"/>
      <c r="M28" s="21"/>
      <c r="N28" s="21"/>
      <c r="O28" s="22"/>
      <c r="P28" s="16"/>
      <c r="Q28" s="13" t="s">
        <v>140</v>
      </c>
      <c r="R28" s="16"/>
    </row>
    <row r="29" spans="1:18">
      <c r="A29" t="str">
        <f>IF(index!A29="","",index!A29)</f>
        <v>set</v>
      </c>
      <c r="B29" s="12" t="str">
        <f>IF(index!B29="","",index!B29)</f>
        <v>Crop</v>
      </c>
      <c r="C29" t="str">
        <f ca="1">CELL("address", sets!J3)</f>
        <v>[DataXL.xlsm]sets!$J$3</v>
      </c>
      <c r="D29">
        <f ca="1">FIND("]",C29)+1</f>
        <v>14</v>
      </c>
      <c r="E29">
        <f ca="1">FIND("!",C29)+1</f>
        <v>19</v>
      </c>
      <c r="F29" t="str">
        <f ca="1">MID(C29,D29,E29-D29-1)</f>
        <v>sets</v>
      </c>
      <c r="G29" t="str">
        <f ca="1">ADDRESS(ROW(INDIRECT(C29)),COLUMN(INDIRECT(C29)),4,1,F29)</f>
        <v>sets!J3</v>
      </c>
      <c r="H29">
        <f>IF(index!D29="","",index!D29)</f>
        <v>1</v>
      </c>
      <c r="I29">
        <f>IF(index!E29="","",index!E29)</f>
        <v>0</v>
      </c>
      <c r="J29" s="20" t="str">
        <f>IF(index!F29="","",index!F29)</f>
        <v/>
      </c>
      <c r="K29" s="21"/>
      <c r="L29" s="21"/>
      <c r="M29" s="21"/>
      <c r="N29" s="21"/>
      <c r="O29" s="22"/>
      <c r="P29" s="16"/>
      <c r="Q29" s="13" t="s">
        <v>141</v>
      </c>
      <c r="R29" s="16"/>
    </row>
    <row r="30" spans="1:18">
      <c r="A30" t="str">
        <f>IF(index!A30="","",index!A30)</f>
        <v>par</v>
      </c>
      <c r="B30" s="12" t="str">
        <f>IF(index!B30="","",index!B30)</f>
        <v>DemInt</v>
      </c>
      <c r="C30" t="str">
        <f ca="1">CELL("address", DemInt!A1)</f>
        <v>[DataXL.xlsm]DemInt!$A$1</v>
      </c>
      <c r="D30">
        <f ca="1">FIND("]",C30)+1</f>
        <v>14</v>
      </c>
      <c r="E30">
        <f ca="1">FIND("!",C30)+1</f>
        <v>21</v>
      </c>
      <c r="F30" t="str">
        <f ca="1">MID(C30,D30,E30-D30-1)</f>
        <v>DemInt</v>
      </c>
      <c r="G30" t="str">
        <f ca="1">ADDRESS(ROW(INDIRECT(C30)),COLUMN(INDIRECT(C30)),4,1,F30)</f>
        <v>DemInt!A1</v>
      </c>
      <c r="H30">
        <f>IF(index!D30="","",index!D30)</f>
        <v>2</v>
      </c>
      <c r="I30">
        <f>IF(index!E30="","",index!E30)</f>
        <v>2</v>
      </c>
      <c r="J30" s="20" t="str">
        <f>IF(index!F30="","",index!F30)</f>
        <v/>
      </c>
      <c r="K30" s="21" t="s">
        <v>53</v>
      </c>
      <c r="L30" s="21"/>
      <c r="M30" s="21" t="s">
        <v>52</v>
      </c>
      <c r="N30" s="21" t="s">
        <v>69</v>
      </c>
      <c r="O30" s="22" t="s">
        <v>50</v>
      </c>
      <c r="P30" s="16"/>
      <c r="Q30" s="13" t="s">
        <v>142</v>
      </c>
      <c r="R30" s="16"/>
    </row>
    <row r="31" spans="1:18">
      <c r="A31" t="str">
        <f>IF(index!A31="","",index!A31)</f>
        <v>par</v>
      </c>
      <c r="B31" s="12" t="str">
        <f>IF(index!B31="","",index!B31)</f>
        <v>DemSlope</v>
      </c>
      <c r="C31" t="str">
        <f ca="1">CELL("address", DemSlope!A1)</f>
        <v>[DataXL.xlsm]DemSlope!$A$1</v>
      </c>
      <c r="D31">
        <f ca="1">FIND("]",C31)+1</f>
        <v>14</v>
      </c>
      <c r="E31">
        <f ca="1">FIND("!",C31)+1</f>
        <v>23</v>
      </c>
      <c r="F31" t="str">
        <f ca="1">MID(C31,D31,E31-D31-1)</f>
        <v>DemSlope</v>
      </c>
      <c r="G31" t="str">
        <f ca="1">ADDRESS(ROW(INDIRECT(C31)),COLUMN(INDIRECT(C31)),4,1,F31)</f>
        <v>DemSlope!A1</v>
      </c>
      <c r="H31">
        <f>IF(index!D31="","",index!D31)</f>
        <v>2</v>
      </c>
      <c r="I31">
        <f>IF(index!E31="","",index!E31)</f>
        <v>2</v>
      </c>
      <c r="J31" s="20" t="str">
        <f>IF(index!F31="","",index!F31)</f>
        <v/>
      </c>
      <c r="K31" s="21" t="s">
        <v>53</v>
      </c>
      <c r="L31" s="21"/>
      <c r="M31" s="21" t="s">
        <v>52</v>
      </c>
      <c r="N31" s="21" t="s">
        <v>69</v>
      </c>
      <c r="O31" s="22" t="s">
        <v>50</v>
      </c>
      <c r="P31" s="16"/>
      <c r="Q31" s="13" t="s">
        <v>143</v>
      </c>
      <c r="R31" s="16"/>
    </row>
    <row r="32" spans="1:18">
      <c r="A32" t="str">
        <f>IF(index!A32="","",index!A32)</f>
        <v>par</v>
      </c>
      <c r="B32" s="12" t="str">
        <f>IF(index!B32="","",index!B32)</f>
        <v>Base_Elec_Dem1</v>
      </c>
      <c r="C32" t="str">
        <f ca="1">CELL("address", Elec!A1)</f>
        <v>[DataXL.xlsm]Elec!$A$1</v>
      </c>
      <c r="D32">
        <f ca="1">FIND("]",C32)+1</f>
        <v>14</v>
      </c>
      <c r="E32">
        <f ca="1">FIND("!",C32)+1</f>
        <v>19</v>
      </c>
      <c r="F32" t="str">
        <f ca="1">MID(C32,D32,E32-D32-1)</f>
        <v>Elec</v>
      </c>
      <c r="G32" t="str">
        <f ca="1">ADDRESS(ROW(INDIRECT(C32)),COLUMN(INDIRECT(C32)),4,1,F32)</f>
        <v>Elec!A1</v>
      </c>
      <c r="H32">
        <f>IF(index!D32="","",index!D32)</f>
        <v>1</v>
      </c>
      <c r="I32">
        <f>IF(index!E32="","",index!E32)</f>
        <v>2</v>
      </c>
      <c r="J32" s="20" t="str">
        <f>IF(index!F32="","",index!F32)</f>
        <v/>
      </c>
      <c r="K32" s="21"/>
      <c r="L32" s="21"/>
      <c r="M32" s="21" t="s">
        <v>52</v>
      </c>
      <c r="N32" s="21" t="s">
        <v>69</v>
      </c>
      <c r="O32" s="22" t="s">
        <v>50</v>
      </c>
      <c r="P32" s="16"/>
      <c r="Q32" s="13" t="s">
        <v>144</v>
      </c>
      <c r="R32" s="16"/>
    </row>
    <row r="33" spans="1:18">
      <c r="A33" t="str">
        <f>IF(index!A33="","",index!A33)</f>
        <v>par</v>
      </c>
      <c r="B33" s="12" t="str">
        <f>IF(index!B33="","",index!B33)</f>
        <v>Cap_Elec1</v>
      </c>
      <c r="C33" t="str">
        <f ca="1">CELL("address", Elec!A41)</f>
        <v>[DataXL.xlsm]Elec!$A$41</v>
      </c>
      <c r="D33">
        <f ca="1">FIND("]",C33)+1</f>
        <v>14</v>
      </c>
      <c r="E33">
        <f ca="1">FIND("!",C33)+1</f>
        <v>19</v>
      </c>
      <c r="F33" t="str">
        <f ca="1">MID(C33,D33,E33-D33-1)</f>
        <v>Elec</v>
      </c>
      <c r="G33" t="str">
        <f ca="1">ADDRESS(ROW(INDIRECT(C33)),COLUMN(INDIRECT(C33)),4,1,F33)</f>
        <v>Elec!A41</v>
      </c>
      <c r="H33">
        <f>IF(index!D33="","",index!D33)</f>
        <v>1</v>
      </c>
      <c r="I33">
        <f>IF(index!E33="","",index!E33)</f>
        <v>0</v>
      </c>
      <c r="J33" s="20" t="str">
        <f>IF(index!F33="","",index!F33)</f>
        <v/>
      </c>
      <c r="K33" s="21"/>
      <c r="L33" s="21"/>
      <c r="M33" s="21" t="s">
        <v>52</v>
      </c>
      <c r="N33" s="21"/>
      <c r="O33" s="22"/>
      <c r="P33" s="16"/>
      <c r="Q33" s="13" t="s">
        <v>145</v>
      </c>
      <c r="R33" s="16"/>
    </row>
    <row r="34" spans="1:18">
      <c r="A34" t="str">
        <f>IF(index!A34="","",index!A34)</f>
        <v>par</v>
      </c>
      <c r="B34" s="12" t="str">
        <f>IF(index!B34="","",index!B34)</f>
        <v>C_Elec_L1</v>
      </c>
      <c r="C34" t="str">
        <f ca="1">CELL("address", Elec!F41)</f>
        <v>[DataXL.xlsm]Elec!$F$41</v>
      </c>
      <c r="D34">
        <f ca="1">FIND("]",C34)+1</f>
        <v>14</v>
      </c>
      <c r="E34">
        <f ca="1">FIND("!",C34)+1</f>
        <v>19</v>
      </c>
      <c r="F34" t="str">
        <f ca="1">MID(C34,D34,E34-D34-1)</f>
        <v>Elec</v>
      </c>
      <c r="G34" t="str">
        <f ca="1">ADDRESS(ROW(INDIRECT(C34)),COLUMN(INDIRECT(C34)),4,1,F34)</f>
        <v>Elec!F41</v>
      </c>
      <c r="H34">
        <f>IF(index!D34="","",index!D34)</f>
        <v>1</v>
      </c>
      <c r="I34">
        <f>IF(index!E34="","",index!E34)</f>
        <v>0</v>
      </c>
      <c r="J34" s="20" t="str">
        <f>IF(index!F34="","",index!F34)</f>
        <v/>
      </c>
      <c r="K34" s="21"/>
      <c r="L34" s="21"/>
      <c r="M34" s="21" t="s">
        <v>52</v>
      </c>
      <c r="N34" s="21"/>
      <c r="O34" s="22"/>
      <c r="P34" s="16"/>
      <c r="Q34" s="13" t="s">
        <v>146</v>
      </c>
      <c r="R34" s="16"/>
    </row>
    <row r="35" spans="1:18">
      <c r="A35" t="str">
        <f>IF(index!A35="","",index!A35)</f>
        <v>par</v>
      </c>
      <c r="B35" s="12" t="str">
        <f>IF(index!B35="","",index!B35)</f>
        <v>C_Elec_Q1</v>
      </c>
      <c r="C35" t="str">
        <f ca="1">CELL("address", Elec!K41)</f>
        <v>[DataXL.xlsm]Elec!$K$41</v>
      </c>
      <c r="D35">
        <f ca="1">FIND("]",C35)+1</f>
        <v>14</v>
      </c>
      <c r="E35">
        <f ca="1">FIND("!",C35)+1</f>
        <v>19</v>
      </c>
      <c r="F35" t="str">
        <f ca="1">MID(C35,D35,E35-D35-1)</f>
        <v>Elec</v>
      </c>
      <c r="G35" t="str">
        <f ca="1">ADDRESS(ROW(INDIRECT(C35)),COLUMN(INDIRECT(C35)),4,1,F35)</f>
        <v>Elec!K41</v>
      </c>
      <c r="H35">
        <f>IF(index!D35="","",index!D35)</f>
        <v>1</v>
      </c>
      <c r="I35">
        <f>IF(index!E35="","",index!E35)</f>
        <v>0</v>
      </c>
      <c r="J35" s="20" t="str">
        <f>IF(index!F35="","",index!F35)</f>
        <v/>
      </c>
      <c r="K35" s="21"/>
      <c r="L35" s="21"/>
      <c r="M35" s="21" t="s">
        <v>52</v>
      </c>
      <c r="N35" s="21"/>
      <c r="O35" s="22"/>
      <c r="P35" s="16"/>
      <c r="Q35" s="13" t="s">
        <v>147</v>
      </c>
      <c r="R35" s="16"/>
    </row>
    <row r="36" spans="1:18">
      <c r="A36" t="str">
        <f>IF(index!A36="","",index!A36)</f>
        <v>par</v>
      </c>
      <c r="B36" s="12" t="str">
        <f>IF(index!B36="","",index!B36)</f>
        <v>qWInit</v>
      </c>
      <c r="C36" t="str">
        <f ca="1">CELL("address", Crop!A181)</f>
        <v>[DataXL.xlsm]Crop!$A$181</v>
      </c>
      <c r="D36">
        <f ca="1">FIND("]",C36)+1</f>
        <v>14</v>
      </c>
      <c r="E36">
        <f ca="1">FIND("!",C36)+1</f>
        <v>19</v>
      </c>
      <c r="F36" t="str">
        <f ca="1">MID(C36,D36,E36-D36-1)</f>
        <v>Crop</v>
      </c>
      <c r="G36" t="str">
        <f ca="1">ADDRESS(ROW(INDIRECT(C36)),COLUMN(INDIRECT(C36)),4,1,F36)</f>
        <v>Crop!A181</v>
      </c>
      <c r="H36">
        <f>IF(index!D36="","",index!D36)</f>
        <v>1</v>
      </c>
      <c r="I36">
        <f>IF(index!E36="","",index!E36)</f>
        <v>1</v>
      </c>
      <c r="J36" s="20" t="s">
        <v>53</v>
      </c>
      <c r="K36" s="21"/>
      <c r="L36" s="21"/>
      <c r="M36" s="21" t="s">
        <v>52</v>
      </c>
      <c r="N36" s="21"/>
      <c r="O36" s="22"/>
      <c r="P36" s="16"/>
      <c r="Q36" s="13" t="s">
        <v>148</v>
      </c>
      <c r="R36" s="16"/>
    </row>
    <row r="37" spans="1:18">
      <c r="A37" t="str">
        <f>IF(index!A37="","",index!A37)</f>
        <v>par</v>
      </c>
      <c r="B37" s="12" t="str">
        <f>IF(index!B37="","",index!B37)</f>
        <v>DemCrossElas</v>
      </c>
      <c r="C37" t="str">
        <f ca="1">CELL("address", DemElas!A1)</f>
        <v>[DataXL.xlsm]DemElas!$A$1</v>
      </c>
      <c r="D37">
        <f ca="1">FIND("]",C37)+1</f>
        <v>14</v>
      </c>
      <c r="E37">
        <f ca="1">FIND("!",C37)+1</f>
        <v>22</v>
      </c>
      <c r="F37" t="str">
        <f ca="1">MID(C37,D37,E37-D37-1)</f>
        <v>DemElas</v>
      </c>
      <c r="G37" t="str">
        <f ca="1">ADDRESS(ROW(INDIRECT(C37)),COLUMN(INDIRECT(C37)),4,1,F37)</f>
        <v>DemElas!A1</v>
      </c>
      <c r="H37">
        <f>IF(index!D37="","",index!D37)</f>
        <v>1</v>
      </c>
      <c r="I37">
        <f>IF(index!E37="","",index!E37)</f>
        <v>1</v>
      </c>
      <c r="J37" s="20" t="s">
        <v>53</v>
      </c>
      <c r="K37" s="21" t="s">
        <v>53</v>
      </c>
      <c r="L37" s="21"/>
      <c r="M37" s="21" t="s">
        <v>52</v>
      </c>
      <c r="N37" s="21" t="s">
        <v>69</v>
      </c>
      <c r="O37" s="22" t="s">
        <v>50</v>
      </c>
      <c r="P37" s="16"/>
      <c r="Q37" s="13" t="s">
        <v>149</v>
      </c>
      <c r="R37" s="16"/>
    </row>
    <row r="38" spans="1:18">
      <c r="A38" t="str">
        <f>IF(index!A38="","",index!A38)</f>
        <v>par</v>
      </c>
      <c r="B38" s="12" t="str">
        <f>IF(index!B38="","",index!B38)</f>
        <v>Consumption</v>
      </c>
      <c r="C38" t="str">
        <f ca="1">CELL("address", TargetConsumption!A1)</f>
        <v>[DataXL.xlsm]TargetConsumption!$A$1</v>
      </c>
      <c r="D38">
        <f ca="1">FIND("]",C38)+1</f>
        <v>14</v>
      </c>
      <c r="E38">
        <f ca="1">FIND("!",C38)+1</f>
        <v>32</v>
      </c>
      <c r="F38" t="str">
        <f ca="1">MID(C38,D38,E38-D38-1)</f>
        <v>TargetConsumption</v>
      </c>
      <c r="G38" t="str">
        <f ca="1">ADDRESS(ROW(INDIRECT(C38)),COLUMN(INDIRECT(C38)),4,1,F38)</f>
        <v>TargetConsumption!A1</v>
      </c>
      <c r="H38">
        <f>IF(index!D38="","",index!D38)</f>
        <v>2</v>
      </c>
      <c r="I38">
        <f>IF(index!E38="","",index!E38)</f>
        <v>2</v>
      </c>
      <c r="J38" s="20" t="str">
        <f>IF(index!F38="","",index!F38)</f>
        <v/>
      </c>
      <c r="K38" s="21" t="s">
        <v>53</v>
      </c>
      <c r="L38" s="21"/>
      <c r="M38" s="21" t="s">
        <v>52</v>
      </c>
      <c r="N38" s="21" t="s">
        <v>69</v>
      </c>
      <c r="O38" s="22" t="s">
        <v>50</v>
      </c>
      <c r="P38" s="16"/>
      <c r="Q38" s="13" t="s">
        <v>151</v>
      </c>
      <c r="R38" s="16"/>
    </row>
    <row r="39" spans="1:18">
      <c r="A39" t="str">
        <f>IF(index!A39="","",index!A39)</f>
        <v>par</v>
      </c>
      <c r="B39" s="12" t="str">
        <f>IF(index!B39="","",index!B39)</f>
        <v>DemElas</v>
      </c>
      <c r="C39" t="str">
        <f ca="1">CELL("address", DemElas!A21)</f>
        <v>[DataXL.xlsm]DemElas!$A$21</v>
      </c>
      <c r="D39">
        <f ca="1">FIND("]",C39)+1</f>
        <v>14</v>
      </c>
      <c r="E39">
        <f ca="1">FIND("!",C39)+1</f>
        <v>22</v>
      </c>
      <c r="F39" t="str">
        <f ca="1">MID(C39,D39,E39-D39-1)</f>
        <v>DemElas</v>
      </c>
      <c r="G39" t="str">
        <f ca="1">ADDRESS(ROW(INDIRECT(C39)),COLUMN(INDIRECT(C39)),4,1,F39)</f>
        <v>DemElas!A21</v>
      </c>
      <c r="H39">
        <f>IF(index!D39="","",index!D39)</f>
        <v>1</v>
      </c>
      <c r="I39">
        <f>IF(index!E39="","",index!E39)</f>
        <v>0</v>
      </c>
      <c r="J39" s="20" t="str">
        <f>IF(index!F39="","",index!F39)</f>
        <v/>
      </c>
      <c r="K39" s="21" t="s">
        <v>53</v>
      </c>
      <c r="L39" s="21"/>
      <c r="M39" s="21" t="s">
        <v>52</v>
      </c>
      <c r="N39" s="21" t="s">
        <v>69</v>
      </c>
      <c r="O39" s="22" t="s">
        <v>50</v>
      </c>
      <c r="P39" s="16"/>
      <c r="Q39" s="13" t="s">
        <v>150</v>
      </c>
      <c r="R39" s="16"/>
    </row>
    <row r="40" spans="1:18">
      <c r="A40" t="str">
        <f>IF(index!A40="","",index!A40)</f>
        <v/>
      </c>
      <c r="B40" s="12" t="str">
        <f>IF(index!B40="","",index!B40)</f>
        <v/>
      </c>
      <c r="H40" t="str">
        <f>IF(index!D40="","",index!D40)</f>
        <v/>
      </c>
      <c r="I40" t="str">
        <f>IF(index!E40="","",index!E40)</f>
        <v/>
      </c>
      <c r="J40" s="20" t="str">
        <f>IF(index!F40="","",index!F40)</f>
        <v/>
      </c>
      <c r="K40" s="21"/>
      <c r="L40" s="21"/>
      <c r="M40" s="21"/>
      <c r="N40" s="21"/>
      <c r="O40" s="22"/>
      <c r="P40" s="16"/>
      <c r="Q40" s="13"/>
      <c r="R40" s="16"/>
    </row>
    <row r="41" spans="1:18">
      <c r="B41" s="12"/>
      <c r="J41" s="20"/>
      <c r="K41" s="21"/>
      <c r="L41" s="21"/>
      <c r="M41" s="21"/>
      <c r="N41" s="21"/>
      <c r="O41" s="22"/>
      <c r="P41" s="16"/>
      <c r="Q41" s="13"/>
      <c r="R41" s="16"/>
    </row>
    <row r="42" spans="1:18">
      <c r="A42" t="str">
        <f>IF(index!A42="","",index!A42)</f>
        <v/>
      </c>
      <c r="B42" s="12" t="str">
        <f>IF(index!B42="","",index!B42)</f>
        <v/>
      </c>
      <c r="H42" t="str">
        <f>IF(index!D42="","",index!D42)</f>
        <v/>
      </c>
      <c r="I42" t="str">
        <f>IF(index!E42="","",index!E42)</f>
        <v/>
      </c>
      <c r="J42" s="20" t="str">
        <f>IF(index!F42="","",index!F42)</f>
        <v/>
      </c>
      <c r="K42" s="21"/>
      <c r="L42" s="21"/>
      <c r="M42" s="21"/>
      <c r="N42" s="21"/>
      <c r="O42" s="22"/>
      <c r="P42" s="16"/>
      <c r="Q42" s="13"/>
      <c r="R42" s="16"/>
    </row>
    <row r="43" spans="1:18">
      <c r="A43" t="str">
        <f>IF(index!A43="","",index!A43)</f>
        <v/>
      </c>
      <c r="B43" s="12" t="str">
        <f>IF(index!B43="","",index!B43)</f>
        <v/>
      </c>
      <c r="H43" t="str">
        <f>IF(index!D43="","",index!D43)</f>
        <v/>
      </c>
      <c r="I43" t="str">
        <f>IF(index!E43="","",index!E43)</f>
        <v/>
      </c>
      <c r="J43" s="20" t="str">
        <f>IF(index!F43="","",index!F43)</f>
        <v/>
      </c>
      <c r="K43" s="21"/>
      <c r="L43" s="21"/>
      <c r="M43" s="21"/>
      <c r="N43" s="21"/>
      <c r="O43" s="22"/>
      <c r="P43" s="16"/>
      <c r="Q43" s="13"/>
      <c r="R43" s="16"/>
    </row>
    <row r="44" spans="1:18">
      <c r="A44" t="str">
        <f>IF(index!A44="","",index!A44)</f>
        <v/>
      </c>
      <c r="B44" s="12" t="str">
        <f>IF(index!B44="","",index!B44)</f>
        <v/>
      </c>
      <c r="H44" t="str">
        <f>IF(index!D44="","",index!D44)</f>
        <v/>
      </c>
      <c r="I44" t="str">
        <f>IF(index!E44="","",index!E44)</f>
        <v/>
      </c>
      <c r="J44" s="20" t="str">
        <f>IF(index!F44="","",index!F44)</f>
        <v/>
      </c>
      <c r="K44" s="21"/>
      <c r="L44" s="21"/>
      <c r="M44" s="21"/>
      <c r="N44" s="21"/>
      <c r="O44" s="22"/>
      <c r="P44" s="16"/>
      <c r="Q44" s="13"/>
      <c r="R44" s="16"/>
    </row>
    <row r="45" spans="1:18">
      <c r="A45" t="str">
        <f>IF(index!A45="","",index!A45)</f>
        <v/>
      </c>
      <c r="B45" s="12" t="str">
        <f>IF(index!B45="","",index!B45)</f>
        <v/>
      </c>
      <c r="H45" t="str">
        <f>IF(index!D45="","",index!D45)</f>
        <v/>
      </c>
      <c r="I45" t="str">
        <f>IF(index!E45="","",index!E45)</f>
        <v/>
      </c>
      <c r="J45" s="20" t="str">
        <f>IF(index!F45="","",index!F45)</f>
        <v/>
      </c>
      <c r="K45" s="21"/>
      <c r="L45" s="21"/>
      <c r="M45" s="21"/>
      <c r="N45" s="21"/>
      <c r="O45" s="22"/>
      <c r="P45" s="16"/>
      <c r="Q45" s="13"/>
      <c r="R45" s="16"/>
    </row>
    <row r="46" spans="1:18">
      <c r="A46" t="str">
        <f>IF(index!A46="","",index!A46)</f>
        <v/>
      </c>
      <c r="B46" s="12" t="str">
        <f>IF(index!B46="","",index!B46)</f>
        <v/>
      </c>
      <c r="H46" t="str">
        <f>IF(index!D46="","",index!D46)</f>
        <v/>
      </c>
      <c r="I46" t="str">
        <f>IF(index!E46="","",index!E46)</f>
        <v/>
      </c>
      <c r="J46" s="20" t="str">
        <f>IF(index!F46="","",index!F46)</f>
        <v/>
      </c>
      <c r="K46" s="21"/>
      <c r="L46" s="21"/>
      <c r="M46" s="21"/>
      <c r="N46" s="21"/>
      <c r="O46" s="22"/>
      <c r="P46" s="16"/>
      <c r="Q46" s="13"/>
      <c r="R46" s="16"/>
    </row>
    <row r="47" spans="1:18">
      <c r="A47" t="str">
        <f>IF(index!A47="","",index!A47)</f>
        <v/>
      </c>
      <c r="B47" s="12" t="str">
        <f>IF(index!B47="","",index!B47)</f>
        <v/>
      </c>
      <c r="H47" t="str">
        <f>IF(index!D47="","",index!D47)</f>
        <v/>
      </c>
      <c r="I47" t="str">
        <f>IF(index!E47="","",index!E47)</f>
        <v/>
      </c>
      <c r="J47" s="20" t="str">
        <f>IF(index!F47="","",index!F47)</f>
        <v/>
      </c>
      <c r="K47" s="21"/>
      <c r="L47" s="21"/>
      <c r="M47" s="21"/>
      <c r="N47" s="21"/>
      <c r="O47" s="22"/>
      <c r="P47" s="16"/>
      <c r="Q47" s="13"/>
      <c r="R47" s="16"/>
    </row>
    <row r="48" spans="1:18">
      <c r="A48" t="str">
        <f>IF(index!A48="","",index!A48)</f>
        <v/>
      </c>
      <c r="B48" s="14" t="str">
        <f>IF(index!B48="","",index!B48)</f>
        <v/>
      </c>
      <c r="H48" t="str">
        <f>IF(index!D48="","",index!D48)</f>
        <v/>
      </c>
      <c r="I48" t="str">
        <f>IF(index!E48="","",index!E48)</f>
        <v/>
      </c>
      <c r="J48" s="23" t="str">
        <f>IF(index!F48="","",index!F48)</f>
        <v/>
      </c>
      <c r="K48" s="24"/>
      <c r="L48" s="24"/>
      <c r="M48" s="24"/>
      <c r="N48" s="24"/>
      <c r="O48" s="25"/>
      <c r="P48" s="17"/>
      <c r="Q48" s="15"/>
      <c r="R48" s="17"/>
    </row>
  </sheetData>
  <mergeCells count="1">
    <mergeCell ref="J1:O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173"/>
  <sheetViews>
    <sheetView topLeftCell="A145" zoomScale="85" zoomScaleNormal="85" workbookViewId="0">
      <selection activeCell="AB167" sqref="AB167"/>
    </sheetView>
  </sheetViews>
  <sheetFormatPr defaultColWidth="8.875" defaultRowHeight="15.75"/>
  <cols>
    <col min="1" max="2" width="10.625" bestFit="1" customWidth="1"/>
    <col min="6" max="6" width="10.625" bestFit="1" customWidth="1"/>
    <col min="11" max="11" width="10.625" bestFit="1" customWidth="1"/>
    <col min="26" max="26" width="10.75" bestFit="1" customWidth="1"/>
  </cols>
  <sheetData>
    <row r="1" spans="1:17">
      <c r="B1">
        <f t="array" ref="B1:Q1">TRANSPOSE(Years)</f>
        <v>2015</v>
      </c>
      <c r="C1">
        <v>2016</v>
      </c>
      <c r="D1">
        <v>2017</v>
      </c>
      <c r="E1">
        <v>2018</v>
      </c>
      <c r="F1">
        <v>2019</v>
      </c>
      <c r="G1">
        <v>2020</v>
      </c>
      <c r="H1">
        <v>2021</v>
      </c>
      <c r="I1">
        <v>2022</v>
      </c>
      <c r="J1">
        <v>2023</v>
      </c>
      <c r="K1">
        <v>2024</v>
      </c>
      <c r="L1">
        <v>2025</v>
      </c>
      <c r="M1">
        <v>2026</v>
      </c>
      <c r="N1">
        <v>2027</v>
      </c>
      <c r="O1">
        <v>2028</v>
      </c>
      <c r="P1">
        <v>2029</v>
      </c>
      <c r="Q1">
        <v>2030</v>
      </c>
    </row>
    <row r="2" spans="1:17">
      <c r="A2" t="str">
        <f t="array" ref="A2:A12">Nodes</f>
        <v>AddisAbaba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>
      <c r="A3" t="str">
        <v>Afar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>
      <c r="A4" t="str">
        <v>Amhara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</row>
    <row r="5" spans="1:17">
      <c r="A5" t="str">
        <v>Gumuz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</row>
    <row r="6" spans="1:17">
      <c r="A6" t="str">
        <v>DireDawa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7">
      <c r="A7" t="str">
        <v>Gambela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</row>
    <row r="8" spans="1:17">
      <c r="A8" t="str">
        <v>Harari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7">
      <c r="A9" t="str">
        <v>Oromia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7">
      <c r="A10" t="str">
        <v>Somali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</row>
    <row r="11" spans="1:17">
      <c r="A11" t="str">
        <v>SNNPR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>
      <c r="A12" t="str">
        <v>Tigray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21" spans="1:17">
      <c r="B21">
        <f t="array" ref="B21:Q21">TRANSPOSE(Years)</f>
        <v>2015</v>
      </c>
      <c r="C21">
        <v>2016</v>
      </c>
      <c r="D21">
        <v>2017</v>
      </c>
      <c r="E21">
        <v>2018</v>
      </c>
      <c r="F21">
        <v>2019</v>
      </c>
      <c r="G21">
        <v>2020</v>
      </c>
      <c r="H21">
        <v>2021</v>
      </c>
      <c r="I21">
        <v>2022</v>
      </c>
      <c r="J21">
        <v>2023</v>
      </c>
      <c r="K21">
        <v>2024</v>
      </c>
      <c r="L21">
        <v>2025</v>
      </c>
      <c r="M21">
        <v>2026</v>
      </c>
      <c r="N21">
        <v>2027</v>
      </c>
      <c r="O21">
        <v>2028</v>
      </c>
      <c r="P21">
        <v>2029</v>
      </c>
      <c r="Q21">
        <v>2030</v>
      </c>
    </row>
    <row r="22" spans="1:17">
      <c r="A22" t="str">
        <f t="array" ref="A22:A32">Nodes</f>
        <v>AddisAbaba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1:17">
      <c r="A23" t="str">
        <v>Afar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</row>
    <row r="24" spans="1:17">
      <c r="A24" t="str">
        <v>Amhara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</row>
    <row r="25" spans="1:17">
      <c r="A25" t="str">
        <v>Gumuz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17">
      <c r="A26" t="str">
        <v>DireDawa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</row>
    <row r="27" spans="1:17">
      <c r="A27" t="str">
        <v>Gambela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>
      <c r="A28" t="str">
        <v>Harari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</row>
    <row r="29" spans="1:17">
      <c r="A29" t="str">
        <v>Oromia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17">
      <c r="A30" t="str">
        <v>Somali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17">
      <c r="A31" t="str">
        <v>SNNPR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>
      <c r="A32" t="str">
        <v>Tigray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41" spans="1:17">
      <c r="B41">
        <f t="array" ref="B41:Q41">TRANSPOSE(Years)</f>
        <v>2015</v>
      </c>
      <c r="C41">
        <v>2016</v>
      </c>
      <c r="D41">
        <v>2017</v>
      </c>
      <c r="E41">
        <v>2018</v>
      </c>
      <c r="F41">
        <v>2019</v>
      </c>
      <c r="G41">
        <v>2020</v>
      </c>
      <c r="H41">
        <v>2021</v>
      </c>
      <c r="I41">
        <v>2022</v>
      </c>
      <c r="J41">
        <v>2023</v>
      </c>
      <c r="K41">
        <v>2024</v>
      </c>
      <c r="L41">
        <v>2025</v>
      </c>
      <c r="M41">
        <v>2026</v>
      </c>
      <c r="N41">
        <v>2027</v>
      </c>
      <c r="O41">
        <v>2028</v>
      </c>
      <c r="P41">
        <v>2029</v>
      </c>
      <c r="Q41">
        <v>2030</v>
      </c>
    </row>
    <row r="42" spans="1:17">
      <c r="A42" t="str">
        <f t="array" ref="A42:A52">Nodes</f>
        <v>AddisAbaba</v>
      </c>
      <c r="B42">
        <v>0.4</v>
      </c>
      <c r="C42">
        <v>0.4</v>
      </c>
      <c r="D42">
        <v>0.4</v>
      </c>
      <c r="E42">
        <v>0.4</v>
      </c>
      <c r="F42">
        <v>0.4</v>
      </c>
      <c r="G42">
        <v>0.4</v>
      </c>
      <c r="H42">
        <v>0.4</v>
      </c>
      <c r="I42">
        <v>0.4</v>
      </c>
      <c r="J42">
        <v>0.4</v>
      </c>
      <c r="K42">
        <v>0.4</v>
      </c>
      <c r="L42">
        <v>0.4</v>
      </c>
      <c r="M42">
        <v>0.4</v>
      </c>
      <c r="N42">
        <v>0.4</v>
      </c>
      <c r="O42">
        <v>0.4</v>
      </c>
      <c r="P42">
        <v>0.4</v>
      </c>
      <c r="Q42">
        <v>0.4</v>
      </c>
    </row>
    <row r="43" spans="1:17">
      <c r="A43" t="str">
        <v>Afar</v>
      </c>
      <c r="B43">
        <v>0.4</v>
      </c>
      <c r="C43">
        <v>0.4</v>
      </c>
      <c r="D43">
        <v>0.4</v>
      </c>
      <c r="E43">
        <v>0.4</v>
      </c>
      <c r="F43">
        <v>0.4</v>
      </c>
      <c r="G43">
        <v>0.4</v>
      </c>
      <c r="H43">
        <v>0.4</v>
      </c>
      <c r="I43">
        <v>0.4</v>
      </c>
      <c r="J43">
        <v>0.4</v>
      </c>
      <c r="K43">
        <v>0.4</v>
      </c>
      <c r="L43">
        <v>0.4</v>
      </c>
      <c r="M43">
        <v>0.4</v>
      </c>
      <c r="N43">
        <v>0.4</v>
      </c>
      <c r="O43">
        <v>0.4</v>
      </c>
      <c r="P43">
        <v>0.4</v>
      </c>
      <c r="Q43">
        <v>0.4</v>
      </c>
    </row>
    <row r="44" spans="1:17">
      <c r="A44" t="str">
        <v>Amhara</v>
      </c>
      <c r="B44">
        <v>0.4</v>
      </c>
      <c r="C44">
        <v>0.4</v>
      </c>
      <c r="D44">
        <v>0.4</v>
      </c>
      <c r="E44">
        <v>0.4</v>
      </c>
      <c r="F44">
        <v>0.4</v>
      </c>
      <c r="G44">
        <v>0.4</v>
      </c>
      <c r="H44">
        <v>0.4</v>
      </c>
      <c r="I44">
        <v>0.4</v>
      </c>
      <c r="J44">
        <v>0.4</v>
      </c>
      <c r="K44">
        <v>0.4</v>
      </c>
      <c r="L44">
        <v>0.4</v>
      </c>
      <c r="M44">
        <v>0.4</v>
      </c>
      <c r="N44">
        <v>0.4</v>
      </c>
      <c r="O44">
        <v>0.4</v>
      </c>
      <c r="P44">
        <v>0.4</v>
      </c>
      <c r="Q44">
        <v>0.4</v>
      </c>
    </row>
    <row r="45" spans="1:17">
      <c r="A45" t="str">
        <v>Gumuz</v>
      </c>
      <c r="B45">
        <v>0.4</v>
      </c>
      <c r="C45">
        <v>0.4</v>
      </c>
      <c r="D45">
        <v>0.4</v>
      </c>
      <c r="E45">
        <v>0.4</v>
      </c>
      <c r="F45">
        <v>0.4</v>
      </c>
      <c r="G45">
        <v>0.4</v>
      </c>
      <c r="H45">
        <v>0.4</v>
      </c>
      <c r="I45">
        <v>0.4</v>
      </c>
      <c r="J45">
        <v>0.4</v>
      </c>
      <c r="K45">
        <v>0.4</v>
      </c>
      <c r="L45">
        <v>0.4</v>
      </c>
      <c r="M45">
        <v>0.4</v>
      </c>
      <c r="N45">
        <v>0.4</v>
      </c>
      <c r="O45">
        <v>0.4</v>
      </c>
      <c r="P45">
        <v>0.4</v>
      </c>
      <c r="Q45">
        <v>0.4</v>
      </c>
    </row>
    <row r="46" spans="1:17">
      <c r="A46" t="str">
        <v>DireDawa</v>
      </c>
      <c r="B46">
        <v>0.4</v>
      </c>
      <c r="C46">
        <v>0.4</v>
      </c>
      <c r="D46">
        <v>0.4</v>
      </c>
      <c r="E46">
        <v>0.4</v>
      </c>
      <c r="F46">
        <v>0.4</v>
      </c>
      <c r="G46">
        <v>0.4</v>
      </c>
      <c r="H46">
        <v>0.4</v>
      </c>
      <c r="I46">
        <v>0.4</v>
      </c>
      <c r="J46">
        <v>0.4</v>
      </c>
      <c r="K46">
        <v>0.4</v>
      </c>
      <c r="L46">
        <v>0.4</v>
      </c>
      <c r="M46">
        <v>0.4</v>
      </c>
      <c r="N46">
        <v>0.4</v>
      </c>
      <c r="O46">
        <v>0.4</v>
      </c>
      <c r="P46">
        <v>0.4</v>
      </c>
      <c r="Q46">
        <v>0.4</v>
      </c>
    </row>
    <row r="47" spans="1:17">
      <c r="A47" t="str">
        <v>Gambela</v>
      </c>
      <c r="B47">
        <v>0.4</v>
      </c>
      <c r="C47">
        <v>0.4</v>
      </c>
      <c r="D47">
        <v>0.4</v>
      </c>
      <c r="E47">
        <v>0.4</v>
      </c>
      <c r="F47">
        <v>0.4</v>
      </c>
      <c r="G47">
        <v>0.4</v>
      </c>
      <c r="H47">
        <v>0.4</v>
      </c>
      <c r="I47">
        <v>0.4</v>
      </c>
      <c r="J47">
        <v>0.4</v>
      </c>
      <c r="K47">
        <v>0.4</v>
      </c>
      <c r="L47">
        <v>0.4</v>
      </c>
      <c r="M47">
        <v>0.4</v>
      </c>
      <c r="N47">
        <v>0.4</v>
      </c>
      <c r="O47">
        <v>0.4</v>
      </c>
      <c r="P47">
        <v>0.4</v>
      </c>
      <c r="Q47">
        <v>0.4</v>
      </c>
    </row>
    <row r="48" spans="1:17">
      <c r="A48" t="str">
        <v>Harari</v>
      </c>
      <c r="B48">
        <v>0.4</v>
      </c>
      <c r="C48">
        <v>0.4</v>
      </c>
      <c r="D48">
        <v>0.4</v>
      </c>
      <c r="E48">
        <v>0.4</v>
      </c>
      <c r="F48">
        <v>0.4</v>
      </c>
      <c r="G48">
        <v>0.4</v>
      </c>
      <c r="H48">
        <v>0.4</v>
      </c>
      <c r="I48">
        <v>0.4</v>
      </c>
      <c r="J48">
        <v>0.4</v>
      </c>
      <c r="K48">
        <v>0.4</v>
      </c>
      <c r="L48">
        <v>0.4</v>
      </c>
      <c r="M48">
        <v>0.4</v>
      </c>
      <c r="N48">
        <v>0.4</v>
      </c>
      <c r="O48">
        <v>0.4</v>
      </c>
      <c r="P48">
        <v>0.4</v>
      </c>
      <c r="Q48">
        <v>0.4</v>
      </c>
    </row>
    <row r="49" spans="1:17">
      <c r="A49" t="str">
        <v>Oromia</v>
      </c>
      <c r="B49">
        <v>0.4</v>
      </c>
      <c r="C49">
        <v>0.4</v>
      </c>
      <c r="D49">
        <v>0.4</v>
      </c>
      <c r="E49">
        <v>0.4</v>
      </c>
      <c r="F49">
        <v>0.4</v>
      </c>
      <c r="G49">
        <v>0.4</v>
      </c>
      <c r="H49">
        <v>0.4</v>
      </c>
      <c r="I49">
        <v>0.4</v>
      </c>
      <c r="J49">
        <v>0.4</v>
      </c>
      <c r="K49">
        <v>0.4</v>
      </c>
      <c r="L49">
        <v>0.4</v>
      </c>
      <c r="M49">
        <v>0.4</v>
      </c>
      <c r="N49">
        <v>0.4</v>
      </c>
      <c r="O49">
        <v>0.4</v>
      </c>
      <c r="P49">
        <v>0.4</v>
      </c>
      <c r="Q49">
        <v>0.4</v>
      </c>
    </row>
    <row r="50" spans="1:17">
      <c r="A50" t="str">
        <v>Somali</v>
      </c>
      <c r="B50">
        <v>0.4</v>
      </c>
      <c r="C50">
        <v>0.4</v>
      </c>
      <c r="D50">
        <v>0.4</v>
      </c>
      <c r="E50">
        <v>0.4</v>
      </c>
      <c r="F50">
        <v>0.4</v>
      </c>
      <c r="G50">
        <v>0.4</v>
      </c>
      <c r="H50">
        <v>0.4</v>
      </c>
      <c r="I50">
        <v>0.4</v>
      </c>
      <c r="J50">
        <v>0.4</v>
      </c>
      <c r="K50">
        <v>0.4</v>
      </c>
      <c r="L50">
        <v>0.4</v>
      </c>
      <c r="M50">
        <v>0.4</v>
      </c>
      <c r="N50">
        <v>0.4</v>
      </c>
      <c r="O50">
        <v>0.4</v>
      </c>
      <c r="P50">
        <v>0.4</v>
      </c>
      <c r="Q50">
        <v>0.4</v>
      </c>
    </row>
    <row r="51" spans="1:17">
      <c r="A51" t="str">
        <v>SNNPR</v>
      </c>
      <c r="B51">
        <v>0.4</v>
      </c>
      <c r="C51">
        <v>0.4</v>
      </c>
      <c r="D51">
        <v>0.4</v>
      </c>
      <c r="E51">
        <v>0.4</v>
      </c>
      <c r="F51">
        <v>0.4</v>
      </c>
      <c r="G51">
        <v>0.4</v>
      </c>
      <c r="H51">
        <v>0.4</v>
      </c>
      <c r="I51">
        <v>0.4</v>
      </c>
      <c r="J51">
        <v>0.4</v>
      </c>
      <c r="K51">
        <v>0.4</v>
      </c>
      <c r="L51">
        <v>0.4</v>
      </c>
      <c r="M51">
        <v>0.4</v>
      </c>
      <c r="N51">
        <v>0.4</v>
      </c>
      <c r="O51">
        <v>0.4</v>
      </c>
      <c r="P51">
        <v>0.4</v>
      </c>
      <c r="Q51">
        <v>0.4</v>
      </c>
    </row>
    <row r="52" spans="1:17">
      <c r="A52" t="str">
        <v>Tigray</v>
      </c>
      <c r="B52">
        <v>0.4</v>
      </c>
      <c r="C52">
        <v>0.4</v>
      </c>
      <c r="D52">
        <v>0.4</v>
      </c>
      <c r="E52">
        <v>0.4</v>
      </c>
      <c r="F52">
        <v>0.4</v>
      </c>
      <c r="G52">
        <v>0.4</v>
      </c>
      <c r="H52">
        <v>0.4</v>
      </c>
      <c r="I52">
        <v>0.4</v>
      </c>
      <c r="J52">
        <v>0.4</v>
      </c>
      <c r="K52">
        <v>0.4</v>
      </c>
      <c r="L52">
        <v>0.4</v>
      </c>
      <c r="M52">
        <v>0.4</v>
      </c>
      <c r="N52">
        <v>0.4</v>
      </c>
      <c r="O52">
        <v>0.4</v>
      </c>
      <c r="P52">
        <v>0.4</v>
      </c>
      <c r="Q52">
        <v>0.4</v>
      </c>
    </row>
    <row r="61" spans="1:17">
      <c r="B61">
        <f t="array" ref="B61:Q61">TRANSPOSE(Years)</f>
        <v>2015</v>
      </c>
      <c r="C61">
        <v>2016</v>
      </c>
      <c r="D61">
        <v>2017</v>
      </c>
      <c r="E61">
        <v>2018</v>
      </c>
      <c r="F61">
        <v>2019</v>
      </c>
      <c r="G61">
        <v>2020</v>
      </c>
      <c r="H61">
        <v>2021</v>
      </c>
      <c r="I61">
        <v>2022</v>
      </c>
      <c r="J61">
        <v>2023</v>
      </c>
      <c r="K61">
        <v>2024</v>
      </c>
      <c r="L61">
        <v>2025</v>
      </c>
      <c r="M61">
        <v>2026</v>
      </c>
      <c r="N61">
        <v>2027</v>
      </c>
      <c r="O61">
        <v>2028</v>
      </c>
      <c r="P61">
        <v>2029</v>
      </c>
      <c r="Q61">
        <v>2030</v>
      </c>
    </row>
    <row r="62" spans="1:17">
      <c r="A62" t="str">
        <f t="array" ref="A62:A72">Nodes</f>
        <v>AddisAbaba</v>
      </c>
      <c r="B62">
        <v>0.1</v>
      </c>
      <c r="C62">
        <v>0.1</v>
      </c>
      <c r="D62">
        <v>0.1</v>
      </c>
      <c r="E62">
        <v>0.1</v>
      </c>
      <c r="F62">
        <v>0.1</v>
      </c>
      <c r="G62">
        <v>0.1</v>
      </c>
      <c r="H62">
        <v>0.1</v>
      </c>
      <c r="I62">
        <v>0.1</v>
      </c>
      <c r="J62">
        <v>0.1</v>
      </c>
      <c r="K62">
        <v>0.1</v>
      </c>
      <c r="L62">
        <v>0.1</v>
      </c>
      <c r="M62">
        <v>0.1</v>
      </c>
      <c r="N62">
        <v>0.1</v>
      </c>
      <c r="O62">
        <v>0.1</v>
      </c>
      <c r="P62">
        <v>0.1</v>
      </c>
      <c r="Q62">
        <v>0.1</v>
      </c>
    </row>
    <row r="63" spans="1:17">
      <c r="A63" t="str">
        <v>Afar</v>
      </c>
      <c r="B63">
        <v>0.1</v>
      </c>
      <c r="C63">
        <v>0.1</v>
      </c>
      <c r="D63">
        <v>0.1</v>
      </c>
      <c r="E63">
        <v>0.1</v>
      </c>
      <c r="F63">
        <v>0.1</v>
      </c>
      <c r="G63">
        <v>0.1</v>
      </c>
      <c r="H63">
        <v>0.1</v>
      </c>
      <c r="I63">
        <v>0.1</v>
      </c>
      <c r="J63">
        <v>0.1</v>
      </c>
      <c r="K63">
        <v>0.1</v>
      </c>
      <c r="L63">
        <v>0.1</v>
      </c>
      <c r="M63">
        <v>0.1</v>
      </c>
      <c r="N63">
        <v>0.1</v>
      </c>
      <c r="O63">
        <v>0.1</v>
      </c>
      <c r="P63">
        <v>0.1</v>
      </c>
      <c r="Q63">
        <v>0.1</v>
      </c>
    </row>
    <row r="64" spans="1:17">
      <c r="A64" t="str">
        <v>Amhara</v>
      </c>
      <c r="B64">
        <v>0.1</v>
      </c>
      <c r="C64">
        <v>0.1</v>
      </c>
      <c r="D64">
        <v>0.1</v>
      </c>
      <c r="E64">
        <v>0.1</v>
      </c>
      <c r="F64">
        <v>0.1</v>
      </c>
      <c r="G64">
        <v>0.1</v>
      </c>
      <c r="H64">
        <v>0.1</v>
      </c>
      <c r="I64">
        <v>0.1</v>
      </c>
      <c r="J64">
        <v>0.1</v>
      </c>
      <c r="K64">
        <v>0.1</v>
      </c>
      <c r="L64">
        <v>0.1</v>
      </c>
      <c r="M64">
        <v>0.1</v>
      </c>
      <c r="N64">
        <v>0.1</v>
      </c>
      <c r="O64">
        <v>0.1</v>
      </c>
      <c r="P64">
        <v>0.1</v>
      </c>
      <c r="Q64">
        <v>0.1</v>
      </c>
    </row>
    <row r="65" spans="1:17">
      <c r="A65" t="str">
        <v>Gumuz</v>
      </c>
      <c r="B65">
        <v>0.1</v>
      </c>
      <c r="C65">
        <v>0.1</v>
      </c>
      <c r="D65">
        <v>0.1</v>
      </c>
      <c r="E65">
        <v>0.1</v>
      </c>
      <c r="F65">
        <v>0.1</v>
      </c>
      <c r="G65">
        <v>0.1</v>
      </c>
      <c r="H65">
        <v>0.1</v>
      </c>
      <c r="I65">
        <v>0.1</v>
      </c>
      <c r="J65">
        <v>0.1</v>
      </c>
      <c r="K65">
        <v>0.1</v>
      </c>
      <c r="L65">
        <v>0.1</v>
      </c>
      <c r="M65">
        <v>0.1</v>
      </c>
      <c r="N65">
        <v>0.1</v>
      </c>
      <c r="O65">
        <v>0.1</v>
      </c>
      <c r="P65">
        <v>0.1</v>
      </c>
      <c r="Q65">
        <v>0.1</v>
      </c>
    </row>
    <row r="66" spans="1:17">
      <c r="A66" t="str">
        <v>DireDawa</v>
      </c>
      <c r="B66">
        <v>0.1</v>
      </c>
      <c r="C66">
        <v>0.1</v>
      </c>
      <c r="D66">
        <v>0.1</v>
      </c>
      <c r="E66">
        <v>0.1</v>
      </c>
      <c r="F66">
        <v>0.1</v>
      </c>
      <c r="G66">
        <v>0.1</v>
      </c>
      <c r="H66">
        <v>0.1</v>
      </c>
      <c r="I66">
        <v>0.1</v>
      </c>
      <c r="J66">
        <v>0.1</v>
      </c>
      <c r="K66">
        <v>0.1</v>
      </c>
      <c r="L66">
        <v>0.1</v>
      </c>
      <c r="M66">
        <v>0.1</v>
      </c>
      <c r="N66">
        <v>0.1</v>
      </c>
      <c r="O66">
        <v>0.1</v>
      </c>
      <c r="P66">
        <v>0.1</v>
      </c>
      <c r="Q66">
        <v>0.1</v>
      </c>
    </row>
    <row r="67" spans="1:17">
      <c r="A67" t="str">
        <v>Gambela</v>
      </c>
      <c r="B67">
        <v>0.1</v>
      </c>
      <c r="C67">
        <v>0.1</v>
      </c>
      <c r="D67">
        <v>0.1</v>
      </c>
      <c r="E67">
        <v>0.1</v>
      </c>
      <c r="F67">
        <v>0.1</v>
      </c>
      <c r="G67">
        <v>0.1</v>
      </c>
      <c r="H67">
        <v>0.1</v>
      </c>
      <c r="I67">
        <v>0.1</v>
      </c>
      <c r="J67">
        <v>0.1</v>
      </c>
      <c r="K67">
        <v>0.1</v>
      </c>
      <c r="L67">
        <v>0.1</v>
      </c>
      <c r="M67">
        <v>0.1</v>
      </c>
      <c r="N67">
        <v>0.1</v>
      </c>
      <c r="O67">
        <v>0.1</v>
      </c>
      <c r="P67">
        <v>0.1</v>
      </c>
      <c r="Q67">
        <v>0.1</v>
      </c>
    </row>
    <row r="68" spans="1:17">
      <c r="A68" t="str">
        <v>Harari</v>
      </c>
      <c r="B68">
        <v>0.1</v>
      </c>
      <c r="C68">
        <v>0.1</v>
      </c>
      <c r="D68">
        <v>0.1</v>
      </c>
      <c r="E68">
        <v>0.1</v>
      </c>
      <c r="F68">
        <v>0.1</v>
      </c>
      <c r="G68">
        <v>0.1</v>
      </c>
      <c r="H68">
        <v>0.1</v>
      </c>
      <c r="I68">
        <v>0.1</v>
      </c>
      <c r="J68">
        <v>0.1</v>
      </c>
      <c r="K68">
        <v>0.1</v>
      </c>
      <c r="L68">
        <v>0.1</v>
      </c>
      <c r="M68">
        <v>0.1</v>
      </c>
      <c r="N68">
        <v>0.1</v>
      </c>
      <c r="O68">
        <v>0.1</v>
      </c>
      <c r="P68">
        <v>0.1</v>
      </c>
      <c r="Q68">
        <v>0.1</v>
      </c>
    </row>
    <row r="69" spans="1:17">
      <c r="A69" t="str">
        <v>Oromia</v>
      </c>
      <c r="B69">
        <v>0.1</v>
      </c>
      <c r="C69">
        <v>0.1</v>
      </c>
      <c r="D69">
        <v>0.1</v>
      </c>
      <c r="E69">
        <v>0.1</v>
      </c>
      <c r="F69">
        <v>0.1</v>
      </c>
      <c r="G69">
        <v>0.1</v>
      </c>
      <c r="H69">
        <v>0.1</v>
      </c>
      <c r="I69">
        <v>0.1</v>
      </c>
      <c r="J69">
        <v>0.1</v>
      </c>
      <c r="K69">
        <v>0.1</v>
      </c>
      <c r="L69">
        <v>0.1</v>
      </c>
      <c r="M69">
        <v>0.1</v>
      </c>
      <c r="N69">
        <v>0.1</v>
      </c>
      <c r="O69">
        <v>0.1</v>
      </c>
      <c r="P69">
        <v>0.1</v>
      </c>
      <c r="Q69">
        <v>0.1</v>
      </c>
    </row>
    <row r="70" spans="1:17">
      <c r="A70" t="str">
        <v>Somali</v>
      </c>
      <c r="B70">
        <v>0.1</v>
      </c>
      <c r="C70">
        <v>0.1</v>
      </c>
      <c r="D70">
        <v>0.1</v>
      </c>
      <c r="E70">
        <v>0.1</v>
      </c>
      <c r="F70">
        <v>0.1</v>
      </c>
      <c r="G70">
        <v>0.1</v>
      </c>
      <c r="H70">
        <v>0.1</v>
      </c>
      <c r="I70">
        <v>0.1</v>
      </c>
      <c r="J70">
        <v>0.1</v>
      </c>
      <c r="K70">
        <v>0.1</v>
      </c>
      <c r="L70">
        <v>0.1</v>
      </c>
      <c r="M70">
        <v>0.1</v>
      </c>
      <c r="N70">
        <v>0.1</v>
      </c>
      <c r="O70">
        <v>0.1</v>
      </c>
      <c r="P70">
        <v>0.1</v>
      </c>
      <c r="Q70">
        <v>0.1</v>
      </c>
    </row>
    <row r="71" spans="1:17">
      <c r="A71" t="str">
        <v>SNNPR</v>
      </c>
      <c r="B71">
        <v>0.1</v>
      </c>
      <c r="C71">
        <v>0.1</v>
      </c>
      <c r="D71">
        <v>0.1</v>
      </c>
      <c r="E71">
        <v>0.1</v>
      </c>
      <c r="F71">
        <v>0.1</v>
      </c>
      <c r="G71">
        <v>0.1</v>
      </c>
      <c r="H71">
        <v>0.1</v>
      </c>
      <c r="I71">
        <v>0.1</v>
      </c>
      <c r="J71">
        <v>0.1</v>
      </c>
      <c r="K71">
        <v>0.1</v>
      </c>
      <c r="L71">
        <v>0.1</v>
      </c>
      <c r="M71">
        <v>0.1</v>
      </c>
      <c r="N71">
        <v>0.1</v>
      </c>
      <c r="O71">
        <v>0.1</v>
      </c>
      <c r="P71">
        <v>0.1</v>
      </c>
      <c r="Q71">
        <v>0.1</v>
      </c>
    </row>
    <row r="72" spans="1:17">
      <c r="A72" t="str">
        <v>Tigray</v>
      </c>
      <c r="B72">
        <v>0.1</v>
      </c>
      <c r="C72">
        <v>0.1</v>
      </c>
      <c r="D72">
        <v>0.1</v>
      </c>
      <c r="E72">
        <v>0.1</v>
      </c>
      <c r="F72">
        <v>0.1</v>
      </c>
      <c r="G72">
        <v>0.1</v>
      </c>
      <c r="H72">
        <v>0.1</v>
      </c>
      <c r="I72">
        <v>0.1</v>
      </c>
      <c r="J72">
        <v>0.1</v>
      </c>
      <c r="K72">
        <v>0.1</v>
      </c>
      <c r="L72">
        <v>0.1</v>
      </c>
      <c r="M72">
        <v>0.1</v>
      </c>
      <c r="N72">
        <v>0.1</v>
      </c>
      <c r="O72">
        <v>0.1</v>
      </c>
      <c r="P72">
        <v>0.1</v>
      </c>
      <c r="Q72">
        <v>0.1</v>
      </c>
    </row>
    <row r="81" spans="1:17">
      <c r="B81">
        <f t="array" ref="B81:Q81">TRANSPOSE(Years)</f>
        <v>2015</v>
      </c>
      <c r="C81">
        <v>2016</v>
      </c>
      <c r="D81">
        <v>2017</v>
      </c>
      <c r="E81">
        <v>2018</v>
      </c>
      <c r="F81">
        <v>2019</v>
      </c>
      <c r="G81">
        <v>2020</v>
      </c>
      <c r="H81">
        <v>2021</v>
      </c>
      <c r="I81">
        <v>2022</v>
      </c>
      <c r="J81">
        <v>2023</v>
      </c>
      <c r="K81">
        <v>2024</v>
      </c>
      <c r="L81">
        <v>2025</v>
      </c>
      <c r="M81">
        <v>2026</v>
      </c>
      <c r="N81">
        <v>2027</v>
      </c>
      <c r="O81">
        <v>2028</v>
      </c>
      <c r="P81">
        <v>2029</v>
      </c>
      <c r="Q81">
        <v>2030</v>
      </c>
    </row>
    <row r="82" spans="1:17">
      <c r="A82" t="str">
        <f t="array" ref="A82:A92">Nodes</f>
        <v>AddisAbaba</v>
      </c>
      <c r="B82">
        <v>20</v>
      </c>
      <c r="C82">
        <v>20</v>
      </c>
      <c r="D82">
        <v>20</v>
      </c>
      <c r="E82">
        <v>20</v>
      </c>
      <c r="F82">
        <v>20</v>
      </c>
      <c r="G82">
        <v>20</v>
      </c>
      <c r="H82">
        <v>20</v>
      </c>
      <c r="I82">
        <v>20</v>
      </c>
      <c r="J82">
        <v>20</v>
      </c>
      <c r="K82">
        <v>20</v>
      </c>
      <c r="L82">
        <v>20</v>
      </c>
      <c r="M82">
        <v>20</v>
      </c>
      <c r="N82">
        <v>20</v>
      </c>
      <c r="O82">
        <v>20</v>
      </c>
      <c r="P82">
        <v>20</v>
      </c>
      <c r="Q82">
        <v>20</v>
      </c>
    </row>
    <row r="83" spans="1:17">
      <c r="A83" t="str">
        <v>Afar</v>
      </c>
      <c r="B83">
        <v>20</v>
      </c>
      <c r="C83">
        <v>20</v>
      </c>
      <c r="D83">
        <v>20</v>
      </c>
      <c r="E83">
        <v>20</v>
      </c>
      <c r="F83">
        <v>20</v>
      </c>
      <c r="G83">
        <v>20</v>
      </c>
      <c r="H83">
        <v>20</v>
      </c>
      <c r="I83">
        <v>20</v>
      </c>
      <c r="J83">
        <v>20</v>
      </c>
      <c r="K83">
        <v>20</v>
      </c>
      <c r="L83">
        <v>20</v>
      </c>
      <c r="M83">
        <v>20</v>
      </c>
      <c r="N83">
        <v>20</v>
      </c>
      <c r="O83">
        <v>20</v>
      </c>
      <c r="P83">
        <v>20</v>
      </c>
      <c r="Q83">
        <v>20</v>
      </c>
    </row>
    <row r="84" spans="1:17">
      <c r="A84" t="str">
        <v>Amhara</v>
      </c>
      <c r="B84">
        <v>20</v>
      </c>
      <c r="C84">
        <v>20</v>
      </c>
      <c r="D84">
        <v>20</v>
      </c>
      <c r="E84">
        <v>20</v>
      </c>
      <c r="F84">
        <v>20</v>
      </c>
      <c r="G84">
        <v>20</v>
      </c>
      <c r="H84">
        <v>20</v>
      </c>
      <c r="I84">
        <v>20</v>
      </c>
      <c r="J84">
        <v>20</v>
      </c>
      <c r="K84">
        <v>20</v>
      </c>
      <c r="L84">
        <v>20</v>
      </c>
      <c r="M84">
        <v>20</v>
      </c>
      <c r="N84">
        <v>20</v>
      </c>
      <c r="O84">
        <v>20</v>
      </c>
      <c r="P84">
        <v>20</v>
      </c>
      <c r="Q84">
        <v>20</v>
      </c>
    </row>
    <row r="85" spans="1:17">
      <c r="A85" t="str">
        <v>Gumuz</v>
      </c>
      <c r="B85">
        <v>20</v>
      </c>
      <c r="C85">
        <v>20</v>
      </c>
      <c r="D85">
        <v>20</v>
      </c>
      <c r="E85">
        <v>20</v>
      </c>
      <c r="F85">
        <v>20</v>
      </c>
      <c r="G85">
        <v>20</v>
      </c>
      <c r="H85">
        <v>20</v>
      </c>
      <c r="I85">
        <v>20</v>
      </c>
      <c r="J85">
        <v>20</v>
      </c>
      <c r="K85">
        <v>20</v>
      </c>
      <c r="L85">
        <v>20</v>
      </c>
      <c r="M85">
        <v>20</v>
      </c>
      <c r="N85">
        <v>20</v>
      </c>
      <c r="O85">
        <v>20</v>
      </c>
      <c r="P85">
        <v>20</v>
      </c>
      <c r="Q85">
        <v>20</v>
      </c>
    </row>
    <row r="86" spans="1:17">
      <c r="A86" t="str">
        <v>DireDawa</v>
      </c>
      <c r="B86">
        <v>20</v>
      </c>
      <c r="C86">
        <v>20</v>
      </c>
      <c r="D86">
        <v>20</v>
      </c>
      <c r="E86">
        <v>20</v>
      </c>
      <c r="F86">
        <v>20</v>
      </c>
      <c r="G86">
        <v>20</v>
      </c>
      <c r="H86">
        <v>20</v>
      </c>
      <c r="I86">
        <v>20</v>
      </c>
      <c r="J86">
        <v>20</v>
      </c>
      <c r="K86">
        <v>20</v>
      </c>
      <c r="L86">
        <v>20</v>
      </c>
      <c r="M86">
        <v>20</v>
      </c>
      <c r="N86">
        <v>20</v>
      </c>
      <c r="O86">
        <v>20</v>
      </c>
      <c r="P86">
        <v>20</v>
      </c>
      <c r="Q86">
        <v>20</v>
      </c>
    </row>
    <row r="87" spans="1:17">
      <c r="A87" t="str">
        <v>Gambela</v>
      </c>
      <c r="B87">
        <v>20</v>
      </c>
      <c r="C87">
        <v>20</v>
      </c>
      <c r="D87">
        <v>20</v>
      </c>
      <c r="E87">
        <v>20</v>
      </c>
      <c r="F87">
        <v>20</v>
      </c>
      <c r="G87">
        <v>20</v>
      </c>
      <c r="H87">
        <v>20</v>
      </c>
      <c r="I87">
        <v>20</v>
      </c>
      <c r="J87">
        <v>20</v>
      </c>
      <c r="K87">
        <v>20</v>
      </c>
      <c r="L87">
        <v>20</v>
      </c>
      <c r="M87">
        <v>20</v>
      </c>
      <c r="N87">
        <v>20</v>
      </c>
      <c r="O87">
        <v>20</v>
      </c>
      <c r="P87">
        <v>20</v>
      </c>
      <c r="Q87">
        <v>20</v>
      </c>
    </row>
    <row r="88" spans="1:17">
      <c r="A88" t="str">
        <v>Harari</v>
      </c>
      <c r="B88">
        <v>20</v>
      </c>
      <c r="C88">
        <v>20</v>
      </c>
      <c r="D88">
        <v>20</v>
      </c>
      <c r="E88">
        <v>20</v>
      </c>
      <c r="F88">
        <v>20</v>
      </c>
      <c r="G88">
        <v>20</v>
      </c>
      <c r="H88">
        <v>20</v>
      </c>
      <c r="I88">
        <v>20</v>
      </c>
      <c r="J88">
        <v>20</v>
      </c>
      <c r="K88">
        <v>20</v>
      </c>
      <c r="L88">
        <v>20</v>
      </c>
      <c r="M88">
        <v>20</v>
      </c>
      <c r="N88">
        <v>20</v>
      </c>
      <c r="O88">
        <v>20</v>
      </c>
      <c r="P88">
        <v>20</v>
      </c>
      <c r="Q88">
        <v>20</v>
      </c>
    </row>
    <row r="89" spans="1:17">
      <c r="A89" t="str">
        <v>Oromia</v>
      </c>
      <c r="B89">
        <v>20</v>
      </c>
      <c r="C89">
        <v>20</v>
      </c>
      <c r="D89">
        <v>20</v>
      </c>
      <c r="E89">
        <v>20</v>
      </c>
      <c r="F89">
        <v>20</v>
      </c>
      <c r="G89">
        <v>20</v>
      </c>
      <c r="H89">
        <v>20</v>
      </c>
      <c r="I89">
        <v>20</v>
      </c>
      <c r="J89">
        <v>20</v>
      </c>
      <c r="K89">
        <v>20</v>
      </c>
      <c r="L89">
        <v>20</v>
      </c>
      <c r="M89">
        <v>20</v>
      </c>
      <c r="N89">
        <v>20</v>
      </c>
      <c r="O89">
        <v>20</v>
      </c>
      <c r="P89">
        <v>20</v>
      </c>
      <c r="Q89">
        <v>20</v>
      </c>
    </row>
    <row r="90" spans="1:17">
      <c r="A90" t="str">
        <v>Somali</v>
      </c>
      <c r="B90">
        <v>20</v>
      </c>
      <c r="C90">
        <v>20</v>
      </c>
      <c r="D90">
        <v>20</v>
      </c>
      <c r="E90">
        <v>20</v>
      </c>
      <c r="F90">
        <v>20</v>
      </c>
      <c r="G90">
        <v>20</v>
      </c>
      <c r="H90">
        <v>20</v>
      </c>
      <c r="I90">
        <v>20</v>
      </c>
      <c r="J90">
        <v>20</v>
      </c>
      <c r="K90">
        <v>20</v>
      </c>
      <c r="L90">
        <v>20</v>
      </c>
      <c r="M90">
        <v>20</v>
      </c>
      <c r="N90">
        <v>20</v>
      </c>
      <c r="O90">
        <v>20</v>
      </c>
      <c r="P90">
        <v>20</v>
      </c>
      <c r="Q90">
        <v>20</v>
      </c>
    </row>
    <row r="91" spans="1:17">
      <c r="A91" t="str">
        <v>SNNPR</v>
      </c>
      <c r="B91">
        <v>20</v>
      </c>
      <c r="C91">
        <v>20</v>
      </c>
      <c r="D91">
        <v>20</v>
      </c>
      <c r="E91">
        <v>20</v>
      </c>
      <c r="F91">
        <v>20</v>
      </c>
      <c r="G91">
        <v>20</v>
      </c>
      <c r="H91">
        <v>20</v>
      </c>
      <c r="I91">
        <v>20</v>
      </c>
      <c r="J91">
        <v>20</v>
      </c>
      <c r="K91">
        <v>20</v>
      </c>
      <c r="L91">
        <v>20</v>
      </c>
      <c r="M91">
        <v>20</v>
      </c>
      <c r="N91">
        <v>20</v>
      </c>
      <c r="O91">
        <v>20</v>
      </c>
      <c r="P91">
        <v>20</v>
      </c>
      <c r="Q91">
        <v>20</v>
      </c>
    </row>
    <row r="92" spans="1:17">
      <c r="A92" t="str">
        <v>Tigray</v>
      </c>
      <c r="B92">
        <v>20</v>
      </c>
      <c r="C92">
        <v>20</v>
      </c>
      <c r="D92">
        <v>20</v>
      </c>
      <c r="E92">
        <v>20</v>
      </c>
      <c r="F92">
        <v>20</v>
      </c>
      <c r="G92">
        <v>20</v>
      </c>
      <c r="H92">
        <v>20</v>
      </c>
      <c r="I92">
        <v>20</v>
      </c>
      <c r="J92">
        <v>20</v>
      </c>
      <c r="K92">
        <v>20</v>
      </c>
      <c r="L92">
        <v>20</v>
      </c>
      <c r="M92">
        <v>20</v>
      </c>
      <c r="N92">
        <v>20</v>
      </c>
      <c r="O92">
        <v>20</v>
      </c>
      <c r="P92">
        <v>20</v>
      </c>
      <c r="Q92">
        <v>20</v>
      </c>
    </row>
    <row r="101" spans="1:12">
      <c r="B101" t="s">
        <v>5</v>
      </c>
      <c r="C101" t="s">
        <v>6</v>
      </c>
      <c r="D101" t="s">
        <v>7</v>
      </c>
      <c r="E101" t="s">
        <v>8</v>
      </c>
      <c r="F101" t="s">
        <v>9</v>
      </c>
      <c r="G101" t="s">
        <v>10</v>
      </c>
      <c r="H101" t="s">
        <v>11</v>
      </c>
      <c r="I101" t="s">
        <v>12</v>
      </c>
      <c r="J101" t="s">
        <v>13</v>
      </c>
      <c r="K101" t="s">
        <v>19</v>
      </c>
      <c r="L101" t="s">
        <v>14</v>
      </c>
    </row>
    <row r="102" spans="1:12">
      <c r="A102" t="s">
        <v>5</v>
      </c>
      <c r="B102">
        <v>0.1</v>
      </c>
      <c r="C102">
        <v>0.1</v>
      </c>
      <c r="D102">
        <v>0.1</v>
      </c>
      <c r="E102">
        <v>0.1</v>
      </c>
      <c r="F102">
        <v>0.1</v>
      </c>
      <c r="G102">
        <v>0.1</v>
      </c>
      <c r="H102">
        <v>0.1</v>
      </c>
      <c r="I102">
        <v>0.1</v>
      </c>
      <c r="J102">
        <v>0.1</v>
      </c>
      <c r="K102">
        <v>0.1</v>
      </c>
      <c r="L102">
        <v>0.1</v>
      </c>
    </row>
    <row r="103" spans="1:12">
      <c r="A103" t="s">
        <v>6</v>
      </c>
      <c r="B103">
        <v>0.1</v>
      </c>
      <c r="C103">
        <v>0.1</v>
      </c>
      <c r="D103">
        <v>0.1</v>
      </c>
      <c r="E103">
        <v>0.1</v>
      </c>
      <c r="F103">
        <v>0.1</v>
      </c>
      <c r="G103">
        <v>0.1</v>
      </c>
      <c r="H103">
        <v>0.1</v>
      </c>
      <c r="I103">
        <v>0.1</v>
      </c>
      <c r="J103">
        <v>0.1</v>
      </c>
      <c r="K103">
        <v>0.1</v>
      </c>
      <c r="L103">
        <v>0.1</v>
      </c>
    </row>
    <row r="104" spans="1:12">
      <c r="A104" t="s">
        <v>7</v>
      </c>
      <c r="B104">
        <v>0.1</v>
      </c>
      <c r="C104">
        <v>0.1</v>
      </c>
      <c r="D104">
        <v>0.1</v>
      </c>
      <c r="E104">
        <v>0.1</v>
      </c>
      <c r="F104">
        <v>0.1</v>
      </c>
      <c r="G104">
        <v>0.1</v>
      </c>
      <c r="H104">
        <v>0.1</v>
      </c>
      <c r="I104">
        <v>0.1</v>
      </c>
      <c r="J104">
        <v>0.1</v>
      </c>
      <c r="K104">
        <v>0.1</v>
      </c>
      <c r="L104">
        <v>0.1</v>
      </c>
    </row>
    <row r="105" spans="1:12">
      <c r="A105" t="s">
        <v>8</v>
      </c>
      <c r="B105">
        <v>0.1</v>
      </c>
      <c r="C105">
        <v>0.1</v>
      </c>
      <c r="D105">
        <v>0.1</v>
      </c>
      <c r="E105">
        <v>0.1</v>
      </c>
      <c r="F105">
        <v>0.1</v>
      </c>
      <c r="G105">
        <v>0.1</v>
      </c>
      <c r="H105">
        <v>0.1</v>
      </c>
      <c r="I105">
        <v>0.1</v>
      </c>
      <c r="J105">
        <v>0.1</v>
      </c>
      <c r="K105">
        <v>0.1</v>
      </c>
      <c r="L105">
        <v>0.1</v>
      </c>
    </row>
    <row r="106" spans="1:12">
      <c r="A106" t="s">
        <v>9</v>
      </c>
      <c r="B106">
        <v>0.1</v>
      </c>
      <c r="C106">
        <v>0.1</v>
      </c>
      <c r="D106">
        <v>0.1</v>
      </c>
      <c r="E106">
        <v>0.1</v>
      </c>
      <c r="F106">
        <v>0.1</v>
      </c>
      <c r="G106">
        <v>0.1</v>
      </c>
      <c r="H106">
        <v>0.1</v>
      </c>
      <c r="I106">
        <v>0.1</v>
      </c>
      <c r="J106">
        <v>0.1</v>
      </c>
      <c r="K106">
        <v>0.1</v>
      </c>
      <c r="L106">
        <v>0.1</v>
      </c>
    </row>
    <row r="107" spans="1:12">
      <c r="A107" t="s">
        <v>10</v>
      </c>
      <c r="B107">
        <v>0.1</v>
      </c>
      <c r="C107">
        <v>0.1</v>
      </c>
      <c r="D107">
        <v>0.1</v>
      </c>
      <c r="E107">
        <v>0.1</v>
      </c>
      <c r="F107">
        <v>0.1</v>
      </c>
      <c r="G107">
        <v>0.1</v>
      </c>
      <c r="H107">
        <v>0.1</v>
      </c>
      <c r="I107">
        <v>0.1</v>
      </c>
      <c r="J107">
        <v>0.1</v>
      </c>
      <c r="K107">
        <v>0.1</v>
      </c>
      <c r="L107">
        <v>0.1</v>
      </c>
    </row>
    <row r="108" spans="1:12">
      <c r="A108" t="s">
        <v>11</v>
      </c>
      <c r="B108">
        <v>0.1</v>
      </c>
      <c r="C108">
        <v>0.1</v>
      </c>
      <c r="D108">
        <v>0.1</v>
      </c>
      <c r="E108">
        <v>0.1</v>
      </c>
      <c r="F108">
        <v>0.1</v>
      </c>
      <c r="G108">
        <v>0.1</v>
      </c>
      <c r="H108">
        <v>0.1</v>
      </c>
      <c r="I108">
        <v>0.1</v>
      </c>
      <c r="J108">
        <v>0.1</v>
      </c>
      <c r="K108">
        <v>0.1</v>
      </c>
      <c r="L108">
        <v>0.1</v>
      </c>
    </row>
    <row r="109" spans="1:12">
      <c r="A109" t="s">
        <v>12</v>
      </c>
      <c r="B109">
        <v>0.1</v>
      </c>
      <c r="C109">
        <v>0.1</v>
      </c>
      <c r="D109">
        <v>0.1</v>
      </c>
      <c r="E109">
        <v>0.1</v>
      </c>
      <c r="F109">
        <v>0.1</v>
      </c>
      <c r="G109">
        <v>0.1</v>
      </c>
      <c r="H109">
        <v>0.1</v>
      </c>
      <c r="I109">
        <v>0.1</v>
      </c>
      <c r="J109">
        <v>0.1</v>
      </c>
      <c r="K109">
        <v>0.1</v>
      </c>
      <c r="L109">
        <v>0.1</v>
      </c>
    </row>
    <row r="110" spans="1:12">
      <c r="A110" t="s">
        <v>13</v>
      </c>
      <c r="B110">
        <v>0.1</v>
      </c>
      <c r="C110">
        <v>0.1</v>
      </c>
      <c r="D110">
        <v>0.1</v>
      </c>
      <c r="E110">
        <v>0.1</v>
      </c>
      <c r="F110">
        <v>0.1</v>
      </c>
      <c r="G110">
        <v>0.1</v>
      </c>
      <c r="H110">
        <v>0.1</v>
      </c>
      <c r="I110">
        <v>0.1</v>
      </c>
      <c r="J110">
        <v>0.1</v>
      </c>
      <c r="K110">
        <v>0.1</v>
      </c>
      <c r="L110">
        <v>0.1</v>
      </c>
    </row>
    <row r="111" spans="1:12">
      <c r="A111" t="s">
        <v>19</v>
      </c>
      <c r="B111">
        <v>0.1</v>
      </c>
      <c r="C111">
        <v>0.1</v>
      </c>
      <c r="D111">
        <v>0.1</v>
      </c>
      <c r="E111">
        <v>0.1</v>
      </c>
      <c r="F111">
        <v>0.1</v>
      </c>
      <c r="G111">
        <v>0.1</v>
      </c>
      <c r="H111">
        <v>0.1</v>
      </c>
      <c r="I111">
        <v>0.1</v>
      </c>
      <c r="J111">
        <v>0.1</v>
      </c>
      <c r="K111">
        <v>0.1</v>
      </c>
      <c r="L111">
        <v>0.1</v>
      </c>
    </row>
    <row r="112" spans="1:12">
      <c r="A112" t="s">
        <v>14</v>
      </c>
      <c r="B112">
        <v>0.1</v>
      </c>
      <c r="C112">
        <v>0.1</v>
      </c>
      <c r="D112">
        <v>0.1</v>
      </c>
      <c r="E112">
        <v>0.1</v>
      </c>
      <c r="F112">
        <v>0.1</v>
      </c>
      <c r="G112">
        <v>0.1</v>
      </c>
      <c r="H112">
        <v>0.1</v>
      </c>
      <c r="I112">
        <v>0.1</v>
      </c>
      <c r="J112">
        <v>0.1</v>
      </c>
      <c r="K112">
        <v>0.1</v>
      </c>
      <c r="L112">
        <v>0.1</v>
      </c>
    </row>
    <row r="121" spans="1:12">
      <c r="A121" t="str">
        <f t="array" ref="A121:A131">Nodes</f>
        <v>AddisAbaba</v>
      </c>
      <c r="B121">
        <v>20</v>
      </c>
      <c r="F121" t="str">
        <f t="array" ref="F121:F131">Nodes</f>
        <v>AddisAbaba</v>
      </c>
      <c r="G121">
        <f>B121-2</f>
        <v>18</v>
      </c>
      <c r="K121" t="str">
        <f t="array" ref="K121:K131">Nodes</f>
        <v>AddisAbaba</v>
      </c>
      <c r="L121">
        <v>0.3</v>
      </c>
    </row>
    <row r="122" spans="1:12">
      <c r="A122" t="str">
        <v>Afar</v>
      </c>
      <c r="B122">
        <f>B121+1</f>
        <v>21</v>
      </c>
      <c r="F122" t="str">
        <v>Afar</v>
      </c>
      <c r="G122">
        <f t="shared" ref="G122:G131" si="0">B122-2</f>
        <v>19</v>
      </c>
      <c r="K122" t="str">
        <v>Afar</v>
      </c>
      <c r="L122">
        <v>0.3</v>
      </c>
    </row>
    <row r="123" spans="1:12">
      <c r="A123" t="str">
        <v>Amhara</v>
      </c>
      <c r="B123">
        <f t="shared" ref="B123:B131" si="1">B122+1</f>
        <v>22</v>
      </c>
      <c r="F123" t="str">
        <v>Amhara</v>
      </c>
      <c r="G123">
        <f t="shared" si="0"/>
        <v>20</v>
      </c>
      <c r="K123" t="str">
        <v>Amhara</v>
      </c>
      <c r="L123">
        <v>0.3</v>
      </c>
    </row>
    <row r="124" spans="1:12">
      <c r="A124" t="str">
        <v>Gumuz</v>
      </c>
      <c r="B124">
        <f t="shared" si="1"/>
        <v>23</v>
      </c>
      <c r="F124" t="str">
        <v>Gumuz</v>
      </c>
      <c r="G124">
        <f t="shared" si="0"/>
        <v>21</v>
      </c>
      <c r="K124" t="str">
        <v>Gumuz</v>
      </c>
      <c r="L124">
        <v>0.3</v>
      </c>
    </row>
    <row r="125" spans="1:12">
      <c r="A125" t="str">
        <v>DireDawa</v>
      </c>
      <c r="B125">
        <f t="shared" si="1"/>
        <v>24</v>
      </c>
      <c r="F125" t="str">
        <v>DireDawa</v>
      </c>
      <c r="G125">
        <f t="shared" si="0"/>
        <v>22</v>
      </c>
      <c r="K125" t="str">
        <v>DireDawa</v>
      </c>
      <c r="L125">
        <v>0.3</v>
      </c>
    </row>
    <row r="126" spans="1:12">
      <c r="A126" t="str">
        <v>Gambela</v>
      </c>
      <c r="B126">
        <f t="shared" si="1"/>
        <v>25</v>
      </c>
      <c r="F126" t="str">
        <v>Gambela</v>
      </c>
      <c r="G126">
        <f t="shared" si="0"/>
        <v>23</v>
      </c>
      <c r="K126" t="str">
        <v>Gambela</v>
      </c>
      <c r="L126">
        <v>0.3</v>
      </c>
    </row>
    <row r="127" spans="1:12">
      <c r="A127" t="str">
        <v>Harari</v>
      </c>
      <c r="B127">
        <f t="shared" si="1"/>
        <v>26</v>
      </c>
      <c r="F127" t="str">
        <v>Harari</v>
      </c>
      <c r="G127">
        <f t="shared" si="0"/>
        <v>24</v>
      </c>
      <c r="K127" t="str">
        <v>Harari</v>
      </c>
      <c r="L127">
        <v>0.3</v>
      </c>
    </row>
    <row r="128" spans="1:12">
      <c r="A128" t="str">
        <v>Oromia</v>
      </c>
      <c r="B128">
        <f t="shared" si="1"/>
        <v>27</v>
      </c>
      <c r="F128" t="str">
        <v>Oromia</v>
      </c>
      <c r="G128">
        <f t="shared" si="0"/>
        <v>25</v>
      </c>
      <c r="K128" t="str">
        <v>Oromia</v>
      </c>
      <c r="L128">
        <v>0.3</v>
      </c>
    </row>
    <row r="129" spans="1:42">
      <c r="A129" t="str">
        <v>Somali</v>
      </c>
      <c r="B129">
        <f t="shared" si="1"/>
        <v>28</v>
      </c>
      <c r="F129" t="str">
        <v>Somali</v>
      </c>
      <c r="G129">
        <f t="shared" si="0"/>
        <v>26</v>
      </c>
      <c r="K129" t="str">
        <v>Somali</v>
      </c>
      <c r="L129">
        <v>0.3</v>
      </c>
    </row>
    <row r="130" spans="1:42">
      <c r="A130" t="str">
        <v>SNNPR</v>
      </c>
      <c r="B130">
        <f t="shared" si="1"/>
        <v>29</v>
      </c>
      <c r="F130" t="str">
        <v>SNNPR</v>
      </c>
      <c r="G130">
        <f t="shared" si="0"/>
        <v>27</v>
      </c>
      <c r="K130" t="str">
        <v>SNNPR</v>
      </c>
      <c r="L130">
        <v>0.3</v>
      </c>
    </row>
    <row r="131" spans="1:42">
      <c r="A131" t="str">
        <v>Tigray</v>
      </c>
      <c r="B131">
        <f t="shared" si="1"/>
        <v>30</v>
      </c>
      <c r="F131" t="str">
        <v>Tigray</v>
      </c>
      <c r="G131">
        <f t="shared" si="0"/>
        <v>28</v>
      </c>
      <c r="K131" t="str">
        <v>Tigray</v>
      </c>
      <c r="L131">
        <v>0.3</v>
      </c>
    </row>
    <row r="141" spans="1:42">
      <c r="B141">
        <f t="array" ref="B141:Q141">TRANSPOSE(Years)</f>
        <v>2015</v>
      </c>
      <c r="C141">
        <v>2016</v>
      </c>
      <c r="D141">
        <v>2017</v>
      </c>
      <c r="E141">
        <v>2018</v>
      </c>
      <c r="F141">
        <v>2019</v>
      </c>
      <c r="G141">
        <v>2020</v>
      </c>
      <c r="H141">
        <v>2021</v>
      </c>
      <c r="I141">
        <v>2022</v>
      </c>
      <c r="J141">
        <v>2023</v>
      </c>
      <c r="K141">
        <v>2024</v>
      </c>
      <c r="L141">
        <v>2025</v>
      </c>
      <c r="M141">
        <v>2026</v>
      </c>
      <c r="N141">
        <v>2027</v>
      </c>
      <c r="O141">
        <v>2028</v>
      </c>
      <c r="P141">
        <v>2029</v>
      </c>
      <c r="Q141">
        <v>2030</v>
      </c>
      <c r="Z141" t="s">
        <v>22</v>
      </c>
      <c r="AA141">
        <f t="array" ref="AA141:AP141">TRANSPOSE(Years)</f>
        <v>2015</v>
      </c>
      <c r="AB141">
        <v>2016</v>
      </c>
      <c r="AC141">
        <v>2017</v>
      </c>
      <c r="AD141">
        <v>2018</v>
      </c>
      <c r="AE141">
        <v>2019</v>
      </c>
      <c r="AF141">
        <v>2020</v>
      </c>
      <c r="AG141">
        <v>2021</v>
      </c>
      <c r="AH141">
        <v>2022</v>
      </c>
      <c r="AI141">
        <v>2023</v>
      </c>
      <c r="AJ141">
        <v>2024</v>
      </c>
      <c r="AK141">
        <v>2025</v>
      </c>
      <c r="AL141">
        <v>2026</v>
      </c>
      <c r="AM141">
        <v>2027</v>
      </c>
      <c r="AN141">
        <v>2028</v>
      </c>
      <c r="AO141">
        <v>2029</v>
      </c>
      <c r="AP141">
        <v>2030</v>
      </c>
    </row>
    <row r="142" spans="1:42">
      <c r="A142" t="str">
        <f t="array" ref="A142:A152">Nodes</f>
        <v>AddisAbaba</v>
      </c>
      <c r="B142" s="2">
        <v>0.69071891324212731</v>
      </c>
      <c r="C142" s="2">
        <v>0.67008210894958742</v>
      </c>
      <c r="D142" s="2">
        <v>0.69291122360271573</v>
      </c>
      <c r="E142" s="2">
        <v>0.78648200297642068</v>
      </c>
      <c r="F142" s="2">
        <v>0.80899383484218546</v>
      </c>
      <c r="G142" s="2">
        <v>0.84047319659156039</v>
      </c>
      <c r="H142" s="2">
        <v>0.85510661626003026</v>
      </c>
      <c r="I142" s="2">
        <v>0.91765267677197948</v>
      </c>
      <c r="J142" s="2">
        <v>0.95711153119649039</v>
      </c>
      <c r="K142" s="2">
        <v>0.88090968909938039</v>
      </c>
      <c r="L142" s="2">
        <v>0.91797375111884172</v>
      </c>
      <c r="M142" s="2">
        <v>1.0538022357194499</v>
      </c>
      <c r="N142" s="2">
        <v>1.0474214298475841</v>
      </c>
      <c r="O142" s="2">
        <v>1.0443310780021662</v>
      </c>
      <c r="P142" s="2">
        <v>1.0415584608029953</v>
      </c>
      <c r="Q142" s="2">
        <v>1.1763887261635384</v>
      </c>
      <c r="Z142" t="str">
        <f t="array" ref="Z142:Z152">Nodes</f>
        <v>AddisAbaba</v>
      </c>
      <c r="AA142" s="2">
        <f>$G121*B142</f>
        <v>12.432940438358292</v>
      </c>
      <c r="AB142" s="2">
        <f t="shared" ref="AB142:AP142" si="2">$G121*C142</f>
        <v>12.061477961092574</v>
      </c>
      <c r="AC142" s="2">
        <f t="shared" si="2"/>
        <v>12.472402024848883</v>
      </c>
      <c r="AD142" s="2">
        <f t="shared" si="2"/>
        <v>14.156676053575572</v>
      </c>
      <c r="AE142" s="2">
        <f t="shared" si="2"/>
        <v>14.561889027159339</v>
      </c>
      <c r="AF142" s="2">
        <f t="shared" si="2"/>
        <v>15.128517538648087</v>
      </c>
      <c r="AG142" s="2">
        <f t="shared" si="2"/>
        <v>15.391919092680546</v>
      </c>
      <c r="AH142" s="2">
        <f t="shared" si="2"/>
        <v>16.51774818189563</v>
      </c>
      <c r="AI142" s="2">
        <f t="shared" si="2"/>
        <v>17.228007561536828</v>
      </c>
      <c r="AJ142" s="2">
        <f t="shared" si="2"/>
        <v>15.856374403788847</v>
      </c>
      <c r="AK142" s="2">
        <f t="shared" si="2"/>
        <v>16.523527520139151</v>
      </c>
      <c r="AL142" s="2">
        <f t="shared" si="2"/>
        <v>18.968440242950098</v>
      </c>
      <c r="AM142" s="2">
        <f t="shared" si="2"/>
        <v>18.853585737256516</v>
      </c>
      <c r="AN142" s="2">
        <f t="shared" si="2"/>
        <v>18.797959404038991</v>
      </c>
      <c r="AO142" s="2">
        <f t="shared" si="2"/>
        <v>18.748052294453917</v>
      </c>
      <c r="AP142" s="2">
        <f t="shared" si="2"/>
        <v>21.174997070943689</v>
      </c>
    </row>
    <row r="143" spans="1:42">
      <c r="A143" t="str">
        <v>Afar</v>
      </c>
      <c r="B143" s="2">
        <v>0.57588253539838885</v>
      </c>
      <c r="C143" s="2">
        <v>0.68141729883632651</v>
      </c>
      <c r="D143" s="2">
        <v>0.69408501872211792</v>
      </c>
      <c r="E143" s="2">
        <v>0.72222445166033911</v>
      </c>
      <c r="F143" s="2">
        <v>0.80968944035412127</v>
      </c>
      <c r="G143" s="2">
        <v>0.82842395446610784</v>
      </c>
      <c r="H143" s="2">
        <v>0.83680880345701536</v>
      </c>
      <c r="I143" s="2">
        <v>0.8001555854106317</v>
      </c>
      <c r="J143" s="2">
        <v>0.83919722923613715</v>
      </c>
      <c r="K143" s="2">
        <v>0.91005177180374464</v>
      </c>
      <c r="L143" s="2">
        <v>0.90779257817734782</v>
      </c>
      <c r="M143" s="2">
        <v>0.99676945785936066</v>
      </c>
      <c r="N143" s="2">
        <v>1.0358960364508483</v>
      </c>
      <c r="O143" s="2">
        <v>1.033082159839031</v>
      </c>
      <c r="P143" s="2">
        <v>1.124496475629654</v>
      </c>
      <c r="Q143" s="2">
        <v>1.1730447165109656</v>
      </c>
      <c r="Z143" t="str">
        <v>Afar</v>
      </c>
      <c r="AA143" s="2">
        <f t="shared" ref="AA143:AA152" si="3">$G122*B143</f>
        <v>10.941768172569388</v>
      </c>
      <c r="AB143" s="2">
        <f t="shared" ref="AB143:AB152" si="4">$G122*C143</f>
        <v>12.946928677890204</v>
      </c>
      <c r="AC143" s="2">
        <f t="shared" ref="AC143:AC152" si="5">$G122*D143</f>
        <v>13.18761535572024</v>
      </c>
      <c r="AD143" s="2">
        <f t="shared" ref="AD143:AD152" si="6">$G122*E143</f>
        <v>13.722264581546444</v>
      </c>
      <c r="AE143" s="2">
        <f t="shared" ref="AE143:AE152" si="7">$G122*F143</f>
        <v>15.384099366728304</v>
      </c>
      <c r="AF143" s="2">
        <f t="shared" ref="AF143:AF152" si="8">$G122*G143</f>
        <v>15.74005513485605</v>
      </c>
      <c r="AG143" s="2">
        <f t="shared" ref="AG143:AG152" si="9">$G122*H143</f>
        <v>15.899367265683292</v>
      </c>
      <c r="AH143" s="2">
        <f t="shared" ref="AH143:AH152" si="10">$G122*I143</f>
        <v>15.202956122802002</v>
      </c>
      <c r="AI143" s="2">
        <f t="shared" ref="AI143:AI152" si="11">$G122*J143</f>
        <v>15.944747355486605</v>
      </c>
      <c r="AJ143" s="2">
        <f t="shared" ref="AJ143:AJ152" si="12">$G122*K143</f>
        <v>17.290983664271149</v>
      </c>
      <c r="AK143" s="2">
        <f t="shared" ref="AK143:AK152" si="13">$G122*L143</f>
        <v>17.24805898536961</v>
      </c>
      <c r="AL143" s="2">
        <f t="shared" ref="AL143:AL152" si="14">$G122*M143</f>
        <v>18.938619699327852</v>
      </c>
      <c r="AM143" s="2">
        <f t="shared" ref="AM143:AM152" si="15">$G122*N143</f>
        <v>19.682024692566117</v>
      </c>
      <c r="AN143" s="2">
        <f t="shared" ref="AN143:AN152" si="16">$G122*O143</f>
        <v>19.628561036941587</v>
      </c>
      <c r="AO143" s="2">
        <f t="shared" ref="AO143:AO152" si="17">$G122*P143</f>
        <v>21.365433036963427</v>
      </c>
      <c r="AP143" s="2">
        <f t="shared" ref="AP143:AP152" si="18">$G122*Q143</f>
        <v>22.287849613708346</v>
      </c>
    </row>
    <row r="144" spans="1:42">
      <c r="A144" t="str">
        <v>Amhara</v>
      </c>
      <c r="B144" s="2">
        <v>0.65772172442067822</v>
      </c>
      <c r="C144" s="2">
        <v>0.64659624592763576</v>
      </c>
      <c r="D144" s="2">
        <v>0.75384613851497762</v>
      </c>
      <c r="E144" s="2">
        <v>0.6862477501292068</v>
      </c>
      <c r="F144" s="2">
        <v>0.73072003877961689</v>
      </c>
      <c r="G144" s="2">
        <v>0.77960441098139599</v>
      </c>
      <c r="H144" s="2">
        <v>0.82448325779114318</v>
      </c>
      <c r="I144" s="2">
        <v>0.87414369965552807</v>
      </c>
      <c r="J144" s="2">
        <v>0.95508083765120655</v>
      </c>
      <c r="K144" s="2">
        <v>0.98221860912464209</v>
      </c>
      <c r="L144" s="2">
        <v>0.91536150780528547</v>
      </c>
      <c r="M144" s="2">
        <v>0.96919819816412323</v>
      </c>
      <c r="N144" s="2">
        <v>1.0114652769643335</v>
      </c>
      <c r="O144" s="2">
        <v>1.0067484377138984</v>
      </c>
      <c r="P144" s="2">
        <v>1.1087078190670621</v>
      </c>
      <c r="Q144" s="2">
        <v>1.154995391528379</v>
      </c>
      <c r="Z144" t="str">
        <v>Amhara</v>
      </c>
      <c r="AA144" s="2">
        <f t="shared" si="3"/>
        <v>13.154434488413564</v>
      </c>
      <c r="AB144" s="2">
        <f t="shared" si="4"/>
        <v>12.931924918552715</v>
      </c>
      <c r="AC144" s="2">
        <f t="shared" si="5"/>
        <v>15.076922770299552</v>
      </c>
      <c r="AD144" s="2">
        <f t="shared" si="6"/>
        <v>13.724955002584135</v>
      </c>
      <c r="AE144" s="2">
        <f t="shared" si="7"/>
        <v>14.614400775592337</v>
      </c>
      <c r="AF144" s="2">
        <f t="shared" si="8"/>
        <v>15.59208821962792</v>
      </c>
      <c r="AG144" s="2">
        <f t="shared" si="9"/>
        <v>16.489665155822863</v>
      </c>
      <c r="AH144" s="2">
        <f t="shared" si="10"/>
        <v>17.482873993110562</v>
      </c>
      <c r="AI144" s="2">
        <f t="shared" si="11"/>
        <v>19.101616753024132</v>
      </c>
      <c r="AJ144" s="2">
        <f t="shared" si="12"/>
        <v>19.644372182492841</v>
      </c>
      <c r="AK144" s="2">
        <f t="shared" si="13"/>
        <v>18.30723015610571</v>
      </c>
      <c r="AL144" s="2">
        <f t="shared" si="14"/>
        <v>19.383963963282465</v>
      </c>
      <c r="AM144" s="2">
        <f t="shared" si="15"/>
        <v>20.229305539286671</v>
      </c>
      <c r="AN144" s="2">
        <f t="shared" si="16"/>
        <v>20.134968754277971</v>
      </c>
      <c r="AO144" s="2">
        <f t="shared" si="17"/>
        <v>22.174156381341241</v>
      </c>
      <c r="AP144" s="2">
        <f t="shared" si="18"/>
        <v>23.099907830567581</v>
      </c>
    </row>
    <row r="145" spans="1:42">
      <c r="A145" t="str">
        <v>Gumuz</v>
      </c>
      <c r="B145" s="2">
        <v>0.62147524452124991</v>
      </c>
      <c r="C145" s="2">
        <v>0.68712504685896658</v>
      </c>
      <c r="D145" s="2">
        <v>0.69223711429443313</v>
      </c>
      <c r="E145" s="2">
        <v>0.68169785217329248</v>
      </c>
      <c r="F145" s="2">
        <v>0.7825677935234252</v>
      </c>
      <c r="G145" s="2">
        <v>0.7678219627648899</v>
      </c>
      <c r="H145" s="2">
        <v>0.85534856040554774</v>
      </c>
      <c r="I145" s="2">
        <v>0.83680338435508461</v>
      </c>
      <c r="J145" s="2">
        <v>0.94538100091814914</v>
      </c>
      <c r="K145" s="2">
        <v>0.91343935214084171</v>
      </c>
      <c r="L145" s="2">
        <v>0.96805166207332471</v>
      </c>
      <c r="M145" s="2">
        <v>0.94659676219385169</v>
      </c>
      <c r="N145" s="2">
        <v>0.99612958003417218</v>
      </c>
      <c r="O145" s="2">
        <v>1.0303009520796593</v>
      </c>
      <c r="P145" s="2">
        <v>1.0807436853887284</v>
      </c>
      <c r="Q145" s="2">
        <v>1.1541964211683784</v>
      </c>
      <c r="Z145" t="str">
        <v>Gumuz</v>
      </c>
      <c r="AA145" s="2">
        <f t="shared" si="3"/>
        <v>13.050980134946249</v>
      </c>
      <c r="AB145" s="2">
        <f t="shared" si="4"/>
        <v>14.429625984038298</v>
      </c>
      <c r="AC145" s="2">
        <f t="shared" si="5"/>
        <v>14.536979400183096</v>
      </c>
      <c r="AD145" s="2">
        <f t="shared" si="6"/>
        <v>14.315654895639142</v>
      </c>
      <c r="AE145" s="2">
        <f t="shared" si="7"/>
        <v>16.43392366399193</v>
      </c>
      <c r="AF145" s="2">
        <f t="shared" si="8"/>
        <v>16.124261218062689</v>
      </c>
      <c r="AG145" s="2">
        <f t="shared" si="9"/>
        <v>17.962319768516501</v>
      </c>
      <c r="AH145" s="2">
        <f t="shared" si="10"/>
        <v>17.572871071456778</v>
      </c>
      <c r="AI145" s="2">
        <f t="shared" si="11"/>
        <v>19.85300101928113</v>
      </c>
      <c r="AJ145" s="2">
        <f t="shared" si="12"/>
        <v>19.182226394957677</v>
      </c>
      <c r="AK145" s="2">
        <f t="shared" si="13"/>
        <v>20.329084903539819</v>
      </c>
      <c r="AL145" s="2">
        <f t="shared" si="14"/>
        <v>19.878532006070884</v>
      </c>
      <c r="AM145" s="2">
        <f t="shared" si="15"/>
        <v>20.918721180717615</v>
      </c>
      <c r="AN145" s="2">
        <f t="shared" si="16"/>
        <v>21.636319993672846</v>
      </c>
      <c r="AO145" s="2">
        <f t="shared" si="17"/>
        <v>22.695617393163296</v>
      </c>
      <c r="AP145" s="2">
        <f t="shared" si="18"/>
        <v>24.238124844535946</v>
      </c>
    </row>
    <row r="146" spans="1:42">
      <c r="A146" t="str">
        <v>DireDawa</v>
      </c>
      <c r="B146" s="2">
        <v>0.64734996069093709</v>
      </c>
      <c r="C146" s="2">
        <v>0.69769433412734694</v>
      </c>
      <c r="D146" s="2">
        <v>0.74768252660284384</v>
      </c>
      <c r="E146" s="2">
        <v>0.70411785003803828</v>
      </c>
      <c r="F146" s="2">
        <v>0.7089107607371723</v>
      </c>
      <c r="G146" s="2">
        <v>0.75140150710896569</v>
      </c>
      <c r="H146" s="2">
        <v>0.83575962249353908</v>
      </c>
      <c r="I146" s="2">
        <v>0.87276405883588581</v>
      </c>
      <c r="J146" s="2">
        <v>0.95459972930087633</v>
      </c>
      <c r="K146" s="2">
        <v>0.95032210800759409</v>
      </c>
      <c r="L146" s="2">
        <v>0.94122495586331967</v>
      </c>
      <c r="M146" s="2">
        <v>0.97220974802501514</v>
      </c>
      <c r="N146" s="2">
        <v>1.0450165455171061</v>
      </c>
      <c r="O146" s="2">
        <v>1.0223193578697172</v>
      </c>
      <c r="P146" s="2">
        <v>1.1313254532735399</v>
      </c>
      <c r="Q146" s="2">
        <v>1.1808104366475436</v>
      </c>
      <c r="Z146" t="str">
        <v>DireDawa</v>
      </c>
      <c r="AA146" s="2">
        <f t="shared" si="3"/>
        <v>14.241699135200616</v>
      </c>
      <c r="AB146" s="2">
        <f t="shared" si="4"/>
        <v>15.349275350801634</v>
      </c>
      <c r="AC146" s="2">
        <f t="shared" si="5"/>
        <v>16.449015585262565</v>
      </c>
      <c r="AD146" s="2">
        <f t="shared" si="6"/>
        <v>15.490592700836842</v>
      </c>
      <c r="AE146" s="2">
        <f t="shared" si="7"/>
        <v>15.596036736217791</v>
      </c>
      <c r="AF146" s="2">
        <f t="shared" si="8"/>
        <v>16.530833156397247</v>
      </c>
      <c r="AG146" s="2">
        <f t="shared" si="9"/>
        <v>18.386711694857858</v>
      </c>
      <c r="AH146" s="2">
        <f t="shared" si="10"/>
        <v>19.200809294389487</v>
      </c>
      <c r="AI146" s="2">
        <f t="shared" si="11"/>
        <v>21.001194044619279</v>
      </c>
      <c r="AJ146" s="2">
        <f t="shared" si="12"/>
        <v>20.907086376167069</v>
      </c>
      <c r="AK146" s="2">
        <f t="shared" si="13"/>
        <v>20.706949028993034</v>
      </c>
      <c r="AL146" s="2">
        <f t="shared" si="14"/>
        <v>21.388614456550332</v>
      </c>
      <c r="AM146" s="2">
        <f t="shared" si="15"/>
        <v>22.990364001376335</v>
      </c>
      <c r="AN146" s="2">
        <f t="shared" si="16"/>
        <v>22.491025873133779</v>
      </c>
      <c r="AO146" s="2">
        <f t="shared" si="17"/>
        <v>24.889159972017879</v>
      </c>
      <c r="AP146" s="2">
        <f t="shared" si="18"/>
        <v>25.977829606245958</v>
      </c>
    </row>
    <row r="147" spans="1:42">
      <c r="A147" t="str">
        <v>Gambela</v>
      </c>
      <c r="B147" s="2">
        <v>0.61248990268462133</v>
      </c>
      <c r="C147" s="2">
        <v>0.71356313160752238</v>
      </c>
      <c r="D147" s="2">
        <v>0.72879446195653164</v>
      </c>
      <c r="E147" s="2">
        <v>0.74295989286348341</v>
      </c>
      <c r="F147" s="2">
        <v>0.70344586178736201</v>
      </c>
      <c r="G147" s="2">
        <v>0.76235421211350829</v>
      </c>
      <c r="H147" s="2">
        <v>0.87691307084246461</v>
      </c>
      <c r="I147" s="2">
        <v>0.85147500575830271</v>
      </c>
      <c r="J147" s="2">
        <v>0.89244975692019701</v>
      </c>
      <c r="K147" s="2">
        <v>0.90478690025494646</v>
      </c>
      <c r="L147" s="2">
        <v>0.91797760747592949</v>
      </c>
      <c r="M147" s="2">
        <v>0.98826304838922407</v>
      </c>
      <c r="N147" s="2">
        <v>0.98348427219884049</v>
      </c>
      <c r="O147" s="2">
        <v>1.0454094809107037</v>
      </c>
      <c r="P147" s="2">
        <v>1.038461517062685</v>
      </c>
      <c r="Q147" s="2">
        <v>1.1654738754508369</v>
      </c>
      <c r="Z147" t="str">
        <v>Gambela</v>
      </c>
      <c r="AA147" s="2">
        <f t="shared" si="3"/>
        <v>14.08726776174629</v>
      </c>
      <c r="AB147" s="2">
        <f t="shared" si="4"/>
        <v>16.411952026973015</v>
      </c>
      <c r="AC147" s="2">
        <f t="shared" si="5"/>
        <v>16.762272625000229</v>
      </c>
      <c r="AD147" s="2">
        <f t="shared" si="6"/>
        <v>17.088077535860119</v>
      </c>
      <c r="AE147" s="2">
        <f t="shared" si="7"/>
        <v>16.179254821109325</v>
      </c>
      <c r="AF147" s="2">
        <f t="shared" si="8"/>
        <v>17.534146878610692</v>
      </c>
      <c r="AG147" s="2">
        <f t="shared" si="9"/>
        <v>20.169000629376686</v>
      </c>
      <c r="AH147" s="2">
        <f t="shared" si="10"/>
        <v>19.583925132440964</v>
      </c>
      <c r="AI147" s="2">
        <f t="shared" si="11"/>
        <v>20.52634440916453</v>
      </c>
      <c r="AJ147" s="2">
        <f t="shared" si="12"/>
        <v>20.810098705863769</v>
      </c>
      <c r="AK147" s="2">
        <f t="shared" si="13"/>
        <v>21.113484971946377</v>
      </c>
      <c r="AL147" s="2">
        <f t="shared" si="14"/>
        <v>22.730050112952153</v>
      </c>
      <c r="AM147" s="2">
        <f t="shared" si="15"/>
        <v>22.620138260573331</v>
      </c>
      <c r="AN147" s="2">
        <f t="shared" si="16"/>
        <v>24.044418060946185</v>
      </c>
      <c r="AO147" s="2">
        <f t="shared" si="17"/>
        <v>23.884614892441753</v>
      </c>
      <c r="AP147" s="2">
        <f t="shared" si="18"/>
        <v>26.805899135369248</v>
      </c>
    </row>
    <row r="148" spans="1:42">
      <c r="A148" t="str">
        <v>Harari</v>
      </c>
      <c r="B148" s="2">
        <v>0.6888292233816673</v>
      </c>
      <c r="C148" s="2">
        <v>0.72164349233042246</v>
      </c>
      <c r="D148" s="2">
        <v>0.72951058868120489</v>
      </c>
      <c r="E148" s="2">
        <v>0.75595152359785145</v>
      </c>
      <c r="F148" s="2">
        <v>0.80512628887275595</v>
      </c>
      <c r="G148" s="2">
        <v>0.79039642761961715</v>
      </c>
      <c r="H148" s="2">
        <v>0.8228432443729341</v>
      </c>
      <c r="I148" s="2">
        <v>0.80610351046113271</v>
      </c>
      <c r="J148" s="2">
        <v>0.90258403882885929</v>
      </c>
      <c r="K148" s="2">
        <v>0.93783621786885063</v>
      </c>
      <c r="L148" s="2">
        <v>0.93939221900254277</v>
      </c>
      <c r="M148" s="2">
        <v>1.0133118345836387</v>
      </c>
      <c r="N148" s="2">
        <v>0.97779223974318008</v>
      </c>
      <c r="O148" s="2">
        <v>1.0035238709629075</v>
      </c>
      <c r="P148" s="2">
        <v>1.1023270036832065</v>
      </c>
      <c r="Q148" s="2">
        <v>1.1115401150175577</v>
      </c>
      <c r="Z148" t="str">
        <v>Harari</v>
      </c>
      <c r="AA148" s="2">
        <f t="shared" si="3"/>
        <v>16.531901361160017</v>
      </c>
      <c r="AB148" s="2">
        <f t="shared" si="4"/>
        <v>17.319443815930139</v>
      </c>
      <c r="AC148" s="2">
        <f t="shared" si="5"/>
        <v>17.508254128348916</v>
      </c>
      <c r="AD148" s="2">
        <f t="shared" si="6"/>
        <v>18.142836566348436</v>
      </c>
      <c r="AE148" s="2">
        <f t="shared" si="7"/>
        <v>19.323030932946143</v>
      </c>
      <c r="AF148" s="2">
        <f t="shared" si="8"/>
        <v>18.96951426287081</v>
      </c>
      <c r="AG148" s="2">
        <f t="shared" si="9"/>
        <v>19.748237864950418</v>
      </c>
      <c r="AH148" s="2">
        <f t="shared" si="10"/>
        <v>19.346484251067185</v>
      </c>
      <c r="AI148" s="2">
        <f t="shared" si="11"/>
        <v>21.662016931892623</v>
      </c>
      <c r="AJ148" s="2">
        <f t="shared" si="12"/>
        <v>22.508069228852413</v>
      </c>
      <c r="AK148" s="2">
        <f t="shared" si="13"/>
        <v>22.545413256061025</v>
      </c>
      <c r="AL148" s="2">
        <f t="shared" si="14"/>
        <v>24.319484030007331</v>
      </c>
      <c r="AM148" s="2">
        <f t="shared" si="15"/>
        <v>23.467013753836323</v>
      </c>
      <c r="AN148" s="2">
        <f t="shared" si="16"/>
        <v>24.08457290310978</v>
      </c>
      <c r="AO148" s="2">
        <f t="shared" si="17"/>
        <v>26.455848088396955</v>
      </c>
      <c r="AP148" s="2">
        <f t="shared" si="18"/>
        <v>26.676962760421382</v>
      </c>
    </row>
    <row r="149" spans="1:42">
      <c r="A149" t="str">
        <v>Oromia</v>
      </c>
      <c r="B149" s="2">
        <v>0.64334060504376389</v>
      </c>
      <c r="C149" s="2">
        <v>0.6358314018175647</v>
      </c>
      <c r="D149" s="2">
        <v>0.70557928126067426</v>
      </c>
      <c r="E149" s="2">
        <v>0.74595026443174794</v>
      </c>
      <c r="F149" s="2">
        <v>0.78143717178005789</v>
      </c>
      <c r="G149" s="2">
        <v>0.77941887046523295</v>
      </c>
      <c r="H149" s="2">
        <v>0.85921837582322858</v>
      </c>
      <c r="I149" s="2">
        <v>0.91340463645699965</v>
      </c>
      <c r="J149" s="2">
        <v>0.84706352789490458</v>
      </c>
      <c r="K149" s="2">
        <v>0.9697707651543277</v>
      </c>
      <c r="L149" s="2">
        <v>1.0249744648432424</v>
      </c>
      <c r="M149" s="2">
        <v>1.0508694434802077</v>
      </c>
      <c r="N149" s="2">
        <v>1.0693718244216299</v>
      </c>
      <c r="O149" s="2">
        <v>1.0765716869663291</v>
      </c>
      <c r="P149" s="2">
        <v>1.0864309656681828</v>
      </c>
      <c r="Q149" s="2">
        <v>1.1377746731160934</v>
      </c>
      <c r="Z149" t="str">
        <v>Oromia</v>
      </c>
      <c r="AA149" s="2">
        <f t="shared" si="3"/>
        <v>16.083515126094099</v>
      </c>
      <c r="AB149" s="2">
        <f t="shared" si="4"/>
        <v>15.895785045439117</v>
      </c>
      <c r="AC149" s="2">
        <f t="shared" si="5"/>
        <v>17.639482031516856</v>
      </c>
      <c r="AD149" s="2">
        <f t="shared" si="6"/>
        <v>18.648756610793697</v>
      </c>
      <c r="AE149" s="2">
        <f t="shared" si="7"/>
        <v>19.535929294501447</v>
      </c>
      <c r="AF149" s="2">
        <f t="shared" si="8"/>
        <v>19.485471761630823</v>
      </c>
      <c r="AG149" s="2">
        <f t="shared" si="9"/>
        <v>21.480459395580713</v>
      </c>
      <c r="AH149" s="2">
        <f t="shared" si="10"/>
        <v>22.835115911424992</v>
      </c>
      <c r="AI149" s="2">
        <f t="shared" si="11"/>
        <v>21.176588197372613</v>
      </c>
      <c r="AJ149" s="2">
        <f t="shared" si="12"/>
        <v>24.244269128858193</v>
      </c>
      <c r="AK149" s="2">
        <f t="shared" si="13"/>
        <v>25.624361621081061</v>
      </c>
      <c r="AL149" s="2">
        <f t="shared" si="14"/>
        <v>26.271736087005195</v>
      </c>
      <c r="AM149" s="2">
        <f t="shared" si="15"/>
        <v>26.734295610540748</v>
      </c>
      <c r="AN149" s="2">
        <f t="shared" si="16"/>
        <v>26.914292174158227</v>
      </c>
      <c r="AO149" s="2">
        <f t="shared" si="17"/>
        <v>27.160774141704568</v>
      </c>
      <c r="AP149" s="2">
        <f t="shared" si="18"/>
        <v>28.444366827902336</v>
      </c>
    </row>
    <row r="150" spans="1:42">
      <c r="A150" t="str">
        <v>Somali</v>
      </c>
      <c r="B150" s="2">
        <v>0.66235779354203539</v>
      </c>
      <c r="C150" s="2">
        <v>0.71254872032708672</v>
      </c>
      <c r="D150" s="2">
        <v>0.74811042529426941</v>
      </c>
      <c r="E150" s="2">
        <v>0.73192276449037175</v>
      </c>
      <c r="F150" s="2">
        <v>0.82347708707568557</v>
      </c>
      <c r="G150" s="2">
        <v>0.82146676925809103</v>
      </c>
      <c r="H150" s="2">
        <v>0.83140735562442947</v>
      </c>
      <c r="I150" s="2">
        <v>0.90870980740352603</v>
      </c>
      <c r="J150" s="2">
        <v>0.86071325965728285</v>
      </c>
      <c r="K150" s="2">
        <v>0.94507980836368444</v>
      </c>
      <c r="L150" s="2">
        <v>0.9191699683205633</v>
      </c>
      <c r="M150" s="2">
        <v>0.95554423058043803</v>
      </c>
      <c r="N150" s="2">
        <v>1.089215392563996</v>
      </c>
      <c r="O150" s="2">
        <v>1.017816036685562</v>
      </c>
      <c r="P150" s="2">
        <v>1.1136036358430808</v>
      </c>
      <c r="Q150" s="2">
        <v>1.0740600249462793</v>
      </c>
      <c r="Z150" t="str">
        <v>Somali</v>
      </c>
      <c r="AA150" s="2">
        <f t="shared" si="3"/>
        <v>17.221302632092922</v>
      </c>
      <c r="AB150" s="2">
        <f t="shared" si="4"/>
        <v>18.526266728504254</v>
      </c>
      <c r="AC150" s="2">
        <f t="shared" si="5"/>
        <v>19.450871057651003</v>
      </c>
      <c r="AD150" s="2">
        <f t="shared" si="6"/>
        <v>19.029991876749666</v>
      </c>
      <c r="AE150" s="2">
        <f t="shared" si="7"/>
        <v>21.410404263967823</v>
      </c>
      <c r="AF150" s="2">
        <f t="shared" si="8"/>
        <v>21.358136000710367</v>
      </c>
      <c r="AG150" s="2">
        <f t="shared" si="9"/>
        <v>21.616591246235167</v>
      </c>
      <c r="AH150" s="2">
        <f t="shared" si="10"/>
        <v>23.626454992491677</v>
      </c>
      <c r="AI150" s="2">
        <f t="shared" si="11"/>
        <v>22.378544751089354</v>
      </c>
      <c r="AJ150" s="2">
        <f t="shared" si="12"/>
        <v>24.572075017455795</v>
      </c>
      <c r="AK150" s="2">
        <f t="shared" si="13"/>
        <v>23.898419176334645</v>
      </c>
      <c r="AL150" s="2">
        <f t="shared" si="14"/>
        <v>24.844149995091389</v>
      </c>
      <c r="AM150" s="2">
        <f t="shared" si="15"/>
        <v>28.319600206663896</v>
      </c>
      <c r="AN150" s="2">
        <f t="shared" si="16"/>
        <v>26.463216953824613</v>
      </c>
      <c r="AO150" s="2">
        <f t="shared" si="17"/>
        <v>28.9536945319201</v>
      </c>
      <c r="AP150" s="2">
        <f t="shared" si="18"/>
        <v>27.925560648603263</v>
      </c>
    </row>
    <row r="151" spans="1:42">
      <c r="A151" t="str">
        <v>SNNPR</v>
      </c>
      <c r="B151" s="2">
        <v>0.59164942321790825</v>
      </c>
      <c r="C151" s="2">
        <v>0.62933395010989468</v>
      </c>
      <c r="D151" s="2">
        <v>0.75293640001590245</v>
      </c>
      <c r="E151" s="2">
        <v>0.67533031043134351</v>
      </c>
      <c r="F151" s="2">
        <v>0.8130764263539727</v>
      </c>
      <c r="G151" s="2">
        <v>0.79862408542971308</v>
      </c>
      <c r="H151" s="2">
        <v>0.88247946152080115</v>
      </c>
      <c r="I151" s="2">
        <v>0.86654253697520889</v>
      </c>
      <c r="J151" s="2">
        <v>0.89072808404687542</v>
      </c>
      <c r="K151" s="2">
        <v>0.878678302324851</v>
      </c>
      <c r="L151" s="2">
        <v>0.99985782689614355</v>
      </c>
      <c r="M151" s="2">
        <v>0.9925418927271964</v>
      </c>
      <c r="N151" s="2">
        <v>0.99965673701638891</v>
      </c>
      <c r="O151" s="2">
        <v>1.1217262981824825</v>
      </c>
      <c r="P151" s="2">
        <v>1.1570426811024936</v>
      </c>
      <c r="Q151" s="2">
        <v>1.1646452044465576</v>
      </c>
      <c r="Z151" t="str">
        <v>SNNPR</v>
      </c>
      <c r="AA151" s="2">
        <f t="shared" si="3"/>
        <v>15.974534426883523</v>
      </c>
      <c r="AB151" s="2">
        <f t="shared" si="4"/>
        <v>16.992016652967155</v>
      </c>
      <c r="AC151" s="2">
        <f t="shared" si="5"/>
        <v>20.329282800429365</v>
      </c>
      <c r="AD151" s="2">
        <f t="shared" si="6"/>
        <v>18.233918381646276</v>
      </c>
      <c r="AE151" s="2">
        <f t="shared" si="7"/>
        <v>21.953063511557264</v>
      </c>
      <c r="AF151" s="2">
        <f t="shared" si="8"/>
        <v>21.562850306602254</v>
      </c>
      <c r="AG151" s="2">
        <f t="shared" si="9"/>
        <v>23.82694546106163</v>
      </c>
      <c r="AH151" s="2">
        <f t="shared" si="10"/>
        <v>23.396648498330642</v>
      </c>
      <c r="AI151" s="2">
        <f t="shared" si="11"/>
        <v>24.049658269265635</v>
      </c>
      <c r="AJ151" s="2">
        <f t="shared" si="12"/>
        <v>23.724314162770977</v>
      </c>
      <c r="AK151" s="2">
        <f t="shared" si="13"/>
        <v>26.996161326195875</v>
      </c>
      <c r="AL151" s="2">
        <f t="shared" si="14"/>
        <v>26.798631103634303</v>
      </c>
      <c r="AM151" s="2">
        <f t="shared" si="15"/>
        <v>26.990731899442501</v>
      </c>
      <c r="AN151" s="2">
        <f t="shared" si="16"/>
        <v>30.286610050927028</v>
      </c>
      <c r="AO151" s="2">
        <f t="shared" si="17"/>
        <v>31.240152389767328</v>
      </c>
      <c r="AP151" s="2">
        <f t="shared" si="18"/>
        <v>31.445420520057056</v>
      </c>
    </row>
    <row r="152" spans="1:42">
      <c r="A152" t="str">
        <v>Tigray</v>
      </c>
      <c r="B152" s="2">
        <v>0.57355343736380759</v>
      </c>
      <c r="C152" s="2">
        <v>0.71467232508075862</v>
      </c>
      <c r="D152" s="2">
        <v>0.6949830414976732</v>
      </c>
      <c r="E152" s="2">
        <v>0.76326880882880266</v>
      </c>
      <c r="F152" s="2">
        <v>0.74403983455100708</v>
      </c>
      <c r="G152" s="2">
        <v>0.79362635263917625</v>
      </c>
      <c r="H152" s="2">
        <v>0.7895809886821874</v>
      </c>
      <c r="I152" s="2">
        <v>0.85524178165508591</v>
      </c>
      <c r="J152" s="2">
        <v>0.89178822591662676</v>
      </c>
      <c r="K152" s="2">
        <v>0.91380916300757109</v>
      </c>
      <c r="L152" s="2">
        <v>1.018013705757161</v>
      </c>
      <c r="M152" s="2">
        <v>0.97126549613615465</v>
      </c>
      <c r="N152" s="2">
        <v>1.0441430169204553</v>
      </c>
      <c r="O152" s="2">
        <v>1.003882869347547</v>
      </c>
      <c r="P152" s="2">
        <v>1.1291417490055982</v>
      </c>
      <c r="Q152" s="2">
        <v>1.1581224125187828</v>
      </c>
      <c r="Z152" t="str">
        <v>Tigray</v>
      </c>
      <c r="AA152" s="2">
        <f t="shared" si="3"/>
        <v>16.059496246186612</v>
      </c>
      <c r="AB152" s="2">
        <f t="shared" si="4"/>
        <v>20.01082510226124</v>
      </c>
      <c r="AC152" s="2">
        <f t="shared" si="5"/>
        <v>19.459525161934849</v>
      </c>
      <c r="AD152" s="2">
        <f t="shared" si="6"/>
        <v>21.371526647206473</v>
      </c>
      <c r="AE152" s="2">
        <f t="shared" si="7"/>
        <v>20.833115367428199</v>
      </c>
      <c r="AF152" s="2">
        <f t="shared" si="8"/>
        <v>22.221537873896935</v>
      </c>
      <c r="AG152" s="2">
        <f t="shared" si="9"/>
        <v>22.108267683101246</v>
      </c>
      <c r="AH152" s="2">
        <f t="shared" si="10"/>
        <v>23.946769886342405</v>
      </c>
      <c r="AI152" s="2">
        <f t="shared" si="11"/>
        <v>24.970070325665549</v>
      </c>
      <c r="AJ152" s="2">
        <f t="shared" si="12"/>
        <v>25.586656564211992</v>
      </c>
      <c r="AK152" s="2">
        <f t="shared" si="13"/>
        <v>28.504383761200508</v>
      </c>
      <c r="AL152" s="2">
        <f t="shared" si="14"/>
        <v>27.195433891812328</v>
      </c>
      <c r="AM152" s="2">
        <f t="shared" si="15"/>
        <v>29.236004473772748</v>
      </c>
      <c r="AN152" s="2">
        <f t="shared" si="16"/>
        <v>28.108720341731317</v>
      </c>
      <c r="AO152" s="2">
        <f t="shared" si="17"/>
        <v>31.61596897215675</v>
      </c>
      <c r="AP152" s="2">
        <f t="shared" si="18"/>
        <v>32.42742755052592</v>
      </c>
    </row>
    <row r="153" spans="1:42">
      <c r="Z153" s="1" t="s">
        <v>91</v>
      </c>
      <c r="AA153" s="66">
        <f>SUM(AA142:AA152)</f>
        <v>159.77983992365154</v>
      </c>
      <c r="AB153" s="66">
        <f t="shared" ref="AB153:AP153" si="19">SUM(AB142:AB152)</f>
        <v>172.87552226445032</v>
      </c>
      <c r="AC153" s="66">
        <f t="shared" si="19"/>
        <v>182.87262294119552</v>
      </c>
      <c r="AD153" s="66">
        <f t="shared" si="19"/>
        <v>183.9252508527868</v>
      </c>
      <c r="AE153" s="66">
        <f t="shared" si="19"/>
        <v>195.8251477611999</v>
      </c>
      <c r="AF153" s="66">
        <f t="shared" si="19"/>
        <v>200.24741235191391</v>
      </c>
      <c r="AG153" s="66">
        <f t="shared" si="19"/>
        <v>213.07948525786693</v>
      </c>
      <c r="AH153" s="66">
        <f t="shared" si="19"/>
        <v>218.71265733575234</v>
      </c>
      <c r="AI153" s="66">
        <f t="shared" si="19"/>
        <v>227.89178961839829</v>
      </c>
      <c r="AJ153" s="66">
        <f t="shared" si="19"/>
        <v>234.32652582969075</v>
      </c>
      <c r="AK153" s="66">
        <f t="shared" si="19"/>
        <v>241.79707470696681</v>
      </c>
      <c r="AL153" s="66">
        <f t="shared" si="19"/>
        <v>250.71765558868435</v>
      </c>
      <c r="AM153" s="66">
        <f t="shared" si="19"/>
        <v>260.04178535603279</v>
      </c>
      <c r="AN153" s="66">
        <f t="shared" si="19"/>
        <v>262.59066554676235</v>
      </c>
      <c r="AO153" s="66">
        <f t="shared" si="19"/>
        <v>279.18347209432721</v>
      </c>
      <c r="AP153" s="66">
        <f t="shared" si="19"/>
        <v>290.50434640888074</v>
      </c>
    </row>
    <row r="161" spans="1:42">
      <c r="B161">
        <f t="array" ref="B161:Q161">TRANSPOSE(Years)</f>
        <v>2015</v>
      </c>
      <c r="C161">
        <v>2016</v>
      </c>
      <c r="D161">
        <v>2017</v>
      </c>
      <c r="E161">
        <v>2018</v>
      </c>
      <c r="F161">
        <v>2019</v>
      </c>
      <c r="G161">
        <v>2020</v>
      </c>
      <c r="H161">
        <v>2021</v>
      </c>
      <c r="I161">
        <v>2022</v>
      </c>
      <c r="J161">
        <v>2023</v>
      </c>
      <c r="K161">
        <v>2024</v>
      </c>
      <c r="L161">
        <v>2025</v>
      </c>
      <c r="M161">
        <v>2026</v>
      </c>
      <c r="N161">
        <v>2027</v>
      </c>
      <c r="O161">
        <v>2028</v>
      </c>
      <c r="P161">
        <v>2029</v>
      </c>
      <c r="Q161">
        <v>2030</v>
      </c>
      <c r="Z161" t="s">
        <v>23</v>
      </c>
      <c r="AA161">
        <f t="array" ref="AA161:AP161">TRANSPOSE(Years)</f>
        <v>2015</v>
      </c>
      <c r="AB161">
        <v>2016</v>
      </c>
      <c r="AC161">
        <v>2017</v>
      </c>
      <c r="AD161">
        <v>2018</v>
      </c>
      <c r="AE161">
        <v>2019</v>
      </c>
      <c r="AF161">
        <v>2020</v>
      </c>
      <c r="AG161">
        <v>2021</v>
      </c>
      <c r="AH161">
        <v>2022</v>
      </c>
      <c r="AI161">
        <v>2023</v>
      </c>
      <c r="AJ161">
        <v>2024</v>
      </c>
      <c r="AK161">
        <v>2025</v>
      </c>
      <c r="AL161">
        <v>2026</v>
      </c>
      <c r="AM161">
        <v>2027</v>
      </c>
      <c r="AN161">
        <v>2028</v>
      </c>
      <c r="AO161">
        <v>2029</v>
      </c>
      <c r="AP161">
        <v>2030</v>
      </c>
    </row>
    <row r="162" spans="1:42">
      <c r="A162" t="str">
        <f t="array" ref="A162:A172">Nodes</f>
        <v>AddisAbaba</v>
      </c>
      <c r="B162" s="2">
        <f>B142+0.1-COLUMN()/50</f>
        <v>0.75071891324212725</v>
      </c>
      <c r="C162" s="2">
        <f t="shared" ref="C162:Q162" si="20">C142+0.1-COLUMN()/50</f>
        <v>0.71008210894958745</v>
      </c>
      <c r="D162" s="2">
        <f t="shared" si="20"/>
        <v>0.71291122360271575</v>
      </c>
      <c r="E162" s="2">
        <f t="shared" si="20"/>
        <v>0.78648200297642068</v>
      </c>
      <c r="F162" s="2">
        <f t="shared" si="20"/>
        <v>0.78899383484218544</v>
      </c>
      <c r="G162" s="2">
        <f t="shared" si="20"/>
        <v>0.80047319659156035</v>
      </c>
      <c r="H162" s="2">
        <f t="shared" si="20"/>
        <v>0.79510661626003021</v>
      </c>
      <c r="I162" s="2">
        <f t="shared" si="20"/>
        <v>0.83765267677197963</v>
      </c>
      <c r="J162" s="2">
        <f t="shared" si="20"/>
        <v>0.85711153119649053</v>
      </c>
      <c r="K162" s="2">
        <f t="shared" si="20"/>
        <v>0.76090968909938039</v>
      </c>
      <c r="L162" s="2">
        <f t="shared" si="20"/>
        <v>0.77797375111884182</v>
      </c>
      <c r="M162" s="2">
        <f t="shared" si="20"/>
        <v>0.89380223571944994</v>
      </c>
      <c r="N162" s="2">
        <f t="shared" si="20"/>
        <v>0.86742142984758419</v>
      </c>
      <c r="O162" s="2">
        <f t="shared" si="20"/>
        <v>0.84433107800216622</v>
      </c>
      <c r="P162" s="2">
        <f t="shared" si="20"/>
        <v>0.82155846080299533</v>
      </c>
      <c r="Q162" s="2">
        <f t="shared" si="20"/>
        <v>0.93638872616353841</v>
      </c>
      <c r="Z162" t="str">
        <f t="array" ref="Z162:Z172">Nodes</f>
        <v>AddisAbaba</v>
      </c>
      <c r="AA162" s="2">
        <f>$G121*B162</f>
        <v>13.512940438358291</v>
      </c>
      <c r="AB162" s="2">
        <f t="shared" ref="AB162:AP162" si="21">$G121*C162</f>
        <v>12.781477961092573</v>
      </c>
      <c r="AC162" s="2">
        <f t="shared" si="21"/>
        <v>12.832402024848884</v>
      </c>
      <c r="AD162" s="2">
        <f t="shared" si="21"/>
        <v>14.156676053575572</v>
      </c>
      <c r="AE162" s="2">
        <f t="shared" si="21"/>
        <v>14.201889027159337</v>
      </c>
      <c r="AF162" s="2">
        <f t="shared" si="21"/>
        <v>14.408517538648086</v>
      </c>
      <c r="AG162" s="2">
        <f t="shared" si="21"/>
        <v>14.311919092680544</v>
      </c>
      <c r="AH162" s="2">
        <f t="shared" si="21"/>
        <v>15.077748181895632</v>
      </c>
      <c r="AI162" s="2">
        <f t="shared" si="21"/>
        <v>15.42800756153683</v>
      </c>
      <c r="AJ162" s="2">
        <f t="shared" si="21"/>
        <v>13.696374403788846</v>
      </c>
      <c r="AK162" s="2">
        <f t="shared" si="21"/>
        <v>14.003527520139153</v>
      </c>
      <c r="AL162" s="2">
        <f t="shared" si="21"/>
        <v>16.088440242950099</v>
      </c>
      <c r="AM162" s="2">
        <f t="shared" si="21"/>
        <v>15.613585737256516</v>
      </c>
      <c r="AN162" s="2">
        <f t="shared" si="21"/>
        <v>15.197959404038992</v>
      </c>
      <c r="AO162" s="2">
        <f t="shared" si="21"/>
        <v>14.788052294453916</v>
      </c>
      <c r="AP162" s="2">
        <f t="shared" si="21"/>
        <v>16.854997070943693</v>
      </c>
    </row>
    <row r="163" spans="1:42">
      <c r="A163" t="str">
        <v>Afar</v>
      </c>
      <c r="B163" s="2">
        <f t="shared" ref="B163:Q163" si="22">B143+0.1-COLUMN()/50</f>
        <v>0.63588253539838879</v>
      </c>
      <c r="C163" s="2">
        <f t="shared" si="22"/>
        <v>0.72141729883632655</v>
      </c>
      <c r="D163" s="2">
        <f t="shared" si="22"/>
        <v>0.71408501872211794</v>
      </c>
      <c r="E163" s="2">
        <f t="shared" si="22"/>
        <v>0.72222445166033911</v>
      </c>
      <c r="F163" s="2">
        <f t="shared" si="22"/>
        <v>0.78968944035412125</v>
      </c>
      <c r="G163" s="2">
        <f t="shared" si="22"/>
        <v>0.7884239544661078</v>
      </c>
      <c r="H163" s="2">
        <f t="shared" si="22"/>
        <v>0.77680880345701531</v>
      </c>
      <c r="I163" s="2">
        <f t="shared" si="22"/>
        <v>0.72015558541063163</v>
      </c>
      <c r="J163" s="2">
        <f t="shared" si="22"/>
        <v>0.73919722923613707</v>
      </c>
      <c r="K163" s="2">
        <f t="shared" si="22"/>
        <v>0.79005177180374475</v>
      </c>
      <c r="L163" s="2">
        <f t="shared" si="22"/>
        <v>0.76779257817734781</v>
      </c>
      <c r="M163" s="2">
        <f t="shared" si="22"/>
        <v>0.83676945785936074</v>
      </c>
      <c r="N163" s="2">
        <f t="shared" si="22"/>
        <v>0.85589603645084833</v>
      </c>
      <c r="O163" s="2">
        <f t="shared" si="22"/>
        <v>0.833082159839031</v>
      </c>
      <c r="P163" s="2">
        <f t="shared" si="22"/>
        <v>0.90449647562965407</v>
      </c>
      <c r="Q163" s="2">
        <f t="shared" si="22"/>
        <v>0.93304471651096565</v>
      </c>
      <c r="Z163" t="str">
        <v>Afar</v>
      </c>
      <c r="AA163" s="2">
        <f t="shared" ref="AA163:AA172" si="23">$G122*B163</f>
        <v>12.081768172569387</v>
      </c>
      <c r="AB163" s="2">
        <f t="shared" ref="AB163:AB172" si="24">$G122*C163</f>
        <v>13.706928677890204</v>
      </c>
      <c r="AC163" s="2">
        <f t="shared" ref="AC163:AC172" si="25">$G122*D163</f>
        <v>13.567615355720241</v>
      </c>
      <c r="AD163" s="2">
        <f t="shared" ref="AD163:AD172" si="26">$G122*E163</f>
        <v>13.722264581546444</v>
      </c>
      <c r="AE163" s="2">
        <f t="shared" ref="AE163:AE172" si="27">$G122*F163</f>
        <v>15.004099366728305</v>
      </c>
      <c r="AF163" s="2">
        <f t="shared" ref="AF163:AF172" si="28">$G122*G163</f>
        <v>14.980055134856048</v>
      </c>
      <c r="AG163" s="2">
        <f t="shared" ref="AG163:AG172" si="29">$G122*H163</f>
        <v>14.759367265683291</v>
      </c>
      <c r="AH163" s="2">
        <f t="shared" ref="AH163:AH172" si="30">$G122*I163</f>
        <v>13.682956122802</v>
      </c>
      <c r="AI163" s="2">
        <f t="shared" ref="AI163:AI172" si="31">$G122*J163</f>
        <v>14.044747355486605</v>
      </c>
      <c r="AJ163" s="2">
        <f t="shared" ref="AJ163:AJ172" si="32">$G122*K163</f>
        <v>15.01098366427115</v>
      </c>
      <c r="AK163" s="2">
        <f t="shared" ref="AK163:AK172" si="33">$G122*L163</f>
        <v>14.588058985369608</v>
      </c>
      <c r="AL163" s="2">
        <f t="shared" ref="AL163:AL172" si="34">$G122*M163</f>
        <v>15.898619699327854</v>
      </c>
      <c r="AM163" s="2">
        <f t="shared" ref="AM163:AM172" si="35">$G122*N163</f>
        <v>16.262024692566118</v>
      </c>
      <c r="AN163" s="2">
        <f t="shared" ref="AN163:AN172" si="36">$G122*O163</f>
        <v>15.82856103694159</v>
      </c>
      <c r="AO163" s="2">
        <f t="shared" ref="AO163:AO172" si="37">$G122*P163</f>
        <v>17.185433036963428</v>
      </c>
      <c r="AP163" s="2">
        <f t="shared" ref="AP163:AP172" si="38">$G122*Q163</f>
        <v>17.727849613708347</v>
      </c>
    </row>
    <row r="164" spans="1:42">
      <c r="A164" t="str">
        <v>Amhara</v>
      </c>
      <c r="B164" s="2">
        <f t="shared" ref="B164:Q164" si="39">B144+0.1-COLUMN()/50</f>
        <v>0.71772172442067816</v>
      </c>
      <c r="C164" s="2">
        <f t="shared" si="39"/>
        <v>0.6865962459276358</v>
      </c>
      <c r="D164" s="2">
        <f t="shared" si="39"/>
        <v>0.77384613851497763</v>
      </c>
      <c r="E164" s="2">
        <f t="shared" si="39"/>
        <v>0.6862477501292068</v>
      </c>
      <c r="F164" s="2">
        <f t="shared" si="39"/>
        <v>0.71072003877961687</v>
      </c>
      <c r="G164" s="2">
        <f t="shared" si="39"/>
        <v>0.73960441098139595</v>
      </c>
      <c r="H164" s="2">
        <f t="shared" si="39"/>
        <v>0.76448325779114312</v>
      </c>
      <c r="I164" s="2">
        <f t="shared" si="39"/>
        <v>0.794143699655528</v>
      </c>
      <c r="J164" s="2">
        <f t="shared" si="39"/>
        <v>0.85508083765120668</v>
      </c>
      <c r="K164" s="2">
        <f t="shared" si="39"/>
        <v>0.86221860912464221</v>
      </c>
      <c r="L164" s="2">
        <f t="shared" si="39"/>
        <v>0.77536150780528557</v>
      </c>
      <c r="M164" s="2">
        <f t="shared" si="39"/>
        <v>0.80919819816412319</v>
      </c>
      <c r="N164" s="2">
        <f t="shared" si="39"/>
        <v>0.83146527696433359</v>
      </c>
      <c r="O164" s="2">
        <f t="shared" si="39"/>
        <v>0.80674843771389848</v>
      </c>
      <c r="P164" s="2">
        <f t="shared" si="39"/>
        <v>0.88870781906706209</v>
      </c>
      <c r="Q164" s="2">
        <f t="shared" si="39"/>
        <v>0.91499539152837905</v>
      </c>
      <c r="Z164" t="str">
        <v>Amhara</v>
      </c>
      <c r="AA164" s="2">
        <f t="shared" si="23"/>
        <v>14.354434488413563</v>
      </c>
      <c r="AB164" s="2">
        <f t="shared" si="24"/>
        <v>13.731924918552716</v>
      </c>
      <c r="AC164" s="2">
        <f t="shared" si="25"/>
        <v>15.476922770299552</v>
      </c>
      <c r="AD164" s="2">
        <f t="shared" si="26"/>
        <v>13.724955002584135</v>
      </c>
      <c r="AE164" s="2">
        <f t="shared" si="27"/>
        <v>14.214400775592338</v>
      </c>
      <c r="AF164" s="2">
        <f t="shared" si="28"/>
        <v>14.792088219627919</v>
      </c>
      <c r="AG164" s="2">
        <f t="shared" si="29"/>
        <v>15.289665155822863</v>
      </c>
      <c r="AH164" s="2">
        <f t="shared" si="30"/>
        <v>15.882873993110561</v>
      </c>
      <c r="AI164" s="2">
        <f t="shared" si="31"/>
        <v>17.101616753024132</v>
      </c>
      <c r="AJ164" s="2">
        <f t="shared" si="32"/>
        <v>17.244372182492846</v>
      </c>
      <c r="AK164" s="2">
        <f t="shared" si="33"/>
        <v>15.507230156105711</v>
      </c>
      <c r="AL164" s="2">
        <f t="shared" si="34"/>
        <v>16.183963963282466</v>
      </c>
      <c r="AM164" s="2">
        <f t="shared" si="35"/>
        <v>16.629305539286673</v>
      </c>
      <c r="AN164" s="2">
        <f t="shared" si="36"/>
        <v>16.134968754277971</v>
      </c>
      <c r="AO164" s="2">
        <f t="shared" si="37"/>
        <v>17.774156381341243</v>
      </c>
      <c r="AP164" s="2">
        <f t="shared" si="38"/>
        <v>18.29990783056758</v>
      </c>
    </row>
    <row r="165" spans="1:42">
      <c r="A165" t="str">
        <v>Gumuz</v>
      </c>
      <c r="B165" s="2">
        <f t="shared" ref="B165:Q165" si="40">B145+0.1-COLUMN()/50</f>
        <v>0.68147524452124986</v>
      </c>
      <c r="C165" s="2">
        <f t="shared" si="40"/>
        <v>0.72712504685896651</v>
      </c>
      <c r="D165" s="2">
        <f t="shared" si="40"/>
        <v>0.71223711429443315</v>
      </c>
      <c r="E165" s="2">
        <f t="shared" si="40"/>
        <v>0.68169785217329248</v>
      </c>
      <c r="F165" s="2">
        <f t="shared" si="40"/>
        <v>0.76256779352342519</v>
      </c>
      <c r="G165" s="2">
        <f t="shared" si="40"/>
        <v>0.72782196276488986</v>
      </c>
      <c r="H165" s="2">
        <f t="shared" si="40"/>
        <v>0.79534856040554769</v>
      </c>
      <c r="I165" s="2">
        <f t="shared" si="40"/>
        <v>0.75680338435508454</v>
      </c>
      <c r="J165" s="2">
        <f t="shared" si="40"/>
        <v>0.84538100091814927</v>
      </c>
      <c r="K165" s="2">
        <f t="shared" si="40"/>
        <v>0.79343935214084182</v>
      </c>
      <c r="L165" s="2">
        <f t="shared" si="40"/>
        <v>0.8280516620733247</v>
      </c>
      <c r="M165" s="2">
        <f t="shared" si="40"/>
        <v>0.78659676219385166</v>
      </c>
      <c r="N165" s="2">
        <f t="shared" si="40"/>
        <v>0.81612958003417213</v>
      </c>
      <c r="O165" s="2">
        <f t="shared" si="40"/>
        <v>0.83030095207965937</v>
      </c>
      <c r="P165" s="2">
        <f t="shared" si="40"/>
        <v>0.86074368538872847</v>
      </c>
      <c r="Q165" s="2">
        <f t="shared" si="40"/>
        <v>0.9141964211683784</v>
      </c>
      <c r="Z165" t="str">
        <v>Gumuz</v>
      </c>
      <c r="AA165" s="2">
        <f t="shared" si="23"/>
        <v>14.310980134946247</v>
      </c>
      <c r="AB165" s="2">
        <f t="shared" si="24"/>
        <v>15.269625984038296</v>
      </c>
      <c r="AC165" s="2">
        <f t="shared" si="25"/>
        <v>14.956979400183096</v>
      </c>
      <c r="AD165" s="2">
        <f t="shared" si="26"/>
        <v>14.315654895639142</v>
      </c>
      <c r="AE165" s="2">
        <f t="shared" si="27"/>
        <v>16.013923663991928</v>
      </c>
      <c r="AF165" s="2">
        <f t="shared" si="28"/>
        <v>15.284261218062687</v>
      </c>
      <c r="AG165" s="2">
        <f t="shared" si="29"/>
        <v>16.702319768516503</v>
      </c>
      <c r="AH165" s="2">
        <f t="shared" si="30"/>
        <v>15.892871071456776</v>
      </c>
      <c r="AI165" s="2">
        <f t="shared" si="31"/>
        <v>17.753001019281136</v>
      </c>
      <c r="AJ165" s="2">
        <f t="shared" si="32"/>
        <v>16.662226394957678</v>
      </c>
      <c r="AK165" s="2">
        <f t="shared" si="33"/>
        <v>17.389084903539818</v>
      </c>
      <c r="AL165" s="2">
        <f t="shared" si="34"/>
        <v>16.518532006070885</v>
      </c>
      <c r="AM165" s="2">
        <f t="shared" si="35"/>
        <v>17.138721180717614</v>
      </c>
      <c r="AN165" s="2">
        <f t="shared" si="36"/>
        <v>17.436319993672846</v>
      </c>
      <c r="AO165" s="2">
        <f t="shared" si="37"/>
        <v>18.075617393163299</v>
      </c>
      <c r="AP165" s="2">
        <f t="shared" si="38"/>
        <v>19.198124844535947</v>
      </c>
    </row>
    <row r="166" spans="1:42">
      <c r="A166" t="str">
        <v>DireDawa</v>
      </c>
      <c r="B166" s="2">
        <f t="shared" ref="B166:Q166" si="41">B146+0.1-COLUMN()/50</f>
        <v>0.70734996069093703</v>
      </c>
      <c r="C166" s="2">
        <f t="shared" si="41"/>
        <v>0.73769433412734697</v>
      </c>
      <c r="D166" s="2">
        <f t="shared" si="41"/>
        <v>0.76768252660284386</v>
      </c>
      <c r="E166" s="2">
        <f t="shared" si="41"/>
        <v>0.70411785003803828</v>
      </c>
      <c r="F166" s="2">
        <f t="shared" si="41"/>
        <v>0.68891076073717228</v>
      </c>
      <c r="G166" s="2">
        <f t="shared" si="41"/>
        <v>0.71140150710896566</v>
      </c>
      <c r="H166" s="2">
        <f t="shared" si="41"/>
        <v>0.77575962249353903</v>
      </c>
      <c r="I166" s="2">
        <f t="shared" si="41"/>
        <v>0.79276405883588574</v>
      </c>
      <c r="J166" s="2">
        <f t="shared" si="41"/>
        <v>0.85459972930087647</v>
      </c>
      <c r="K166" s="2">
        <f t="shared" si="41"/>
        <v>0.83032210800759421</v>
      </c>
      <c r="L166" s="2">
        <f t="shared" si="41"/>
        <v>0.80122495586331977</v>
      </c>
      <c r="M166" s="2">
        <f t="shared" si="41"/>
        <v>0.81220974802501522</v>
      </c>
      <c r="N166" s="2">
        <f t="shared" si="41"/>
        <v>0.86501654551710616</v>
      </c>
      <c r="O166" s="2">
        <f t="shared" si="41"/>
        <v>0.82231935786971722</v>
      </c>
      <c r="P166" s="2">
        <f t="shared" si="41"/>
        <v>0.91132545327353998</v>
      </c>
      <c r="Q166" s="2">
        <f t="shared" si="41"/>
        <v>0.9408104366475436</v>
      </c>
      <c r="Z166" t="str">
        <v>DireDawa</v>
      </c>
      <c r="AA166" s="2">
        <f t="shared" si="23"/>
        <v>15.561699135200614</v>
      </c>
      <c r="AB166" s="2">
        <f t="shared" si="24"/>
        <v>16.229275350801633</v>
      </c>
      <c r="AC166" s="2">
        <f t="shared" si="25"/>
        <v>16.889015585262566</v>
      </c>
      <c r="AD166" s="2">
        <f t="shared" si="26"/>
        <v>15.490592700836842</v>
      </c>
      <c r="AE166" s="2">
        <f t="shared" si="27"/>
        <v>15.156036736217789</v>
      </c>
      <c r="AF166" s="2">
        <f t="shared" si="28"/>
        <v>15.650833156397244</v>
      </c>
      <c r="AG166" s="2">
        <f t="shared" si="29"/>
        <v>17.066711694857858</v>
      </c>
      <c r="AH166" s="2">
        <f t="shared" si="30"/>
        <v>17.440809294389485</v>
      </c>
      <c r="AI166" s="2">
        <f t="shared" si="31"/>
        <v>18.801194044619283</v>
      </c>
      <c r="AJ166" s="2">
        <f t="shared" si="32"/>
        <v>18.267086376167072</v>
      </c>
      <c r="AK166" s="2">
        <f t="shared" si="33"/>
        <v>17.626949028993035</v>
      </c>
      <c r="AL166" s="2">
        <f t="shared" si="34"/>
        <v>17.868614456550336</v>
      </c>
      <c r="AM166" s="2">
        <f t="shared" si="35"/>
        <v>19.030364001376334</v>
      </c>
      <c r="AN166" s="2">
        <f t="shared" si="36"/>
        <v>18.091025873133781</v>
      </c>
      <c r="AO166" s="2">
        <f t="shared" si="37"/>
        <v>20.049159972017879</v>
      </c>
      <c r="AP166" s="2">
        <f t="shared" si="38"/>
        <v>20.697829606245961</v>
      </c>
    </row>
    <row r="167" spans="1:42">
      <c r="A167" t="str">
        <v>Gambela</v>
      </c>
      <c r="B167" s="2">
        <f t="shared" ref="B167:Q167" si="42">B147+0.1-COLUMN()/50</f>
        <v>0.67248990268462128</v>
      </c>
      <c r="C167" s="2">
        <f t="shared" si="42"/>
        <v>0.75356313160752242</v>
      </c>
      <c r="D167" s="2">
        <f t="shared" si="42"/>
        <v>0.74879446195653165</v>
      </c>
      <c r="E167" s="2">
        <f t="shared" si="42"/>
        <v>0.74295989286348341</v>
      </c>
      <c r="F167" s="2">
        <f t="shared" si="42"/>
        <v>0.683445861787362</v>
      </c>
      <c r="G167" s="2">
        <f t="shared" si="42"/>
        <v>0.72235421211350825</v>
      </c>
      <c r="H167" s="2">
        <f t="shared" si="42"/>
        <v>0.81691307084246456</v>
      </c>
      <c r="I167" s="2">
        <f t="shared" si="42"/>
        <v>0.77147500575830263</v>
      </c>
      <c r="J167" s="2">
        <f t="shared" si="42"/>
        <v>0.79244975692019692</v>
      </c>
      <c r="K167" s="2">
        <f t="shared" si="42"/>
        <v>0.78478690025494657</v>
      </c>
      <c r="L167" s="2">
        <f t="shared" si="42"/>
        <v>0.77797760747592948</v>
      </c>
      <c r="M167" s="2">
        <f t="shared" si="42"/>
        <v>0.82826304838922415</v>
      </c>
      <c r="N167" s="2">
        <f t="shared" si="42"/>
        <v>0.80348427219884044</v>
      </c>
      <c r="O167" s="2">
        <f t="shared" si="42"/>
        <v>0.84540948091070378</v>
      </c>
      <c r="P167" s="2">
        <f t="shared" si="42"/>
        <v>0.818461517062685</v>
      </c>
      <c r="Q167" s="2">
        <f t="shared" si="42"/>
        <v>0.92547387545083692</v>
      </c>
      <c r="Z167" t="str">
        <v>Gambela</v>
      </c>
      <c r="AA167" s="2">
        <f t="shared" si="23"/>
        <v>15.467267761746289</v>
      </c>
      <c r="AB167" s="2">
        <f t="shared" si="24"/>
        <v>17.331952026973017</v>
      </c>
      <c r="AC167" s="2">
        <f t="shared" si="25"/>
        <v>17.22227262500023</v>
      </c>
      <c r="AD167" s="2">
        <f t="shared" si="26"/>
        <v>17.088077535860119</v>
      </c>
      <c r="AE167" s="2">
        <f t="shared" si="27"/>
        <v>15.719254821109326</v>
      </c>
      <c r="AF167" s="2">
        <f t="shared" si="28"/>
        <v>16.61414687861069</v>
      </c>
      <c r="AG167" s="2">
        <f t="shared" si="29"/>
        <v>18.789000629376684</v>
      </c>
      <c r="AH167" s="2">
        <f t="shared" si="30"/>
        <v>17.74392513244096</v>
      </c>
      <c r="AI167" s="2">
        <f t="shared" si="31"/>
        <v>18.226344409164529</v>
      </c>
      <c r="AJ167" s="2">
        <f t="shared" si="32"/>
        <v>18.050098705863771</v>
      </c>
      <c r="AK167" s="2">
        <f t="shared" si="33"/>
        <v>17.893484971946378</v>
      </c>
      <c r="AL167" s="2">
        <f t="shared" si="34"/>
        <v>19.050050112952157</v>
      </c>
      <c r="AM167" s="2">
        <f t="shared" si="35"/>
        <v>18.48013826057333</v>
      </c>
      <c r="AN167" s="2">
        <f t="shared" si="36"/>
        <v>19.444418060946187</v>
      </c>
      <c r="AO167" s="2">
        <f t="shared" si="37"/>
        <v>18.824614892441755</v>
      </c>
      <c r="AP167" s="2">
        <f t="shared" si="38"/>
        <v>21.285899135369249</v>
      </c>
    </row>
    <row r="168" spans="1:42">
      <c r="A168" t="str">
        <v>Harari</v>
      </c>
      <c r="B168" s="2">
        <f t="shared" ref="B168:Q168" si="43">B148+0.1-COLUMN()/50</f>
        <v>0.74882922338166724</v>
      </c>
      <c r="C168" s="2">
        <f t="shared" si="43"/>
        <v>0.7616434923304225</v>
      </c>
      <c r="D168" s="2">
        <f t="shared" si="43"/>
        <v>0.7495105886812049</v>
      </c>
      <c r="E168" s="2">
        <f t="shared" si="43"/>
        <v>0.75595152359785145</v>
      </c>
      <c r="F168" s="2">
        <f t="shared" si="43"/>
        <v>0.78512628887275593</v>
      </c>
      <c r="G168" s="2">
        <f t="shared" si="43"/>
        <v>0.75039642761961711</v>
      </c>
      <c r="H168" s="2">
        <f t="shared" si="43"/>
        <v>0.76284324437293405</v>
      </c>
      <c r="I168" s="2">
        <f t="shared" si="43"/>
        <v>0.72610351046113264</v>
      </c>
      <c r="J168" s="2">
        <f t="shared" si="43"/>
        <v>0.80258403882885943</v>
      </c>
      <c r="K168" s="2">
        <f t="shared" si="43"/>
        <v>0.81783621786885075</v>
      </c>
      <c r="L168" s="2">
        <f t="shared" si="43"/>
        <v>0.79939221900254287</v>
      </c>
      <c r="M168" s="2">
        <f t="shared" si="43"/>
        <v>0.8533118345836388</v>
      </c>
      <c r="N168" s="2">
        <f t="shared" si="43"/>
        <v>0.79779223974318003</v>
      </c>
      <c r="O168" s="2">
        <f t="shared" si="43"/>
        <v>0.80352387096290756</v>
      </c>
      <c r="P168" s="2">
        <f t="shared" si="43"/>
        <v>0.88232700368320649</v>
      </c>
      <c r="Q168" s="2">
        <f t="shared" si="43"/>
        <v>0.87154011501755768</v>
      </c>
      <c r="Z168" t="str">
        <v>Harari</v>
      </c>
      <c r="AA168" s="2">
        <f t="shared" si="23"/>
        <v>17.971901361160015</v>
      </c>
      <c r="AB168" s="2">
        <f t="shared" si="24"/>
        <v>18.27944381593014</v>
      </c>
      <c r="AC168" s="2">
        <f t="shared" si="25"/>
        <v>17.988254128348917</v>
      </c>
      <c r="AD168" s="2">
        <f t="shared" si="26"/>
        <v>18.142836566348436</v>
      </c>
      <c r="AE168" s="2">
        <f t="shared" si="27"/>
        <v>18.843030932946142</v>
      </c>
      <c r="AF168" s="2">
        <f t="shared" si="28"/>
        <v>18.009514262870809</v>
      </c>
      <c r="AG168" s="2">
        <f t="shared" si="29"/>
        <v>18.308237864950417</v>
      </c>
      <c r="AH168" s="2">
        <f t="shared" si="30"/>
        <v>17.426484251067183</v>
      </c>
      <c r="AI168" s="2">
        <f t="shared" si="31"/>
        <v>19.262016931892624</v>
      </c>
      <c r="AJ168" s="2">
        <f t="shared" si="32"/>
        <v>19.628069228852418</v>
      </c>
      <c r="AK168" s="2">
        <f t="shared" si="33"/>
        <v>19.185413256061029</v>
      </c>
      <c r="AL168" s="2">
        <f t="shared" si="34"/>
        <v>20.479484030007331</v>
      </c>
      <c r="AM168" s="2">
        <f t="shared" si="35"/>
        <v>19.147013753836319</v>
      </c>
      <c r="AN168" s="2">
        <f t="shared" si="36"/>
        <v>19.284572903109783</v>
      </c>
      <c r="AO168" s="2">
        <f t="shared" si="37"/>
        <v>21.175848088396954</v>
      </c>
      <c r="AP168" s="2">
        <f t="shared" si="38"/>
        <v>20.916962760421384</v>
      </c>
    </row>
    <row r="169" spans="1:42">
      <c r="A169" t="str">
        <v>Oromia</v>
      </c>
      <c r="B169" s="2">
        <f t="shared" ref="B169:Q169" si="44">B149+0.1-COLUMN()/50</f>
        <v>0.70334060504376383</v>
      </c>
      <c r="C169" s="2">
        <f t="shared" si="44"/>
        <v>0.67583140181756463</v>
      </c>
      <c r="D169" s="2">
        <f t="shared" si="44"/>
        <v>0.72557928126067428</v>
      </c>
      <c r="E169" s="2">
        <f t="shared" si="44"/>
        <v>0.74595026443174794</v>
      </c>
      <c r="F169" s="2">
        <f t="shared" si="44"/>
        <v>0.76143717178005788</v>
      </c>
      <c r="G169" s="2">
        <f t="shared" si="44"/>
        <v>0.73941887046523291</v>
      </c>
      <c r="H169" s="2">
        <f t="shared" si="44"/>
        <v>0.79921837582322852</v>
      </c>
      <c r="I169" s="2">
        <f t="shared" si="44"/>
        <v>0.8334046364569998</v>
      </c>
      <c r="J169" s="2">
        <f t="shared" si="44"/>
        <v>0.74706352789490449</v>
      </c>
      <c r="K169" s="2">
        <f t="shared" si="44"/>
        <v>0.84977076515432781</v>
      </c>
      <c r="L169" s="2">
        <f t="shared" si="44"/>
        <v>0.88497446484324249</v>
      </c>
      <c r="M169" s="2">
        <f t="shared" si="44"/>
        <v>0.8908694434802078</v>
      </c>
      <c r="N169" s="2">
        <f t="shared" si="44"/>
        <v>0.88937182442162999</v>
      </c>
      <c r="O169" s="2">
        <f t="shared" si="44"/>
        <v>0.87657168696632914</v>
      </c>
      <c r="P169" s="2">
        <f t="shared" si="44"/>
        <v>0.86643096566818278</v>
      </c>
      <c r="Q169" s="2">
        <f t="shared" si="44"/>
        <v>0.89777467311609338</v>
      </c>
      <c r="Z169" t="str">
        <v>Oromia</v>
      </c>
      <c r="AA169" s="2">
        <f t="shared" si="23"/>
        <v>17.583515126094095</v>
      </c>
      <c r="AB169" s="2">
        <f t="shared" si="24"/>
        <v>16.895785045439116</v>
      </c>
      <c r="AC169" s="2">
        <f t="shared" si="25"/>
        <v>18.139482031516856</v>
      </c>
      <c r="AD169" s="2">
        <f t="shared" si="26"/>
        <v>18.648756610793697</v>
      </c>
      <c r="AE169" s="2">
        <f t="shared" si="27"/>
        <v>19.035929294501447</v>
      </c>
      <c r="AF169" s="2">
        <f t="shared" si="28"/>
        <v>18.485471761630823</v>
      </c>
      <c r="AG169" s="2">
        <f t="shared" si="29"/>
        <v>19.980459395580713</v>
      </c>
      <c r="AH169" s="2">
        <f t="shared" si="30"/>
        <v>20.835115911424996</v>
      </c>
      <c r="AI169" s="2">
        <f t="shared" si="31"/>
        <v>18.676588197372613</v>
      </c>
      <c r="AJ169" s="2">
        <f t="shared" si="32"/>
        <v>21.244269128858196</v>
      </c>
      <c r="AK169" s="2">
        <f t="shared" si="33"/>
        <v>22.124361621081061</v>
      </c>
      <c r="AL169" s="2">
        <f t="shared" si="34"/>
        <v>22.271736087005195</v>
      </c>
      <c r="AM169" s="2">
        <f t="shared" si="35"/>
        <v>22.234295610540748</v>
      </c>
      <c r="AN169" s="2">
        <f t="shared" si="36"/>
        <v>21.914292174158227</v>
      </c>
      <c r="AO169" s="2">
        <f t="shared" si="37"/>
        <v>21.660774141704568</v>
      </c>
      <c r="AP169" s="2">
        <f t="shared" si="38"/>
        <v>22.444366827902336</v>
      </c>
    </row>
    <row r="170" spans="1:42">
      <c r="A170" t="str">
        <v>Somali</v>
      </c>
      <c r="B170" s="2">
        <f t="shared" ref="B170:Q170" si="45">B150+0.1-COLUMN()/50</f>
        <v>0.72235779354203533</v>
      </c>
      <c r="C170" s="2">
        <f t="shared" si="45"/>
        <v>0.75254872032708664</v>
      </c>
      <c r="D170" s="2">
        <f t="shared" si="45"/>
        <v>0.76811042529426943</v>
      </c>
      <c r="E170" s="2">
        <f t="shared" si="45"/>
        <v>0.73192276449037175</v>
      </c>
      <c r="F170" s="2">
        <f t="shared" si="45"/>
        <v>0.80347708707568555</v>
      </c>
      <c r="G170" s="2">
        <f t="shared" si="45"/>
        <v>0.781466769258091</v>
      </c>
      <c r="H170" s="2">
        <f t="shared" si="45"/>
        <v>0.77140735562442941</v>
      </c>
      <c r="I170" s="2">
        <f t="shared" si="45"/>
        <v>0.82870980740352618</v>
      </c>
      <c r="J170" s="2">
        <f t="shared" si="45"/>
        <v>0.76071325965728276</v>
      </c>
      <c r="K170" s="2">
        <f t="shared" si="45"/>
        <v>0.82507980836368455</v>
      </c>
      <c r="L170" s="2">
        <f t="shared" si="45"/>
        <v>0.77916996832056329</v>
      </c>
      <c r="M170" s="2">
        <f t="shared" si="45"/>
        <v>0.79554423058043811</v>
      </c>
      <c r="N170" s="2">
        <f t="shared" si="45"/>
        <v>0.90921539256399608</v>
      </c>
      <c r="O170" s="2">
        <f t="shared" si="45"/>
        <v>0.81781603668556202</v>
      </c>
      <c r="P170" s="2">
        <f t="shared" si="45"/>
        <v>0.89360363584308078</v>
      </c>
      <c r="Q170" s="2">
        <f t="shared" si="45"/>
        <v>0.83406002494627929</v>
      </c>
      <c r="Z170" t="str">
        <v>Somali</v>
      </c>
      <c r="AA170" s="2">
        <f t="shared" si="23"/>
        <v>18.781302632092917</v>
      </c>
      <c r="AB170" s="2">
        <f t="shared" si="24"/>
        <v>19.566266728504253</v>
      </c>
      <c r="AC170" s="2">
        <f t="shared" si="25"/>
        <v>19.970871057651006</v>
      </c>
      <c r="AD170" s="2">
        <f t="shared" si="26"/>
        <v>19.029991876749666</v>
      </c>
      <c r="AE170" s="2">
        <f t="shared" si="27"/>
        <v>20.890404263967824</v>
      </c>
      <c r="AF170" s="2">
        <f t="shared" si="28"/>
        <v>20.318136000710368</v>
      </c>
      <c r="AG170" s="2">
        <f t="shared" si="29"/>
        <v>20.056591246235165</v>
      </c>
      <c r="AH170" s="2">
        <f t="shared" si="30"/>
        <v>21.546454992491682</v>
      </c>
      <c r="AI170" s="2">
        <f t="shared" si="31"/>
        <v>19.778544751089353</v>
      </c>
      <c r="AJ170" s="2">
        <f t="shared" si="32"/>
        <v>21.452075017455797</v>
      </c>
      <c r="AK170" s="2">
        <f t="shared" si="33"/>
        <v>20.258419176334645</v>
      </c>
      <c r="AL170" s="2">
        <f t="shared" si="34"/>
        <v>20.684149995091392</v>
      </c>
      <c r="AM170" s="2">
        <f t="shared" si="35"/>
        <v>23.6396002066639</v>
      </c>
      <c r="AN170" s="2">
        <f t="shared" si="36"/>
        <v>21.263216953824614</v>
      </c>
      <c r="AO170" s="2">
        <f t="shared" si="37"/>
        <v>23.233694531920101</v>
      </c>
      <c r="AP170" s="2">
        <f t="shared" si="38"/>
        <v>21.685560648603261</v>
      </c>
    </row>
    <row r="171" spans="1:42">
      <c r="A171" t="str">
        <v>SNNPR</v>
      </c>
      <c r="B171" s="2">
        <f t="shared" ref="B171:Q171" si="46">B151+0.1-COLUMN()/50</f>
        <v>0.6516494232179082</v>
      </c>
      <c r="C171" s="2">
        <f t="shared" si="46"/>
        <v>0.66933395010989472</v>
      </c>
      <c r="D171" s="2">
        <f t="shared" si="46"/>
        <v>0.77293640001590247</v>
      </c>
      <c r="E171" s="2">
        <f t="shared" si="46"/>
        <v>0.67533031043134351</v>
      </c>
      <c r="F171" s="2">
        <f t="shared" si="46"/>
        <v>0.79307642635397269</v>
      </c>
      <c r="G171" s="2">
        <f t="shared" si="46"/>
        <v>0.75862408542971305</v>
      </c>
      <c r="H171" s="2">
        <f t="shared" si="46"/>
        <v>0.82247946152080109</v>
      </c>
      <c r="I171" s="2">
        <f t="shared" si="46"/>
        <v>0.78654253697520882</v>
      </c>
      <c r="J171" s="2">
        <f t="shared" si="46"/>
        <v>0.79072808404687533</v>
      </c>
      <c r="K171" s="2">
        <f t="shared" si="46"/>
        <v>0.75867830232485101</v>
      </c>
      <c r="L171" s="2">
        <f t="shared" si="46"/>
        <v>0.85985782689614365</v>
      </c>
      <c r="M171" s="2">
        <f t="shared" si="46"/>
        <v>0.83254189272719636</v>
      </c>
      <c r="N171" s="2">
        <f t="shared" si="46"/>
        <v>0.81965673701638897</v>
      </c>
      <c r="O171" s="2">
        <f t="shared" si="46"/>
        <v>0.92172629818248253</v>
      </c>
      <c r="P171" s="2">
        <f t="shared" si="46"/>
        <v>0.93704268110249367</v>
      </c>
      <c r="Q171" s="2">
        <f t="shared" si="46"/>
        <v>0.92464520444655762</v>
      </c>
      <c r="Z171" t="str">
        <v>SNNPR</v>
      </c>
      <c r="AA171" s="2">
        <f t="shared" si="23"/>
        <v>17.59453442688352</v>
      </c>
      <c r="AB171" s="2">
        <f t="shared" si="24"/>
        <v>18.072016652967157</v>
      </c>
      <c r="AC171" s="2">
        <f t="shared" si="25"/>
        <v>20.869282800429367</v>
      </c>
      <c r="AD171" s="2">
        <f t="shared" si="26"/>
        <v>18.233918381646276</v>
      </c>
      <c r="AE171" s="2">
        <f t="shared" si="27"/>
        <v>21.413063511557262</v>
      </c>
      <c r="AF171" s="2">
        <f t="shared" si="28"/>
        <v>20.482850306602252</v>
      </c>
      <c r="AG171" s="2">
        <f t="shared" si="29"/>
        <v>22.206945461061629</v>
      </c>
      <c r="AH171" s="2">
        <f t="shared" si="30"/>
        <v>21.236648498330638</v>
      </c>
      <c r="AI171" s="2">
        <f t="shared" si="31"/>
        <v>21.349658269265635</v>
      </c>
      <c r="AJ171" s="2">
        <f t="shared" si="32"/>
        <v>20.484314162770978</v>
      </c>
      <c r="AK171" s="2">
        <f t="shared" si="33"/>
        <v>23.216161326195877</v>
      </c>
      <c r="AL171" s="2">
        <f t="shared" si="34"/>
        <v>22.478631103634303</v>
      </c>
      <c r="AM171" s="2">
        <f t="shared" si="35"/>
        <v>22.130731899442502</v>
      </c>
      <c r="AN171" s="2">
        <f t="shared" si="36"/>
        <v>24.886610050927029</v>
      </c>
      <c r="AO171" s="2">
        <f t="shared" si="37"/>
        <v>25.30015238976733</v>
      </c>
      <c r="AP171" s="2">
        <f t="shared" si="38"/>
        <v>24.965420520057055</v>
      </c>
    </row>
    <row r="172" spans="1:42">
      <c r="A172" t="str">
        <v>Tigray</v>
      </c>
      <c r="B172" s="2">
        <f t="shared" ref="B172:Q172" si="47">B152+0.1-COLUMN()/50</f>
        <v>0.63355343736380754</v>
      </c>
      <c r="C172" s="2">
        <f t="shared" si="47"/>
        <v>0.75467232508075854</v>
      </c>
      <c r="D172" s="2">
        <f t="shared" si="47"/>
        <v>0.71498304149767322</v>
      </c>
      <c r="E172" s="2">
        <f t="shared" si="47"/>
        <v>0.76326880882880266</v>
      </c>
      <c r="F172" s="2">
        <f t="shared" si="47"/>
        <v>0.72403983455100707</v>
      </c>
      <c r="G172" s="2">
        <f t="shared" si="47"/>
        <v>0.75362635263917621</v>
      </c>
      <c r="H172" s="2">
        <f t="shared" si="47"/>
        <v>0.72958098868218735</v>
      </c>
      <c r="I172" s="2">
        <f t="shared" si="47"/>
        <v>0.77524178165508584</v>
      </c>
      <c r="J172" s="2">
        <f t="shared" si="47"/>
        <v>0.79178822591662668</v>
      </c>
      <c r="K172" s="2">
        <f t="shared" si="47"/>
        <v>0.79380916300757121</v>
      </c>
      <c r="L172" s="2">
        <f t="shared" si="47"/>
        <v>0.87801370575716109</v>
      </c>
      <c r="M172" s="2">
        <f t="shared" si="47"/>
        <v>0.81126549613615473</v>
      </c>
      <c r="N172" s="2">
        <f t="shared" si="47"/>
        <v>0.86414301692045536</v>
      </c>
      <c r="O172" s="2">
        <f t="shared" si="47"/>
        <v>0.80388286934754705</v>
      </c>
      <c r="P172" s="2">
        <f t="shared" si="47"/>
        <v>0.90914174900559819</v>
      </c>
      <c r="Q172" s="2">
        <f t="shared" si="47"/>
        <v>0.91812241251878279</v>
      </c>
      <c r="Z172" t="str">
        <v>Tigray</v>
      </c>
      <c r="AA172" s="2">
        <f t="shared" si="23"/>
        <v>17.739496246186611</v>
      </c>
      <c r="AB172" s="2">
        <f t="shared" si="24"/>
        <v>21.130825102261241</v>
      </c>
      <c r="AC172" s="2">
        <f t="shared" si="25"/>
        <v>20.019525161934851</v>
      </c>
      <c r="AD172" s="2">
        <f t="shared" si="26"/>
        <v>21.371526647206473</v>
      </c>
      <c r="AE172" s="2">
        <f t="shared" si="27"/>
        <v>20.273115367428197</v>
      </c>
      <c r="AF172" s="2">
        <f t="shared" si="28"/>
        <v>21.101537873896934</v>
      </c>
      <c r="AG172" s="2">
        <f t="shared" si="29"/>
        <v>20.428267683101247</v>
      </c>
      <c r="AH172" s="2">
        <f t="shared" si="30"/>
        <v>21.706769886342403</v>
      </c>
      <c r="AI172" s="2">
        <f t="shared" si="31"/>
        <v>22.170070325665549</v>
      </c>
      <c r="AJ172" s="2">
        <f t="shared" si="32"/>
        <v>22.226656564211993</v>
      </c>
      <c r="AK172" s="2">
        <f t="shared" si="33"/>
        <v>24.58438376120051</v>
      </c>
      <c r="AL172" s="2">
        <f t="shared" si="34"/>
        <v>22.715433891812332</v>
      </c>
      <c r="AM172" s="2">
        <f t="shared" si="35"/>
        <v>24.196004473772749</v>
      </c>
      <c r="AN172" s="2">
        <f t="shared" si="36"/>
        <v>22.508720341731319</v>
      </c>
      <c r="AO172" s="2">
        <f t="shared" si="37"/>
        <v>25.45596897215675</v>
      </c>
      <c r="AP172" s="2">
        <f t="shared" si="38"/>
        <v>25.707427550525917</v>
      </c>
    </row>
    <row r="173" spans="1:42">
      <c r="Z173" s="1" t="s">
        <v>91</v>
      </c>
      <c r="AA173" s="66">
        <f>SUM(AA162:AA172)</f>
        <v>174.95983992365154</v>
      </c>
      <c r="AB173" s="66">
        <f t="shared" ref="AB173" si="48">SUM(AB162:AB172)</f>
        <v>182.99552226445033</v>
      </c>
      <c r="AC173" s="66">
        <f t="shared" ref="AC173" si="49">SUM(AC162:AC172)</f>
        <v>187.93262294119558</v>
      </c>
      <c r="AD173" s="66">
        <f t="shared" ref="AD173" si="50">SUM(AD162:AD172)</f>
        <v>183.9252508527868</v>
      </c>
      <c r="AE173" s="66">
        <f t="shared" ref="AE173" si="51">SUM(AE162:AE172)</f>
        <v>190.7651477611999</v>
      </c>
      <c r="AF173" s="66">
        <f t="shared" ref="AF173" si="52">SUM(AF162:AF172)</f>
        <v>190.12741235191388</v>
      </c>
      <c r="AG173" s="66">
        <f t="shared" ref="AG173" si="53">SUM(AG162:AG172)</f>
        <v>197.8994852578669</v>
      </c>
      <c r="AH173" s="66">
        <f t="shared" ref="AH173" si="54">SUM(AH162:AH172)</f>
        <v>198.4726573357523</v>
      </c>
      <c r="AI173" s="66">
        <f t="shared" ref="AI173" si="55">SUM(AI162:AI172)</f>
        <v>202.59178961839831</v>
      </c>
      <c r="AJ173" s="66">
        <f t="shared" ref="AJ173" si="56">SUM(AJ162:AJ172)</f>
        <v>203.96652582969074</v>
      </c>
      <c r="AK173" s="66">
        <f t="shared" ref="AK173" si="57">SUM(AK162:AK172)</f>
        <v>206.37707470696682</v>
      </c>
      <c r="AL173" s="66">
        <f t="shared" ref="AL173" si="58">SUM(AL162:AL172)</f>
        <v>210.23765558868433</v>
      </c>
      <c r="AM173" s="66">
        <f t="shared" ref="AM173" si="59">SUM(AM162:AM172)</f>
        <v>214.5017853560328</v>
      </c>
      <c r="AN173" s="66">
        <f t="shared" ref="AN173" si="60">SUM(AN162:AN172)</f>
        <v>211.99066554676233</v>
      </c>
      <c r="AO173" s="66">
        <f t="shared" ref="AO173" si="61">SUM(AO162:AO172)</f>
        <v>223.52347209432722</v>
      </c>
      <c r="AP173" s="66">
        <f t="shared" ref="AP173" si="62">SUM(AP162:AP172)</f>
        <v>229.78434640888071</v>
      </c>
    </row>
  </sheetData>
  <pageMargins left="0.75" right="0.75" top="1" bottom="1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L18"/>
  <sheetViews>
    <sheetView zoomScale="85" zoomScaleNormal="85" workbookViewId="0">
      <selection activeCell="I26" sqref="H26:I27"/>
    </sheetView>
  </sheetViews>
  <sheetFormatPr defaultColWidth="11" defaultRowHeight="15.75"/>
  <sheetData>
    <row r="2" spans="2:12" s="1" customFormat="1">
      <c r="B2" s="1" t="s">
        <v>0</v>
      </c>
      <c r="D2" s="1" t="s">
        <v>1</v>
      </c>
      <c r="F2" s="1" t="s">
        <v>4</v>
      </c>
      <c r="H2" s="1" t="s">
        <v>26</v>
      </c>
      <c r="J2" s="1" t="s">
        <v>15</v>
      </c>
    </row>
    <row r="3" spans="2:12">
      <c r="B3">
        <v>2015</v>
      </c>
      <c r="D3" t="s">
        <v>3</v>
      </c>
      <c r="F3" t="s">
        <v>5</v>
      </c>
      <c r="H3" t="s">
        <v>16</v>
      </c>
      <c r="J3" t="s">
        <v>16</v>
      </c>
      <c r="L3" t="s">
        <v>62</v>
      </c>
    </row>
    <row r="4" spans="2:12">
      <c r="B4">
        <f>B3+1</f>
        <v>2016</v>
      </c>
      <c r="D4" t="s">
        <v>2</v>
      </c>
      <c r="F4" t="s">
        <v>6</v>
      </c>
      <c r="H4" t="s">
        <v>20</v>
      </c>
      <c r="J4" t="s">
        <v>20</v>
      </c>
      <c r="L4" t="s">
        <v>67</v>
      </c>
    </row>
    <row r="5" spans="2:12">
      <c r="B5">
        <f t="shared" ref="B5:B18" si="0">B4+1</f>
        <v>2017</v>
      </c>
      <c r="F5" t="s">
        <v>7</v>
      </c>
      <c r="H5" t="s">
        <v>17</v>
      </c>
      <c r="J5" t="s">
        <v>17</v>
      </c>
      <c r="L5" t="s">
        <v>63</v>
      </c>
    </row>
    <row r="6" spans="2:12">
      <c r="B6">
        <f t="shared" si="0"/>
        <v>2018</v>
      </c>
      <c r="F6" t="s">
        <v>8</v>
      </c>
      <c r="H6" t="s">
        <v>24</v>
      </c>
      <c r="J6" t="s">
        <v>24</v>
      </c>
      <c r="L6" t="s">
        <v>64</v>
      </c>
    </row>
    <row r="7" spans="2:12">
      <c r="B7">
        <f t="shared" si="0"/>
        <v>2019</v>
      </c>
      <c r="F7" t="s">
        <v>9</v>
      </c>
      <c r="H7" t="s">
        <v>21</v>
      </c>
      <c r="J7" t="s">
        <v>21</v>
      </c>
      <c r="L7" t="s">
        <v>65</v>
      </c>
    </row>
    <row r="8" spans="2:12">
      <c r="B8">
        <f t="shared" si="0"/>
        <v>2020</v>
      </c>
      <c r="F8" t="s">
        <v>10</v>
      </c>
      <c r="H8" t="s">
        <v>18</v>
      </c>
      <c r="J8" t="s">
        <v>18</v>
      </c>
      <c r="L8" t="s">
        <v>66</v>
      </c>
    </row>
    <row r="9" spans="2:12">
      <c r="B9">
        <f t="shared" si="0"/>
        <v>2021</v>
      </c>
      <c r="F9" t="s">
        <v>11</v>
      </c>
      <c r="H9" t="s">
        <v>22</v>
      </c>
    </row>
    <row r="10" spans="2:12">
      <c r="B10">
        <f t="shared" si="0"/>
        <v>2022</v>
      </c>
      <c r="F10" t="s">
        <v>12</v>
      </c>
      <c r="H10" t="s">
        <v>23</v>
      </c>
    </row>
    <row r="11" spans="2:12">
      <c r="B11">
        <f t="shared" si="0"/>
        <v>2023</v>
      </c>
      <c r="F11" t="s">
        <v>13</v>
      </c>
    </row>
    <row r="12" spans="2:12">
      <c r="B12">
        <f t="shared" si="0"/>
        <v>2024</v>
      </c>
      <c r="F12" t="s">
        <v>19</v>
      </c>
    </row>
    <row r="13" spans="2:12">
      <c r="B13">
        <f t="shared" si="0"/>
        <v>2025</v>
      </c>
      <c r="F13" t="s">
        <v>14</v>
      </c>
    </row>
    <row r="14" spans="2:12">
      <c r="B14">
        <f t="shared" si="0"/>
        <v>2026</v>
      </c>
    </row>
    <row r="15" spans="2:12">
      <c r="B15">
        <f t="shared" si="0"/>
        <v>2027</v>
      </c>
    </row>
    <row r="16" spans="2:12">
      <c r="B16">
        <f t="shared" si="0"/>
        <v>2028</v>
      </c>
    </row>
    <row r="17" spans="2:2">
      <c r="B17">
        <f t="shared" si="0"/>
        <v>2029</v>
      </c>
    </row>
    <row r="18" spans="2:2">
      <c r="B18">
        <f t="shared" si="0"/>
        <v>2030</v>
      </c>
    </row>
  </sheetData>
  <pageMargins left="0.75" right="0.75" top="1" bottom="1" header="0.3" footer="0.3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214"/>
  <sheetViews>
    <sheetView topLeftCell="G1" zoomScale="85" zoomScaleNormal="85" workbookViewId="0">
      <selection activeCell="Q21" sqref="Q21:AO33"/>
    </sheetView>
  </sheetViews>
  <sheetFormatPr defaultColWidth="8.875" defaultRowHeight="15.75"/>
  <cols>
    <col min="1" max="2" width="11.5" bestFit="1" customWidth="1"/>
    <col min="3" max="3" width="15.25" customWidth="1"/>
    <col min="4" max="4" width="11.875" customWidth="1"/>
    <col min="17" max="18" width="11.5" bestFit="1" customWidth="1"/>
    <col min="19" max="19" width="5.75" bestFit="1" customWidth="1"/>
    <col min="20" max="20" width="7.75" customWidth="1"/>
    <col min="21" max="21" width="7.125" customWidth="1"/>
    <col min="22" max="22" width="9.375" bestFit="1" customWidth="1"/>
    <col min="23" max="23" width="8.625" customWidth="1"/>
    <col min="24" max="24" width="6.25" customWidth="1"/>
    <col min="25" max="25" width="7.375" customWidth="1"/>
    <col min="26" max="26" width="6.75" customWidth="1"/>
    <col min="27" max="27" width="6.875" customWidth="1"/>
    <col min="28" max="28" width="6.25" customWidth="1"/>
    <col min="30" max="31" width="11.5" bestFit="1" customWidth="1"/>
    <col min="32" max="32" width="6.75" customWidth="1"/>
    <col min="33" max="33" width="7.75" bestFit="1" customWidth="1"/>
    <col min="34" max="34" width="7.125" bestFit="1" customWidth="1"/>
    <col min="35" max="35" width="9.375" bestFit="1" customWidth="1"/>
    <col min="36" max="36" width="8.625" bestFit="1" customWidth="1"/>
    <col min="37" max="37" width="6.75" customWidth="1"/>
    <col min="38" max="38" width="7.375" bestFit="1" customWidth="1"/>
    <col min="39" max="39" width="6.75" customWidth="1"/>
    <col min="40" max="40" width="6.875" bestFit="1" customWidth="1"/>
    <col min="41" max="41" width="6.75" customWidth="1"/>
  </cols>
  <sheetData>
    <row r="1" spans="1:41" s="1" customFormat="1"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19</v>
      </c>
      <c r="L1" s="1" t="s">
        <v>14</v>
      </c>
      <c r="Q1" s="1" t="s">
        <v>86</v>
      </c>
      <c r="R1" s="1" t="s">
        <v>5</v>
      </c>
      <c r="S1" s="1" t="s">
        <v>6</v>
      </c>
      <c r="T1" s="1" t="s">
        <v>7</v>
      </c>
      <c r="U1" s="1" t="s">
        <v>8</v>
      </c>
      <c r="V1" s="1" t="s">
        <v>9</v>
      </c>
      <c r="W1" s="1" t="s">
        <v>10</v>
      </c>
      <c r="X1" s="1" t="s">
        <v>11</v>
      </c>
      <c r="Y1" s="1" t="s">
        <v>12</v>
      </c>
      <c r="Z1" s="1" t="s">
        <v>13</v>
      </c>
      <c r="AA1" s="1" t="s">
        <v>19</v>
      </c>
      <c r="AB1" s="1" t="s">
        <v>14</v>
      </c>
      <c r="AE1" s="1" t="s">
        <v>5</v>
      </c>
      <c r="AF1" s="1" t="s">
        <v>6</v>
      </c>
      <c r="AG1" s="1" t="s">
        <v>7</v>
      </c>
      <c r="AH1" s="1" t="s">
        <v>8</v>
      </c>
      <c r="AI1" s="1" t="s">
        <v>9</v>
      </c>
      <c r="AJ1" s="1" t="s">
        <v>10</v>
      </c>
      <c r="AK1" s="1" t="s">
        <v>11</v>
      </c>
      <c r="AL1" s="1" t="s">
        <v>12</v>
      </c>
      <c r="AM1" s="1" t="s">
        <v>13</v>
      </c>
      <c r="AN1" s="1" t="s">
        <v>19</v>
      </c>
      <c r="AO1" s="1" t="s">
        <v>14</v>
      </c>
    </row>
    <row r="2" spans="1:41">
      <c r="A2" s="1" t="s">
        <v>5</v>
      </c>
      <c r="B2" s="4" t="str">
        <f>IF(ISERROR(MATCH($A2,D$22:D$330,0)),"No","Yes")</f>
        <v>No</v>
      </c>
      <c r="C2" s="4" t="str">
        <f>IF(ISERROR(MATCH($A2,E$22:E$330,0)),"No","Yes")</f>
        <v>No</v>
      </c>
      <c r="D2" s="4" t="str">
        <f>IF(ISERROR(MATCH($A2,F$22:F$330,0)),"No","Yes")</f>
        <v>No</v>
      </c>
      <c r="E2" s="4" t="str">
        <f>IF(ISERROR(MATCH($A2,G$22:G$330,0)),"No","Yes")</f>
        <v>No</v>
      </c>
      <c r="F2" s="4" t="str">
        <f>IF(ISERROR(MATCH($A2,H$22:H$330,0)),"No","Yes")</f>
        <v>No</v>
      </c>
      <c r="G2" s="4" t="str">
        <f>IF(ISERROR(MATCH($A2,I$22:I$330,0)),"No","Yes")</f>
        <v>No</v>
      </c>
      <c r="H2" s="4" t="str">
        <f>IF(ISERROR(MATCH($A2,J$22:J$330,0)),"No","Yes")</f>
        <v>No</v>
      </c>
      <c r="I2" s="4" t="str">
        <f>IF(ISERROR(MATCH($A2,K$22:K$330,0)),"No","Yes")</f>
        <v>Yes</v>
      </c>
      <c r="J2" s="4" t="str">
        <f>IF(ISERROR(MATCH($A2,L$22:L$330,0)),"No","Yes")</f>
        <v>No</v>
      </c>
      <c r="K2" s="4" t="str">
        <f>IF(ISERROR(MATCH($A2,M$22:M$330,0)),"No","Yes")</f>
        <v>Yes</v>
      </c>
      <c r="L2" s="4" t="str">
        <f>IF(ISERROR(MATCH($A2,N$22:N$330,0)),"No","Yes")</f>
        <v>No</v>
      </c>
      <c r="Q2" s="1" t="s">
        <v>5</v>
      </c>
      <c r="R2" s="2" t="str">
        <f>IF(B2="Yes",R22,"")</f>
        <v/>
      </c>
      <c r="S2" s="2" t="str">
        <f t="shared" ref="S2:AB2" si="0">IF(C2="Yes",S22,"")</f>
        <v/>
      </c>
      <c r="T2" s="2" t="str">
        <f t="shared" si="0"/>
        <v/>
      </c>
      <c r="U2" s="2" t="str">
        <f t="shared" si="0"/>
        <v/>
      </c>
      <c r="V2" s="2" t="str">
        <f t="shared" si="0"/>
        <v/>
      </c>
      <c r="W2" s="2" t="str">
        <f t="shared" si="0"/>
        <v/>
      </c>
      <c r="X2" s="2" t="str">
        <f t="shared" si="0"/>
        <v/>
      </c>
      <c r="Y2" s="2">
        <f t="shared" si="0"/>
        <v>0.62867196107882073</v>
      </c>
      <c r="Z2" s="2" t="str">
        <f t="shared" si="0"/>
        <v/>
      </c>
      <c r="AA2" s="2">
        <f t="shared" si="0"/>
        <v>0.72288981887902615</v>
      </c>
      <c r="AB2" s="2" t="str">
        <f t="shared" si="0"/>
        <v/>
      </c>
      <c r="AD2" s="1" t="s">
        <v>5</v>
      </c>
      <c r="AE2" s="2" t="str">
        <f>IF(B2="Yes",AE22,"")</f>
        <v/>
      </c>
      <c r="AF2" s="2" t="str">
        <f t="shared" ref="AF2:AO2" si="1">IF(C2="Yes",AF22,"")</f>
        <v/>
      </c>
      <c r="AG2" s="2" t="str">
        <f t="shared" si="1"/>
        <v/>
      </c>
      <c r="AH2" s="2" t="str">
        <f t="shared" si="1"/>
        <v/>
      </c>
      <c r="AI2" s="2" t="str">
        <f t="shared" si="1"/>
        <v/>
      </c>
      <c r="AJ2" s="2" t="str">
        <f t="shared" si="1"/>
        <v/>
      </c>
      <c r="AK2" s="2" t="str">
        <f t="shared" si="1"/>
        <v/>
      </c>
      <c r="AL2" s="2">
        <f t="shared" si="1"/>
        <v>223.71588022299218</v>
      </c>
      <c r="AM2" s="2" t="str">
        <f t="shared" si="1"/>
        <v/>
      </c>
      <c r="AN2" s="2">
        <f t="shared" si="1"/>
        <v>237.90866143610415</v>
      </c>
      <c r="AO2" s="2" t="str">
        <f t="shared" si="1"/>
        <v/>
      </c>
    </row>
    <row r="3" spans="1:41">
      <c r="A3" s="1" t="s">
        <v>6</v>
      </c>
      <c r="B3" s="4" t="str">
        <f>IF(ISERROR(MATCH($A3,D$22:D$330,0)),"No","Yes")</f>
        <v>No</v>
      </c>
      <c r="C3" s="4" t="str">
        <f>IF(ISERROR(MATCH($A3,E$22:E$330,0)),"No","Yes")</f>
        <v>No</v>
      </c>
      <c r="D3" s="4" t="str">
        <f>IF(ISERROR(MATCH($A3,F$22:F$330,0)),"No","Yes")</f>
        <v>Yes</v>
      </c>
      <c r="E3" s="4" t="str">
        <f>IF(ISERROR(MATCH($A3,G$22:G$330,0)),"No","Yes")</f>
        <v>No</v>
      </c>
      <c r="F3" s="4" t="str">
        <f>IF(ISERROR(MATCH($A3,H$22:H$330,0)),"No","Yes")</f>
        <v>No</v>
      </c>
      <c r="G3" s="4" t="str">
        <f>IF(ISERROR(MATCH($A3,I$22:I$330,0)),"No","Yes")</f>
        <v>No</v>
      </c>
      <c r="H3" s="4" t="str">
        <f>IF(ISERROR(MATCH($A3,J$22:J$330,0)),"No","Yes")</f>
        <v>No</v>
      </c>
      <c r="I3" s="4" t="str">
        <f>IF(ISERROR(MATCH($A3,K$22:K$330,0)),"No","Yes")</f>
        <v>Yes</v>
      </c>
      <c r="J3" s="4" t="str">
        <f>IF(ISERROR(MATCH($A3,L$22:L$330,0)),"No","Yes")</f>
        <v>No</v>
      </c>
      <c r="K3" s="4" t="str">
        <f>IF(ISERROR(MATCH($A3,M$22:M$330,0)),"No","Yes")</f>
        <v>No</v>
      </c>
      <c r="L3" s="4" t="str">
        <f>IF(ISERROR(MATCH($A3,N$22:N$330,0)),"No","Yes")</f>
        <v>Yes</v>
      </c>
      <c r="Q3" s="1" t="s">
        <v>6</v>
      </c>
      <c r="R3" s="2" t="str">
        <f t="shared" ref="R3:R12" si="2">IF(B3="Yes",R23,"")</f>
        <v/>
      </c>
      <c r="S3" s="2" t="str">
        <f t="shared" ref="S3:S12" si="3">IF(C3="Yes",S23,"")</f>
        <v/>
      </c>
      <c r="T3" s="2">
        <f t="shared" ref="T3:T12" si="4">IF(D3="Yes",T23,"")</f>
        <v>0.96232188995504042</v>
      </c>
      <c r="U3" s="2" t="str">
        <f t="shared" ref="U3:U12" si="5">IF(E3="Yes",U23,"")</f>
        <v/>
      </c>
      <c r="V3" s="2" t="str">
        <f t="shared" ref="V3:V12" si="6">IF(F3="Yes",V23,"")</f>
        <v/>
      </c>
      <c r="W3" s="2" t="str">
        <f t="shared" ref="W3:W12" si="7">IF(G3="Yes",W23,"")</f>
        <v/>
      </c>
      <c r="X3" s="2" t="str">
        <f t="shared" ref="X3:X12" si="8">IF(H3="Yes",X23,"")</f>
        <v/>
      </c>
      <c r="Y3" s="2">
        <f t="shared" ref="Y3:Y12" si="9">IF(I3="Yes",Y23,"")</f>
        <v>1.1950031999325654</v>
      </c>
      <c r="Z3" s="2" t="str">
        <f t="shared" ref="Z3:Z12" si="10">IF(J3="Yes",Z23,"")</f>
        <v/>
      </c>
      <c r="AA3" s="2" t="str">
        <f t="shared" ref="AA3:AA12" si="11">IF(K3="Yes",AA23,"")</f>
        <v/>
      </c>
      <c r="AB3" s="2">
        <f t="shared" ref="AB3:AB12" si="12">IF(L3="Yes",AB23,"")</f>
        <v>1.0838309531386576</v>
      </c>
      <c r="AD3" s="1" t="s">
        <v>6</v>
      </c>
      <c r="AE3" s="2" t="str">
        <f t="shared" ref="AE3:AE12" si="13">IF(B3="Yes",AE23,"")</f>
        <v/>
      </c>
      <c r="AF3" s="2" t="str">
        <f t="shared" ref="AF3:AF12" si="14">IF(C3="Yes",AF23,"")</f>
        <v/>
      </c>
      <c r="AG3" s="2">
        <f t="shared" ref="AG3:AG12" si="15">IF(D3="Yes",AG23,"")</f>
        <v>244.73643806155513</v>
      </c>
      <c r="AH3" s="2" t="str">
        <f t="shared" ref="AH3:AH12" si="16">IF(E3="Yes",AH23,"")</f>
        <v/>
      </c>
      <c r="AI3" s="2" t="str">
        <f t="shared" ref="AI3:AI12" si="17">IF(F3="Yes",AI23,"")</f>
        <v/>
      </c>
      <c r="AJ3" s="2" t="str">
        <f t="shared" ref="AJ3:AJ12" si="18">IF(G3="Yes",AJ23,"")</f>
        <v/>
      </c>
      <c r="AK3" s="2" t="str">
        <f t="shared" ref="AK3:AK12" si="19">IF(H3="Yes",AK23,"")</f>
        <v/>
      </c>
      <c r="AL3" s="2">
        <f t="shared" ref="AL3:AL12" si="20">IF(I3="Yes",AL23,"")</f>
        <v>228.74558790298991</v>
      </c>
      <c r="AM3" s="2" t="str">
        <f t="shared" ref="AM3:AM12" si="21">IF(J3="Yes",AM23,"")</f>
        <v/>
      </c>
      <c r="AN3" s="2" t="str">
        <f t="shared" ref="AN3:AN12" si="22">IF(K3="Yes",AN23,"")</f>
        <v/>
      </c>
      <c r="AO3" s="2">
        <f t="shared" ref="AO3:AO12" si="23">IF(L3="Yes",AO23,"")</f>
        <v>229.50246594499851</v>
      </c>
    </row>
    <row r="4" spans="1:41">
      <c r="A4" s="1" t="s">
        <v>7</v>
      </c>
      <c r="B4" s="4" t="str">
        <f>IF(ISERROR(MATCH($A4,D$22:D$330,0)),"No","Yes")</f>
        <v>No</v>
      </c>
      <c r="C4" s="4" t="str">
        <f>IF(ISERROR(MATCH($A4,E$22:E$330,0)),"No","Yes")</f>
        <v>Yes</v>
      </c>
      <c r="D4" s="4" t="str">
        <f>IF(ISERROR(MATCH($A4,F$22:F$330,0)),"No","Yes")</f>
        <v>No</v>
      </c>
      <c r="E4" s="4" t="str">
        <f>IF(ISERROR(MATCH($A4,G$22:G$330,0)),"No","Yes")</f>
        <v>Yes</v>
      </c>
      <c r="F4" s="4" t="str">
        <f>IF(ISERROR(MATCH($A4,H$22:H$330,0)),"No","Yes")</f>
        <v>No</v>
      </c>
      <c r="G4" s="4" t="str">
        <f>IF(ISERROR(MATCH($A4,I$22:I$330,0)),"No","Yes")</f>
        <v>No</v>
      </c>
      <c r="H4" s="4" t="str">
        <f>IF(ISERROR(MATCH($A4,J$22:J$330,0)),"No","Yes")</f>
        <v>No</v>
      </c>
      <c r="I4" s="4" t="str">
        <f>IF(ISERROR(MATCH($A4,K$22:K$330,0)),"No","Yes")</f>
        <v>Yes</v>
      </c>
      <c r="J4" s="4" t="str">
        <f>IF(ISERROR(MATCH($A4,L$22:L$330,0)),"No","Yes")</f>
        <v>No</v>
      </c>
      <c r="K4" s="4" t="str">
        <f>IF(ISERROR(MATCH($A4,M$22:M$330,0)),"No","Yes")</f>
        <v>No</v>
      </c>
      <c r="L4" s="4" t="str">
        <f>IF(ISERROR(MATCH($A4,N$22:N$330,0)),"No","Yes")</f>
        <v>Yes</v>
      </c>
      <c r="Q4" s="1" t="s">
        <v>7</v>
      </c>
      <c r="R4" s="2" t="str">
        <f t="shared" si="2"/>
        <v/>
      </c>
      <c r="S4" s="2">
        <f t="shared" si="3"/>
        <v>0.99445471504625083</v>
      </c>
      <c r="T4" s="2" t="str">
        <f t="shared" si="4"/>
        <v/>
      </c>
      <c r="U4" s="2">
        <f t="shared" si="5"/>
        <v>0.61348919599325513</v>
      </c>
      <c r="V4" s="2" t="str">
        <f t="shared" si="6"/>
        <v/>
      </c>
      <c r="W4" s="2" t="str">
        <f t="shared" si="7"/>
        <v/>
      </c>
      <c r="X4" s="2" t="str">
        <f t="shared" si="8"/>
        <v/>
      </c>
      <c r="Y4" s="2">
        <f t="shared" si="9"/>
        <v>1.0151759604191137</v>
      </c>
      <c r="Z4" s="2" t="str">
        <f t="shared" si="10"/>
        <v/>
      </c>
      <c r="AA4" s="2" t="str">
        <f t="shared" si="11"/>
        <v/>
      </c>
      <c r="AB4" s="2">
        <f t="shared" si="12"/>
        <v>0.82957701539956319</v>
      </c>
      <c r="AD4" s="1" t="s">
        <v>7</v>
      </c>
      <c r="AE4" s="2" t="str">
        <f t="shared" si="13"/>
        <v/>
      </c>
      <c r="AF4" s="2">
        <f t="shared" si="14"/>
        <v>208.85461865770836</v>
      </c>
      <c r="AG4" s="2" t="str">
        <f t="shared" si="15"/>
        <v/>
      </c>
      <c r="AH4" s="2">
        <f t="shared" si="16"/>
        <v>211.69542148004973</v>
      </c>
      <c r="AI4" s="2" t="str">
        <f t="shared" si="17"/>
        <v/>
      </c>
      <c r="AJ4" s="2" t="str">
        <f t="shared" si="18"/>
        <v/>
      </c>
      <c r="AK4" s="2" t="str">
        <f t="shared" si="19"/>
        <v/>
      </c>
      <c r="AL4" s="2">
        <f t="shared" si="20"/>
        <v>204.31298589617251</v>
      </c>
      <c r="AM4" s="2" t="str">
        <f t="shared" si="21"/>
        <v/>
      </c>
      <c r="AN4" s="2" t="str">
        <f t="shared" si="22"/>
        <v/>
      </c>
      <c r="AO4" s="2">
        <f t="shared" si="23"/>
        <v>231.45178393594193</v>
      </c>
    </row>
    <row r="5" spans="1:41">
      <c r="A5" s="1" t="s">
        <v>8</v>
      </c>
      <c r="B5" s="4" t="str">
        <f>IF(ISERROR(MATCH($A5,D$22:D$330,0)),"No","Yes")</f>
        <v>No</v>
      </c>
      <c r="C5" s="4" t="str">
        <f>IF(ISERROR(MATCH($A5,E$22:E$330,0)),"No","Yes")</f>
        <v>No</v>
      </c>
      <c r="D5" s="4" t="str">
        <f>IF(ISERROR(MATCH($A5,F$22:F$330,0)),"No","Yes")</f>
        <v>Yes</v>
      </c>
      <c r="E5" s="4" t="str">
        <f>IF(ISERROR(MATCH($A5,G$22:G$330,0)),"No","Yes")</f>
        <v>No</v>
      </c>
      <c r="F5" s="4" t="str">
        <f>IF(ISERROR(MATCH($A5,H$22:H$330,0)),"No","Yes")</f>
        <v>No</v>
      </c>
      <c r="G5" s="4" t="str">
        <f>IF(ISERROR(MATCH($A5,I$22:I$330,0)),"No","Yes")</f>
        <v>No</v>
      </c>
      <c r="H5" s="4" t="str">
        <f>IF(ISERROR(MATCH($A5,J$22:J$330,0)),"No","Yes")</f>
        <v>No</v>
      </c>
      <c r="I5" s="4" t="str">
        <f>IF(ISERROR(MATCH($A5,K$22:K$330,0)),"No","Yes")</f>
        <v>Yes</v>
      </c>
      <c r="J5" s="4" t="str">
        <f>IF(ISERROR(MATCH($A5,L$22:L$330,0)),"No","Yes")</f>
        <v>No</v>
      </c>
      <c r="K5" s="4" t="str">
        <f>IF(ISERROR(MATCH($A5,M$22:M$330,0)),"No","Yes")</f>
        <v>No</v>
      </c>
      <c r="L5" s="4" t="str">
        <f>IF(ISERROR(MATCH($A5,N$22:N$330,0)),"No","Yes")</f>
        <v>No</v>
      </c>
      <c r="Q5" s="1" t="s">
        <v>8</v>
      </c>
      <c r="R5" s="2" t="str">
        <f t="shared" si="2"/>
        <v/>
      </c>
      <c r="S5" s="2" t="str">
        <f t="shared" si="3"/>
        <v/>
      </c>
      <c r="T5" s="2">
        <f t="shared" si="4"/>
        <v>1.0002134183342453</v>
      </c>
      <c r="U5" s="2" t="str">
        <f t="shared" si="5"/>
        <v/>
      </c>
      <c r="V5" s="2" t="str">
        <f t="shared" si="6"/>
        <v/>
      </c>
      <c r="W5" s="2" t="str">
        <f t="shared" si="7"/>
        <v/>
      </c>
      <c r="X5" s="2" t="str">
        <f t="shared" si="8"/>
        <v/>
      </c>
      <c r="Y5" s="2">
        <f t="shared" si="9"/>
        <v>0.96341113490754293</v>
      </c>
      <c r="Z5" s="2" t="str">
        <f t="shared" si="10"/>
        <v/>
      </c>
      <c r="AA5" s="2" t="str">
        <f t="shared" si="11"/>
        <v/>
      </c>
      <c r="AB5" s="2" t="str">
        <f t="shared" si="12"/>
        <v/>
      </c>
      <c r="AD5" s="1" t="s">
        <v>8</v>
      </c>
      <c r="AE5" s="2" t="str">
        <f t="shared" si="13"/>
        <v/>
      </c>
      <c r="AF5" s="2" t="str">
        <f t="shared" si="14"/>
        <v/>
      </c>
      <c r="AG5" s="2">
        <f t="shared" si="15"/>
        <v>208.18260669500958</v>
      </c>
      <c r="AH5" s="2" t="str">
        <f t="shared" si="16"/>
        <v/>
      </c>
      <c r="AI5" s="2" t="str">
        <f t="shared" si="17"/>
        <v/>
      </c>
      <c r="AJ5" s="2" t="str">
        <f t="shared" si="18"/>
        <v/>
      </c>
      <c r="AK5" s="2" t="str">
        <f t="shared" si="19"/>
        <v/>
      </c>
      <c r="AL5" s="2">
        <f t="shared" si="20"/>
        <v>206.72316482652826</v>
      </c>
      <c r="AM5" s="2" t="str">
        <f t="shared" si="21"/>
        <v/>
      </c>
      <c r="AN5" s="2" t="str">
        <f t="shared" si="22"/>
        <v/>
      </c>
      <c r="AO5" s="2" t="str">
        <f t="shared" si="23"/>
        <v/>
      </c>
    </row>
    <row r="6" spans="1:41">
      <c r="A6" s="1" t="s">
        <v>9</v>
      </c>
      <c r="B6" s="4" t="str">
        <f>IF(ISERROR(MATCH($A6,D$22:D$330,0)),"No","Yes")</f>
        <v>No</v>
      </c>
      <c r="C6" s="4" t="str">
        <f>IF(ISERROR(MATCH($A6,E$22:E$330,0)),"No","Yes")</f>
        <v>No</v>
      </c>
      <c r="D6" s="4" t="str">
        <f>IF(ISERROR(MATCH($A6,F$22:F$330,0)),"No","Yes")</f>
        <v>No</v>
      </c>
      <c r="E6" s="4" t="str">
        <f>IF(ISERROR(MATCH($A6,G$22:G$330,0)),"No","Yes")</f>
        <v>No</v>
      </c>
      <c r="F6" s="4" t="str">
        <f>IF(ISERROR(MATCH($A6,H$22:H$330,0)),"No","Yes")</f>
        <v>No</v>
      </c>
      <c r="G6" s="4" t="str">
        <f>IF(ISERROR(MATCH($A6,I$22:I$330,0)),"No","Yes")</f>
        <v>No</v>
      </c>
      <c r="H6" s="4" t="str">
        <f>IF(ISERROR(MATCH($A6,J$22:J$330,0)),"No","Yes")</f>
        <v>Yes</v>
      </c>
      <c r="I6" s="4" t="str">
        <f>IF(ISERROR(MATCH($A6,K$22:K$330,0)),"No","Yes")</f>
        <v>Yes</v>
      </c>
      <c r="J6" s="4" t="str">
        <f>IF(ISERROR(MATCH($A6,L$22:L$330,0)),"No","Yes")</f>
        <v>Yes</v>
      </c>
      <c r="K6" s="4" t="str">
        <f>IF(ISERROR(MATCH($A6,M$22:M$330,0)),"No","Yes")</f>
        <v>No</v>
      </c>
      <c r="L6" s="4" t="str">
        <f>IF(ISERROR(MATCH($A6,N$22:N$330,0)),"No","Yes")</f>
        <v>No</v>
      </c>
      <c r="Q6" s="1" t="s">
        <v>9</v>
      </c>
      <c r="R6" s="2" t="str">
        <f t="shared" si="2"/>
        <v/>
      </c>
      <c r="S6" s="2" t="str">
        <f t="shared" si="3"/>
        <v/>
      </c>
      <c r="T6" s="2" t="str">
        <f t="shared" si="4"/>
        <v/>
      </c>
      <c r="U6" s="2" t="str">
        <f t="shared" si="5"/>
        <v/>
      </c>
      <c r="V6" s="2" t="str">
        <f t="shared" si="6"/>
        <v/>
      </c>
      <c r="W6" s="2" t="str">
        <f t="shared" si="7"/>
        <v/>
      </c>
      <c r="X6" s="2">
        <f t="shared" si="8"/>
        <v>1.2479327268643945</v>
      </c>
      <c r="Y6" s="2">
        <f t="shared" si="9"/>
        <v>1.0597562260804674</v>
      </c>
      <c r="Z6" s="2">
        <f t="shared" si="10"/>
        <v>0.87243104402545746</v>
      </c>
      <c r="AA6" s="2" t="str">
        <f t="shared" si="11"/>
        <v/>
      </c>
      <c r="AB6" s="2" t="str">
        <f t="shared" si="12"/>
        <v/>
      </c>
      <c r="AD6" s="1" t="s">
        <v>9</v>
      </c>
      <c r="AE6" s="2" t="str">
        <f t="shared" si="13"/>
        <v/>
      </c>
      <c r="AF6" s="2" t="str">
        <f t="shared" si="14"/>
        <v/>
      </c>
      <c r="AG6" s="2" t="str">
        <f t="shared" si="15"/>
        <v/>
      </c>
      <c r="AH6" s="2" t="str">
        <f t="shared" si="16"/>
        <v/>
      </c>
      <c r="AI6" s="2" t="str">
        <f t="shared" si="17"/>
        <v/>
      </c>
      <c r="AJ6" s="2" t="str">
        <f t="shared" si="18"/>
        <v/>
      </c>
      <c r="AK6" s="2">
        <f t="shared" si="19"/>
        <v>209.67512633598938</v>
      </c>
      <c r="AL6" s="2">
        <f t="shared" si="20"/>
        <v>200.96169971955933</v>
      </c>
      <c r="AM6" s="2">
        <f t="shared" si="21"/>
        <v>231.38488384191717</v>
      </c>
      <c r="AN6" s="2" t="str">
        <f t="shared" si="22"/>
        <v/>
      </c>
      <c r="AO6" s="2" t="str">
        <f t="shared" si="23"/>
        <v/>
      </c>
    </row>
    <row r="7" spans="1:41">
      <c r="A7" s="1" t="s">
        <v>10</v>
      </c>
      <c r="B7" s="4" t="str">
        <f>IF(ISERROR(MATCH($A7,D$22:D$330,0)),"No","Yes")</f>
        <v>No</v>
      </c>
      <c r="C7" s="4" t="str">
        <f>IF(ISERROR(MATCH($A7,E$22:E$330,0)),"No","Yes")</f>
        <v>No</v>
      </c>
      <c r="D7" s="4" t="str">
        <f>IF(ISERROR(MATCH($A7,F$22:F$330,0)),"No","Yes")</f>
        <v>No</v>
      </c>
      <c r="E7" s="4" t="str">
        <f>IF(ISERROR(MATCH($A7,G$22:G$330,0)),"No","Yes")</f>
        <v>No</v>
      </c>
      <c r="F7" s="4" t="str">
        <f>IF(ISERROR(MATCH($A7,H$22:H$330,0)),"No","Yes")</f>
        <v>No</v>
      </c>
      <c r="G7" s="4" t="str">
        <f>IF(ISERROR(MATCH($A7,I$22:I$330,0)),"No","Yes")</f>
        <v>No</v>
      </c>
      <c r="H7" s="4" t="str">
        <f>IF(ISERROR(MATCH($A7,J$22:J$330,0)),"No","Yes")</f>
        <v>No</v>
      </c>
      <c r="I7" s="4" t="str">
        <f>IF(ISERROR(MATCH($A7,K$22:K$330,0)),"No","Yes")</f>
        <v>Yes</v>
      </c>
      <c r="J7" s="4" t="str">
        <f>IF(ISERROR(MATCH($A7,L$22:L$330,0)),"No","Yes")</f>
        <v>No</v>
      </c>
      <c r="K7" s="4" t="str">
        <f>IF(ISERROR(MATCH($A7,M$22:M$330,0)),"No","Yes")</f>
        <v>Yes</v>
      </c>
      <c r="L7" s="4" t="str">
        <f>IF(ISERROR(MATCH($A7,N$22:N$330,0)),"No","Yes")</f>
        <v>No</v>
      </c>
      <c r="Q7" s="1" t="s">
        <v>10</v>
      </c>
      <c r="R7" s="2" t="str">
        <f t="shared" si="2"/>
        <v/>
      </c>
      <c r="S7" s="2" t="str">
        <f t="shared" si="3"/>
        <v/>
      </c>
      <c r="T7" s="2" t="str">
        <f t="shared" si="4"/>
        <v/>
      </c>
      <c r="U7" s="2" t="str">
        <f t="shared" si="5"/>
        <v/>
      </c>
      <c r="V7" s="2" t="str">
        <f t="shared" si="6"/>
        <v/>
      </c>
      <c r="W7" s="2" t="str">
        <f t="shared" si="7"/>
        <v/>
      </c>
      <c r="X7" s="2" t="str">
        <f t="shared" si="8"/>
        <v/>
      </c>
      <c r="Y7" s="2">
        <f t="shared" si="9"/>
        <v>1.1027590010694044</v>
      </c>
      <c r="Z7" s="2" t="str">
        <f t="shared" si="10"/>
        <v/>
      </c>
      <c r="AA7" s="2">
        <f t="shared" si="11"/>
        <v>0.53959351553537727</v>
      </c>
      <c r="AB7" s="2" t="str">
        <f t="shared" si="12"/>
        <v/>
      </c>
      <c r="AD7" s="1" t="s">
        <v>10</v>
      </c>
      <c r="AE7" s="2" t="str">
        <f t="shared" si="13"/>
        <v/>
      </c>
      <c r="AF7" s="2" t="str">
        <f t="shared" si="14"/>
        <v/>
      </c>
      <c r="AG7" s="2" t="str">
        <f t="shared" si="15"/>
        <v/>
      </c>
      <c r="AH7" s="2" t="str">
        <f t="shared" si="16"/>
        <v/>
      </c>
      <c r="AI7" s="2" t="str">
        <f t="shared" si="17"/>
        <v/>
      </c>
      <c r="AJ7" s="2" t="str">
        <f t="shared" si="18"/>
        <v/>
      </c>
      <c r="AK7" s="2" t="str">
        <f t="shared" si="19"/>
        <v/>
      </c>
      <c r="AL7" s="2">
        <f t="shared" si="20"/>
        <v>223.56242311674697</v>
      </c>
      <c r="AM7" s="2" t="str">
        <f t="shared" si="21"/>
        <v/>
      </c>
      <c r="AN7" s="2">
        <f t="shared" si="22"/>
        <v>223.62477718462736</v>
      </c>
      <c r="AO7" s="2" t="str">
        <f t="shared" si="23"/>
        <v/>
      </c>
    </row>
    <row r="8" spans="1:41">
      <c r="A8" s="1" t="s">
        <v>11</v>
      </c>
      <c r="B8" s="4" t="str">
        <f>IF(ISERROR(MATCH($A8,D$22:D$330,0)),"No","Yes")</f>
        <v>No</v>
      </c>
      <c r="C8" s="4" t="str">
        <f>IF(ISERROR(MATCH($A8,E$22:E$330,0)),"No","Yes")</f>
        <v>No</v>
      </c>
      <c r="D8" s="4" t="str">
        <f>IF(ISERROR(MATCH($A8,F$22:F$330,0)),"No","Yes")</f>
        <v>No</v>
      </c>
      <c r="E8" s="4" t="str">
        <f>IF(ISERROR(MATCH($A8,G$22:G$330,0)),"No","Yes")</f>
        <v>No</v>
      </c>
      <c r="F8" s="4" t="str">
        <f>IF(ISERROR(MATCH($A8,H$22:H$330,0)),"No","Yes")</f>
        <v>Yes</v>
      </c>
      <c r="G8" s="4" t="str">
        <f>IF(ISERROR(MATCH($A8,I$22:I$330,0)),"No","Yes")</f>
        <v>No</v>
      </c>
      <c r="H8" s="4" t="str">
        <f>IF(ISERROR(MATCH($A8,J$22:J$330,0)),"No","Yes")</f>
        <v>No</v>
      </c>
      <c r="I8" s="4" t="str">
        <f>IF(ISERROR(MATCH($A8,K$22:K$330,0)),"No","Yes")</f>
        <v>Yes</v>
      </c>
      <c r="J8" s="4" t="str">
        <f>IF(ISERROR(MATCH($A8,L$22:L$330,0)),"No","Yes")</f>
        <v>Yes</v>
      </c>
      <c r="K8" s="4" t="str">
        <f>IF(ISERROR(MATCH($A8,M$22:M$330,0)),"No","Yes")</f>
        <v>No</v>
      </c>
      <c r="L8" s="4" t="str">
        <f>IF(ISERROR(MATCH($A8,N$22:N$330,0)),"No","Yes")</f>
        <v>No</v>
      </c>
      <c r="Q8" s="1" t="s">
        <v>11</v>
      </c>
      <c r="R8" s="2" t="str">
        <f t="shared" si="2"/>
        <v/>
      </c>
      <c r="S8" s="2" t="str">
        <f t="shared" si="3"/>
        <v/>
      </c>
      <c r="T8" s="2" t="str">
        <f t="shared" si="4"/>
        <v/>
      </c>
      <c r="U8" s="2" t="str">
        <f t="shared" si="5"/>
        <v/>
      </c>
      <c r="V8" s="2">
        <f t="shared" si="6"/>
        <v>1.2029352202000547</v>
      </c>
      <c r="W8" s="2" t="str">
        <f t="shared" si="7"/>
        <v/>
      </c>
      <c r="X8" s="2" t="str">
        <f t="shared" si="8"/>
        <v/>
      </c>
      <c r="Y8" s="2">
        <f t="shared" si="9"/>
        <v>0.96294856491406944</v>
      </c>
      <c r="Z8" s="2">
        <f t="shared" si="10"/>
        <v>0.97563311778334261</v>
      </c>
      <c r="AA8" s="2" t="str">
        <f t="shared" si="11"/>
        <v/>
      </c>
      <c r="AB8" s="2" t="str">
        <f t="shared" si="12"/>
        <v/>
      </c>
      <c r="AD8" s="1" t="s">
        <v>11</v>
      </c>
      <c r="AE8" s="2" t="str">
        <f t="shared" si="13"/>
        <v/>
      </c>
      <c r="AF8" s="2" t="str">
        <f t="shared" si="14"/>
        <v/>
      </c>
      <c r="AG8" s="2" t="str">
        <f t="shared" si="15"/>
        <v/>
      </c>
      <c r="AH8" s="2" t="str">
        <f t="shared" si="16"/>
        <v/>
      </c>
      <c r="AI8" s="2">
        <f t="shared" si="17"/>
        <v>226.28016041059283</v>
      </c>
      <c r="AJ8" s="2" t="str">
        <f t="shared" si="18"/>
        <v/>
      </c>
      <c r="AK8" s="2" t="str">
        <f t="shared" si="19"/>
        <v/>
      </c>
      <c r="AL8" s="2">
        <f t="shared" si="20"/>
        <v>247.15630290404698</v>
      </c>
      <c r="AM8" s="2">
        <f t="shared" si="21"/>
        <v>245.65269832467987</v>
      </c>
      <c r="AN8" s="2" t="str">
        <f t="shared" si="22"/>
        <v/>
      </c>
      <c r="AO8" s="2" t="str">
        <f t="shared" si="23"/>
        <v/>
      </c>
    </row>
    <row r="9" spans="1:41">
      <c r="A9" s="1" t="s">
        <v>12</v>
      </c>
      <c r="B9" s="4" t="str">
        <f>IF(ISERROR(MATCH($A9,D$22:D$330,0)),"No","Yes")</f>
        <v>Yes</v>
      </c>
      <c r="C9" s="4" t="str">
        <f>IF(ISERROR(MATCH($A9,E$22:E$330,0)),"No","Yes")</f>
        <v>Yes</v>
      </c>
      <c r="D9" s="4" t="str">
        <f>IF(ISERROR(MATCH($A9,F$22:F$330,0)),"No","Yes")</f>
        <v>Yes</v>
      </c>
      <c r="E9" s="4" t="str">
        <f>IF(ISERROR(MATCH($A9,G$22:G$330,0)),"No","Yes")</f>
        <v>Yes</v>
      </c>
      <c r="F9" s="4" t="str">
        <f>IF(ISERROR(MATCH($A9,H$22:H$330,0)),"No","Yes")</f>
        <v>Yes</v>
      </c>
      <c r="G9" s="4" t="str">
        <f>IF(ISERROR(MATCH($A9,I$22:I$330,0)),"No","Yes")</f>
        <v>Yes</v>
      </c>
      <c r="H9" s="4" t="str">
        <f>IF(ISERROR(MATCH($A9,J$22:J$330,0)),"No","Yes")</f>
        <v>Yes</v>
      </c>
      <c r="I9" s="4" t="str">
        <f>IF(ISERROR(MATCH($A9,K$22:K$330,0)),"No","Yes")</f>
        <v>No</v>
      </c>
      <c r="J9" s="4" t="str">
        <f>IF(ISERROR(MATCH($A9,L$22:L$330,0)),"No","Yes")</f>
        <v>Yes</v>
      </c>
      <c r="K9" s="4" t="str">
        <f>IF(ISERROR(MATCH($A9,M$22:M$330,0)),"No","Yes")</f>
        <v>Yes</v>
      </c>
      <c r="L9" s="4" t="str">
        <f>IF(ISERROR(MATCH($A9,N$22:N$330,0)),"No","Yes")</f>
        <v>No</v>
      </c>
      <c r="Q9" s="1" t="s">
        <v>12</v>
      </c>
      <c r="R9" s="2">
        <f t="shared" si="2"/>
        <v>0.79189338363610751</v>
      </c>
      <c r="S9" s="2">
        <f t="shared" si="3"/>
        <v>1.1636527596452302</v>
      </c>
      <c r="T9" s="2">
        <f t="shared" si="4"/>
        <v>0.84563387629932851</v>
      </c>
      <c r="U9" s="2">
        <f t="shared" si="5"/>
        <v>0.66869837304498247</v>
      </c>
      <c r="V9" s="2">
        <f t="shared" si="6"/>
        <v>1.2054749066799526</v>
      </c>
      <c r="W9" s="2">
        <f t="shared" si="7"/>
        <v>1.2370303140274541</v>
      </c>
      <c r="X9" s="2">
        <f t="shared" si="8"/>
        <v>0.99514203350909436</v>
      </c>
      <c r="Y9" s="2" t="str">
        <f t="shared" si="9"/>
        <v/>
      </c>
      <c r="Z9" s="2">
        <f t="shared" si="10"/>
        <v>0.55228771981381808</v>
      </c>
      <c r="AA9" s="2">
        <f t="shared" si="11"/>
        <v>0.50314407010809226</v>
      </c>
      <c r="AB9" s="2" t="str">
        <f t="shared" si="12"/>
        <v/>
      </c>
      <c r="AD9" s="1" t="s">
        <v>12</v>
      </c>
      <c r="AE9" s="2">
        <f t="shared" si="13"/>
        <v>223.38305213390416</v>
      </c>
      <c r="AF9" s="2">
        <f t="shared" si="14"/>
        <v>223.5850680715796</v>
      </c>
      <c r="AG9" s="2">
        <f t="shared" si="15"/>
        <v>202.49522287681165</v>
      </c>
      <c r="AH9" s="2">
        <f t="shared" si="16"/>
        <v>219.51495779101128</v>
      </c>
      <c r="AI9" s="2">
        <f t="shared" si="17"/>
        <v>232.60422833694528</v>
      </c>
      <c r="AJ9" s="2">
        <f t="shared" si="18"/>
        <v>229.59633202930101</v>
      </c>
      <c r="AK9" s="2">
        <f t="shared" si="19"/>
        <v>218.98654941609232</v>
      </c>
      <c r="AL9" s="2" t="str">
        <f t="shared" si="20"/>
        <v/>
      </c>
      <c r="AM9" s="2">
        <f t="shared" si="21"/>
        <v>242.54751523870476</v>
      </c>
      <c r="AN9" s="2">
        <f t="shared" si="22"/>
        <v>241.77247688656453</v>
      </c>
      <c r="AO9" s="2" t="str">
        <f t="shared" si="23"/>
        <v/>
      </c>
    </row>
    <row r="10" spans="1:41">
      <c r="A10" s="1" t="s">
        <v>13</v>
      </c>
      <c r="B10" s="4" t="str">
        <f>IF(ISERROR(MATCH($A10,D$22:D$330,0)),"No","Yes")</f>
        <v>No</v>
      </c>
      <c r="C10" s="4" t="str">
        <f>IF(ISERROR(MATCH($A10,E$22:E$330,0)),"No","Yes")</f>
        <v>Yes</v>
      </c>
      <c r="D10" s="4" t="str">
        <f>IF(ISERROR(MATCH($A10,F$22:F$330,0)),"No","Yes")</f>
        <v>No</v>
      </c>
      <c r="E10" s="4" t="str">
        <f>IF(ISERROR(MATCH($A10,G$22:G$330,0)),"No","Yes")</f>
        <v>No</v>
      </c>
      <c r="F10" s="4" t="str">
        <f>IF(ISERROR(MATCH($A10,H$22:H$330,0)),"No","Yes")</f>
        <v>Yes</v>
      </c>
      <c r="G10" s="4" t="str">
        <f>IF(ISERROR(MATCH($A10,I$22:I$330,0)),"No","Yes")</f>
        <v>No</v>
      </c>
      <c r="H10" s="4" t="str">
        <f>IF(ISERROR(MATCH($A10,J$22:J$330,0)),"No","Yes")</f>
        <v>Yes</v>
      </c>
      <c r="I10" s="4" t="str">
        <f>IF(ISERROR(MATCH($A10,K$22:K$330,0)),"No","Yes")</f>
        <v>Yes</v>
      </c>
      <c r="J10" s="4" t="str">
        <f>IF(ISERROR(MATCH($A10,L$22:L$330,0)),"No","Yes")</f>
        <v>No</v>
      </c>
      <c r="K10" s="4" t="str">
        <f>IF(ISERROR(MATCH($A10,M$22:M$330,0)),"No","Yes")</f>
        <v>No</v>
      </c>
      <c r="L10" s="4" t="str">
        <f>IF(ISERROR(MATCH($A10,N$22:N$330,0)),"No","Yes")</f>
        <v>No</v>
      </c>
      <c r="Q10" s="1" t="s">
        <v>13</v>
      </c>
      <c r="R10" s="2" t="str">
        <f t="shared" si="2"/>
        <v/>
      </c>
      <c r="S10" s="2">
        <f t="shared" si="3"/>
        <v>0.8493601286400303</v>
      </c>
      <c r="T10" s="2" t="str">
        <f t="shared" si="4"/>
        <v/>
      </c>
      <c r="U10" s="2" t="str">
        <f t="shared" si="5"/>
        <v/>
      </c>
      <c r="V10" s="2">
        <f t="shared" si="6"/>
        <v>0.97329081583357913</v>
      </c>
      <c r="W10" s="2" t="str">
        <f t="shared" si="7"/>
        <v/>
      </c>
      <c r="X10" s="2">
        <f t="shared" si="8"/>
        <v>0.5698803428627589</v>
      </c>
      <c r="Y10" s="2">
        <f t="shared" si="9"/>
        <v>1.081197194709369</v>
      </c>
      <c r="Z10" s="2" t="str">
        <f t="shared" si="10"/>
        <v/>
      </c>
      <c r="AA10" s="2" t="str">
        <f t="shared" si="11"/>
        <v/>
      </c>
      <c r="AB10" s="2" t="str">
        <f t="shared" si="12"/>
        <v/>
      </c>
      <c r="AD10" s="1" t="s">
        <v>13</v>
      </c>
      <c r="AE10" s="2" t="str">
        <f t="shared" si="13"/>
        <v/>
      </c>
      <c r="AF10" s="2">
        <f t="shared" si="14"/>
        <v>207.3886394452191</v>
      </c>
      <c r="AG10" s="2" t="str">
        <f t="shared" si="15"/>
        <v/>
      </c>
      <c r="AH10" s="2" t="str">
        <f t="shared" si="16"/>
        <v/>
      </c>
      <c r="AI10" s="2">
        <f t="shared" si="17"/>
        <v>240.05422652242422</v>
      </c>
      <c r="AJ10" s="2" t="str">
        <f t="shared" si="18"/>
        <v/>
      </c>
      <c r="AK10" s="2">
        <f t="shared" si="19"/>
        <v>225.87555069854608</v>
      </c>
      <c r="AL10" s="2">
        <f t="shared" si="20"/>
        <v>239.27289213109759</v>
      </c>
      <c r="AM10" s="2" t="str">
        <f t="shared" si="21"/>
        <v/>
      </c>
      <c r="AN10" s="2" t="str">
        <f t="shared" si="22"/>
        <v/>
      </c>
      <c r="AO10" s="2" t="str">
        <f t="shared" si="23"/>
        <v/>
      </c>
    </row>
    <row r="11" spans="1:41">
      <c r="A11" s="1" t="s">
        <v>19</v>
      </c>
      <c r="B11" s="4" t="str">
        <f>IF(ISERROR(MATCH($A11,D$22:D$330,0)),"No","Yes")</f>
        <v>Yes</v>
      </c>
      <c r="C11" s="4" t="str">
        <f>IF(ISERROR(MATCH($A11,E$22:E$330,0)),"No","Yes")</f>
        <v>No</v>
      </c>
      <c r="D11" s="4" t="str">
        <f>IF(ISERROR(MATCH($A11,F$22:F$330,0)),"No","Yes")</f>
        <v>No</v>
      </c>
      <c r="E11" s="4" t="str">
        <f>IF(ISERROR(MATCH($A11,G$22:G$330,0)),"No","Yes")</f>
        <v>No</v>
      </c>
      <c r="F11" s="4" t="str">
        <f>IF(ISERROR(MATCH($A11,H$22:H$330,0)),"No","Yes")</f>
        <v>No</v>
      </c>
      <c r="G11" s="4" t="str">
        <f>IF(ISERROR(MATCH($A11,I$22:I$330,0)),"No","Yes")</f>
        <v>Yes</v>
      </c>
      <c r="H11" s="4" t="str">
        <f>IF(ISERROR(MATCH($A11,J$22:J$330,0)),"No","Yes")</f>
        <v>No</v>
      </c>
      <c r="I11" s="4" t="str">
        <f>IF(ISERROR(MATCH($A11,K$22:K$330,0)),"No","Yes")</f>
        <v>Yes</v>
      </c>
      <c r="J11" s="4" t="str">
        <f>IF(ISERROR(MATCH($A11,L$22:L$330,0)),"No","Yes")</f>
        <v>No</v>
      </c>
      <c r="K11" s="4" t="str">
        <f>IF(ISERROR(MATCH($A11,M$22:M$330,0)),"No","Yes")</f>
        <v>No</v>
      </c>
      <c r="L11" s="4" t="str">
        <f>IF(ISERROR(MATCH($A11,N$22:N$330,0)),"No","Yes")</f>
        <v>No</v>
      </c>
      <c r="Q11" s="1" t="s">
        <v>19</v>
      </c>
      <c r="R11" s="2">
        <f t="shared" si="2"/>
        <v>1.1871790752038298</v>
      </c>
      <c r="S11" s="2" t="str">
        <f t="shared" si="3"/>
        <v/>
      </c>
      <c r="T11" s="2" t="str">
        <f t="shared" si="4"/>
        <v/>
      </c>
      <c r="U11" s="2" t="str">
        <f t="shared" si="5"/>
        <v/>
      </c>
      <c r="V11" s="2" t="str">
        <f t="shared" si="6"/>
        <v/>
      </c>
      <c r="W11" s="2">
        <f t="shared" si="7"/>
        <v>0.78359830827446963</v>
      </c>
      <c r="X11" s="2" t="str">
        <f t="shared" si="8"/>
        <v/>
      </c>
      <c r="Y11" s="2">
        <f t="shared" si="9"/>
        <v>0.50022474287132723</v>
      </c>
      <c r="Z11" s="2" t="str">
        <f t="shared" si="10"/>
        <v/>
      </c>
      <c r="AA11" s="2" t="str">
        <f t="shared" si="11"/>
        <v/>
      </c>
      <c r="AB11" s="2" t="str">
        <f t="shared" si="12"/>
        <v/>
      </c>
      <c r="AD11" s="1" t="s">
        <v>19</v>
      </c>
      <c r="AE11" s="2">
        <f t="shared" si="13"/>
        <v>238.18553454690866</v>
      </c>
      <c r="AF11" s="2" t="str">
        <f t="shared" si="14"/>
        <v/>
      </c>
      <c r="AG11" s="2" t="str">
        <f t="shared" si="15"/>
        <v/>
      </c>
      <c r="AH11" s="2" t="str">
        <f t="shared" si="16"/>
        <v/>
      </c>
      <c r="AI11" s="2" t="str">
        <f t="shared" si="17"/>
        <v/>
      </c>
      <c r="AJ11" s="2">
        <f t="shared" si="18"/>
        <v>247.94200768302255</v>
      </c>
      <c r="AK11" s="2" t="str">
        <f t="shared" si="19"/>
        <v/>
      </c>
      <c r="AL11" s="2">
        <f t="shared" si="20"/>
        <v>220.89009527881328</v>
      </c>
      <c r="AM11" s="2" t="str">
        <f t="shared" si="21"/>
        <v/>
      </c>
      <c r="AN11" s="2" t="str">
        <f t="shared" si="22"/>
        <v/>
      </c>
      <c r="AO11" s="2" t="str">
        <f t="shared" si="23"/>
        <v/>
      </c>
    </row>
    <row r="12" spans="1:41">
      <c r="A12" s="1" t="s">
        <v>14</v>
      </c>
      <c r="B12" s="4" t="str">
        <f>IF(ISERROR(MATCH($A12,D$22:D$330,0)),"No","Yes")</f>
        <v>No</v>
      </c>
      <c r="C12" s="4" t="str">
        <f>IF(ISERROR(MATCH($A12,E$22:E$330,0)),"No","Yes")</f>
        <v>Yes</v>
      </c>
      <c r="D12" s="4" t="str">
        <f>IF(ISERROR(MATCH($A12,F$22:F$330,0)),"No","Yes")</f>
        <v>Yes</v>
      </c>
      <c r="E12" s="4" t="str">
        <f>IF(ISERROR(MATCH($A12,G$22:G$330,0)),"No","Yes")</f>
        <v>No</v>
      </c>
      <c r="F12" s="4" t="str">
        <f>IF(ISERROR(MATCH($A12,H$22:H$330,0)),"No","Yes")</f>
        <v>No</v>
      </c>
      <c r="G12" s="4" t="str">
        <f>IF(ISERROR(MATCH($A12,I$22:I$330,0)),"No","Yes")</f>
        <v>No</v>
      </c>
      <c r="H12" s="4" t="str">
        <f>IF(ISERROR(MATCH($A12,J$22:J$330,0)),"No","Yes")</f>
        <v>No</v>
      </c>
      <c r="I12" s="4" t="str">
        <f>IF(ISERROR(MATCH($A12,K$22:K$330,0)),"No","Yes")</f>
        <v>No</v>
      </c>
      <c r="J12" s="4" t="str">
        <f>IF(ISERROR(MATCH($A12,L$22:L$330,0)),"No","Yes")</f>
        <v>No</v>
      </c>
      <c r="K12" s="4" t="str">
        <f>IF(ISERROR(MATCH($A12,M$22:M$330,0)),"No","Yes")</f>
        <v>No</v>
      </c>
      <c r="L12" s="4" t="str">
        <f>IF(ISERROR(MATCH($A12,N$22:N$330,0)),"No","Yes")</f>
        <v>No</v>
      </c>
      <c r="Q12" s="1" t="s">
        <v>14</v>
      </c>
      <c r="R12" s="2" t="str">
        <f t="shared" si="2"/>
        <v/>
      </c>
      <c r="S12" s="2">
        <f t="shared" si="3"/>
        <v>0.87890546080003995</v>
      </c>
      <c r="T12" s="2">
        <f t="shared" si="4"/>
        <v>1.1318347903386798</v>
      </c>
      <c r="U12" s="2" t="str">
        <f t="shared" si="5"/>
        <v/>
      </c>
      <c r="V12" s="2" t="str">
        <f t="shared" si="6"/>
        <v/>
      </c>
      <c r="W12" s="2" t="str">
        <f t="shared" si="7"/>
        <v/>
      </c>
      <c r="X12" s="2" t="str">
        <f t="shared" si="8"/>
        <v/>
      </c>
      <c r="Y12" s="2" t="str">
        <f t="shared" si="9"/>
        <v/>
      </c>
      <c r="Z12" s="2" t="str">
        <f t="shared" si="10"/>
        <v/>
      </c>
      <c r="AA12" s="2" t="str">
        <f t="shared" si="11"/>
        <v/>
      </c>
      <c r="AB12" s="2" t="str">
        <f t="shared" si="12"/>
        <v/>
      </c>
      <c r="AD12" s="1" t="s">
        <v>14</v>
      </c>
      <c r="AE12" s="2" t="str">
        <f t="shared" si="13"/>
        <v/>
      </c>
      <c r="AF12" s="2">
        <f t="shared" si="14"/>
        <v>248.92056006652717</v>
      </c>
      <c r="AG12" s="2">
        <f t="shared" si="15"/>
        <v>222.55974305095609</v>
      </c>
      <c r="AH12" s="2" t="str">
        <f t="shared" si="16"/>
        <v/>
      </c>
      <c r="AI12" s="2" t="str">
        <f t="shared" si="17"/>
        <v/>
      </c>
      <c r="AJ12" s="2" t="str">
        <f t="shared" si="18"/>
        <v/>
      </c>
      <c r="AK12" s="2" t="str">
        <f t="shared" si="19"/>
        <v/>
      </c>
      <c r="AL12" s="2" t="str">
        <f t="shared" si="20"/>
        <v/>
      </c>
      <c r="AM12" s="2" t="str">
        <f t="shared" si="21"/>
        <v/>
      </c>
      <c r="AN12" s="2" t="str">
        <f t="shared" si="22"/>
        <v/>
      </c>
      <c r="AO12" s="2" t="str">
        <f t="shared" si="23"/>
        <v/>
      </c>
    </row>
    <row r="19" spans="1:41"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41">
      <c r="J20" s="1"/>
    </row>
    <row r="21" spans="1:41">
      <c r="A21" s="1" t="s">
        <v>43</v>
      </c>
      <c r="B21" s="1" t="s">
        <v>44</v>
      </c>
      <c r="C21" s="6"/>
      <c r="D21" s="7" t="s">
        <v>5</v>
      </c>
      <c r="E21" s="7" t="s">
        <v>6</v>
      </c>
      <c r="F21" s="7" t="s">
        <v>7</v>
      </c>
      <c r="G21" s="7" t="s">
        <v>8</v>
      </c>
      <c r="H21" s="7" t="s">
        <v>9</v>
      </c>
      <c r="I21" s="7" t="s">
        <v>10</v>
      </c>
      <c r="J21" s="7" t="s">
        <v>11</v>
      </c>
      <c r="K21" s="7" t="s">
        <v>12</v>
      </c>
      <c r="L21" s="7" t="s">
        <v>13</v>
      </c>
      <c r="M21" s="7" t="s">
        <v>19</v>
      </c>
      <c r="N21" s="7" t="s">
        <v>14</v>
      </c>
      <c r="Q21" s="1" t="s">
        <v>86</v>
      </c>
      <c r="R21" s="1" t="s">
        <v>5</v>
      </c>
      <c r="S21" s="1" t="s">
        <v>6</v>
      </c>
      <c r="T21" s="1" t="s">
        <v>7</v>
      </c>
      <c r="U21" s="1" t="s">
        <v>8</v>
      </c>
      <c r="V21" s="1" t="s">
        <v>9</v>
      </c>
      <c r="W21" s="1" t="s">
        <v>10</v>
      </c>
      <c r="X21" s="1" t="s">
        <v>11</v>
      </c>
      <c r="Y21" s="1" t="s">
        <v>12</v>
      </c>
      <c r="Z21" s="1" t="s">
        <v>13</v>
      </c>
      <c r="AA21" s="1" t="s">
        <v>19</v>
      </c>
      <c r="AB21" s="1" t="s">
        <v>14</v>
      </c>
      <c r="AD21" s="1" t="s">
        <v>86</v>
      </c>
      <c r="AE21" s="1" t="s">
        <v>5</v>
      </c>
      <c r="AF21" s="1" t="s">
        <v>6</v>
      </c>
      <c r="AG21" s="1" t="s">
        <v>7</v>
      </c>
      <c r="AH21" s="1" t="s">
        <v>8</v>
      </c>
      <c r="AI21" s="1" t="s">
        <v>9</v>
      </c>
      <c r="AJ21" s="1" t="s">
        <v>10</v>
      </c>
      <c r="AK21" s="1" t="s">
        <v>11</v>
      </c>
      <c r="AL21" s="1" t="s">
        <v>12</v>
      </c>
      <c r="AM21" s="1" t="s">
        <v>13</v>
      </c>
      <c r="AN21" s="1" t="s">
        <v>19</v>
      </c>
      <c r="AO21" s="1" t="s">
        <v>14</v>
      </c>
    </row>
    <row r="22" spans="1:41">
      <c r="A22" s="5" t="s">
        <v>12</v>
      </c>
      <c r="B22" s="5" t="s">
        <v>5</v>
      </c>
      <c r="C22" s="6">
        <v>1</v>
      </c>
      <c r="D22" s="6" t="str">
        <f t="array" ref="D22">IFERROR(INDEX($B$22:$B$610,SMALL(IF($A$22:$A$610=D$21,ROW(Roads!$A$22:$A$610)),Roads!$C22)-ROW(RoadList)),"")</f>
        <v>Oromia</v>
      </c>
      <c r="E22" s="6" t="str">
        <f t="array" ref="E22">IFERROR(INDEX($B$22:$B$610,SMALL(IF($A$22:$A$610=E$21,ROW(Roads!$A$22:$A$610)),Roads!$C22)-ROW(RoadList)),"")</f>
        <v>Oromia</v>
      </c>
      <c r="F22" s="6" t="str">
        <f t="array" ref="F22">IFERROR(INDEX($B$22:$B$610,SMALL(IF($A$22:$A$610=F$21,ROW(Roads!$A$22:$A$610)),Roads!$C22)-ROW(RoadList)),"")</f>
        <v>Oromia</v>
      </c>
      <c r="G22" s="6" t="str">
        <f t="array" ref="G22">IFERROR(INDEX($B$22:$B$610,SMALL(IF($A$22:$A$610=G$21,ROW(Roads!$A$22:$A$610)),Roads!$C22)-ROW(RoadList)),"")</f>
        <v>Oromia</v>
      </c>
      <c r="H22" s="6" t="str">
        <f t="array" ref="H22">IFERROR(INDEX($B$22:$B$610,SMALL(IF($A$22:$A$610=H$21,ROW(Roads!$A$22:$A$610)),Roads!$C22)-ROW(RoadList)),"")</f>
        <v>Oromia</v>
      </c>
      <c r="I22" s="6" t="str">
        <f t="array" ref="I22">IFERROR(INDEX($B$22:$B$610,SMALL(IF($A$22:$A$610=I$21,ROW(Roads!$A$22:$A$610)),Roads!$C22)-ROW(RoadList)),"")</f>
        <v>Oromia</v>
      </c>
      <c r="J22" s="6" t="str">
        <f t="array" ref="J22">IFERROR(INDEX($B$22:$B$610,SMALL(IF($A$22:$A$610=J$21,ROW(Roads!$A$22:$A$610)),Roads!$C22)-ROW(RoadList)),"")</f>
        <v>Oromia</v>
      </c>
      <c r="K22" s="6" t="str">
        <f t="array" ref="K22">IFERROR(INDEX($B$22:$B$610,SMALL(IF($A$22:$A$610=K$21,ROW(Roads!$A$22:$A$610)),Roads!$C22)-ROW(RoadList)),"")</f>
        <v>AddisAbaba</v>
      </c>
      <c r="L22" s="6" t="str">
        <f t="array" ref="L22">IFERROR(INDEX($B$22:$B$610,SMALL(IF($A$22:$A$610=L$21,ROW(Roads!$A$22:$A$610)),Roads!$C22)-ROW(RoadList)),"")</f>
        <v>Oromia</v>
      </c>
      <c r="M22" s="6" t="str">
        <f t="array" ref="M22">IFERROR(INDEX($B$22:$B$610,SMALL(IF($A$22:$A$610=M$21,ROW(Roads!$A$22:$A$610)),Roads!$C22)-ROW(RoadList)),"")</f>
        <v>Oromia</v>
      </c>
      <c r="N22" s="6" t="str">
        <f t="array" ref="N22">IFERROR(INDEX($B$22:$B$610,SMALL(IF($A$22:$A$610=N$21,ROW(Roads!$A$22:$A$610)),Roads!$C22)-ROW(RoadList)),"")</f>
        <v>Amhara</v>
      </c>
      <c r="Q22" s="1" t="s">
        <v>5</v>
      </c>
      <c r="R22" s="2">
        <v>1.124676365668984</v>
      </c>
      <c r="S22" s="2">
        <v>1.0732456761645985</v>
      </c>
      <c r="T22" s="2">
        <v>0.78878169063672743</v>
      </c>
      <c r="U22" s="2">
        <v>0.89207927962590072</v>
      </c>
      <c r="V22" s="2">
        <v>0.91679794371480572</v>
      </c>
      <c r="W22" s="2">
        <v>0.89729217757840829</v>
      </c>
      <c r="X22" s="2">
        <v>1.0445973643195847</v>
      </c>
      <c r="Y22" s="2">
        <v>0.62867196107882073</v>
      </c>
      <c r="Z22" s="2">
        <v>1.1426437476317139</v>
      </c>
      <c r="AA22" s="2">
        <v>0.72288981887902615</v>
      </c>
      <c r="AB22" s="2">
        <v>0.98963541454558013</v>
      </c>
      <c r="AD22" s="1" t="s">
        <v>5</v>
      </c>
      <c r="AE22" s="2">
        <v>235.60686279717086</v>
      </c>
      <c r="AF22" s="2">
        <v>231.03407158176506</v>
      </c>
      <c r="AG22" s="2">
        <v>231.18903023452944</v>
      </c>
      <c r="AH22" s="2">
        <v>230.27828277856648</v>
      </c>
      <c r="AI22" s="2">
        <v>245.2614475970563</v>
      </c>
      <c r="AJ22" s="2">
        <v>201.22939214707972</v>
      </c>
      <c r="AK22" s="2">
        <v>207.46470860431708</v>
      </c>
      <c r="AL22" s="2">
        <v>223.71588022299218</v>
      </c>
      <c r="AM22" s="2">
        <v>241.06496887074414</v>
      </c>
      <c r="AN22" s="2">
        <v>237.90866143610415</v>
      </c>
      <c r="AO22" s="2">
        <v>211.29591730530166</v>
      </c>
    </row>
    <row r="23" spans="1:41">
      <c r="A23" s="5" t="s">
        <v>12</v>
      </c>
      <c r="B23" s="5" t="s">
        <v>7</v>
      </c>
      <c r="C23" s="6">
        <f>C22+1</f>
        <v>2</v>
      </c>
      <c r="D23" s="6" t="str">
        <f t="array" ref="D23">IFERROR(INDEX($B$22:$B$610,SMALL(IF($A$22:$A$610=D$21,ROW(Roads!$A$22:$A$610)),Roads!$C23)-ROW(RoadList)),"")</f>
        <v>SNNPR</v>
      </c>
      <c r="E23" s="6" t="str">
        <f t="array" ref="E23">IFERROR(INDEX($B$22:$B$610,SMALL(IF($A$22:$A$610=E$21,ROW(Roads!$A$22:$A$610)),Roads!$C23)-ROW(RoadList)),"")</f>
        <v>Tigray</v>
      </c>
      <c r="F23" s="6" t="str">
        <f t="array" ref="F23">IFERROR(INDEX($B$22:$B$610,SMALL(IF($A$22:$A$610=F$21,ROW(Roads!$A$22:$A$610)),Roads!$C23)-ROW(RoadList)),"")</f>
        <v>Tigray</v>
      </c>
      <c r="G23" s="6" t="str">
        <f t="array" ref="G23">IFERROR(INDEX($B$22:$B$610,SMALL(IF($A$22:$A$610=G$21,ROW(Roads!$A$22:$A$610)),Roads!$C23)-ROW(RoadList)),"")</f>
        <v>Amhara</v>
      </c>
      <c r="H23" s="6" t="str">
        <f t="array" ref="H23">IFERROR(INDEX($B$22:$B$610,SMALL(IF($A$22:$A$610=H$21,ROW(Roads!$A$22:$A$610)),Roads!$C23)-ROW(RoadList)),"")</f>
        <v>Somali</v>
      </c>
      <c r="I23" s="6" t="str">
        <f t="array" ref="I23">IFERROR(INDEX($B$22:$B$610,SMALL(IF($A$22:$A$610=I$21,ROW(Roads!$A$22:$A$610)),Roads!$C23)-ROW(RoadList)),"")</f>
        <v>SNNPR</v>
      </c>
      <c r="J23" s="6" t="str">
        <f t="array" ref="J23">IFERROR(INDEX($B$22:$B$610,SMALL(IF($A$22:$A$610=J$21,ROW(Roads!$A$22:$A$610)),Roads!$C23)-ROW(RoadList)),"")</f>
        <v>DireDawa</v>
      </c>
      <c r="K23" s="6" t="str">
        <f t="array" ref="K23">IFERROR(INDEX($B$22:$B$610,SMALL(IF($A$22:$A$610=K$21,ROW(Roads!$A$22:$A$610)),Roads!$C23)-ROW(RoadList)),"")</f>
        <v>Amhara</v>
      </c>
      <c r="L23" s="6" t="str">
        <f t="array" ref="L23">IFERROR(INDEX($B$22:$B$610,SMALL(IF($A$22:$A$610=L$21,ROW(Roads!$A$22:$A$610)),Roads!$C23)-ROW(RoadList)),"")</f>
        <v>DireDawa</v>
      </c>
      <c r="M23" s="6" t="str">
        <f t="array" ref="M23">IFERROR(INDEX($B$22:$B$610,SMALL(IF($A$22:$A$610=M$21,ROW(Roads!$A$22:$A$610)),Roads!$C23)-ROW(RoadList)),"")</f>
        <v>Gambela</v>
      </c>
      <c r="N23" s="6" t="str">
        <f t="array" ref="N23">IFERROR(INDEX($B$22:$B$610,SMALL(IF($A$22:$A$610=N$21,ROW(Roads!$A$22:$A$610)),Roads!$C23)-ROW(RoadList)),"")</f>
        <v>Afar</v>
      </c>
      <c r="Q23" s="1" t="s">
        <v>6</v>
      </c>
      <c r="R23" s="2">
        <v>1.1320150820897696</v>
      </c>
      <c r="S23" s="2">
        <v>1.0779731985479479</v>
      </c>
      <c r="T23" s="2">
        <v>0.96232188995504042</v>
      </c>
      <c r="U23" s="2">
        <v>0.5669586737661787</v>
      </c>
      <c r="V23" s="2">
        <v>0.79640060201973517</v>
      </c>
      <c r="W23" s="2">
        <v>0.53779758511589704</v>
      </c>
      <c r="X23" s="2">
        <v>0.68035288124792859</v>
      </c>
      <c r="Y23" s="2">
        <v>1.1950031999325654</v>
      </c>
      <c r="Z23" s="2">
        <v>0.59197755835656407</v>
      </c>
      <c r="AA23" s="2">
        <v>0.59183191821784686</v>
      </c>
      <c r="AB23" s="2">
        <v>1.0838309531386576</v>
      </c>
      <c r="AD23" s="1" t="s">
        <v>6</v>
      </c>
      <c r="AE23" s="2">
        <v>233.13309165824461</v>
      </c>
      <c r="AF23" s="2">
        <v>213.99910861415086</v>
      </c>
      <c r="AG23" s="2">
        <v>244.73643806155513</v>
      </c>
      <c r="AH23" s="2">
        <v>231.1160337344366</v>
      </c>
      <c r="AI23" s="2">
        <v>203.28296676938666</v>
      </c>
      <c r="AJ23" s="2">
        <v>248.49060295037782</v>
      </c>
      <c r="AK23" s="2">
        <v>240.28275038532956</v>
      </c>
      <c r="AL23" s="2">
        <v>228.74558790298991</v>
      </c>
      <c r="AM23" s="2">
        <v>210.128245530524</v>
      </c>
      <c r="AN23" s="2">
        <v>216.6696522806823</v>
      </c>
      <c r="AO23" s="2">
        <v>229.50246594499851</v>
      </c>
    </row>
    <row r="24" spans="1:41">
      <c r="A24" s="5" t="s">
        <v>12</v>
      </c>
      <c r="B24" s="5" t="s">
        <v>6</v>
      </c>
      <c r="C24" s="6">
        <f t="shared" ref="C24:C32" si="24">C23+1</f>
        <v>3</v>
      </c>
      <c r="D24" s="6" t="str">
        <f t="array" ref="D24">IFERROR(INDEX($B$22:$B$610,SMALL(IF($A$22:$A$610=D$21,ROW(Roads!$A$22:$A$610)),Roads!$C24)-ROW(RoadList)),"")</f>
        <v/>
      </c>
      <c r="E24" s="6" t="str">
        <f t="array" ref="E24">IFERROR(INDEX($B$22:$B$610,SMALL(IF($A$22:$A$610=E$21,ROW(Roads!$A$22:$A$610)),Roads!$C24)-ROW(RoadList)),"")</f>
        <v>Amhara</v>
      </c>
      <c r="F24" s="6" t="str">
        <f t="array" ref="F24">IFERROR(INDEX($B$22:$B$610,SMALL(IF($A$22:$A$610=F$21,ROW(Roads!$A$22:$A$610)),Roads!$C24)-ROW(RoadList)),"")</f>
        <v>Afar</v>
      </c>
      <c r="G24" s="6" t="str">
        <f t="array" ref="G24">IFERROR(INDEX($B$22:$B$610,SMALL(IF($A$22:$A$610=G$21,ROW(Roads!$A$22:$A$610)),Roads!$C24)-ROW(RoadList)),"")</f>
        <v/>
      </c>
      <c r="H24" s="6" t="str">
        <f t="array" ref="H24">IFERROR(INDEX($B$22:$B$610,SMALL(IF($A$22:$A$610=H$21,ROW(Roads!$A$22:$A$610)),Roads!$C24)-ROW(RoadList)),"")</f>
        <v>Harari</v>
      </c>
      <c r="I24" s="6" t="str">
        <f t="array" ref="I24">IFERROR(INDEX($B$22:$B$610,SMALL(IF($A$22:$A$610=I$21,ROW(Roads!$A$22:$A$610)),Roads!$C24)-ROW(RoadList)),"")</f>
        <v/>
      </c>
      <c r="J24" s="6" t="str">
        <f t="array" ref="J24">IFERROR(INDEX($B$22:$B$610,SMALL(IF($A$22:$A$610=J$21,ROW(Roads!$A$22:$A$610)),Roads!$C24)-ROW(RoadList)),"")</f>
        <v>Somali</v>
      </c>
      <c r="K24" s="6" t="str">
        <f t="array" ref="K24">IFERROR(INDEX($B$22:$B$610,SMALL(IF($A$22:$A$610=K$21,ROW(Roads!$A$22:$A$610)),Roads!$C24)-ROW(RoadList)),"")</f>
        <v>Afar</v>
      </c>
      <c r="L24" s="6" t="str">
        <f t="array" ref="L24">IFERROR(INDEX($B$22:$B$610,SMALL(IF($A$22:$A$610=L$21,ROW(Roads!$A$22:$A$610)),Roads!$C24)-ROW(RoadList)),"")</f>
        <v>Harari</v>
      </c>
      <c r="M24" s="6" t="str">
        <f t="array" ref="M24">IFERROR(INDEX($B$22:$B$610,SMALL(IF($A$22:$A$610=M$21,ROW(Roads!$A$22:$A$610)),Roads!$C24)-ROW(RoadList)),"")</f>
        <v>AddisAbaba</v>
      </c>
      <c r="N24" s="6" t="str">
        <f t="array" ref="N24">IFERROR(INDEX($B$22:$B$610,SMALL(IF($A$22:$A$610=N$21,ROW(Roads!$A$22:$A$610)),Roads!$C24)-ROW(RoadList)),"")</f>
        <v/>
      </c>
      <c r="Q24" s="1" t="s">
        <v>7</v>
      </c>
      <c r="R24" s="2">
        <v>0.69165712154416215</v>
      </c>
      <c r="S24" s="2">
        <v>0.99445471504625083</v>
      </c>
      <c r="T24" s="2">
        <v>0.52898019625044879</v>
      </c>
      <c r="U24" s="2">
        <v>0.61348919599325513</v>
      </c>
      <c r="V24" s="2">
        <v>0.63008707650507301</v>
      </c>
      <c r="W24" s="2">
        <v>0.67850742482646487</v>
      </c>
      <c r="X24" s="2">
        <v>0.75827419186756795</v>
      </c>
      <c r="Y24" s="2">
        <v>1.0151759604191137</v>
      </c>
      <c r="Z24" s="2">
        <v>0.63717752888712287</v>
      </c>
      <c r="AA24" s="2">
        <v>1.1469141169871737</v>
      </c>
      <c r="AB24" s="2">
        <v>0.82957701539956319</v>
      </c>
      <c r="AD24" s="1" t="s">
        <v>7</v>
      </c>
      <c r="AE24" s="2">
        <v>219.90160303404747</v>
      </c>
      <c r="AF24" s="2">
        <v>208.85461865770836</v>
      </c>
      <c r="AG24" s="2">
        <v>217.82291398003539</v>
      </c>
      <c r="AH24" s="2">
        <v>211.69542148004973</v>
      </c>
      <c r="AI24" s="2">
        <v>235.63453329200763</v>
      </c>
      <c r="AJ24" s="2">
        <v>246.70995808169238</v>
      </c>
      <c r="AK24" s="2">
        <v>241.79200401229468</v>
      </c>
      <c r="AL24" s="2">
        <v>204.31298589617251</v>
      </c>
      <c r="AM24" s="2">
        <v>216.33286984209656</v>
      </c>
      <c r="AN24" s="2">
        <v>233.93067507446759</v>
      </c>
      <c r="AO24" s="2">
        <v>231.45178393594193</v>
      </c>
    </row>
    <row r="25" spans="1:41">
      <c r="A25" s="5" t="s">
        <v>12</v>
      </c>
      <c r="B25" s="5" t="s">
        <v>11</v>
      </c>
      <c r="C25" s="6">
        <f t="shared" si="24"/>
        <v>4</v>
      </c>
      <c r="D25" s="6" t="str">
        <f t="array" ref="D25">IFERROR(INDEX($B$22:$B$610,SMALL(IF($A$22:$A$610=D$21,ROW(Roads!$A$22:$A$610)),Roads!$C25)-ROW(RoadList)),"")</f>
        <v/>
      </c>
      <c r="E25" s="6" t="str">
        <f t="array" ref="E25">IFERROR(INDEX($B$22:$B$610,SMALL(IF($A$22:$A$610=E$21,ROW(Roads!$A$22:$A$610)),Roads!$C25)-ROW(RoadList)),"")</f>
        <v>Somali</v>
      </c>
      <c r="F25" s="6" t="str">
        <f t="array" ref="F25">IFERROR(INDEX($B$22:$B$610,SMALL(IF($A$22:$A$610=F$21,ROW(Roads!$A$22:$A$610)),Roads!$C25)-ROW(RoadList)),"")</f>
        <v>Gumuz</v>
      </c>
      <c r="G25" s="6" t="str">
        <f t="array" ref="G25">IFERROR(INDEX($B$22:$B$610,SMALL(IF($A$22:$A$610=G$21,ROW(Roads!$A$22:$A$610)),Roads!$C25)-ROW(RoadList)),"")</f>
        <v/>
      </c>
      <c r="H25" s="6" t="str">
        <f t="array" ref="H25">IFERROR(INDEX($B$22:$B$610,SMALL(IF($A$22:$A$610=H$21,ROW(Roads!$A$22:$A$610)),Roads!$C25)-ROW(RoadList)),"")</f>
        <v/>
      </c>
      <c r="I25" s="6" t="str">
        <f t="array" ref="I25">IFERROR(INDEX($B$22:$B$610,SMALL(IF($A$22:$A$610=I$21,ROW(Roads!$A$22:$A$610)),Roads!$C25)-ROW(RoadList)),"")</f>
        <v/>
      </c>
      <c r="J25" s="6" t="str">
        <f t="array" ref="J25">IFERROR(INDEX($B$22:$B$610,SMALL(IF($A$22:$A$610=J$21,ROW(Roads!$A$22:$A$610)),Roads!$C25)-ROW(RoadList)),"")</f>
        <v/>
      </c>
      <c r="K25" s="6" t="str">
        <f t="array" ref="K25">IFERROR(INDEX($B$22:$B$610,SMALL(IF($A$22:$A$610=K$21,ROW(Roads!$A$22:$A$610)),Roads!$C25)-ROW(RoadList)),"")</f>
        <v>Harari</v>
      </c>
      <c r="L25" s="6" t="str">
        <f t="array" ref="L25">IFERROR(INDEX($B$22:$B$610,SMALL(IF($A$22:$A$610=L$21,ROW(Roads!$A$22:$A$610)),Roads!$C25)-ROW(RoadList)),"")</f>
        <v/>
      </c>
      <c r="M25" s="6" t="str">
        <f t="array" ref="M25">IFERROR(INDEX($B$22:$B$610,SMALL(IF($A$22:$A$610=M$21,ROW(Roads!$A$22:$A$610)),Roads!$C25)-ROW(RoadList)),"")</f>
        <v/>
      </c>
      <c r="N25" s="6" t="str">
        <f t="array" ref="N25">IFERROR(INDEX($B$22:$B$610,SMALL(IF($A$22:$A$610=N$21,ROW(Roads!$A$22:$A$610)),Roads!$C25)-ROW(RoadList)),"")</f>
        <v/>
      </c>
      <c r="Q25" s="1" t="s">
        <v>8</v>
      </c>
      <c r="R25" s="2">
        <v>1.1192412398252101</v>
      </c>
      <c r="S25" s="2">
        <v>0.7416906872444522</v>
      </c>
      <c r="T25" s="2">
        <v>1.0002134183342453</v>
      </c>
      <c r="U25" s="2">
        <v>0.96999414869197076</v>
      </c>
      <c r="V25" s="2">
        <v>0.66281489245360226</v>
      </c>
      <c r="W25" s="2">
        <v>1.1141691460394738</v>
      </c>
      <c r="X25" s="2">
        <v>0.87304592610641985</v>
      </c>
      <c r="Y25" s="2">
        <v>0.96341113490754293</v>
      </c>
      <c r="Z25" s="2">
        <v>0.75641971834633992</v>
      </c>
      <c r="AA25" s="2">
        <v>0.67804703440370639</v>
      </c>
      <c r="AB25" s="2">
        <v>1.0757528382986605</v>
      </c>
      <c r="AD25" s="1" t="s">
        <v>8</v>
      </c>
      <c r="AE25" s="2">
        <v>233.51136329061649</v>
      </c>
      <c r="AF25" s="2">
        <v>244.10981573081673</v>
      </c>
      <c r="AG25" s="2">
        <v>208.18260669500958</v>
      </c>
      <c r="AH25" s="2">
        <v>231.54739216368921</v>
      </c>
      <c r="AI25" s="2">
        <v>224.82057620405735</v>
      </c>
      <c r="AJ25" s="2">
        <v>238.6155892351926</v>
      </c>
      <c r="AK25" s="2">
        <v>200.07748785383797</v>
      </c>
      <c r="AL25" s="2">
        <v>206.72316482652826</v>
      </c>
      <c r="AM25" s="2">
        <v>228.83325726546568</v>
      </c>
      <c r="AN25" s="2">
        <v>236.76874507905021</v>
      </c>
      <c r="AO25" s="2">
        <v>208.34108357881806</v>
      </c>
    </row>
    <row r="26" spans="1:41">
      <c r="A26" s="5" t="s">
        <v>12</v>
      </c>
      <c r="B26" s="5" t="s">
        <v>9</v>
      </c>
      <c r="C26" s="6">
        <f t="shared" si="24"/>
        <v>5</v>
      </c>
      <c r="D26" s="6" t="str">
        <f t="array" ref="D26">IFERROR(INDEX($B$22:$B$610,SMALL(IF($A$22:$A$610=D$21,ROW(Roads!$A$22:$A$610)),Roads!$C26)-ROW(RoadList)),"")</f>
        <v/>
      </c>
      <c r="E26" s="6" t="str">
        <f t="array" ref="E26">IFERROR(INDEX($B$22:$B$610,SMALL(IF($A$22:$A$610=E$21,ROW(Roads!$A$22:$A$610)),Roads!$C26)-ROW(RoadList)),"")</f>
        <v/>
      </c>
      <c r="F26" s="6" t="str">
        <f t="array" ref="F26">IFERROR(INDEX($B$22:$B$610,SMALL(IF($A$22:$A$610=F$21,ROW(Roads!$A$22:$A$610)),Roads!$C26)-ROW(RoadList)),"")</f>
        <v/>
      </c>
      <c r="G26" s="6" t="str">
        <f t="array" ref="G26">IFERROR(INDEX($B$22:$B$610,SMALL(IF($A$22:$A$610=G$21,ROW(Roads!$A$22:$A$610)),Roads!$C26)-ROW(RoadList)),"")</f>
        <v/>
      </c>
      <c r="H26" s="6" t="str">
        <f t="array" ref="H26">IFERROR(INDEX($B$22:$B$610,SMALL(IF($A$22:$A$610=H$21,ROW(Roads!$A$22:$A$610)),Roads!$C26)-ROW(RoadList)),"")</f>
        <v/>
      </c>
      <c r="I26" s="6" t="str">
        <f t="array" ref="I26">IFERROR(INDEX($B$22:$B$610,SMALL(IF($A$22:$A$610=I$21,ROW(Roads!$A$22:$A$610)),Roads!$C26)-ROW(RoadList)),"")</f>
        <v/>
      </c>
      <c r="J26" s="6" t="str">
        <f t="array" ref="J26">IFERROR(INDEX($B$22:$B$610,SMALL(IF($A$22:$A$610=J$21,ROW(Roads!$A$22:$A$610)),Roads!$C26)-ROW(RoadList)),"")</f>
        <v/>
      </c>
      <c r="K26" s="6" t="str">
        <f t="array" ref="K26">IFERROR(INDEX($B$22:$B$610,SMALL(IF($A$22:$A$610=K$21,ROW(Roads!$A$22:$A$610)),Roads!$C26)-ROW(RoadList)),"")</f>
        <v>DireDawa</v>
      </c>
      <c r="L26" s="6" t="str">
        <f t="array" ref="L26">IFERROR(INDEX($B$22:$B$610,SMALL(IF($A$22:$A$610=L$21,ROW(Roads!$A$22:$A$610)),Roads!$C26)-ROW(RoadList)),"")</f>
        <v/>
      </c>
      <c r="M26" s="6" t="str">
        <f t="array" ref="M26">IFERROR(INDEX($B$22:$B$610,SMALL(IF($A$22:$A$610=M$21,ROW(Roads!$A$22:$A$610)),Roads!$C26)-ROW(RoadList)),"")</f>
        <v/>
      </c>
      <c r="N26" s="6" t="str">
        <f t="array" ref="N26">IFERROR(INDEX($B$22:$B$610,SMALL(IF($A$22:$A$610=N$21,ROW(Roads!$A$22:$A$610)),Roads!$C26)-ROW(RoadList)),"")</f>
        <v/>
      </c>
      <c r="Q26" s="1" t="s">
        <v>9</v>
      </c>
      <c r="R26" s="2">
        <v>1.1175111910929512</v>
      </c>
      <c r="S26" s="2">
        <v>0.86721563847610139</v>
      </c>
      <c r="T26" s="2">
        <v>1.1717940344874576</v>
      </c>
      <c r="U26" s="2">
        <v>1.0847580498123406</v>
      </c>
      <c r="V26" s="2">
        <v>0.52180440766009861</v>
      </c>
      <c r="W26" s="2">
        <v>0.54112800574175624</v>
      </c>
      <c r="X26" s="2">
        <v>1.2479327268643945</v>
      </c>
      <c r="Y26" s="2">
        <v>1.0597562260804674</v>
      </c>
      <c r="Z26" s="2">
        <v>0.87243104402545746</v>
      </c>
      <c r="AA26" s="2">
        <v>0.93368499567731567</v>
      </c>
      <c r="AB26" s="2">
        <v>0.79354760557753334</v>
      </c>
      <c r="AD26" s="1" t="s">
        <v>9</v>
      </c>
      <c r="AE26" s="2">
        <v>210.14089621212315</v>
      </c>
      <c r="AF26" s="2">
        <v>219.49546606639117</v>
      </c>
      <c r="AG26" s="2">
        <v>214.95877913244067</v>
      </c>
      <c r="AH26" s="2">
        <v>249.83638734834426</v>
      </c>
      <c r="AI26" s="2">
        <v>224.87162090058476</v>
      </c>
      <c r="AJ26" s="2">
        <v>210.09126799598837</v>
      </c>
      <c r="AK26" s="2">
        <v>209.67512633598938</v>
      </c>
      <c r="AL26" s="2">
        <v>200.96169971955933</v>
      </c>
      <c r="AM26" s="2">
        <v>231.38488384191717</v>
      </c>
      <c r="AN26" s="2">
        <v>243.38458398801123</v>
      </c>
      <c r="AO26" s="2">
        <v>234.5099216732682</v>
      </c>
    </row>
    <row r="27" spans="1:41">
      <c r="A27" s="5" t="s">
        <v>12</v>
      </c>
      <c r="B27" s="5" t="s">
        <v>13</v>
      </c>
      <c r="C27" s="6">
        <f t="shared" si="24"/>
        <v>6</v>
      </c>
      <c r="D27" s="6" t="str">
        <f t="array" ref="D27">IFERROR(INDEX($B$22:$B$610,SMALL(IF($A$22:$A$610=D$21,ROW(Roads!$A$22:$A$610)),Roads!$C27)-ROW(RoadList)),"")</f>
        <v/>
      </c>
      <c r="E27" s="6" t="str">
        <f t="array" ref="E27">IFERROR(INDEX($B$22:$B$610,SMALL(IF($A$22:$A$610=E$21,ROW(Roads!$A$22:$A$610)),Roads!$C27)-ROW(RoadList)),"")</f>
        <v/>
      </c>
      <c r="F27" s="6" t="str">
        <f t="array" ref="F27">IFERROR(INDEX($B$22:$B$610,SMALL(IF($A$22:$A$610=F$21,ROW(Roads!$A$22:$A$610)),Roads!$C27)-ROW(RoadList)),"")</f>
        <v/>
      </c>
      <c r="G27" s="6" t="str">
        <f t="array" ref="G27">IFERROR(INDEX($B$22:$B$610,SMALL(IF($A$22:$A$610=G$21,ROW(Roads!$A$22:$A$610)),Roads!$C27)-ROW(RoadList)),"")</f>
        <v/>
      </c>
      <c r="H27" s="6" t="str">
        <f t="array" ref="H27">IFERROR(INDEX($B$22:$B$610,SMALL(IF($A$22:$A$610=H$21,ROW(Roads!$A$22:$A$610)),Roads!$C27)-ROW(RoadList)),"")</f>
        <v/>
      </c>
      <c r="I27" s="6" t="str">
        <f t="array" ref="I27">IFERROR(INDEX($B$22:$B$610,SMALL(IF($A$22:$A$610=I$21,ROW(Roads!$A$22:$A$610)),Roads!$C27)-ROW(RoadList)),"")</f>
        <v/>
      </c>
      <c r="J27" s="6" t="str">
        <f t="array" ref="J27">IFERROR(INDEX($B$22:$B$610,SMALL(IF($A$22:$A$610=J$21,ROW(Roads!$A$22:$A$610)),Roads!$C27)-ROW(RoadList)),"")</f>
        <v/>
      </c>
      <c r="K27" s="6" t="str">
        <f t="array" ref="K27">IFERROR(INDEX($B$22:$B$610,SMALL(IF($A$22:$A$610=K$21,ROW(Roads!$A$22:$A$610)),Roads!$C27)-ROW(RoadList)),"")</f>
        <v>Somali</v>
      </c>
      <c r="L27" s="6" t="str">
        <f t="array" ref="L27">IFERROR(INDEX($B$22:$B$610,SMALL(IF($A$22:$A$610=L$21,ROW(Roads!$A$22:$A$610)),Roads!$C27)-ROW(RoadList)),"")</f>
        <v/>
      </c>
      <c r="M27" s="6" t="str">
        <f t="array" ref="M27">IFERROR(INDEX($B$22:$B$610,SMALL(IF($A$22:$A$610=M$21,ROW(Roads!$A$22:$A$610)),Roads!$C27)-ROW(RoadList)),"")</f>
        <v/>
      </c>
      <c r="N27" s="6" t="str">
        <f t="array" ref="N27">IFERROR(INDEX($B$22:$B$610,SMALL(IF($A$22:$A$610=N$21,ROW(Roads!$A$22:$A$610)),Roads!$C27)-ROW(RoadList)),"")</f>
        <v/>
      </c>
      <c r="Q27" s="1" t="s">
        <v>10</v>
      </c>
      <c r="R27" s="2">
        <v>0.55724304685382908</v>
      </c>
      <c r="S27" s="2">
        <v>0.6866705267336638</v>
      </c>
      <c r="T27" s="2">
        <v>1.166588306025468</v>
      </c>
      <c r="U27" s="2">
        <v>0.97454934154794359</v>
      </c>
      <c r="V27" s="2">
        <v>0.81082034091764443</v>
      </c>
      <c r="W27" s="2">
        <v>0.95127036316814073</v>
      </c>
      <c r="X27" s="2">
        <v>0.86307503841880762</v>
      </c>
      <c r="Y27" s="2">
        <v>1.1027590010694044</v>
      </c>
      <c r="Z27" s="2">
        <v>1.2321043823862368</v>
      </c>
      <c r="AA27" s="2">
        <v>0.53959351553537727</v>
      </c>
      <c r="AB27" s="2">
        <v>1.2200980686492082</v>
      </c>
      <c r="AD27" s="1" t="s">
        <v>10</v>
      </c>
      <c r="AE27" s="2">
        <v>240.39993465815235</v>
      </c>
      <c r="AF27" s="2">
        <v>225.02160579471922</v>
      </c>
      <c r="AG27" s="2">
        <v>231.34879543157911</v>
      </c>
      <c r="AH27" s="2">
        <v>201.42547593704612</v>
      </c>
      <c r="AI27" s="2">
        <v>245.12276546401856</v>
      </c>
      <c r="AJ27" s="2">
        <v>231.73095013991315</v>
      </c>
      <c r="AK27" s="2">
        <v>204.89257186140219</v>
      </c>
      <c r="AL27" s="2">
        <v>223.56242311674697</v>
      </c>
      <c r="AM27" s="2">
        <v>245.73550853360294</v>
      </c>
      <c r="AN27" s="2">
        <v>223.62477718462736</v>
      </c>
      <c r="AO27" s="2">
        <v>241.29992602370081</v>
      </c>
    </row>
    <row r="28" spans="1:41">
      <c r="A28" s="5" t="s">
        <v>12</v>
      </c>
      <c r="B28" s="5" t="s">
        <v>19</v>
      </c>
      <c r="C28" s="6">
        <f t="shared" si="24"/>
        <v>7</v>
      </c>
      <c r="D28" s="6" t="str">
        <f t="array" ref="D28">IFERROR(INDEX($B$22:$B$610,SMALL(IF($A$22:$A$610=D$21,ROW(Roads!$A$22:$A$610)),Roads!$C28)-ROW(RoadList)),"")</f>
        <v/>
      </c>
      <c r="E28" s="6" t="str">
        <f t="array" ref="E28">IFERROR(INDEX($B$22:$B$610,SMALL(IF($A$22:$A$610=E$21,ROW(Roads!$A$22:$A$610)),Roads!$C28)-ROW(RoadList)),"")</f>
        <v/>
      </c>
      <c r="F28" s="6" t="str">
        <f t="array" ref="F28">IFERROR(INDEX($B$22:$B$610,SMALL(IF($A$22:$A$610=F$21,ROW(Roads!$A$22:$A$610)),Roads!$C28)-ROW(RoadList)),"")</f>
        <v/>
      </c>
      <c r="G28" s="6" t="str">
        <f t="array" ref="G28">IFERROR(INDEX($B$22:$B$610,SMALL(IF($A$22:$A$610=G$21,ROW(Roads!$A$22:$A$610)),Roads!$C28)-ROW(RoadList)),"")</f>
        <v/>
      </c>
      <c r="H28" s="6" t="str">
        <f t="array" ref="H28">IFERROR(INDEX($B$22:$B$610,SMALL(IF($A$22:$A$610=H$21,ROW(Roads!$A$22:$A$610)),Roads!$C28)-ROW(RoadList)),"")</f>
        <v/>
      </c>
      <c r="I28" s="6" t="str">
        <f t="array" ref="I28">IFERROR(INDEX($B$22:$B$610,SMALL(IF($A$22:$A$610=I$21,ROW(Roads!$A$22:$A$610)),Roads!$C28)-ROW(RoadList)),"")</f>
        <v/>
      </c>
      <c r="J28" s="6" t="str">
        <f t="array" ref="J28">IFERROR(INDEX($B$22:$B$610,SMALL(IF($A$22:$A$610=J$21,ROW(Roads!$A$22:$A$610)),Roads!$C28)-ROW(RoadList)),"")</f>
        <v/>
      </c>
      <c r="K28" s="6" t="str">
        <f t="array" ref="K28">IFERROR(INDEX($B$22:$B$610,SMALL(IF($A$22:$A$610=K$21,ROW(Roads!$A$22:$A$610)),Roads!$C28)-ROW(RoadList)),"")</f>
        <v>SNNPR</v>
      </c>
      <c r="L28" s="6" t="str">
        <f t="array" ref="L28">IFERROR(INDEX($B$22:$B$610,SMALL(IF($A$22:$A$610=L$21,ROW(Roads!$A$22:$A$610)),Roads!$C28)-ROW(RoadList)),"")</f>
        <v/>
      </c>
      <c r="M28" s="6" t="str">
        <f t="array" ref="M28">IFERROR(INDEX($B$22:$B$610,SMALL(IF($A$22:$A$610=M$21,ROW(Roads!$A$22:$A$610)),Roads!$C28)-ROW(RoadList)),"")</f>
        <v/>
      </c>
      <c r="N28" s="6" t="str">
        <f t="array" ref="N28">IFERROR(INDEX($B$22:$B$610,SMALL(IF($A$22:$A$610=N$21,ROW(Roads!$A$22:$A$610)),Roads!$C28)-ROW(RoadList)),"")</f>
        <v/>
      </c>
      <c r="Q28" s="1" t="s">
        <v>11</v>
      </c>
      <c r="R28" s="2">
        <v>0.69064949300932788</v>
      </c>
      <c r="S28" s="2">
        <v>0.72930117050000753</v>
      </c>
      <c r="T28" s="2">
        <v>0.885864611694823</v>
      </c>
      <c r="U28" s="2">
        <v>0.73496469320722391</v>
      </c>
      <c r="V28" s="2">
        <v>1.2029352202000547</v>
      </c>
      <c r="W28" s="2">
        <v>0.94490700633004887</v>
      </c>
      <c r="X28" s="2">
        <v>0.52106124754592931</v>
      </c>
      <c r="Y28" s="2">
        <v>0.96294856491406944</v>
      </c>
      <c r="Z28" s="2">
        <v>0.97563311778334261</v>
      </c>
      <c r="AA28" s="2">
        <v>1.0933165268653107</v>
      </c>
      <c r="AB28" s="2">
        <v>0.9860933946791659</v>
      </c>
      <c r="AD28" s="1" t="s">
        <v>11</v>
      </c>
      <c r="AE28" s="2">
        <v>219.29138010233382</v>
      </c>
      <c r="AF28" s="2">
        <v>209.36149335976575</v>
      </c>
      <c r="AG28" s="2">
        <v>205.15731002900137</v>
      </c>
      <c r="AH28" s="2">
        <v>244.21746345126579</v>
      </c>
      <c r="AI28" s="2">
        <v>226.28016041059283</v>
      </c>
      <c r="AJ28" s="2">
        <v>227.37200533009556</v>
      </c>
      <c r="AK28" s="2">
        <v>236.22081661988335</v>
      </c>
      <c r="AL28" s="2">
        <v>247.15630290404698</v>
      </c>
      <c r="AM28" s="2">
        <v>245.65269832467987</v>
      </c>
      <c r="AN28" s="2">
        <v>222.87854428913093</v>
      </c>
      <c r="AO28" s="2">
        <v>231.03185939129784</v>
      </c>
    </row>
    <row r="29" spans="1:41">
      <c r="A29" s="5" t="s">
        <v>12</v>
      </c>
      <c r="B29" s="5" t="s">
        <v>10</v>
      </c>
      <c r="C29" s="6">
        <f t="shared" si="24"/>
        <v>8</v>
      </c>
      <c r="D29" s="6" t="str">
        <f t="array" ref="D29">IFERROR(INDEX($B$22:$B$610,SMALL(IF($A$22:$A$610=D$21,ROW(Roads!$A$22:$A$610)),Roads!$C29)-ROW(RoadList)),"")</f>
        <v/>
      </c>
      <c r="E29" s="6" t="str">
        <f t="array" ref="E29">IFERROR(INDEX($B$22:$B$610,SMALL(IF($A$22:$A$610=E$21,ROW(Roads!$A$22:$A$610)),Roads!$C29)-ROW(RoadList)),"")</f>
        <v/>
      </c>
      <c r="F29" s="6" t="str">
        <f t="array" ref="F29">IFERROR(INDEX($B$22:$B$610,SMALL(IF($A$22:$A$610=F$21,ROW(Roads!$A$22:$A$610)),Roads!$C29)-ROW(RoadList)),"")</f>
        <v/>
      </c>
      <c r="G29" s="6" t="str">
        <f t="array" ref="G29">IFERROR(INDEX($B$22:$B$610,SMALL(IF($A$22:$A$610=G$21,ROW(Roads!$A$22:$A$610)),Roads!$C29)-ROW(RoadList)),"")</f>
        <v/>
      </c>
      <c r="H29" s="6" t="str">
        <f t="array" ref="H29">IFERROR(INDEX($B$22:$B$610,SMALL(IF($A$22:$A$610=H$21,ROW(Roads!$A$22:$A$610)),Roads!$C29)-ROW(RoadList)),"")</f>
        <v/>
      </c>
      <c r="I29" s="6" t="str">
        <f t="array" ref="I29">IFERROR(INDEX($B$22:$B$610,SMALL(IF($A$22:$A$610=I$21,ROW(Roads!$A$22:$A$610)),Roads!$C29)-ROW(RoadList)),"")</f>
        <v/>
      </c>
      <c r="J29" s="6" t="str">
        <f t="array" ref="J29">IFERROR(INDEX($B$22:$B$610,SMALL(IF($A$22:$A$610=J$21,ROW(Roads!$A$22:$A$610)),Roads!$C29)-ROW(RoadList)),"")</f>
        <v/>
      </c>
      <c r="K29" s="6" t="str">
        <f t="array" ref="K29">IFERROR(INDEX($B$22:$B$610,SMALL(IF($A$22:$A$610=K$21,ROW(Roads!$A$22:$A$610)),Roads!$C29)-ROW(RoadList)),"")</f>
        <v>Gambela</v>
      </c>
      <c r="L29" s="6" t="str">
        <f t="array" ref="L29">IFERROR(INDEX($B$22:$B$610,SMALL(IF($A$22:$A$610=L$21,ROW(Roads!$A$22:$A$610)),Roads!$C29)-ROW(RoadList)),"")</f>
        <v/>
      </c>
      <c r="M29" s="6" t="str">
        <f t="array" ref="M29">IFERROR(INDEX($B$22:$B$610,SMALL(IF($A$22:$A$610=M$21,ROW(Roads!$A$22:$A$610)),Roads!$C29)-ROW(RoadList)),"")</f>
        <v/>
      </c>
      <c r="N29" s="6" t="str">
        <f t="array" ref="N29">IFERROR(INDEX($B$22:$B$610,SMALL(IF($A$22:$A$610=N$21,ROW(Roads!$A$22:$A$610)),Roads!$C29)-ROW(RoadList)),"")</f>
        <v/>
      </c>
      <c r="Q29" s="1" t="s">
        <v>12</v>
      </c>
      <c r="R29" s="2">
        <v>0.79189338363610751</v>
      </c>
      <c r="S29" s="2">
        <v>1.1636527596452302</v>
      </c>
      <c r="T29" s="2">
        <v>0.84563387629932851</v>
      </c>
      <c r="U29" s="2">
        <v>0.66869837304498247</v>
      </c>
      <c r="V29" s="2">
        <v>1.2054749066799526</v>
      </c>
      <c r="W29" s="2">
        <v>1.2370303140274541</v>
      </c>
      <c r="X29" s="2">
        <v>0.99514203350909436</v>
      </c>
      <c r="Y29" s="2">
        <v>0.50862047311056879</v>
      </c>
      <c r="Z29" s="2">
        <v>0.55228771981381808</v>
      </c>
      <c r="AA29" s="2">
        <v>0.50314407010809226</v>
      </c>
      <c r="AB29" s="2">
        <v>1.1916011249440579</v>
      </c>
      <c r="AD29" s="1" t="s">
        <v>12</v>
      </c>
      <c r="AE29" s="2">
        <v>223.38305213390416</v>
      </c>
      <c r="AF29" s="2">
        <v>223.5850680715796</v>
      </c>
      <c r="AG29" s="2">
        <v>202.49522287681165</v>
      </c>
      <c r="AH29" s="2">
        <v>219.51495779101128</v>
      </c>
      <c r="AI29" s="2">
        <v>232.60422833694528</v>
      </c>
      <c r="AJ29" s="2">
        <v>229.59633202930101</v>
      </c>
      <c r="AK29" s="2">
        <v>218.98654941609232</v>
      </c>
      <c r="AL29" s="2">
        <v>247.87426475331731</v>
      </c>
      <c r="AM29" s="2">
        <v>242.54751523870476</v>
      </c>
      <c r="AN29" s="2">
        <v>241.77247688656453</v>
      </c>
      <c r="AO29" s="2">
        <v>240.78663154292315</v>
      </c>
    </row>
    <row r="30" spans="1:41">
      <c r="A30" s="5" t="s">
        <v>12</v>
      </c>
      <c r="B30" s="5" t="s">
        <v>8</v>
      </c>
      <c r="C30" s="6">
        <f t="shared" si="24"/>
        <v>9</v>
      </c>
      <c r="D30" s="6" t="str">
        <f t="array" ref="D30">IFERROR(INDEX($B$22:$B$610,SMALL(IF($A$22:$A$610=D$21,ROW(Roads!$A$22:$A$610)),Roads!$C30)-ROW(RoadList)),"")</f>
        <v/>
      </c>
      <c r="E30" s="6" t="str">
        <f t="array" ref="E30">IFERROR(INDEX($B$22:$B$610,SMALL(IF($A$22:$A$610=E$21,ROW(Roads!$A$22:$A$610)),Roads!$C30)-ROW(RoadList)),"")</f>
        <v/>
      </c>
      <c r="F30" s="6" t="str">
        <f t="array" ref="F30">IFERROR(INDEX($B$22:$B$610,SMALL(IF($A$22:$A$610=F$21,ROW(Roads!$A$22:$A$610)),Roads!$C30)-ROW(RoadList)),"")</f>
        <v/>
      </c>
      <c r="G30" s="6" t="str">
        <f t="array" ref="G30">IFERROR(INDEX($B$22:$B$610,SMALL(IF($A$22:$A$610=G$21,ROW(Roads!$A$22:$A$610)),Roads!$C30)-ROW(RoadList)),"")</f>
        <v/>
      </c>
      <c r="H30" s="6" t="str">
        <f t="array" ref="H30">IFERROR(INDEX($B$22:$B$610,SMALL(IF($A$22:$A$610=H$21,ROW(Roads!$A$22:$A$610)),Roads!$C30)-ROW(RoadList)),"")</f>
        <v/>
      </c>
      <c r="I30" s="6" t="str">
        <f t="array" ref="I30">IFERROR(INDEX($B$22:$B$610,SMALL(IF($A$22:$A$610=I$21,ROW(Roads!$A$22:$A$610)),Roads!$C30)-ROW(RoadList)),"")</f>
        <v/>
      </c>
      <c r="J30" s="6" t="str">
        <f t="array" ref="J30">IFERROR(INDEX($B$22:$B$610,SMALL(IF($A$22:$A$610=J$21,ROW(Roads!$A$22:$A$610)),Roads!$C30)-ROW(RoadList)),"")</f>
        <v/>
      </c>
      <c r="K30" s="6" t="str">
        <f t="array" ref="K30">IFERROR(INDEX($B$22:$B$610,SMALL(IF($A$22:$A$610=K$21,ROW(Roads!$A$22:$A$610)),Roads!$C30)-ROW(RoadList)),"")</f>
        <v>Gumuz</v>
      </c>
      <c r="L30" s="6" t="str">
        <f t="array" ref="L30">IFERROR(INDEX($B$22:$B$610,SMALL(IF($A$22:$A$610=L$21,ROW(Roads!$A$22:$A$610)),Roads!$C30)-ROW(RoadList)),"")</f>
        <v/>
      </c>
      <c r="M30" s="6" t="str">
        <f t="array" ref="M30">IFERROR(INDEX($B$22:$B$610,SMALL(IF($A$22:$A$610=M$21,ROW(Roads!$A$22:$A$610)),Roads!$C30)-ROW(RoadList)),"")</f>
        <v/>
      </c>
      <c r="N30" s="6" t="str">
        <f t="array" ref="N30">IFERROR(INDEX($B$22:$B$610,SMALL(IF($A$22:$A$610=N$21,ROW(Roads!$A$22:$A$610)),Roads!$C30)-ROW(RoadList)),"")</f>
        <v/>
      </c>
      <c r="Q30" s="1" t="s">
        <v>13</v>
      </c>
      <c r="R30" s="2">
        <v>0.54213917922745203</v>
      </c>
      <c r="S30" s="2">
        <v>0.8493601286400303</v>
      </c>
      <c r="T30" s="2">
        <v>0.854673721177444</v>
      </c>
      <c r="U30" s="2">
        <v>0.59269497484369205</v>
      </c>
      <c r="V30" s="2">
        <v>0.97329081583357913</v>
      </c>
      <c r="W30" s="2">
        <v>0.79857098495392442</v>
      </c>
      <c r="X30" s="2">
        <v>0.5698803428627589</v>
      </c>
      <c r="Y30" s="2">
        <v>1.081197194709369</v>
      </c>
      <c r="Z30" s="2">
        <v>0.82390182228224951</v>
      </c>
      <c r="AA30" s="2">
        <v>0.99418891675140164</v>
      </c>
      <c r="AB30" s="2">
        <v>1.0057019601161423</v>
      </c>
      <c r="AD30" s="1" t="s">
        <v>13</v>
      </c>
      <c r="AE30" s="2">
        <v>208.33274125222576</v>
      </c>
      <c r="AF30" s="2">
        <v>207.3886394452191</v>
      </c>
      <c r="AG30" s="2">
        <v>230.55392085294756</v>
      </c>
      <c r="AH30" s="2">
        <v>207.76524588047974</v>
      </c>
      <c r="AI30" s="2">
        <v>240.05422652242422</v>
      </c>
      <c r="AJ30" s="2">
        <v>244.32106453580457</v>
      </c>
      <c r="AK30" s="2">
        <v>225.87555069854608</v>
      </c>
      <c r="AL30" s="2">
        <v>239.27289213109759</v>
      </c>
      <c r="AM30" s="2">
        <v>245.8166363491936</v>
      </c>
      <c r="AN30" s="2">
        <v>234.55064814699313</v>
      </c>
      <c r="AO30" s="2">
        <v>232.99353420232933</v>
      </c>
    </row>
    <row r="31" spans="1:41">
      <c r="A31" s="5" t="s">
        <v>5</v>
      </c>
      <c r="B31" s="5" t="s">
        <v>12</v>
      </c>
      <c r="C31" s="6">
        <f t="shared" si="24"/>
        <v>10</v>
      </c>
      <c r="D31" s="6" t="str">
        <f t="array" ref="D31">IFERROR(INDEX($B$22:$B$610,SMALL(IF($A$22:$A$610=D$21,ROW(Roads!$A$22:$A$610)),Roads!$C31)-ROW(RoadList)),"")</f>
        <v/>
      </c>
      <c r="E31" s="6" t="str">
        <f t="array" ref="E31">IFERROR(INDEX($B$22:$B$610,SMALL(IF($A$22:$A$610=E$21,ROW(Roads!$A$22:$A$610)),Roads!$C31)-ROW(RoadList)),"")</f>
        <v/>
      </c>
      <c r="F31" s="6" t="str">
        <f t="array" ref="F31">IFERROR(INDEX($B$22:$B$610,SMALL(IF($A$22:$A$610=F$21,ROW(Roads!$A$22:$A$610)),Roads!$C31)-ROW(RoadList)),"")</f>
        <v/>
      </c>
      <c r="G31" s="6" t="str">
        <f t="array" ref="G31">IFERROR(INDEX($B$22:$B$610,SMALL(IF($A$22:$A$610=G$21,ROW(Roads!$A$22:$A$610)),Roads!$C31)-ROW(RoadList)),"")</f>
        <v/>
      </c>
      <c r="H31" s="6" t="str">
        <f t="array" ref="H31">IFERROR(INDEX($B$22:$B$610,SMALL(IF($A$22:$A$610=H$21,ROW(Roads!$A$22:$A$610)),Roads!$C31)-ROW(RoadList)),"")</f>
        <v/>
      </c>
      <c r="I31" s="6" t="str">
        <f t="array" ref="I31">IFERROR(INDEX($B$22:$B$610,SMALL(IF($A$22:$A$610=I$21,ROW(Roads!$A$22:$A$610)),Roads!$C31)-ROW(RoadList)),"")</f>
        <v/>
      </c>
      <c r="J31" s="6" t="str">
        <f t="array" ref="J31">IFERROR(INDEX($B$22:$B$610,SMALL(IF($A$22:$A$610=J$21,ROW(Roads!$A$22:$A$610)),Roads!$C31)-ROW(RoadList)),"")</f>
        <v/>
      </c>
      <c r="K31" s="6" t="str">
        <f t="array" ref="K31">IFERROR(INDEX($B$22:$B$610,SMALL(IF($A$22:$A$610=K$21,ROW(Roads!$A$22:$A$610)),Roads!$C31)-ROW(RoadList)),"")</f>
        <v/>
      </c>
      <c r="L31" s="6" t="str">
        <f t="array" ref="L31">IFERROR(INDEX($B$22:$B$610,SMALL(IF($A$22:$A$610=L$21,ROW(Roads!$A$22:$A$610)),Roads!$C31)-ROW(RoadList)),"")</f>
        <v/>
      </c>
      <c r="M31" s="6" t="str">
        <f t="array" ref="M31">IFERROR(INDEX($B$22:$B$610,SMALL(IF($A$22:$A$610=M$21,ROW(Roads!$A$22:$A$610)),Roads!$C31)-ROW(RoadList)),"")</f>
        <v/>
      </c>
      <c r="N31" s="6" t="str">
        <f t="array" ref="N31">IFERROR(INDEX($B$22:$B$610,SMALL(IF($A$22:$A$610=N$21,ROW(Roads!$A$22:$A$610)),Roads!$C31)-ROW(RoadList)),"")</f>
        <v/>
      </c>
      <c r="Q31" s="1" t="s">
        <v>19</v>
      </c>
      <c r="R31" s="2">
        <v>1.1871790752038298</v>
      </c>
      <c r="S31" s="2">
        <v>1.2273196836862563</v>
      </c>
      <c r="T31" s="2">
        <v>0.51691635475107112</v>
      </c>
      <c r="U31" s="2">
        <v>0.88563238203614647</v>
      </c>
      <c r="V31" s="2">
        <v>0.55208430968885103</v>
      </c>
      <c r="W31" s="2">
        <v>0.78359830827446963</v>
      </c>
      <c r="X31" s="2">
        <v>0.5816790435973902</v>
      </c>
      <c r="Y31" s="2">
        <v>0.50022474287132723</v>
      </c>
      <c r="Z31" s="2">
        <v>1.0023637800373515</v>
      </c>
      <c r="AA31" s="2">
        <v>1.0657895082249518</v>
      </c>
      <c r="AB31" s="2">
        <v>1.009988306710996</v>
      </c>
      <c r="AD31" s="1" t="s">
        <v>19</v>
      </c>
      <c r="AE31" s="2">
        <v>238.18553454690866</v>
      </c>
      <c r="AF31" s="2">
        <v>228.336383353748</v>
      </c>
      <c r="AG31" s="2">
        <v>208.52426480262218</v>
      </c>
      <c r="AH31" s="2">
        <v>249.98681343846152</v>
      </c>
      <c r="AI31" s="2">
        <v>239.13165245406407</v>
      </c>
      <c r="AJ31" s="2">
        <v>247.94200768302255</v>
      </c>
      <c r="AK31" s="2">
        <v>209.58251960461581</v>
      </c>
      <c r="AL31" s="2">
        <v>220.89009527881328</v>
      </c>
      <c r="AM31" s="2">
        <v>226.12728726576182</v>
      </c>
      <c r="AN31" s="2">
        <v>230.91474346557538</v>
      </c>
      <c r="AO31" s="2">
        <v>226.04546388975382</v>
      </c>
    </row>
    <row r="32" spans="1:41">
      <c r="A32" s="5" t="s">
        <v>7</v>
      </c>
      <c r="B32" s="5" t="s">
        <v>12</v>
      </c>
      <c r="C32" s="6">
        <f t="shared" si="24"/>
        <v>11</v>
      </c>
      <c r="D32" s="6" t="str">
        <f t="array" ref="D32">IFERROR(INDEX($B$22:$B$610,SMALL(IF($A$22:$A$610=D$21,ROW(Roads!$A$22:$A$610)),Roads!$C32)-ROW(RoadList)),"")</f>
        <v/>
      </c>
      <c r="E32" s="6" t="str">
        <f t="array" ref="E32">IFERROR(INDEX($B$22:$B$610,SMALL(IF($A$22:$A$610=E$21,ROW(Roads!$A$22:$A$610)),Roads!$C32)-ROW(RoadList)),"")</f>
        <v/>
      </c>
      <c r="F32" s="6" t="str">
        <f t="array" ref="F32">IFERROR(INDEX($B$22:$B$610,SMALL(IF($A$22:$A$610=F$21,ROW(Roads!$A$22:$A$610)),Roads!$C32)-ROW(RoadList)),"")</f>
        <v/>
      </c>
      <c r="G32" s="6" t="str">
        <f t="array" ref="G32">IFERROR(INDEX($B$22:$B$610,SMALL(IF($A$22:$A$610=G$21,ROW(Roads!$A$22:$A$610)),Roads!$C32)-ROW(RoadList)),"")</f>
        <v/>
      </c>
      <c r="H32" s="6" t="str">
        <f t="array" ref="H32">IFERROR(INDEX($B$22:$B$610,SMALL(IF($A$22:$A$610=H$21,ROW(Roads!$A$22:$A$610)),Roads!$C32)-ROW(RoadList)),"")</f>
        <v/>
      </c>
      <c r="I32" s="6" t="str">
        <f t="array" ref="I32">IFERROR(INDEX($B$22:$B$610,SMALL(IF($A$22:$A$610=I$21,ROW(Roads!$A$22:$A$610)),Roads!$C32)-ROW(RoadList)),"")</f>
        <v/>
      </c>
      <c r="J32" s="6" t="str">
        <f t="array" ref="J32">IFERROR(INDEX($B$22:$B$610,SMALL(IF($A$22:$A$610=J$21,ROW(Roads!$A$22:$A$610)),Roads!$C32)-ROW(RoadList)),"")</f>
        <v/>
      </c>
      <c r="K32" s="6" t="str">
        <f t="array" ref="K32">IFERROR(INDEX($B$22:$B$610,SMALL(IF($A$22:$A$610=K$21,ROW(Roads!$A$22:$A$610)),Roads!$C32)-ROW(RoadList)),"")</f>
        <v/>
      </c>
      <c r="L32" s="6" t="str">
        <f t="array" ref="L32">IFERROR(INDEX($B$22:$B$610,SMALL(IF($A$22:$A$610=L$21,ROW(Roads!$A$22:$A$610)),Roads!$C32)-ROW(RoadList)),"")</f>
        <v/>
      </c>
      <c r="M32" s="6" t="str">
        <f t="array" ref="M32">IFERROR(INDEX($B$22:$B$610,SMALL(IF($A$22:$A$610=M$21,ROW(Roads!$A$22:$A$610)),Roads!$C32)-ROW(RoadList)),"")</f>
        <v/>
      </c>
      <c r="N32" s="6" t="str">
        <f t="array" ref="N32">IFERROR(INDEX($B$22:$B$610,SMALL(IF($A$22:$A$610=N$21,ROW(Roads!$A$22:$A$610)),Roads!$C32)-ROW(RoadList)),"")</f>
        <v/>
      </c>
      <c r="Q32" s="1" t="s">
        <v>14</v>
      </c>
      <c r="R32" s="2">
        <v>0.54705059386589339</v>
      </c>
      <c r="S32" s="2">
        <v>0.87890546080003995</v>
      </c>
      <c r="T32" s="2">
        <v>1.1318347903386798</v>
      </c>
      <c r="U32" s="2">
        <v>0.67932257988969447</v>
      </c>
      <c r="V32" s="2">
        <v>0.58801709002105873</v>
      </c>
      <c r="W32" s="2">
        <v>1.126885057505975</v>
      </c>
      <c r="X32" s="2">
        <v>0.94482612956880951</v>
      </c>
      <c r="Y32" s="2">
        <v>0.89319021948698962</v>
      </c>
      <c r="Z32" s="2">
        <v>0.76279366133205151</v>
      </c>
      <c r="AA32" s="2">
        <v>0.98206236752133913</v>
      </c>
      <c r="AB32" s="2">
        <v>0.79011371756618698</v>
      </c>
      <c r="AD32" s="1" t="s">
        <v>14</v>
      </c>
      <c r="AE32" s="2">
        <v>207.18422048792721</v>
      </c>
      <c r="AF32" s="2">
        <v>248.92056006652717</v>
      </c>
      <c r="AG32" s="2">
        <v>222.55974305095609</v>
      </c>
      <c r="AH32" s="2">
        <v>229.82382590368891</v>
      </c>
      <c r="AI32" s="2">
        <v>202.88750158719401</v>
      </c>
      <c r="AJ32" s="2">
        <v>201.17804848624235</v>
      </c>
      <c r="AK32" s="2">
        <v>218.8064487086144</v>
      </c>
      <c r="AL32" s="2">
        <v>224.29225141496821</v>
      </c>
      <c r="AM32" s="2">
        <v>218.73294296441352</v>
      </c>
      <c r="AN32" s="2">
        <v>238.74636461386331</v>
      </c>
      <c r="AO32" s="2">
        <v>230.40812554197066</v>
      </c>
    </row>
    <row r="33" spans="1:30">
      <c r="A33" s="5" t="s">
        <v>6</v>
      </c>
      <c r="B33" s="5" t="s">
        <v>12</v>
      </c>
      <c r="C33" s="6"/>
      <c r="D33" s="6" t="str">
        <f t="array" ref="D33">IFERROR(INDEX($B$22:$B$610,SMALL(IF($A$22:$A$610=D$21,ROW(Roads!$A$22:$A$610)),Roads!$C33)-ROW(RoadList)),"")</f>
        <v/>
      </c>
      <c r="E33" s="6" t="str">
        <f t="array" ref="E33">IFERROR(INDEX($B$22:$B$610,SMALL(IF($A$22:$A$610=E$21,ROW(Roads!$A$22:$A$610)),Roads!$C33)-ROW(RoadList)),"")</f>
        <v/>
      </c>
      <c r="F33" s="6" t="str">
        <f t="array" ref="F33">IFERROR(INDEX($B$22:$B$610,SMALL(IF($A$22:$A$610=F$21,ROW(Roads!$A$22:$A$610)),Roads!$C33)-ROW(RoadList)),"")</f>
        <v/>
      </c>
      <c r="G33" s="6" t="str">
        <f t="array" ref="G33">IFERROR(INDEX($B$22:$B$610,SMALL(IF($A$22:$A$610=G$21,ROW(Roads!$A$22:$A$610)),Roads!$C33)-ROW(RoadList)),"")</f>
        <v/>
      </c>
      <c r="H33" s="6" t="str">
        <f t="array" ref="H33">IFERROR(INDEX($B$22:$B$610,SMALL(IF($A$22:$A$610=H$21,ROW(Roads!$A$22:$A$610)),Roads!$C33)-ROW(RoadList)),"")</f>
        <v/>
      </c>
      <c r="I33" s="6" t="str">
        <f t="array" ref="I33">IFERROR(INDEX($B$22:$B$610,SMALL(IF($A$22:$A$610=I$21,ROW(Roads!$A$22:$A$610)),Roads!$C33)-ROW(RoadList)),"")</f>
        <v/>
      </c>
      <c r="J33" s="6" t="str">
        <f t="array" ref="J33">IFERROR(INDEX($B$22:$B$610,SMALL(IF($A$22:$A$610=J$21,ROW(Roads!$A$22:$A$610)),Roads!$C33)-ROW(RoadList)),"")</f>
        <v/>
      </c>
      <c r="K33" s="6" t="str">
        <f t="array" ref="K33">IFERROR(INDEX($B$22:$B$610,SMALL(IF($A$22:$A$610=K$21,ROW(Roads!$A$22:$A$610)),Roads!$C33)-ROW(RoadList)),"")</f>
        <v/>
      </c>
      <c r="L33" s="6" t="str">
        <f t="array" ref="L33">IFERROR(INDEX($B$22:$B$610,SMALL(IF($A$22:$A$610=L$21,ROW(Roads!$A$22:$A$610)),Roads!$C33)-ROW(RoadList)),"")</f>
        <v/>
      </c>
      <c r="M33" s="6" t="str">
        <f t="array" ref="M33">IFERROR(INDEX($B$22:$B$610,SMALL(IF($A$22:$A$610=M$21,ROW(Roads!$A$22:$A$610)),Roads!$C33)-ROW(RoadList)),"")</f>
        <v/>
      </c>
      <c r="N33" s="6" t="str">
        <f t="array" ref="N33">IFERROR(INDEX($B$22:$B$610,SMALL(IF($A$22:$A$610=N$21,ROW(Roads!$A$22:$A$610)),Roads!$C33)-ROW(RoadList)),"")</f>
        <v/>
      </c>
    </row>
    <row r="34" spans="1:30">
      <c r="A34" s="5" t="s">
        <v>11</v>
      </c>
      <c r="B34" s="5" t="s">
        <v>12</v>
      </c>
      <c r="C34" s="6"/>
      <c r="D34" s="6"/>
      <c r="E34" s="6"/>
      <c r="F34" s="6"/>
      <c r="G34" s="8"/>
      <c r="H34" s="8" t="str">
        <f>IF(ISERROR(INDEX($A$1:$B$8,SMALL(IF($A$1:$A$8=$E$1,ROW($A$1:$A$8)),ROW(1:1)),2)),"",INDEX($A$1:$B$8,SMALL(IF($A$1:$A$8=$E$1,ROW($A$1:$A$8)),ROW(1:1)),2))</f>
        <v/>
      </c>
      <c r="I34" s="6"/>
      <c r="J34" s="6"/>
      <c r="K34" s="6"/>
      <c r="L34" s="6"/>
      <c r="M34" s="6"/>
      <c r="N34" s="6"/>
    </row>
    <row r="35" spans="1:30">
      <c r="A35" s="5" t="s">
        <v>9</v>
      </c>
      <c r="B35" s="5" t="s">
        <v>12</v>
      </c>
      <c r="C35" s="6"/>
      <c r="D35" s="6"/>
      <c r="E35" s="6"/>
      <c r="F35" s="6"/>
      <c r="G35" s="8" t="str">
        <f t="array" ref="G35">IF(ISERROR(INDEX($A$1:$B$8,SMALL(IF($A$1:$A$8=$E$1,ROW($A$1:$A$8)),ROW(2:2)),2)),"",INDEX($A$1:$B$8,SMALL(IF($A$1:$A$8=$E$1,ROW($A$1:$A$8)),ROW(2:2)),2))</f>
        <v/>
      </c>
      <c r="H35" s="6"/>
      <c r="I35" s="6"/>
      <c r="J35" s="6"/>
      <c r="K35" s="6"/>
      <c r="L35" s="6"/>
      <c r="M35" s="6"/>
      <c r="N35" s="6"/>
    </row>
    <row r="36" spans="1:30">
      <c r="A36" s="5" t="s">
        <v>13</v>
      </c>
      <c r="B36" s="5" t="s">
        <v>12</v>
      </c>
      <c r="C36" s="6"/>
      <c r="D36" s="6"/>
      <c r="E36" s="6"/>
      <c r="F36" s="6"/>
      <c r="G36" s="8" t="str">
        <f t="array" ref="G36">IF(ISERROR(INDEX($A$1:$B$8,SMALL(IF($A$1:$A$8=$E$1,ROW($A$1:$A$8)),ROW(3:3)),2)),"",INDEX($A$1:$B$8,SMALL(IF($A$1:$A$8=$E$1,ROW($A$1:$A$8)),ROW(3:3)),2))</f>
        <v/>
      </c>
      <c r="H36" s="6"/>
      <c r="I36" s="6"/>
      <c r="J36" s="6"/>
      <c r="K36" s="6"/>
      <c r="L36" s="6"/>
      <c r="M36" s="6"/>
      <c r="N36" s="6"/>
    </row>
    <row r="37" spans="1:30">
      <c r="A37" s="5" t="s">
        <v>19</v>
      </c>
      <c r="B37" s="5" t="s">
        <v>12</v>
      </c>
      <c r="C37" s="6"/>
      <c r="D37" s="6"/>
      <c r="E37" s="6"/>
      <c r="F37" s="6"/>
      <c r="G37" s="8" t="str">
        <f t="array" ref="G37">IF(ISERROR(INDEX($A$1:$B$8,SMALL(IF($A$1:$A$8=$E$1,ROW($A$1:$A$8)),ROW(4:4)),2)),"",INDEX($A$1:$B$8,SMALL(IF($A$1:$A$8=$E$1,ROW($A$1:$A$8)),ROW(4:4)),2))</f>
        <v/>
      </c>
      <c r="H37" s="6"/>
      <c r="I37" s="6"/>
      <c r="J37" s="6"/>
      <c r="K37" s="6"/>
      <c r="L37" s="6"/>
      <c r="M37" s="6"/>
      <c r="N37" s="6"/>
      <c r="AD37" s="2"/>
    </row>
    <row r="38" spans="1:30">
      <c r="A38" s="5" t="s">
        <v>10</v>
      </c>
      <c r="B38" s="5" t="s">
        <v>12</v>
      </c>
      <c r="C38" s="6"/>
      <c r="D38" s="6"/>
      <c r="E38" s="6"/>
      <c r="F38" s="6"/>
      <c r="G38" s="8" t="str">
        <f t="array" ref="G38">IF(ISERROR(INDEX($A$1:$B$8,SMALL(IF($A$1:$A$8=$E$1,ROW($A$1:$A$8)),ROW(5:5)),2)),"",INDEX($A$1:$B$8,SMALL(IF($A$1:$A$8=$E$1,ROW($A$1:$A$8)),ROW(5:5)),2))</f>
        <v/>
      </c>
      <c r="H38" s="6"/>
      <c r="I38" s="6"/>
      <c r="J38" s="6"/>
      <c r="K38" s="6"/>
      <c r="L38" s="6"/>
      <c r="M38" s="6"/>
      <c r="N38" s="6"/>
    </row>
    <row r="39" spans="1:30">
      <c r="A39" s="5" t="s">
        <v>8</v>
      </c>
      <c r="B39" s="5" t="s">
        <v>12</v>
      </c>
    </row>
    <row r="40" spans="1:30">
      <c r="A40" s="5" t="s">
        <v>6</v>
      </c>
      <c r="B40" s="5" t="s">
        <v>14</v>
      </c>
    </row>
    <row r="41" spans="1:30">
      <c r="A41" s="5" t="s">
        <v>6</v>
      </c>
      <c r="B41" s="5" t="s">
        <v>7</v>
      </c>
    </row>
    <row r="42" spans="1:30">
      <c r="A42" s="5" t="s">
        <v>6</v>
      </c>
      <c r="B42" s="5" t="s">
        <v>13</v>
      </c>
    </row>
    <row r="43" spans="1:30">
      <c r="A43" s="5" t="s">
        <v>7</v>
      </c>
      <c r="B43" s="5" t="s">
        <v>14</v>
      </c>
    </row>
    <row r="44" spans="1:30">
      <c r="A44" s="5" t="s">
        <v>7</v>
      </c>
      <c r="B44" s="5" t="s">
        <v>6</v>
      </c>
    </row>
    <row r="45" spans="1:30">
      <c r="A45" s="5" t="s">
        <v>7</v>
      </c>
      <c r="B45" s="5" t="s">
        <v>8</v>
      </c>
    </row>
    <row r="46" spans="1:30">
      <c r="A46" s="5" t="s">
        <v>8</v>
      </c>
      <c r="B46" s="5" t="s">
        <v>7</v>
      </c>
    </row>
    <row r="47" spans="1:30">
      <c r="A47" s="5" t="s">
        <v>9</v>
      </c>
      <c r="B47" s="5" t="s">
        <v>13</v>
      </c>
    </row>
    <row r="48" spans="1:30">
      <c r="A48" s="5" t="s">
        <v>9</v>
      </c>
      <c r="B48" s="5" t="s">
        <v>11</v>
      </c>
    </row>
    <row r="49" spans="1:2">
      <c r="A49" s="5" t="s">
        <v>10</v>
      </c>
      <c r="B49" s="5" t="s">
        <v>19</v>
      </c>
    </row>
    <row r="50" spans="1:2">
      <c r="A50" s="5" t="s">
        <v>11</v>
      </c>
      <c r="B50" s="5" t="s">
        <v>9</v>
      </c>
    </row>
    <row r="51" spans="1:2">
      <c r="A51" s="5" t="s">
        <v>13</v>
      </c>
      <c r="B51" s="5" t="s">
        <v>9</v>
      </c>
    </row>
    <row r="52" spans="1:2">
      <c r="A52" s="5" t="s">
        <v>13</v>
      </c>
      <c r="B52" s="5" t="s">
        <v>11</v>
      </c>
    </row>
    <row r="53" spans="1:2">
      <c r="A53" s="5" t="s">
        <v>11</v>
      </c>
      <c r="B53" s="5" t="s">
        <v>13</v>
      </c>
    </row>
    <row r="54" spans="1:2">
      <c r="A54" s="5" t="s">
        <v>19</v>
      </c>
      <c r="B54" s="5" t="s">
        <v>10</v>
      </c>
    </row>
    <row r="55" spans="1:2">
      <c r="A55" s="5" t="s">
        <v>19</v>
      </c>
      <c r="B55" s="5" t="s">
        <v>5</v>
      </c>
    </row>
    <row r="56" spans="1:2">
      <c r="A56" s="5" t="s">
        <v>5</v>
      </c>
      <c r="B56" s="5" t="s">
        <v>19</v>
      </c>
    </row>
    <row r="57" spans="1:2">
      <c r="A57" s="5" t="s">
        <v>14</v>
      </c>
      <c r="B57" s="5" t="s">
        <v>7</v>
      </c>
    </row>
    <row r="58" spans="1:2">
      <c r="A58" s="5" t="s">
        <v>14</v>
      </c>
      <c r="B58" s="5" t="s">
        <v>6</v>
      </c>
    </row>
    <row r="59" spans="1:2">
      <c r="A59" s="5"/>
      <c r="B59" s="5"/>
    </row>
    <row r="60" spans="1:2">
      <c r="A60" s="5"/>
      <c r="B60" s="5"/>
    </row>
    <row r="61" spans="1:2">
      <c r="A61" s="5"/>
      <c r="B61" s="5"/>
    </row>
    <row r="62" spans="1:2">
      <c r="A62" s="5"/>
      <c r="B62" s="5"/>
    </row>
    <row r="63" spans="1:2">
      <c r="A63" s="5"/>
      <c r="B63" s="5"/>
    </row>
    <row r="64" spans="1:2">
      <c r="A64" s="5"/>
      <c r="B64" s="5"/>
    </row>
    <row r="65" spans="1:2">
      <c r="A65" s="5"/>
      <c r="B65" s="5"/>
    </row>
    <row r="66" spans="1:2">
      <c r="A66" s="5"/>
      <c r="B66" s="5"/>
    </row>
    <row r="67" spans="1:2">
      <c r="A67" s="5"/>
      <c r="B67" s="5"/>
    </row>
    <row r="68" spans="1:2">
      <c r="A68" s="5"/>
      <c r="B68" s="5"/>
    </row>
    <row r="69" spans="1:2">
      <c r="A69" s="5"/>
      <c r="B69" s="5"/>
    </row>
    <row r="70" spans="1:2">
      <c r="A70" s="5"/>
      <c r="B70" s="5"/>
    </row>
    <row r="71" spans="1:2">
      <c r="A71" s="5"/>
      <c r="B71" s="5"/>
    </row>
    <row r="72" spans="1:2">
      <c r="A72" s="5"/>
      <c r="B72" s="5"/>
    </row>
    <row r="73" spans="1:2">
      <c r="A73" s="5"/>
      <c r="B73" s="5"/>
    </row>
    <row r="74" spans="1:2">
      <c r="A74" s="5"/>
      <c r="B74" s="5"/>
    </row>
    <row r="75" spans="1:2">
      <c r="A75" s="5"/>
      <c r="B75" s="5"/>
    </row>
    <row r="76" spans="1:2">
      <c r="A76" s="5"/>
      <c r="B76" s="5"/>
    </row>
    <row r="77" spans="1:2">
      <c r="A77" s="5"/>
      <c r="B77" s="5"/>
    </row>
    <row r="78" spans="1:2">
      <c r="A78" s="5"/>
      <c r="B78" s="5"/>
    </row>
    <row r="79" spans="1:2">
      <c r="A79" s="5"/>
      <c r="B79" s="5"/>
    </row>
    <row r="80" spans="1:2">
      <c r="A80" s="5"/>
      <c r="B80" s="5"/>
    </row>
    <row r="81" spans="1:2">
      <c r="A81" s="5"/>
      <c r="B81" s="5"/>
    </row>
    <row r="82" spans="1:2">
      <c r="A82" s="5"/>
      <c r="B82" s="5"/>
    </row>
    <row r="83" spans="1:2">
      <c r="A83" s="5"/>
      <c r="B83" s="5"/>
    </row>
    <row r="84" spans="1:2">
      <c r="A84" s="5"/>
      <c r="B84" s="5"/>
    </row>
    <row r="85" spans="1:2">
      <c r="A85" s="5"/>
      <c r="B85" s="5"/>
    </row>
    <row r="86" spans="1:2">
      <c r="A86" s="5"/>
      <c r="B86" s="5"/>
    </row>
    <row r="87" spans="1:2">
      <c r="A87" s="5"/>
      <c r="B87" s="5"/>
    </row>
    <row r="88" spans="1:2">
      <c r="A88" s="5"/>
      <c r="B88" s="5"/>
    </row>
    <row r="89" spans="1:2">
      <c r="A89" s="5"/>
      <c r="B89" s="5"/>
    </row>
    <row r="90" spans="1:2">
      <c r="A90" s="5"/>
      <c r="B90" s="5"/>
    </row>
    <row r="91" spans="1:2">
      <c r="A91" s="5"/>
      <c r="B91" s="5"/>
    </row>
    <row r="92" spans="1:2">
      <c r="A92" s="5"/>
      <c r="B92" s="5"/>
    </row>
    <row r="93" spans="1:2">
      <c r="A93" s="5"/>
      <c r="B93" s="5"/>
    </row>
    <row r="94" spans="1:2">
      <c r="A94" s="5"/>
      <c r="B94" s="5"/>
    </row>
    <row r="95" spans="1:2">
      <c r="A95" s="5"/>
      <c r="B95" s="5"/>
    </row>
    <row r="96" spans="1:2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</sheetData>
  <conditionalFormatting sqref="B2:L12">
    <cfRule type="containsText" dxfId="1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O214"/>
  <sheetViews>
    <sheetView topLeftCell="M1" zoomScale="85" zoomScaleNormal="85" workbookViewId="0">
      <selection activeCell="Q1" sqref="Q1:AP12"/>
    </sheetView>
  </sheetViews>
  <sheetFormatPr defaultColWidth="8.875" defaultRowHeight="15.75"/>
  <cols>
    <col min="1" max="2" width="11.5" customWidth="1"/>
    <col min="3" max="3" width="15.25" customWidth="1"/>
    <col min="4" max="4" width="11.875" customWidth="1"/>
    <col min="27" max="27" width="11.5" bestFit="1" customWidth="1"/>
  </cols>
  <sheetData>
    <row r="1" spans="1:41"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19</v>
      </c>
      <c r="L1" s="1" t="s">
        <v>14</v>
      </c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</row>
    <row r="2" spans="1:41">
      <c r="A2" s="1" t="s">
        <v>5</v>
      </c>
      <c r="B2" s="4" t="str">
        <f>IF(ISERROR(MATCH($A2,D$22:D$330,0)),"No","Yes")</f>
        <v>No</v>
      </c>
      <c r="C2" s="4" t="str">
        <f>IF(ISERROR(MATCH($A2,E$22:E$330,0)),"No","Yes")</f>
        <v>No</v>
      </c>
      <c r="D2" s="4" t="str">
        <f>IF(ISERROR(MATCH($A2,F$22:F$330,0)),"No","Yes")</f>
        <v>No</v>
      </c>
      <c r="E2" s="4" t="str">
        <f>IF(ISERROR(MATCH($A2,G$22:G$330,0)),"No","Yes")</f>
        <v>No</v>
      </c>
      <c r="F2" s="4" t="str">
        <f>IF(ISERROR(MATCH($A2,H$22:H$330,0)),"No","Yes")</f>
        <v>No</v>
      </c>
      <c r="G2" s="4" t="str">
        <f>IF(ISERROR(MATCH($A2,I$22:I$330,0)),"No","Yes")</f>
        <v>No</v>
      </c>
      <c r="H2" s="4" t="str">
        <f>IF(ISERROR(MATCH($A2,J$22:J$330,0)),"No","Yes")</f>
        <v>No</v>
      </c>
      <c r="I2" s="4" t="str">
        <f>IF(ISERROR(MATCH($A2,K$22:K$330,0)),"No","Yes")</f>
        <v>Yes</v>
      </c>
      <c r="J2" s="4" t="str">
        <f>IF(ISERROR(MATCH($A2,L$22:L$330,0)),"No","Yes")</f>
        <v>No</v>
      </c>
      <c r="K2" s="4" t="str">
        <f>IF(ISERROR(MATCH($A2,M$22:M$330,0)),"No","Yes")</f>
        <v>Yes</v>
      </c>
      <c r="L2" s="4" t="str">
        <f>IF(ISERROR(MATCH($A2,N$22:N$330,0)),"No","Yes")</f>
        <v>No</v>
      </c>
      <c r="Q2" s="1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1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  <row r="3" spans="1:41">
      <c r="A3" s="1" t="s">
        <v>6</v>
      </c>
      <c r="B3" s="4" t="str">
        <f>IF(ISERROR(MATCH($A3,D$22:D$330,0)),"No","Yes")</f>
        <v>No</v>
      </c>
      <c r="C3" s="4" t="str">
        <f>IF(ISERROR(MATCH($A3,E$22:E$330,0)),"No","Yes")</f>
        <v>No</v>
      </c>
      <c r="D3" s="4" t="str">
        <f>IF(ISERROR(MATCH($A3,F$22:F$330,0)),"No","Yes")</f>
        <v>Yes</v>
      </c>
      <c r="E3" s="4" t="str">
        <f>IF(ISERROR(MATCH($A3,G$22:G$330,0)),"No","Yes")</f>
        <v>No</v>
      </c>
      <c r="F3" s="4" t="str">
        <f>IF(ISERROR(MATCH($A3,H$22:H$330,0)),"No","Yes")</f>
        <v>No</v>
      </c>
      <c r="G3" s="4" t="str">
        <f>IF(ISERROR(MATCH($A3,I$22:I$330,0)),"No","Yes")</f>
        <v>No</v>
      </c>
      <c r="H3" s="4" t="str">
        <f>IF(ISERROR(MATCH($A3,J$22:J$330,0)),"No","Yes")</f>
        <v>No</v>
      </c>
      <c r="I3" s="4" t="str">
        <f>IF(ISERROR(MATCH($A3,K$22:K$330,0)),"No","Yes")</f>
        <v>Yes</v>
      </c>
      <c r="J3" s="4" t="str">
        <f>IF(ISERROR(MATCH($A3,L$22:L$330,0)),"No","Yes")</f>
        <v>No</v>
      </c>
      <c r="K3" s="4" t="str">
        <f>IF(ISERROR(MATCH($A3,M$22:M$330,0)),"No","Yes")</f>
        <v>No</v>
      </c>
      <c r="L3" s="4" t="str">
        <f>IF(ISERROR(MATCH($A3,N$22:N$330,0)),"No","Yes")</f>
        <v>Yes</v>
      </c>
      <c r="Q3" s="1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D3" s="1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1">
      <c r="A4" s="1" t="s">
        <v>7</v>
      </c>
      <c r="B4" s="4" t="str">
        <f>IF(ISERROR(MATCH($A4,D$22:D$330,0)),"No","Yes")</f>
        <v>No</v>
      </c>
      <c r="C4" s="4" t="str">
        <f>IF(ISERROR(MATCH($A4,E$22:E$330,0)),"No","Yes")</f>
        <v>Yes</v>
      </c>
      <c r="D4" s="4" t="str">
        <f>IF(ISERROR(MATCH($A4,F$22:F$330,0)),"No","Yes")</f>
        <v>No</v>
      </c>
      <c r="E4" s="4" t="str">
        <f>IF(ISERROR(MATCH($A4,G$22:G$330,0)),"No","Yes")</f>
        <v>Yes</v>
      </c>
      <c r="F4" s="4" t="str">
        <f>IF(ISERROR(MATCH($A4,H$22:H$330,0)),"No","Yes")</f>
        <v>No</v>
      </c>
      <c r="G4" s="4" t="str">
        <f>IF(ISERROR(MATCH($A4,I$22:I$330,0)),"No","Yes")</f>
        <v>No</v>
      </c>
      <c r="H4" s="4" t="str">
        <f>IF(ISERROR(MATCH($A4,J$22:J$330,0)),"No","Yes")</f>
        <v>No</v>
      </c>
      <c r="I4" s="4" t="str">
        <f>IF(ISERROR(MATCH($A4,K$22:K$330,0)),"No","Yes")</f>
        <v>Yes</v>
      </c>
      <c r="J4" s="4" t="str">
        <f>IF(ISERROR(MATCH($A4,L$22:L$330,0)),"No","Yes")</f>
        <v>No</v>
      </c>
      <c r="K4" s="4" t="str">
        <f>IF(ISERROR(MATCH($A4,M$22:M$330,0)),"No","Yes")</f>
        <v>No</v>
      </c>
      <c r="L4" s="4" t="str">
        <f>IF(ISERROR(MATCH($A4,N$22:N$330,0)),"No","Yes")</f>
        <v>Yes</v>
      </c>
      <c r="Q4" s="1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D4" s="1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</row>
    <row r="5" spans="1:41">
      <c r="A5" s="1" t="s">
        <v>8</v>
      </c>
      <c r="B5" s="4" t="str">
        <f>IF(ISERROR(MATCH($A5,D$22:D$330,0)),"No","Yes")</f>
        <v>No</v>
      </c>
      <c r="C5" s="4" t="str">
        <f>IF(ISERROR(MATCH($A5,E$22:E$330,0)),"No","Yes")</f>
        <v>No</v>
      </c>
      <c r="D5" s="4" t="str">
        <f>IF(ISERROR(MATCH($A5,F$22:F$330,0)),"No","Yes")</f>
        <v>Yes</v>
      </c>
      <c r="E5" s="4" t="str">
        <f>IF(ISERROR(MATCH($A5,G$22:G$330,0)),"No","Yes")</f>
        <v>No</v>
      </c>
      <c r="F5" s="4" t="str">
        <f>IF(ISERROR(MATCH($A5,H$22:H$330,0)),"No","Yes")</f>
        <v>No</v>
      </c>
      <c r="G5" s="4" t="str">
        <f>IF(ISERROR(MATCH($A5,I$22:I$330,0)),"No","Yes")</f>
        <v>No</v>
      </c>
      <c r="H5" s="4" t="str">
        <f>IF(ISERROR(MATCH($A5,J$22:J$330,0)),"No","Yes")</f>
        <v>No</v>
      </c>
      <c r="I5" s="4" t="str">
        <f>IF(ISERROR(MATCH($A5,K$22:K$330,0)),"No","Yes")</f>
        <v>Yes</v>
      </c>
      <c r="J5" s="4" t="str">
        <f>IF(ISERROR(MATCH($A5,L$22:L$330,0)),"No","Yes")</f>
        <v>No</v>
      </c>
      <c r="K5" s="4" t="str">
        <f>IF(ISERROR(MATCH($A5,M$22:M$330,0)),"No","Yes")</f>
        <v>No</v>
      </c>
      <c r="L5" s="4" t="str">
        <f>IF(ISERROR(MATCH($A5,N$22:N$330,0)),"No","Yes")</f>
        <v>No</v>
      </c>
      <c r="Q5" s="1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D5" s="1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</row>
    <row r="6" spans="1:41">
      <c r="A6" s="1" t="s">
        <v>9</v>
      </c>
      <c r="B6" s="4" t="str">
        <f>IF(ISERROR(MATCH($A6,D$22:D$330,0)),"No","Yes")</f>
        <v>No</v>
      </c>
      <c r="C6" s="4" t="str">
        <f>IF(ISERROR(MATCH($A6,E$22:E$330,0)),"No","Yes")</f>
        <v>No</v>
      </c>
      <c r="D6" s="4" t="str">
        <f>IF(ISERROR(MATCH($A6,F$22:F$330,0)),"No","Yes")</f>
        <v>No</v>
      </c>
      <c r="E6" s="4" t="str">
        <f>IF(ISERROR(MATCH($A6,G$22:G$330,0)),"No","Yes")</f>
        <v>No</v>
      </c>
      <c r="F6" s="4" t="str">
        <f>IF(ISERROR(MATCH($A6,H$22:H$330,0)),"No","Yes")</f>
        <v>No</v>
      </c>
      <c r="G6" s="4" t="str">
        <f>IF(ISERROR(MATCH($A6,I$22:I$330,0)),"No","Yes")</f>
        <v>No</v>
      </c>
      <c r="H6" s="4" t="str">
        <f>IF(ISERROR(MATCH($A6,J$22:J$330,0)),"No","Yes")</f>
        <v>Yes</v>
      </c>
      <c r="I6" s="4" t="str">
        <f>IF(ISERROR(MATCH($A6,K$22:K$330,0)),"No","Yes")</f>
        <v>Yes</v>
      </c>
      <c r="J6" s="4" t="str">
        <f>IF(ISERROR(MATCH($A6,L$22:L$330,0)),"No","Yes")</f>
        <v>Yes</v>
      </c>
      <c r="K6" s="4" t="str">
        <f>IF(ISERROR(MATCH($A6,M$22:M$330,0)),"No","Yes")</f>
        <v>No</v>
      </c>
      <c r="L6" s="4" t="str">
        <f>IF(ISERROR(MATCH($A6,N$22:N$330,0)),"No","Yes")</f>
        <v>No</v>
      </c>
      <c r="Q6" s="1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D6" s="1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</row>
    <row r="7" spans="1:41">
      <c r="A7" s="1" t="s">
        <v>10</v>
      </c>
      <c r="B7" s="4" t="str">
        <f>IF(ISERROR(MATCH($A7,D$22:D$330,0)),"No","Yes")</f>
        <v>No</v>
      </c>
      <c r="C7" s="4" t="str">
        <f>IF(ISERROR(MATCH($A7,E$22:E$330,0)),"No","Yes")</f>
        <v>No</v>
      </c>
      <c r="D7" s="4" t="str">
        <f>IF(ISERROR(MATCH($A7,F$22:F$330,0)),"No","Yes")</f>
        <v>No</v>
      </c>
      <c r="E7" s="4" t="str">
        <f>IF(ISERROR(MATCH($A7,G$22:G$330,0)),"No","Yes")</f>
        <v>No</v>
      </c>
      <c r="F7" s="4" t="str">
        <f>IF(ISERROR(MATCH($A7,H$22:H$330,0)),"No","Yes")</f>
        <v>No</v>
      </c>
      <c r="G7" s="4" t="str">
        <f>IF(ISERROR(MATCH($A7,I$22:I$330,0)),"No","Yes")</f>
        <v>No</v>
      </c>
      <c r="H7" s="4" t="str">
        <f>IF(ISERROR(MATCH($A7,J$22:J$330,0)),"No","Yes")</f>
        <v>No</v>
      </c>
      <c r="I7" s="4" t="str">
        <f>IF(ISERROR(MATCH($A7,K$22:K$330,0)),"No","Yes")</f>
        <v>Yes</v>
      </c>
      <c r="J7" s="4" t="str">
        <f>IF(ISERROR(MATCH($A7,L$22:L$330,0)),"No","Yes")</f>
        <v>No</v>
      </c>
      <c r="K7" s="4" t="str">
        <f>IF(ISERROR(MATCH($A7,M$22:M$330,0)),"No","Yes")</f>
        <v>Yes</v>
      </c>
      <c r="L7" s="4" t="str">
        <f>IF(ISERROR(MATCH($A7,N$22:N$330,0)),"No","Yes")</f>
        <v>No</v>
      </c>
      <c r="Q7" s="1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D7" s="1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</row>
    <row r="8" spans="1:41">
      <c r="A8" s="1" t="s">
        <v>11</v>
      </c>
      <c r="B8" s="4" t="str">
        <f>IF(ISERROR(MATCH($A8,D$22:D$330,0)),"No","Yes")</f>
        <v>No</v>
      </c>
      <c r="C8" s="4" t="str">
        <f>IF(ISERROR(MATCH($A8,E$22:E$330,0)),"No","Yes")</f>
        <v>No</v>
      </c>
      <c r="D8" s="4" t="str">
        <f>IF(ISERROR(MATCH($A8,F$22:F$330,0)),"No","Yes")</f>
        <v>No</v>
      </c>
      <c r="E8" s="4" t="str">
        <f>IF(ISERROR(MATCH($A8,G$22:G$330,0)),"No","Yes")</f>
        <v>No</v>
      </c>
      <c r="F8" s="4" t="str">
        <f>IF(ISERROR(MATCH($A8,H$22:H$330,0)),"No","Yes")</f>
        <v>Yes</v>
      </c>
      <c r="G8" s="4" t="str">
        <f>IF(ISERROR(MATCH($A8,I$22:I$330,0)),"No","Yes")</f>
        <v>No</v>
      </c>
      <c r="H8" s="4" t="str">
        <f>IF(ISERROR(MATCH($A8,J$22:J$330,0)),"No","Yes")</f>
        <v>No</v>
      </c>
      <c r="I8" s="4" t="str">
        <f>IF(ISERROR(MATCH($A8,K$22:K$330,0)),"No","Yes")</f>
        <v>Yes</v>
      </c>
      <c r="J8" s="4" t="str">
        <f>IF(ISERROR(MATCH($A8,L$22:L$330,0)),"No","Yes")</f>
        <v>Yes</v>
      </c>
      <c r="K8" s="4" t="str">
        <f>IF(ISERROR(MATCH($A8,M$22:M$330,0)),"No","Yes")</f>
        <v>No</v>
      </c>
      <c r="L8" s="4" t="str">
        <f>IF(ISERROR(MATCH($A8,N$22:N$330,0)),"No","Yes")</f>
        <v>No</v>
      </c>
      <c r="Q8" s="1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D8" s="1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</row>
    <row r="9" spans="1:41">
      <c r="A9" s="1" t="s">
        <v>12</v>
      </c>
      <c r="B9" s="4" t="str">
        <f>IF(ISERROR(MATCH($A9,D$22:D$330,0)),"No","Yes")</f>
        <v>Yes</v>
      </c>
      <c r="C9" s="4" t="str">
        <f>IF(ISERROR(MATCH($A9,E$22:E$330,0)),"No","Yes")</f>
        <v>Yes</v>
      </c>
      <c r="D9" s="4" t="str">
        <f>IF(ISERROR(MATCH($A9,F$22:F$330,0)),"No","Yes")</f>
        <v>Yes</v>
      </c>
      <c r="E9" s="4" t="str">
        <f>IF(ISERROR(MATCH($A9,G$22:G$330,0)),"No","Yes")</f>
        <v>Yes</v>
      </c>
      <c r="F9" s="4" t="str">
        <f>IF(ISERROR(MATCH($A9,H$22:H$330,0)),"No","Yes")</f>
        <v>Yes</v>
      </c>
      <c r="G9" s="4" t="str">
        <f>IF(ISERROR(MATCH($A9,I$22:I$330,0)),"No","Yes")</f>
        <v>Yes</v>
      </c>
      <c r="H9" s="4" t="str">
        <f>IF(ISERROR(MATCH($A9,J$22:J$330,0)),"No","Yes")</f>
        <v>Yes</v>
      </c>
      <c r="I9" s="4" t="str">
        <f>IF(ISERROR(MATCH($A9,K$22:K$330,0)),"No","Yes")</f>
        <v>No</v>
      </c>
      <c r="J9" s="4" t="str">
        <f>IF(ISERROR(MATCH($A9,L$22:L$330,0)),"No","Yes")</f>
        <v>Yes</v>
      </c>
      <c r="K9" s="4" t="str">
        <f>IF(ISERROR(MATCH($A9,M$22:M$330,0)),"No","Yes")</f>
        <v>Yes</v>
      </c>
      <c r="L9" s="4" t="str">
        <f>IF(ISERROR(MATCH($A9,N$22:N$330,0)),"No","Yes")</f>
        <v>No</v>
      </c>
      <c r="Q9" s="1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D9" s="1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</row>
    <row r="10" spans="1:41">
      <c r="A10" s="1" t="s">
        <v>13</v>
      </c>
      <c r="B10" s="4" t="str">
        <f>IF(ISERROR(MATCH($A10,D$22:D$330,0)),"No","Yes")</f>
        <v>No</v>
      </c>
      <c r="C10" s="4" t="str">
        <f>IF(ISERROR(MATCH($A10,E$22:E$330,0)),"No","Yes")</f>
        <v>Yes</v>
      </c>
      <c r="D10" s="4" t="str">
        <f>IF(ISERROR(MATCH($A10,F$22:F$330,0)),"No","Yes")</f>
        <v>No</v>
      </c>
      <c r="E10" s="4" t="str">
        <f>IF(ISERROR(MATCH($A10,G$22:G$330,0)),"No","Yes")</f>
        <v>No</v>
      </c>
      <c r="F10" s="4" t="str">
        <f>IF(ISERROR(MATCH($A10,H$22:H$330,0)),"No","Yes")</f>
        <v>Yes</v>
      </c>
      <c r="G10" s="4" t="str">
        <f>IF(ISERROR(MATCH($A10,I$22:I$330,0)),"No","Yes")</f>
        <v>No</v>
      </c>
      <c r="H10" s="4" t="str">
        <f>IF(ISERROR(MATCH($A10,J$22:J$330,0)),"No","Yes")</f>
        <v>Yes</v>
      </c>
      <c r="I10" s="4" t="str">
        <f>IF(ISERROR(MATCH($A10,K$22:K$330,0)),"No","Yes")</f>
        <v>Yes</v>
      </c>
      <c r="J10" s="4" t="str">
        <f>IF(ISERROR(MATCH($A10,L$22:L$330,0)),"No","Yes")</f>
        <v>No</v>
      </c>
      <c r="K10" s="4" t="str">
        <f>IF(ISERROR(MATCH($A10,M$22:M$330,0)),"No","Yes")</f>
        <v>No</v>
      </c>
      <c r="L10" s="4" t="str">
        <f>IF(ISERROR(MATCH($A10,N$22:N$330,0)),"No","Yes")</f>
        <v>No</v>
      </c>
      <c r="Q10" s="1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D10" s="1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</row>
    <row r="11" spans="1:41">
      <c r="A11" s="1" t="s">
        <v>19</v>
      </c>
      <c r="B11" s="4" t="str">
        <f>IF(ISERROR(MATCH($A11,D$22:D$330,0)),"No","Yes")</f>
        <v>Yes</v>
      </c>
      <c r="C11" s="4" t="str">
        <f>IF(ISERROR(MATCH($A11,E$22:E$330,0)),"No","Yes")</f>
        <v>No</v>
      </c>
      <c r="D11" s="4" t="str">
        <f>IF(ISERROR(MATCH($A11,F$22:F$330,0)),"No","Yes")</f>
        <v>No</v>
      </c>
      <c r="E11" s="4" t="str">
        <f>IF(ISERROR(MATCH($A11,G$22:G$330,0)),"No","Yes")</f>
        <v>No</v>
      </c>
      <c r="F11" s="4" t="str">
        <f>IF(ISERROR(MATCH($A11,H$22:H$330,0)),"No","Yes")</f>
        <v>No</v>
      </c>
      <c r="G11" s="4" t="str">
        <f>IF(ISERROR(MATCH($A11,I$22:I$330,0)),"No","Yes")</f>
        <v>Yes</v>
      </c>
      <c r="H11" s="4" t="str">
        <f>IF(ISERROR(MATCH($A11,J$22:J$330,0)),"No","Yes")</f>
        <v>No</v>
      </c>
      <c r="I11" s="4" t="str">
        <f>IF(ISERROR(MATCH($A11,K$22:K$330,0)),"No","Yes")</f>
        <v>Yes</v>
      </c>
      <c r="J11" s="4" t="str">
        <f>IF(ISERROR(MATCH($A11,L$22:L$330,0)),"No","Yes")</f>
        <v>No</v>
      </c>
      <c r="K11" s="4" t="str">
        <f>IF(ISERROR(MATCH($A11,M$22:M$330,0)),"No","Yes")</f>
        <v>No</v>
      </c>
      <c r="L11" s="4" t="str">
        <f>IF(ISERROR(MATCH($A11,N$22:N$330,0)),"No","Yes")</f>
        <v>No</v>
      </c>
      <c r="Q11" s="1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D11" s="1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</row>
    <row r="12" spans="1:41">
      <c r="A12" s="1" t="s">
        <v>14</v>
      </c>
      <c r="B12" s="4" t="str">
        <f>IF(ISERROR(MATCH($A12,D$22:D$330,0)),"No","Yes")</f>
        <v>No</v>
      </c>
      <c r="C12" s="4" t="str">
        <f>IF(ISERROR(MATCH($A12,E$22:E$330,0)),"No","Yes")</f>
        <v>Yes</v>
      </c>
      <c r="D12" s="4" t="str">
        <f>IF(ISERROR(MATCH($A12,F$22:F$330,0)),"No","Yes")</f>
        <v>Yes</v>
      </c>
      <c r="E12" s="4" t="str">
        <f>IF(ISERROR(MATCH($A12,G$22:G$330,0)),"No","Yes")</f>
        <v>No</v>
      </c>
      <c r="F12" s="4" t="str">
        <f>IF(ISERROR(MATCH($A12,H$22:H$330,0)),"No","Yes")</f>
        <v>No</v>
      </c>
      <c r="G12" s="4" t="str">
        <f>IF(ISERROR(MATCH($A12,I$22:I$330,0)),"No","Yes")</f>
        <v>No</v>
      </c>
      <c r="H12" s="4" t="str">
        <f>IF(ISERROR(MATCH($A12,J$22:J$330,0)),"No","Yes")</f>
        <v>No</v>
      </c>
      <c r="I12" s="4" t="str">
        <f>IF(ISERROR(MATCH($A12,K$22:K$330,0)),"No","Yes")</f>
        <v>No</v>
      </c>
      <c r="J12" s="4" t="str">
        <f>IF(ISERROR(MATCH($A12,L$22:L$330,0)),"No","Yes")</f>
        <v>No</v>
      </c>
      <c r="K12" s="4" t="str">
        <f>IF(ISERROR(MATCH($A12,M$22:M$330,0)),"No","Yes")</f>
        <v>No</v>
      </c>
      <c r="L12" s="4" t="str">
        <f>IF(ISERROR(MATCH($A12,N$22:N$330,0)),"No","Yes")</f>
        <v>No</v>
      </c>
      <c r="Q12" s="1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D12" s="1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</row>
    <row r="19" spans="1:21"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>
      <c r="J20" s="1"/>
    </row>
    <row r="21" spans="1:21">
      <c r="A21" s="1" t="s">
        <v>43</v>
      </c>
      <c r="B21" s="1" t="s">
        <v>44</v>
      </c>
      <c r="C21" s="6"/>
      <c r="D21" s="7" t="s">
        <v>5</v>
      </c>
      <c r="E21" s="7" t="s">
        <v>6</v>
      </c>
      <c r="F21" s="7" t="s">
        <v>7</v>
      </c>
      <c r="G21" s="7" t="s">
        <v>8</v>
      </c>
      <c r="H21" s="7" t="s">
        <v>9</v>
      </c>
      <c r="I21" s="7" t="s">
        <v>10</v>
      </c>
      <c r="J21" s="7" t="s">
        <v>11</v>
      </c>
      <c r="K21" s="7" t="s">
        <v>12</v>
      </c>
      <c r="L21" s="7" t="s">
        <v>13</v>
      </c>
      <c r="M21" s="7" t="s">
        <v>19</v>
      </c>
      <c r="N21" s="7" t="s">
        <v>14</v>
      </c>
    </row>
    <row r="22" spans="1:21">
      <c r="A22" s="5" t="s">
        <v>12</v>
      </c>
      <c r="B22" s="5" t="s">
        <v>5</v>
      </c>
      <c r="C22" s="6">
        <v>1</v>
      </c>
      <c r="D22" s="6" t="str">
        <f t="array" ref="D22">IFERROR(INDEX($B$22:$B$610,SMALL(IF($A$22:$A$610=D$21,ROW(ElecLine!$A$22:$A$610)),ElecLine!$C22)-ROW(RoadList)),"")</f>
        <v>Oromia</v>
      </c>
      <c r="E22" s="6" t="str">
        <f t="array" ref="E22">IFERROR(INDEX($B$22:$B$610,SMALL(IF($A$22:$A$610=E$21,ROW(ElecLine!$A$22:$A$610)),ElecLine!$C22)-ROW(RoadList)),"")</f>
        <v>Oromia</v>
      </c>
      <c r="F22" s="6" t="str">
        <f t="array" ref="F22">IFERROR(INDEX($B$22:$B$610,SMALL(IF($A$22:$A$610=F$21,ROW(ElecLine!$A$22:$A$610)),ElecLine!$C22)-ROW(RoadList)),"")</f>
        <v>Oromia</v>
      </c>
      <c r="G22" s="6" t="str">
        <f t="array" ref="G22">IFERROR(INDEX($B$22:$B$610,SMALL(IF($A$22:$A$610=G$21,ROW(ElecLine!$A$22:$A$610)),ElecLine!$C22)-ROW(RoadList)),"")</f>
        <v>Oromia</v>
      </c>
      <c r="H22" s="6" t="str">
        <f t="array" ref="H22">IFERROR(INDEX($B$22:$B$610,SMALL(IF($A$22:$A$610=H$21,ROW(ElecLine!$A$22:$A$610)),ElecLine!$C22)-ROW(RoadList)),"")</f>
        <v>Oromia</v>
      </c>
      <c r="I22" s="6" t="str">
        <f t="array" ref="I22">IFERROR(INDEX($B$22:$B$610,SMALL(IF($A$22:$A$610=I$21,ROW(ElecLine!$A$22:$A$610)),ElecLine!$C22)-ROW(RoadList)),"")</f>
        <v>Oromia</v>
      </c>
      <c r="J22" s="6" t="str">
        <f t="array" ref="J22">IFERROR(INDEX($B$22:$B$610,SMALL(IF($A$22:$A$610=J$21,ROW(ElecLine!$A$22:$A$610)),ElecLine!$C22)-ROW(RoadList)),"")</f>
        <v>Oromia</v>
      </c>
      <c r="K22" s="6" t="str">
        <f t="array" ref="K22">IFERROR(INDEX($B$22:$B$610,SMALL(IF($A$22:$A$610=K$21,ROW(ElecLine!$A$22:$A$610)),ElecLine!$C22)-ROW(RoadList)),"")</f>
        <v>AddisAbaba</v>
      </c>
      <c r="L22" s="6" t="str">
        <f t="array" ref="L22">IFERROR(INDEX($B$22:$B$610,SMALL(IF($A$22:$A$610=L$21,ROW(ElecLine!$A$22:$A$610)),ElecLine!$C22)-ROW(RoadList)),"")</f>
        <v>Oromia</v>
      </c>
      <c r="M22" s="6" t="str">
        <f t="array" ref="M22">IFERROR(INDEX($B$22:$B$610,SMALL(IF($A$22:$A$610=M$21,ROW(ElecLine!$A$22:$A$610)),ElecLine!$C22)-ROW(RoadList)),"")</f>
        <v>Oromia</v>
      </c>
      <c r="N22" s="6" t="str">
        <f t="array" ref="N22">IFERROR(INDEX($B$22:$B$610,SMALL(IF($A$22:$A$610=N$21,ROW(ElecLine!$A$22:$A$610)),ElecLine!$C22)-ROW(RoadList)),"")</f>
        <v>Amhara</v>
      </c>
    </row>
    <row r="23" spans="1:21">
      <c r="A23" s="5" t="s">
        <v>12</v>
      </c>
      <c r="B23" s="5" t="s">
        <v>7</v>
      </c>
      <c r="C23" s="6">
        <f>C22+1</f>
        <v>2</v>
      </c>
      <c r="D23" s="6" t="str">
        <f t="array" ref="D23">IFERROR(INDEX($B$22:$B$610,SMALL(IF($A$22:$A$610=D$21,ROW(ElecLine!$A$22:$A$610)),ElecLine!$C23)-ROW(RoadList)),"")</f>
        <v>SNNPR</v>
      </c>
      <c r="E23" s="6" t="str">
        <f t="array" ref="E23">IFERROR(INDEX($B$22:$B$610,SMALL(IF($A$22:$A$610=E$21,ROW(ElecLine!$A$22:$A$610)),ElecLine!$C23)-ROW(RoadList)),"")</f>
        <v>Tigray</v>
      </c>
      <c r="F23" s="6" t="str">
        <f t="array" ref="F23">IFERROR(INDEX($B$22:$B$610,SMALL(IF($A$22:$A$610=F$21,ROW(ElecLine!$A$22:$A$610)),ElecLine!$C23)-ROW(RoadList)),"")</f>
        <v>Tigray</v>
      </c>
      <c r="G23" s="6" t="str">
        <f t="array" ref="G23">IFERROR(INDEX($B$22:$B$610,SMALL(IF($A$22:$A$610=G$21,ROW(ElecLine!$A$22:$A$610)),ElecLine!$C23)-ROW(RoadList)),"")</f>
        <v>Amhara</v>
      </c>
      <c r="H23" s="6" t="str">
        <f t="array" ref="H23">IFERROR(INDEX($B$22:$B$610,SMALL(IF($A$22:$A$610=H$21,ROW(ElecLine!$A$22:$A$610)),ElecLine!$C23)-ROW(RoadList)),"")</f>
        <v>Somali</v>
      </c>
      <c r="I23" s="6" t="str">
        <f t="array" ref="I23">IFERROR(INDEX($B$22:$B$610,SMALL(IF($A$22:$A$610=I$21,ROW(ElecLine!$A$22:$A$610)),ElecLine!$C23)-ROW(RoadList)),"")</f>
        <v>SNNPR</v>
      </c>
      <c r="J23" s="6" t="str">
        <f t="array" ref="J23">IFERROR(INDEX($B$22:$B$610,SMALL(IF($A$22:$A$610=J$21,ROW(ElecLine!$A$22:$A$610)),ElecLine!$C23)-ROW(RoadList)),"")</f>
        <v>DireDawa</v>
      </c>
      <c r="K23" s="6" t="str">
        <f t="array" ref="K23">IFERROR(INDEX($B$22:$B$610,SMALL(IF($A$22:$A$610=K$21,ROW(ElecLine!$A$22:$A$610)),ElecLine!$C23)-ROW(RoadList)),"")</f>
        <v>Amhara</v>
      </c>
      <c r="L23" s="6" t="str">
        <f t="array" ref="L23">IFERROR(INDEX($B$22:$B$610,SMALL(IF($A$22:$A$610=L$21,ROW(ElecLine!$A$22:$A$610)),ElecLine!$C23)-ROW(RoadList)),"")</f>
        <v>DireDawa</v>
      </c>
      <c r="M23" s="6" t="str">
        <f t="array" ref="M23">IFERROR(INDEX($B$22:$B$610,SMALL(IF($A$22:$A$610=M$21,ROW(ElecLine!$A$22:$A$610)),ElecLine!$C23)-ROW(RoadList)),"")</f>
        <v>Gambela</v>
      </c>
      <c r="N23" s="6" t="str">
        <f t="array" ref="N23">IFERROR(INDEX($B$22:$B$610,SMALL(IF($A$22:$A$610=N$21,ROW(ElecLine!$A$22:$A$610)),ElecLine!$C23)-ROW(RoadList)),"")</f>
        <v>Afar</v>
      </c>
    </row>
    <row r="24" spans="1:21">
      <c r="A24" s="5" t="s">
        <v>12</v>
      </c>
      <c r="B24" s="5" t="s">
        <v>6</v>
      </c>
      <c r="C24" s="6">
        <f t="shared" ref="C24:C32" si="0">C23+1</f>
        <v>3</v>
      </c>
      <c r="D24" s="6" t="str">
        <f t="array" ref="D24">IFERROR(INDEX($B$22:$B$610,SMALL(IF($A$22:$A$610=D$21,ROW(ElecLine!$A$22:$A$610)),ElecLine!$C24)-ROW(RoadList)),"")</f>
        <v/>
      </c>
      <c r="E24" s="6" t="str">
        <f t="array" ref="E24">IFERROR(INDEX($B$22:$B$610,SMALL(IF($A$22:$A$610=E$21,ROW(ElecLine!$A$22:$A$610)),ElecLine!$C24)-ROW(RoadList)),"")</f>
        <v>Amhara</v>
      </c>
      <c r="F24" s="6" t="str">
        <f t="array" ref="F24">IFERROR(INDEX($B$22:$B$610,SMALL(IF($A$22:$A$610=F$21,ROW(ElecLine!$A$22:$A$610)),ElecLine!$C24)-ROW(RoadList)),"")</f>
        <v>Afar</v>
      </c>
      <c r="G24" s="6" t="str">
        <f t="array" ref="G24">IFERROR(INDEX($B$22:$B$610,SMALL(IF($A$22:$A$610=G$21,ROW(ElecLine!$A$22:$A$610)),ElecLine!$C24)-ROW(RoadList)),"")</f>
        <v/>
      </c>
      <c r="H24" s="6" t="str">
        <f t="array" ref="H24">IFERROR(INDEX($B$22:$B$610,SMALL(IF($A$22:$A$610=H$21,ROW(ElecLine!$A$22:$A$610)),ElecLine!$C24)-ROW(RoadList)),"")</f>
        <v>Harari</v>
      </c>
      <c r="I24" s="6" t="str">
        <f t="array" ref="I24">IFERROR(INDEX($B$22:$B$610,SMALL(IF($A$22:$A$610=I$21,ROW(ElecLine!$A$22:$A$610)),ElecLine!$C24)-ROW(RoadList)),"")</f>
        <v/>
      </c>
      <c r="J24" s="6" t="str">
        <f t="array" ref="J24">IFERROR(INDEX($B$22:$B$610,SMALL(IF($A$22:$A$610=J$21,ROW(ElecLine!$A$22:$A$610)),ElecLine!$C24)-ROW(RoadList)),"")</f>
        <v>Somali</v>
      </c>
      <c r="K24" s="6" t="str">
        <f t="array" ref="K24">IFERROR(INDEX($B$22:$B$610,SMALL(IF($A$22:$A$610=K$21,ROW(ElecLine!$A$22:$A$610)),ElecLine!$C24)-ROW(RoadList)),"")</f>
        <v>Afar</v>
      </c>
      <c r="L24" s="6" t="str">
        <f t="array" ref="L24">IFERROR(INDEX($B$22:$B$610,SMALL(IF($A$22:$A$610=L$21,ROW(ElecLine!$A$22:$A$610)),ElecLine!$C24)-ROW(RoadList)),"")</f>
        <v>Harari</v>
      </c>
      <c r="M24" s="6" t="str">
        <f t="array" ref="M24">IFERROR(INDEX($B$22:$B$610,SMALL(IF($A$22:$A$610=M$21,ROW(ElecLine!$A$22:$A$610)),ElecLine!$C24)-ROW(RoadList)),"")</f>
        <v>AddisAbaba</v>
      </c>
      <c r="N24" s="6" t="str">
        <f t="array" ref="N24">IFERROR(INDEX($B$22:$B$610,SMALL(IF($A$22:$A$610=N$21,ROW(ElecLine!$A$22:$A$610)),ElecLine!$C24)-ROW(RoadList)),"")</f>
        <v/>
      </c>
    </row>
    <row r="25" spans="1:21">
      <c r="A25" s="5" t="s">
        <v>12</v>
      </c>
      <c r="B25" s="5" t="s">
        <v>11</v>
      </c>
      <c r="C25" s="6">
        <f t="shared" si="0"/>
        <v>4</v>
      </c>
      <c r="D25" s="6" t="str">
        <f t="array" ref="D25">IFERROR(INDEX($B$22:$B$610,SMALL(IF($A$22:$A$610=D$21,ROW(ElecLine!$A$22:$A$610)),ElecLine!$C25)-ROW(RoadList)),"")</f>
        <v/>
      </c>
      <c r="E25" s="6" t="str">
        <f t="array" ref="E25">IFERROR(INDEX($B$22:$B$610,SMALL(IF($A$22:$A$610=E$21,ROW(ElecLine!$A$22:$A$610)),ElecLine!$C25)-ROW(RoadList)),"")</f>
        <v>Somali</v>
      </c>
      <c r="F25" s="6" t="str">
        <f t="array" ref="F25">IFERROR(INDEX($B$22:$B$610,SMALL(IF($A$22:$A$610=F$21,ROW(ElecLine!$A$22:$A$610)),ElecLine!$C25)-ROW(RoadList)),"")</f>
        <v>Gumuz</v>
      </c>
      <c r="G25" s="6" t="str">
        <f t="array" ref="G25">IFERROR(INDEX($B$22:$B$610,SMALL(IF($A$22:$A$610=G$21,ROW(ElecLine!$A$22:$A$610)),ElecLine!$C25)-ROW(RoadList)),"")</f>
        <v/>
      </c>
      <c r="H25" s="6" t="str">
        <f t="array" ref="H25">IFERROR(INDEX($B$22:$B$610,SMALL(IF($A$22:$A$610=H$21,ROW(ElecLine!$A$22:$A$610)),ElecLine!$C25)-ROW(RoadList)),"")</f>
        <v/>
      </c>
      <c r="I25" s="6" t="str">
        <f t="array" ref="I25">IFERROR(INDEX($B$22:$B$610,SMALL(IF($A$22:$A$610=I$21,ROW(ElecLine!$A$22:$A$610)),ElecLine!$C25)-ROW(RoadList)),"")</f>
        <v/>
      </c>
      <c r="J25" s="6" t="str">
        <f t="array" ref="J25">IFERROR(INDEX($B$22:$B$610,SMALL(IF($A$22:$A$610=J$21,ROW(ElecLine!$A$22:$A$610)),ElecLine!$C25)-ROW(RoadList)),"")</f>
        <v/>
      </c>
      <c r="K25" s="6" t="str">
        <f t="array" ref="K25">IFERROR(INDEX($B$22:$B$610,SMALL(IF($A$22:$A$610=K$21,ROW(ElecLine!$A$22:$A$610)),ElecLine!$C25)-ROW(RoadList)),"")</f>
        <v>Harari</v>
      </c>
      <c r="L25" s="6" t="str">
        <f t="array" ref="L25">IFERROR(INDEX($B$22:$B$610,SMALL(IF($A$22:$A$610=L$21,ROW(ElecLine!$A$22:$A$610)),ElecLine!$C25)-ROW(RoadList)),"")</f>
        <v/>
      </c>
      <c r="M25" s="6" t="str">
        <f t="array" ref="M25">IFERROR(INDEX($B$22:$B$610,SMALL(IF($A$22:$A$610=M$21,ROW(ElecLine!$A$22:$A$610)),ElecLine!$C25)-ROW(RoadList)),"")</f>
        <v/>
      </c>
      <c r="N25" s="6" t="str">
        <f t="array" ref="N25">IFERROR(INDEX($B$22:$B$610,SMALL(IF($A$22:$A$610=N$21,ROW(ElecLine!$A$22:$A$610)),ElecLine!$C25)-ROW(RoadList)),"")</f>
        <v/>
      </c>
    </row>
    <row r="26" spans="1:21">
      <c r="A26" s="5" t="s">
        <v>12</v>
      </c>
      <c r="B26" s="5" t="s">
        <v>9</v>
      </c>
      <c r="C26" s="6">
        <f t="shared" si="0"/>
        <v>5</v>
      </c>
      <c r="D26" s="6" t="str">
        <f t="array" ref="D26">IFERROR(INDEX($B$22:$B$610,SMALL(IF($A$22:$A$610=D$21,ROW(ElecLine!$A$22:$A$610)),ElecLine!$C26)-ROW(RoadList)),"")</f>
        <v/>
      </c>
      <c r="E26" s="6" t="str">
        <f t="array" ref="E26">IFERROR(INDEX($B$22:$B$610,SMALL(IF($A$22:$A$610=E$21,ROW(ElecLine!$A$22:$A$610)),ElecLine!$C26)-ROW(RoadList)),"")</f>
        <v/>
      </c>
      <c r="F26" s="6" t="str">
        <f t="array" ref="F26">IFERROR(INDEX($B$22:$B$610,SMALL(IF($A$22:$A$610=F$21,ROW(ElecLine!$A$22:$A$610)),ElecLine!$C26)-ROW(RoadList)),"")</f>
        <v/>
      </c>
      <c r="G26" s="6" t="str">
        <f t="array" ref="G26">IFERROR(INDEX($B$22:$B$610,SMALL(IF($A$22:$A$610=G$21,ROW(ElecLine!$A$22:$A$610)),ElecLine!$C26)-ROW(RoadList)),"")</f>
        <v/>
      </c>
      <c r="H26" s="6" t="str">
        <f t="array" ref="H26">IFERROR(INDEX($B$22:$B$610,SMALL(IF($A$22:$A$610=H$21,ROW(ElecLine!$A$22:$A$610)),ElecLine!$C26)-ROW(RoadList)),"")</f>
        <v/>
      </c>
      <c r="I26" s="6" t="str">
        <f t="array" ref="I26">IFERROR(INDEX($B$22:$B$610,SMALL(IF($A$22:$A$610=I$21,ROW(ElecLine!$A$22:$A$610)),ElecLine!$C26)-ROW(RoadList)),"")</f>
        <v/>
      </c>
      <c r="J26" s="6" t="str">
        <f t="array" ref="J26">IFERROR(INDEX($B$22:$B$610,SMALL(IF($A$22:$A$610=J$21,ROW(ElecLine!$A$22:$A$610)),ElecLine!$C26)-ROW(RoadList)),"")</f>
        <v/>
      </c>
      <c r="K26" s="6" t="str">
        <f t="array" ref="K26">IFERROR(INDEX($B$22:$B$610,SMALL(IF($A$22:$A$610=K$21,ROW(ElecLine!$A$22:$A$610)),ElecLine!$C26)-ROW(RoadList)),"")</f>
        <v>DireDawa</v>
      </c>
      <c r="L26" s="6" t="str">
        <f t="array" ref="L26">IFERROR(INDEX($B$22:$B$610,SMALL(IF($A$22:$A$610=L$21,ROW(ElecLine!$A$22:$A$610)),ElecLine!$C26)-ROW(RoadList)),"")</f>
        <v/>
      </c>
      <c r="M26" s="6" t="str">
        <f t="array" ref="M26">IFERROR(INDEX($B$22:$B$610,SMALL(IF($A$22:$A$610=M$21,ROW(ElecLine!$A$22:$A$610)),ElecLine!$C26)-ROW(RoadList)),"")</f>
        <v/>
      </c>
      <c r="N26" s="6" t="str">
        <f t="array" ref="N26">IFERROR(INDEX($B$22:$B$610,SMALL(IF($A$22:$A$610=N$21,ROW(ElecLine!$A$22:$A$610)),ElecLine!$C26)-ROW(RoadList)),"")</f>
        <v/>
      </c>
    </row>
    <row r="27" spans="1:21">
      <c r="A27" s="5" t="s">
        <v>12</v>
      </c>
      <c r="B27" s="5" t="s">
        <v>13</v>
      </c>
      <c r="C27" s="6">
        <f t="shared" si="0"/>
        <v>6</v>
      </c>
      <c r="D27" s="6" t="str">
        <f t="array" ref="D27">IFERROR(INDEX($B$22:$B$610,SMALL(IF($A$22:$A$610=D$21,ROW(ElecLine!$A$22:$A$610)),ElecLine!$C27)-ROW(RoadList)),"")</f>
        <v/>
      </c>
      <c r="E27" s="6" t="str">
        <f t="array" ref="E27">IFERROR(INDEX($B$22:$B$610,SMALL(IF($A$22:$A$610=E$21,ROW(ElecLine!$A$22:$A$610)),ElecLine!$C27)-ROW(RoadList)),"")</f>
        <v/>
      </c>
      <c r="F27" s="6" t="str">
        <f t="array" ref="F27">IFERROR(INDEX($B$22:$B$610,SMALL(IF($A$22:$A$610=F$21,ROW(ElecLine!$A$22:$A$610)),ElecLine!$C27)-ROW(RoadList)),"")</f>
        <v/>
      </c>
      <c r="G27" s="6" t="str">
        <f t="array" ref="G27">IFERROR(INDEX($B$22:$B$610,SMALL(IF($A$22:$A$610=G$21,ROW(ElecLine!$A$22:$A$610)),ElecLine!$C27)-ROW(RoadList)),"")</f>
        <v/>
      </c>
      <c r="H27" s="6" t="str">
        <f t="array" ref="H27">IFERROR(INDEX($B$22:$B$610,SMALL(IF($A$22:$A$610=H$21,ROW(ElecLine!$A$22:$A$610)),ElecLine!$C27)-ROW(RoadList)),"")</f>
        <v/>
      </c>
      <c r="I27" s="6" t="str">
        <f t="array" ref="I27">IFERROR(INDEX($B$22:$B$610,SMALL(IF($A$22:$A$610=I$21,ROW(ElecLine!$A$22:$A$610)),ElecLine!$C27)-ROW(RoadList)),"")</f>
        <v/>
      </c>
      <c r="J27" s="6" t="str">
        <f t="array" ref="J27">IFERROR(INDEX($B$22:$B$610,SMALL(IF($A$22:$A$610=J$21,ROW(ElecLine!$A$22:$A$610)),ElecLine!$C27)-ROW(RoadList)),"")</f>
        <v/>
      </c>
      <c r="K27" s="6" t="str">
        <f t="array" ref="K27">IFERROR(INDEX($B$22:$B$610,SMALL(IF($A$22:$A$610=K$21,ROW(ElecLine!$A$22:$A$610)),ElecLine!$C27)-ROW(RoadList)),"")</f>
        <v>Somali</v>
      </c>
      <c r="L27" s="6" t="str">
        <f t="array" ref="L27">IFERROR(INDEX($B$22:$B$610,SMALL(IF($A$22:$A$610=L$21,ROW(ElecLine!$A$22:$A$610)),ElecLine!$C27)-ROW(RoadList)),"")</f>
        <v/>
      </c>
      <c r="M27" s="6" t="str">
        <f t="array" ref="M27">IFERROR(INDEX($B$22:$B$610,SMALL(IF($A$22:$A$610=M$21,ROW(ElecLine!$A$22:$A$610)),ElecLine!$C27)-ROW(RoadList)),"")</f>
        <v/>
      </c>
      <c r="N27" s="6" t="str">
        <f t="array" ref="N27">IFERROR(INDEX($B$22:$B$610,SMALL(IF($A$22:$A$610=N$21,ROW(ElecLine!$A$22:$A$610)),ElecLine!$C27)-ROW(RoadList)),"")</f>
        <v/>
      </c>
    </row>
    <row r="28" spans="1:21">
      <c r="A28" s="5" t="s">
        <v>12</v>
      </c>
      <c r="B28" s="5" t="s">
        <v>19</v>
      </c>
      <c r="C28" s="6">
        <f t="shared" si="0"/>
        <v>7</v>
      </c>
      <c r="D28" s="6" t="str">
        <f t="array" ref="D28">IFERROR(INDEX($B$22:$B$610,SMALL(IF($A$22:$A$610=D$21,ROW(ElecLine!$A$22:$A$610)),ElecLine!$C28)-ROW(RoadList)),"")</f>
        <v/>
      </c>
      <c r="E28" s="6" t="str">
        <f t="array" ref="E28">IFERROR(INDEX($B$22:$B$610,SMALL(IF($A$22:$A$610=E$21,ROW(ElecLine!$A$22:$A$610)),ElecLine!$C28)-ROW(RoadList)),"")</f>
        <v/>
      </c>
      <c r="F28" s="6" t="str">
        <f t="array" ref="F28">IFERROR(INDEX($B$22:$B$610,SMALL(IF($A$22:$A$610=F$21,ROW(ElecLine!$A$22:$A$610)),ElecLine!$C28)-ROW(RoadList)),"")</f>
        <v/>
      </c>
      <c r="G28" s="6" t="str">
        <f t="array" ref="G28">IFERROR(INDEX($B$22:$B$610,SMALL(IF($A$22:$A$610=G$21,ROW(ElecLine!$A$22:$A$610)),ElecLine!$C28)-ROW(RoadList)),"")</f>
        <v/>
      </c>
      <c r="H28" s="6" t="str">
        <f t="array" ref="H28">IFERROR(INDEX($B$22:$B$610,SMALL(IF($A$22:$A$610=H$21,ROW(ElecLine!$A$22:$A$610)),ElecLine!$C28)-ROW(RoadList)),"")</f>
        <v/>
      </c>
      <c r="I28" s="6" t="str">
        <f t="array" ref="I28">IFERROR(INDEX($B$22:$B$610,SMALL(IF($A$22:$A$610=I$21,ROW(ElecLine!$A$22:$A$610)),ElecLine!$C28)-ROW(RoadList)),"")</f>
        <v/>
      </c>
      <c r="J28" s="6" t="str">
        <f t="array" ref="J28">IFERROR(INDEX($B$22:$B$610,SMALL(IF($A$22:$A$610=J$21,ROW(ElecLine!$A$22:$A$610)),ElecLine!$C28)-ROW(RoadList)),"")</f>
        <v/>
      </c>
      <c r="K28" s="6" t="str">
        <f t="array" ref="K28">IFERROR(INDEX($B$22:$B$610,SMALL(IF($A$22:$A$610=K$21,ROW(ElecLine!$A$22:$A$610)),ElecLine!$C28)-ROW(RoadList)),"")</f>
        <v>SNNPR</v>
      </c>
      <c r="L28" s="6" t="str">
        <f t="array" ref="L28">IFERROR(INDEX($B$22:$B$610,SMALL(IF($A$22:$A$610=L$21,ROW(ElecLine!$A$22:$A$610)),ElecLine!$C28)-ROW(RoadList)),"")</f>
        <v/>
      </c>
      <c r="M28" s="6" t="str">
        <f t="array" ref="M28">IFERROR(INDEX($B$22:$B$610,SMALL(IF($A$22:$A$610=M$21,ROW(ElecLine!$A$22:$A$610)),ElecLine!$C28)-ROW(RoadList)),"")</f>
        <v/>
      </c>
      <c r="N28" s="6" t="str">
        <f t="array" ref="N28">IFERROR(INDEX($B$22:$B$610,SMALL(IF($A$22:$A$610=N$21,ROW(ElecLine!$A$22:$A$610)),ElecLine!$C28)-ROW(RoadList)),"")</f>
        <v/>
      </c>
    </row>
    <row r="29" spans="1:21">
      <c r="A29" s="5" t="s">
        <v>12</v>
      </c>
      <c r="B29" s="5" t="s">
        <v>10</v>
      </c>
      <c r="C29" s="6">
        <f t="shared" si="0"/>
        <v>8</v>
      </c>
      <c r="D29" s="6" t="str">
        <f t="array" ref="D29">IFERROR(INDEX($B$22:$B$610,SMALL(IF($A$22:$A$610=D$21,ROW(ElecLine!$A$22:$A$610)),ElecLine!$C29)-ROW(RoadList)),"")</f>
        <v/>
      </c>
      <c r="E29" s="6" t="str">
        <f t="array" ref="E29">IFERROR(INDEX($B$22:$B$610,SMALL(IF($A$22:$A$610=E$21,ROW(ElecLine!$A$22:$A$610)),ElecLine!$C29)-ROW(RoadList)),"")</f>
        <v/>
      </c>
      <c r="F29" s="6" t="str">
        <f t="array" ref="F29">IFERROR(INDEX($B$22:$B$610,SMALL(IF($A$22:$A$610=F$21,ROW(ElecLine!$A$22:$A$610)),ElecLine!$C29)-ROW(RoadList)),"")</f>
        <v/>
      </c>
      <c r="G29" s="6" t="str">
        <f t="array" ref="G29">IFERROR(INDEX($B$22:$B$610,SMALL(IF($A$22:$A$610=G$21,ROW(ElecLine!$A$22:$A$610)),ElecLine!$C29)-ROW(RoadList)),"")</f>
        <v/>
      </c>
      <c r="H29" s="6" t="str">
        <f t="array" ref="H29">IFERROR(INDEX($B$22:$B$610,SMALL(IF($A$22:$A$610=H$21,ROW(ElecLine!$A$22:$A$610)),ElecLine!$C29)-ROW(RoadList)),"")</f>
        <v/>
      </c>
      <c r="I29" s="6" t="str">
        <f t="array" ref="I29">IFERROR(INDEX($B$22:$B$610,SMALL(IF($A$22:$A$610=I$21,ROW(ElecLine!$A$22:$A$610)),ElecLine!$C29)-ROW(RoadList)),"")</f>
        <v/>
      </c>
      <c r="J29" s="6" t="str">
        <f t="array" ref="J29">IFERROR(INDEX($B$22:$B$610,SMALL(IF($A$22:$A$610=J$21,ROW(ElecLine!$A$22:$A$610)),ElecLine!$C29)-ROW(RoadList)),"")</f>
        <v/>
      </c>
      <c r="K29" s="6" t="str">
        <f t="array" ref="K29">IFERROR(INDEX($B$22:$B$610,SMALL(IF($A$22:$A$610=K$21,ROW(ElecLine!$A$22:$A$610)),ElecLine!$C29)-ROW(RoadList)),"")</f>
        <v>Gambela</v>
      </c>
      <c r="L29" s="6" t="str">
        <f t="array" ref="L29">IFERROR(INDEX($B$22:$B$610,SMALL(IF($A$22:$A$610=L$21,ROW(ElecLine!$A$22:$A$610)),ElecLine!$C29)-ROW(RoadList)),"")</f>
        <v/>
      </c>
      <c r="M29" s="6" t="str">
        <f t="array" ref="M29">IFERROR(INDEX($B$22:$B$610,SMALL(IF($A$22:$A$610=M$21,ROW(ElecLine!$A$22:$A$610)),ElecLine!$C29)-ROW(RoadList)),"")</f>
        <v/>
      </c>
      <c r="N29" s="6" t="str">
        <f t="array" ref="N29">IFERROR(INDEX($B$22:$B$610,SMALL(IF($A$22:$A$610=N$21,ROW(ElecLine!$A$22:$A$610)),ElecLine!$C29)-ROW(RoadList)),"")</f>
        <v/>
      </c>
    </row>
    <row r="30" spans="1:21">
      <c r="A30" s="5" t="s">
        <v>12</v>
      </c>
      <c r="B30" s="5" t="s">
        <v>8</v>
      </c>
      <c r="C30" s="6">
        <f t="shared" si="0"/>
        <v>9</v>
      </c>
      <c r="D30" s="6" t="str">
        <f t="array" ref="D30">IFERROR(INDEX($B$22:$B$610,SMALL(IF($A$22:$A$610=D$21,ROW(ElecLine!$A$22:$A$610)),ElecLine!$C30)-ROW(RoadList)),"")</f>
        <v/>
      </c>
      <c r="E30" s="6" t="str">
        <f t="array" ref="E30">IFERROR(INDEX($B$22:$B$610,SMALL(IF($A$22:$A$610=E$21,ROW(ElecLine!$A$22:$A$610)),ElecLine!$C30)-ROW(RoadList)),"")</f>
        <v/>
      </c>
      <c r="F30" s="6" t="str">
        <f t="array" ref="F30">IFERROR(INDEX($B$22:$B$610,SMALL(IF($A$22:$A$610=F$21,ROW(ElecLine!$A$22:$A$610)),ElecLine!$C30)-ROW(RoadList)),"")</f>
        <v/>
      </c>
      <c r="G30" s="6" t="str">
        <f t="array" ref="G30">IFERROR(INDEX($B$22:$B$610,SMALL(IF($A$22:$A$610=G$21,ROW(ElecLine!$A$22:$A$610)),ElecLine!$C30)-ROW(RoadList)),"")</f>
        <v/>
      </c>
      <c r="H30" s="6" t="str">
        <f t="array" ref="H30">IFERROR(INDEX($B$22:$B$610,SMALL(IF($A$22:$A$610=H$21,ROW(ElecLine!$A$22:$A$610)),ElecLine!$C30)-ROW(RoadList)),"")</f>
        <v/>
      </c>
      <c r="I30" s="6" t="str">
        <f t="array" ref="I30">IFERROR(INDEX($B$22:$B$610,SMALL(IF($A$22:$A$610=I$21,ROW(ElecLine!$A$22:$A$610)),ElecLine!$C30)-ROW(RoadList)),"")</f>
        <v/>
      </c>
      <c r="J30" s="6" t="str">
        <f t="array" ref="J30">IFERROR(INDEX($B$22:$B$610,SMALL(IF($A$22:$A$610=J$21,ROW(ElecLine!$A$22:$A$610)),ElecLine!$C30)-ROW(RoadList)),"")</f>
        <v/>
      </c>
      <c r="K30" s="6" t="str">
        <f t="array" ref="K30">IFERROR(INDEX($B$22:$B$610,SMALL(IF($A$22:$A$610=K$21,ROW(ElecLine!$A$22:$A$610)),ElecLine!$C30)-ROW(RoadList)),"")</f>
        <v>Gumuz</v>
      </c>
      <c r="L30" s="6" t="str">
        <f t="array" ref="L30">IFERROR(INDEX($B$22:$B$610,SMALL(IF($A$22:$A$610=L$21,ROW(ElecLine!$A$22:$A$610)),ElecLine!$C30)-ROW(RoadList)),"")</f>
        <v/>
      </c>
      <c r="M30" s="6" t="str">
        <f t="array" ref="M30">IFERROR(INDEX($B$22:$B$610,SMALL(IF($A$22:$A$610=M$21,ROW(ElecLine!$A$22:$A$610)),ElecLine!$C30)-ROW(RoadList)),"")</f>
        <v/>
      </c>
      <c r="N30" s="6" t="str">
        <f t="array" ref="N30">IFERROR(INDEX($B$22:$B$610,SMALL(IF($A$22:$A$610=N$21,ROW(ElecLine!$A$22:$A$610)),ElecLine!$C30)-ROW(RoadList)),"")</f>
        <v/>
      </c>
    </row>
    <row r="31" spans="1:21">
      <c r="A31" s="5" t="s">
        <v>5</v>
      </c>
      <c r="B31" s="5" t="s">
        <v>12</v>
      </c>
      <c r="C31" s="6">
        <f t="shared" si="0"/>
        <v>10</v>
      </c>
      <c r="D31" s="6" t="str">
        <f t="array" ref="D31">IFERROR(INDEX($B$22:$B$610,SMALL(IF($A$22:$A$610=D$21,ROW(ElecLine!$A$22:$A$610)),ElecLine!$C31)-ROW(RoadList)),"")</f>
        <v/>
      </c>
      <c r="E31" s="6" t="str">
        <f t="array" ref="E31">IFERROR(INDEX($B$22:$B$610,SMALL(IF($A$22:$A$610=E$21,ROW(ElecLine!$A$22:$A$610)),ElecLine!$C31)-ROW(RoadList)),"")</f>
        <v/>
      </c>
      <c r="F31" s="6" t="str">
        <f t="array" ref="F31">IFERROR(INDEX($B$22:$B$610,SMALL(IF($A$22:$A$610=F$21,ROW(ElecLine!$A$22:$A$610)),ElecLine!$C31)-ROW(RoadList)),"")</f>
        <v/>
      </c>
      <c r="G31" s="6" t="str">
        <f t="array" ref="G31">IFERROR(INDEX($B$22:$B$610,SMALL(IF($A$22:$A$610=G$21,ROW(ElecLine!$A$22:$A$610)),ElecLine!$C31)-ROW(RoadList)),"")</f>
        <v/>
      </c>
      <c r="H31" s="6" t="str">
        <f t="array" ref="H31">IFERROR(INDEX($B$22:$B$610,SMALL(IF($A$22:$A$610=H$21,ROW(ElecLine!$A$22:$A$610)),ElecLine!$C31)-ROW(RoadList)),"")</f>
        <v/>
      </c>
      <c r="I31" s="6" t="str">
        <f t="array" ref="I31">IFERROR(INDEX($B$22:$B$610,SMALL(IF($A$22:$A$610=I$21,ROW(ElecLine!$A$22:$A$610)),ElecLine!$C31)-ROW(RoadList)),"")</f>
        <v/>
      </c>
      <c r="J31" s="6" t="str">
        <f t="array" ref="J31">IFERROR(INDEX($B$22:$B$610,SMALL(IF($A$22:$A$610=J$21,ROW(ElecLine!$A$22:$A$610)),ElecLine!$C31)-ROW(RoadList)),"")</f>
        <v/>
      </c>
      <c r="K31" s="6" t="str">
        <f t="array" ref="K31">IFERROR(INDEX($B$22:$B$610,SMALL(IF($A$22:$A$610=K$21,ROW(ElecLine!$A$22:$A$610)),ElecLine!$C31)-ROW(RoadList)),"")</f>
        <v/>
      </c>
      <c r="L31" s="6" t="str">
        <f t="array" ref="L31">IFERROR(INDEX($B$22:$B$610,SMALL(IF($A$22:$A$610=L$21,ROW(ElecLine!$A$22:$A$610)),ElecLine!$C31)-ROW(RoadList)),"")</f>
        <v/>
      </c>
      <c r="M31" s="6" t="str">
        <f t="array" ref="M31">IFERROR(INDEX($B$22:$B$610,SMALL(IF($A$22:$A$610=M$21,ROW(ElecLine!$A$22:$A$610)),ElecLine!$C31)-ROW(RoadList)),"")</f>
        <v/>
      </c>
      <c r="N31" s="6" t="str">
        <f t="array" ref="N31">IFERROR(INDEX($B$22:$B$610,SMALL(IF($A$22:$A$610=N$21,ROW(ElecLine!$A$22:$A$610)),ElecLine!$C31)-ROW(RoadList)),"")</f>
        <v/>
      </c>
    </row>
    <row r="32" spans="1:21">
      <c r="A32" s="5" t="s">
        <v>7</v>
      </c>
      <c r="B32" s="5" t="s">
        <v>12</v>
      </c>
      <c r="C32" s="6">
        <f t="shared" si="0"/>
        <v>11</v>
      </c>
      <c r="D32" s="6" t="str">
        <f t="array" ref="D32">IFERROR(INDEX($B$22:$B$610,SMALL(IF($A$22:$A$610=D$21,ROW(ElecLine!$A$22:$A$610)),ElecLine!$C32)-ROW(RoadList)),"")</f>
        <v/>
      </c>
      <c r="E32" s="6" t="str">
        <f t="array" ref="E32">IFERROR(INDEX($B$22:$B$610,SMALL(IF($A$22:$A$610=E$21,ROW(ElecLine!$A$22:$A$610)),ElecLine!$C32)-ROW(RoadList)),"")</f>
        <v/>
      </c>
      <c r="F32" s="6" t="str">
        <f t="array" ref="F32">IFERROR(INDEX($B$22:$B$610,SMALL(IF($A$22:$A$610=F$21,ROW(ElecLine!$A$22:$A$610)),ElecLine!$C32)-ROW(RoadList)),"")</f>
        <v/>
      </c>
      <c r="G32" s="6" t="str">
        <f t="array" ref="G32">IFERROR(INDEX($B$22:$B$610,SMALL(IF($A$22:$A$610=G$21,ROW(ElecLine!$A$22:$A$610)),ElecLine!$C32)-ROW(RoadList)),"")</f>
        <v/>
      </c>
      <c r="H32" s="6" t="str">
        <f t="array" ref="H32">IFERROR(INDEX($B$22:$B$610,SMALL(IF($A$22:$A$610=H$21,ROW(ElecLine!$A$22:$A$610)),ElecLine!$C32)-ROW(RoadList)),"")</f>
        <v/>
      </c>
      <c r="I32" s="6" t="str">
        <f t="array" ref="I32">IFERROR(INDEX($B$22:$B$610,SMALL(IF($A$22:$A$610=I$21,ROW(ElecLine!$A$22:$A$610)),ElecLine!$C32)-ROW(RoadList)),"")</f>
        <v/>
      </c>
      <c r="J32" s="6" t="str">
        <f t="array" ref="J32">IFERROR(INDEX($B$22:$B$610,SMALL(IF($A$22:$A$610=J$21,ROW(ElecLine!$A$22:$A$610)),ElecLine!$C32)-ROW(RoadList)),"")</f>
        <v/>
      </c>
      <c r="K32" s="6" t="str">
        <f t="array" ref="K32">IFERROR(INDEX($B$22:$B$610,SMALL(IF($A$22:$A$610=K$21,ROW(ElecLine!$A$22:$A$610)),ElecLine!$C32)-ROW(RoadList)),"")</f>
        <v/>
      </c>
      <c r="L32" s="6" t="str">
        <f t="array" ref="L32">IFERROR(INDEX($B$22:$B$610,SMALL(IF($A$22:$A$610=L$21,ROW(ElecLine!$A$22:$A$610)),ElecLine!$C32)-ROW(RoadList)),"")</f>
        <v/>
      </c>
      <c r="M32" s="6" t="str">
        <f t="array" ref="M32">IFERROR(INDEX($B$22:$B$610,SMALL(IF($A$22:$A$610=M$21,ROW(ElecLine!$A$22:$A$610)),ElecLine!$C32)-ROW(RoadList)),"")</f>
        <v/>
      </c>
      <c r="N32" s="6" t="str">
        <f t="array" ref="N32">IFERROR(INDEX($B$22:$B$610,SMALL(IF($A$22:$A$610=N$21,ROW(ElecLine!$A$22:$A$610)),ElecLine!$C32)-ROW(RoadList)),"")</f>
        <v/>
      </c>
    </row>
    <row r="33" spans="1:14">
      <c r="A33" s="5" t="s">
        <v>6</v>
      </c>
      <c r="B33" s="5" t="s">
        <v>12</v>
      </c>
      <c r="C33" s="6"/>
      <c r="D33" s="6" t="str">
        <f t="array" ref="D33">IFERROR(INDEX($B$22:$B$610,SMALL(IF($A$22:$A$610=D$21,ROW(ElecLine!$A$22:$A$610)),ElecLine!$C33)-ROW(RoadList)),"")</f>
        <v/>
      </c>
      <c r="E33" s="6" t="str">
        <f t="array" ref="E33">IFERROR(INDEX($B$22:$B$610,SMALL(IF($A$22:$A$610=E$21,ROW(ElecLine!$A$22:$A$610)),ElecLine!$C33)-ROW(RoadList)),"")</f>
        <v/>
      </c>
      <c r="F33" s="6" t="str">
        <f t="array" ref="F33">IFERROR(INDEX($B$22:$B$610,SMALL(IF($A$22:$A$610=F$21,ROW(ElecLine!$A$22:$A$610)),ElecLine!$C33)-ROW(RoadList)),"")</f>
        <v/>
      </c>
      <c r="G33" s="6" t="str">
        <f t="array" ref="G33">IFERROR(INDEX($B$22:$B$610,SMALL(IF($A$22:$A$610=G$21,ROW(ElecLine!$A$22:$A$610)),ElecLine!$C33)-ROW(RoadList)),"")</f>
        <v/>
      </c>
      <c r="H33" s="6" t="str">
        <f t="array" ref="H33">IFERROR(INDEX($B$22:$B$610,SMALL(IF($A$22:$A$610=H$21,ROW(ElecLine!$A$22:$A$610)),ElecLine!$C33)-ROW(RoadList)),"")</f>
        <v/>
      </c>
      <c r="I33" s="6" t="str">
        <f t="array" ref="I33">IFERROR(INDEX($B$22:$B$610,SMALL(IF($A$22:$A$610=I$21,ROW(ElecLine!$A$22:$A$610)),ElecLine!$C33)-ROW(RoadList)),"")</f>
        <v/>
      </c>
      <c r="J33" s="6" t="str">
        <f t="array" ref="J33">IFERROR(INDEX($B$22:$B$610,SMALL(IF($A$22:$A$610=J$21,ROW(ElecLine!$A$22:$A$610)),ElecLine!$C33)-ROW(RoadList)),"")</f>
        <v/>
      </c>
      <c r="K33" s="6" t="str">
        <f t="array" ref="K33">IFERROR(INDEX($B$22:$B$610,SMALL(IF($A$22:$A$610=K$21,ROW(ElecLine!$A$22:$A$610)),ElecLine!$C33)-ROW(RoadList)),"")</f>
        <v/>
      </c>
      <c r="L33" s="6" t="str">
        <f t="array" ref="L33">IFERROR(INDEX($B$22:$B$610,SMALL(IF($A$22:$A$610=L$21,ROW(ElecLine!$A$22:$A$610)),ElecLine!$C33)-ROW(RoadList)),"")</f>
        <v/>
      </c>
      <c r="M33" s="6" t="str">
        <f t="array" ref="M33">IFERROR(INDEX($B$22:$B$610,SMALL(IF($A$22:$A$610=M$21,ROW(ElecLine!$A$22:$A$610)),ElecLine!$C33)-ROW(RoadList)),"")</f>
        <v/>
      </c>
      <c r="N33" s="6" t="str">
        <f t="array" ref="N33">IFERROR(INDEX($B$22:$B$610,SMALL(IF($A$22:$A$610=N$21,ROW(ElecLine!$A$22:$A$610)),ElecLine!$C33)-ROW(RoadList)),"")</f>
        <v/>
      </c>
    </row>
    <row r="34" spans="1:14">
      <c r="A34" s="5" t="s">
        <v>11</v>
      </c>
      <c r="B34" s="5" t="s">
        <v>12</v>
      </c>
      <c r="C34" s="6"/>
      <c r="D34" s="6"/>
      <c r="E34" s="6"/>
      <c r="F34" s="6"/>
      <c r="G34" s="8"/>
      <c r="H34" s="8" t="str">
        <f>IF(ISERROR(INDEX($A$1:$B$8,SMALL(IF($A$1:$A$8=$E$1,ROW($A$1:$A$8)),ROW(1:1)),2)),"",INDEX($A$1:$B$8,SMALL(IF($A$1:$A$8=$E$1,ROW($A$1:$A$8)),ROW(1:1)),2))</f>
        <v/>
      </c>
      <c r="I34" s="6"/>
      <c r="J34" s="6"/>
      <c r="K34" s="6"/>
      <c r="L34" s="6"/>
      <c r="M34" s="6"/>
      <c r="N34" s="6"/>
    </row>
    <row r="35" spans="1:14">
      <c r="A35" s="5" t="s">
        <v>9</v>
      </c>
      <c r="B35" s="5" t="s">
        <v>12</v>
      </c>
      <c r="C35" s="6"/>
      <c r="D35" s="6"/>
      <c r="E35" s="6"/>
      <c r="F35" s="6"/>
      <c r="G35" s="8" t="str">
        <f t="array" ref="G35">IF(ISERROR(INDEX($A$1:$B$8,SMALL(IF($A$1:$A$8=$E$1,ROW($A$1:$A$8)),ROW(2:2)),2)),"",INDEX($A$1:$B$8,SMALL(IF($A$1:$A$8=$E$1,ROW($A$1:$A$8)),ROW(2:2)),2))</f>
        <v/>
      </c>
      <c r="H35" s="6"/>
      <c r="I35" s="6"/>
      <c r="J35" s="6"/>
      <c r="K35" s="6"/>
      <c r="L35" s="6"/>
      <c r="M35" s="6"/>
      <c r="N35" s="6"/>
    </row>
    <row r="36" spans="1:14">
      <c r="A36" s="5" t="s">
        <v>13</v>
      </c>
      <c r="B36" s="5" t="s">
        <v>12</v>
      </c>
      <c r="C36" s="6"/>
      <c r="D36" s="6"/>
      <c r="E36" s="6"/>
      <c r="F36" s="6"/>
      <c r="G36" s="8" t="str">
        <f t="array" ref="G36">IF(ISERROR(INDEX($A$1:$B$8,SMALL(IF($A$1:$A$8=$E$1,ROW($A$1:$A$8)),ROW(3:3)),2)),"",INDEX($A$1:$B$8,SMALL(IF($A$1:$A$8=$E$1,ROW($A$1:$A$8)),ROW(3:3)),2))</f>
        <v/>
      </c>
      <c r="H36" s="6"/>
      <c r="I36" s="6"/>
      <c r="J36" s="6"/>
      <c r="K36" s="6"/>
      <c r="L36" s="6"/>
      <c r="M36" s="6"/>
      <c r="N36" s="6"/>
    </row>
    <row r="37" spans="1:14">
      <c r="A37" s="5" t="s">
        <v>19</v>
      </c>
      <c r="B37" s="5" t="s">
        <v>12</v>
      </c>
      <c r="C37" s="6"/>
      <c r="D37" s="6"/>
      <c r="E37" s="6"/>
      <c r="F37" s="6"/>
      <c r="G37" s="8" t="str">
        <f t="array" ref="G37">IF(ISERROR(INDEX($A$1:$B$8,SMALL(IF($A$1:$A$8=$E$1,ROW($A$1:$A$8)),ROW(4:4)),2)),"",INDEX($A$1:$B$8,SMALL(IF($A$1:$A$8=$E$1,ROW($A$1:$A$8)),ROW(4:4)),2))</f>
        <v/>
      </c>
      <c r="H37" s="6"/>
      <c r="I37" s="6"/>
      <c r="J37" s="6"/>
      <c r="K37" s="6"/>
      <c r="L37" s="6"/>
      <c r="M37" s="6"/>
      <c r="N37" s="6"/>
    </row>
    <row r="38" spans="1:14">
      <c r="A38" s="5" t="s">
        <v>10</v>
      </c>
      <c r="B38" s="5" t="s">
        <v>12</v>
      </c>
      <c r="C38" s="6"/>
      <c r="D38" s="6"/>
      <c r="E38" s="6"/>
      <c r="F38" s="6"/>
      <c r="G38" s="8" t="str">
        <f t="array" ref="G38">IF(ISERROR(INDEX($A$1:$B$8,SMALL(IF($A$1:$A$8=$E$1,ROW($A$1:$A$8)),ROW(5:5)),2)),"",INDEX($A$1:$B$8,SMALL(IF($A$1:$A$8=$E$1,ROW($A$1:$A$8)),ROW(5:5)),2))</f>
        <v/>
      </c>
      <c r="H38" s="6"/>
      <c r="I38" s="6"/>
      <c r="J38" s="6"/>
      <c r="K38" s="6"/>
      <c r="L38" s="6"/>
      <c r="M38" s="6"/>
      <c r="N38" s="6"/>
    </row>
    <row r="39" spans="1:14">
      <c r="A39" s="5" t="s">
        <v>8</v>
      </c>
      <c r="B39" s="5" t="s">
        <v>12</v>
      </c>
    </row>
    <row r="40" spans="1:14">
      <c r="A40" s="5" t="s">
        <v>6</v>
      </c>
      <c r="B40" s="5" t="s">
        <v>14</v>
      </c>
    </row>
    <row r="41" spans="1:14">
      <c r="A41" s="5" t="s">
        <v>6</v>
      </c>
      <c r="B41" s="5" t="s">
        <v>7</v>
      </c>
    </row>
    <row r="42" spans="1:14">
      <c r="A42" s="5" t="s">
        <v>6</v>
      </c>
      <c r="B42" s="5" t="s">
        <v>13</v>
      </c>
    </row>
    <row r="43" spans="1:14">
      <c r="A43" s="5" t="s">
        <v>7</v>
      </c>
      <c r="B43" s="5" t="s">
        <v>14</v>
      </c>
    </row>
    <row r="44" spans="1:14">
      <c r="A44" s="5" t="s">
        <v>7</v>
      </c>
      <c r="B44" s="5" t="s">
        <v>6</v>
      </c>
    </row>
    <row r="45" spans="1:14">
      <c r="A45" s="5" t="s">
        <v>7</v>
      </c>
      <c r="B45" s="5" t="s">
        <v>8</v>
      </c>
    </row>
    <row r="46" spans="1:14">
      <c r="A46" s="5" t="s">
        <v>8</v>
      </c>
      <c r="B46" s="5" t="s">
        <v>7</v>
      </c>
    </row>
    <row r="47" spans="1:14">
      <c r="A47" s="5" t="s">
        <v>9</v>
      </c>
      <c r="B47" s="5" t="s">
        <v>13</v>
      </c>
    </row>
    <row r="48" spans="1:14">
      <c r="A48" s="5" t="s">
        <v>9</v>
      </c>
      <c r="B48" s="5" t="s">
        <v>11</v>
      </c>
    </row>
    <row r="49" spans="1:2">
      <c r="A49" s="5" t="s">
        <v>10</v>
      </c>
      <c r="B49" s="5" t="s">
        <v>19</v>
      </c>
    </row>
    <row r="50" spans="1:2">
      <c r="A50" s="5" t="s">
        <v>11</v>
      </c>
      <c r="B50" s="5" t="s">
        <v>9</v>
      </c>
    </row>
    <row r="51" spans="1:2">
      <c r="A51" s="5" t="s">
        <v>13</v>
      </c>
      <c r="B51" s="5" t="s">
        <v>9</v>
      </c>
    </row>
    <row r="52" spans="1:2">
      <c r="A52" s="5" t="s">
        <v>13</v>
      </c>
      <c r="B52" s="5" t="s">
        <v>11</v>
      </c>
    </row>
    <row r="53" spans="1:2">
      <c r="A53" s="5" t="s">
        <v>11</v>
      </c>
      <c r="B53" s="5" t="s">
        <v>13</v>
      </c>
    </row>
    <row r="54" spans="1:2">
      <c r="A54" s="5" t="s">
        <v>19</v>
      </c>
      <c r="B54" s="5" t="s">
        <v>10</v>
      </c>
    </row>
    <row r="55" spans="1:2">
      <c r="A55" s="5" t="s">
        <v>19</v>
      </c>
      <c r="B55" s="5" t="s">
        <v>5</v>
      </c>
    </row>
    <row r="56" spans="1:2">
      <c r="A56" s="5" t="s">
        <v>5</v>
      </c>
      <c r="B56" s="5" t="s">
        <v>19</v>
      </c>
    </row>
    <row r="57" spans="1:2">
      <c r="A57" s="5" t="s">
        <v>14</v>
      </c>
      <c r="B57" s="5" t="s">
        <v>7</v>
      </c>
    </row>
    <row r="58" spans="1:2">
      <c r="A58" s="5" t="s">
        <v>14</v>
      </c>
      <c r="B58" s="5" t="s">
        <v>6</v>
      </c>
    </row>
    <row r="59" spans="1:2">
      <c r="A59" s="5"/>
      <c r="B59" s="5"/>
    </row>
    <row r="60" spans="1:2">
      <c r="A60" s="5"/>
      <c r="B60" s="5"/>
    </row>
    <row r="61" spans="1:2">
      <c r="A61" s="5"/>
      <c r="B61" s="5"/>
    </row>
    <row r="62" spans="1:2">
      <c r="A62" s="5"/>
      <c r="B62" s="5"/>
    </row>
    <row r="63" spans="1:2">
      <c r="A63" s="5"/>
      <c r="B63" s="5"/>
    </row>
    <row r="64" spans="1:2">
      <c r="A64" s="5"/>
      <c r="B64" s="5"/>
    </row>
    <row r="65" spans="1:2">
      <c r="A65" s="5"/>
      <c r="B65" s="5"/>
    </row>
    <row r="66" spans="1:2">
      <c r="A66" s="5"/>
      <c r="B66" s="5"/>
    </row>
    <row r="67" spans="1:2">
      <c r="A67" s="5"/>
      <c r="B67" s="5"/>
    </row>
    <row r="68" spans="1:2">
      <c r="A68" s="5"/>
      <c r="B68" s="5"/>
    </row>
    <row r="69" spans="1:2">
      <c r="A69" s="5"/>
      <c r="B69" s="5"/>
    </row>
    <row r="70" spans="1:2">
      <c r="A70" s="5"/>
      <c r="B70" s="5"/>
    </row>
    <row r="71" spans="1:2">
      <c r="A71" s="5"/>
      <c r="B71" s="5"/>
    </row>
    <row r="72" spans="1:2">
      <c r="A72" s="5"/>
      <c r="B72" s="5"/>
    </row>
    <row r="73" spans="1:2">
      <c r="A73" s="5"/>
      <c r="B73" s="5"/>
    </row>
    <row r="74" spans="1:2">
      <c r="A74" s="5"/>
      <c r="B74" s="5"/>
    </row>
    <row r="75" spans="1:2">
      <c r="A75" s="5"/>
      <c r="B75" s="5"/>
    </row>
    <row r="76" spans="1:2">
      <c r="A76" s="5"/>
      <c r="B76" s="5"/>
    </row>
    <row r="77" spans="1:2">
      <c r="A77" s="5"/>
      <c r="B77" s="5"/>
    </row>
    <row r="78" spans="1:2">
      <c r="A78" s="5"/>
      <c r="B78" s="5"/>
    </row>
    <row r="79" spans="1:2">
      <c r="A79" s="5"/>
      <c r="B79" s="5"/>
    </row>
    <row r="80" spans="1:2">
      <c r="A80" s="5"/>
      <c r="B80" s="5"/>
    </row>
    <row r="81" spans="1:2">
      <c r="A81" s="5"/>
      <c r="B81" s="5"/>
    </row>
    <row r="82" spans="1:2">
      <c r="A82" s="5"/>
      <c r="B82" s="5"/>
    </row>
    <row r="83" spans="1:2">
      <c r="A83" s="5"/>
      <c r="B83" s="5"/>
    </row>
    <row r="84" spans="1:2">
      <c r="A84" s="5"/>
      <c r="B84" s="5"/>
    </row>
    <row r="85" spans="1:2">
      <c r="A85" s="5"/>
      <c r="B85" s="5"/>
    </row>
    <row r="86" spans="1:2">
      <c r="A86" s="5"/>
      <c r="B86" s="5"/>
    </row>
    <row r="87" spans="1:2">
      <c r="A87" s="5"/>
      <c r="B87" s="5"/>
    </row>
    <row r="88" spans="1:2">
      <c r="A88" s="5"/>
      <c r="B88" s="5"/>
    </row>
    <row r="89" spans="1:2">
      <c r="A89" s="5"/>
      <c r="B89" s="5"/>
    </row>
    <row r="90" spans="1:2">
      <c r="A90" s="5"/>
      <c r="B90" s="5"/>
    </row>
    <row r="91" spans="1:2">
      <c r="A91" s="5"/>
      <c r="B91" s="5"/>
    </row>
    <row r="92" spans="1:2">
      <c r="A92" s="5"/>
      <c r="B92" s="5"/>
    </row>
    <row r="93" spans="1:2">
      <c r="A93" s="5"/>
      <c r="B93" s="5"/>
    </row>
    <row r="94" spans="1:2">
      <c r="A94" s="5"/>
      <c r="B94" s="5"/>
    </row>
    <row r="95" spans="1:2">
      <c r="A95" s="5"/>
      <c r="B95" s="5"/>
    </row>
    <row r="96" spans="1:2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</sheetData>
  <conditionalFormatting sqref="B2:L12">
    <cfRule type="containsText" dxfId="0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82"/>
  <sheetViews>
    <sheetView zoomScale="85" zoomScaleNormal="85" workbookViewId="0">
      <selection activeCell="A2" sqref="A2"/>
    </sheetView>
  </sheetViews>
  <sheetFormatPr defaultColWidth="8.875" defaultRowHeight="15.75"/>
  <sheetData>
    <row r="1" spans="1:2">
      <c r="A1">
        <f t="array" ref="A1:A16">Years</f>
        <v>2015</v>
      </c>
      <c r="B1">
        <v>1</v>
      </c>
    </row>
    <row r="2" spans="1:2">
      <c r="A2">
        <v>2016</v>
      </c>
      <c r="B2" s="2">
        <v>1</v>
      </c>
    </row>
    <row r="3" spans="1:2">
      <c r="A3">
        <v>2017</v>
      </c>
      <c r="B3" s="2">
        <v>1</v>
      </c>
    </row>
    <row r="4" spans="1:2">
      <c r="A4">
        <v>2018</v>
      </c>
      <c r="B4" s="2">
        <v>1</v>
      </c>
    </row>
    <row r="5" spans="1:2">
      <c r="A5">
        <v>2019</v>
      </c>
      <c r="B5" s="2">
        <v>1</v>
      </c>
    </row>
    <row r="6" spans="1:2">
      <c r="A6">
        <v>2020</v>
      </c>
      <c r="B6" s="2">
        <v>1</v>
      </c>
    </row>
    <row r="7" spans="1:2">
      <c r="A7">
        <v>2021</v>
      </c>
      <c r="B7" s="2">
        <v>1</v>
      </c>
    </row>
    <row r="8" spans="1:2">
      <c r="A8">
        <v>2022</v>
      </c>
      <c r="B8" s="2">
        <v>1</v>
      </c>
    </row>
    <row r="9" spans="1:2">
      <c r="A9">
        <v>2023</v>
      </c>
      <c r="B9" s="2">
        <v>1</v>
      </c>
    </row>
    <row r="10" spans="1:2">
      <c r="A10">
        <v>2024</v>
      </c>
      <c r="B10" s="2">
        <v>1</v>
      </c>
    </row>
    <row r="11" spans="1:2">
      <c r="A11">
        <v>2025</v>
      </c>
      <c r="B11" s="2">
        <v>1</v>
      </c>
    </row>
    <row r="12" spans="1:2">
      <c r="A12">
        <v>2026</v>
      </c>
      <c r="B12" s="2">
        <v>1</v>
      </c>
    </row>
    <row r="13" spans="1:2">
      <c r="A13">
        <v>2027</v>
      </c>
      <c r="B13" s="2">
        <v>1</v>
      </c>
    </row>
    <row r="14" spans="1:2">
      <c r="A14">
        <v>2028</v>
      </c>
      <c r="B14" s="2">
        <v>1</v>
      </c>
    </row>
    <row r="15" spans="1:2">
      <c r="A15">
        <v>2029</v>
      </c>
      <c r="B15" s="2">
        <v>1</v>
      </c>
    </row>
    <row r="16" spans="1:2">
      <c r="A16">
        <v>2030</v>
      </c>
      <c r="B16" s="2">
        <v>1</v>
      </c>
    </row>
    <row r="17" spans="23:23">
      <c r="W17" s="26"/>
    </row>
    <row r="18" spans="23:23">
      <c r="W18" s="26"/>
    </row>
    <row r="19" spans="23:23">
      <c r="W19" s="26"/>
    </row>
    <row r="20" spans="23:23">
      <c r="W20" s="26"/>
    </row>
    <row r="21" spans="23:23">
      <c r="W21" s="26"/>
    </row>
    <row r="22" spans="23:23">
      <c r="W22" s="26"/>
    </row>
    <row r="23" spans="23:23">
      <c r="W23" s="26"/>
    </row>
    <row r="24" spans="23:23">
      <c r="W24" s="26"/>
    </row>
    <row r="25" spans="23:23">
      <c r="W25" s="26"/>
    </row>
    <row r="26" spans="23:23">
      <c r="W26" s="26"/>
    </row>
    <row r="27" spans="23:23">
      <c r="W27" s="26"/>
    </row>
    <row r="28" spans="23:23">
      <c r="W28" s="26"/>
    </row>
    <row r="29" spans="23:23">
      <c r="W29" s="26"/>
    </row>
    <row r="30" spans="23:23">
      <c r="W30" s="26"/>
    </row>
    <row r="31" spans="23:23">
      <c r="W31" s="26"/>
    </row>
    <row r="32" spans="23:23">
      <c r="W32" s="26"/>
    </row>
    <row r="33" spans="23:23">
      <c r="W33" s="26"/>
    </row>
    <row r="34" spans="23:23">
      <c r="W34" s="26"/>
    </row>
    <row r="35" spans="23:23">
      <c r="W35" s="26"/>
    </row>
    <row r="36" spans="23:23">
      <c r="W36" s="26"/>
    </row>
    <row r="37" spans="23:23">
      <c r="W37" s="26"/>
    </row>
    <row r="38" spans="23:23">
      <c r="W38" s="26"/>
    </row>
    <row r="39" spans="23:23">
      <c r="W39" s="26"/>
    </row>
    <row r="40" spans="23:23">
      <c r="W40" s="26"/>
    </row>
    <row r="41" spans="23:23">
      <c r="W41" s="26"/>
    </row>
    <row r="42" spans="23:23">
      <c r="W42" s="26"/>
    </row>
    <row r="43" spans="23:23">
      <c r="W43" s="26"/>
    </row>
    <row r="44" spans="23:23">
      <c r="W44" s="26"/>
    </row>
    <row r="45" spans="23:23">
      <c r="W45" s="26"/>
    </row>
    <row r="46" spans="23:23">
      <c r="W46" s="26"/>
    </row>
    <row r="47" spans="23:23">
      <c r="W47" s="26"/>
    </row>
    <row r="48" spans="23:23">
      <c r="W48" s="26"/>
    </row>
    <row r="49" spans="23:23">
      <c r="W49" s="26"/>
    </row>
    <row r="50" spans="23:23">
      <c r="W50" s="26"/>
    </row>
    <row r="51" spans="23:23">
      <c r="W51" s="26"/>
    </row>
    <row r="52" spans="23:23">
      <c r="W52" s="26"/>
    </row>
    <row r="53" spans="23:23">
      <c r="W53" s="26"/>
    </row>
    <row r="54" spans="23:23">
      <c r="W54" s="26"/>
    </row>
    <row r="55" spans="23:23">
      <c r="W55" s="26"/>
    </row>
    <row r="56" spans="23:23">
      <c r="W56" s="26"/>
    </row>
    <row r="57" spans="23:23">
      <c r="W57" s="26"/>
    </row>
    <row r="58" spans="23:23">
      <c r="W58" s="26"/>
    </row>
    <row r="59" spans="23:23">
      <c r="W59" s="26"/>
    </row>
    <row r="60" spans="23:23">
      <c r="W60" s="26"/>
    </row>
    <row r="61" spans="23:23">
      <c r="W61" s="26"/>
    </row>
    <row r="62" spans="23:23">
      <c r="W62" s="26"/>
    </row>
    <row r="63" spans="23:23">
      <c r="W63" s="26"/>
    </row>
    <row r="64" spans="23:23">
      <c r="W64" s="26"/>
    </row>
    <row r="65" spans="23:23">
      <c r="W65" s="26"/>
    </row>
    <row r="66" spans="23:23">
      <c r="W66" s="26"/>
    </row>
    <row r="67" spans="23:23">
      <c r="W67" s="26"/>
    </row>
    <row r="68" spans="23:23">
      <c r="W68" s="26"/>
    </row>
    <row r="69" spans="23:23">
      <c r="W69" s="26"/>
    </row>
    <row r="70" spans="23:23">
      <c r="W70" s="26"/>
    </row>
    <row r="71" spans="23:23">
      <c r="W71" s="26"/>
    </row>
    <row r="72" spans="23:23">
      <c r="W72" s="26"/>
    </row>
    <row r="73" spans="23:23">
      <c r="W73" s="26"/>
    </row>
    <row r="74" spans="23:23">
      <c r="W74" s="26"/>
    </row>
    <row r="75" spans="23:23">
      <c r="W75" s="26"/>
    </row>
    <row r="76" spans="23:23">
      <c r="W76" s="26"/>
    </row>
    <row r="77" spans="23:23">
      <c r="W77" s="26"/>
    </row>
    <row r="78" spans="23:23">
      <c r="W78" s="26"/>
    </row>
    <row r="79" spans="23:23">
      <c r="W79" s="26"/>
    </row>
    <row r="80" spans="23:23">
      <c r="W80" s="26"/>
    </row>
    <row r="81" spans="23:23">
      <c r="W81" s="26"/>
    </row>
    <row r="82" spans="23:23">
      <c r="W82" s="26"/>
    </row>
  </sheetData>
  <pageMargins left="0.75" right="0.75" top="1" bottom="1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O192"/>
  <sheetViews>
    <sheetView topLeftCell="A61" zoomScale="85" zoomScaleNormal="85" workbookViewId="0">
      <selection activeCell="AB165" sqref="AB165"/>
    </sheetView>
  </sheetViews>
  <sheetFormatPr defaultColWidth="8.875" defaultRowHeight="15.75"/>
  <cols>
    <col min="1" max="1" width="10.625" bestFit="1" customWidth="1"/>
    <col min="2" max="2" width="10.5" bestFit="1" customWidth="1"/>
    <col min="6" max="6" width="10.25" bestFit="1" customWidth="1"/>
    <col min="27" max="27" width="10.25" bestFit="1" customWidth="1"/>
  </cols>
  <sheetData>
    <row r="1" spans="1:34">
      <c r="C1" t="str">
        <f t="array" ref="C1:D1">TRANSPOSE(Seasons)</f>
        <v>Kremt</v>
      </c>
      <c r="D1" t="str">
        <v>Belg</v>
      </c>
      <c r="E1" t="str">
        <f>C1</f>
        <v>Kremt</v>
      </c>
      <c r="F1" t="str">
        <f t="shared" ref="F1:AH1" si="0">D1</f>
        <v>Belg</v>
      </c>
      <c r="G1" t="str">
        <f t="shared" si="0"/>
        <v>Kremt</v>
      </c>
      <c r="H1" t="str">
        <f t="shared" si="0"/>
        <v>Belg</v>
      </c>
      <c r="I1" t="str">
        <f t="shared" si="0"/>
        <v>Kremt</v>
      </c>
      <c r="J1" t="str">
        <f t="shared" si="0"/>
        <v>Belg</v>
      </c>
      <c r="K1" t="str">
        <f t="shared" si="0"/>
        <v>Kremt</v>
      </c>
      <c r="L1" t="str">
        <f t="shared" si="0"/>
        <v>Belg</v>
      </c>
      <c r="M1" t="str">
        <f t="shared" si="0"/>
        <v>Kremt</v>
      </c>
      <c r="N1" t="str">
        <f t="shared" si="0"/>
        <v>Belg</v>
      </c>
      <c r="O1" t="str">
        <f t="shared" si="0"/>
        <v>Kremt</v>
      </c>
      <c r="P1" t="str">
        <f t="shared" si="0"/>
        <v>Belg</v>
      </c>
      <c r="Q1" t="str">
        <f t="shared" si="0"/>
        <v>Kremt</v>
      </c>
      <c r="R1" t="str">
        <f t="shared" si="0"/>
        <v>Belg</v>
      </c>
      <c r="S1" t="str">
        <f t="shared" si="0"/>
        <v>Kremt</v>
      </c>
      <c r="T1" t="str">
        <f t="shared" si="0"/>
        <v>Belg</v>
      </c>
      <c r="U1" t="str">
        <f t="shared" si="0"/>
        <v>Kremt</v>
      </c>
      <c r="V1" t="str">
        <f t="shared" si="0"/>
        <v>Belg</v>
      </c>
      <c r="W1" t="str">
        <f t="shared" si="0"/>
        <v>Kremt</v>
      </c>
      <c r="X1" t="str">
        <f t="shared" si="0"/>
        <v>Belg</v>
      </c>
      <c r="Y1" t="str">
        <f t="shared" si="0"/>
        <v>Kremt</v>
      </c>
      <c r="Z1" t="str">
        <f t="shared" si="0"/>
        <v>Belg</v>
      </c>
      <c r="AA1" t="str">
        <f t="shared" si="0"/>
        <v>Kremt</v>
      </c>
      <c r="AB1" t="str">
        <f t="shared" si="0"/>
        <v>Belg</v>
      </c>
      <c r="AC1" t="str">
        <f t="shared" si="0"/>
        <v>Kremt</v>
      </c>
      <c r="AD1" t="str">
        <f t="shared" si="0"/>
        <v>Belg</v>
      </c>
      <c r="AE1" t="str">
        <f t="shared" si="0"/>
        <v>Kremt</v>
      </c>
      <c r="AF1" t="str">
        <f t="shared" si="0"/>
        <v>Belg</v>
      </c>
      <c r="AG1" t="str">
        <f t="shared" si="0"/>
        <v>Kremt</v>
      </c>
      <c r="AH1" t="str">
        <f t="shared" si="0"/>
        <v>Belg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CYF!A3</f>
        <v>Teff</v>
      </c>
      <c r="B3" t="str">
        <f>CYF!B3</f>
        <v>AddisAbaba</v>
      </c>
      <c r="C3">
        <v>8.2032296901532824</v>
      </c>
      <c r="D3">
        <v>9.1520905916315538</v>
      </c>
      <c r="E3">
        <f>C3</f>
        <v>8.2032296901532824</v>
      </c>
      <c r="F3">
        <f t="shared" ref="F3:AH3" si="2">D3</f>
        <v>9.1520905916315538</v>
      </c>
      <c r="G3">
        <f t="shared" si="2"/>
        <v>8.2032296901532824</v>
      </c>
      <c r="H3">
        <f t="shared" si="2"/>
        <v>9.1520905916315538</v>
      </c>
      <c r="I3">
        <f t="shared" si="2"/>
        <v>8.2032296901532824</v>
      </c>
      <c r="J3">
        <f t="shared" si="2"/>
        <v>9.1520905916315538</v>
      </c>
      <c r="K3">
        <f t="shared" si="2"/>
        <v>8.2032296901532824</v>
      </c>
      <c r="L3">
        <f t="shared" si="2"/>
        <v>9.1520905916315538</v>
      </c>
      <c r="M3">
        <f t="shared" si="2"/>
        <v>8.2032296901532824</v>
      </c>
      <c r="N3">
        <f t="shared" si="2"/>
        <v>9.1520905916315538</v>
      </c>
      <c r="O3">
        <f t="shared" si="2"/>
        <v>8.2032296901532824</v>
      </c>
      <c r="P3">
        <f t="shared" si="2"/>
        <v>9.1520905916315538</v>
      </c>
      <c r="Q3">
        <f t="shared" si="2"/>
        <v>8.2032296901532824</v>
      </c>
      <c r="R3">
        <f t="shared" si="2"/>
        <v>9.1520905916315538</v>
      </c>
      <c r="S3">
        <f t="shared" si="2"/>
        <v>8.2032296901532824</v>
      </c>
      <c r="T3">
        <f t="shared" si="2"/>
        <v>9.1520905916315538</v>
      </c>
      <c r="U3">
        <f t="shared" si="2"/>
        <v>8.2032296901532824</v>
      </c>
      <c r="V3">
        <f t="shared" si="2"/>
        <v>9.1520905916315538</v>
      </c>
      <c r="W3">
        <f t="shared" si="2"/>
        <v>8.2032296901532824</v>
      </c>
      <c r="X3">
        <f t="shared" si="2"/>
        <v>9.1520905916315538</v>
      </c>
      <c r="Y3">
        <f t="shared" si="2"/>
        <v>8.2032296901532824</v>
      </c>
      <c r="Z3">
        <f t="shared" si="2"/>
        <v>9.1520905916315538</v>
      </c>
      <c r="AA3">
        <f t="shared" si="2"/>
        <v>8.2032296901532824</v>
      </c>
      <c r="AB3">
        <f t="shared" si="2"/>
        <v>9.1520905916315538</v>
      </c>
      <c r="AC3">
        <f t="shared" si="2"/>
        <v>8.2032296901532824</v>
      </c>
      <c r="AD3">
        <f t="shared" si="2"/>
        <v>9.1520905916315538</v>
      </c>
      <c r="AE3">
        <f t="shared" si="2"/>
        <v>8.2032296901532824</v>
      </c>
      <c r="AF3">
        <f t="shared" si="2"/>
        <v>9.1520905916315538</v>
      </c>
      <c r="AG3">
        <f t="shared" si="2"/>
        <v>8.2032296901532824</v>
      </c>
      <c r="AH3">
        <f t="shared" si="2"/>
        <v>9.1520905916315538</v>
      </c>
    </row>
    <row r="4" spans="1:34">
      <c r="A4" t="str">
        <f>CYF!A4</f>
        <v>Teff</v>
      </c>
      <c r="B4" t="str">
        <f>CYF!B4</f>
        <v>Afar</v>
      </c>
      <c r="C4">
        <v>8.4192825563799154</v>
      </c>
      <c r="D4">
        <v>9.4013070325917081</v>
      </c>
      <c r="E4">
        <f t="shared" ref="E4:E67" si="3">C4</f>
        <v>8.4192825563799154</v>
      </c>
      <c r="F4">
        <f t="shared" ref="F4:F67" si="4">D4</f>
        <v>9.4013070325917081</v>
      </c>
      <c r="G4">
        <f t="shared" ref="G4:G67" si="5">E4</f>
        <v>8.4192825563799154</v>
      </c>
      <c r="H4">
        <f t="shared" ref="H4:H67" si="6">F4</f>
        <v>9.4013070325917081</v>
      </c>
      <c r="I4">
        <f t="shared" ref="I4:I67" si="7">G4</f>
        <v>8.4192825563799154</v>
      </c>
      <c r="J4">
        <f t="shared" ref="J4:J67" si="8">H4</f>
        <v>9.4013070325917081</v>
      </c>
      <c r="K4">
        <f t="shared" ref="K4:K67" si="9">I4</f>
        <v>8.4192825563799154</v>
      </c>
      <c r="L4">
        <f t="shared" ref="L4:L67" si="10">J4</f>
        <v>9.4013070325917081</v>
      </c>
      <c r="M4">
        <f t="shared" ref="M4:M67" si="11">K4</f>
        <v>8.4192825563799154</v>
      </c>
      <c r="N4">
        <f t="shared" ref="N4:N67" si="12">L4</f>
        <v>9.4013070325917081</v>
      </c>
      <c r="O4">
        <f t="shared" ref="O4:O67" si="13">M4</f>
        <v>8.4192825563799154</v>
      </c>
      <c r="P4">
        <f t="shared" ref="P4:P67" si="14">N4</f>
        <v>9.4013070325917081</v>
      </c>
      <c r="Q4">
        <f t="shared" ref="Q4:Q67" si="15">O4</f>
        <v>8.4192825563799154</v>
      </c>
      <c r="R4">
        <f t="shared" ref="R4:R67" si="16">P4</f>
        <v>9.4013070325917081</v>
      </c>
      <c r="S4">
        <f t="shared" ref="S4:S67" si="17">Q4</f>
        <v>8.4192825563799154</v>
      </c>
      <c r="T4">
        <f t="shared" ref="T4:T67" si="18">R4</f>
        <v>9.4013070325917081</v>
      </c>
      <c r="U4">
        <f t="shared" ref="U4:U67" si="19">S4</f>
        <v>8.4192825563799154</v>
      </c>
      <c r="V4">
        <f t="shared" ref="V4:V67" si="20">T4</f>
        <v>9.4013070325917081</v>
      </c>
      <c r="W4">
        <f t="shared" ref="W4:W67" si="21">U4</f>
        <v>8.4192825563799154</v>
      </c>
      <c r="X4">
        <f t="shared" ref="X4:X67" si="22">V4</f>
        <v>9.4013070325917081</v>
      </c>
      <c r="Y4">
        <f t="shared" ref="Y4:Y67" si="23">W4</f>
        <v>8.4192825563799154</v>
      </c>
      <c r="Z4">
        <f t="shared" ref="Z4:Z67" si="24">X4</f>
        <v>9.4013070325917081</v>
      </c>
      <c r="AA4">
        <f t="shared" ref="AA4:AA67" si="25">Y4</f>
        <v>8.4192825563799154</v>
      </c>
      <c r="AB4">
        <f t="shared" ref="AB4:AB67" si="26">Z4</f>
        <v>9.4013070325917081</v>
      </c>
      <c r="AC4">
        <f t="shared" ref="AC4:AC67" si="27">AA4</f>
        <v>8.4192825563799154</v>
      </c>
      <c r="AD4">
        <f t="shared" ref="AD4:AD67" si="28">AB4</f>
        <v>9.4013070325917081</v>
      </c>
      <c r="AE4">
        <f t="shared" ref="AE4:AE67" si="29">AC4</f>
        <v>8.4192825563799154</v>
      </c>
      <c r="AF4">
        <f t="shared" ref="AF4:AF67" si="30">AD4</f>
        <v>9.4013070325917081</v>
      </c>
      <c r="AG4">
        <f t="shared" ref="AG4:AG67" si="31">AE4</f>
        <v>8.4192825563799154</v>
      </c>
      <c r="AH4">
        <f t="shared" ref="AH4:AH67" si="32">AF4</f>
        <v>9.4013070325917081</v>
      </c>
    </row>
    <row r="5" spans="1:34">
      <c r="A5" t="str">
        <f>CYF!A5</f>
        <v>Teff</v>
      </c>
      <c r="B5" t="str">
        <f>CYF!B5</f>
        <v>Amhara</v>
      </c>
      <c r="C5">
        <v>7.9341573729935231</v>
      </c>
      <c r="D5">
        <v>8.5851901713346201</v>
      </c>
      <c r="E5">
        <f t="shared" si="3"/>
        <v>7.9341573729935231</v>
      </c>
      <c r="F5">
        <f t="shared" si="4"/>
        <v>8.5851901713346201</v>
      </c>
      <c r="G5">
        <f t="shared" si="5"/>
        <v>7.9341573729935231</v>
      </c>
      <c r="H5">
        <f t="shared" si="6"/>
        <v>8.5851901713346201</v>
      </c>
      <c r="I5">
        <f t="shared" si="7"/>
        <v>7.9341573729935231</v>
      </c>
      <c r="J5">
        <f t="shared" si="8"/>
        <v>8.5851901713346201</v>
      </c>
      <c r="K5">
        <f t="shared" si="9"/>
        <v>7.9341573729935231</v>
      </c>
      <c r="L5">
        <f t="shared" si="10"/>
        <v>8.5851901713346201</v>
      </c>
      <c r="M5">
        <f t="shared" si="11"/>
        <v>7.9341573729935231</v>
      </c>
      <c r="N5">
        <f t="shared" si="12"/>
        <v>8.5851901713346201</v>
      </c>
      <c r="O5">
        <f t="shared" si="13"/>
        <v>7.9341573729935231</v>
      </c>
      <c r="P5">
        <f t="shared" si="14"/>
        <v>8.5851901713346201</v>
      </c>
      <c r="Q5">
        <f t="shared" si="15"/>
        <v>7.9341573729935231</v>
      </c>
      <c r="R5">
        <f t="shared" si="16"/>
        <v>8.5851901713346201</v>
      </c>
      <c r="S5">
        <f t="shared" si="17"/>
        <v>7.9341573729935231</v>
      </c>
      <c r="T5">
        <f t="shared" si="18"/>
        <v>8.5851901713346201</v>
      </c>
      <c r="U5">
        <f t="shared" si="19"/>
        <v>7.9341573729935231</v>
      </c>
      <c r="V5">
        <f t="shared" si="20"/>
        <v>8.5851901713346201</v>
      </c>
      <c r="W5">
        <f t="shared" si="21"/>
        <v>7.9341573729935231</v>
      </c>
      <c r="X5">
        <f t="shared" si="22"/>
        <v>8.5851901713346201</v>
      </c>
      <c r="Y5">
        <f t="shared" si="23"/>
        <v>7.9341573729935231</v>
      </c>
      <c r="Z5">
        <f t="shared" si="24"/>
        <v>8.5851901713346201</v>
      </c>
      <c r="AA5">
        <f t="shared" si="25"/>
        <v>7.9341573729935231</v>
      </c>
      <c r="AB5">
        <f t="shared" si="26"/>
        <v>8.5851901713346201</v>
      </c>
      <c r="AC5">
        <f t="shared" si="27"/>
        <v>7.9341573729935231</v>
      </c>
      <c r="AD5">
        <f t="shared" si="28"/>
        <v>8.5851901713346201</v>
      </c>
      <c r="AE5">
        <f t="shared" si="29"/>
        <v>7.9341573729935231</v>
      </c>
      <c r="AF5">
        <f t="shared" si="30"/>
        <v>8.5851901713346201</v>
      </c>
      <c r="AG5">
        <f t="shared" si="31"/>
        <v>7.9341573729935231</v>
      </c>
      <c r="AH5">
        <f t="shared" si="32"/>
        <v>8.5851901713346201</v>
      </c>
    </row>
    <row r="6" spans="1:34">
      <c r="A6" t="str">
        <f>CYF!A6</f>
        <v>Teff</v>
      </c>
      <c r="B6" t="str">
        <f>CYF!B6</f>
        <v>Gumuz</v>
      </c>
      <c r="C6">
        <v>7.2439129650074587</v>
      </c>
      <c r="D6">
        <v>8.7832835745166129</v>
      </c>
      <c r="E6">
        <f t="shared" si="3"/>
        <v>7.2439129650074587</v>
      </c>
      <c r="F6">
        <f t="shared" si="4"/>
        <v>8.7832835745166129</v>
      </c>
      <c r="G6">
        <f t="shared" si="5"/>
        <v>7.2439129650074587</v>
      </c>
      <c r="H6">
        <f t="shared" si="6"/>
        <v>8.7832835745166129</v>
      </c>
      <c r="I6">
        <f t="shared" si="7"/>
        <v>7.2439129650074587</v>
      </c>
      <c r="J6">
        <f t="shared" si="8"/>
        <v>8.7832835745166129</v>
      </c>
      <c r="K6">
        <f t="shared" si="9"/>
        <v>7.2439129650074587</v>
      </c>
      <c r="L6">
        <f t="shared" si="10"/>
        <v>8.7832835745166129</v>
      </c>
      <c r="M6">
        <f t="shared" si="11"/>
        <v>7.2439129650074587</v>
      </c>
      <c r="N6">
        <f t="shared" si="12"/>
        <v>8.7832835745166129</v>
      </c>
      <c r="O6">
        <f t="shared" si="13"/>
        <v>7.2439129650074587</v>
      </c>
      <c r="P6">
        <f t="shared" si="14"/>
        <v>8.7832835745166129</v>
      </c>
      <c r="Q6">
        <f t="shared" si="15"/>
        <v>7.2439129650074587</v>
      </c>
      <c r="R6">
        <f t="shared" si="16"/>
        <v>8.7832835745166129</v>
      </c>
      <c r="S6">
        <f t="shared" si="17"/>
        <v>7.2439129650074587</v>
      </c>
      <c r="T6">
        <f t="shared" si="18"/>
        <v>8.7832835745166129</v>
      </c>
      <c r="U6">
        <f t="shared" si="19"/>
        <v>7.2439129650074587</v>
      </c>
      <c r="V6">
        <f t="shared" si="20"/>
        <v>8.7832835745166129</v>
      </c>
      <c r="W6">
        <f t="shared" si="21"/>
        <v>7.2439129650074587</v>
      </c>
      <c r="X6">
        <f t="shared" si="22"/>
        <v>8.7832835745166129</v>
      </c>
      <c r="Y6">
        <f t="shared" si="23"/>
        <v>7.2439129650074587</v>
      </c>
      <c r="Z6">
        <f t="shared" si="24"/>
        <v>8.7832835745166129</v>
      </c>
      <c r="AA6">
        <f t="shared" si="25"/>
        <v>7.2439129650074587</v>
      </c>
      <c r="AB6">
        <f t="shared" si="26"/>
        <v>8.7832835745166129</v>
      </c>
      <c r="AC6">
        <f t="shared" si="27"/>
        <v>7.2439129650074587</v>
      </c>
      <c r="AD6">
        <f t="shared" si="28"/>
        <v>8.7832835745166129</v>
      </c>
      <c r="AE6">
        <f t="shared" si="29"/>
        <v>7.2439129650074587</v>
      </c>
      <c r="AF6">
        <f t="shared" si="30"/>
        <v>8.7832835745166129</v>
      </c>
      <c r="AG6">
        <f t="shared" si="31"/>
        <v>7.2439129650074587</v>
      </c>
      <c r="AH6">
        <f t="shared" si="32"/>
        <v>8.7832835745166129</v>
      </c>
    </row>
    <row r="7" spans="1:34">
      <c r="A7" t="str">
        <f>CYF!A7</f>
        <v>Teff</v>
      </c>
      <c r="B7" t="str">
        <f>CYF!B7</f>
        <v>DireDawa</v>
      </c>
      <c r="C7">
        <v>7.1508163709979877</v>
      </c>
      <c r="D7">
        <v>9.0209007068553753</v>
      </c>
      <c r="E7">
        <f t="shared" si="3"/>
        <v>7.1508163709979877</v>
      </c>
      <c r="F7">
        <f t="shared" si="4"/>
        <v>9.0209007068553753</v>
      </c>
      <c r="G7">
        <f t="shared" si="5"/>
        <v>7.1508163709979877</v>
      </c>
      <c r="H7">
        <f t="shared" si="6"/>
        <v>9.0209007068553753</v>
      </c>
      <c r="I7">
        <f t="shared" si="7"/>
        <v>7.1508163709979877</v>
      </c>
      <c r="J7">
        <f t="shared" si="8"/>
        <v>9.0209007068553753</v>
      </c>
      <c r="K7">
        <f t="shared" si="9"/>
        <v>7.1508163709979877</v>
      </c>
      <c r="L7">
        <f t="shared" si="10"/>
        <v>9.0209007068553753</v>
      </c>
      <c r="M7">
        <f t="shared" si="11"/>
        <v>7.1508163709979877</v>
      </c>
      <c r="N7">
        <f t="shared" si="12"/>
        <v>9.0209007068553753</v>
      </c>
      <c r="O7">
        <f t="shared" si="13"/>
        <v>7.1508163709979877</v>
      </c>
      <c r="P7">
        <f t="shared" si="14"/>
        <v>9.0209007068553753</v>
      </c>
      <c r="Q7">
        <f t="shared" si="15"/>
        <v>7.1508163709979877</v>
      </c>
      <c r="R7">
        <f t="shared" si="16"/>
        <v>9.0209007068553753</v>
      </c>
      <c r="S7">
        <f t="shared" si="17"/>
        <v>7.1508163709979877</v>
      </c>
      <c r="T7">
        <f t="shared" si="18"/>
        <v>9.0209007068553753</v>
      </c>
      <c r="U7">
        <f t="shared" si="19"/>
        <v>7.1508163709979877</v>
      </c>
      <c r="V7">
        <f t="shared" si="20"/>
        <v>9.0209007068553753</v>
      </c>
      <c r="W7">
        <f t="shared" si="21"/>
        <v>7.1508163709979877</v>
      </c>
      <c r="X7">
        <f t="shared" si="22"/>
        <v>9.0209007068553753</v>
      </c>
      <c r="Y7">
        <f t="shared" si="23"/>
        <v>7.1508163709979877</v>
      </c>
      <c r="Z7">
        <f t="shared" si="24"/>
        <v>9.0209007068553753</v>
      </c>
      <c r="AA7">
        <f t="shared" si="25"/>
        <v>7.1508163709979877</v>
      </c>
      <c r="AB7">
        <f t="shared" si="26"/>
        <v>9.0209007068553753</v>
      </c>
      <c r="AC7">
        <f t="shared" si="27"/>
        <v>7.1508163709979877</v>
      </c>
      <c r="AD7">
        <f t="shared" si="28"/>
        <v>9.0209007068553753</v>
      </c>
      <c r="AE7">
        <f t="shared" si="29"/>
        <v>7.1508163709979877</v>
      </c>
      <c r="AF7">
        <f t="shared" si="30"/>
        <v>9.0209007068553753</v>
      </c>
      <c r="AG7">
        <f t="shared" si="31"/>
        <v>7.1508163709979877</v>
      </c>
      <c r="AH7">
        <f t="shared" si="32"/>
        <v>9.0209007068553753</v>
      </c>
    </row>
    <row r="8" spans="1:34">
      <c r="A8" t="str">
        <f>CYF!A8</f>
        <v>Teff</v>
      </c>
      <c r="B8" t="str">
        <f>CYF!B8</f>
        <v>Gambela</v>
      </c>
      <c r="C8">
        <v>6.8198536305750661</v>
      </c>
      <c r="D8">
        <v>9.0177836502940885</v>
      </c>
      <c r="E8">
        <f t="shared" si="3"/>
        <v>6.8198536305750661</v>
      </c>
      <c r="F8">
        <f t="shared" si="4"/>
        <v>9.0177836502940885</v>
      </c>
      <c r="G8">
        <f t="shared" si="5"/>
        <v>6.8198536305750661</v>
      </c>
      <c r="H8">
        <f t="shared" si="6"/>
        <v>9.0177836502940885</v>
      </c>
      <c r="I8">
        <f t="shared" si="7"/>
        <v>6.8198536305750661</v>
      </c>
      <c r="J8">
        <f t="shared" si="8"/>
        <v>9.0177836502940885</v>
      </c>
      <c r="K8">
        <f t="shared" si="9"/>
        <v>6.8198536305750661</v>
      </c>
      <c r="L8">
        <f t="shared" si="10"/>
        <v>9.0177836502940885</v>
      </c>
      <c r="M8">
        <f t="shared" si="11"/>
        <v>6.8198536305750661</v>
      </c>
      <c r="N8">
        <f t="shared" si="12"/>
        <v>9.0177836502940885</v>
      </c>
      <c r="O8">
        <f t="shared" si="13"/>
        <v>6.8198536305750661</v>
      </c>
      <c r="P8">
        <f t="shared" si="14"/>
        <v>9.0177836502940885</v>
      </c>
      <c r="Q8">
        <f t="shared" si="15"/>
        <v>6.8198536305750661</v>
      </c>
      <c r="R8">
        <f t="shared" si="16"/>
        <v>9.0177836502940885</v>
      </c>
      <c r="S8">
        <f t="shared" si="17"/>
        <v>6.8198536305750661</v>
      </c>
      <c r="T8">
        <f t="shared" si="18"/>
        <v>9.0177836502940885</v>
      </c>
      <c r="U8">
        <f t="shared" si="19"/>
        <v>6.8198536305750661</v>
      </c>
      <c r="V8">
        <f t="shared" si="20"/>
        <v>9.0177836502940885</v>
      </c>
      <c r="W8">
        <f t="shared" si="21"/>
        <v>6.8198536305750661</v>
      </c>
      <c r="X8">
        <f t="shared" si="22"/>
        <v>9.0177836502940885</v>
      </c>
      <c r="Y8">
        <f t="shared" si="23"/>
        <v>6.8198536305750661</v>
      </c>
      <c r="Z8">
        <f t="shared" si="24"/>
        <v>9.0177836502940885</v>
      </c>
      <c r="AA8">
        <f t="shared" si="25"/>
        <v>6.8198536305750661</v>
      </c>
      <c r="AB8">
        <f t="shared" si="26"/>
        <v>9.0177836502940885</v>
      </c>
      <c r="AC8">
        <f t="shared" si="27"/>
        <v>6.8198536305750661</v>
      </c>
      <c r="AD8">
        <f t="shared" si="28"/>
        <v>9.0177836502940885</v>
      </c>
      <c r="AE8">
        <f t="shared" si="29"/>
        <v>6.8198536305750661</v>
      </c>
      <c r="AF8">
        <f t="shared" si="30"/>
        <v>9.0177836502940885</v>
      </c>
      <c r="AG8">
        <f t="shared" si="31"/>
        <v>6.8198536305750661</v>
      </c>
      <c r="AH8">
        <f t="shared" si="32"/>
        <v>9.0177836502940885</v>
      </c>
    </row>
    <row r="9" spans="1:34">
      <c r="A9" t="str">
        <f>CYF!A9</f>
        <v>Teff</v>
      </c>
      <c r="B9" t="str">
        <f>CYF!B9</f>
        <v>Harari</v>
      </c>
      <c r="C9">
        <v>7.4062089084530403</v>
      </c>
      <c r="D9">
        <v>9.1625111392166083</v>
      </c>
      <c r="E9">
        <f t="shared" si="3"/>
        <v>7.4062089084530403</v>
      </c>
      <c r="F9">
        <f t="shared" si="4"/>
        <v>9.1625111392166083</v>
      </c>
      <c r="G9">
        <f t="shared" si="5"/>
        <v>7.4062089084530403</v>
      </c>
      <c r="H9">
        <f t="shared" si="6"/>
        <v>9.1625111392166083</v>
      </c>
      <c r="I9">
        <f t="shared" si="7"/>
        <v>7.4062089084530403</v>
      </c>
      <c r="J9">
        <f t="shared" si="8"/>
        <v>9.1625111392166083</v>
      </c>
      <c r="K9">
        <f t="shared" si="9"/>
        <v>7.4062089084530403</v>
      </c>
      <c r="L9">
        <f t="shared" si="10"/>
        <v>9.1625111392166083</v>
      </c>
      <c r="M9">
        <f t="shared" si="11"/>
        <v>7.4062089084530403</v>
      </c>
      <c r="N9">
        <f t="shared" si="12"/>
        <v>9.1625111392166083</v>
      </c>
      <c r="O9">
        <f t="shared" si="13"/>
        <v>7.4062089084530403</v>
      </c>
      <c r="P9">
        <f t="shared" si="14"/>
        <v>9.1625111392166083</v>
      </c>
      <c r="Q9">
        <f t="shared" si="15"/>
        <v>7.4062089084530403</v>
      </c>
      <c r="R9">
        <f t="shared" si="16"/>
        <v>9.1625111392166083</v>
      </c>
      <c r="S9">
        <f t="shared" si="17"/>
        <v>7.4062089084530403</v>
      </c>
      <c r="T9">
        <f t="shared" si="18"/>
        <v>9.1625111392166083</v>
      </c>
      <c r="U9">
        <f t="shared" si="19"/>
        <v>7.4062089084530403</v>
      </c>
      <c r="V9">
        <f t="shared" si="20"/>
        <v>9.1625111392166083</v>
      </c>
      <c r="W9">
        <f t="shared" si="21"/>
        <v>7.4062089084530403</v>
      </c>
      <c r="X9">
        <f t="shared" si="22"/>
        <v>9.1625111392166083</v>
      </c>
      <c r="Y9">
        <f t="shared" si="23"/>
        <v>7.4062089084530403</v>
      </c>
      <c r="Z9">
        <f t="shared" si="24"/>
        <v>9.1625111392166083</v>
      </c>
      <c r="AA9">
        <f t="shared" si="25"/>
        <v>7.4062089084530403</v>
      </c>
      <c r="AB9">
        <f t="shared" si="26"/>
        <v>9.1625111392166083</v>
      </c>
      <c r="AC9">
        <f t="shared" si="27"/>
        <v>7.4062089084530403</v>
      </c>
      <c r="AD9">
        <f t="shared" si="28"/>
        <v>9.1625111392166083</v>
      </c>
      <c r="AE9">
        <f t="shared" si="29"/>
        <v>7.4062089084530403</v>
      </c>
      <c r="AF9">
        <f t="shared" si="30"/>
        <v>9.1625111392166083</v>
      </c>
      <c r="AG9">
        <f t="shared" si="31"/>
        <v>7.4062089084530403</v>
      </c>
      <c r="AH9">
        <f t="shared" si="32"/>
        <v>9.1625111392166083</v>
      </c>
    </row>
    <row r="10" spans="1:34">
      <c r="A10" t="str">
        <f>CYF!A10</f>
        <v>Teff</v>
      </c>
      <c r="B10" t="str">
        <f>CYF!B10</f>
        <v>Oromia</v>
      </c>
      <c r="C10">
        <v>6.8667333715961805</v>
      </c>
      <c r="D10">
        <v>8.5612813192613171</v>
      </c>
      <c r="E10">
        <f t="shared" si="3"/>
        <v>6.8667333715961805</v>
      </c>
      <c r="F10">
        <f t="shared" si="4"/>
        <v>8.5612813192613171</v>
      </c>
      <c r="G10">
        <f t="shared" si="5"/>
        <v>6.8667333715961805</v>
      </c>
      <c r="H10">
        <f t="shared" si="6"/>
        <v>8.5612813192613171</v>
      </c>
      <c r="I10">
        <f t="shared" si="7"/>
        <v>6.8667333715961805</v>
      </c>
      <c r="J10">
        <f t="shared" si="8"/>
        <v>8.5612813192613171</v>
      </c>
      <c r="K10">
        <f t="shared" si="9"/>
        <v>6.8667333715961805</v>
      </c>
      <c r="L10">
        <f t="shared" si="10"/>
        <v>8.5612813192613171</v>
      </c>
      <c r="M10">
        <f t="shared" si="11"/>
        <v>6.8667333715961805</v>
      </c>
      <c r="N10">
        <f t="shared" si="12"/>
        <v>8.5612813192613171</v>
      </c>
      <c r="O10">
        <f t="shared" si="13"/>
        <v>6.8667333715961805</v>
      </c>
      <c r="P10">
        <f t="shared" si="14"/>
        <v>8.5612813192613171</v>
      </c>
      <c r="Q10">
        <f t="shared" si="15"/>
        <v>6.8667333715961805</v>
      </c>
      <c r="R10">
        <f t="shared" si="16"/>
        <v>8.5612813192613171</v>
      </c>
      <c r="S10">
        <f t="shared" si="17"/>
        <v>6.8667333715961805</v>
      </c>
      <c r="T10">
        <f t="shared" si="18"/>
        <v>8.5612813192613171</v>
      </c>
      <c r="U10">
        <f t="shared" si="19"/>
        <v>6.8667333715961805</v>
      </c>
      <c r="V10">
        <f t="shared" si="20"/>
        <v>8.5612813192613171</v>
      </c>
      <c r="W10">
        <f t="shared" si="21"/>
        <v>6.8667333715961805</v>
      </c>
      <c r="X10">
        <f t="shared" si="22"/>
        <v>8.5612813192613171</v>
      </c>
      <c r="Y10">
        <f t="shared" si="23"/>
        <v>6.8667333715961805</v>
      </c>
      <c r="Z10">
        <f t="shared" si="24"/>
        <v>8.5612813192613171</v>
      </c>
      <c r="AA10">
        <f t="shared" si="25"/>
        <v>6.8667333715961805</v>
      </c>
      <c r="AB10">
        <f t="shared" si="26"/>
        <v>8.5612813192613171</v>
      </c>
      <c r="AC10">
        <f t="shared" si="27"/>
        <v>6.8667333715961805</v>
      </c>
      <c r="AD10">
        <f t="shared" si="28"/>
        <v>8.5612813192613171</v>
      </c>
      <c r="AE10">
        <f t="shared" si="29"/>
        <v>6.8667333715961805</v>
      </c>
      <c r="AF10">
        <f t="shared" si="30"/>
        <v>8.5612813192613171</v>
      </c>
      <c r="AG10">
        <f t="shared" si="31"/>
        <v>6.8667333715961805</v>
      </c>
      <c r="AH10">
        <f t="shared" si="32"/>
        <v>8.5612813192613171</v>
      </c>
    </row>
    <row r="11" spans="1:34">
      <c r="A11" t="str">
        <f>CYF!A11</f>
        <v>Teff</v>
      </c>
      <c r="B11" t="str">
        <f>CYF!B11</f>
        <v>Somali</v>
      </c>
      <c r="C11">
        <v>6.5775925771723562</v>
      </c>
      <c r="D11">
        <v>8.5647561684122984</v>
      </c>
      <c r="E11">
        <f t="shared" si="3"/>
        <v>6.5775925771723562</v>
      </c>
      <c r="F11">
        <f t="shared" si="4"/>
        <v>8.5647561684122984</v>
      </c>
      <c r="G11">
        <f t="shared" si="5"/>
        <v>6.5775925771723562</v>
      </c>
      <c r="H11">
        <f t="shared" si="6"/>
        <v>8.5647561684122984</v>
      </c>
      <c r="I11">
        <f t="shared" si="7"/>
        <v>6.5775925771723562</v>
      </c>
      <c r="J11">
        <f t="shared" si="8"/>
        <v>8.5647561684122984</v>
      </c>
      <c r="K11">
        <f t="shared" si="9"/>
        <v>6.5775925771723562</v>
      </c>
      <c r="L11">
        <f t="shared" si="10"/>
        <v>8.5647561684122984</v>
      </c>
      <c r="M11">
        <f t="shared" si="11"/>
        <v>6.5775925771723562</v>
      </c>
      <c r="N11">
        <f t="shared" si="12"/>
        <v>8.5647561684122984</v>
      </c>
      <c r="O11">
        <f t="shared" si="13"/>
        <v>6.5775925771723562</v>
      </c>
      <c r="P11">
        <f t="shared" si="14"/>
        <v>8.5647561684122984</v>
      </c>
      <c r="Q11">
        <f t="shared" si="15"/>
        <v>6.5775925771723562</v>
      </c>
      <c r="R11">
        <f t="shared" si="16"/>
        <v>8.5647561684122984</v>
      </c>
      <c r="S11">
        <f t="shared" si="17"/>
        <v>6.5775925771723562</v>
      </c>
      <c r="T11">
        <f t="shared" si="18"/>
        <v>8.5647561684122984</v>
      </c>
      <c r="U11">
        <f t="shared" si="19"/>
        <v>6.5775925771723562</v>
      </c>
      <c r="V11">
        <f t="shared" si="20"/>
        <v>8.5647561684122984</v>
      </c>
      <c r="W11">
        <f t="shared" si="21"/>
        <v>6.5775925771723562</v>
      </c>
      <c r="X11">
        <f t="shared" si="22"/>
        <v>8.5647561684122984</v>
      </c>
      <c r="Y11">
        <f t="shared" si="23"/>
        <v>6.5775925771723562</v>
      </c>
      <c r="Z11">
        <f t="shared" si="24"/>
        <v>8.5647561684122984</v>
      </c>
      <c r="AA11">
        <f t="shared" si="25"/>
        <v>6.5775925771723562</v>
      </c>
      <c r="AB11">
        <f t="shared" si="26"/>
        <v>8.5647561684122984</v>
      </c>
      <c r="AC11">
        <f t="shared" si="27"/>
        <v>6.5775925771723562</v>
      </c>
      <c r="AD11">
        <f t="shared" si="28"/>
        <v>8.5647561684122984</v>
      </c>
      <c r="AE11">
        <f t="shared" si="29"/>
        <v>6.5775925771723562</v>
      </c>
      <c r="AF11">
        <f t="shared" si="30"/>
        <v>8.5647561684122984</v>
      </c>
      <c r="AG11">
        <f t="shared" si="31"/>
        <v>6.5775925771723562</v>
      </c>
      <c r="AH11">
        <f t="shared" si="32"/>
        <v>8.5647561684122984</v>
      </c>
    </row>
    <row r="12" spans="1:34">
      <c r="A12" t="str">
        <f>CYF!A12</f>
        <v>Teff</v>
      </c>
      <c r="B12" t="str">
        <f>CYF!B12</f>
        <v>SNNPR</v>
      </c>
      <c r="C12">
        <v>7.2914222872397083</v>
      </c>
      <c r="D12">
        <v>9.0532821190593804</v>
      </c>
      <c r="E12">
        <f t="shared" si="3"/>
        <v>7.2914222872397083</v>
      </c>
      <c r="F12">
        <f t="shared" si="4"/>
        <v>9.0532821190593804</v>
      </c>
      <c r="G12">
        <f t="shared" si="5"/>
        <v>7.2914222872397083</v>
      </c>
      <c r="H12">
        <f t="shared" si="6"/>
        <v>9.0532821190593804</v>
      </c>
      <c r="I12">
        <f t="shared" si="7"/>
        <v>7.2914222872397083</v>
      </c>
      <c r="J12">
        <f t="shared" si="8"/>
        <v>9.0532821190593804</v>
      </c>
      <c r="K12">
        <f t="shared" si="9"/>
        <v>7.2914222872397083</v>
      </c>
      <c r="L12">
        <f t="shared" si="10"/>
        <v>9.0532821190593804</v>
      </c>
      <c r="M12">
        <f t="shared" si="11"/>
        <v>7.2914222872397083</v>
      </c>
      <c r="N12">
        <f t="shared" si="12"/>
        <v>9.0532821190593804</v>
      </c>
      <c r="O12">
        <f t="shared" si="13"/>
        <v>7.2914222872397083</v>
      </c>
      <c r="P12">
        <f t="shared" si="14"/>
        <v>9.0532821190593804</v>
      </c>
      <c r="Q12">
        <f t="shared" si="15"/>
        <v>7.2914222872397083</v>
      </c>
      <c r="R12">
        <f t="shared" si="16"/>
        <v>9.0532821190593804</v>
      </c>
      <c r="S12">
        <f t="shared" si="17"/>
        <v>7.2914222872397083</v>
      </c>
      <c r="T12">
        <f t="shared" si="18"/>
        <v>9.0532821190593804</v>
      </c>
      <c r="U12">
        <f t="shared" si="19"/>
        <v>7.2914222872397083</v>
      </c>
      <c r="V12">
        <f t="shared" si="20"/>
        <v>9.0532821190593804</v>
      </c>
      <c r="W12">
        <f t="shared" si="21"/>
        <v>7.2914222872397083</v>
      </c>
      <c r="X12">
        <f t="shared" si="22"/>
        <v>9.0532821190593804</v>
      </c>
      <c r="Y12">
        <f t="shared" si="23"/>
        <v>7.2914222872397083</v>
      </c>
      <c r="Z12">
        <f t="shared" si="24"/>
        <v>9.0532821190593804</v>
      </c>
      <c r="AA12">
        <f t="shared" si="25"/>
        <v>7.2914222872397083</v>
      </c>
      <c r="AB12">
        <f t="shared" si="26"/>
        <v>9.0532821190593804</v>
      </c>
      <c r="AC12">
        <f t="shared" si="27"/>
        <v>7.2914222872397083</v>
      </c>
      <c r="AD12">
        <f t="shared" si="28"/>
        <v>9.0532821190593804</v>
      </c>
      <c r="AE12">
        <f t="shared" si="29"/>
        <v>7.2914222872397083</v>
      </c>
      <c r="AF12">
        <f t="shared" si="30"/>
        <v>9.0532821190593804</v>
      </c>
      <c r="AG12">
        <f t="shared" si="31"/>
        <v>7.2914222872397083</v>
      </c>
      <c r="AH12">
        <f t="shared" si="32"/>
        <v>9.0532821190593804</v>
      </c>
    </row>
    <row r="13" spans="1:34">
      <c r="A13" t="str">
        <f>CYF!A13</f>
        <v>Teff</v>
      </c>
      <c r="B13" t="str">
        <f>CYF!B13</f>
        <v>Tigray</v>
      </c>
      <c r="C13">
        <v>6.1372006895467903</v>
      </c>
      <c r="D13">
        <v>8.7128843276261421</v>
      </c>
      <c r="E13">
        <f t="shared" si="3"/>
        <v>6.1372006895467903</v>
      </c>
      <c r="F13">
        <f t="shared" si="4"/>
        <v>8.7128843276261421</v>
      </c>
      <c r="G13">
        <f t="shared" si="5"/>
        <v>6.1372006895467903</v>
      </c>
      <c r="H13">
        <f t="shared" si="6"/>
        <v>8.7128843276261421</v>
      </c>
      <c r="I13">
        <f t="shared" si="7"/>
        <v>6.1372006895467903</v>
      </c>
      <c r="J13">
        <f t="shared" si="8"/>
        <v>8.7128843276261421</v>
      </c>
      <c r="K13">
        <f t="shared" si="9"/>
        <v>6.1372006895467903</v>
      </c>
      <c r="L13">
        <f t="shared" si="10"/>
        <v>8.7128843276261421</v>
      </c>
      <c r="M13">
        <f t="shared" si="11"/>
        <v>6.1372006895467903</v>
      </c>
      <c r="N13">
        <f t="shared" si="12"/>
        <v>8.7128843276261421</v>
      </c>
      <c r="O13">
        <f t="shared" si="13"/>
        <v>6.1372006895467903</v>
      </c>
      <c r="P13">
        <f t="shared" si="14"/>
        <v>8.7128843276261421</v>
      </c>
      <c r="Q13">
        <f t="shared" si="15"/>
        <v>6.1372006895467903</v>
      </c>
      <c r="R13">
        <f t="shared" si="16"/>
        <v>8.7128843276261421</v>
      </c>
      <c r="S13">
        <f t="shared" si="17"/>
        <v>6.1372006895467903</v>
      </c>
      <c r="T13">
        <f t="shared" si="18"/>
        <v>8.7128843276261421</v>
      </c>
      <c r="U13">
        <f t="shared" si="19"/>
        <v>6.1372006895467903</v>
      </c>
      <c r="V13">
        <f t="shared" si="20"/>
        <v>8.7128843276261421</v>
      </c>
      <c r="W13">
        <f t="shared" si="21"/>
        <v>6.1372006895467903</v>
      </c>
      <c r="X13">
        <f t="shared" si="22"/>
        <v>8.7128843276261421</v>
      </c>
      <c r="Y13">
        <f t="shared" si="23"/>
        <v>6.1372006895467903</v>
      </c>
      <c r="Z13">
        <f t="shared" si="24"/>
        <v>8.7128843276261421</v>
      </c>
      <c r="AA13">
        <f t="shared" si="25"/>
        <v>6.1372006895467903</v>
      </c>
      <c r="AB13">
        <f t="shared" si="26"/>
        <v>8.7128843276261421</v>
      </c>
      <c r="AC13">
        <f t="shared" si="27"/>
        <v>6.1372006895467903</v>
      </c>
      <c r="AD13">
        <f t="shared" si="28"/>
        <v>8.7128843276261421</v>
      </c>
      <c r="AE13">
        <f t="shared" si="29"/>
        <v>6.1372006895467903</v>
      </c>
      <c r="AF13">
        <f t="shared" si="30"/>
        <v>8.7128843276261421</v>
      </c>
      <c r="AG13">
        <f t="shared" si="31"/>
        <v>6.1372006895467903</v>
      </c>
      <c r="AH13">
        <f t="shared" si="32"/>
        <v>8.7128843276261421</v>
      </c>
    </row>
    <row r="14" spans="1:34">
      <c r="A14" t="str">
        <f>CYF!A14</f>
        <v>Sorghum</v>
      </c>
      <c r="B14" t="str">
        <f>CYF!B14</f>
        <v>AddisAbaba</v>
      </c>
      <c r="C14">
        <v>9.28093011163641</v>
      </c>
      <c r="D14">
        <v>11.683484054323557</v>
      </c>
      <c r="E14">
        <f t="shared" si="3"/>
        <v>9.28093011163641</v>
      </c>
      <c r="F14">
        <f t="shared" si="4"/>
        <v>11.683484054323557</v>
      </c>
      <c r="G14">
        <f t="shared" si="5"/>
        <v>9.28093011163641</v>
      </c>
      <c r="H14">
        <f t="shared" si="6"/>
        <v>11.683484054323557</v>
      </c>
      <c r="I14">
        <f t="shared" si="7"/>
        <v>9.28093011163641</v>
      </c>
      <c r="J14">
        <f t="shared" si="8"/>
        <v>11.683484054323557</v>
      </c>
      <c r="K14">
        <f t="shared" si="9"/>
        <v>9.28093011163641</v>
      </c>
      <c r="L14">
        <f t="shared" si="10"/>
        <v>11.683484054323557</v>
      </c>
      <c r="M14">
        <f t="shared" si="11"/>
        <v>9.28093011163641</v>
      </c>
      <c r="N14">
        <f t="shared" si="12"/>
        <v>11.683484054323557</v>
      </c>
      <c r="O14">
        <f t="shared" si="13"/>
        <v>9.28093011163641</v>
      </c>
      <c r="P14">
        <f t="shared" si="14"/>
        <v>11.683484054323557</v>
      </c>
      <c r="Q14">
        <f t="shared" si="15"/>
        <v>9.28093011163641</v>
      </c>
      <c r="R14">
        <f t="shared" si="16"/>
        <v>11.683484054323557</v>
      </c>
      <c r="S14">
        <f t="shared" si="17"/>
        <v>9.28093011163641</v>
      </c>
      <c r="T14">
        <f t="shared" si="18"/>
        <v>11.683484054323557</v>
      </c>
      <c r="U14">
        <f t="shared" si="19"/>
        <v>9.28093011163641</v>
      </c>
      <c r="V14">
        <f t="shared" si="20"/>
        <v>11.683484054323557</v>
      </c>
      <c r="W14">
        <f t="shared" si="21"/>
        <v>9.28093011163641</v>
      </c>
      <c r="X14">
        <f t="shared" si="22"/>
        <v>11.683484054323557</v>
      </c>
      <c r="Y14">
        <f t="shared" si="23"/>
        <v>9.28093011163641</v>
      </c>
      <c r="Z14">
        <f t="shared" si="24"/>
        <v>11.683484054323557</v>
      </c>
      <c r="AA14">
        <f t="shared" si="25"/>
        <v>9.28093011163641</v>
      </c>
      <c r="AB14">
        <f t="shared" si="26"/>
        <v>11.683484054323557</v>
      </c>
      <c r="AC14">
        <f t="shared" si="27"/>
        <v>9.28093011163641</v>
      </c>
      <c r="AD14">
        <f t="shared" si="28"/>
        <v>11.683484054323557</v>
      </c>
      <c r="AE14">
        <f t="shared" si="29"/>
        <v>9.28093011163641</v>
      </c>
      <c r="AF14">
        <f t="shared" si="30"/>
        <v>11.683484054323557</v>
      </c>
      <c r="AG14">
        <f t="shared" si="31"/>
        <v>9.28093011163641</v>
      </c>
      <c r="AH14">
        <f t="shared" si="32"/>
        <v>11.683484054323557</v>
      </c>
    </row>
    <row r="15" spans="1:34">
      <c r="A15" t="str">
        <f>CYF!A15</f>
        <v>Sorghum</v>
      </c>
      <c r="B15" t="str">
        <f>CYF!B15</f>
        <v>Afar</v>
      </c>
      <c r="C15">
        <v>9.1063856840124426</v>
      </c>
      <c r="D15">
        <v>11.214383466588849</v>
      </c>
      <c r="E15">
        <f t="shared" si="3"/>
        <v>9.1063856840124426</v>
      </c>
      <c r="F15">
        <f t="shared" si="4"/>
        <v>11.214383466588849</v>
      </c>
      <c r="G15">
        <f t="shared" si="5"/>
        <v>9.1063856840124426</v>
      </c>
      <c r="H15">
        <f t="shared" si="6"/>
        <v>11.214383466588849</v>
      </c>
      <c r="I15">
        <f t="shared" si="7"/>
        <v>9.1063856840124426</v>
      </c>
      <c r="J15">
        <f t="shared" si="8"/>
        <v>11.214383466588849</v>
      </c>
      <c r="K15">
        <f t="shared" si="9"/>
        <v>9.1063856840124426</v>
      </c>
      <c r="L15">
        <f t="shared" si="10"/>
        <v>11.214383466588849</v>
      </c>
      <c r="M15">
        <f t="shared" si="11"/>
        <v>9.1063856840124426</v>
      </c>
      <c r="N15">
        <f t="shared" si="12"/>
        <v>11.214383466588849</v>
      </c>
      <c r="O15">
        <f t="shared" si="13"/>
        <v>9.1063856840124426</v>
      </c>
      <c r="P15">
        <f t="shared" si="14"/>
        <v>11.214383466588849</v>
      </c>
      <c r="Q15">
        <f t="shared" si="15"/>
        <v>9.1063856840124426</v>
      </c>
      <c r="R15">
        <f t="shared" si="16"/>
        <v>11.214383466588849</v>
      </c>
      <c r="S15">
        <f t="shared" si="17"/>
        <v>9.1063856840124426</v>
      </c>
      <c r="T15">
        <f t="shared" si="18"/>
        <v>11.214383466588849</v>
      </c>
      <c r="U15">
        <f t="shared" si="19"/>
        <v>9.1063856840124426</v>
      </c>
      <c r="V15">
        <f t="shared" si="20"/>
        <v>11.214383466588849</v>
      </c>
      <c r="W15">
        <f t="shared" si="21"/>
        <v>9.1063856840124426</v>
      </c>
      <c r="X15">
        <f t="shared" si="22"/>
        <v>11.214383466588849</v>
      </c>
      <c r="Y15">
        <f t="shared" si="23"/>
        <v>9.1063856840124426</v>
      </c>
      <c r="Z15">
        <f t="shared" si="24"/>
        <v>11.214383466588849</v>
      </c>
      <c r="AA15">
        <f t="shared" si="25"/>
        <v>9.1063856840124426</v>
      </c>
      <c r="AB15">
        <f t="shared" si="26"/>
        <v>11.214383466588849</v>
      </c>
      <c r="AC15">
        <f t="shared" si="27"/>
        <v>9.1063856840124426</v>
      </c>
      <c r="AD15">
        <f t="shared" si="28"/>
        <v>11.214383466588849</v>
      </c>
      <c r="AE15">
        <f t="shared" si="29"/>
        <v>9.1063856840124426</v>
      </c>
      <c r="AF15">
        <f t="shared" si="30"/>
        <v>11.214383466588849</v>
      </c>
      <c r="AG15">
        <f t="shared" si="31"/>
        <v>9.1063856840124426</v>
      </c>
      <c r="AH15">
        <f t="shared" si="32"/>
        <v>11.214383466588849</v>
      </c>
    </row>
    <row r="16" spans="1:34">
      <c r="A16" t="str">
        <f>CYF!A16</f>
        <v>Sorghum</v>
      </c>
      <c r="B16" t="str">
        <f>CYF!B16</f>
        <v>Amhara</v>
      </c>
      <c r="C16">
        <v>10.984022131135202</v>
      </c>
      <c r="D16">
        <v>11.001131184448109</v>
      </c>
      <c r="E16">
        <f t="shared" si="3"/>
        <v>10.984022131135202</v>
      </c>
      <c r="F16">
        <f t="shared" si="4"/>
        <v>11.001131184448109</v>
      </c>
      <c r="G16">
        <f t="shared" si="5"/>
        <v>10.984022131135202</v>
      </c>
      <c r="H16">
        <f t="shared" si="6"/>
        <v>11.001131184448109</v>
      </c>
      <c r="I16">
        <f t="shared" si="7"/>
        <v>10.984022131135202</v>
      </c>
      <c r="J16">
        <f t="shared" si="8"/>
        <v>11.001131184448109</v>
      </c>
      <c r="K16">
        <f t="shared" si="9"/>
        <v>10.984022131135202</v>
      </c>
      <c r="L16">
        <f t="shared" si="10"/>
        <v>11.001131184448109</v>
      </c>
      <c r="M16">
        <f t="shared" si="11"/>
        <v>10.984022131135202</v>
      </c>
      <c r="N16">
        <f t="shared" si="12"/>
        <v>11.001131184448109</v>
      </c>
      <c r="O16">
        <f t="shared" si="13"/>
        <v>10.984022131135202</v>
      </c>
      <c r="P16">
        <f t="shared" si="14"/>
        <v>11.001131184448109</v>
      </c>
      <c r="Q16">
        <f t="shared" si="15"/>
        <v>10.984022131135202</v>
      </c>
      <c r="R16">
        <f t="shared" si="16"/>
        <v>11.001131184448109</v>
      </c>
      <c r="S16">
        <f t="shared" si="17"/>
        <v>10.984022131135202</v>
      </c>
      <c r="T16">
        <f t="shared" si="18"/>
        <v>11.001131184448109</v>
      </c>
      <c r="U16">
        <f t="shared" si="19"/>
        <v>10.984022131135202</v>
      </c>
      <c r="V16">
        <f t="shared" si="20"/>
        <v>11.001131184448109</v>
      </c>
      <c r="W16">
        <f t="shared" si="21"/>
        <v>10.984022131135202</v>
      </c>
      <c r="X16">
        <f t="shared" si="22"/>
        <v>11.001131184448109</v>
      </c>
      <c r="Y16">
        <f t="shared" si="23"/>
        <v>10.984022131135202</v>
      </c>
      <c r="Z16">
        <f t="shared" si="24"/>
        <v>11.001131184448109</v>
      </c>
      <c r="AA16">
        <f t="shared" si="25"/>
        <v>10.984022131135202</v>
      </c>
      <c r="AB16">
        <f t="shared" si="26"/>
        <v>11.001131184448109</v>
      </c>
      <c r="AC16">
        <f t="shared" si="27"/>
        <v>10.984022131135202</v>
      </c>
      <c r="AD16">
        <f t="shared" si="28"/>
        <v>11.001131184448109</v>
      </c>
      <c r="AE16">
        <f t="shared" si="29"/>
        <v>10.984022131135202</v>
      </c>
      <c r="AF16">
        <f t="shared" si="30"/>
        <v>11.001131184448109</v>
      </c>
      <c r="AG16">
        <f t="shared" si="31"/>
        <v>10.984022131135202</v>
      </c>
      <c r="AH16">
        <f t="shared" si="32"/>
        <v>11.001131184448109</v>
      </c>
    </row>
    <row r="17" spans="1:34">
      <c r="A17" t="str">
        <f>CYF!A17</f>
        <v>Sorghum</v>
      </c>
      <c r="B17" t="str">
        <f>CYF!B17</f>
        <v>Gumuz</v>
      </c>
      <c r="C17">
        <v>10.381057669971467</v>
      </c>
      <c r="D17">
        <v>11.036798075850534</v>
      </c>
      <c r="E17">
        <f t="shared" si="3"/>
        <v>10.381057669971467</v>
      </c>
      <c r="F17">
        <f t="shared" si="4"/>
        <v>11.036798075850534</v>
      </c>
      <c r="G17">
        <f t="shared" si="5"/>
        <v>10.381057669971467</v>
      </c>
      <c r="H17">
        <f t="shared" si="6"/>
        <v>11.036798075850534</v>
      </c>
      <c r="I17">
        <f t="shared" si="7"/>
        <v>10.381057669971467</v>
      </c>
      <c r="J17">
        <f t="shared" si="8"/>
        <v>11.036798075850534</v>
      </c>
      <c r="K17">
        <f t="shared" si="9"/>
        <v>10.381057669971467</v>
      </c>
      <c r="L17">
        <f t="shared" si="10"/>
        <v>11.036798075850534</v>
      </c>
      <c r="M17">
        <f t="shared" si="11"/>
        <v>10.381057669971467</v>
      </c>
      <c r="N17">
        <f t="shared" si="12"/>
        <v>11.036798075850534</v>
      </c>
      <c r="O17">
        <f t="shared" si="13"/>
        <v>10.381057669971467</v>
      </c>
      <c r="P17">
        <f t="shared" si="14"/>
        <v>11.036798075850534</v>
      </c>
      <c r="Q17">
        <f t="shared" si="15"/>
        <v>10.381057669971467</v>
      </c>
      <c r="R17">
        <f t="shared" si="16"/>
        <v>11.036798075850534</v>
      </c>
      <c r="S17">
        <f t="shared" si="17"/>
        <v>10.381057669971467</v>
      </c>
      <c r="T17">
        <f t="shared" si="18"/>
        <v>11.036798075850534</v>
      </c>
      <c r="U17">
        <f t="shared" si="19"/>
        <v>10.381057669971467</v>
      </c>
      <c r="V17">
        <f t="shared" si="20"/>
        <v>11.036798075850534</v>
      </c>
      <c r="W17">
        <f t="shared" si="21"/>
        <v>10.381057669971467</v>
      </c>
      <c r="X17">
        <f t="shared" si="22"/>
        <v>11.036798075850534</v>
      </c>
      <c r="Y17">
        <f t="shared" si="23"/>
        <v>10.381057669971467</v>
      </c>
      <c r="Z17">
        <f t="shared" si="24"/>
        <v>11.036798075850534</v>
      </c>
      <c r="AA17">
        <f t="shared" si="25"/>
        <v>10.381057669971467</v>
      </c>
      <c r="AB17">
        <f t="shared" si="26"/>
        <v>11.036798075850534</v>
      </c>
      <c r="AC17">
        <f t="shared" si="27"/>
        <v>10.381057669971467</v>
      </c>
      <c r="AD17">
        <f t="shared" si="28"/>
        <v>11.036798075850534</v>
      </c>
      <c r="AE17">
        <f t="shared" si="29"/>
        <v>10.381057669971467</v>
      </c>
      <c r="AF17">
        <f t="shared" si="30"/>
        <v>11.036798075850534</v>
      </c>
      <c r="AG17">
        <f t="shared" si="31"/>
        <v>10.381057669971467</v>
      </c>
      <c r="AH17">
        <f t="shared" si="32"/>
        <v>11.036798075850534</v>
      </c>
    </row>
    <row r="18" spans="1:34">
      <c r="A18" t="str">
        <f>CYF!A18</f>
        <v>Sorghum</v>
      </c>
      <c r="B18" t="str">
        <f>CYF!B18</f>
        <v>DireDawa</v>
      </c>
      <c r="C18">
        <v>9.0134255124870855</v>
      </c>
      <c r="D18">
        <v>11.935879139236727</v>
      </c>
      <c r="E18">
        <f t="shared" si="3"/>
        <v>9.0134255124870855</v>
      </c>
      <c r="F18">
        <f t="shared" si="4"/>
        <v>11.935879139236727</v>
      </c>
      <c r="G18">
        <f t="shared" si="5"/>
        <v>9.0134255124870855</v>
      </c>
      <c r="H18">
        <f t="shared" si="6"/>
        <v>11.935879139236727</v>
      </c>
      <c r="I18">
        <f t="shared" si="7"/>
        <v>9.0134255124870855</v>
      </c>
      <c r="J18">
        <f t="shared" si="8"/>
        <v>11.935879139236727</v>
      </c>
      <c r="K18">
        <f t="shared" si="9"/>
        <v>9.0134255124870855</v>
      </c>
      <c r="L18">
        <f t="shared" si="10"/>
        <v>11.935879139236727</v>
      </c>
      <c r="M18">
        <f t="shared" si="11"/>
        <v>9.0134255124870855</v>
      </c>
      <c r="N18">
        <f t="shared" si="12"/>
        <v>11.935879139236727</v>
      </c>
      <c r="O18">
        <f t="shared" si="13"/>
        <v>9.0134255124870855</v>
      </c>
      <c r="P18">
        <f t="shared" si="14"/>
        <v>11.935879139236727</v>
      </c>
      <c r="Q18">
        <f t="shared" si="15"/>
        <v>9.0134255124870855</v>
      </c>
      <c r="R18">
        <f t="shared" si="16"/>
        <v>11.935879139236727</v>
      </c>
      <c r="S18">
        <f t="shared" si="17"/>
        <v>9.0134255124870855</v>
      </c>
      <c r="T18">
        <f t="shared" si="18"/>
        <v>11.935879139236727</v>
      </c>
      <c r="U18">
        <f t="shared" si="19"/>
        <v>9.0134255124870855</v>
      </c>
      <c r="V18">
        <f t="shared" si="20"/>
        <v>11.935879139236727</v>
      </c>
      <c r="W18">
        <f t="shared" si="21"/>
        <v>9.0134255124870855</v>
      </c>
      <c r="X18">
        <f t="shared" si="22"/>
        <v>11.935879139236727</v>
      </c>
      <c r="Y18">
        <f t="shared" si="23"/>
        <v>9.0134255124870855</v>
      </c>
      <c r="Z18">
        <f t="shared" si="24"/>
        <v>11.935879139236727</v>
      </c>
      <c r="AA18">
        <f t="shared" si="25"/>
        <v>9.0134255124870855</v>
      </c>
      <c r="AB18">
        <f t="shared" si="26"/>
        <v>11.935879139236727</v>
      </c>
      <c r="AC18">
        <f t="shared" si="27"/>
        <v>9.0134255124870855</v>
      </c>
      <c r="AD18">
        <f t="shared" si="28"/>
        <v>11.935879139236727</v>
      </c>
      <c r="AE18">
        <f t="shared" si="29"/>
        <v>9.0134255124870855</v>
      </c>
      <c r="AF18">
        <f t="shared" si="30"/>
        <v>11.935879139236727</v>
      </c>
      <c r="AG18">
        <f t="shared" si="31"/>
        <v>9.0134255124870855</v>
      </c>
      <c r="AH18">
        <f t="shared" si="32"/>
        <v>11.935879139236727</v>
      </c>
    </row>
    <row r="19" spans="1:34">
      <c r="A19" t="str">
        <f>CYF!A19</f>
        <v>Sorghum</v>
      </c>
      <c r="B19" t="str">
        <f>CYF!B19</f>
        <v>Gambela</v>
      </c>
      <c r="C19">
        <v>11.30736477696828</v>
      </c>
      <c r="D19">
        <v>12.178415554423651</v>
      </c>
      <c r="E19">
        <f t="shared" si="3"/>
        <v>11.30736477696828</v>
      </c>
      <c r="F19">
        <f t="shared" si="4"/>
        <v>12.178415554423651</v>
      </c>
      <c r="G19">
        <f t="shared" si="5"/>
        <v>11.30736477696828</v>
      </c>
      <c r="H19">
        <f t="shared" si="6"/>
        <v>12.178415554423651</v>
      </c>
      <c r="I19">
        <f t="shared" si="7"/>
        <v>11.30736477696828</v>
      </c>
      <c r="J19">
        <f t="shared" si="8"/>
        <v>12.178415554423651</v>
      </c>
      <c r="K19">
        <f t="shared" si="9"/>
        <v>11.30736477696828</v>
      </c>
      <c r="L19">
        <f t="shared" si="10"/>
        <v>12.178415554423651</v>
      </c>
      <c r="M19">
        <f t="shared" si="11"/>
        <v>11.30736477696828</v>
      </c>
      <c r="N19">
        <f t="shared" si="12"/>
        <v>12.178415554423651</v>
      </c>
      <c r="O19">
        <f t="shared" si="13"/>
        <v>11.30736477696828</v>
      </c>
      <c r="P19">
        <f t="shared" si="14"/>
        <v>12.178415554423651</v>
      </c>
      <c r="Q19">
        <f t="shared" si="15"/>
        <v>11.30736477696828</v>
      </c>
      <c r="R19">
        <f t="shared" si="16"/>
        <v>12.178415554423651</v>
      </c>
      <c r="S19">
        <f t="shared" si="17"/>
        <v>11.30736477696828</v>
      </c>
      <c r="T19">
        <f t="shared" si="18"/>
        <v>12.178415554423651</v>
      </c>
      <c r="U19">
        <f t="shared" si="19"/>
        <v>11.30736477696828</v>
      </c>
      <c r="V19">
        <f t="shared" si="20"/>
        <v>12.178415554423651</v>
      </c>
      <c r="W19">
        <f t="shared" si="21"/>
        <v>11.30736477696828</v>
      </c>
      <c r="X19">
        <f t="shared" si="22"/>
        <v>12.178415554423651</v>
      </c>
      <c r="Y19">
        <f t="shared" si="23"/>
        <v>11.30736477696828</v>
      </c>
      <c r="Z19">
        <f t="shared" si="24"/>
        <v>12.178415554423651</v>
      </c>
      <c r="AA19">
        <f t="shared" si="25"/>
        <v>11.30736477696828</v>
      </c>
      <c r="AB19">
        <f t="shared" si="26"/>
        <v>12.178415554423651</v>
      </c>
      <c r="AC19">
        <f t="shared" si="27"/>
        <v>11.30736477696828</v>
      </c>
      <c r="AD19">
        <f t="shared" si="28"/>
        <v>12.178415554423651</v>
      </c>
      <c r="AE19">
        <f t="shared" si="29"/>
        <v>11.30736477696828</v>
      </c>
      <c r="AF19">
        <f t="shared" si="30"/>
        <v>12.178415554423651</v>
      </c>
      <c r="AG19">
        <f t="shared" si="31"/>
        <v>11.30736477696828</v>
      </c>
      <c r="AH19">
        <f t="shared" si="32"/>
        <v>12.178415554423651</v>
      </c>
    </row>
    <row r="20" spans="1:34">
      <c r="A20" t="str">
        <f>CYF!A20</f>
        <v>Sorghum</v>
      </c>
      <c r="B20" t="str">
        <f>CYF!B20</f>
        <v>Harari</v>
      </c>
      <c r="C20">
        <v>11.100573292522057</v>
      </c>
      <c r="D20">
        <v>12.269182792477748</v>
      </c>
      <c r="E20">
        <f t="shared" si="3"/>
        <v>11.100573292522057</v>
      </c>
      <c r="F20">
        <f t="shared" si="4"/>
        <v>12.269182792477748</v>
      </c>
      <c r="G20">
        <f t="shared" si="5"/>
        <v>11.100573292522057</v>
      </c>
      <c r="H20">
        <f t="shared" si="6"/>
        <v>12.269182792477748</v>
      </c>
      <c r="I20">
        <f t="shared" si="7"/>
        <v>11.100573292522057</v>
      </c>
      <c r="J20">
        <f t="shared" si="8"/>
        <v>12.269182792477748</v>
      </c>
      <c r="K20">
        <f t="shared" si="9"/>
        <v>11.100573292522057</v>
      </c>
      <c r="L20">
        <f t="shared" si="10"/>
        <v>12.269182792477748</v>
      </c>
      <c r="M20">
        <f t="shared" si="11"/>
        <v>11.100573292522057</v>
      </c>
      <c r="N20">
        <f t="shared" si="12"/>
        <v>12.269182792477748</v>
      </c>
      <c r="O20">
        <f t="shared" si="13"/>
        <v>11.100573292522057</v>
      </c>
      <c r="P20">
        <f t="shared" si="14"/>
        <v>12.269182792477748</v>
      </c>
      <c r="Q20">
        <f t="shared" si="15"/>
        <v>11.100573292522057</v>
      </c>
      <c r="R20">
        <f t="shared" si="16"/>
        <v>12.269182792477748</v>
      </c>
      <c r="S20">
        <f t="shared" si="17"/>
        <v>11.100573292522057</v>
      </c>
      <c r="T20">
        <f t="shared" si="18"/>
        <v>12.269182792477748</v>
      </c>
      <c r="U20">
        <f t="shared" si="19"/>
        <v>11.100573292522057</v>
      </c>
      <c r="V20">
        <f t="shared" si="20"/>
        <v>12.269182792477748</v>
      </c>
      <c r="W20">
        <f t="shared" si="21"/>
        <v>11.100573292522057</v>
      </c>
      <c r="X20">
        <f t="shared" si="22"/>
        <v>12.269182792477748</v>
      </c>
      <c r="Y20">
        <f t="shared" si="23"/>
        <v>11.100573292522057</v>
      </c>
      <c r="Z20">
        <f t="shared" si="24"/>
        <v>12.269182792477748</v>
      </c>
      <c r="AA20">
        <f t="shared" si="25"/>
        <v>11.100573292522057</v>
      </c>
      <c r="AB20">
        <f t="shared" si="26"/>
        <v>12.269182792477748</v>
      </c>
      <c r="AC20">
        <f t="shared" si="27"/>
        <v>11.100573292522057</v>
      </c>
      <c r="AD20">
        <f t="shared" si="28"/>
        <v>12.269182792477748</v>
      </c>
      <c r="AE20">
        <f t="shared" si="29"/>
        <v>11.100573292522057</v>
      </c>
      <c r="AF20">
        <f t="shared" si="30"/>
        <v>12.269182792477748</v>
      </c>
      <c r="AG20">
        <f t="shared" si="31"/>
        <v>11.100573292522057</v>
      </c>
      <c r="AH20">
        <f t="shared" si="32"/>
        <v>12.269182792477748</v>
      </c>
    </row>
    <row r="21" spans="1:34">
      <c r="A21" t="str">
        <f>CYF!A21</f>
        <v>Sorghum</v>
      </c>
      <c r="B21" t="str">
        <f>CYF!B21</f>
        <v>Oromia</v>
      </c>
      <c r="C21">
        <v>9.2352354431304366</v>
      </c>
      <c r="D21">
        <v>11.534797533027227</v>
      </c>
      <c r="E21">
        <f t="shared" si="3"/>
        <v>9.2352354431304366</v>
      </c>
      <c r="F21">
        <f t="shared" si="4"/>
        <v>11.534797533027227</v>
      </c>
      <c r="G21">
        <f t="shared" si="5"/>
        <v>9.2352354431304366</v>
      </c>
      <c r="H21">
        <f t="shared" si="6"/>
        <v>11.534797533027227</v>
      </c>
      <c r="I21">
        <f t="shared" si="7"/>
        <v>9.2352354431304366</v>
      </c>
      <c r="J21">
        <f t="shared" si="8"/>
        <v>11.534797533027227</v>
      </c>
      <c r="K21">
        <f t="shared" si="9"/>
        <v>9.2352354431304366</v>
      </c>
      <c r="L21">
        <f t="shared" si="10"/>
        <v>11.534797533027227</v>
      </c>
      <c r="M21">
        <f t="shared" si="11"/>
        <v>9.2352354431304366</v>
      </c>
      <c r="N21">
        <f t="shared" si="12"/>
        <v>11.534797533027227</v>
      </c>
      <c r="O21">
        <f t="shared" si="13"/>
        <v>9.2352354431304366</v>
      </c>
      <c r="P21">
        <f t="shared" si="14"/>
        <v>11.534797533027227</v>
      </c>
      <c r="Q21">
        <f t="shared" si="15"/>
        <v>9.2352354431304366</v>
      </c>
      <c r="R21">
        <f t="shared" si="16"/>
        <v>11.534797533027227</v>
      </c>
      <c r="S21">
        <f t="shared" si="17"/>
        <v>9.2352354431304366</v>
      </c>
      <c r="T21">
        <f t="shared" si="18"/>
        <v>11.534797533027227</v>
      </c>
      <c r="U21">
        <f t="shared" si="19"/>
        <v>9.2352354431304366</v>
      </c>
      <c r="V21">
        <f t="shared" si="20"/>
        <v>11.534797533027227</v>
      </c>
      <c r="W21">
        <f t="shared" si="21"/>
        <v>9.2352354431304366</v>
      </c>
      <c r="X21">
        <f t="shared" si="22"/>
        <v>11.534797533027227</v>
      </c>
      <c r="Y21">
        <f t="shared" si="23"/>
        <v>9.2352354431304366</v>
      </c>
      <c r="Z21">
        <f t="shared" si="24"/>
        <v>11.534797533027227</v>
      </c>
      <c r="AA21">
        <f t="shared" si="25"/>
        <v>9.2352354431304366</v>
      </c>
      <c r="AB21">
        <f t="shared" si="26"/>
        <v>11.534797533027227</v>
      </c>
      <c r="AC21">
        <f t="shared" si="27"/>
        <v>9.2352354431304366</v>
      </c>
      <c r="AD21">
        <f t="shared" si="28"/>
        <v>11.534797533027227</v>
      </c>
      <c r="AE21">
        <f t="shared" si="29"/>
        <v>9.2352354431304366</v>
      </c>
      <c r="AF21">
        <f t="shared" si="30"/>
        <v>11.534797533027227</v>
      </c>
      <c r="AG21">
        <f t="shared" si="31"/>
        <v>9.2352354431304366</v>
      </c>
      <c r="AH21">
        <f t="shared" si="32"/>
        <v>11.534797533027227</v>
      </c>
    </row>
    <row r="22" spans="1:34">
      <c r="A22" t="str">
        <f>CYF!A22</f>
        <v>Sorghum</v>
      </c>
      <c r="B22" t="str">
        <f>CYF!B22</f>
        <v>Somali</v>
      </c>
      <c r="C22">
        <v>10.629981409646843</v>
      </c>
      <c r="D22">
        <v>11.385301540803951</v>
      </c>
      <c r="E22">
        <f t="shared" si="3"/>
        <v>10.629981409646843</v>
      </c>
      <c r="F22">
        <f t="shared" si="4"/>
        <v>11.385301540803951</v>
      </c>
      <c r="G22">
        <f t="shared" si="5"/>
        <v>10.629981409646843</v>
      </c>
      <c r="H22">
        <f t="shared" si="6"/>
        <v>11.385301540803951</v>
      </c>
      <c r="I22">
        <f t="shared" si="7"/>
        <v>10.629981409646843</v>
      </c>
      <c r="J22">
        <f t="shared" si="8"/>
        <v>11.385301540803951</v>
      </c>
      <c r="K22">
        <f t="shared" si="9"/>
        <v>10.629981409646843</v>
      </c>
      <c r="L22">
        <f t="shared" si="10"/>
        <v>11.385301540803951</v>
      </c>
      <c r="M22">
        <f t="shared" si="11"/>
        <v>10.629981409646843</v>
      </c>
      <c r="N22">
        <f t="shared" si="12"/>
        <v>11.385301540803951</v>
      </c>
      <c r="O22">
        <f t="shared" si="13"/>
        <v>10.629981409646843</v>
      </c>
      <c r="P22">
        <f t="shared" si="14"/>
        <v>11.385301540803951</v>
      </c>
      <c r="Q22">
        <f t="shared" si="15"/>
        <v>10.629981409646843</v>
      </c>
      <c r="R22">
        <f t="shared" si="16"/>
        <v>11.385301540803951</v>
      </c>
      <c r="S22">
        <f t="shared" si="17"/>
        <v>10.629981409646843</v>
      </c>
      <c r="T22">
        <f t="shared" si="18"/>
        <v>11.385301540803951</v>
      </c>
      <c r="U22">
        <f t="shared" si="19"/>
        <v>10.629981409646843</v>
      </c>
      <c r="V22">
        <f t="shared" si="20"/>
        <v>11.385301540803951</v>
      </c>
      <c r="W22">
        <f t="shared" si="21"/>
        <v>10.629981409646843</v>
      </c>
      <c r="X22">
        <f t="shared" si="22"/>
        <v>11.385301540803951</v>
      </c>
      <c r="Y22">
        <f t="shared" si="23"/>
        <v>10.629981409646843</v>
      </c>
      <c r="Z22">
        <f t="shared" si="24"/>
        <v>11.385301540803951</v>
      </c>
      <c r="AA22">
        <f t="shared" si="25"/>
        <v>10.629981409646843</v>
      </c>
      <c r="AB22">
        <f t="shared" si="26"/>
        <v>11.385301540803951</v>
      </c>
      <c r="AC22">
        <f t="shared" si="27"/>
        <v>10.629981409646843</v>
      </c>
      <c r="AD22">
        <f t="shared" si="28"/>
        <v>11.385301540803951</v>
      </c>
      <c r="AE22">
        <f t="shared" si="29"/>
        <v>10.629981409646843</v>
      </c>
      <c r="AF22">
        <f t="shared" si="30"/>
        <v>11.385301540803951</v>
      </c>
      <c r="AG22">
        <f t="shared" si="31"/>
        <v>10.629981409646843</v>
      </c>
      <c r="AH22">
        <f t="shared" si="32"/>
        <v>11.385301540803951</v>
      </c>
    </row>
    <row r="23" spans="1:34">
      <c r="A23" t="str">
        <f>CYF!A23</f>
        <v>Sorghum</v>
      </c>
      <c r="B23" t="str">
        <f>CYF!B23</f>
        <v>SNNPR</v>
      </c>
      <c r="C23">
        <v>10.973747216253322</v>
      </c>
      <c r="D23">
        <v>11.321924786299306</v>
      </c>
      <c r="E23">
        <f t="shared" si="3"/>
        <v>10.973747216253322</v>
      </c>
      <c r="F23">
        <f t="shared" si="4"/>
        <v>11.321924786299306</v>
      </c>
      <c r="G23">
        <f t="shared" si="5"/>
        <v>10.973747216253322</v>
      </c>
      <c r="H23">
        <f t="shared" si="6"/>
        <v>11.321924786299306</v>
      </c>
      <c r="I23">
        <f t="shared" si="7"/>
        <v>10.973747216253322</v>
      </c>
      <c r="J23">
        <f t="shared" si="8"/>
        <v>11.321924786299306</v>
      </c>
      <c r="K23">
        <f t="shared" si="9"/>
        <v>10.973747216253322</v>
      </c>
      <c r="L23">
        <f t="shared" si="10"/>
        <v>11.321924786299306</v>
      </c>
      <c r="M23">
        <f t="shared" si="11"/>
        <v>10.973747216253322</v>
      </c>
      <c r="N23">
        <f t="shared" si="12"/>
        <v>11.321924786299306</v>
      </c>
      <c r="O23">
        <f t="shared" si="13"/>
        <v>10.973747216253322</v>
      </c>
      <c r="P23">
        <f t="shared" si="14"/>
        <v>11.321924786299306</v>
      </c>
      <c r="Q23">
        <f t="shared" si="15"/>
        <v>10.973747216253322</v>
      </c>
      <c r="R23">
        <f t="shared" si="16"/>
        <v>11.321924786299306</v>
      </c>
      <c r="S23">
        <f t="shared" si="17"/>
        <v>10.973747216253322</v>
      </c>
      <c r="T23">
        <f t="shared" si="18"/>
        <v>11.321924786299306</v>
      </c>
      <c r="U23">
        <f t="shared" si="19"/>
        <v>10.973747216253322</v>
      </c>
      <c r="V23">
        <f t="shared" si="20"/>
        <v>11.321924786299306</v>
      </c>
      <c r="W23">
        <f t="shared" si="21"/>
        <v>10.973747216253322</v>
      </c>
      <c r="X23">
        <f t="shared" si="22"/>
        <v>11.321924786299306</v>
      </c>
      <c r="Y23">
        <f t="shared" si="23"/>
        <v>10.973747216253322</v>
      </c>
      <c r="Z23">
        <f t="shared" si="24"/>
        <v>11.321924786299306</v>
      </c>
      <c r="AA23">
        <f t="shared" si="25"/>
        <v>10.973747216253322</v>
      </c>
      <c r="AB23">
        <f t="shared" si="26"/>
        <v>11.321924786299306</v>
      </c>
      <c r="AC23">
        <f t="shared" si="27"/>
        <v>10.973747216253322</v>
      </c>
      <c r="AD23">
        <f t="shared" si="28"/>
        <v>11.321924786299306</v>
      </c>
      <c r="AE23">
        <f t="shared" si="29"/>
        <v>10.973747216253322</v>
      </c>
      <c r="AF23">
        <f t="shared" si="30"/>
        <v>11.321924786299306</v>
      </c>
      <c r="AG23">
        <f t="shared" si="31"/>
        <v>10.973747216253322</v>
      </c>
      <c r="AH23">
        <f t="shared" si="32"/>
        <v>11.321924786299306</v>
      </c>
    </row>
    <row r="24" spans="1:34">
      <c r="A24" t="str">
        <f>CYF!A24</f>
        <v>Sorghum</v>
      </c>
      <c r="B24" t="str">
        <f>CYF!B24</f>
        <v>Tigray</v>
      </c>
      <c r="C24">
        <v>10.204965276779255</v>
      </c>
      <c r="D24">
        <v>11.679533070821975</v>
      </c>
      <c r="E24">
        <f t="shared" si="3"/>
        <v>10.204965276779255</v>
      </c>
      <c r="F24">
        <f t="shared" si="4"/>
        <v>11.679533070821975</v>
      </c>
      <c r="G24">
        <f t="shared" si="5"/>
        <v>10.204965276779255</v>
      </c>
      <c r="H24">
        <f t="shared" si="6"/>
        <v>11.679533070821975</v>
      </c>
      <c r="I24">
        <f t="shared" si="7"/>
        <v>10.204965276779255</v>
      </c>
      <c r="J24">
        <f t="shared" si="8"/>
        <v>11.679533070821975</v>
      </c>
      <c r="K24">
        <f t="shared" si="9"/>
        <v>10.204965276779255</v>
      </c>
      <c r="L24">
        <f t="shared" si="10"/>
        <v>11.679533070821975</v>
      </c>
      <c r="M24">
        <f t="shared" si="11"/>
        <v>10.204965276779255</v>
      </c>
      <c r="N24">
        <f t="shared" si="12"/>
        <v>11.679533070821975</v>
      </c>
      <c r="O24">
        <f t="shared" si="13"/>
        <v>10.204965276779255</v>
      </c>
      <c r="P24">
        <f t="shared" si="14"/>
        <v>11.679533070821975</v>
      </c>
      <c r="Q24">
        <f t="shared" si="15"/>
        <v>10.204965276779255</v>
      </c>
      <c r="R24">
        <f t="shared" si="16"/>
        <v>11.679533070821975</v>
      </c>
      <c r="S24">
        <f t="shared" si="17"/>
        <v>10.204965276779255</v>
      </c>
      <c r="T24">
        <f t="shared" si="18"/>
        <v>11.679533070821975</v>
      </c>
      <c r="U24">
        <f t="shared" si="19"/>
        <v>10.204965276779255</v>
      </c>
      <c r="V24">
        <f t="shared" si="20"/>
        <v>11.679533070821975</v>
      </c>
      <c r="W24">
        <f t="shared" si="21"/>
        <v>10.204965276779255</v>
      </c>
      <c r="X24">
        <f t="shared" si="22"/>
        <v>11.679533070821975</v>
      </c>
      <c r="Y24">
        <f t="shared" si="23"/>
        <v>10.204965276779255</v>
      </c>
      <c r="Z24">
        <f t="shared" si="24"/>
        <v>11.679533070821975</v>
      </c>
      <c r="AA24">
        <f t="shared" si="25"/>
        <v>10.204965276779255</v>
      </c>
      <c r="AB24">
        <f t="shared" si="26"/>
        <v>11.679533070821975</v>
      </c>
      <c r="AC24">
        <f t="shared" si="27"/>
        <v>10.204965276779255</v>
      </c>
      <c r="AD24">
        <f t="shared" si="28"/>
        <v>11.679533070821975</v>
      </c>
      <c r="AE24">
        <f t="shared" si="29"/>
        <v>10.204965276779255</v>
      </c>
      <c r="AF24">
        <f t="shared" si="30"/>
        <v>11.679533070821975</v>
      </c>
      <c r="AG24">
        <f t="shared" si="31"/>
        <v>10.204965276779255</v>
      </c>
      <c r="AH24">
        <f t="shared" si="32"/>
        <v>11.679533070821975</v>
      </c>
    </row>
    <row r="25" spans="1:34">
      <c r="A25" t="str">
        <f>CYF!A25</f>
        <v>Maize</v>
      </c>
      <c r="B25" t="str">
        <f>CYF!B25</f>
        <v>AddisAbaba</v>
      </c>
      <c r="C25">
        <v>9.4823676394654335</v>
      </c>
      <c r="D25">
        <v>11.729205280251861</v>
      </c>
      <c r="E25">
        <f t="shared" si="3"/>
        <v>9.4823676394654335</v>
      </c>
      <c r="F25">
        <f t="shared" si="4"/>
        <v>11.729205280251861</v>
      </c>
      <c r="G25">
        <f t="shared" si="5"/>
        <v>9.4823676394654335</v>
      </c>
      <c r="H25">
        <f t="shared" si="6"/>
        <v>11.729205280251861</v>
      </c>
      <c r="I25">
        <f t="shared" si="7"/>
        <v>9.4823676394654335</v>
      </c>
      <c r="J25">
        <f t="shared" si="8"/>
        <v>11.729205280251861</v>
      </c>
      <c r="K25">
        <f t="shared" si="9"/>
        <v>9.4823676394654335</v>
      </c>
      <c r="L25">
        <f t="shared" si="10"/>
        <v>11.729205280251861</v>
      </c>
      <c r="M25">
        <f t="shared" si="11"/>
        <v>9.4823676394654335</v>
      </c>
      <c r="N25">
        <f t="shared" si="12"/>
        <v>11.729205280251861</v>
      </c>
      <c r="O25">
        <f t="shared" si="13"/>
        <v>9.4823676394654335</v>
      </c>
      <c r="P25">
        <f t="shared" si="14"/>
        <v>11.729205280251861</v>
      </c>
      <c r="Q25">
        <f t="shared" si="15"/>
        <v>9.4823676394654335</v>
      </c>
      <c r="R25">
        <f t="shared" si="16"/>
        <v>11.729205280251861</v>
      </c>
      <c r="S25">
        <f t="shared" si="17"/>
        <v>9.4823676394654335</v>
      </c>
      <c r="T25">
        <f t="shared" si="18"/>
        <v>11.729205280251861</v>
      </c>
      <c r="U25">
        <f t="shared" si="19"/>
        <v>9.4823676394654335</v>
      </c>
      <c r="V25">
        <f t="shared" si="20"/>
        <v>11.729205280251861</v>
      </c>
      <c r="W25">
        <f t="shared" si="21"/>
        <v>9.4823676394654335</v>
      </c>
      <c r="X25">
        <f t="shared" si="22"/>
        <v>11.729205280251861</v>
      </c>
      <c r="Y25">
        <f t="shared" si="23"/>
        <v>9.4823676394654335</v>
      </c>
      <c r="Z25">
        <f t="shared" si="24"/>
        <v>11.729205280251861</v>
      </c>
      <c r="AA25">
        <f t="shared" si="25"/>
        <v>9.4823676394654335</v>
      </c>
      <c r="AB25">
        <f t="shared" si="26"/>
        <v>11.729205280251861</v>
      </c>
      <c r="AC25">
        <f t="shared" si="27"/>
        <v>9.4823676394654335</v>
      </c>
      <c r="AD25">
        <f t="shared" si="28"/>
        <v>11.729205280251861</v>
      </c>
      <c r="AE25">
        <f t="shared" si="29"/>
        <v>9.4823676394654335</v>
      </c>
      <c r="AF25">
        <f t="shared" si="30"/>
        <v>11.729205280251861</v>
      </c>
      <c r="AG25">
        <f t="shared" si="31"/>
        <v>9.4823676394654335</v>
      </c>
      <c r="AH25">
        <f t="shared" si="32"/>
        <v>11.729205280251861</v>
      </c>
    </row>
    <row r="26" spans="1:34">
      <c r="A26" t="str">
        <f>CYF!A26</f>
        <v>Maize</v>
      </c>
      <c r="B26" t="str">
        <f>CYF!B26</f>
        <v>Afar</v>
      </c>
      <c r="C26">
        <v>9.6632700849909146</v>
      </c>
      <c r="D26">
        <v>12.011498201009323</v>
      </c>
      <c r="E26">
        <f t="shared" si="3"/>
        <v>9.6632700849909146</v>
      </c>
      <c r="F26">
        <f t="shared" si="4"/>
        <v>12.011498201009323</v>
      </c>
      <c r="G26">
        <f t="shared" si="5"/>
        <v>9.6632700849909146</v>
      </c>
      <c r="H26">
        <f t="shared" si="6"/>
        <v>12.011498201009323</v>
      </c>
      <c r="I26">
        <f t="shared" si="7"/>
        <v>9.6632700849909146</v>
      </c>
      <c r="J26">
        <f t="shared" si="8"/>
        <v>12.011498201009323</v>
      </c>
      <c r="K26">
        <f t="shared" si="9"/>
        <v>9.6632700849909146</v>
      </c>
      <c r="L26">
        <f t="shared" si="10"/>
        <v>12.011498201009323</v>
      </c>
      <c r="M26">
        <f t="shared" si="11"/>
        <v>9.6632700849909146</v>
      </c>
      <c r="N26">
        <f t="shared" si="12"/>
        <v>12.011498201009323</v>
      </c>
      <c r="O26">
        <f t="shared" si="13"/>
        <v>9.6632700849909146</v>
      </c>
      <c r="P26">
        <f t="shared" si="14"/>
        <v>12.011498201009323</v>
      </c>
      <c r="Q26">
        <f t="shared" si="15"/>
        <v>9.6632700849909146</v>
      </c>
      <c r="R26">
        <f t="shared" si="16"/>
        <v>12.011498201009323</v>
      </c>
      <c r="S26">
        <f t="shared" si="17"/>
        <v>9.6632700849909146</v>
      </c>
      <c r="T26">
        <f t="shared" si="18"/>
        <v>12.011498201009323</v>
      </c>
      <c r="U26">
        <f t="shared" si="19"/>
        <v>9.6632700849909146</v>
      </c>
      <c r="V26">
        <f t="shared" si="20"/>
        <v>12.011498201009323</v>
      </c>
      <c r="W26">
        <f t="shared" si="21"/>
        <v>9.6632700849909146</v>
      </c>
      <c r="X26">
        <f t="shared" si="22"/>
        <v>12.011498201009323</v>
      </c>
      <c r="Y26">
        <f t="shared" si="23"/>
        <v>9.6632700849909146</v>
      </c>
      <c r="Z26">
        <f t="shared" si="24"/>
        <v>12.011498201009323</v>
      </c>
      <c r="AA26">
        <f t="shared" si="25"/>
        <v>9.6632700849909146</v>
      </c>
      <c r="AB26">
        <f t="shared" si="26"/>
        <v>12.011498201009323</v>
      </c>
      <c r="AC26">
        <f t="shared" si="27"/>
        <v>9.6632700849909146</v>
      </c>
      <c r="AD26">
        <f t="shared" si="28"/>
        <v>12.011498201009323</v>
      </c>
      <c r="AE26">
        <f t="shared" si="29"/>
        <v>9.6632700849909146</v>
      </c>
      <c r="AF26">
        <f t="shared" si="30"/>
        <v>12.011498201009323</v>
      </c>
      <c r="AG26">
        <f t="shared" si="31"/>
        <v>9.6632700849909146</v>
      </c>
      <c r="AH26">
        <f t="shared" si="32"/>
        <v>12.011498201009323</v>
      </c>
    </row>
    <row r="27" spans="1:34">
      <c r="A27" t="str">
        <f>CYF!A27</f>
        <v>Maize</v>
      </c>
      <c r="B27" t="str">
        <f>CYF!B27</f>
        <v>Amhara</v>
      </c>
      <c r="C27">
        <v>9.4990792841971956</v>
      </c>
      <c r="D27">
        <v>12.35250899088215</v>
      </c>
      <c r="E27">
        <f t="shared" si="3"/>
        <v>9.4990792841971956</v>
      </c>
      <c r="F27">
        <f t="shared" si="4"/>
        <v>12.35250899088215</v>
      </c>
      <c r="G27">
        <f t="shared" si="5"/>
        <v>9.4990792841971956</v>
      </c>
      <c r="H27">
        <f t="shared" si="6"/>
        <v>12.35250899088215</v>
      </c>
      <c r="I27">
        <f t="shared" si="7"/>
        <v>9.4990792841971956</v>
      </c>
      <c r="J27">
        <f t="shared" si="8"/>
        <v>12.35250899088215</v>
      </c>
      <c r="K27">
        <f t="shared" si="9"/>
        <v>9.4990792841971956</v>
      </c>
      <c r="L27">
        <f t="shared" si="10"/>
        <v>12.35250899088215</v>
      </c>
      <c r="M27">
        <f t="shared" si="11"/>
        <v>9.4990792841971956</v>
      </c>
      <c r="N27">
        <f t="shared" si="12"/>
        <v>12.35250899088215</v>
      </c>
      <c r="O27">
        <f t="shared" si="13"/>
        <v>9.4990792841971956</v>
      </c>
      <c r="P27">
        <f t="shared" si="14"/>
        <v>12.35250899088215</v>
      </c>
      <c r="Q27">
        <f t="shared" si="15"/>
        <v>9.4990792841971956</v>
      </c>
      <c r="R27">
        <f t="shared" si="16"/>
        <v>12.35250899088215</v>
      </c>
      <c r="S27">
        <f t="shared" si="17"/>
        <v>9.4990792841971956</v>
      </c>
      <c r="T27">
        <f t="shared" si="18"/>
        <v>12.35250899088215</v>
      </c>
      <c r="U27">
        <f t="shared" si="19"/>
        <v>9.4990792841971956</v>
      </c>
      <c r="V27">
        <f t="shared" si="20"/>
        <v>12.35250899088215</v>
      </c>
      <c r="W27">
        <f t="shared" si="21"/>
        <v>9.4990792841971956</v>
      </c>
      <c r="X27">
        <f t="shared" si="22"/>
        <v>12.35250899088215</v>
      </c>
      <c r="Y27">
        <f t="shared" si="23"/>
        <v>9.4990792841971956</v>
      </c>
      <c r="Z27">
        <f t="shared" si="24"/>
        <v>12.35250899088215</v>
      </c>
      <c r="AA27">
        <f t="shared" si="25"/>
        <v>9.4990792841971956</v>
      </c>
      <c r="AB27">
        <f t="shared" si="26"/>
        <v>12.35250899088215</v>
      </c>
      <c r="AC27">
        <f t="shared" si="27"/>
        <v>9.4990792841971956</v>
      </c>
      <c r="AD27">
        <f t="shared" si="28"/>
        <v>12.35250899088215</v>
      </c>
      <c r="AE27">
        <f t="shared" si="29"/>
        <v>9.4990792841971956</v>
      </c>
      <c r="AF27">
        <f t="shared" si="30"/>
        <v>12.35250899088215</v>
      </c>
      <c r="AG27">
        <f t="shared" si="31"/>
        <v>9.4990792841971956</v>
      </c>
      <c r="AH27">
        <f t="shared" si="32"/>
        <v>12.35250899088215</v>
      </c>
    </row>
    <row r="28" spans="1:34">
      <c r="A28" t="str">
        <f>CYF!A28</f>
        <v>Maize</v>
      </c>
      <c r="B28" t="str">
        <f>CYF!B28</f>
        <v>Gumuz</v>
      </c>
      <c r="C28">
        <v>9.5158507493276812</v>
      </c>
      <c r="D28">
        <v>12.463236218999498</v>
      </c>
      <c r="E28">
        <f t="shared" si="3"/>
        <v>9.5158507493276812</v>
      </c>
      <c r="F28">
        <f t="shared" si="4"/>
        <v>12.463236218999498</v>
      </c>
      <c r="G28">
        <f t="shared" si="5"/>
        <v>9.5158507493276812</v>
      </c>
      <c r="H28">
        <f t="shared" si="6"/>
        <v>12.463236218999498</v>
      </c>
      <c r="I28">
        <f t="shared" si="7"/>
        <v>9.5158507493276812</v>
      </c>
      <c r="J28">
        <f t="shared" si="8"/>
        <v>12.463236218999498</v>
      </c>
      <c r="K28">
        <f t="shared" si="9"/>
        <v>9.5158507493276812</v>
      </c>
      <c r="L28">
        <f t="shared" si="10"/>
        <v>12.463236218999498</v>
      </c>
      <c r="M28">
        <f t="shared" si="11"/>
        <v>9.5158507493276812</v>
      </c>
      <c r="N28">
        <f t="shared" si="12"/>
        <v>12.463236218999498</v>
      </c>
      <c r="O28">
        <f t="shared" si="13"/>
        <v>9.5158507493276812</v>
      </c>
      <c r="P28">
        <f t="shared" si="14"/>
        <v>12.463236218999498</v>
      </c>
      <c r="Q28">
        <f t="shared" si="15"/>
        <v>9.5158507493276812</v>
      </c>
      <c r="R28">
        <f t="shared" si="16"/>
        <v>12.463236218999498</v>
      </c>
      <c r="S28">
        <f t="shared" si="17"/>
        <v>9.5158507493276812</v>
      </c>
      <c r="T28">
        <f t="shared" si="18"/>
        <v>12.463236218999498</v>
      </c>
      <c r="U28">
        <f t="shared" si="19"/>
        <v>9.5158507493276812</v>
      </c>
      <c r="V28">
        <f t="shared" si="20"/>
        <v>12.463236218999498</v>
      </c>
      <c r="W28">
        <f t="shared" si="21"/>
        <v>9.5158507493276812</v>
      </c>
      <c r="X28">
        <f t="shared" si="22"/>
        <v>12.463236218999498</v>
      </c>
      <c r="Y28">
        <f t="shared" si="23"/>
        <v>9.5158507493276812</v>
      </c>
      <c r="Z28">
        <f t="shared" si="24"/>
        <v>12.463236218999498</v>
      </c>
      <c r="AA28">
        <f t="shared" si="25"/>
        <v>9.5158507493276812</v>
      </c>
      <c r="AB28">
        <f t="shared" si="26"/>
        <v>12.463236218999498</v>
      </c>
      <c r="AC28">
        <f t="shared" si="27"/>
        <v>9.5158507493276812</v>
      </c>
      <c r="AD28">
        <f t="shared" si="28"/>
        <v>12.463236218999498</v>
      </c>
      <c r="AE28">
        <f t="shared" si="29"/>
        <v>9.5158507493276812</v>
      </c>
      <c r="AF28">
        <f t="shared" si="30"/>
        <v>12.463236218999498</v>
      </c>
      <c r="AG28">
        <f t="shared" si="31"/>
        <v>9.5158507493276812</v>
      </c>
      <c r="AH28">
        <f t="shared" si="32"/>
        <v>12.463236218999498</v>
      </c>
    </row>
    <row r="29" spans="1:34">
      <c r="A29" t="str">
        <f>CYF!A29</f>
        <v>Maize</v>
      </c>
      <c r="B29" t="str">
        <f>CYF!B29</f>
        <v>DireDawa</v>
      </c>
      <c r="C29">
        <v>11.496394010753693</v>
      </c>
      <c r="D29">
        <v>11.795228919641414</v>
      </c>
      <c r="E29">
        <f t="shared" si="3"/>
        <v>11.496394010753693</v>
      </c>
      <c r="F29">
        <f t="shared" si="4"/>
        <v>11.795228919641414</v>
      </c>
      <c r="G29">
        <f t="shared" si="5"/>
        <v>11.496394010753693</v>
      </c>
      <c r="H29">
        <f t="shared" si="6"/>
        <v>11.795228919641414</v>
      </c>
      <c r="I29">
        <f t="shared" si="7"/>
        <v>11.496394010753693</v>
      </c>
      <c r="J29">
        <f t="shared" si="8"/>
        <v>11.795228919641414</v>
      </c>
      <c r="K29">
        <f t="shared" si="9"/>
        <v>11.496394010753693</v>
      </c>
      <c r="L29">
        <f t="shared" si="10"/>
        <v>11.795228919641414</v>
      </c>
      <c r="M29">
        <f t="shared" si="11"/>
        <v>11.496394010753693</v>
      </c>
      <c r="N29">
        <f t="shared" si="12"/>
        <v>11.795228919641414</v>
      </c>
      <c r="O29">
        <f t="shared" si="13"/>
        <v>11.496394010753693</v>
      </c>
      <c r="P29">
        <f t="shared" si="14"/>
        <v>11.795228919641414</v>
      </c>
      <c r="Q29">
        <f t="shared" si="15"/>
        <v>11.496394010753693</v>
      </c>
      <c r="R29">
        <f t="shared" si="16"/>
        <v>11.795228919641414</v>
      </c>
      <c r="S29">
        <f t="shared" si="17"/>
        <v>11.496394010753693</v>
      </c>
      <c r="T29">
        <f t="shared" si="18"/>
        <v>11.795228919641414</v>
      </c>
      <c r="U29">
        <f t="shared" si="19"/>
        <v>11.496394010753693</v>
      </c>
      <c r="V29">
        <f t="shared" si="20"/>
        <v>11.795228919641414</v>
      </c>
      <c r="W29">
        <f t="shared" si="21"/>
        <v>11.496394010753693</v>
      </c>
      <c r="X29">
        <f t="shared" si="22"/>
        <v>11.795228919641414</v>
      </c>
      <c r="Y29">
        <f t="shared" si="23"/>
        <v>11.496394010753693</v>
      </c>
      <c r="Z29">
        <f t="shared" si="24"/>
        <v>11.795228919641414</v>
      </c>
      <c r="AA29">
        <f t="shared" si="25"/>
        <v>11.496394010753693</v>
      </c>
      <c r="AB29">
        <f t="shared" si="26"/>
        <v>11.795228919641414</v>
      </c>
      <c r="AC29">
        <f t="shared" si="27"/>
        <v>11.496394010753693</v>
      </c>
      <c r="AD29">
        <f t="shared" si="28"/>
        <v>11.795228919641414</v>
      </c>
      <c r="AE29">
        <f t="shared" si="29"/>
        <v>11.496394010753693</v>
      </c>
      <c r="AF29">
        <f t="shared" si="30"/>
        <v>11.795228919641414</v>
      </c>
      <c r="AG29">
        <f t="shared" si="31"/>
        <v>11.496394010753693</v>
      </c>
      <c r="AH29">
        <f t="shared" si="32"/>
        <v>11.795228919641414</v>
      </c>
    </row>
    <row r="30" spans="1:34">
      <c r="A30" t="str">
        <f>CYF!A30</f>
        <v>Maize</v>
      </c>
      <c r="B30" t="str">
        <f>CYF!B30</f>
        <v>Gambela</v>
      </c>
      <c r="C30">
        <v>11.444458250637998</v>
      </c>
      <c r="D30">
        <v>11.232499964969191</v>
      </c>
      <c r="E30">
        <f t="shared" si="3"/>
        <v>11.444458250637998</v>
      </c>
      <c r="F30">
        <f t="shared" si="4"/>
        <v>11.232499964969191</v>
      </c>
      <c r="G30">
        <f t="shared" si="5"/>
        <v>11.444458250637998</v>
      </c>
      <c r="H30">
        <f t="shared" si="6"/>
        <v>11.232499964969191</v>
      </c>
      <c r="I30">
        <f t="shared" si="7"/>
        <v>11.444458250637998</v>
      </c>
      <c r="J30">
        <f t="shared" si="8"/>
        <v>11.232499964969191</v>
      </c>
      <c r="K30">
        <f t="shared" si="9"/>
        <v>11.444458250637998</v>
      </c>
      <c r="L30">
        <f t="shared" si="10"/>
        <v>11.232499964969191</v>
      </c>
      <c r="M30">
        <f t="shared" si="11"/>
        <v>11.444458250637998</v>
      </c>
      <c r="N30">
        <f t="shared" si="12"/>
        <v>11.232499964969191</v>
      </c>
      <c r="O30">
        <f t="shared" si="13"/>
        <v>11.444458250637998</v>
      </c>
      <c r="P30">
        <f t="shared" si="14"/>
        <v>11.232499964969191</v>
      </c>
      <c r="Q30">
        <f t="shared" si="15"/>
        <v>11.444458250637998</v>
      </c>
      <c r="R30">
        <f t="shared" si="16"/>
        <v>11.232499964969191</v>
      </c>
      <c r="S30">
        <f t="shared" si="17"/>
        <v>11.444458250637998</v>
      </c>
      <c r="T30">
        <f t="shared" si="18"/>
        <v>11.232499964969191</v>
      </c>
      <c r="U30">
        <f t="shared" si="19"/>
        <v>11.444458250637998</v>
      </c>
      <c r="V30">
        <f t="shared" si="20"/>
        <v>11.232499964969191</v>
      </c>
      <c r="W30">
        <f t="shared" si="21"/>
        <v>11.444458250637998</v>
      </c>
      <c r="X30">
        <f t="shared" si="22"/>
        <v>11.232499964969191</v>
      </c>
      <c r="Y30">
        <f t="shared" si="23"/>
        <v>11.444458250637998</v>
      </c>
      <c r="Z30">
        <f t="shared" si="24"/>
        <v>11.232499964969191</v>
      </c>
      <c r="AA30">
        <f t="shared" si="25"/>
        <v>11.444458250637998</v>
      </c>
      <c r="AB30">
        <f t="shared" si="26"/>
        <v>11.232499964969191</v>
      </c>
      <c r="AC30">
        <f t="shared" si="27"/>
        <v>11.444458250637998</v>
      </c>
      <c r="AD30">
        <f t="shared" si="28"/>
        <v>11.232499964969191</v>
      </c>
      <c r="AE30">
        <f t="shared" si="29"/>
        <v>11.444458250637998</v>
      </c>
      <c r="AF30">
        <f t="shared" si="30"/>
        <v>11.232499964969191</v>
      </c>
      <c r="AG30">
        <f t="shared" si="31"/>
        <v>11.444458250637998</v>
      </c>
      <c r="AH30">
        <f t="shared" si="32"/>
        <v>11.232499964969191</v>
      </c>
    </row>
    <row r="31" spans="1:34">
      <c r="A31" t="str">
        <f>CYF!A31</f>
        <v>Maize</v>
      </c>
      <c r="B31" t="str">
        <f>CYF!B31</f>
        <v>Harari</v>
      </c>
      <c r="C31">
        <v>11.28647234589841</v>
      </c>
      <c r="D31">
        <v>12.011753318698069</v>
      </c>
      <c r="E31">
        <f t="shared" si="3"/>
        <v>11.28647234589841</v>
      </c>
      <c r="F31">
        <f t="shared" si="4"/>
        <v>12.011753318698069</v>
      </c>
      <c r="G31">
        <f t="shared" si="5"/>
        <v>11.28647234589841</v>
      </c>
      <c r="H31">
        <f t="shared" si="6"/>
        <v>12.011753318698069</v>
      </c>
      <c r="I31">
        <f t="shared" si="7"/>
        <v>11.28647234589841</v>
      </c>
      <c r="J31">
        <f t="shared" si="8"/>
        <v>12.011753318698069</v>
      </c>
      <c r="K31">
        <f t="shared" si="9"/>
        <v>11.28647234589841</v>
      </c>
      <c r="L31">
        <f t="shared" si="10"/>
        <v>12.011753318698069</v>
      </c>
      <c r="M31">
        <f t="shared" si="11"/>
        <v>11.28647234589841</v>
      </c>
      <c r="N31">
        <f t="shared" si="12"/>
        <v>12.011753318698069</v>
      </c>
      <c r="O31">
        <f t="shared" si="13"/>
        <v>11.28647234589841</v>
      </c>
      <c r="P31">
        <f t="shared" si="14"/>
        <v>12.011753318698069</v>
      </c>
      <c r="Q31">
        <f t="shared" si="15"/>
        <v>11.28647234589841</v>
      </c>
      <c r="R31">
        <f t="shared" si="16"/>
        <v>12.011753318698069</v>
      </c>
      <c r="S31">
        <f t="shared" si="17"/>
        <v>11.28647234589841</v>
      </c>
      <c r="T31">
        <f t="shared" si="18"/>
        <v>12.011753318698069</v>
      </c>
      <c r="U31">
        <f t="shared" si="19"/>
        <v>11.28647234589841</v>
      </c>
      <c r="V31">
        <f t="shared" si="20"/>
        <v>12.011753318698069</v>
      </c>
      <c r="W31">
        <f t="shared" si="21"/>
        <v>11.28647234589841</v>
      </c>
      <c r="X31">
        <f t="shared" si="22"/>
        <v>12.011753318698069</v>
      </c>
      <c r="Y31">
        <f t="shared" si="23"/>
        <v>11.28647234589841</v>
      </c>
      <c r="Z31">
        <f t="shared" si="24"/>
        <v>12.011753318698069</v>
      </c>
      <c r="AA31">
        <f t="shared" si="25"/>
        <v>11.28647234589841</v>
      </c>
      <c r="AB31">
        <f t="shared" si="26"/>
        <v>12.011753318698069</v>
      </c>
      <c r="AC31">
        <f t="shared" si="27"/>
        <v>11.28647234589841</v>
      </c>
      <c r="AD31">
        <f t="shared" si="28"/>
        <v>12.011753318698069</v>
      </c>
      <c r="AE31">
        <f t="shared" si="29"/>
        <v>11.28647234589841</v>
      </c>
      <c r="AF31">
        <f t="shared" si="30"/>
        <v>12.011753318698069</v>
      </c>
      <c r="AG31">
        <f t="shared" si="31"/>
        <v>11.28647234589841</v>
      </c>
      <c r="AH31">
        <f t="shared" si="32"/>
        <v>12.011753318698069</v>
      </c>
    </row>
    <row r="32" spans="1:34">
      <c r="A32" t="str">
        <f>CYF!A32</f>
        <v>Maize</v>
      </c>
      <c r="B32" t="str">
        <f>CYF!B32</f>
        <v>Oromia</v>
      </c>
      <c r="C32">
        <v>10.667887822134274</v>
      </c>
      <c r="D32">
        <v>11.541984375816543</v>
      </c>
      <c r="E32">
        <f t="shared" si="3"/>
        <v>10.667887822134274</v>
      </c>
      <c r="F32">
        <f t="shared" si="4"/>
        <v>11.541984375816543</v>
      </c>
      <c r="G32">
        <f t="shared" si="5"/>
        <v>10.667887822134274</v>
      </c>
      <c r="H32">
        <f t="shared" si="6"/>
        <v>11.541984375816543</v>
      </c>
      <c r="I32">
        <f t="shared" si="7"/>
        <v>10.667887822134274</v>
      </c>
      <c r="J32">
        <f t="shared" si="8"/>
        <v>11.541984375816543</v>
      </c>
      <c r="K32">
        <f t="shared" si="9"/>
        <v>10.667887822134274</v>
      </c>
      <c r="L32">
        <f t="shared" si="10"/>
        <v>11.541984375816543</v>
      </c>
      <c r="M32">
        <f t="shared" si="11"/>
        <v>10.667887822134274</v>
      </c>
      <c r="N32">
        <f t="shared" si="12"/>
        <v>11.541984375816543</v>
      </c>
      <c r="O32">
        <f t="shared" si="13"/>
        <v>10.667887822134274</v>
      </c>
      <c r="P32">
        <f t="shared" si="14"/>
        <v>11.541984375816543</v>
      </c>
      <c r="Q32">
        <f t="shared" si="15"/>
        <v>10.667887822134274</v>
      </c>
      <c r="R32">
        <f t="shared" si="16"/>
        <v>11.541984375816543</v>
      </c>
      <c r="S32">
        <f t="shared" si="17"/>
        <v>10.667887822134274</v>
      </c>
      <c r="T32">
        <f t="shared" si="18"/>
        <v>11.541984375816543</v>
      </c>
      <c r="U32">
        <f t="shared" si="19"/>
        <v>10.667887822134274</v>
      </c>
      <c r="V32">
        <f t="shared" si="20"/>
        <v>11.541984375816543</v>
      </c>
      <c r="W32">
        <f t="shared" si="21"/>
        <v>10.667887822134274</v>
      </c>
      <c r="X32">
        <f t="shared" si="22"/>
        <v>11.541984375816543</v>
      </c>
      <c r="Y32">
        <f t="shared" si="23"/>
        <v>10.667887822134274</v>
      </c>
      <c r="Z32">
        <f t="shared" si="24"/>
        <v>11.541984375816543</v>
      </c>
      <c r="AA32">
        <f t="shared" si="25"/>
        <v>10.667887822134274</v>
      </c>
      <c r="AB32">
        <f t="shared" si="26"/>
        <v>11.541984375816543</v>
      </c>
      <c r="AC32">
        <f t="shared" si="27"/>
        <v>10.667887822134274</v>
      </c>
      <c r="AD32">
        <f t="shared" si="28"/>
        <v>11.541984375816543</v>
      </c>
      <c r="AE32">
        <f t="shared" si="29"/>
        <v>10.667887822134274</v>
      </c>
      <c r="AF32">
        <f t="shared" si="30"/>
        <v>11.541984375816543</v>
      </c>
      <c r="AG32">
        <f t="shared" si="31"/>
        <v>10.667887822134274</v>
      </c>
      <c r="AH32">
        <f t="shared" si="32"/>
        <v>11.541984375816543</v>
      </c>
    </row>
    <row r="33" spans="1:34">
      <c r="A33" t="str">
        <f>CYF!A33</f>
        <v>Maize</v>
      </c>
      <c r="B33" t="str">
        <f>CYF!B33</f>
        <v>Somali</v>
      </c>
      <c r="C33">
        <v>10.121742773518056</v>
      </c>
      <c r="D33">
        <v>12.279776122714788</v>
      </c>
      <c r="E33">
        <f t="shared" si="3"/>
        <v>10.121742773518056</v>
      </c>
      <c r="F33">
        <f t="shared" si="4"/>
        <v>12.279776122714788</v>
      </c>
      <c r="G33">
        <f t="shared" si="5"/>
        <v>10.121742773518056</v>
      </c>
      <c r="H33">
        <f t="shared" si="6"/>
        <v>12.279776122714788</v>
      </c>
      <c r="I33">
        <f t="shared" si="7"/>
        <v>10.121742773518056</v>
      </c>
      <c r="J33">
        <f t="shared" si="8"/>
        <v>12.279776122714788</v>
      </c>
      <c r="K33">
        <f t="shared" si="9"/>
        <v>10.121742773518056</v>
      </c>
      <c r="L33">
        <f t="shared" si="10"/>
        <v>12.279776122714788</v>
      </c>
      <c r="M33">
        <f t="shared" si="11"/>
        <v>10.121742773518056</v>
      </c>
      <c r="N33">
        <f t="shared" si="12"/>
        <v>12.279776122714788</v>
      </c>
      <c r="O33">
        <f t="shared" si="13"/>
        <v>10.121742773518056</v>
      </c>
      <c r="P33">
        <f t="shared" si="14"/>
        <v>12.279776122714788</v>
      </c>
      <c r="Q33">
        <f t="shared" si="15"/>
        <v>10.121742773518056</v>
      </c>
      <c r="R33">
        <f t="shared" si="16"/>
        <v>12.279776122714788</v>
      </c>
      <c r="S33">
        <f t="shared" si="17"/>
        <v>10.121742773518056</v>
      </c>
      <c r="T33">
        <f t="shared" si="18"/>
        <v>12.279776122714788</v>
      </c>
      <c r="U33">
        <f t="shared" si="19"/>
        <v>10.121742773518056</v>
      </c>
      <c r="V33">
        <f t="shared" si="20"/>
        <v>12.279776122714788</v>
      </c>
      <c r="W33">
        <f t="shared" si="21"/>
        <v>10.121742773518056</v>
      </c>
      <c r="X33">
        <f t="shared" si="22"/>
        <v>12.279776122714788</v>
      </c>
      <c r="Y33">
        <f t="shared" si="23"/>
        <v>10.121742773518056</v>
      </c>
      <c r="Z33">
        <f t="shared" si="24"/>
        <v>12.279776122714788</v>
      </c>
      <c r="AA33">
        <f t="shared" si="25"/>
        <v>10.121742773518056</v>
      </c>
      <c r="AB33">
        <f t="shared" si="26"/>
        <v>12.279776122714788</v>
      </c>
      <c r="AC33">
        <f t="shared" si="27"/>
        <v>10.121742773518056</v>
      </c>
      <c r="AD33">
        <f t="shared" si="28"/>
        <v>12.279776122714788</v>
      </c>
      <c r="AE33">
        <f t="shared" si="29"/>
        <v>10.121742773518056</v>
      </c>
      <c r="AF33">
        <f t="shared" si="30"/>
        <v>12.279776122714788</v>
      </c>
      <c r="AG33">
        <f t="shared" si="31"/>
        <v>10.121742773518056</v>
      </c>
      <c r="AH33">
        <f t="shared" si="32"/>
        <v>12.279776122714788</v>
      </c>
    </row>
    <row r="34" spans="1:34">
      <c r="A34" t="str">
        <f>CYF!A34</f>
        <v>Maize</v>
      </c>
      <c r="B34" t="str">
        <f>CYF!B34</f>
        <v>SNNPR</v>
      </c>
      <c r="C34">
        <v>10.293277128691976</v>
      </c>
      <c r="D34">
        <v>12.3841300116847</v>
      </c>
      <c r="E34">
        <f t="shared" si="3"/>
        <v>10.293277128691976</v>
      </c>
      <c r="F34">
        <f t="shared" si="4"/>
        <v>12.3841300116847</v>
      </c>
      <c r="G34">
        <f t="shared" si="5"/>
        <v>10.293277128691976</v>
      </c>
      <c r="H34">
        <f t="shared" si="6"/>
        <v>12.3841300116847</v>
      </c>
      <c r="I34">
        <f t="shared" si="7"/>
        <v>10.293277128691976</v>
      </c>
      <c r="J34">
        <f t="shared" si="8"/>
        <v>12.3841300116847</v>
      </c>
      <c r="K34">
        <f t="shared" si="9"/>
        <v>10.293277128691976</v>
      </c>
      <c r="L34">
        <f t="shared" si="10"/>
        <v>12.3841300116847</v>
      </c>
      <c r="M34">
        <f t="shared" si="11"/>
        <v>10.293277128691976</v>
      </c>
      <c r="N34">
        <f t="shared" si="12"/>
        <v>12.3841300116847</v>
      </c>
      <c r="O34">
        <f t="shared" si="13"/>
        <v>10.293277128691976</v>
      </c>
      <c r="P34">
        <f t="shared" si="14"/>
        <v>12.3841300116847</v>
      </c>
      <c r="Q34">
        <f t="shared" si="15"/>
        <v>10.293277128691976</v>
      </c>
      <c r="R34">
        <f t="shared" si="16"/>
        <v>12.3841300116847</v>
      </c>
      <c r="S34">
        <f t="shared" si="17"/>
        <v>10.293277128691976</v>
      </c>
      <c r="T34">
        <f t="shared" si="18"/>
        <v>12.3841300116847</v>
      </c>
      <c r="U34">
        <f t="shared" si="19"/>
        <v>10.293277128691976</v>
      </c>
      <c r="V34">
        <f t="shared" si="20"/>
        <v>12.3841300116847</v>
      </c>
      <c r="W34">
        <f t="shared" si="21"/>
        <v>10.293277128691976</v>
      </c>
      <c r="X34">
        <f t="shared" si="22"/>
        <v>12.3841300116847</v>
      </c>
      <c r="Y34">
        <f t="shared" si="23"/>
        <v>10.293277128691976</v>
      </c>
      <c r="Z34">
        <f t="shared" si="24"/>
        <v>12.3841300116847</v>
      </c>
      <c r="AA34">
        <f t="shared" si="25"/>
        <v>10.293277128691976</v>
      </c>
      <c r="AB34">
        <f t="shared" si="26"/>
        <v>12.3841300116847</v>
      </c>
      <c r="AC34">
        <f t="shared" si="27"/>
        <v>10.293277128691976</v>
      </c>
      <c r="AD34">
        <f t="shared" si="28"/>
        <v>12.3841300116847</v>
      </c>
      <c r="AE34">
        <f t="shared" si="29"/>
        <v>10.293277128691976</v>
      </c>
      <c r="AF34">
        <f t="shared" si="30"/>
        <v>12.3841300116847</v>
      </c>
      <c r="AG34">
        <f t="shared" si="31"/>
        <v>10.293277128691976</v>
      </c>
      <c r="AH34">
        <f t="shared" si="32"/>
        <v>12.3841300116847</v>
      </c>
    </row>
    <row r="35" spans="1:34">
      <c r="A35" t="str">
        <f>CYF!A35</f>
        <v>Maize</v>
      </c>
      <c r="B35" t="str">
        <f>CYF!B35</f>
        <v>Tigray</v>
      </c>
      <c r="C35">
        <v>10.156810593788704</v>
      </c>
      <c r="D35">
        <v>12.034443187729797</v>
      </c>
      <c r="E35">
        <f t="shared" si="3"/>
        <v>10.156810593788704</v>
      </c>
      <c r="F35">
        <f t="shared" si="4"/>
        <v>12.034443187729797</v>
      </c>
      <c r="G35">
        <f t="shared" si="5"/>
        <v>10.156810593788704</v>
      </c>
      <c r="H35">
        <f t="shared" si="6"/>
        <v>12.034443187729797</v>
      </c>
      <c r="I35">
        <f t="shared" si="7"/>
        <v>10.156810593788704</v>
      </c>
      <c r="J35">
        <f t="shared" si="8"/>
        <v>12.034443187729797</v>
      </c>
      <c r="K35">
        <f t="shared" si="9"/>
        <v>10.156810593788704</v>
      </c>
      <c r="L35">
        <f t="shared" si="10"/>
        <v>12.034443187729797</v>
      </c>
      <c r="M35">
        <f t="shared" si="11"/>
        <v>10.156810593788704</v>
      </c>
      <c r="N35">
        <f t="shared" si="12"/>
        <v>12.034443187729797</v>
      </c>
      <c r="O35">
        <f t="shared" si="13"/>
        <v>10.156810593788704</v>
      </c>
      <c r="P35">
        <f t="shared" si="14"/>
        <v>12.034443187729797</v>
      </c>
      <c r="Q35">
        <f t="shared" si="15"/>
        <v>10.156810593788704</v>
      </c>
      <c r="R35">
        <f t="shared" si="16"/>
        <v>12.034443187729797</v>
      </c>
      <c r="S35">
        <f t="shared" si="17"/>
        <v>10.156810593788704</v>
      </c>
      <c r="T35">
        <f t="shared" si="18"/>
        <v>12.034443187729797</v>
      </c>
      <c r="U35">
        <f t="shared" si="19"/>
        <v>10.156810593788704</v>
      </c>
      <c r="V35">
        <f t="shared" si="20"/>
        <v>12.034443187729797</v>
      </c>
      <c r="W35">
        <f t="shared" si="21"/>
        <v>10.156810593788704</v>
      </c>
      <c r="X35">
        <f t="shared" si="22"/>
        <v>12.034443187729797</v>
      </c>
      <c r="Y35">
        <f t="shared" si="23"/>
        <v>10.156810593788704</v>
      </c>
      <c r="Z35">
        <f t="shared" si="24"/>
        <v>12.034443187729797</v>
      </c>
      <c r="AA35">
        <f t="shared" si="25"/>
        <v>10.156810593788704</v>
      </c>
      <c r="AB35">
        <f t="shared" si="26"/>
        <v>12.034443187729797</v>
      </c>
      <c r="AC35">
        <f t="shared" si="27"/>
        <v>10.156810593788704</v>
      </c>
      <c r="AD35">
        <f t="shared" si="28"/>
        <v>12.034443187729797</v>
      </c>
      <c r="AE35">
        <f t="shared" si="29"/>
        <v>10.156810593788704</v>
      </c>
      <c r="AF35">
        <f t="shared" si="30"/>
        <v>12.034443187729797</v>
      </c>
      <c r="AG35">
        <f t="shared" si="31"/>
        <v>10.156810593788704</v>
      </c>
      <c r="AH35">
        <f t="shared" si="32"/>
        <v>12.034443187729797</v>
      </c>
    </row>
    <row r="36" spans="1:34">
      <c r="A36" t="str">
        <f>CYF!A36</f>
        <v>Lentils</v>
      </c>
      <c r="B36" t="str">
        <f>CYF!B36</f>
        <v>AddisAbaba</v>
      </c>
      <c r="C36">
        <v>9.7448392790300016</v>
      </c>
      <c r="D36">
        <v>11.719312487218652</v>
      </c>
      <c r="E36">
        <f t="shared" si="3"/>
        <v>9.7448392790300016</v>
      </c>
      <c r="F36">
        <f t="shared" si="4"/>
        <v>11.719312487218652</v>
      </c>
      <c r="G36">
        <f t="shared" si="5"/>
        <v>9.7448392790300016</v>
      </c>
      <c r="H36">
        <f t="shared" si="6"/>
        <v>11.719312487218652</v>
      </c>
      <c r="I36">
        <f t="shared" si="7"/>
        <v>9.7448392790300016</v>
      </c>
      <c r="J36">
        <f t="shared" si="8"/>
        <v>11.719312487218652</v>
      </c>
      <c r="K36">
        <f t="shared" si="9"/>
        <v>9.7448392790300016</v>
      </c>
      <c r="L36">
        <f t="shared" si="10"/>
        <v>11.719312487218652</v>
      </c>
      <c r="M36">
        <f t="shared" si="11"/>
        <v>9.7448392790300016</v>
      </c>
      <c r="N36">
        <f t="shared" si="12"/>
        <v>11.719312487218652</v>
      </c>
      <c r="O36">
        <f t="shared" si="13"/>
        <v>9.7448392790300016</v>
      </c>
      <c r="P36">
        <f t="shared" si="14"/>
        <v>11.719312487218652</v>
      </c>
      <c r="Q36">
        <f t="shared" si="15"/>
        <v>9.7448392790300016</v>
      </c>
      <c r="R36">
        <f t="shared" si="16"/>
        <v>11.719312487218652</v>
      </c>
      <c r="S36">
        <f t="shared" si="17"/>
        <v>9.7448392790300016</v>
      </c>
      <c r="T36">
        <f t="shared" si="18"/>
        <v>11.719312487218652</v>
      </c>
      <c r="U36">
        <f t="shared" si="19"/>
        <v>9.7448392790300016</v>
      </c>
      <c r="V36">
        <f t="shared" si="20"/>
        <v>11.719312487218652</v>
      </c>
      <c r="W36">
        <f t="shared" si="21"/>
        <v>9.7448392790300016</v>
      </c>
      <c r="X36">
        <f t="shared" si="22"/>
        <v>11.719312487218652</v>
      </c>
      <c r="Y36">
        <f t="shared" si="23"/>
        <v>9.7448392790300016</v>
      </c>
      <c r="Z36">
        <f t="shared" si="24"/>
        <v>11.719312487218652</v>
      </c>
      <c r="AA36">
        <f t="shared" si="25"/>
        <v>9.7448392790300016</v>
      </c>
      <c r="AB36">
        <f t="shared" si="26"/>
        <v>11.719312487218652</v>
      </c>
      <c r="AC36">
        <f t="shared" si="27"/>
        <v>9.7448392790300016</v>
      </c>
      <c r="AD36">
        <f t="shared" si="28"/>
        <v>11.719312487218652</v>
      </c>
      <c r="AE36">
        <f t="shared" si="29"/>
        <v>9.7448392790300016</v>
      </c>
      <c r="AF36">
        <f t="shared" si="30"/>
        <v>11.719312487218652</v>
      </c>
      <c r="AG36">
        <f t="shared" si="31"/>
        <v>9.7448392790300016</v>
      </c>
      <c r="AH36">
        <f t="shared" si="32"/>
        <v>11.719312487218652</v>
      </c>
    </row>
    <row r="37" spans="1:34">
      <c r="A37" t="str">
        <f>CYF!A37</f>
        <v>Lentils</v>
      </c>
      <c r="B37" t="str">
        <f>CYF!B37</f>
        <v>Afar</v>
      </c>
      <c r="C37">
        <v>10.609994832645434</v>
      </c>
      <c r="D37">
        <v>11.549165100310628</v>
      </c>
      <c r="E37">
        <f t="shared" si="3"/>
        <v>10.609994832645434</v>
      </c>
      <c r="F37">
        <f t="shared" si="4"/>
        <v>11.549165100310628</v>
      </c>
      <c r="G37">
        <f t="shared" si="5"/>
        <v>10.609994832645434</v>
      </c>
      <c r="H37">
        <f t="shared" si="6"/>
        <v>11.549165100310628</v>
      </c>
      <c r="I37">
        <f t="shared" si="7"/>
        <v>10.609994832645434</v>
      </c>
      <c r="J37">
        <f t="shared" si="8"/>
        <v>11.549165100310628</v>
      </c>
      <c r="K37">
        <f t="shared" si="9"/>
        <v>10.609994832645434</v>
      </c>
      <c r="L37">
        <f t="shared" si="10"/>
        <v>11.549165100310628</v>
      </c>
      <c r="M37">
        <f t="shared" si="11"/>
        <v>10.609994832645434</v>
      </c>
      <c r="N37">
        <f t="shared" si="12"/>
        <v>11.549165100310628</v>
      </c>
      <c r="O37">
        <f t="shared" si="13"/>
        <v>10.609994832645434</v>
      </c>
      <c r="P37">
        <f t="shared" si="14"/>
        <v>11.549165100310628</v>
      </c>
      <c r="Q37">
        <f t="shared" si="15"/>
        <v>10.609994832645434</v>
      </c>
      <c r="R37">
        <f t="shared" si="16"/>
        <v>11.549165100310628</v>
      </c>
      <c r="S37">
        <f t="shared" si="17"/>
        <v>10.609994832645434</v>
      </c>
      <c r="T37">
        <f t="shared" si="18"/>
        <v>11.549165100310628</v>
      </c>
      <c r="U37">
        <f t="shared" si="19"/>
        <v>10.609994832645434</v>
      </c>
      <c r="V37">
        <f t="shared" si="20"/>
        <v>11.549165100310628</v>
      </c>
      <c r="W37">
        <f t="shared" si="21"/>
        <v>10.609994832645434</v>
      </c>
      <c r="X37">
        <f t="shared" si="22"/>
        <v>11.549165100310628</v>
      </c>
      <c r="Y37">
        <f t="shared" si="23"/>
        <v>10.609994832645434</v>
      </c>
      <c r="Z37">
        <f t="shared" si="24"/>
        <v>11.549165100310628</v>
      </c>
      <c r="AA37">
        <f t="shared" si="25"/>
        <v>10.609994832645434</v>
      </c>
      <c r="AB37">
        <f t="shared" si="26"/>
        <v>11.549165100310628</v>
      </c>
      <c r="AC37">
        <f t="shared" si="27"/>
        <v>10.609994832645434</v>
      </c>
      <c r="AD37">
        <f t="shared" si="28"/>
        <v>11.549165100310628</v>
      </c>
      <c r="AE37">
        <f t="shared" si="29"/>
        <v>10.609994832645434</v>
      </c>
      <c r="AF37">
        <f t="shared" si="30"/>
        <v>11.549165100310628</v>
      </c>
      <c r="AG37">
        <f t="shared" si="31"/>
        <v>10.609994832645434</v>
      </c>
      <c r="AH37">
        <f t="shared" si="32"/>
        <v>11.549165100310628</v>
      </c>
    </row>
    <row r="38" spans="1:34">
      <c r="A38" t="str">
        <f>CYF!A38</f>
        <v>Lentils</v>
      </c>
      <c r="B38" t="str">
        <f>CYF!B38</f>
        <v>Amhara</v>
      </c>
      <c r="C38">
        <v>9.6321855436496957</v>
      </c>
      <c r="D38">
        <v>11.878567062306622</v>
      </c>
      <c r="E38">
        <f t="shared" si="3"/>
        <v>9.6321855436496957</v>
      </c>
      <c r="F38">
        <f t="shared" si="4"/>
        <v>11.878567062306622</v>
      </c>
      <c r="G38">
        <f t="shared" si="5"/>
        <v>9.6321855436496957</v>
      </c>
      <c r="H38">
        <f t="shared" si="6"/>
        <v>11.878567062306622</v>
      </c>
      <c r="I38">
        <f t="shared" si="7"/>
        <v>9.6321855436496957</v>
      </c>
      <c r="J38">
        <f t="shared" si="8"/>
        <v>11.878567062306622</v>
      </c>
      <c r="K38">
        <f t="shared" si="9"/>
        <v>9.6321855436496957</v>
      </c>
      <c r="L38">
        <f t="shared" si="10"/>
        <v>11.878567062306622</v>
      </c>
      <c r="M38">
        <f t="shared" si="11"/>
        <v>9.6321855436496957</v>
      </c>
      <c r="N38">
        <f t="shared" si="12"/>
        <v>11.878567062306622</v>
      </c>
      <c r="O38">
        <f t="shared" si="13"/>
        <v>9.6321855436496957</v>
      </c>
      <c r="P38">
        <f t="shared" si="14"/>
        <v>11.878567062306622</v>
      </c>
      <c r="Q38">
        <f t="shared" si="15"/>
        <v>9.6321855436496957</v>
      </c>
      <c r="R38">
        <f t="shared" si="16"/>
        <v>11.878567062306622</v>
      </c>
      <c r="S38">
        <f t="shared" si="17"/>
        <v>9.6321855436496957</v>
      </c>
      <c r="T38">
        <f t="shared" si="18"/>
        <v>11.878567062306622</v>
      </c>
      <c r="U38">
        <f t="shared" si="19"/>
        <v>9.6321855436496957</v>
      </c>
      <c r="V38">
        <f t="shared" si="20"/>
        <v>11.878567062306622</v>
      </c>
      <c r="W38">
        <f t="shared" si="21"/>
        <v>9.6321855436496957</v>
      </c>
      <c r="X38">
        <f t="shared" si="22"/>
        <v>11.878567062306622</v>
      </c>
      <c r="Y38">
        <f t="shared" si="23"/>
        <v>9.6321855436496957</v>
      </c>
      <c r="Z38">
        <f t="shared" si="24"/>
        <v>11.878567062306622</v>
      </c>
      <c r="AA38">
        <f t="shared" si="25"/>
        <v>9.6321855436496957</v>
      </c>
      <c r="AB38">
        <f t="shared" si="26"/>
        <v>11.878567062306622</v>
      </c>
      <c r="AC38">
        <f t="shared" si="27"/>
        <v>9.6321855436496957</v>
      </c>
      <c r="AD38">
        <f t="shared" si="28"/>
        <v>11.878567062306622</v>
      </c>
      <c r="AE38">
        <f t="shared" si="29"/>
        <v>9.6321855436496957</v>
      </c>
      <c r="AF38">
        <f t="shared" si="30"/>
        <v>11.878567062306622</v>
      </c>
      <c r="AG38">
        <f t="shared" si="31"/>
        <v>9.6321855436496957</v>
      </c>
      <c r="AH38">
        <f t="shared" si="32"/>
        <v>11.878567062306622</v>
      </c>
    </row>
    <row r="39" spans="1:34">
      <c r="A39" t="str">
        <f>CYF!A39</f>
        <v>Lentils</v>
      </c>
      <c r="B39" t="str">
        <f>CYF!B39</f>
        <v>Gumuz</v>
      </c>
      <c r="C39">
        <v>11.167571282375622</v>
      </c>
      <c r="D39">
        <v>11.589546715021115</v>
      </c>
      <c r="E39">
        <f t="shared" si="3"/>
        <v>11.167571282375622</v>
      </c>
      <c r="F39">
        <f t="shared" si="4"/>
        <v>11.589546715021115</v>
      </c>
      <c r="G39">
        <f t="shared" si="5"/>
        <v>11.167571282375622</v>
      </c>
      <c r="H39">
        <f t="shared" si="6"/>
        <v>11.589546715021115</v>
      </c>
      <c r="I39">
        <f t="shared" si="7"/>
        <v>11.167571282375622</v>
      </c>
      <c r="J39">
        <f t="shared" si="8"/>
        <v>11.589546715021115</v>
      </c>
      <c r="K39">
        <f t="shared" si="9"/>
        <v>11.167571282375622</v>
      </c>
      <c r="L39">
        <f t="shared" si="10"/>
        <v>11.589546715021115</v>
      </c>
      <c r="M39">
        <f t="shared" si="11"/>
        <v>11.167571282375622</v>
      </c>
      <c r="N39">
        <f t="shared" si="12"/>
        <v>11.589546715021115</v>
      </c>
      <c r="O39">
        <f t="shared" si="13"/>
        <v>11.167571282375622</v>
      </c>
      <c r="P39">
        <f t="shared" si="14"/>
        <v>11.589546715021115</v>
      </c>
      <c r="Q39">
        <f t="shared" si="15"/>
        <v>11.167571282375622</v>
      </c>
      <c r="R39">
        <f t="shared" si="16"/>
        <v>11.589546715021115</v>
      </c>
      <c r="S39">
        <f t="shared" si="17"/>
        <v>11.167571282375622</v>
      </c>
      <c r="T39">
        <f t="shared" si="18"/>
        <v>11.589546715021115</v>
      </c>
      <c r="U39">
        <f t="shared" si="19"/>
        <v>11.167571282375622</v>
      </c>
      <c r="V39">
        <f t="shared" si="20"/>
        <v>11.589546715021115</v>
      </c>
      <c r="W39">
        <f t="shared" si="21"/>
        <v>11.167571282375622</v>
      </c>
      <c r="X39">
        <f t="shared" si="22"/>
        <v>11.589546715021115</v>
      </c>
      <c r="Y39">
        <f t="shared" si="23"/>
        <v>11.167571282375622</v>
      </c>
      <c r="Z39">
        <f t="shared" si="24"/>
        <v>11.589546715021115</v>
      </c>
      <c r="AA39">
        <f t="shared" si="25"/>
        <v>11.167571282375622</v>
      </c>
      <c r="AB39">
        <f t="shared" si="26"/>
        <v>11.589546715021115</v>
      </c>
      <c r="AC39">
        <f t="shared" si="27"/>
        <v>11.167571282375622</v>
      </c>
      <c r="AD39">
        <f t="shared" si="28"/>
        <v>11.589546715021115</v>
      </c>
      <c r="AE39">
        <f t="shared" si="29"/>
        <v>11.167571282375622</v>
      </c>
      <c r="AF39">
        <f t="shared" si="30"/>
        <v>11.589546715021115</v>
      </c>
      <c r="AG39">
        <f t="shared" si="31"/>
        <v>11.167571282375622</v>
      </c>
      <c r="AH39">
        <f t="shared" si="32"/>
        <v>11.589546715021115</v>
      </c>
    </row>
    <row r="40" spans="1:34">
      <c r="A40" t="str">
        <f>CYF!A40</f>
        <v>Lentils</v>
      </c>
      <c r="B40" t="str">
        <f>CYF!B40</f>
        <v>DireDawa</v>
      </c>
      <c r="C40">
        <v>11.463987333640606</v>
      </c>
      <c r="D40">
        <v>11.869371101063242</v>
      </c>
      <c r="E40">
        <f t="shared" si="3"/>
        <v>11.463987333640606</v>
      </c>
      <c r="F40">
        <f t="shared" si="4"/>
        <v>11.869371101063242</v>
      </c>
      <c r="G40">
        <f t="shared" si="5"/>
        <v>11.463987333640606</v>
      </c>
      <c r="H40">
        <f t="shared" si="6"/>
        <v>11.869371101063242</v>
      </c>
      <c r="I40">
        <f t="shared" si="7"/>
        <v>11.463987333640606</v>
      </c>
      <c r="J40">
        <f t="shared" si="8"/>
        <v>11.869371101063242</v>
      </c>
      <c r="K40">
        <f t="shared" si="9"/>
        <v>11.463987333640606</v>
      </c>
      <c r="L40">
        <f t="shared" si="10"/>
        <v>11.869371101063242</v>
      </c>
      <c r="M40">
        <f t="shared" si="11"/>
        <v>11.463987333640606</v>
      </c>
      <c r="N40">
        <f t="shared" si="12"/>
        <v>11.869371101063242</v>
      </c>
      <c r="O40">
        <f t="shared" si="13"/>
        <v>11.463987333640606</v>
      </c>
      <c r="P40">
        <f t="shared" si="14"/>
        <v>11.869371101063242</v>
      </c>
      <c r="Q40">
        <f t="shared" si="15"/>
        <v>11.463987333640606</v>
      </c>
      <c r="R40">
        <f t="shared" si="16"/>
        <v>11.869371101063242</v>
      </c>
      <c r="S40">
        <f t="shared" si="17"/>
        <v>11.463987333640606</v>
      </c>
      <c r="T40">
        <f t="shared" si="18"/>
        <v>11.869371101063242</v>
      </c>
      <c r="U40">
        <f t="shared" si="19"/>
        <v>11.463987333640606</v>
      </c>
      <c r="V40">
        <f t="shared" si="20"/>
        <v>11.869371101063242</v>
      </c>
      <c r="W40">
        <f t="shared" si="21"/>
        <v>11.463987333640606</v>
      </c>
      <c r="X40">
        <f t="shared" si="22"/>
        <v>11.869371101063242</v>
      </c>
      <c r="Y40">
        <f t="shared" si="23"/>
        <v>11.463987333640606</v>
      </c>
      <c r="Z40">
        <f t="shared" si="24"/>
        <v>11.869371101063242</v>
      </c>
      <c r="AA40">
        <f t="shared" si="25"/>
        <v>11.463987333640606</v>
      </c>
      <c r="AB40">
        <f t="shared" si="26"/>
        <v>11.869371101063242</v>
      </c>
      <c r="AC40">
        <f t="shared" si="27"/>
        <v>11.463987333640606</v>
      </c>
      <c r="AD40">
        <f t="shared" si="28"/>
        <v>11.869371101063242</v>
      </c>
      <c r="AE40">
        <f t="shared" si="29"/>
        <v>11.463987333640606</v>
      </c>
      <c r="AF40">
        <f t="shared" si="30"/>
        <v>11.869371101063242</v>
      </c>
      <c r="AG40">
        <f t="shared" si="31"/>
        <v>11.463987333640606</v>
      </c>
      <c r="AH40">
        <f t="shared" si="32"/>
        <v>11.869371101063242</v>
      </c>
    </row>
    <row r="41" spans="1:34">
      <c r="A41" t="str">
        <f>CYF!A41</f>
        <v>Lentils</v>
      </c>
      <c r="B41" t="str">
        <f>CYF!B41</f>
        <v>Gambela</v>
      </c>
      <c r="C41">
        <v>10.714749728732016</v>
      </c>
      <c r="D41">
        <v>11.037850414244176</v>
      </c>
      <c r="E41">
        <f t="shared" si="3"/>
        <v>10.714749728732016</v>
      </c>
      <c r="F41">
        <f t="shared" si="4"/>
        <v>11.037850414244176</v>
      </c>
      <c r="G41">
        <f t="shared" si="5"/>
        <v>10.714749728732016</v>
      </c>
      <c r="H41">
        <f t="shared" si="6"/>
        <v>11.037850414244176</v>
      </c>
      <c r="I41">
        <f t="shared" si="7"/>
        <v>10.714749728732016</v>
      </c>
      <c r="J41">
        <f t="shared" si="8"/>
        <v>11.037850414244176</v>
      </c>
      <c r="K41">
        <f t="shared" si="9"/>
        <v>10.714749728732016</v>
      </c>
      <c r="L41">
        <f t="shared" si="10"/>
        <v>11.037850414244176</v>
      </c>
      <c r="M41">
        <f t="shared" si="11"/>
        <v>10.714749728732016</v>
      </c>
      <c r="N41">
        <f t="shared" si="12"/>
        <v>11.037850414244176</v>
      </c>
      <c r="O41">
        <f t="shared" si="13"/>
        <v>10.714749728732016</v>
      </c>
      <c r="P41">
        <f t="shared" si="14"/>
        <v>11.037850414244176</v>
      </c>
      <c r="Q41">
        <f t="shared" si="15"/>
        <v>10.714749728732016</v>
      </c>
      <c r="R41">
        <f t="shared" si="16"/>
        <v>11.037850414244176</v>
      </c>
      <c r="S41">
        <f t="shared" si="17"/>
        <v>10.714749728732016</v>
      </c>
      <c r="T41">
        <f t="shared" si="18"/>
        <v>11.037850414244176</v>
      </c>
      <c r="U41">
        <f t="shared" si="19"/>
        <v>10.714749728732016</v>
      </c>
      <c r="V41">
        <f t="shared" si="20"/>
        <v>11.037850414244176</v>
      </c>
      <c r="W41">
        <f t="shared" si="21"/>
        <v>10.714749728732016</v>
      </c>
      <c r="X41">
        <f t="shared" si="22"/>
        <v>11.037850414244176</v>
      </c>
      <c r="Y41">
        <f t="shared" si="23"/>
        <v>10.714749728732016</v>
      </c>
      <c r="Z41">
        <f t="shared" si="24"/>
        <v>11.037850414244176</v>
      </c>
      <c r="AA41">
        <f t="shared" si="25"/>
        <v>10.714749728732016</v>
      </c>
      <c r="AB41">
        <f t="shared" si="26"/>
        <v>11.037850414244176</v>
      </c>
      <c r="AC41">
        <f t="shared" si="27"/>
        <v>10.714749728732016</v>
      </c>
      <c r="AD41">
        <f t="shared" si="28"/>
        <v>11.037850414244176</v>
      </c>
      <c r="AE41">
        <f t="shared" si="29"/>
        <v>10.714749728732016</v>
      </c>
      <c r="AF41">
        <f t="shared" si="30"/>
        <v>11.037850414244176</v>
      </c>
      <c r="AG41">
        <f t="shared" si="31"/>
        <v>10.714749728732016</v>
      </c>
      <c r="AH41">
        <f t="shared" si="32"/>
        <v>11.037850414244176</v>
      </c>
    </row>
    <row r="42" spans="1:34">
      <c r="A42" t="str">
        <f>CYF!A42</f>
        <v>Lentils</v>
      </c>
      <c r="B42" t="str">
        <f>CYF!B42</f>
        <v>Harari</v>
      </c>
      <c r="C42">
        <v>11.023782528428155</v>
      </c>
      <c r="D42">
        <v>12.290561566690494</v>
      </c>
      <c r="E42">
        <f t="shared" si="3"/>
        <v>11.023782528428155</v>
      </c>
      <c r="F42">
        <f t="shared" si="4"/>
        <v>12.290561566690494</v>
      </c>
      <c r="G42">
        <f t="shared" si="5"/>
        <v>11.023782528428155</v>
      </c>
      <c r="H42">
        <f t="shared" si="6"/>
        <v>12.290561566690494</v>
      </c>
      <c r="I42">
        <f t="shared" si="7"/>
        <v>11.023782528428155</v>
      </c>
      <c r="J42">
        <f t="shared" si="8"/>
        <v>12.290561566690494</v>
      </c>
      <c r="K42">
        <f t="shared" si="9"/>
        <v>11.023782528428155</v>
      </c>
      <c r="L42">
        <f t="shared" si="10"/>
        <v>12.290561566690494</v>
      </c>
      <c r="M42">
        <f t="shared" si="11"/>
        <v>11.023782528428155</v>
      </c>
      <c r="N42">
        <f t="shared" si="12"/>
        <v>12.290561566690494</v>
      </c>
      <c r="O42">
        <f t="shared" si="13"/>
        <v>11.023782528428155</v>
      </c>
      <c r="P42">
        <f t="shared" si="14"/>
        <v>12.290561566690494</v>
      </c>
      <c r="Q42">
        <f t="shared" si="15"/>
        <v>11.023782528428155</v>
      </c>
      <c r="R42">
        <f t="shared" si="16"/>
        <v>12.290561566690494</v>
      </c>
      <c r="S42">
        <f t="shared" si="17"/>
        <v>11.023782528428155</v>
      </c>
      <c r="T42">
        <f t="shared" si="18"/>
        <v>12.290561566690494</v>
      </c>
      <c r="U42">
        <f t="shared" si="19"/>
        <v>11.023782528428155</v>
      </c>
      <c r="V42">
        <f t="shared" si="20"/>
        <v>12.290561566690494</v>
      </c>
      <c r="W42">
        <f t="shared" si="21"/>
        <v>11.023782528428155</v>
      </c>
      <c r="X42">
        <f t="shared" si="22"/>
        <v>12.290561566690494</v>
      </c>
      <c r="Y42">
        <f t="shared" si="23"/>
        <v>11.023782528428155</v>
      </c>
      <c r="Z42">
        <f t="shared" si="24"/>
        <v>12.290561566690494</v>
      </c>
      <c r="AA42">
        <f t="shared" si="25"/>
        <v>11.023782528428155</v>
      </c>
      <c r="AB42">
        <f t="shared" si="26"/>
        <v>12.290561566690494</v>
      </c>
      <c r="AC42">
        <f t="shared" si="27"/>
        <v>11.023782528428155</v>
      </c>
      <c r="AD42">
        <f t="shared" si="28"/>
        <v>12.290561566690494</v>
      </c>
      <c r="AE42">
        <f t="shared" si="29"/>
        <v>11.023782528428155</v>
      </c>
      <c r="AF42">
        <f t="shared" si="30"/>
        <v>12.290561566690494</v>
      </c>
      <c r="AG42">
        <f t="shared" si="31"/>
        <v>11.023782528428155</v>
      </c>
      <c r="AH42">
        <f t="shared" si="32"/>
        <v>12.290561566690494</v>
      </c>
    </row>
    <row r="43" spans="1:34">
      <c r="A43" t="str">
        <f>CYF!A43</f>
        <v>Lentils</v>
      </c>
      <c r="B43" t="str">
        <f>CYF!B43</f>
        <v>Oromia</v>
      </c>
      <c r="C43">
        <v>10.179109658482382</v>
      </c>
      <c r="D43">
        <v>11.92902717698988</v>
      </c>
      <c r="E43">
        <f t="shared" si="3"/>
        <v>10.179109658482382</v>
      </c>
      <c r="F43">
        <f t="shared" si="4"/>
        <v>11.92902717698988</v>
      </c>
      <c r="G43">
        <f t="shared" si="5"/>
        <v>10.179109658482382</v>
      </c>
      <c r="H43">
        <f t="shared" si="6"/>
        <v>11.92902717698988</v>
      </c>
      <c r="I43">
        <f t="shared" si="7"/>
        <v>10.179109658482382</v>
      </c>
      <c r="J43">
        <f t="shared" si="8"/>
        <v>11.92902717698988</v>
      </c>
      <c r="K43">
        <f t="shared" si="9"/>
        <v>10.179109658482382</v>
      </c>
      <c r="L43">
        <f t="shared" si="10"/>
        <v>11.92902717698988</v>
      </c>
      <c r="M43">
        <f t="shared" si="11"/>
        <v>10.179109658482382</v>
      </c>
      <c r="N43">
        <f t="shared" si="12"/>
        <v>11.92902717698988</v>
      </c>
      <c r="O43">
        <f t="shared" si="13"/>
        <v>10.179109658482382</v>
      </c>
      <c r="P43">
        <f t="shared" si="14"/>
        <v>11.92902717698988</v>
      </c>
      <c r="Q43">
        <f t="shared" si="15"/>
        <v>10.179109658482382</v>
      </c>
      <c r="R43">
        <f t="shared" si="16"/>
        <v>11.92902717698988</v>
      </c>
      <c r="S43">
        <f t="shared" si="17"/>
        <v>10.179109658482382</v>
      </c>
      <c r="T43">
        <f t="shared" si="18"/>
        <v>11.92902717698988</v>
      </c>
      <c r="U43">
        <f t="shared" si="19"/>
        <v>10.179109658482382</v>
      </c>
      <c r="V43">
        <f t="shared" si="20"/>
        <v>11.92902717698988</v>
      </c>
      <c r="W43">
        <f t="shared" si="21"/>
        <v>10.179109658482382</v>
      </c>
      <c r="X43">
        <f t="shared" si="22"/>
        <v>11.92902717698988</v>
      </c>
      <c r="Y43">
        <f t="shared" si="23"/>
        <v>10.179109658482382</v>
      </c>
      <c r="Z43">
        <f t="shared" si="24"/>
        <v>11.92902717698988</v>
      </c>
      <c r="AA43">
        <f t="shared" si="25"/>
        <v>10.179109658482382</v>
      </c>
      <c r="AB43">
        <f t="shared" si="26"/>
        <v>11.92902717698988</v>
      </c>
      <c r="AC43">
        <f t="shared" si="27"/>
        <v>10.179109658482382</v>
      </c>
      <c r="AD43">
        <f t="shared" si="28"/>
        <v>11.92902717698988</v>
      </c>
      <c r="AE43">
        <f t="shared" si="29"/>
        <v>10.179109658482382</v>
      </c>
      <c r="AF43">
        <f t="shared" si="30"/>
        <v>11.92902717698988</v>
      </c>
      <c r="AG43">
        <f t="shared" si="31"/>
        <v>10.179109658482382</v>
      </c>
      <c r="AH43">
        <f t="shared" si="32"/>
        <v>11.92902717698988</v>
      </c>
    </row>
    <row r="44" spans="1:34">
      <c r="A44" t="str">
        <f>CYF!A44</f>
        <v>Lentils</v>
      </c>
      <c r="B44" t="str">
        <f>CYF!B44</f>
        <v>Somali</v>
      </c>
      <c r="C44">
        <v>9.5488050169298226</v>
      </c>
      <c r="D44">
        <v>12.1136384818116</v>
      </c>
      <c r="E44">
        <f t="shared" si="3"/>
        <v>9.5488050169298226</v>
      </c>
      <c r="F44">
        <f t="shared" si="4"/>
        <v>12.1136384818116</v>
      </c>
      <c r="G44">
        <f t="shared" si="5"/>
        <v>9.5488050169298226</v>
      </c>
      <c r="H44">
        <f t="shared" si="6"/>
        <v>12.1136384818116</v>
      </c>
      <c r="I44">
        <f t="shared" si="7"/>
        <v>9.5488050169298226</v>
      </c>
      <c r="J44">
        <f t="shared" si="8"/>
        <v>12.1136384818116</v>
      </c>
      <c r="K44">
        <f t="shared" si="9"/>
        <v>9.5488050169298226</v>
      </c>
      <c r="L44">
        <f t="shared" si="10"/>
        <v>12.1136384818116</v>
      </c>
      <c r="M44">
        <f t="shared" si="11"/>
        <v>9.5488050169298226</v>
      </c>
      <c r="N44">
        <f t="shared" si="12"/>
        <v>12.1136384818116</v>
      </c>
      <c r="O44">
        <f t="shared" si="13"/>
        <v>9.5488050169298226</v>
      </c>
      <c r="P44">
        <f t="shared" si="14"/>
        <v>12.1136384818116</v>
      </c>
      <c r="Q44">
        <f t="shared" si="15"/>
        <v>9.5488050169298226</v>
      </c>
      <c r="R44">
        <f t="shared" si="16"/>
        <v>12.1136384818116</v>
      </c>
      <c r="S44">
        <f t="shared" si="17"/>
        <v>9.5488050169298226</v>
      </c>
      <c r="T44">
        <f t="shared" si="18"/>
        <v>12.1136384818116</v>
      </c>
      <c r="U44">
        <f t="shared" si="19"/>
        <v>9.5488050169298226</v>
      </c>
      <c r="V44">
        <f t="shared" si="20"/>
        <v>12.1136384818116</v>
      </c>
      <c r="W44">
        <f t="shared" si="21"/>
        <v>9.5488050169298226</v>
      </c>
      <c r="X44">
        <f t="shared" si="22"/>
        <v>12.1136384818116</v>
      </c>
      <c r="Y44">
        <f t="shared" si="23"/>
        <v>9.5488050169298226</v>
      </c>
      <c r="Z44">
        <f t="shared" si="24"/>
        <v>12.1136384818116</v>
      </c>
      <c r="AA44">
        <f t="shared" si="25"/>
        <v>9.5488050169298226</v>
      </c>
      <c r="AB44">
        <f t="shared" si="26"/>
        <v>12.1136384818116</v>
      </c>
      <c r="AC44">
        <f t="shared" si="27"/>
        <v>9.5488050169298226</v>
      </c>
      <c r="AD44">
        <f t="shared" si="28"/>
        <v>12.1136384818116</v>
      </c>
      <c r="AE44">
        <f t="shared" si="29"/>
        <v>9.5488050169298226</v>
      </c>
      <c r="AF44">
        <f t="shared" si="30"/>
        <v>12.1136384818116</v>
      </c>
      <c r="AG44">
        <f t="shared" si="31"/>
        <v>9.5488050169298226</v>
      </c>
      <c r="AH44">
        <f t="shared" si="32"/>
        <v>12.1136384818116</v>
      </c>
    </row>
    <row r="45" spans="1:34">
      <c r="A45" t="str">
        <f>CYF!A45</f>
        <v>Lentils</v>
      </c>
      <c r="B45" t="str">
        <f>CYF!B45</f>
        <v>SNNPR</v>
      </c>
      <c r="C45">
        <v>10.658050047838831</v>
      </c>
      <c r="D45">
        <v>12.27115304278815</v>
      </c>
      <c r="E45">
        <f t="shared" si="3"/>
        <v>10.658050047838831</v>
      </c>
      <c r="F45">
        <f t="shared" si="4"/>
        <v>12.27115304278815</v>
      </c>
      <c r="G45">
        <f t="shared" si="5"/>
        <v>10.658050047838831</v>
      </c>
      <c r="H45">
        <f t="shared" si="6"/>
        <v>12.27115304278815</v>
      </c>
      <c r="I45">
        <f t="shared" si="7"/>
        <v>10.658050047838831</v>
      </c>
      <c r="J45">
        <f t="shared" si="8"/>
        <v>12.27115304278815</v>
      </c>
      <c r="K45">
        <f t="shared" si="9"/>
        <v>10.658050047838831</v>
      </c>
      <c r="L45">
        <f t="shared" si="10"/>
        <v>12.27115304278815</v>
      </c>
      <c r="M45">
        <f t="shared" si="11"/>
        <v>10.658050047838831</v>
      </c>
      <c r="N45">
        <f t="shared" si="12"/>
        <v>12.27115304278815</v>
      </c>
      <c r="O45">
        <f t="shared" si="13"/>
        <v>10.658050047838831</v>
      </c>
      <c r="P45">
        <f t="shared" si="14"/>
        <v>12.27115304278815</v>
      </c>
      <c r="Q45">
        <f t="shared" si="15"/>
        <v>10.658050047838831</v>
      </c>
      <c r="R45">
        <f t="shared" si="16"/>
        <v>12.27115304278815</v>
      </c>
      <c r="S45">
        <f t="shared" si="17"/>
        <v>10.658050047838831</v>
      </c>
      <c r="T45">
        <f t="shared" si="18"/>
        <v>12.27115304278815</v>
      </c>
      <c r="U45">
        <f t="shared" si="19"/>
        <v>10.658050047838831</v>
      </c>
      <c r="V45">
        <f t="shared" si="20"/>
        <v>12.27115304278815</v>
      </c>
      <c r="W45">
        <f t="shared" si="21"/>
        <v>10.658050047838831</v>
      </c>
      <c r="X45">
        <f t="shared" si="22"/>
        <v>12.27115304278815</v>
      </c>
      <c r="Y45">
        <f t="shared" si="23"/>
        <v>10.658050047838831</v>
      </c>
      <c r="Z45">
        <f t="shared" si="24"/>
        <v>12.27115304278815</v>
      </c>
      <c r="AA45">
        <f t="shared" si="25"/>
        <v>10.658050047838831</v>
      </c>
      <c r="AB45">
        <f t="shared" si="26"/>
        <v>12.27115304278815</v>
      </c>
      <c r="AC45">
        <f t="shared" si="27"/>
        <v>10.658050047838831</v>
      </c>
      <c r="AD45">
        <f t="shared" si="28"/>
        <v>12.27115304278815</v>
      </c>
      <c r="AE45">
        <f t="shared" si="29"/>
        <v>10.658050047838831</v>
      </c>
      <c r="AF45">
        <f t="shared" si="30"/>
        <v>12.27115304278815</v>
      </c>
      <c r="AG45">
        <f t="shared" si="31"/>
        <v>10.658050047838831</v>
      </c>
      <c r="AH45">
        <f t="shared" si="32"/>
        <v>12.27115304278815</v>
      </c>
    </row>
    <row r="46" spans="1:34">
      <c r="A46" t="str">
        <f>CYF!A46</f>
        <v>Lentils</v>
      </c>
      <c r="B46" t="str">
        <f>CYF!B46</f>
        <v>Tigray</v>
      </c>
      <c r="C46">
        <v>11.071948212284292</v>
      </c>
      <c r="D46">
        <v>11.145174279846628</v>
      </c>
      <c r="E46">
        <f t="shared" si="3"/>
        <v>11.071948212284292</v>
      </c>
      <c r="F46">
        <f t="shared" si="4"/>
        <v>11.145174279846628</v>
      </c>
      <c r="G46">
        <f t="shared" si="5"/>
        <v>11.071948212284292</v>
      </c>
      <c r="H46">
        <f t="shared" si="6"/>
        <v>11.145174279846628</v>
      </c>
      <c r="I46">
        <f t="shared" si="7"/>
        <v>11.071948212284292</v>
      </c>
      <c r="J46">
        <f t="shared" si="8"/>
        <v>11.145174279846628</v>
      </c>
      <c r="K46">
        <f t="shared" si="9"/>
        <v>11.071948212284292</v>
      </c>
      <c r="L46">
        <f t="shared" si="10"/>
        <v>11.145174279846628</v>
      </c>
      <c r="M46">
        <f t="shared" si="11"/>
        <v>11.071948212284292</v>
      </c>
      <c r="N46">
        <f t="shared" si="12"/>
        <v>11.145174279846628</v>
      </c>
      <c r="O46">
        <f t="shared" si="13"/>
        <v>11.071948212284292</v>
      </c>
      <c r="P46">
        <f t="shared" si="14"/>
        <v>11.145174279846628</v>
      </c>
      <c r="Q46">
        <f t="shared" si="15"/>
        <v>11.071948212284292</v>
      </c>
      <c r="R46">
        <f t="shared" si="16"/>
        <v>11.145174279846628</v>
      </c>
      <c r="S46">
        <f t="shared" si="17"/>
        <v>11.071948212284292</v>
      </c>
      <c r="T46">
        <f t="shared" si="18"/>
        <v>11.145174279846628</v>
      </c>
      <c r="U46">
        <f t="shared" si="19"/>
        <v>11.071948212284292</v>
      </c>
      <c r="V46">
        <f t="shared" si="20"/>
        <v>11.145174279846628</v>
      </c>
      <c r="W46">
        <f t="shared" si="21"/>
        <v>11.071948212284292</v>
      </c>
      <c r="X46">
        <f t="shared" si="22"/>
        <v>11.145174279846628</v>
      </c>
      <c r="Y46">
        <f t="shared" si="23"/>
        <v>11.071948212284292</v>
      </c>
      <c r="Z46">
        <f t="shared" si="24"/>
        <v>11.145174279846628</v>
      </c>
      <c r="AA46">
        <f t="shared" si="25"/>
        <v>11.071948212284292</v>
      </c>
      <c r="AB46">
        <f t="shared" si="26"/>
        <v>11.145174279846628</v>
      </c>
      <c r="AC46">
        <f t="shared" si="27"/>
        <v>11.071948212284292</v>
      </c>
      <c r="AD46">
        <f t="shared" si="28"/>
        <v>11.145174279846628</v>
      </c>
      <c r="AE46">
        <f t="shared" si="29"/>
        <v>11.071948212284292</v>
      </c>
      <c r="AF46">
        <f t="shared" si="30"/>
        <v>11.145174279846628</v>
      </c>
      <c r="AG46">
        <f t="shared" si="31"/>
        <v>11.071948212284292</v>
      </c>
      <c r="AH46">
        <f t="shared" si="32"/>
        <v>11.145174279846628</v>
      </c>
    </row>
    <row r="47" spans="1:34">
      <c r="A47" t="str">
        <f>CYF!A47</f>
        <v>Vegetables</v>
      </c>
      <c r="B47" t="str">
        <f>CYF!B47</f>
        <v>AddisAbaba</v>
      </c>
      <c r="C47">
        <v>10.533244375499761</v>
      </c>
      <c r="D47">
        <v>12.17291349701094</v>
      </c>
      <c r="E47">
        <f t="shared" si="3"/>
        <v>10.533244375499761</v>
      </c>
      <c r="F47">
        <f t="shared" si="4"/>
        <v>12.17291349701094</v>
      </c>
      <c r="G47">
        <f t="shared" si="5"/>
        <v>10.533244375499761</v>
      </c>
      <c r="H47">
        <f t="shared" si="6"/>
        <v>12.17291349701094</v>
      </c>
      <c r="I47">
        <f t="shared" si="7"/>
        <v>10.533244375499761</v>
      </c>
      <c r="J47">
        <f t="shared" si="8"/>
        <v>12.17291349701094</v>
      </c>
      <c r="K47">
        <f t="shared" si="9"/>
        <v>10.533244375499761</v>
      </c>
      <c r="L47">
        <f t="shared" si="10"/>
        <v>12.17291349701094</v>
      </c>
      <c r="M47">
        <f t="shared" si="11"/>
        <v>10.533244375499761</v>
      </c>
      <c r="N47">
        <f t="shared" si="12"/>
        <v>12.17291349701094</v>
      </c>
      <c r="O47">
        <f t="shared" si="13"/>
        <v>10.533244375499761</v>
      </c>
      <c r="P47">
        <f t="shared" si="14"/>
        <v>12.17291349701094</v>
      </c>
      <c r="Q47">
        <f t="shared" si="15"/>
        <v>10.533244375499761</v>
      </c>
      <c r="R47">
        <f t="shared" si="16"/>
        <v>12.17291349701094</v>
      </c>
      <c r="S47">
        <f t="shared" si="17"/>
        <v>10.533244375499761</v>
      </c>
      <c r="T47">
        <f t="shared" si="18"/>
        <v>12.17291349701094</v>
      </c>
      <c r="U47">
        <f t="shared" si="19"/>
        <v>10.533244375499761</v>
      </c>
      <c r="V47">
        <f t="shared" si="20"/>
        <v>12.17291349701094</v>
      </c>
      <c r="W47">
        <f t="shared" si="21"/>
        <v>10.533244375499761</v>
      </c>
      <c r="X47">
        <f t="shared" si="22"/>
        <v>12.17291349701094</v>
      </c>
      <c r="Y47">
        <f t="shared" si="23"/>
        <v>10.533244375499761</v>
      </c>
      <c r="Z47">
        <f t="shared" si="24"/>
        <v>12.17291349701094</v>
      </c>
      <c r="AA47">
        <f t="shared" si="25"/>
        <v>10.533244375499761</v>
      </c>
      <c r="AB47">
        <f t="shared" si="26"/>
        <v>12.17291349701094</v>
      </c>
      <c r="AC47">
        <f t="shared" si="27"/>
        <v>10.533244375499761</v>
      </c>
      <c r="AD47">
        <f t="shared" si="28"/>
        <v>12.17291349701094</v>
      </c>
      <c r="AE47">
        <f t="shared" si="29"/>
        <v>10.533244375499761</v>
      </c>
      <c r="AF47">
        <f t="shared" si="30"/>
        <v>12.17291349701094</v>
      </c>
      <c r="AG47">
        <f t="shared" si="31"/>
        <v>10.533244375499761</v>
      </c>
      <c r="AH47">
        <f t="shared" si="32"/>
        <v>12.17291349701094</v>
      </c>
    </row>
    <row r="48" spans="1:34">
      <c r="A48" t="str">
        <f>CYF!A48</f>
        <v>Vegetables</v>
      </c>
      <c r="B48" t="str">
        <f>CYF!B48</f>
        <v>Afar</v>
      </c>
      <c r="C48">
        <v>11.197244435974032</v>
      </c>
      <c r="D48">
        <v>11.280745849151865</v>
      </c>
      <c r="E48">
        <f t="shared" si="3"/>
        <v>11.197244435974032</v>
      </c>
      <c r="F48">
        <f t="shared" si="4"/>
        <v>11.280745849151865</v>
      </c>
      <c r="G48">
        <f t="shared" si="5"/>
        <v>11.197244435974032</v>
      </c>
      <c r="H48">
        <f t="shared" si="6"/>
        <v>11.280745849151865</v>
      </c>
      <c r="I48">
        <f t="shared" si="7"/>
        <v>11.197244435974032</v>
      </c>
      <c r="J48">
        <f t="shared" si="8"/>
        <v>11.280745849151865</v>
      </c>
      <c r="K48">
        <f t="shared" si="9"/>
        <v>11.197244435974032</v>
      </c>
      <c r="L48">
        <f t="shared" si="10"/>
        <v>11.280745849151865</v>
      </c>
      <c r="M48">
        <f t="shared" si="11"/>
        <v>11.197244435974032</v>
      </c>
      <c r="N48">
        <f t="shared" si="12"/>
        <v>11.280745849151865</v>
      </c>
      <c r="O48">
        <f t="shared" si="13"/>
        <v>11.197244435974032</v>
      </c>
      <c r="P48">
        <f t="shared" si="14"/>
        <v>11.280745849151865</v>
      </c>
      <c r="Q48">
        <f t="shared" si="15"/>
        <v>11.197244435974032</v>
      </c>
      <c r="R48">
        <f t="shared" si="16"/>
        <v>11.280745849151865</v>
      </c>
      <c r="S48">
        <f t="shared" si="17"/>
        <v>11.197244435974032</v>
      </c>
      <c r="T48">
        <f t="shared" si="18"/>
        <v>11.280745849151865</v>
      </c>
      <c r="U48">
        <f t="shared" si="19"/>
        <v>11.197244435974032</v>
      </c>
      <c r="V48">
        <f t="shared" si="20"/>
        <v>11.280745849151865</v>
      </c>
      <c r="W48">
        <f t="shared" si="21"/>
        <v>11.197244435974032</v>
      </c>
      <c r="X48">
        <f t="shared" si="22"/>
        <v>11.280745849151865</v>
      </c>
      <c r="Y48">
        <f t="shared" si="23"/>
        <v>11.197244435974032</v>
      </c>
      <c r="Z48">
        <f t="shared" si="24"/>
        <v>11.280745849151865</v>
      </c>
      <c r="AA48">
        <f t="shared" si="25"/>
        <v>11.197244435974032</v>
      </c>
      <c r="AB48">
        <f t="shared" si="26"/>
        <v>11.280745849151865</v>
      </c>
      <c r="AC48">
        <f t="shared" si="27"/>
        <v>11.197244435974032</v>
      </c>
      <c r="AD48">
        <f t="shared" si="28"/>
        <v>11.280745849151865</v>
      </c>
      <c r="AE48">
        <f t="shared" si="29"/>
        <v>11.197244435974032</v>
      </c>
      <c r="AF48">
        <f t="shared" si="30"/>
        <v>11.280745849151865</v>
      </c>
      <c r="AG48">
        <f t="shared" si="31"/>
        <v>11.197244435974032</v>
      </c>
      <c r="AH48">
        <f t="shared" si="32"/>
        <v>11.280745849151865</v>
      </c>
    </row>
    <row r="49" spans="1:34">
      <c r="A49" t="str">
        <f>CYF!A49</f>
        <v>Vegetables</v>
      </c>
      <c r="B49" t="str">
        <f>CYF!B49</f>
        <v>Amhara</v>
      </c>
      <c r="C49">
        <v>9.4921488772895053</v>
      </c>
      <c r="D49">
        <v>11.792245705966888</v>
      </c>
      <c r="E49">
        <f t="shared" si="3"/>
        <v>9.4921488772895053</v>
      </c>
      <c r="F49">
        <f t="shared" si="4"/>
        <v>11.792245705966888</v>
      </c>
      <c r="G49">
        <f t="shared" si="5"/>
        <v>9.4921488772895053</v>
      </c>
      <c r="H49">
        <f t="shared" si="6"/>
        <v>11.792245705966888</v>
      </c>
      <c r="I49">
        <f t="shared" si="7"/>
        <v>9.4921488772895053</v>
      </c>
      <c r="J49">
        <f t="shared" si="8"/>
        <v>11.792245705966888</v>
      </c>
      <c r="K49">
        <f t="shared" si="9"/>
        <v>9.4921488772895053</v>
      </c>
      <c r="L49">
        <f t="shared" si="10"/>
        <v>11.792245705966888</v>
      </c>
      <c r="M49">
        <f t="shared" si="11"/>
        <v>9.4921488772895053</v>
      </c>
      <c r="N49">
        <f t="shared" si="12"/>
        <v>11.792245705966888</v>
      </c>
      <c r="O49">
        <f t="shared" si="13"/>
        <v>9.4921488772895053</v>
      </c>
      <c r="P49">
        <f t="shared" si="14"/>
        <v>11.792245705966888</v>
      </c>
      <c r="Q49">
        <f t="shared" si="15"/>
        <v>9.4921488772895053</v>
      </c>
      <c r="R49">
        <f t="shared" si="16"/>
        <v>11.792245705966888</v>
      </c>
      <c r="S49">
        <f t="shared" si="17"/>
        <v>9.4921488772895053</v>
      </c>
      <c r="T49">
        <f t="shared" si="18"/>
        <v>11.792245705966888</v>
      </c>
      <c r="U49">
        <f t="shared" si="19"/>
        <v>9.4921488772895053</v>
      </c>
      <c r="V49">
        <f t="shared" si="20"/>
        <v>11.792245705966888</v>
      </c>
      <c r="W49">
        <f t="shared" si="21"/>
        <v>9.4921488772895053</v>
      </c>
      <c r="X49">
        <f t="shared" si="22"/>
        <v>11.792245705966888</v>
      </c>
      <c r="Y49">
        <f t="shared" si="23"/>
        <v>9.4921488772895053</v>
      </c>
      <c r="Z49">
        <f t="shared" si="24"/>
        <v>11.792245705966888</v>
      </c>
      <c r="AA49">
        <f t="shared" si="25"/>
        <v>9.4921488772895053</v>
      </c>
      <c r="AB49">
        <f t="shared" si="26"/>
        <v>11.792245705966888</v>
      </c>
      <c r="AC49">
        <f t="shared" si="27"/>
        <v>9.4921488772895053</v>
      </c>
      <c r="AD49">
        <f t="shared" si="28"/>
        <v>11.792245705966888</v>
      </c>
      <c r="AE49">
        <f t="shared" si="29"/>
        <v>9.4921488772895053</v>
      </c>
      <c r="AF49">
        <f t="shared" si="30"/>
        <v>11.792245705966888</v>
      </c>
      <c r="AG49">
        <f t="shared" si="31"/>
        <v>9.4921488772895053</v>
      </c>
      <c r="AH49">
        <f t="shared" si="32"/>
        <v>11.792245705966888</v>
      </c>
    </row>
    <row r="50" spans="1:34">
      <c r="A50" t="str">
        <f>CYF!A50</f>
        <v>Vegetables</v>
      </c>
      <c r="B50" t="str">
        <f>CYF!B50</f>
        <v>Gumuz</v>
      </c>
      <c r="C50">
        <v>10.31359835092649</v>
      </c>
      <c r="D50">
        <v>11.71322449089176</v>
      </c>
      <c r="E50">
        <f t="shared" si="3"/>
        <v>10.31359835092649</v>
      </c>
      <c r="F50">
        <f t="shared" si="4"/>
        <v>11.71322449089176</v>
      </c>
      <c r="G50">
        <f t="shared" si="5"/>
        <v>10.31359835092649</v>
      </c>
      <c r="H50">
        <f t="shared" si="6"/>
        <v>11.71322449089176</v>
      </c>
      <c r="I50">
        <f t="shared" si="7"/>
        <v>10.31359835092649</v>
      </c>
      <c r="J50">
        <f t="shared" si="8"/>
        <v>11.71322449089176</v>
      </c>
      <c r="K50">
        <f t="shared" si="9"/>
        <v>10.31359835092649</v>
      </c>
      <c r="L50">
        <f t="shared" si="10"/>
        <v>11.71322449089176</v>
      </c>
      <c r="M50">
        <f t="shared" si="11"/>
        <v>10.31359835092649</v>
      </c>
      <c r="N50">
        <f t="shared" si="12"/>
        <v>11.71322449089176</v>
      </c>
      <c r="O50">
        <f t="shared" si="13"/>
        <v>10.31359835092649</v>
      </c>
      <c r="P50">
        <f t="shared" si="14"/>
        <v>11.71322449089176</v>
      </c>
      <c r="Q50">
        <f t="shared" si="15"/>
        <v>10.31359835092649</v>
      </c>
      <c r="R50">
        <f t="shared" si="16"/>
        <v>11.71322449089176</v>
      </c>
      <c r="S50">
        <f t="shared" si="17"/>
        <v>10.31359835092649</v>
      </c>
      <c r="T50">
        <f t="shared" si="18"/>
        <v>11.71322449089176</v>
      </c>
      <c r="U50">
        <f t="shared" si="19"/>
        <v>10.31359835092649</v>
      </c>
      <c r="V50">
        <f t="shared" si="20"/>
        <v>11.71322449089176</v>
      </c>
      <c r="W50">
        <f t="shared" si="21"/>
        <v>10.31359835092649</v>
      </c>
      <c r="X50">
        <f t="shared" si="22"/>
        <v>11.71322449089176</v>
      </c>
      <c r="Y50">
        <f t="shared" si="23"/>
        <v>10.31359835092649</v>
      </c>
      <c r="Z50">
        <f t="shared" si="24"/>
        <v>11.71322449089176</v>
      </c>
      <c r="AA50">
        <f t="shared" si="25"/>
        <v>10.31359835092649</v>
      </c>
      <c r="AB50">
        <f t="shared" si="26"/>
        <v>11.71322449089176</v>
      </c>
      <c r="AC50">
        <f t="shared" si="27"/>
        <v>10.31359835092649</v>
      </c>
      <c r="AD50">
        <f t="shared" si="28"/>
        <v>11.71322449089176</v>
      </c>
      <c r="AE50">
        <f t="shared" si="29"/>
        <v>10.31359835092649</v>
      </c>
      <c r="AF50">
        <f t="shared" si="30"/>
        <v>11.71322449089176</v>
      </c>
      <c r="AG50">
        <f t="shared" si="31"/>
        <v>10.31359835092649</v>
      </c>
      <c r="AH50">
        <f t="shared" si="32"/>
        <v>11.71322449089176</v>
      </c>
    </row>
    <row r="51" spans="1:34">
      <c r="A51" t="str">
        <f>CYF!A51</f>
        <v>Vegetables</v>
      </c>
      <c r="B51" t="str">
        <f>CYF!B51</f>
        <v>DireDawa</v>
      </c>
      <c r="C51">
        <v>10.863251937335612</v>
      </c>
      <c r="D51">
        <v>11.012655797975237</v>
      </c>
      <c r="E51">
        <f t="shared" si="3"/>
        <v>10.863251937335612</v>
      </c>
      <c r="F51">
        <f t="shared" si="4"/>
        <v>11.012655797975237</v>
      </c>
      <c r="G51">
        <f t="shared" si="5"/>
        <v>10.863251937335612</v>
      </c>
      <c r="H51">
        <f t="shared" si="6"/>
        <v>11.012655797975237</v>
      </c>
      <c r="I51">
        <f t="shared" si="7"/>
        <v>10.863251937335612</v>
      </c>
      <c r="J51">
        <f t="shared" si="8"/>
        <v>11.012655797975237</v>
      </c>
      <c r="K51">
        <f t="shared" si="9"/>
        <v>10.863251937335612</v>
      </c>
      <c r="L51">
        <f t="shared" si="10"/>
        <v>11.012655797975237</v>
      </c>
      <c r="M51">
        <f t="shared" si="11"/>
        <v>10.863251937335612</v>
      </c>
      <c r="N51">
        <f t="shared" si="12"/>
        <v>11.012655797975237</v>
      </c>
      <c r="O51">
        <f t="shared" si="13"/>
        <v>10.863251937335612</v>
      </c>
      <c r="P51">
        <f t="shared" si="14"/>
        <v>11.012655797975237</v>
      </c>
      <c r="Q51">
        <f t="shared" si="15"/>
        <v>10.863251937335612</v>
      </c>
      <c r="R51">
        <f t="shared" si="16"/>
        <v>11.012655797975237</v>
      </c>
      <c r="S51">
        <f t="shared" si="17"/>
        <v>10.863251937335612</v>
      </c>
      <c r="T51">
        <f t="shared" si="18"/>
        <v>11.012655797975237</v>
      </c>
      <c r="U51">
        <f t="shared" si="19"/>
        <v>10.863251937335612</v>
      </c>
      <c r="V51">
        <f t="shared" si="20"/>
        <v>11.012655797975237</v>
      </c>
      <c r="W51">
        <f t="shared" si="21"/>
        <v>10.863251937335612</v>
      </c>
      <c r="X51">
        <f t="shared" si="22"/>
        <v>11.012655797975237</v>
      </c>
      <c r="Y51">
        <f t="shared" si="23"/>
        <v>10.863251937335612</v>
      </c>
      <c r="Z51">
        <f t="shared" si="24"/>
        <v>11.012655797975237</v>
      </c>
      <c r="AA51">
        <f t="shared" si="25"/>
        <v>10.863251937335612</v>
      </c>
      <c r="AB51">
        <f t="shared" si="26"/>
        <v>11.012655797975237</v>
      </c>
      <c r="AC51">
        <f t="shared" si="27"/>
        <v>10.863251937335612</v>
      </c>
      <c r="AD51">
        <f t="shared" si="28"/>
        <v>11.012655797975237</v>
      </c>
      <c r="AE51">
        <f t="shared" si="29"/>
        <v>10.863251937335612</v>
      </c>
      <c r="AF51">
        <f t="shared" si="30"/>
        <v>11.012655797975237</v>
      </c>
      <c r="AG51">
        <f t="shared" si="31"/>
        <v>10.863251937335612</v>
      </c>
      <c r="AH51">
        <f t="shared" si="32"/>
        <v>11.012655797975237</v>
      </c>
    </row>
    <row r="52" spans="1:34">
      <c r="A52" t="str">
        <f>CYF!A52</f>
        <v>Vegetables</v>
      </c>
      <c r="B52" t="str">
        <f>CYF!B52</f>
        <v>Gambela</v>
      </c>
      <c r="C52">
        <v>10.375587044155775</v>
      </c>
      <c r="D52">
        <v>11.642274804443295</v>
      </c>
      <c r="E52">
        <f t="shared" si="3"/>
        <v>10.375587044155775</v>
      </c>
      <c r="F52">
        <f t="shared" si="4"/>
        <v>11.642274804443295</v>
      </c>
      <c r="G52">
        <f t="shared" si="5"/>
        <v>10.375587044155775</v>
      </c>
      <c r="H52">
        <f t="shared" si="6"/>
        <v>11.642274804443295</v>
      </c>
      <c r="I52">
        <f t="shared" si="7"/>
        <v>10.375587044155775</v>
      </c>
      <c r="J52">
        <f t="shared" si="8"/>
        <v>11.642274804443295</v>
      </c>
      <c r="K52">
        <f t="shared" si="9"/>
        <v>10.375587044155775</v>
      </c>
      <c r="L52">
        <f t="shared" si="10"/>
        <v>11.642274804443295</v>
      </c>
      <c r="M52">
        <f t="shared" si="11"/>
        <v>10.375587044155775</v>
      </c>
      <c r="N52">
        <f t="shared" si="12"/>
        <v>11.642274804443295</v>
      </c>
      <c r="O52">
        <f t="shared" si="13"/>
        <v>10.375587044155775</v>
      </c>
      <c r="P52">
        <f t="shared" si="14"/>
        <v>11.642274804443295</v>
      </c>
      <c r="Q52">
        <f t="shared" si="15"/>
        <v>10.375587044155775</v>
      </c>
      <c r="R52">
        <f t="shared" si="16"/>
        <v>11.642274804443295</v>
      </c>
      <c r="S52">
        <f t="shared" si="17"/>
        <v>10.375587044155775</v>
      </c>
      <c r="T52">
        <f t="shared" si="18"/>
        <v>11.642274804443295</v>
      </c>
      <c r="U52">
        <f t="shared" si="19"/>
        <v>10.375587044155775</v>
      </c>
      <c r="V52">
        <f t="shared" si="20"/>
        <v>11.642274804443295</v>
      </c>
      <c r="W52">
        <f t="shared" si="21"/>
        <v>10.375587044155775</v>
      </c>
      <c r="X52">
        <f t="shared" si="22"/>
        <v>11.642274804443295</v>
      </c>
      <c r="Y52">
        <f t="shared" si="23"/>
        <v>10.375587044155775</v>
      </c>
      <c r="Z52">
        <f t="shared" si="24"/>
        <v>11.642274804443295</v>
      </c>
      <c r="AA52">
        <f t="shared" si="25"/>
        <v>10.375587044155775</v>
      </c>
      <c r="AB52">
        <f t="shared" si="26"/>
        <v>11.642274804443295</v>
      </c>
      <c r="AC52">
        <f t="shared" si="27"/>
        <v>10.375587044155775</v>
      </c>
      <c r="AD52">
        <f t="shared" si="28"/>
        <v>11.642274804443295</v>
      </c>
      <c r="AE52">
        <f t="shared" si="29"/>
        <v>10.375587044155775</v>
      </c>
      <c r="AF52">
        <f t="shared" si="30"/>
        <v>11.642274804443295</v>
      </c>
      <c r="AG52">
        <f t="shared" si="31"/>
        <v>10.375587044155775</v>
      </c>
      <c r="AH52">
        <f t="shared" si="32"/>
        <v>11.642274804443295</v>
      </c>
    </row>
    <row r="53" spans="1:34">
      <c r="A53" t="str">
        <f>CYF!A53</f>
        <v>Vegetables</v>
      </c>
      <c r="B53" t="str">
        <f>CYF!B53</f>
        <v>Harari</v>
      </c>
      <c r="C53">
        <v>10.149327469652242</v>
      </c>
      <c r="D53">
        <v>12.267414688006918</v>
      </c>
      <c r="E53">
        <f t="shared" si="3"/>
        <v>10.149327469652242</v>
      </c>
      <c r="F53">
        <f t="shared" si="4"/>
        <v>12.267414688006918</v>
      </c>
      <c r="G53">
        <f t="shared" si="5"/>
        <v>10.149327469652242</v>
      </c>
      <c r="H53">
        <f t="shared" si="6"/>
        <v>12.267414688006918</v>
      </c>
      <c r="I53">
        <f t="shared" si="7"/>
        <v>10.149327469652242</v>
      </c>
      <c r="J53">
        <f t="shared" si="8"/>
        <v>12.267414688006918</v>
      </c>
      <c r="K53">
        <f t="shared" si="9"/>
        <v>10.149327469652242</v>
      </c>
      <c r="L53">
        <f t="shared" si="10"/>
        <v>12.267414688006918</v>
      </c>
      <c r="M53">
        <f t="shared" si="11"/>
        <v>10.149327469652242</v>
      </c>
      <c r="N53">
        <f t="shared" si="12"/>
        <v>12.267414688006918</v>
      </c>
      <c r="O53">
        <f t="shared" si="13"/>
        <v>10.149327469652242</v>
      </c>
      <c r="P53">
        <f t="shared" si="14"/>
        <v>12.267414688006918</v>
      </c>
      <c r="Q53">
        <f t="shared" si="15"/>
        <v>10.149327469652242</v>
      </c>
      <c r="R53">
        <f t="shared" si="16"/>
        <v>12.267414688006918</v>
      </c>
      <c r="S53">
        <f t="shared" si="17"/>
        <v>10.149327469652242</v>
      </c>
      <c r="T53">
        <f t="shared" si="18"/>
        <v>12.267414688006918</v>
      </c>
      <c r="U53">
        <f t="shared" si="19"/>
        <v>10.149327469652242</v>
      </c>
      <c r="V53">
        <f t="shared" si="20"/>
        <v>12.267414688006918</v>
      </c>
      <c r="W53">
        <f t="shared" si="21"/>
        <v>10.149327469652242</v>
      </c>
      <c r="X53">
        <f t="shared" si="22"/>
        <v>12.267414688006918</v>
      </c>
      <c r="Y53">
        <f t="shared" si="23"/>
        <v>10.149327469652242</v>
      </c>
      <c r="Z53">
        <f t="shared" si="24"/>
        <v>12.267414688006918</v>
      </c>
      <c r="AA53">
        <f t="shared" si="25"/>
        <v>10.149327469652242</v>
      </c>
      <c r="AB53">
        <f t="shared" si="26"/>
        <v>12.267414688006918</v>
      </c>
      <c r="AC53">
        <f t="shared" si="27"/>
        <v>10.149327469652242</v>
      </c>
      <c r="AD53">
        <f t="shared" si="28"/>
        <v>12.267414688006918</v>
      </c>
      <c r="AE53">
        <f t="shared" si="29"/>
        <v>10.149327469652242</v>
      </c>
      <c r="AF53">
        <f t="shared" si="30"/>
        <v>12.267414688006918</v>
      </c>
      <c r="AG53">
        <f t="shared" si="31"/>
        <v>10.149327469652242</v>
      </c>
      <c r="AH53">
        <f t="shared" si="32"/>
        <v>12.267414688006918</v>
      </c>
    </row>
    <row r="54" spans="1:34">
      <c r="A54" t="str">
        <f>CYF!A54</f>
        <v>Vegetables</v>
      </c>
      <c r="B54" t="str">
        <f>CYF!B54</f>
        <v>Oromia</v>
      </c>
      <c r="C54">
        <v>10.26695913021803</v>
      </c>
      <c r="D54">
        <v>12.436216286895498</v>
      </c>
      <c r="E54">
        <f t="shared" si="3"/>
        <v>10.26695913021803</v>
      </c>
      <c r="F54">
        <f t="shared" si="4"/>
        <v>12.436216286895498</v>
      </c>
      <c r="G54">
        <f t="shared" si="5"/>
        <v>10.26695913021803</v>
      </c>
      <c r="H54">
        <f t="shared" si="6"/>
        <v>12.436216286895498</v>
      </c>
      <c r="I54">
        <f t="shared" si="7"/>
        <v>10.26695913021803</v>
      </c>
      <c r="J54">
        <f t="shared" si="8"/>
        <v>12.436216286895498</v>
      </c>
      <c r="K54">
        <f t="shared" si="9"/>
        <v>10.26695913021803</v>
      </c>
      <c r="L54">
        <f t="shared" si="10"/>
        <v>12.436216286895498</v>
      </c>
      <c r="M54">
        <f t="shared" si="11"/>
        <v>10.26695913021803</v>
      </c>
      <c r="N54">
        <f t="shared" si="12"/>
        <v>12.436216286895498</v>
      </c>
      <c r="O54">
        <f t="shared" si="13"/>
        <v>10.26695913021803</v>
      </c>
      <c r="P54">
        <f t="shared" si="14"/>
        <v>12.436216286895498</v>
      </c>
      <c r="Q54">
        <f t="shared" si="15"/>
        <v>10.26695913021803</v>
      </c>
      <c r="R54">
        <f t="shared" si="16"/>
        <v>12.436216286895498</v>
      </c>
      <c r="S54">
        <f t="shared" si="17"/>
        <v>10.26695913021803</v>
      </c>
      <c r="T54">
        <f t="shared" si="18"/>
        <v>12.436216286895498</v>
      </c>
      <c r="U54">
        <f t="shared" si="19"/>
        <v>10.26695913021803</v>
      </c>
      <c r="V54">
        <f t="shared" si="20"/>
        <v>12.436216286895498</v>
      </c>
      <c r="W54">
        <f t="shared" si="21"/>
        <v>10.26695913021803</v>
      </c>
      <c r="X54">
        <f t="shared" si="22"/>
        <v>12.436216286895498</v>
      </c>
      <c r="Y54">
        <f t="shared" si="23"/>
        <v>10.26695913021803</v>
      </c>
      <c r="Z54">
        <f t="shared" si="24"/>
        <v>12.436216286895498</v>
      </c>
      <c r="AA54">
        <f t="shared" si="25"/>
        <v>10.26695913021803</v>
      </c>
      <c r="AB54">
        <f t="shared" si="26"/>
        <v>12.436216286895498</v>
      </c>
      <c r="AC54">
        <f t="shared" si="27"/>
        <v>10.26695913021803</v>
      </c>
      <c r="AD54">
        <f t="shared" si="28"/>
        <v>12.436216286895498</v>
      </c>
      <c r="AE54">
        <f t="shared" si="29"/>
        <v>10.26695913021803</v>
      </c>
      <c r="AF54">
        <f t="shared" si="30"/>
        <v>12.436216286895498</v>
      </c>
      <c r="AG54">
        <f t="shared" si="31"/>
        <v>10.26695913021803</v>
      </c>
      <c r="AH54">
        <f t="shared" si="32"/>
        <v>12.436216286895498</v>
      </c>
    </row>
    <row r="55" spans="1:34">
      <c r="A55" t="str">
        <f>CYF!A55</f>
        <v>Vegetables</v>
      </c>
      <c r="B55" t="str">
        <f>CYF!B55</f>
        <v>Somali</v>
      </c>
      <c r="C55">
        <v>9.2075442895403761</v>
      </c>
      <c r="D55">
        <v>11.290796500814974</v>
      </c>
      <c r="E55">
        <f t="shared" si="3"/>
        <v>9.2075442895403761</v>
      </c>
      <c r="F55">
        <f t="shared" si="4"/>
        <v>11.290796500814974</v>
      </c>
      <c r="G55">
        <f t="shared" si="5"/>
        <v>9.2075442895403761</v>
      </c>
      <c r="H55">
        <f t="shared" si="6"/>
        <v>11.290796500814974</v>
      </c>
      <c r="I55">
        <f t="shared" si="7"/>
        <v>9.2075442895403761</v>
      </c>
      <c r="J55">
        <f t="shared" si="8"/>
        <v>11.290796500814974</v>
      </c>
      <c r="K55">
        <f t="shared" si="9"/>
        <v>9.2075442895403761</v>
      </c>
      <c r="L55">
        <f t="shared" si="10"/>
        <v>11.290796500814974</v>
      </c>
      <c r="M55">
        <f t="shared" si="11"/>
        <v>9.2075442895403761</v>
      </c>
      <c r="N55">
        <f t="shared" si="12"/>
        <v>11.290796500814974</v>
      </c>
      <c r="O55">
        <f t="shared" si="13"/>
        <v>9.2075442895403761</v>
      </c>
      <c r="P55">
        <f t="shared" si="14"/>
        <v>11.290796500814974</v>
      </c>
      <c r="Q55">
        <f t="shared" si="15"/>
        <v>9.2075442895403761</v>
      </c>
      <c r="R55">
        <f t="shared" si="16"/>
        <v>11.290796500814974</v>
      </c>
      <c r="S55">
        <f t="shared" si="17"/>
        <v>9.2075442895403761</v>
      </c>
      <c r="T55">
        <f t="shared" si="18"/>
        <v>11.290796500814974</v>
      </c>
      <c r="U55">
        <f t="shared" si="19"/>
        <v>9.2075442895403761</v>
      </c>
      <c r="V55">
        <f t="shared" si="20"/>
        <v>11.290796500814974</v>
      </c>
      <c r="W55">
        <f t="shared" si="21"/>
        <v>9.2075442895403761</v>
      </c>
      <c r="X55">
        <f t="shared" si="22"/>
        <v>11.290796500814974</v>
      </c>
      <c r="Y55">
        <f t="shared" si="23"/>
        <v>9.2075442895403761</v>
      </c>
      <c r="Z55">
        <f t="shared" si="24"/>
        <v>11.290796500814974</v>
      </c>
      <c r="AA55">
        <f t="shared" si="25"/>
        <v>9.2075442895403761</v>
      </c>
      <c r="AB55">
        <f t="shared" si="26"/>
        <v>11.290796500814974</v>
      </c>
      <c r="AC55">
        <f t="shared" si="27"/>
        <v>9.2075442895403761</v>
      </c>
      <c r="AD55">
        <f t="shared" si="28"/>
        <v>11.290796500814974</v>
      </c>
      <c r="AE55">
        <f t="shared" si="29"/>
        <v>9.2075442895403761</v>
      </c>
      <c r="AF55">
        <f t="shared" si="30"/>
        <v>11.290796500814974</v>
      </c>
      <c r="AG55">
        <f t="shared" si="31"/>
        <v>9.2075442895403761</v>
      </c>
      <c r="AH55">
        <f t="shared" si="32"/>
        <v>11.290796500814974</v>
      </c>
    </row>
    <row r="56" spans="1:34">
      <c r="A56" t="str">
        <f>CYF!A56</f>
        <v>Vegetables</v>
      </c>
      <c r="B56" t="str">
        <f>CYF!B56</f>
        <v>SNNPR</v>
      </c>
      <c r="C56">
        <v>9.4483342351319433</v>
      </c>
      <c r="D56">
        <v>11.477140134409117</v>
      </c>
      <c r="E56">
        <f t="shared" si="3"/>
        <v>9.4483342351319433</v>
      </c>
      <c r="F56">
        <f t="shared" si="4"/>
        <v>11.477140134409117</v>
      </c>
      <c r="G56">
        <f t="shared" si="5"/>
        <v>9.4483342351319433</v>
      </c>
      <c r="H56">
        <f t="shared" si="6"/>
        <v>11.477140134409117</v>
      </c>
      <c r="I56">
        <f t="shared" si="7"/>
        <v>9.4483342351319433</v>
      </c>
      <c r="J56">
        <f t="shared" si="8"/>
        <v>11.477140134409117</v>
      </c>
      <c r="K56">
        <f t="shared" si="9"/>
        <v>9.4483342351319433</v>
      </c>
      <c r="L56">
        <f t="shared" si="10"/>
        <v>11.477140134409117</v>
      </c>
      <c r="M56">
        <f t="shared" si="11"/>
        <v>9.4483342351319433</v>
      </c>
      <c r="N56">
        <f t="shared" si="12"/>
        <v>11.477140134409117</v>
      </c>
      <c r="O56">
        <f t="shared" si="13"/>
        <v>9.4483342351319433</v>
      </c>
      <c r="P56">
        <f t="shared" si="14"/>
        <v>11.477140134409117</v>
      </c>
      <c r="Q56">
        <f t="shared" si="15"/>
        <v>9.4483342351319433</v>
      </c>
      <c r="R56">
        <f t="shared" si="16"/>
        <v>11.477140134409117</v>
      </c>
      <c r="S56">
        <f t="shared" si="17"/>
        <v>9.4483342351319433</v>
      </c>
      <c r="T56">
        <f t="shared" si="18"/>
        <v>11.477140134409117</v>
      </c>
      <c r="U56">
        <f t="shared" si="19"/>
        <v>9.4483342351319433</v>
      </c>
      <c r="V56">
        <f t="shared" si="20"/>
        <v>11.477140134409117</v>
      </c>
      <c r="W56">
        <f t="shared" si="21"/>
        <v>9.4483342351319433</v>
      </c>
      <c r="X56">
        <f t="shared" si="22"/>
        <v>11.477140134409117</v>
      </c>
      <c r="Y56">
        <f t="shared" si="23"/>
        <v>9.4483342351319433</v>
      </c>
      <c r="Z56">
        <f t="shared" si="24"/>
        <v>11.477140134409117</v>
      </c>
      <c r="AA56">
        <f t="shared" si="25"/>
        <v>9.4483342351319433</v>
      </c>
      <c r="AB56">
        <f t="shared" si="26"/>
        <v>11.477140134409117</v>
      </c>
      <c r="AC56">
        <f t="shared" si="27"/>
        <v>9.4483342351319433</v>
      </c>
      <c r="AD56">
        <f t="shared" si="28"/>
        <v>11.477140134409117</v>
      </c>
      <c r="AE56">
        <f t="shared" si="29"/>
        <v>9.4483342351319433</v>
      </c>
      <c r="AF56">
        <f t="shared" si="30"/>
        <v>11.477140134409117</v>
      </c>
      <c r="AG56">
        <f t="shared" si="31"/>
        <v>9.4483342351319433</v>
      </c>
      <c r="AH56">
        <f t="shared" si="32"/>
        <v>11.477140134409117</v>
      </c>
    </row>
    <row r="57" spans="1:34">
      <c r="A57" t="str">
        <f>CYF!A57</f>
        <v>Vegetables</v>
      </c>
      <c r="B57" t="str">
        <f>CYF!B57</f>
        <v>Tigray</v>
      </c>
      <c r="C57">
        <v>10.568899353921891</v>
      </c>
      <c r="D57">
        <v>11.111727200697551</v>
      </c>
      <c r="E57">
        <f t="shared" si="3"/>
        <v>10.568899353921891</v>
      </c>
      <c r="F57">
        <f t="shared" si="4"/>
        <v>11.111727200697551</v>
      </c>
      <c r="G57">
        <f t="shared" si="5"/>
        <v>10.568899353921891</v>
      </c>
      <c r="H57">
        <f t="shared" si="6"/>
        <v>11.111727200697551</v>
      </c>
      <c r="I57">
        <f t="shared" si="7"/>
        <v>10.568899353921891</v>
      </c>
      <c r="J57">
        <f t="shared" si="8"/>
        <v>11.111727200697551</v>
      </c>
      <c r="K57">
        <f t="shared" si="9"/>
        <v>10.568899353921891</v>
      </c>
      <c r="L57">
        <f t="shared" si="10"/>
        <v>11.111727200697551</v>
      </c>
      <c r="M57">
        <f t="shared" si="11"/>
        <v>10.568899353921891</v>
      </c>
      <c r="N57">
        <f t="shared" si="12"/>
        <v>11.111727200697551</v>
      </c>
      <c r="O57">
        <f t="shared" si="13"/>
        <v>10.568899353921891</v>
      </c>
      <c r="P57">
        <f t="shared" si="14"/>
        <v>11.111727200697551</v>
      </c>
      <c r="Q57">
        <f t="shared" si="15"/>
        <v>10.568899353921891</v>
      </c>
      <c r="R57">
        <f t="shared" si="16"/>
        <v>11.111727200697551</v>
      </c>
      <c r="S57">
        <f t="shared" si="17"/>
        <v>10.568899353921891</v>
      </c>
      <c r="T57">
        <f t="shared" si="18"/>
        <v>11.111727200697551</v>
      </c>
      <c r="U57">
        <f t="shared" si="19"/>
        <v>10.568899353921891</v>
      </c>
      <c r="V57">
        <f t="shared" si="20"/>
        <v>11.111727200697551</v>
      </c>
      <c r="W57">
        <f t="shared" si="21"/>
        <v>10.568899353921891</v>
      </c>
      <c r="X57">
        <f t="shared" si="22"/>
        <v>11.111727200697551</v>
      </c>
      <c r="Y57">
        <f t="shared" si="23"/>
        <v>10.568899353921891</v>
      </c>
      <c r="Z57">
        <f t="shared" si="24"/>
        <v>11.111727200697551</v>
      </c>
      <c r="AA57">
        <f t="shared" si="25"/>
        <v>10.568899353921891</v>
      </c>
      <c r="AB57">
        <f t="shared" si="26"/>
        <v>11.111727200697551</v>
      </c>
      <c r="AC57">
        <f t="shared" si="27"/>
        <v>10.568899353921891</v>
      </c>
      <c r="AD57">
        <f t="shared" si="28"/>
        <v>11.111727200697551</v>
      </c>
      <c r="AE57">
        <f t="shared" si="29"/>
        <v>10.568899353921891</v>
      </c>
      <c r="AF57">
        <f t="shared" si="30"/>
        <v>11.111727200697551</v>
      </c>
      <c r="AG57">
        <f t="shared" si="31"/>
        <v>10.568899353921891</v>
      </c>
      <c r="AH57">
        <f t="shared" si="32"/>
        <v>11.111727200697551</v>
      </c>
    </row>
    <row r="58" spans="1:34">
      <c r="A58" t="str">
        <f>CYF!A58</f>
        <v>Coffee</v>
      </c>
      <c r="B58" t="str">
        <f>CYF!B58</f>
        <v>AddisAbaba</v>
      </c>
      <c r="C58">
        <v>10.391865263697968</v>
      </c>
      <c r="D58">
        <v>11.774006313736475</v>
      </c>
      <c r="E58">
        <f t="shared" si="3"/>
        <v>10.391865263697968</v>
      </c>
      <c r="F58">
        <f t="shared" si="4"/>
        <v>11.774006313736475</v>
      </c>
      <c r="G58">
        <f t="shared" si="5"/>
        <v>10.391865263697968</v>
      </c>
      <c r="H58">
        <f t="shared" si="6"/>
        <v>11.774006313736475</v>
      </c>
      <c r="I58">
        <f t="shared" si="7"/>
        <v>10.391865263697968</v>
      </c>
      <c r="J58">
        <f t="shared" si="8"/>
        <v>11.774006313736475</v>
      </c>
      <c r="K58">
        <f t="shared" si="9"/>
        <v>10.391865263697968</v>
      </c>
      <c r="L58">
        <f t="shared" si="10"/>
        <v>11.774006313736475</v>
      </c>
      <c r="M58">
        <f t="shared" si="11"/>
        <v>10.391865263697968</v>
      </c>
      <c r="N58">
        <f t="shared" si="12"/>
        <v>11.774006313736475</v>
      </c>
      <c r="O58">
        <f t="shared" si="13"/>
        <v>10.391865263697968</v>
      </c>
      <c r="P58">
        <f t="shared" si="14"/>
        <v>11.774006313736475</v>
      </c>
      <c r="Q58">
        <f t="shared" si="15"/>
        <v>10.391865263697968</v>
      </c>
      <c r="R58">
        <f t="shared" si="16"/>
        <v>11.774006313736475</v>
      </c>
      <c r="S58">
        <f t="shared" si="17"/>
        <v>10.391865263697968</v>
      </c>
      <c r="T58">
        <f t="shared" si="18"/>
        <v>11.774006313736475</v>
      </c>
      <c r="U58">
        <f t="shared" si="19"/>
        <v>10.391865263697968</v>
      </c>
      <c r="V58">
        <f t="shared" si="20"/>
        <v>11.774006313736475</v>
      </c>
      <c r="W58">
        <f t="shared" si="21"/>
        <v>10.391865263697968</v>
      </c>
      <c r="X58">
        <f t="shared" si="22"/>
        <v>11.774006313736475</v>
      </c>
      <c r="Y58">
        <f t="shared" si="23"/>
        <v>10.391865263697968</v>
      </c>
      <c r="Z58">
        <f t="shared" si="24"/>
        <v>11.774006313736475</v>
      </c>
      <c r="AA58">
        <f t="shared" si="25"/>
        <v>10.391865263697968</v>
      </c>
      <c r="AB58">
        <f t="shared" si="26"/>
        <v>11.774006313736475</v>
      </c>
      <c r="AC58">
        <f t="shared" si="27"/>
        <v>10.391865263697968</v>
      </c>
      <c r="AD58">
        <f t="shared" si="28"/>
        <v>11.774006313736475</v>
      </c>
      <c r="AE58">
        <f t="shared" si="29"/>
        <v>10.391865263697968</v>
      </c>
      <c r="AF58">
        <f t="shared" si="30"/>
        <v>11.774006313736475</v>
      </c>
      <c r="AG58">
        <f t="shared" si="31"/>
        <v>10.391865263697968</v>
      </c>
      <c r="AH58">
        <f t="shared" si="32"/>
        <v>11.774006313736475</v>
      </c>
    </row>
    <row r="59" spans="1:34">
      <c r="A59" t="str">
        <f>CYF!A59</f>
        <v>Coffee</v>
      </c>
      <c r="B59" t="str">
        <f>CYF!B59</f>
        <v>Afar</v>
      </c>
      <c r="C59">
        <v>10.767049095351897</v>
      </c>
      <c r="D59">
        <v>11.596219032804713</v>
      </c>
      <c r="E59">
        <f t="shared" si="3"/>
        <v>10.767049095351897</v>
      </c>
      <c r="F59">
        <f t="shared" si="4"/>
        <v>11.596219032804713</v>
      </c>
      <c r="G59">
        <f t="shared" si="5"/>
        <v>10.767049095351897</v>
      </c>
      <c r="H59">
        <f t="shared" si="6"/>
        <v>11.596219032804713</v>
      </c>
      <c r="I59">
        <f t="shared" si="7"/>
        <v>10.767049095351897</v>
      </c>
      <c r="J59">
        <f t="shared" si="8"/>
        <v>11.596219032804713</v>
      </c>
      <c r="K59">
        <f t="shared" si="9"/>
        <v>10.767049095351897</v>
      </c>
      <c r="L59">
        <f t="shared" si="10"/>
        <v>11.596219032804713</v>
      </c>
      <c r="M59">
        <f t="shared" si="11"/>
        <v>10.767049095351897</v>
      </c>
      <c r="N59">
        <f t="shared" si="12"/>
        <v>11.596219032804713</v>
      </c>
      <c r="O59">
        <f t="shared" si="13"/>
        <v>10.767049095351897</v>
      </c>
      <c r="P59">
        <f t="shared" si="14"/>
        <v>11.596219032804713</v>
      </c>
      <c r="Q59">
        <f t="shared" si="15"/>
        <v>10.767049095351897</v>
      </c>
      <c r="R59">
        <f t="shared" si="16"/>
        <v>11.596219032804713</v>
      </c>
      <c r="S59">
        <f t="shared" si="17"/>
        <v>10.767049095351897</v>
      </c>
      <c r="T59">
        <f t="shared" si="18"/>
        <v>11.596219032804713</v>
      </c>
      <c r="U59">
        <f t="shared" si="19"/>
        <v>10.767049095351897</v>
      </c>
      <c r="V59">
        <f t="shared" si="20"/>
        <v>11.596219032804713</v>
      </c>
      <c r="W59">
        <f t="shared" si="21"/>
        <v>10.767049095351897</v>
      </c>
      <c r="X59">
        <f t="shared" si="22"/>
        <v>11.596219032804713</v>
      </c>
      <c r="Y59">
        <f t="shared" si="23"/>
        <v>10.767049095351897</v>
      </c>
      <c r="Z59">
        <f t="shared" si="24"/>
        <v>11.596219032804713</v>
      </c>
      <c r="AA59">
        <f t="shared" si="25"/>
        <v>10.767049095351897</v>
      </c>
      <c r="AB59">
        <f t="shared" si="26"/>
        <v>11.596219032804713</v>
      </c>
      <c r="AC59">
        <f t="shared" si="27"/>
        <v>10.767049095351897</v>
      </c>
      <c r="AD59">
        <f t="shared" si="28"/>
        <v>11.596219032804713</v>
      </c>
      <c r="AE59">
        <f t="shared" si="29"/>
        <v>10.767049095351897</v>
      </c>
      <c r="AF59">
        <f t="shared" si="30"/>
        <v>11.596219032804713</v>
      </c>
      <c r="AG59">
        <f t="shared" si="31"/>
        <v>10.767049095351897</v>
      </c>
      <c r="AH59">
        <f t="shared" si="32"/>
        <v>11.596219032804713</v>
      </c>
    </row>
    <row r="60" spans="1:34">
      <c r="A60" t="str">
        <f>CYF!A60</f>
        <v>Coffee</v>
      </c>
      <c r="B60" t="str">
        <f>CYF!B60</f>
        <v>Amhara</v>
      </c>
      <c r="C60">
        <v>10.842545551965701</v>
      </c>
      <c r="D60">
        <v>12.00766022740163</v>
      </c>
      <c r="E60">
        <f t="shared" si="3"/>
        <v>10.842545551965701</v>
      </c>
      <c r="F60">
        <f t="shared" si="4"/>
        <v>12.00766022740163</v>
      </c>
      <c r="G60">
        <f t="shared" si="5"/>
        <v>10.842545551965701</v>
      </c>
      <c r="H60">
        <f t="shared" si="6"/>
        <v>12.00766022740163</v>
      </c>
      <c r="I60">
        <f t="shared" si="7"/>
        <v>10.842545551965701</v>
      </c>
      <c r="J60">
        <f t="shared" si="8"/>
        <v>12.00766022740163</v>
      </c>
      <c r="K60">
        <f t="shared" si="9"/>
        <v>10.842545551965701</v>
      </c>
      <c r="L60">
        <f t="shared" si="10"/>
        <v>12.00766022740163</v>
      </c>
      <c r="M60">
        <f t="shared" si="11"/>
        <v>10.842545551965701</v>
      </c>
      <c r="N60">
        <f t="shared" si="12"/>
        <v>12.00766022740163</v>
      </c>
      <c r="O60">
        <f t="shared" si="13"/>
        <v>10.842545551965701</v>
      </c>
      <c r="P60">
        <f t="shared" si="14"/>
        <v>12.00766022740163</v>
      </c>
      <c r="Q60">
        <f t="shared" si="15"/>
        <v>10.842545551965701</v>
      </c>
      <c r="R60">
        <f t="shared" si="16"/>
        <v>12.00766022740163</v>
      </c>
      <c r="S60">
        <f t="shared" si="17"/>
        <v>10.842545551965701</v>
      </c>
      <c r="T60">
        <f t="shared" si="18"/>
        <v>12.00766022740163</v>
      </c>
      <c r="U60">
        <f t="shared" si="19"/>
        <v>10.842545551965701</v>
      </c>
      <c r="V60">
        <f t="shared" si="20"/>
        <v>12.00766022740163</v>
      </c>
      <c r="W60">
        <f t="shared" si="21"/>
        <v>10.842545551965701</v>
      </c>
      <c r="X60">
        <f t="shared" si="22"/>
        <v>12.00766022740163</v>
      </c>
      <c r="Y60">
        <f t="shared" si="23"/>
        <v>10.842545551965701</v>
      </c>
      <c r="Z60">
        <f t="shared" si="24"/>
        <v>12.00766022740163</v>
      </c>
      <c r="AA60">
        <f t="shared" si="25"/>
        <v>10.842545551965701</v>
      </c>
      <c r="AB60">
        <f t="shared" si="26"/>
        <v>12.00766022740163</v>
      </c>
      <c r="AC60">
        <f t="shared" si="27"/>
        <v>10.842545551965701</v>
      </c>
      <c r="AD60">
        <f t="shared" si="28"/>
        <v>12.00766022740163</v>
      </c>
      <c r="AE60">
        <f t="shared" si="29"/>
        <v>10.842545551965701</v>
      </c>
      <c r="AF60">
        <f t="shared" si="30"/>
        <v>12.00766022740163</v>
      </c>
      <c r="AG60">
        <f t="shared" si="31"/>
        <v>10.842545551965701</v>
      </c>
      <c r="AH60">
        <f t="shared" si="32"/>
        <v>12.00766022740163</v>
      </c>
    </row>
    <row r="61" spans="1:34">
      <c r="A61" t="str">
        <f>CYF!A61</f>
        <v>Coffee</v>
      </c>
      <c r="B61" t="str">
        <f>CYF!B61</f>
        <v>Gumuz</v>
      </c>
      <c r="C61">
        <v>11.325229980537809</v>
      </c>
      <c r="D61">
        <v>11.680654592194358</v>
      </c>
      <c r="E61">
        <f t="shared" si="3"/>
        <v>11.325229980537809</v>
      </c>
      <c r="F61">
        <f t="shared" si="4"/>
        <v>11.680654592194358</v>
      </c>
      <c r="G61">
        <f t="shared" si="5"/>
        <v>11.325229980537809</v>
      </c>
      <c r="H61">
        <f t="shared" si="6"/>
        <v>11.680654592194358</v>
      </c>
      <c r="I61">
        <f t="shared" si="7"/>
        <v>11.325229980537809</v>
      </c>
      <c r="J61">
        <f t="shared" si="8"/>
        <v>11.680654592194358</v>
      </c>
      <c r="K61">
        <f t="shared" si="9"/>
        <v>11.325229980537809</v>
      </c>
      <c r="L61">
        <f t="shared" si="10"/>
        <v>11.680654592194358</v>
      </c>
      <c r="M61">
        <f t="shared" si="11"/>
        <v>11.325229980537809</v>
      </c>
      <c r="N61">
        <f t="shared" si="12"/>
        <v>11.680654592194358</v>
      </c>
      <c r="O61">
        <f t="shared" si="13"/>
        <v>11.325229980537809</v>
      </c>
      <c r="P61">
        <f t="shared" si="14"/>
        <v>11.680654592194358</v>
      </c>
      <c r="Q61">
        <f t="shared" si="15"/>
        <v>11.325229980537809</v>
      </c>
      <c r="R61">
        <f t="shared" si="16"/>
        <v>11.680654592194358</v>
      </c>
      <c r="S61">
        <f t="shared" si="17"/>
        <v>11.325229980537809</v>
      </c>
      <c r="T61">
        <f t="shared" si="18"/>
        <v>11.680654592194358</v>
      </c>
      <c r="U61">
        <f t="shared" si="19"/>
        <v>11.325229980537809</v>
      </c>
      <c r="V61">
        <f t="shared" si="20"/>
        <v>11.680654592194358</v>
      </c>
      <c r="W61">
        <f t="shared" si="21"/>
        <v>11.325229980537809</v>
      </c>
      <c r="X61">
        <f t="shared" si="22"/>
        <v>11.680654592194358</v>
      </c>
      <c r="Y61">
        <f t="shared" si="23"/>
        <v>11.325229980537809</v>
      </c>
      <c r="Z61">
        <f t="shared" si="24"/>
        <v>11.680654592194358</v>
      </c>
      <c r="AA61">
        <f t="shared" si="25"/>
        <v>11.325229980537809</v>
      </c>
      <c r="AB61">
        <f t="shared" si="26"/>
        <v>11.680654592194358</v>
      </c>
      <c r="AC61">
        <f t="shared" si="27"/>
        <v>11.325229980537809</v>
      </c>
      <c r="AD61">
        <f t="shared" si="28"/>
        <v>11.680654592194358</v>
      </c>
      <c r="AE61">
        <f t="shared" si="29"/>
        <v>11.325229980537809</v>
      </c>
      <c r="AF61">
        <f t="shared" si="30"/>
        <v>11.680654592194358</v>
      </c>
      <c r="AG61">
        <f t="shared" si="31"/>
        <v>11.325229980537809</v>
      </c>
      <c r="AH61">
        <f t="shared" si="32"/>
        <v>11.680654592194358</v>
      </c>
    </row>
    <row r="62" spans="1:34">
      <c r="A62" t="str">
        <f>CYF!A62</f>
        <v>Coffee</v>
      </c>
      <c r="B62" t="str">
        <f>CYF!B62</f>
        <v>DireDawa</v>
      </c>
      <c r="C62">
        <v>11.325597632402632</v>
      </c>
      <c r="D62">
        <v>12.274969692372212</v>
      </c>
      <c r="E62">
        <f t="shared" si="3"/>
        <v>11.325597632402632</v>
      </c>
      <c r="F62">
        <f t="shared" si="4"/>
        <v>12.274969692372212</v>
      </c>
      <c r="G62">
        <f t="shared" si="5"/>
        <v>11.325597632402632</v>
      </c>
      <c r="H62">
        <f t="shared" si="6"/>
        <v>12.274969692372212</v>
      </c>
      <c r="I62">
        <f t="shared" si="7"/>
        <v>11.325597632402632</v>
      </c>
      <c r="J62">
        <f t="shared" si="8"/>
        <v>12.274969692372212</v>
      </c>
      <c r="K62">
        <f t="shared" si="9"/>
        <v>11.325597632402632</v>
      </c>
      <c r="L62">
        <f t="shared" si="10"/>
        <v>12.274969692372212</v>
      </c>
      <c r="M62">
        <f t="shared" si="11"/>
        <v>11.325597632402632</v>
      </c>
      <c r="N62">
        <f t="shared" si="12"/>
        <v>12.274969692372212</v>
      </c>
      <c r="O62">
        <f t="shared" si="13"/>
        <v>11.325597632402632</v>
      </c>
      <c r="P62">
        <f t="shared" si="14"/>
        <v>12.274969692372212</v>
      </c>
      <c r="Q62">
        <f t="shared" si="15"/>
        <v>11.325597632402632</v>
      </c>
      <c r="R62">
        <f t="shared" si="16"/>
        <v>12.274969692372212</v>
      </c>
      <c r="S62">
        <f t="shared" si="17"/>
        <v>11.325597632402632</v>
      </c>
      <c r="T62">
        <f t="shared" si="18"/>
        <v>12.274969692372212</v>
      </c>
      <c r="U62">
        <f t="shared" si="19"/>
        <v>11.325597632402632</v>
      </c>
      <c r="V62">
        <f t="shared" si="20"/>
        <v>12.274969692372212</v>
      </c>
      <c r="W62">
        <f t="shared" si="21"/>
        <v>11.325597632402632</v>
      </c>
      <c r="X62">
        <f t="shared" si="22"/>
        <v>12.274969692372212</v>
      </c>
      <c r="Y62">
        <f t="shared" si="23"/>
        <v>11.325597632402632</v>
      </c>
      <c r="Z62">
        <f t="shared" si="24"/>
        <v>12.274969692372212</v>
      </c>
      <c r="AA62">
        <f t="shared" si="25"/>
        <v>11.325597632402632</v>
      </c>
      <c r="AB62">
        <f t="shared" si="26"/>
        <v>12.274969692372212</v>
      </c>
      <c r="AC62">
        <f t="shared" si="27"/>
        <v>11.325597632402632</v>
      </c>
      <c r="AD62">
        <f t="shared" si="28"/>
        <v>12.274969692372212</v>
      </c>
      <c r="AE62">
        <f t="shared" si="29"/>
        <v>11.325597632402632</v>
      </c>
      <c r="AF62">
        <f t="shared" si="30"/>
        <v>12.274969692372212</v>
      </c>
      <c r="AG62">
        <f t="shared" si="31"/>
        <v>11.325597632402632</v>
      </c>
      <c r="AH62">
        <f t="shared" si="32"/>
        <v>12.274969692372212</v>
      </c>
    </row>
    <row r="63" spans="1:34">
      <c r="A63" t="str">
        <f>CYF!A63</f>
        <v>Coffee</v>
      </c>
      <c r="B63" t="str">
        <f>CYF!B63</f>
        <v>Gambela</v>
      </c>
      <c r="C63">
        <v>10.01252497206467</v>
      </c>
      <c r="D63">
        <v>12.366667177475859</v>
      </c>
      <c r="E63">
        <f t="shared" si="3"/>
        <v>10.01252497206467</v>
      </c>
      <c r="F63">
        <f t="shared" si="4"/>
        <v>12.366667177475859</v>
      </c>
      <c r="G63">
        <f t="shared" si="5"/>
        <v>10.01252497206467</v>
      </c>
      <c r="H63">
        <f t="shared" si="6"/>
        <v>12.366667177475859</v>
      </c>
      <c r="I63">
        <f t="shared" si="7"/>
        <v>10.01252497206467</v>
      </c>
      <c r="J63">
        <f t="shared" si="8"/>
        <v>12.366667177475859</v>
      </c>
      <c r="K63">
        <f t="shared" si="9"/>
        <v>10.01252497206467</v>
      </c>
      <c r="L63">
        <f t="shared" si="10"/>
        <v>12.366667177475859</v>
      </c>
      <c r="M63">
        <f t="shared" si="11"/>
        <v>10.01252497206467</v>
      </c>
      <c r="N63">
        <f t="shared" si="12"/>
        <v>12.366667177475859</v>
      </c>
      <c r="O63">
        <f t="shared" si="13"/>
        <v>10.01252497206467</v>
      </c>
      <c r="P63">
        <f t="shared" si="14"/>
        <v>12.366667177475859</v>
      </c>
      <c r="Q63">
        <f t="shared" si="15"/>
        <v>10.01252497206467</v>
      </c>
      <c r="R63">
        <f t="shared" si="16"/>
        <v>12.366667177475859</v>
      </c>
      <c r="S63">
        <f t="shared" si="17"/>
        <v>10.01252497206467</v>
      </c>
      <c r="T63">
        <f t="shared" si="18"/>
        <v>12.366667177475859</v>
      </c>
      <c r="U63">
        <f t="shared" si="19"/>
        <v>10.01252497206467</v>
      </c>
      <c r="V63">
        <f t="shared" si="20"/>
        <v>12.366667177475859</v>
      </c>
      <c r="W63">
        <f t="shared" si="21"/>
        <v>10.01252497206467</v>
      </c>
      <c r="X63">
        <f t="shared" si="22"/>
        <v>12.366667177475859</v>
      </c>
      <c r="Y63">
        <f t="shared" si="23"/>
        <v>10.01252497206467</v>
      </c>
      <c r="Z63">
        <f t="shared" si="24"/>
        <v>12.366667177475859</v>
      </c>
      <c r="AA63">
        <f t="shared" si="25"/>
        <v>10.01252497206467</v>
      </c>
      <c r="AB63">
        <f t="shared" si="26"/>
        <v>12.366667177475859</v>
      </c>
      <c r="AC63">
        <f t="shared" si="27"/>
        <v>10.01252497206467</v>
      </c>
      <c r="AD63">
        <f t="shared" si="28"/>
        <v>12.366667177475859</v>
      </c>
      <c r="AE63">
        <f t="shared" si="29"/>
        <v>10.01252497206467</v>
      </c>
      <c r="AF63">
        <f t="shared" si="30"/>
        <v>12.366667177475859</v>
      </c>
      <c r="AG63">
        <f t="shared" si="31"/>
        <v>10.01252497206467</v>
      </c>
      <c r="AH63">
        <f t="shared" si="32"/>
        <v>12.366667177475859</v>
      </c>
    </row>
    <row r="64" spans="1:34">
      <c r="A64" t="str">
        <f>CYF!A64</f>
        <v>Coffee</v>
      </c>
      <c r="B64" t="str">
        <f>CYF!B64</f>
        <v>Harari</v>
      </c>
      <c r="C64">
        <v>10.811905899997017</v>
      </c>
      <c r="D64">
        <v>12.363940869296339</v>
      </c>
      <c r="E64">
        <f t="shared" si="3"/>
        <v>10.811905899997017</v>
      </c>
      <c r="F64">
        <f t="shared" si="4"/>
        <v>12.363940869296339</v>
      </c>
      <c r="G64">
        <f t="shared" si="5"/>
        <v>10.811905899997017</v>
      </c>
      <c r="H64">
        <f t="shared" si="6"/>
        <v>12.363940869296339</v>
      </c>
      <c r="I64">
        <f t="shared" si="7"/>
        <v>10.811905899997017</v>
      </c>
      <c r="J64">
        <f t="shared" si="8"/>
        <v>12.363940869296339</v>
      </c>
      <c r="K64">
        <f t="shared" si="9"/>
        <v>10.811905899997017</v>
      </c>
      <c r="L64">
        <f t="shared" si="10"/>
        <v>12.363940869296339</v>
      </c>
      <c r="M64">
        <f t="shared" si="11"/>
        <v>10.811905899997017</v>
      </c>
      <c r="N64">
        <f t="shared" si="12"/>
        <v>12.363940869296339</v>
      </c>
      <c r="O64">
        <f t="shared" si="13"/>
        <v>10.811905899997017</v>
      </c>
      <c r="P64">
        <f t="shared" si="14"/>
        <v>12.363940869296339</v>
      </c>
      <c r="Q64">
        <f t="shared" si="15"/>
        <v>10.811905899997017</v>
      </c>
      <c r="R64">
        <f t="shared" si="16"/>
        <v>12.363940869296339</v>
      </c>
      <c r="S64">
        <f t="shared" si="17"/>
        <v>10.811905899997017</v>
      </c>
      <c r="T64">
        <f t="shared" si="18"/>
        <v>12.363940869296339</v>
      </c>
      <c r="U64">
        <f t="shared" si="19"/>
        <v>10.811905899997017</v>
      </c>
      <c r="V64">
        <f t="shared" si="20"/>
        <v>12.363940869296339</v>
      </c>
      <c r="W64">
        <f t="shared" si="21"/>
        <v>10.811905899997017</v>
      </c>
      <c r="X64">
        <f t="shared" si="22"/>
        <v>12.363940869296339</v>
      </c>
      <c r="Y64">
        <f t="shared" si="23"/>
        <v>10.811905899997017</v>
      </c>
      <c r="Z64">
        <f t="shared" si="24"/>
        <v>12.363940869296339</v>
      </c>
      <c r="AA64">
        <f t="shared" si="25"/>
        <v>10.811905899997017</v>
      </c>
      <c r="AB64">
        <f t="shared" si="26"/>
        <v>12.363940869296339</v>
      </c>
      <c r="AC64">
        <f t="shared" si="27"/>
        <v>10.811905899997017</v>
      </c>
      <c r="AD64">
        <f t="shared" si="28"/>
        <v>12.363940869296339</v>
      </c>
      <c r="AE64">
        <f t="shared" si="29"/>
        <v>10.811905899997017</v>
      </c>
      <c r="AF64">
        <f t="shared" si="30"/>
        <v>12.363940869296339</v>
      </c>
      <c r="AG64">
        <f t="shared" si="31"/>
        <v>10.811905899997017</v>
      </c>
      <c r="AH64">
        <f t="shared" si="32"/>
        <v>12.363940869296339</v>
      </c>
    </row>
    <row r="65" spans="1:34">
      <c r="A65" t="str">
        <f>CYF!A65</f>
        <v>Coffee</v>
      </c>
      <c r="B65" t="str">
        <f>CYF!B65</f>
        <v>Oromia</v>
      </c>
      <c r="C65">
        <v>9.4157618890066459</v>
      </c>
      <c r="D65">
        <v>11.549606770671573</v>
      </c>
      <c r="E65">
        <f t="shared" si="3"/>
        <v>9.4157618890066459</v>
      </c>
      <c r="F65">
        <f t="shared" si="4"/>
        <v>11.549606770671573</v>
      </c>
      <c r="G65">
        <f t="shared" si="5"/>
        <v>9.4157618890066459</v>
      </c>
      <c r="H65">
        <f t="shared" si="6"/>
        <v>11.549606770671573</v>
      </c>
      <c r="I65">
        <f t="shared" si="7"/>
        <v>9.4157618890066459</v>
      </c>
      <c r="J65">
        <f t="shared" si="8"/>
        <v>11.549606770671573</v>
      </c>
      <c r="K65">
        <f t="shared" si="9"/>
        <v>9.4157618890066459</v>
      </c>
      <c r="L65">
        <f t="shared" si="10"/>
        <v>11.549606770671573</v>
      </c>
      <c r="M65">
        <f t="shared" si="11"/>
        <v>9.4157618890066459</v>
      </c>
      <c r="N65">
        <f t="shared" si="12"/>
        <v>11.549606770671573</v>
      </c>
      <c r="O65">
        <f t="shared" si="13"/>
        <v>9.4157618890066459</v>
      </c>
      <c r="P65">
        <f t="shared" si="14"/>
        <v>11.549606770671573</v>
      </c>
      <c r="Q65">
        <f t="shared" si="15"/>
        <v>9.4157618890066459</v>
      </c>
      <c r="R65">
        <f t="shared" si="16"/>
        <v>11.549606770671573</v>
      </c>
      <c r="S65">
        <f t="shared" si="17"/>
        <v>9.4157618890066459</v>
      </c>
      <c r="T65">
        <f t="shared" si="18"/>
        <v>11.549606770671573</v>
      </c>
      <c r="U65">
        <f t="shared" si="19"/>
        <v>9.4157618890066459</v>
      </c>
      <c r="V65">
        <f t="shared" si="20"/>
        <v>11.549606770671573</v>
      </c>
      <c r="W65">
        <f t="shared" si="21"/>
        <v>9.4157618890066459</v>
      </c>
      <c r="X65">
        <f t="shared" si="22"/>
        <v>11.549606770671573</v>
      </c>
      <c r="Y65">
        <f t="shared" si="23"/>
        <v>9.4157618890066459</v>
      </c>
      <c r="Z65">
        <f t="shared" si="24"/>
        <v>11.549606770671573</v>
      </c>
      <c r="AA65">
        <f t="shared" si="25"/>
        <v>9.4157618890066459</v>
      </c>
      <c r="AB65">
        <f t="shared" si="26"/>
        <v>11.549606770671573</v>
      </c>
      <c r="AC65">
        <f t="shared" si="27"/>
        <v>9.4157618890066459</v>
      </c>
      <c r="AD65">
        <f t="shared" si="28"/>
        <v>11.549606770671573</v>
      </c>
      <c r="AE65">
        <f t="shared" si="29"/>
        <v>9.4157618890066459</v>
      </c>
      <c r="AF65">
        <f t="shared" si="30"/>
        <v>11.549606770671573</v>
      </c>
      <c r="AG65">
        <f t="shared" si="31"/>
        <v>9.4157618890066459</v>
      </c>
      <c r="AH65">
        <f t="shared" si="32"/>
        <v>11.549606770671573</v>
      </c>
    </row>
    <row r="66" spans="1:34">
      <c r="A66" t="str">
        <f>CYF!A66</f>
        <v>Coffee</v>
      </c>
      <c r="B66" t="str">
        <f>CYF!B66</f>
        <v>Somali</v>
      </c>
      <c r="C66">
        <v>9.3720878682033835</v>
      </c>
      <c r="D66">
        <v>11.44834218865283</v>
      </c>
      <c r="E66">
        <f t="shared" si="3"/>
        <v>9.3720878682033835</v>
      </c>
      <c r="F66">
        <f t="shared" si="4"/>
        <v>11.44834218865283</v>
      </c>
      <c r="G66">
        <f t="shared" si="5"/>
        <v>9.3720878682033835</v>
      </c>
      <c r="H66">
        <f t="shared" si="6"/>
        <v>11.44834218865283</v>
      </c>
      <c r="I66">
        <f t="shared" si="7"/>
        <v>9.3720878682033835</v>
      </c>
      <c r="J66">
        <f t="shared" si="8"/>
        <v>11.44834218865283</v>
      </c>
      <c r="K66">
        <f t="shared" si="9"/>
        <v>9.3720878682033835</v>
      </c>
      <c r="L66">
        <f t="shared" si="10"/>
        <v>11.44834218865283</v>
      </c>
      <c r="M66">
        <f t="shared" si="11"/>
        <v>9.3720878682033835</v>
      </c>
      <c r="N66">
        <f t="shared" si="12"/>
        <v>11.44834218865283</v>
      </c>
      <c r="O66">
        <f t="shared" si="13"/>
        <v>9.3720878682033835</v>
      </c>
      <c r="P66">
        <f t="shared" si="14"/>
        <v>11.44834218865283</v>
      </c>
      <c r="Q66">
        <f t="shared" si="15"/>
        <v>9.3720878682033835</v>
      </c>
      <c r="R66">
        <f t="shared" si="16"/>
        <v>11.44834218865283</v>
      </c>
      <c r="S66">
        <f t="shared" si="17"/>
        <v>9.3720878682033835</v>
      </c>
      <c r="T66">
        <f t="shared" si="18"/>
        <v>11.44834218865283</v>
      </c>
      <c r="U66">
        <f t="shared" si="19"/>
        <v>9.3720878682033835</v>
      </c>
      <c r="V66">
        <f t="shared" si="20"/>
        <v>11.44834218865283</v>
      </c>
      <c r="W66">
        <f t="shared" si="21"/>
        <v>9.3720878682033835</v>
      </c>
      <c r="X66">
        <f t="shared" si="22"/>
        <v>11.44834218865283</v>
      </c>
      <c r="Y66">
        <f t="shared" si="23"/>
        <v>9.3720878682033835</v>
      </c>
      <c r="Z66">
        <f t="shared" si="24"/>
        <v>11.44834218865283</v>
      </c>
      <c r="AA66">
        <f t="shared" si="25"/>
        <v>9.3720878682033835</v>
      </c>
      <c r="AB66">
        <f t="shared" si="26"/>
        <v>11.44834218865283</v>
      </c>
      <c r="AC66">
        <f t="shared" si="27"/>
        <v>9.3720878682033835</v>
      </c>
      <c r="AD66">
        <f t="shared" si="28"/>
        <v>11.44834218865283</v>
      </c>
      <c r="AE66">
        <f t="shared" si="29"/>
        <v>9.3720878682033835</v>
      </c>
      <c r="AF66">
        <f t="shared" si="30"/>
        <v>11.44834218865283</v>
      </c>
      <c r="AG66">
        <f t="shared" si="31"/>
        <v>9.3720878682033835</v>
      </c>
      <c r="AH66">
        <f t="shared" si="32"/>
        <v>11.44834218865283</v>
      </c>
    </row>
    <row r="67" spans="1:34">
      <c r="A67" t="str">
        <f>CYF!A67</f>
        <v>Coffee</v>
      </c>
      <c r="B67" t="str">
        <f>CYF!B67</f>
        <v>SNNPR</v>
      </c>
      <c r="C67">
        <v>10.560565505696395</v>
      </c>
      <c r="D67">
        <v>11.764364223925199</v>
      </c>
      <c r="E67">
        <f t="shared" si="3"/>
        <v>10.560565505696395</v>
      </c>
      <c r="F67">
        <f t="shared" si="4"/>
        <v>11.764364223925199</v>
      </c>
      <c r="G67">
        <f t="shared" si="5"/>
        <v>10.560565505696395</v>
      </c>
      <c r="H67">
        <f t="shared" si="6"/>
        <v>11.764364223925199</v>
      </c>
      <c r="I67">
        <f t="shared" si="7"/>
        <v>10.560565505696395</v>
      </c>
      <c r="J67">
        <f t="shared" si="8"/>
        <v>11.764364223925199</v>
      </c>
      <c r="K67">
        <f t="shared" si="9"/>
        <v>10.560565505696395</v>
      </c>
      <c r="L67">
        <f t="shared" si="10"/>
        <v>11.764364223925199</v>
      </c>
      <c r="M67">
        <f t="shared" si="11"/>
        <v>10.560565505696395</v>
      </c>
      <c r="N67">
        <f t="shared" si="12"/>
        <v>11.764364223925199</v>
      </c>
      <c r="O67">
        <f t="shared" si="13"/>
        <v>10.560565505696395</v>
      </c>
      <c r="P67">
        <f t="shared" si="14"/>
        <v>11.764364223925199</v>
      </c>
      <c r="Q67">
        <f t="shared" si="15"/>
        <v>10.560565505696395</v>
      </c>
      <c r="R67">
        <f t="shared" si="16"/>
        <v>11.764364223925199</v>
      </c>
      <c r="S67">
        <f t="shared" si="17"/>
        <v>10.560565505696395</v>
      </c>
      <c r="T67">
        <f t="shared" si="18"/>
        <v>11.764364223925199</v>
      </c>
      <c r="U67">
        <f t="shared" si="19"/>
        <v>10.560565505696395</v>
      </c>
      <c r="V67">
        <f t="shared" si="20"/>
        <v>11.764364223925199</v>
      </c>
      <c r="W67">
        <f t="shared" si="21"/>
        <v>10.560565505696395</v>
      </c>
      <c r="X67">
        <f t="shared" si="22"/>
        <v>11.764364223925199</v>
      </c>
      <c r="Y67">
        <f t="shared" si="23"/>
        <v>10.560565505696395</v>
      </c>
      <c r="Z67">
        <f t="shared" si="24"/>
        <v>11.764364223925199</v>
      </c>
      <c r="AA67">
        <f t="shared" si="25"/>
        <v>10.560565505696395</v>
      </c>
      <c r="AB67">
        <f t="shared" si="26"/>
        <v>11.764364223925199</v>
      </c>
      <c r="AC67">
        <f t="shared" si="27"/>
        <v>10.560565505696395</v>
      </c>
      <c r="AD67">
        <f t="shared" si="28"/>
        <v>11.764364223925199</v>
      </c>
      <c r="AE67">
        <f t="shared" si="29"/>
        <v>10.560565505696395</v>
      </c>
      <c r="AF67">
        <f t="shared" si="30"/>
        <v>11.764364223925199</v>
      </c>
      <c r="AG67">
        <f t="shared" si="31"/>
        <v>10.560565505696395</v>
      </c>
      <c r="AH67">
        <f t="shared" si="32"/>
        <v>11.764364223925199</v>
      </c>
    </row>
    <row r="68" spans="1:34">
      <c r="A68" t="str">
        <f>CYF!A68</f>
        <v>Coffee</v>
      </c>
      <c r="B68" t="str">
        <f>CYF!B68</f>
        <v>Tigray</v>
      </c>
      <c r="C68">
        <v>10.384025798534637</v>
      </c>
      <c r="D68">
        <v>11.330214130441449</v>
      </c>
      <c r="E68">
        <f t="shared" ref="E68" si="33">C68</f>
        <v>10.384025798534637</v>
      </c>
      <c r="F68">
        <f t="shared" ref="F68" si="34">D68</f>
        <v>11.330214130441449</v>
      </c>
      <c r="G68">
        <f t="shared" ref="G68" si="35">E68</f>
        <v>10.384025798534637</v>
      </c>
      <c r="H68">
        <f t="shared" ref="H68" si="36">F68</f>
        <v>11.330214130441449</v>
      </c>
      <c r="I68">
        <f t="shared" ref="I68" si="37">G68</f>
        <v>10.384025798534637</v>
      </c>
      <c r="J68">
        <f t="shared" ref="J68" si="38">H68</f>
        <v>11.330214130441449</v>
      </c>
      <c r="K68">
        <f t="shared" ref="K68" si="39">I68</f>
        <v>10.384025798534637</v>
      </c>
      <c r="L68">
        <f t="shared" ref="L68" si="40">J68</f>
        <v>11.330214130441449</v>
      </c>
      <c r="M68">
        <f t="shared" ref="M68" si="41">K68</f>
        <v>10.384025798534637</v>
      </c>
      <c r="N68">
        <f t="shared" ref="N68" si="42">L68</f>
        <v>11.330214130441449</v>
      </c>
      <c r="O68">
        <f t="shared" ref="O68" si="43">M68</f>
        <v>10.384025798534637</v>
      </c>
      <c r="P68">
        <f t="shared" ref="P68" si="44">N68</f>
        <v>11.330214130441449</v>
      </c>
      <c r="Q68">
        <f t="shared" ref="Q68" si="45">O68</f>
        <v>10.384025798534637</v>
      </c>
      <c r="R68">
        <f t="shared" ref="R68" si="46">P68</f>
        <v>11.330214130441449</v>
      </c>
      <c r="S68">
        <f t="shared" ref="S68" si="47">Q68</f>
        <v>10.384025798534637</v>
      </c>
      <c r="T68">
        <f t="shared" ref="T68" si="48">R68</f>
        <v>11.330214130441449</v>
      </c>
      <c r="U68">
        <f t="shared" ref="U68" si="49">S68</f>
        <v>10.384025798534637</v>
      </c>
      <c r="V68">
        <f t="shared" ref="V68" si="50">T68</f>
        <v>11.330214130441449</v>
      </c>
      <c r="W68">
        <f t="shared" ref="W68" si="51">U68</f>
        <v>10.384025798534637</v>
      </c>
      <c r="X68">
        <f t="shared" ref="X68" si="52">V68</f>
        <v>11.330214130441449</v>
      </c>
      <c r="Y68">
        <f t="shared" ref="Y68" si="53">W68</f>
        <v>10.384025798534637</v>
      </c>
      <c r="Z68">
        <f t="shared" ref="Z68" si="54">X68</f>
        <v>11.330214130441449</v>
      </c>
      <c r="AA68">
        <f t="shared" ref="AA68" si="55">Y68</f>
        <v>10.384025798534637</v>
      </c>
      <c r="AB68">
        <f t="shared" ref="AB68" si="56">Z68</f>
        <v>11.330214130441449</v>
      </c>
      <c r="AC68">
        <f t="shared" ref="AC68" si="57">AA68</f>
        <v>10.384025798534637</v>
      </c>
      <c r="AD68">
        <f t="shared" ref="AD68" si="58">AB68</f>
        <v>11.330214130441449</v>
      </c>
      <c r="AE68">
        <f t="shared" ref="AE68" si="59">AC68</f>
        <v>10.384025798534637</v>
      </c>
      <c r="AF68">
        <f t="shared" ref="AF68" si="60">AD68</f>
        <v>11.330214130441449</v>
      </c>
      <c r="AG68">
        <f t="shared" ref="AG68" si="61">AE68</f>
        <v>10.384025798534637</v>
      </c>
      <c r="AH68">
        <f t="shared" ref="AH68" si="62">AF68</f>
        <v>11.330214130441449</v>
      </c>
    </row>
    <row r="101" spans="1:17">
      <c r="B101">
        <f t="array" ref="B101:Q101">TRANSPOSE(Years)</f>
        <v>2015</v>
      </c>
      <c r="C101">
        <v>2016</v>
      </c>
      <c r="D101">
        <v>2017</v>
      </c>
      <c r="E101">
        <v>2018</v>
      </c>
      <c r="F101">
        <v>2019</v>
      </c>
      <c r="G101">
        <v>2020</v>
      </c>
      <c r="H101">
        <v>2021</v>
      </c>
      <c r="I101">
        <v>2022</v>
      </c>
      <c r="J101">
        <v>2023</v>
      </c>
      <c r="K101">
        <v>2024</v>
      </c>
      <c r="L101">
        <v>2025</v>
      </c>
      <c r="M101">
        <v>2026</v>
      </c>
      <c r="N101">
        <v>2027</v>
      </c>
      <c r="O101">
        <v>2028</v>
      </c>
      <c r="P101">
        <v>2029</v>
      </c>
      <c r="Q101">
        <v>2030</v>
      </c>
    </row>
    <row r="102" spans="1:17">
      <c r="A102" t="str">
        <f t="array" ref="A102:A112">Nodes</f>
        <v>AddisAbaba</v>
      </c>
      <c r="B102">
        <v>1000</v>
      </c>
      <c r="C102">
        <v>1000</v>
      </c>
      <c r="D102">
        <v>1000</v>
      </c>
      <c r="E102">
        <v>1000</v>
      </c>
      <c r="F102">
        <v>1000</v>
      </c>
      <c r="G102">
        <v>1000</v>
      </c>
      <c r="H102">
        <v>1000</v>
      </c>
      <c r="I102">
        <v>1000</v>
      </c>
      <c r="J102">
        <v>1000</v>
      </c>
      <c r="K102">
        <v>1000</v>
      </c>
      <c r="L102">
        <v>1000</v>
      </c>
      <c r="M102">
        <v>1000</v>
      </c>
      <c r="N102">
        <v>1000</v>
      </c>
      <c r="O102">
        <v>1000</v>
      </c>
      <c r="P102">
        <v>1000</v>
      </c>
      <c r="Q102">
        <v>1000</v>
      </c>
    </row>
    <row r="103" spans="1:17">
      <c r="A103" t="str">
        <v>Afar</v>
      </c>
      <c r="B103">
        <v>1000</v>
      </c>
      <c r="C103">
        <v>1000</v>
      </c>
      <c r="D103">
        <v>1000</v>
      </c>
      <c r="E103">
        <v>1000</v>
      </c>
      <c r="F103">
        <v>1000</v>
      </c>
      <c r="G103">
        <v>1000</v>
      </c>
      <c r="H103">
        <v>1000</v>
      </c>
      <c r="I103">
        <v>1000</v>
      </c>
      <c r="J103">
        <v>1000</v>
      </c>
      <c r="K103">
        <v>1000</v>
      </c>
      <c r="L103">
        <v>1000</v>
      </c>
      <c r="M103">
        <v>1000</v>
      </c>
      <c r="N103">
        <v>1000</v>
      </c>
      <c r="O103">
        <v>1000</v>
      </c>
      <c r="P103">
        <v>1000</v>
      </c>
      <c r="Q103">
        <v>1000</v>
      </c>
    </row>
    <row r="104" spans="1:17">
      <c r="A104" t="str">
        <v>Amhara</v>
      </c>
      <c r="B104">
        <v>1000</v>
      </c>
      <c r="C104">
        <v>1000</v>
      </c>
      <c r="D104">
        <v>1000</v>
      </c>
      <c r="E104">
        <v>1000</v>
      </c>
      <c r="F104">
        <v>1000</v>
      </c>
      <c r="G104">
        <v>1000</v>
      </c>
      <c r="H104">
        <v>1000</v>
      </c>
      <c r="I104">
        <v>1000</v>
      </c>
      <c r="J104">
        <v>1000</v>
      </c>
      <c r="K104">
        <v>1000</v>
      </c>
      <c r="L104">
        <v>1000</v>
      </c>
      <c r="M104">
        <v>1000</v>
      </c>
      <c r="N104">
        <v>1000</v>
      </c>
      <c r="O104">
        <v>1000</v>
      </c>
      <c r="P104">
        <v>1000</v>
      </c>
      <c r="Q104">
        <v>1000</v>
      </c>
    </row>
    <row r="105" spans="1:17">
      <c r="A105" t="str">
        <v>Gumuz</v>
      </c>
      <c r="B105">
        <v>1000</v>
      </c>
      <c r="C105">
        <v>1000</v>
      </c>
      <c r="D105">
        <v>1000</v>
      </c>
      <c r="E105">
        <v>1000</v>
      </c>
      <c r="F105">
        <v>1000</v>
      </c>
      <c r="G105">
        <v>1000</v>
      </c>
      <c r="H105">
        <v>1000</v>
      </c>
      <c r="I105">
        <v>1000</v>
      </c>
      <c r="J105">
        <v>1000</v>
      </c>
      <c r="K105">
        <v>1000</v>
      </c>
      <c r="L105">
        <v>1000</v>
      </c>
      <c r="M105">
        <v>1000</v>
      </c>
      <c r="N105">
        <v>1000</v>
      </c>
      <c r="O105">
        <v>1000</v>
      </c>
      <c r="P105">
        <v>1000</v>
      </c>
      <c r="Q105">
        <v>1000</v>
      </c>
    </row>
    <row r="106" spans="1:17">
      <c r="A106" t="str">
        <v>DireDawa</v>
      </c>
      <c r="B106">
        <v>1000</v>
      </c>
      <c r="C106">
        <v>1000</v>
      </c>
      <c r="D106">
        <v>1000</v>
      </c>
      <c r="E106">
        <v>1000</v>
      </c>
      <c r="F106">
        <v>1000</v>
      </c>
      <c r="G106">
        <v>1000</v>
      </c>
      <c r="H106">
        <v>1000</v>
      </c>
      <c r="I106">
        <v>1000</v>
      </c>
      <c r="J106">
        <v>1000</v>
      </c>
      <c r="K106">
        <v>1000</v>
      </c>
      <c r="L106">
        <v>1000</v>
      </c>
      <c r="M106">
        <v>1000</v>
      </c>
      <c r="N106">
        <v>1000</v>
      </c>
      <c r="O106">
        <v>1000</v>
      </c>
      <c r="P106">
        <v>1000</v>
      </c>
      <c r="Q106">
        <v>1000</v>
      </c>
    </row>
    <row r="107" spans="1:17">
      <c r="A107" t="str">
        <v>Gambela</v>
      </c>
      <c r="B107">
        <v>1000</v>
      </c>
      <c r="C107">
        <v>1000</v>
      </c>
      <c r="D107">
        <v>1000</v>
      </c>
      <c r="E107">
        <v>1000</v>
      </c>
      <c r="F107">
        <v>1000</v>
      </c>
      <c r="G107">
        <v>1000</v>
      </c>
      <c r="H107">
        <v>1000</v>
      </c>
      <c r="I107">
        <v>1000</v>
      </c>
      <c r="J107">
        <v>1000</v>
      </c>
      <c r="K107">
        <v>1000</v>
      </c>
      <c r="L107">
        <v>1000</v>
      </c>
      <c r="M107">
        <v>1000</v>
      </c>
      <c r="N107">
        <v>1000</v>
      </c>
      <c r="O107">
        <v>1000</v>
      </c>
      <c r="P107">
        <v>1000</v>
      </c>
      <c r="Q107">
        <v>1000</v>
      </c>
    </row>
    <row r="108" spans="1:17">
      <c r="A108" t="str">
        <v>Harari</v>
      </c>
      <c r="B108">
        <v>1000</v>
      </c>
      <c r="C108">
        <v>1000</v>
      </c>
      <c r="D108">
        <v>1000</v>
      </c>
      <c r="E108">
        <v>1000</v>
      </c>
      <c r="F108">
        <v>1000</v>
      </c>
      <c r="G108">
        <v>1000</v>
      </c>
      <c r="H108">
        <v>1000</v>
      </c>
      <c r="I108">
        <v>1000</v>
      </c>
      <c r="J108">
        <v>1000</v>
      </c>
      <c r="K108">
        <v>1000</v>
      </c>
      <c r="L108">
        <v>1000</v>
      </c>
      <c r="M108">
        <v>1000</v>
      </c>
      <c r="N108">
        <v>1000</v>
      </c>
      <c r="O108">
        <v>1000</v>
      </c>
      <c r="P108">
        <v>1000</v>
      </c>
      <c r="Q108">
        <v>1000</v>
      </c>
    </row>
    <row r="109" spans="1:17">
      <c r="A109" t="str">
        <v>Oromia</v>
      </c>
      <c r="B109">
        <v>1000</v>
      </c>
      <c r="C109">
        <v>1000</v>
      </c>
      <c r="D109">
        <v>1000</v>
      </c>
      <c r="E109">
        <v>1000</v>
      </c>
      <c r="F109">
        <v>1000</v>
      </c>
      <c r="G109">
        <v>1000</v>
      </c>
      <c r="H109">
        <v>1000</v>
      </c>
      <c r="I109">
        <v>1000</v>
      </c>
      <c r="J109">
        <v>1000</v>
      </c>
      <c r="K109">
        <v>1000</v>
      </c>
      <c r="L109">
        <v>1000</v>
      </c>
      <c r="M109">
        <v>1000</v>
      </c>
      <c r="N109">
        <v>1000</v>
      </c>
      <c r="O109">
        <v>1000</v>
      </c>
      <c r="P109">
        <v>1000</v>
      </c>
      <c r="Q109">
        <v>1000</v>
      </c>
    </row>
    <row r="110" spans="1:17">
      <c r="A110" t="str">
        <v>Somali</v>
      </c>
      <c r="B110">
        <v>1000</v>
      </c>
      <c r="C110">
        <v>1000</v>
      </c>
      <c r="D110">
        <v>1000</v>
      </c>
      <c r="E110">
        <v>1000</v>
      </c>
      <c r="F110">
        <v>1000</v>
      </c>
      <c r="G110">
        <v>1000</v>
      </c>
      <c r="H110">
        <v>1000</v>
      </c>
      <c r="I110">
        <v>1000</v>
      </c>
      <c r="J110">
        <v>1000</v>
      </c>
      <c r="K110">
        <v>1000</v>
      </c>
      <c r="L110">
        <v>1000</v>
      </c>
      <c r="M110">
        <v>1000</v>
      </c>
      <c r="N110">
        <v>1000</v>
      </c>
      <c r="O110">
        <v>1000</v>
      </c>
      <c r="P110">
        <v>1000</v>
      </c>
      <c r="Q110">
        <v>1000</v>
      </c>
    </row>
    <row r="111" spans="1:17">
      <c r="A111" t="str">
        <v>SNNPR</v>
      </c>
      <c r="B111">
        <v>1000</v>
      </c>
      <c r="C111">
        <v>1000</v>
      </c>
      <c r="D111">
        <v>1000</v>
      </c>
      <c r="E111">
        <v>1000</v>
      </c>
      <c r="F111">
        <v>1000</v>
      </c>
      <c r="G111">
        <v>1000</v>
      </c>
      <c r="H111">
        <v>1000</v>
      </c>
      <c r="I111">
        <v>1000</v>
      </c>
      <c r="J111">
        <v>1000</v>
      </c>
      <c r="K111">
        <v>1000</v>
      </c>
      <c r="L111">
        <v>1000</v>
      </c>
      <c r="M111">
        <v>1000</v>
      </c>
      <c r="N111">
        <v>1000</v>
      </c>
      <c r="O111">
        <v>1000</v>
      </c>
      <c r="P111">
        <v>1000</v>
      </c>
      <c r="Q111">
        <v>1000</v>
      </c>
    </row>
    <row r="112" spans="1:17">
      <c r="A112" t="str">
        <v>Tigray</v>
      </c>
      <c r="B112">
        <v>1000</v>
      </c>
      <c r="C112">
        <v>1000</v>
      </c>
      <c r="D112">
        <v>1000</v>
      </c>
      <c r="E112">
        <v>1000</v>
      </c>
      <c r="F112">
        <v>1000</v>
      </c>
      <c r="G112">
        <v>1000</v>
      </c>
      <c r="H112">
        <v>1000</v>
      </c>
      <c r="I112">
        <v>1000</v>
      </c>
      <c r="J112">
        <v>1000</v>
      </c>
      <c r="K112">
        <v>1000</v>
      </c>
      <c r="L112">
        <v>1000</v>
      </c>
      <c r="M112">
        <v>1000</v>
      </c>
      <c r="N112">
        <v>1000</v>
      </c>
      <c r="O112">
        <v>1000</v>
      </c>
      <c r="P112">
        <v>1000</v>
      </c>
      <c r="Q112">
        <v>1000</v>
      </c>
    </row>
    <row r="121" spans="1:17">
      <c r="B121">
        <f t="array" ref="B121:Q121">TRANSPOSE(Years)</f>
        <v>2015</v>
      </c>
      <c r="C121">
        <v>2016</v>
      </c>
      <c r="D121">
        <v>2017</v>
      </c>
      <c r="E121">
        <v>2018</v>
      </c>
      <c r="F121">
        <v>2019</v>
      </c>
      <c r="G121">
        <v>2020</v>
      </c>
      <c r="H121">
        <v>2021</v>
      </c>
      <c r="I121">
        <v>2022</v>
      </c>
      <c r="J121">
        <v>2023</v>
      </c>
      <c r="K121">
        <v>2024</v>
      </c>
      <c r="L121">
        <v>2025</v>
      </c>
      <c r="M121">
        <v>2026</v>
      </c>
      <c r="N121">
        <v>2027</v>
      </c>
      <c r="O121">
        <v>2028</v>
      </c>
      <c r="P121">
        <v>2029</v>
      </c>
      <c r="Q121">
        <v>2030</v>
      </c>
    </row>
    <row r="122" spans="1:17">
      <c r="A122" t="str">
        <f t="array" ref="A122:A132">Nodes</f>
        <v>AddisAbaba</v>
      </c>
      <c r="B122">
        <v>5</v>
      </c>
      <c r="C122">
        <v>5</v>
      </c>
      <c r="D122">
        <v>5</v>
      </c>
      <c r="E122">
        <v>5</v>
      </c>
      <c r="F122">
        <v>5</v>
      </c>
      <c r="G122">
        <v>5</v>
      </c>
      <c r="H122">
        <v>5</v>
      </c>
      <c r="I122">
        <v>5</v>
      </c>
      <c r="J122">
        <v>5</v>
      </c>
      <c r="K122">
        <v>5</v>
      </c>
      <c r="L122">
        <v>5</v>
      </c>
      <c r="M122">
        <v>5</v>
      </c>
      <c r="N122">
        <v>5</v>
      </c>
      <c r="O122">
        <v>5</v>
      </c>
      <c r="P122">
        <v>5</v>
      </c>
      <c r="Q122">
        <v>5</v>
      </c>
    </row>
    <row r="123" spans="1:17">
      <c r="A123" t="str">
        <v>Afar</v>
      </c>
      <c r="B123">
        <v>5</v>
      </c>
      <c r="C123">
        <v>5</v>
      </c>
      <c r="D123">
        <v>5</v>
      </c>
      <c r="E123">
        <v>5</v>
      </c>
      <c r="F123">
        <v>5</v>
      </c>
      <c r="G123">
        <v>5</v>
      </c>
      <c r="H123">
        <v>5</v>
      </c>
      <c r="I123">
        <v>5</v>
      </c>
      <c r="J123">
        <v>5</v>
      </c>
      <c r="K123">
        <v>5</v>
      </c>
      <c r="L123">
        <v>5</v>
      </c>
      <c r="M123">
        <v>5</v>
      </c>
      <c r="N123">
        <v>5</v>
      </c>
      <c r="O123">
        <v>5</v>
      </c>
      <c r="P123">
        <v>5</v>
      </c>
      <c r="Q123">
        <v>5</v>
      </c>
    </row>
    <row r="124" spans="1:17">
      <c r="A124" t="str">
        <v>Amhara</v>
      </c>
      <c r="B124">
        <v>5</v>
      </c>
      <c r="C124">
        <v>5</v>
      </c>
      <c r="D124">
        <v>5</v>
      </c>
      <c r="E124">
        <v>5</v>
      </c>
      <c r="F124">
        <v>5</v>
      </c>
      <c r="G124">
        <v>5</v>
      </c>
      <c r="H124">
        <v>5</v>
      </c>
      <c r="I124">
        <v>5</v>
      </c>
      <c r="J124">
        <v>5</v>
      </c>
      <c r="K124">
        <v>5</v>
      </c>
      <c r="L124">
        <v>5</v>
      </c>
      <c r="M124">
        <v>5</v>
      </c>
      <c r="N124">
        <v>5</v>
      </c>
      <c r="O124">
        <v>5</v>
      </c>
      <c r="P124">
        <v>5</v>
      </c>
      <c r="Q124">
        <v>5</v>
      </c>
    </row>
    <row r="125" spans="1:17">
      <c r="A125" t="str">
        <v>Gumuz</v>
      </c>
      <c r="B125">
        <v>5</v>
      </c>
      <c r="C125">
        <v>5</v>
      </c>
      <c r="D125">
        <v>5</v>
      </c>
      <c r="E125">
        <v>5</v>
      </c>
      <c r="F125">
        <v>5</v>
      </c>
      <c r="G125">
        <v>5</v>
      </c>
      <c r="H125">
        <v>5</v>
      </c>
      <c r="I125">
        <v>5</v>
      </c>
      <c r="J125">
        <v>5</v>
      </c>
      <c r="K125">
        <v>5</v>
      </c>
      <c r="L125">
        <v>5</v>
      </c>
      <c r="M125">
        <v>5</v>
      </c>
      <c r="N125">
        <v>5</v>
      </c>
      <c r="O125">
        <v>5</v>
      </c>
      <c r="P125">
        <v>5</v>
      </c>
      <c r="Q125">
        <v>5</v>
      </c>
    </row>
    <row r="126" spans="1:17">
      <c r="A126" t="str">
        <v>DireDawa</v>
      </c>
      <c r="B126">
        <v>5</v>
      </c>
      <c r="C126">
        <v>5</v>
      </c>
      <c r="D126">
        <v>5</v>
      </c>
      <c r="E126">
        <v>5</v>
      </c>
      <c r="F126">
        <v>5</v>
      </c>
      <c r="G126">
        <v>5</v>
      </c>
      <c r="H126">
        <v>5</v>
      </c>
      <c r="I126">
        <v>5</v>
      </c>
      <c r="J126">
        <v>5</v>
      </c>
      <c r="K126">
        <v>5</v>
      </c>
      <c r="L126">
        <v>5</v>
      </c>
      <c r="M126">
        <v>5</v>
      </c>
      <c r="N126">
        <v>5</v>
      </c>
      <c r="O126">
        <v>5</v>
      </c>
      <c r="P126">
        <v>5</v>
      </c>
      <c r="Q126">
        <v>5</v>
      </c>
    </row>
    <row r="127" spans="1:17">
      <c r="A127" t="str">
        <v>Gambela</v>
      </c>
      <c r="B127">
        <v>5</v>
      </c>
      <c r="C127">
        <v>5</v>
      </c>
      <c r="D127">
        <v>5</v>
      </c>
      <c r="E127">
        <v>5</v>
      </c>
      <c r="F127">
        <v>5</v>
      </c>
      <c r="G127">
        <v>5</v>
      </c>
      <c r="H127">
        <v>5</v>
      </c>
      <c r="I127">
        <v>5</v>
      </c>
      <c r="J127">
        <v>5</v>
      </c>
      <c r="K127">
        <v>5</v>
      </c>
      <c r="L127">
        <v>5</v>
      </c>
      <c r="M127">
        <v>5</v>
      </c>
      <c r="N127">
        <v>5</v>
      </c>
      <c r="O127">
        <v>5</v>
      </c>
      <c r="P127">
        <v>5</v>
      </c>
      <c r="Q127">
        <v>5</v>
      </c>
    </row>
    <row r="128" spans="1:17">
      <c r="A128" t="str">
        <v>Harari</v>
      </c>
      <c r="B128">
        <v>5</v>
      </c>
      <c r="C128">
        <v>5</v>
      </c>
      <c r="D128">
        <v>5</v>
      </c>
      <c r="E128">
        <v>5</v>
      </c>
      <c r="F128">
        <v>5</v>
      </c>
      <c r="G128">
        <v>5</v>
      </c>
      <c r="H128">
        <v>5</v>
      </c>
      <c r="I128">
        <v>5</v>
      </c>
      <c r="J128">
        <v>5</v>
      </c>
      <c r="K128">
        <v>5</v>
      </c>
      <c r="L128">
        <v>5</v>
      </c>
      <c r="M128">
        <v>5</v>
      </c>
      <c r="N128">
        <v>5</v>
      </c>
      <c r="O128">
        <v>5</v>
      </c>
      <c r="P128">
        <v>5</v>
      </c>
      <c r="Q128">
        <v>5</v>
      </c>
    </row>
    <row r="129" spans="1:40">
      <c r="A129" t="str">
        <v>Oromia</v>
      </c>
      <c r="B129">
        <v>5</v>
      </c>
      <c r="C129">
        <v>5</v>
      </c>
      <c r="D129">
        <v>5</v>
      </c>
      <c r="E129">
        <v>5</v>
      </c>
      <c r="F129">
        <v>5</v>
      </c>
      <c r="G129">
        <v>5</v>
      </c>
      <c r="H129">
        <v>5</v>
      </c>
      <c r="I129">
        <v>5</v>
      </c>
      <c r="J129">
        <v>5</v>
      </c>
      <c r="K129">
        <v>5</v>
      </c>
      <c r="L129">
        <v>5</v>
      </c>
      <c r="M129">
        <v>5</v>
      </c>
      <c r="N129">
        <v>5</v>
      </c>
      <c r="O129">
        <v>5</v>
      </c>
      <c r="P129">
        <v>5</v>
      </c>
      <c r="Q129">
        <v>5</v>
      </c>
    </row>
    <row r="130" spans="1:40">
      <c r="A130" t="str">
        <v>Somali</v>
      </c>
      <c r="B130">
        <v>5</v>
      </c>
      <c r="C130">
        <v>5</v>
      </c>
      <c r="D130">
        <v>5</v>
      </c>
      <c r="E130">
        <v>5</v>
      </c>
      <c r="F130">
        <v>5</v>
      </c>
      <c r="G130">
        <v>5</v>
      </c>
      <c r="H130">
        <v>5</v>
      </c>
      <c r="I130">
        <v>5</v>
      </c>
      <c r="J130">
        <v>5</v>
      </c>
      <c r="K130">
        <v>5</v>
      </c>
      <c r="L130">
        <v>5</v>
      </c>
      <c r="M130">
        <v>5</v>
      </c>
      <c r="N130">
        <v>5</v>
      </c>
      <c r="O130">
        <v>5</v>
      </c>
      <c r="P130">
        <v>5</v>
      </c>
      <c r="Q130">
        <v>5</v>
      </c>
    </row>
    <row r="131" spans="1:40">
      <c r="A131" t="str">
        <v>SNNPR</v>
      </c>
      <c r="B131">
        <v>5</v>
      </c>
      <c r="C131">
        <v>5</v>
      </c>
      <c r="D131">
        <v>5</v>
      </c>
      <c r="E131">
        <v>5</v>
      </c>
      <c r="F131">
        <v>5</v>
      </c>
      <c r="G131">
        <v>5</v>
      </c>
      <c r="H131">
        <v>5</v>
      </c>
      <c r="I131">
        <v>5</v>
      </c>
      <c r="J131">
        <v>5</v>
      </c>
      <c r="K131">
        <v>5</v>
      </c>
      <c r="L131">
        <v>5</v>
      </c>
      <c r="M131">
        <v>5</v>
      </c>
      <c r="N131">
        <v>5</v>
      </c>
      <c r="O131">
        <v>5</v>
      </c>
      <c r="P131">
        <v>5</v>
      </c>
      <c r="Q131">
        <v>5</v>
      </c>
    </row>
    <row r="132" spans="1:40">
      <c r="A132" t="str">
        <v>Tigray</v>
      </c>
      <c r="B132">
        <v>5</v>
      </c>
      <c r="C132">
        <v>5</v>
      </c>
      <c r="D132">
        <v>5</v>
      </c>
      <c r="E132">
        <v>5</v>
      </c>
      <c r="F132">
        <v>5</v>
      </c>
      <c r="G132">
        <v>5</v>
      </c>
      <c r="H132">
        <v>5</v>
      </c>
      <c r="I132">
        <v>5</v>
      </c>
      <c r="J132">
        <v>5</v>
      </c>
      <c r="K132">
        <v>5</v>
      </c>
      <c r="L132">
        <v>5</v>
      </c>
      <c r="M132">
        <v>5</v>
      </c>
      <c r="N132">
        <v>5</v>
      </c>
      <c r="O132">
        <v>5</v>
      </c>
      <c r="P132">
        <v>5</v>
      </c>
      <c r="Q132">
        <v>5</v>
      </c>
    </row>
    <row r="141" spans="1:40">
      <c r="A141" t="str">
        <f t="array" ref="A141:A151">Nodes</f>
        <v>AddisAbaba</v>
      </c>
      <c r="B141" s="3">
        <v>0</v>
      </c>
      <c r="AB141" t="s">
        <v>2</v>
      </c>
      <c r="AC141" t="s">
        <v>2</v>
      </c>
      <c r="AD141" t="s">
        <v>2</v>
      </c>
      <c r="AE141" t="s">
        <v>2</v>
      </c>
      <c r="AF141" t="s">
        <v>2</v>
      </c>
      <c r="AG141" t="s">
        <v>2</v>
      </c>
      <c r="AH141" t="s">
        <v>3</v>
      </c>
      <c r="AI141" t="s">
        <v>3</v>
      </c>
      <c r="AJ141" t="s">
        <v>3</v>
      </c>
      <c r="AK141" t="s">
        <v>3</v>
      </c>
      <c r="AL141" t="s">
        <v>3</v>
      </c>
      <c r="AM141" t="s">
        <v>3</v>
      </c>
    </row>
    <row r="142" spans="1:40">
      <c r="A142" t="str">
        <v>Afar</v>
      </c>
      <c r="B142" s="3">
        <f>9.3+2</f>
        <v>11.3</v>
      </c>
      <c r="AB142" t="str">
        <f t="array" ref="AB142:AG142">TRANSPOSE(Crops)</f>
        <v>Teff</v>
      </c>
      <c r="AC142" t="str">
        <v>Sorghum</v>
      </c>
      <c r="AD142" t="str">
        <v>Maize</v>
      </c>
      <c r="AE142" t="str">
        <v>Lentils</v>
      </c>
      <c r="AF142" t="str">
        <v>Vegetables</v>
      </c>
      <c r="AG142" t="str">
        <v>Coffee</v>
      </c>
      <c r="AH142" t="str">
        <f t="array" ref="AH142:AM142">TRANSPOSE(Crops)</f>
        <v>Teff</v>
      </c>
      <c r="AI142" t="str">
        <v>Sorghum</v>
      </c>
      <c r="AJ142" t="str">
        <v>Maize</v>
      </c>
      <c r="AK142" t="str">
        <v>Lentils</v>
      </c>
      <c r="AL142" t="str">
        <v>Vegetables</v>
      </c>
      <c r="AM142" t="str">
        <v>Coffee</v>
      </c>
    </row>
    <row r="143" spans="1:40">
      <c r="A143" t="str">
        <v>Amhara</v>
      </c>
      <c r="B143" s="3">
        <f>4149+143+66+L164</f>
        <v>4424</v>
      </c>
      <c r="AA143" t="str">
        <f t="array" ref="AA143:AA153">Nodes</f>
        <v>AddisAbaba</v>
      </c>
      <c r="AB143" s="28">
        <f>AB162*B162*0.2</f>
        <v>0</v>
      </c>
      <c r="AC143" s="28">
        <f t="shared" ref="AC143:AM143" si="63">AC162*C162*0.2</f>
        <v>0</v>
      </c>
      <c r="AD143" s="28">
        <f t="shared" si="63"/>
        <v>0</v>
      </c>
      <c r="AE143" s="28">
        <f t="shared" si="63"/>
        <v>0</v>
      </c>
      <c r="AF143" s="28">
        <f t="shared" si="63"/>
        <v>0</v>
      </c>
      <c r="AG143" s="28">
        <f t="shared" si="63"/>
        <v>0</v>
      </c>
      <c r="AH143" s="28">
        <f t="shared" si="63"/>
        <v>0</v>
      </c>
      <c r="AI143" s="28">
        <f t="shared" si="63"/>
        <v>0</v>
      </c>
      <c r="AJ143" s="28">
        <f t="shared" si="63"/>
        <v>0</v>
      </c>
      <c r="AK143" s="28">
        <f t="shared" si="63"/>
        <v>0</v>
      </c>
      <c r="AL143" s="28">
        <f t="shared" si="63"/>
        <v>0</v>
      </c>
      <c r="AM143" s="28">
        <f t="shared" si="63"/>
        <v>0</v>
      </c>
      <c r="AN143" s="68">
        <f>SUM(AB143:AM143)</f>
        <v>0</v>
      </c>
    </row>
    <row r="144" spans="1:40">
      <c r="A144" t="str">
        <v>Gumuz</v>
      </c>
      <c r="B144" s="3">
        <f>1.7+227.5+L165</f>
        <v>231.6</v>
      </c>
      <c r="AA144" t="str">
        <v>Afar</v>
      </c>
      <c r="AB144" s="28">
        <f t="shared" ref="AB144:AB153" si="64">AB163*B163*0.2</f>
        <v>2.4799999999999999E-2</v>
      </c>
      <c r="AC144" s="28">
        <f t="shared" ref="AC144:AC153" si="65">AC163*C163*0.2</f>
        <v>5.6500000000000014E-3</v>
      </c>
      <c r="AD144" s="28">
        <f t="shared" ref="AD144:AD153" si="66">AD163*D163*0.2</f>
        <v>5.6500000000000014E-3</v>
      </c>
      <c r="AE144" s="28">
        <f t="shared" ref="AE144:AE153" si="67">AE163*E163*0.2</f>
        <v>6.0000000000000001E-3</v>
      </c>
      <c r="AF144" s="28">
        <f t="shared" ref="AF144:AF153" si="68">AF163*F163*0.2</f>
        <v>0</v>
      </c>
      <c r="AG144" s="28">
        <f t="shared" ref="AG144:AG153" si="69">AG163*G163*0.2</f>
        <v>5.6500000000000014E-3</v>
      </c>
      <c r="AH144" s="28">
        <f t="shared" ref="AH144:AH153" si="70">AH163*H163*0.2</f>
        <v>0</v>
      </c>
      <c r="AI144" s="28">
        <f t="shared" ref="AI144:AI153" si="71">AI163*I163*0.2</f>
        <v>0.43200000000000005</v>
      </c>
      <c r="AJ144" s="28">
        <f t="shared" ref="AJ144:AJ153" si="72">AJ163*J163*0.2</f>
        <v>0</v>
      </c>
      <c r="AK144" s="28">
        <f t="shared" ref="AK144:AK153" si="73">AK163*K163*0.2</f>
        <v>0</v>
      </c>
      <c r="AL144" s="28">
        <f t="shared" ref="AL144:AL153" si="74">AL163*L163*0.2</f>
        <v>0</v>
      </c>
      <c r="AM144" s="28">
        <f t="shared" ref="AM144:AM153" si="75">AM163*M163*0.2</f>
        <v>0</v>
      </c>
      <c r="AN144" s="68">
        <f t="shared" ref="AN144:AN153" si="76">SUM(AB144:AM144)</f>
        <v>0.47975000000000007</v>
      </c>
    </row>
    <row r="145" spans="1:41">
      <c r="A145" t="str">
        <v>DireDawa</v>
      </c>
      <c r="B145" s="3">
        <f>9.6+1</f>
        <v>10.6</v>
      </c>
      <c r="AA145" t="str">
        <v>Amhara</v>
      </c>
      <c r="AB145" s="28">
        <f t="shared" si="64"/>
        <v>6.8000000000000007</v>
      </c>
      <c r="AC145" s="28">
        <f t="shared" si="65"/>
        <v>0.77399999999999991</v>
      </c>
      <c r="AD145" s="28">
        <f t="shared" si="66"/>
        <v>1.6861000000000002</v>
      </c>
      <c r="AE145" s="28">
        <f t="shared" si="67"/>
        <v>1.768</v>
      </c>
      <c r="AF145" s="28">
        <f t="shared" si="68"/>
        <v>0</v>
      </c>
      <c r="AG145" s="28">
        <f t="shared" si="69"/>
        <v>0</v>
      </c>
      <c r="AH145" s="28">
        <f t="shared" si="70"/>
        <v>53.680000000000007</v>
      </c>
      <c r="AI145" s="28">
        <f t="shared" si="71"/>
        <v>229.51999999999998</v>
      </c>
      <c r="AJ145" s="28">
        <f t="shared" si="72"/>
        <v>158.24</v>
      </c>
      <c r="AK145" s="28">
        <f t="shared" si="73"/>
        <v>77.42</v>
      </c>
      <c r="AL145" s="28">
        <f t="shared" si="74"/>
        <v>42.900000000000006</v>
      </c>
      <c r="AM145" s="28">
        <f t="shared" si="75"/>
        <v>23.59</v>
      </c>
      <c r="AN145" s="68">
        <f t="shared" si="76"/>
        <v>596.37810000000002</v>
      </c>
    </row>
    <row r="146" spans="1:41">
      <c r="A146" t="str">
        <v>Gambela</v>
      </c>
      <c r="B146" s="2">
        <f>9.7+M167+L167</f>
        <v>13.49</v>
      </c>
      <c r="AA146" t="str">
        <v>Gumuz</v>
      </c>
      <c r="AB146" s="28">
        <f t="shared" si="64"/>
        <v>0</v>
      </c>
      <c r="AC146" s="28">
        <f t="shared" si="65"/>
        <v>0</v>
      </c>
      <c r="AD146" s="28">
        <f t="shared" si="66"/>
        <v>6.1080000000000002E-2</v>
      </c>
      <c r="AE146" s="28">
        <f t="shared" si="67"/>
        <v>8.3039999999999989E-2</v>
      </c>
      <c r="AF146" s="28">
        <f t="shared" si="68"/>
        <v>0</v>
      </c>
      <c r="AG146" s="28">
        <f t="shared" si="69"/>
        <v>0</v>
      </c>
      <c r="AH146" s="28">
        <f t="shared" si="70"/>
        <v>2.4800000000000004</v>
      </c>
      <c r="AI146" s="28">
        <f t="shared" si="71"/>
        <v>11.764000000000001</v>
      </c>
      <c r="AJ146" s="28">
        <f t="shared" si="72"/>
        <v>16.103999999999999</v>
      </c>
      <c r="AK146" s="28">
        <f t="shared" si="73"/>
        <v>1.6500000000000001</v>
      </c>
      <c r="AL146" s="28">
        <f t="shared" si="74"/>
        <v>1.6320000000000001</v>
      </c>
      <c r="AM146" s="28">
        <f t="shared" si="75"/>
        <v>4.4279999999999999</v>
      </c>
      <c r="AN146" s="68">
        <f t="shared" si="76"/>
        <v>38.202119999999994</v>
      </c>
    </row>
    <row r="147" spans="1:41">
      <c r="A147" t="str">
        <v>Harari</v>
      </c>
      <c r="B147" s="3">
        <v>9.4</v>
      </c>
      <c r="AA147" t="str">
        <v>DireDawa</v>
      </c>
      <c r="AB147" s="28">
        <f t="shared" si="64"/>
        <v>0</v>
      </c>
      <c r="AC147" s="28">
        <f t="shared" si="65"/>
        <v>0</v>
      </c>
      <c r="AD147" s="28">
        <f t="shared" si="66"/>
        <v>1.4319999999999999E-2</v>
      </c>
      <c r="AE147" s="28">
        <f t="shared" si="67"/>
        <v>0</v>
      </c>
      <c r="AF147" s="28">
        <f t="shared" si="68"/>
        <v>0</v>
      </c>
      <c r="AG147" s="28">
        <f t="shared" si="69"/>
        <v>0</v>
      </c>
      <c r="AH147" s="28">
        <f t="shared" si="70"/>
        <v>0</v>
      </c>
      <c r="AI147" s="28">
        <f t="shared" si="71"/>
        <v>1.4960000000000002</v>
      </c>
      <c r="AJ147" s="28">
        <f t="shared" si="72"/>
        <v>4.8000000000000001E-2</v>
      </c>
      <c r="AK147" s="28">
        <f t="shared" si="73"/>
        <v>4.8600000000000004E-2</v>
      </c>
      <c r="AL147" s="28">
        <f t="shared" si="74"/>
        <v>0.2</v>
      </c>
      <c r="AM147" s="28">
        <f t="shared" si="75"/>
        <v>1.2E-2</v>
      </c>
      <c r="AN147" s="68">
        <f t="shared" si="76"/>
        <v>1.8189200000000001</v>
      </c>
    </row>
    <row r="148" spans="1:41">
      <c r="A148" t="str">
        <v>Oromia</v>
      </c>
      <c r="B148" s="3">
        <f>56+592</f>
        <v>648</v>
      </c>
      <c r="AA148" t="str">
        <v>Gambela</v>
      </c>
      <c r="AB148" s="28">
        <f t="shared" si="64"/>
        <v>0</v>
      </c>
      <c r="AC148" s="28">
        <f t="shared" si="65"/>
        <v>0</v>
      </c>
      <c r="AD148" s="28">
        <f t="shared" si="66"/>
        <v>0</v>
      </c>
      <c r="AE148" s="28">
        <f t="shared" si="67"/>
        <v>0</v>
      </c>
      <c r="AF148" s="28">
        <f t="shared" si="68"/>
        <v>0</v>
      </c>
      <c r="AG148" s="28">
        <f t="shared" si="69"/>
        <v>0</v>
      </c>
      <c r="AH148" s="28">
        <f t="shared" si="70"/>
        <v>0</v>
      </c>
      <c r="AI148" s="28">
        <f t="shared" si="71"/>
        <v>0.80499999999999994</v>
      </c>
      <c r="AJ148" s="28">
        <f t="shared" si="72"/>
        <v>1.02</v>
      </c>
      <c r="AK148" s="28">
        <f t="shared" si="73"/>
        <v>6.4000000000000003E-3</v>
      </c>
      <c r="AL148" s="28">
        <f t="shared" si="74"/>
        <v>0.31980000000000003</v>
      </c>
      <c r="AM148" s="28">
        <f t="shared" si="75"/>
        <v>0</v>
      </c>
      <c r="AN148" s="68">
        <f t="shared" si="76"/>
        <v>2.1511999999999998</v>
      </c>
    </row>
    <row r="149" spans="1:41">
      <c r="A149" t="str">
        <v>Somali</v>
      </c>
      <c r="B149" s="3">
        <f>70+20</f>
        <v>90</v>
      </c>
      <c r="AA149" t="str">
        <v>Harari</v>
      </c>
      <c r="AB149" s="28">
        <f t="shared" si="64"/>
        <v>0</v>
      </c>
      <c r="AC149" s="28">
        <f t="shared" si="65"/>
        <v>0</v>
      </c>
      <c r="AD149" s="28">
        <f t="shared" si="66"/>
        <v>0</v>
      </c>
      <c r="AE149" s="28">
        <f t="shared" si="67"/>
        <v>2.7160000000000004E-2</v>
      </c>
      <c r="AF149" s="28">
        <f t="shared" si="68"/>
        <v>0</v>
      </c>
      <c r="AG149" s="28">
        <f t="shared" si="69"/>
        <v>0</v>
      </c>
      <c r="AH149" s="28">
        <f t="shared" si="70"/>
        <v>0</v>
      </c>
      <c r="AI149" s="28">
        <f t="shared" si="71"/>
        <v>1.0230000000000001</v>
      </c>
      <c r="AJ149" s="28">
        <f t="shared" si="72"/>
        <v>2.0000000000000004E-2</v>
      </c>
      <c r="AK149" s="28">
        <f t="shared" si="73"/>
        <v>0</v>
      </c>
      <c r="AL149" s="28">
        <f t="shared" si="74"/>
        <v>0</v>
      </c>
      <c r="AM149" s="28">
        <f t="shared" si="75"/>
        <v>0.8</v>
      </c>
      <c r="AN149" s="68">
        <f t="shared" si="76"/>
        <v>1.8701600000000003</v>
      </c>
    </row>
    <row r="150" spans="1:41">
      <c r="A150" t="str">
        <v>SNNPR</v>
      </c>
      <c r="B150" s="3">
        <f>345+1067+L171+M171</f>
        <v>1676</v>
      </c>
      <c r="AA150" t="str">
        <v>Oromia</v>
      </c>
      <c r="AB150" s="28">
        <f t="shared" si="64"/>
        <v>11.200000000000003</v>
      </c>
      <c r="AC150" s="28">
        <f t="shared" si="65"/>
        <v>8.8721739130434738</v>
      </c>
      <c r="AD150" s="28">
        <f t="shared" si="66"/>
        <v>28.725621890547259</v>
      </c>
      <c r="AE150" s="28">
        <f t="shared" si="67"/>
        <v>5.74</v>
      </c>
      <c r="AF150" s="28">
        <f t="shared" si="68"/>
        <v>0</v>
      </c>
      <c r="AG150" s="28">
        <f t="shared" si="69"/>
        <v>0</v>
      </c>
      <c r="AH150" s="28">
        <f t="shared" si="70"/>
        <v>1.4559999999999997</v>
      </c>
      <c r="AI150" s="28">
        <f t="shared" si="71"/>
        <v>7</v>
      </c>
      <c r="AJ150" s="28">
        <f t="shared" si="72"/>
        <v>1.5</v>
      </c>
      <c r="AK150" s="28">
        <f t="shared" si="73"/>
        <v>0.34499999999999997</v>
      </c>
      <c r="AL150" s="28">
        <f t="shared" si="74"/>
        <v>0.19500000000000001</v>
      </c>
      <c r="AM150" s="28">
        <f t="shared" si="75"/>
        <v>0</v>
      </c>
      <c r="AN150" s="68">
        <f t="shared" si="76"/>
        <v>65.033795803590735</v>
      </c>
    </row>
    <row r="151" spans="1:41">
      <c r="A151" t="str">
        <v>Tigray</v>
      </c>
      <c r="B151" s="3">
        <f>19+834+L172</f>
        <v>858.1</v>
      </c>
      <c r="AA151" t="str">
        <v>Somali</v>
      </c>
      <c r="AB151" s="28">
        <f t="shared" si="64"/>
        <v>0</v>
      </c>
      <c r="AC151" s="28">
        <f t="shared" si="65"/>
        <v>1.869565217391304E-2</v>
      </c>
      <c r="AD151" s="28">
        <f t="shared" si="66"/>
        <v>1.2148500000000002</v>
      </c>
      <c r="AE151" s="28">
        <f t="shared" si="67"/>
        <v>3.0000000000000001E-3</v>
      </c>
      <c r="AF151" s="28">
        <f t="shared" si="68"/>
        <v>0</v>
      </c>
      <c r="AG151" s="28">
        <f t="shared" si="69"/>
        <v>0</v>
      </c>
      <c r="AH151" s="28">
        <f t="shared" si="70"/>
        <v>0</v>
      </c>
      <c r="AI151" s="28">
        <f t="shared" si="71"/>
        <v>5.4459999999999997</v>
      </c>
      <c r="AJ151" s="28">
        <f t="shared" si="72"/>
        <v>5.04</v>
      </c>
      <c r="AK151" s="28">
        <f t="shared" si="73"/>
        <v>0</v>
      </c>
      <c r="AL151" s="28">
        <f t="shared" si="74"/>
        <v>0</v>
      </c>
      <c r="AM151" s="28">
        <f t="shared" si="75"/>
        <v>0</v>
      </c>
      <c r="AN151" s="68">
        <f t="shared" si="76"/>
        <v>11.722545652173913</v>
      </c>
    </row>
    <row r="152" spans="1:41">
      <c r="AA152" t="str">
        <v>SNNPR</v>
      </c>
      <c r="AB152" s="28">
        <f t="shared" si="64"/>
        <v>1.67</v>
      </c>
      <c r="AC152" s="28">
        <f t="shared" si="65"/>
        <v>1.5360000000000011</v>
      </c>
      <c r="AD152" s="28">
        <f t="shared" si="66"/>
        <v>24.6036</v>
      </c>
      <c r="AE152" s="28">
        <f t="shared" si="67"/>
        <v>5.081999999999999</v>
      </c>
      <c r="AF152" s="28">
        <f t="shared" si="68"/>
        <v>0</v>
      </c>
      <c r="AG152" s="28">
        <f t="shared" si="69"/>
        <v>5.000000000000001E-3</v>
      </c>
      <c r="AH152" s="28">
        <f t="shared" si="70"/>
        <v>49.010000000000005</v>
      </c>
      <c r="AI152" s="28">
        <f t="shared" si="71"/>
        <v>42.994800000000005</v>
      </c>
      <c r="AJ152" s="28">
        <f t="shared" si="72"/>
        <v>55.453000000000003</v>
      </c>
      <c r="AK152" s="28">
        <f t="shared" si="73"/>
        <v>26.260000000000005</v>
      </c>
      <c r="AL152" s="28">
        <f t="shared" si="74"/>
        <v>117.38999999999999</v>
      </c>
      <c r="AM152" s="28">
        <f t="shared" si="75"/>
        <v>10.8</v>
      </c>
      <c r="AN152" s="68">
        <f t="shared" si="76"/>
        <v>334.80440000000004</v>
      </c>
    </row>
    <row r="153" spans="1:41">
      <c r="AA153" t="str">
        <v>Tigray</v>
      </c>
      <c r="AB153" s="28">
        <f t="shared" si="64"/>
        <v>0.876</v>
      </c>
      <c r="AC153" s="28">
        <f t="shared" si="65"/>
        <v>0</v>
      </c>
      <c r="AD153" s="28">
        <f t="shared" si="66"/>
        <v>0.19140000000000001</v>
      </c>
      <c r="AE153" s="28">
        <f t="shared" si="67"/>
        <v>0</v>
      </c>
      <c r="AF153" s="28">
        <f t="shared" si="68"/>
        <v>3.0000000000000001E-3</v>
      </c>
      <c r="AG153" s="28">
        <f t="shared" si="69"/>
        <v>0</v>
      </c>
      <c r="AH153" s="28">
        <f t="shared" si="70"/>
        <v>38.25</v>
      </c>
      <c r="AI153" s="28">
        <f t="shared" si="71"/>
        <v>66.36</v>
      </c>
      <c r="AJ153" s="28">
        <f t="shared" si="72"/>
        <v>27</v>
      </c>
      <c r="AK153" s="28">
        <f t="shared" si="73"/>
        <v>5.18</v>
      </c>
      <c r="AL153" s="28">
        <f t="shared" si="74"/>
        <v>4.59</v>
      </c>
      <c r="AM153" s="28">
        <f t="shared" si="75"/>
        <v>8.4</v>
      </c>
      <c r="AN153" s="68">
        <f t="shared" si="76"/>
        <v>150.85040000000001</v>
      </c>
    </row>
    <row r="154" spans="1:41">
      <c r="AA154" t="s">
        <v>90</v>
      </c>
      <c r="AB154" s="29">
        <f t="shared" ref="AB154:AM154" si="77">SUM(AB143:AB153)</f>
        <v>20.570800000000002</v>
      </c>
      <c r="AC154" s="29">
        <f t="shared" si="77"/>
        <v>11.206519565217388</v>
      </c>
      <c r="AD154" s="29">
        <f t="shared" si="77"/>
        <v>56.50262189054726</v>
      </c>
      <c r="AE154" s="29">
        <f t="shared" si="77"/>
        <v>12.709199999999999</v>
      </c>
      <c r="AF154" s="29">
        <f t="shared" si="77"/>
        <v>3.0000000000000001E-3</v>
      </c>
      <c r="AG154" s="29">
        <f t="shared" si="77"/>
        <v>1.0650000000000003E-2</v>
      </c>
      <c r="AH154" s="29">
        <f t="shared" si="77"/>
        <v>144.87600000000003</v>
      </c>
      <c r="AI154" s="29">
        <f t="shared" si="77"/>
        <v>366.8408</v>
      </c>
      <c r="AJ154" s="29">
        <f t="shared" si="77"/>
        <v>264.42500000000001</v>
      </c>
      <c r="AK154" s="29">
        <f t="shared" si="77"/>
        <v>110.91</v>
      </c>
      <c r="AL154" s="29">
        <f t="shared" si="77"/>
        <v>167.2268</v>
      </c>
      <c r="AM154" s="29">
        <f t="shared" si="77"/>
        <v>48.03</v>
      </c>
      <c r="AN154" s="29"/>
      <c r="AO154" s="29"/>
    </row>
    <row r="155" spans="1:41">
      <c r="AA155" t="s">
        <v>107</v>
      </c>
      <c r="AB155" s="30">
        <f>SUM(B162:B172)</f>
        <v>322</v>
      </c>
      <c r="AC155" s="30">
        <f t="shared" ref="AC155:AM155" si="78">SUM(C162:C172)</f>
        <v>152.53</v>
      </c>
      <c r="AD155" s="30">
        <f t="shared" si="78"/>
        <v>424.13</v>
      </c>
      <c r="AE155" s="30">
        <f t="shared" si="78"/>
        <v>195.3</v>
      </c>
      <c r="AF155" s="30">
        <f t="shared" si="78"/>
        <v>0.6</v>
      </c>
      <c r="AG155" s="30">
        <f t="shared" si="78"/>
        <v>2.13</v>
      </c>
      <c r="AH155" s="30">
        <f t="shared" si="78"/>
        <v>2010.2</v>
      </c>
      <c r="AI155" s="30">
        <f t="shared" si="78"/>
        <v>1927.7800000000002</v>
      </c>
      <c r="AJ155" s="30">
        <f t="shared" si="78"/>
        <v>1177.7</v>
      </c>
      <c r="AK155" s="30">
        <f t="shared" si="78"/>
        <v>805.82999999999993</v>
      </c>
      <c r="AL155" s="30">
        <f t="shared" si="78"/>
        <v>203.39000000000001</v>
      </c>
      <c r="AM155" s="30">
        <f t="shared" si="78"/>
        <v>596.5</v>
      </c>
      <c r="AN155" s="30"/>
    </row>
    <row r="156" spans="1:41">
      <c r="AA156" t="s">
        <v>108</v>
      </c>
      <c r="AB156" s="2">
        <f>AB154/AB155</f>
        <v>6.3884472049689445E-2</v>
      </c>
      <c r="AC156" s="2">
        <f t="shared" ref="AC156:AM156" si="79">AC154/AC155</f>
        <v>7.3470920902231604E-2</v>
      </c>
      <c r="AD156" s="2">
        <f t="shared" si="79"/>
        <v>0.13322005491369923</v>
      </c>
      <c r="AE156" s="2">
        <f t="shared" si="79"/>
        <v>6.5075268817204296E-2</v>
      </c>
      <c r="AF156" s="2">
        <f t="shared" si="79"/>
        <v>5.0000000000000001E-3</v>
      </c>
      <c r="AG156" s="2">
        <f t="shared" si="79"/>
        <v>5.0000000000000018E-3</v>
      </c>
      <c r="AH156" s="2">
        <f t="shared" si="79"/>
        <v>7.2070440752163983E-2</v>
      </c>
      <c r="AI156" s="2">
        <f t="shared" si="79"/>
        <v>0.19029183828030166</v>
      </c>
      <c r="AJ156" s="2">
        <f t="shared" si="79"/>
        <v>0.22452661968243187</v>
      </c>
      <c r="AK156" s="2">
        <f t="shared" si="79"/>
        <v>0.1376344886638621</v>
      </c>
      <c r="AL156" s="2">
        <f t="shared" si="79"/>
        <v>0.82219774816854307</v>
      </c>
      <c r="AM156" s="2">
        <f t="shared" si="79"/>
        <v>8.0519698239731777E-2</v>
      </c>
      <c r="AN156" s="2"/>
    </row>
    <row r="157" spans="1:41">
      <c r="AA157" t="s">
        <v>109</v>
      </c>
      <c r="AB157" s="2">
        <f>(AB154+AH154)/(AB155+AH155)</f>
        <v>7.0940228110796685E-2</v>
      </c>
      <c r="AC157" s="2">
        <f t="shared" ref="AC157:AG157" si="80">(AC154+AI154)/(AC155+AI155)</f>
        <v>0.18172643479347661</v>
      </c>
      <c r="AD157" s="2">
        <f t="shared" si="80"/>
        <v>0.20035061266835261</v>
      </c>
      <c r="AE157" s="2">
        <f t="shared" si="80"/>
        <v>0.12347966797518804</v>
      </c>
      <c r="AF157" s="2">
        <f t="shared" si="80"/>
        <v>0.81979410755429172</v>
      </c>
      <c r="AG157" s="2">
        <f t="shared" si="80"/>
        <v>8.0250989759951888E-2</v>
      </c>
    </row>
    <row r="160" spans="1:41">
      <c r="B160" t="s">
        <v>2</v>
      </c>
      <c r="C160" t="s">
        <v>2</v>
      </c>
      <c r="D160" t="s">
        <v>2</v>
      </c>
      <c r="E160" t="s">
        <v>2</v>
      </c>
      <c r="F160" t="s">
        <v>2</v>
      </c>
      <c r="G160" t="s">
        <v>2</v>
      </c>
      <c r="H160" t="s">
        <v>3</v>
      </c>
      <c r="I160" t="s">
        <v>3</v>
      </c>
      <c r="J160" t="s">
        <v>3</v>
      </c>
      <c r="K160" t="s">
        <v>3</v>
      </c>
      <c r="L160" t="s">
        <v>3</v>
      </c>
      <c r="M160" t="s">
        <v>3</v>
      </c>
      <c r="AB160" t="s">
        <v>2</v>
      </c>
      <c r="AC160" t="s">
        <v>2</v>
      </c>
      <c r="AD160" t="s">
        <v>2</v>
      </c>
      <c r="AE160" t="s">
        <v>2</v>
      </c>
      <c r="AF160" t="s">
        <v>2</v>
      </c>
      <c r="AG160" t="s">
        <v>2</v>
      </c>
      <c r="AH160" t="s">
        <v>3</v>
      </c>
      <c r="AI160" t="s">
        <v>3</v>
      </c>
      <c r="AJ160" t="s">
        <v>3</v>
      </c>
      <c r="AK160" t="s">
        <v>3</v>
      </c>
      <c r="AL160" t="s">
        <v>3</v>
      </c>
      <c r="AM160" t="s">
        <v>3</v>
      </c>
    </row>
    <row r="161" spans="1:39">
      <c r="B161" t="str">
        <f t="array" ref="B161:G161">TRANSPOSE(Crops)</f>
        <v>Teff</v>
      </c>
      <c r="C161" t="str">
        <v>Sorghum</v>
      </c>
      <c r="D161" t="str">
        <v>Maize</v>
      </c>
      <c r="E161" t="str">
        <v>Lentils</v>
      </c>
      <c r="F161" t="str">
        <v>Vegetables</v>
      </c>
      <c r="G161" t="str">
        <v>Coffee</v>
      </c>
      <c r="H161" t="str">
        <f t="array" ref="H161:M161">TRANSPOSE(Crops)</f>
        <v>Teff</v>
      </c>
      <c r="I161" t="str">
        <v>Sorghum</v>
      </c>
      <c r="J161" t="str">
        <v>Maize</v>
      </c>
      <c r="K161" t="str">
        <v>Lentils</v>
      </c>
      <c r="L161" t="str">
        <v>Vegetables</v>
      </c>
      <c r="M161" t="str">
        <v>Coffee</v>
      </c>
      <c r="AB161" t="str">
        <f t="array" ref="AB161:AG161">TRANSPOSE(Crops)</f>
        <v>Teff</v>
      </c>
      <c r="AC161" t="str">
        <v>Sorghum</v>
      </c>
      <c r="AD161" t="str">
        <v>Maize</v>
      </c>
      <c r="AE161" t="str">
        <v>Lentils</v>
      </c>
      <c r="AF161" t="str">
        <v>Vegetables</v>
      </c>
      <c r="AG161" t="str">
        <v>Coffee</v>
      </c>
      <c r="AH161" t="str">
        <f t="array" ref="AH161:AM161">TRANSPOSE(Crops)</f>
        <v>Teff</v>
      </c>
      <c r="AI161" t="str">
        <v>Sorghum</v>
      </c>
      <c r="AJ161" t="str">
        <v>Maize</v>
      </c>
      <c r="AK161" t="str">
        <v>Lentils</v>
      </c>
      <c r="AL161" t="str">
        <v>Vegetables</v>
      </c>
      <c r="AM161" t="str">
        <v>Coffee</v>
      </c>
    </row>
    <row r="162" spans="1:39">
      <c r="A162" t="str">
        <f t="array" ref="A162:A172">Nodes</f>
        <v>AddisAbaba</v>
      </c>
      <c r="B162" s="27">
        <v>0</v>
      </c>
      <c r="C162" s="27">
        <v>0</v>
      </c>
      <c r="D162" s="27">
        <v>0</v>
      </c>
      <c r="E162" s="27">
        <v>0</v>
      </c>
      <c r="F162" s="27">
        <v>0</v>
      </c>
      <c r="G162" s="27">
        <v>0</v>
      </c>
      <c r="H162" s="27">
        <v>0</v>
      </c>
      <c r="I162" s="27">
        <v>0</v>
      </c>
      <c r="J162" s="27">
        <v>0</v>
      </c>
      <c r="K162" s="27">
        <v>0</v>
      </c>
      <c r="L162" s="27">
        <v>0</v>
      </c>
      <c r="M162" s="27">
        <v>0</v>
      </c>
      <c r="AA162" t="str">
        <f t="array" ref="AA162:AA172">Nodes</f>
        <v>AddisAbaba</v>
      </c>
      <c r="AB162" s="27">
        <f>SUMIFS(aFAO!$D:$D,aFAO!$B:$B,Crop!$AA162,aFAO!$A:$A,Crop!AB$161)</f>
        <v>0</v>
      </c>
      <c r="AC162" s="27">
        <f>SUMIFS(aFAO!$D:$D,aFAO!$B:$B,Crop!$AA162,aFAO!$A:$A,Crop!AC$161)</f>
        <v>0</v>
      </c>
      <c r="AD162" s="27">
        <f>SUMIFS(aFAO!$D:$D,aFAO!$B:$B,Crop!$AA162,aFAO!$A:$A,Crop!AD$161)</f>
        <v>0</v>
      </c>
      <c r="AE162" s="27">
        <f>SUMIFS(aFAO!$D:$D,aFAO!$B:$B,Crop!$AA162,aFAO!$A:$A,Crop!AE$161)</f>
        <v>0</v>
      </c>
      <c r="AF162" s="27">
        <f>SUMIFS(aFAO!$D:$D,aFAO!$B:$B,Crop!$AA162,aFAO!$A:$A,Crop!AF$161)</f>
        <v>0</v>
      </c>
      <c r="AG162" s="27">
        <f>SUMIFS(aFAO!$D:$D,aFAO!$B:$B,Crop!$AA162,aFAO!$A:$A,Crop!AG$161)</f>
        <v>0</v>
      </c>
      <c r="AH162" s="27">
        <f>SUMIFS(aFAO!$C:$C,aFAO!$B:$B,Crop!$AA162,aFAO!$A:$A,Crop!AH$161)</f>
        <v>0</v>
      </c>
      <c r="AI162" s="27">
        <f>SUMIFS(aFAO!$C:$C,aFAO!$B:$B,Crop!$AA162,aFAO!$A:$A,Crop!AI$161)</f>
        <v>0</v>
      </c>
      <c r="AJ162" s="27">
        <f>SUMIFS(aFAO!$C:$C,aFAO!$B:$B,Crop!$AA162,aFAO!$A:$A,Crop!AJ$161)</f>
        <v>0</v>
      </c>
      <c r="AK162" s="27">
        <f>SUMIFS(aFAO!$C:$C,aFAO!$B:$B,Crop!$AA162,aFAO!$A:$A,Crop!AK$161)</f>
        <v>0</v>
      </c>
      <c r="AL162" s="27">
        <f>SUMIFS(aFAO!$C:$C,aFAO!$B:$B,Crop!$AA162,aFAO!$A:$A,Crop!AL$161)</f>
        <v>0</v>
      </c>
      <c r="AM162" s="27">
        <f>SUMIFS(aFAO!$C:$C,aFAO!$B:$B,Crop!$AA162,aFAO!$A:$A,Crop!AM$161)</f>
        <v>0</v>
      </c>
    </row>
    <row r="163" spans="1:39">
      <c r="A163" t="str">
        <v>Afar</v>
      </c>
      <c r="B163" s="27">
        <v>1</v>
      </c>
      <c r="C163" s="27">
        <f t="shared" ref="C163:G163" si="81">$B142/6*0.6</f>
        <v>1.1300000000000001</v>
      </c>
      <c r="D163" s="27">
        <f t="shared" si="81"/>
        <v>1.1300000000000001</v>
      </c>
      <c r="E163" s="27">
        <v>0.6</v>
      </c>
      <c r="F163" s="27">
        <v>0</v>
      </c>
      <c r="G163" s="27">
        <f t="shared" si="81"/>
        <v>1.1300000000000001</v>
      </c>
      <c r="H163" s="27">
        <v>1</v>
      </c>
      <c r="I163" s="27">
        <v>2.7</v>
      </c>
      <c r="J163" s="27">
        <v>0</v>
      </c>
      <c r="K163" s="27">
        <v>0.1</v>
      </c>
      <c r="L163" s="27">
        <v>0</v>
      </c>
      <c r="M163" s="27">
        <v>0</v>
      </c>
      <c r="AA163" t="str">
        <v>Afar</v>
      </c>
      <c r="AB163" s="27">
        <f>SUMIFS(aFAO!$D:$D,aFAO!$B:$B,Crop!$AA163,aFAO!$A:$A,Crop!AB$161)</f>
        <v>0.12399999999999999</v>
      </c>
      <c r="AC163" s="27">
        <f>SUMIFS(aFAO!$D:$D,aFAO!$B:$B,Crop!$AA163,aFAO!$A:$A,Crop!AC$161)</f>
        <v>2.5000000000000001E-2</v>
      </c>
      <c r="AD163" s="27">
        <f>SUMIFS(aFAO!$D:$D,aFAO!$B:$B,Crop!$AA163,aFAO!$A:$A,Crop!AD$161)</f>
        <v>2.5000000000000001E-2</v>
      </c>
      <c r="AE163" s="27">
        <f>SUMIFS(aFAO!$D:$D,aFAO!$B:$B,Crop!$AA163,aFAO!$A:$A,Crop!AE$161)</f>
        <v>0.05</v>
      </c>
      <c r="AF163" s="27">
        <f>SUMIFS(aFAO!$D:$D,aFAO!$B:$B,Crop!$AA163,aFAO!$A:$A,Crop!AF$161)</f>
        <v>2.5000000000000001E-2</v>
      </c>
      <c r="AG163" s="27">
        <f>SUMIFS(aFAO!$D:$D,aFAO!$B:$B,Crop!$AA163,aFAO!$A:$A,Crop!AG$161)</f>
        <v>2.5000000000000001E-2</v>
      </c>
      <c r="AH163" s="27">
        <f>SUMIFS(aFAO!$C:$C,aFAO!$B:$B,Crop!$AA163,aFAO!$A:$A,Crop!AH$161)</f>
        <v>0</v>
      </c>
      <c r="AI163" s="27">
        <f>SUMIFS(aFAO!$C:$C,aFAO!$B:$B,Crop!$AA163,aFAO!$A:$A,Crop!AI$161)</f>
        <v>0.8</v>
      </c>
      <c r="AJ163" s="27">
        <f>SUMIFS(aFAO!$C:$C,aFAO!$B:$B,Crop!$AA163,aFAO!$A:$A,Crop!AJ$161)</f>
        <v>0</v>
      </c>
      <c r="AK163" s="27">
        <f>SUMIFS(aFAO!$C:$C,aFAO!$B:$B,Crop!$AA163,aFAO!$A:$A,Crop!AK$161)</f>
        <v>0</v>
      </c>
      <c r="AL163" s="27">
        <f>SUMIFS(aFAO!$C:$C,aFAO!$B:$B,Crop!$AA163,aFAO!$A:$A,Crop!AL$161)</f>
        <v>7.7</v>
      </c>
      <c r="AM163" s="27">
        <f>SUMIFS(aFAO!$C:$C,aFAO!$B:$B,Crop!$AA163,aFAO!$A:$A,Crop!AM$161)</f>
        <v>0</v>
      </c>
    </row>
    <row r="164" spans="1:39">
      <c r="A164" t="str">
        <v>Amhara</v>
      </c>
      <c r="B164" s="27">
        <f>27+58</f>
        <v>85</v>
      </c>
      <c r="C164" s="27">
        <v>9</v>
      </c>
      <c r="D164" s="27">
        <v>13</v>
      </c>
      <c r="E164" s="27">
        <v>34</v>
      </c>
      <c r="F164" s="27">
        <v>0</v>
      </c>
      <c r="G164" s="27">
        <v>0</v>
      </c>
      <c r="H164" s="27">
        <f>1014+328</f>
        <v>1342</v>
      </c>
      <c r="I164" s="27">
        <f>498+710</f>
        <v>1208</v>
      </c>
      <c r="J164" s="27">
        <f>472+216</f>
        <v>688</v>
      </c>
      <c r="K164" s="27">
        <f>553</f>
        <v>553</v>
      </c>
      <c r="L164" s="27">
        <f>32+34</f>
        <v>66</v>
      </c>
      <c r="M164" s="27">
        <f>325+12</f>
        <v>337</v>
      </c>
      <c r="AA164" t="str">
        <v>Amhara</v>
      </c>
      <c r="AB164" s="27">
        <f>SUMIFS(aFAO!$D:$D,aFAO!$B:$B,Crop!$AA164,aFAO!$A:$A,Crop!AB$161)</f>
        <v>0.4</v>
      </c>
      <c r="AC164" s="27">
        <f>SUMIFS(aFAO!$D:$D,aFAO!$B:$B,Crop!$AA164,aFAO!$A:$A,Crop!AC$161)</f>
        <v>0.42999999999999994</v>
      </c>
      <c r="AD164" s="27">
        <f>SUMIFS(aFAO!$D:$D,aFAO!$B:$B,Crop!$AA164,aFAO!$A:$A,Crop!AD$161)</f>
        <v>0.64849999999999997</v>
      </c>
      <c r="AE164" s="27">
        <f>SUMIFS(aFAO!$D:$D,aFAO!$B:$B,Crop!$AA164,aFAO!$A:$A,Crop!AE$161)</f>
        <v>0.26</v>
      </c>
      <c r="AF164" s="27">
        <f>SUMIFS(aFAO!$D:$D,aFAO!$B:$B,Crop!$AA164,aFAO!$A:$A,Crop!AF$161)</f>
        <v>2.5000000000000001E-2</v>
      </c>
      <c r="AG164" s="27">
        <f>SUMIFS(aFAO!$D:$D,aFAO!$B:$B,Crop!$AA164,aFAO!$A:$A,Crop!AG$161)</f>
        <v>2.5000000000000001E-2</v>
      </c>
      <c r="AH164" s="27">
        <f>SUMIFS(aFAO!$C:$C,aFAO!$B:$B,Crop!$AA164,aFAO!$A:$A,Crop!AH$161)</f>
        <v>0.2</v>
      </c>
      <c r="AI164" s="27">
        <f>SUMIFS(aFAO!$C:$C,aFAO!$B:$B,Crop!$AA164,aFAO!$A:$A,Crop!AI$161)</f>
        <v>0.95</v>
      </c>
      <c r="AJ164" s="27">
        <f>SUMIFS(aFAO!$C:$C,aFAO!$B:$B,Crop!$AA164,aFAO!$A:$A,Crop!AJ$161)</f>
        <v>1.1499999999999999</v>
      </c>
      <c r="AK164" s="27">
        <f>SUMIFS(aFAO!$C:$C,aFAO!$B:$B,Crop!$AA164,aFAO!$A:$A,Crop!AK$161)</f>
        <v>0.7</v>
      </c>
      <c r="AL164" s="27">
        <f>SUMIFS(aFAO!$C:$C,aFAO!$B:$B,Crop!$AA164,aFAO!$A:$A,Crop!AL$161)</f>
        <v>3.25</v>
      </c>
      <c r="AM164" s="27">
        <f>SUMIFS(aFAO!$C:$C,aFAO!$B:$B,Crop!$AA164,aFAO!$A:$A,Crop!AM$161)</f>
        <v>0.35</v>
      </c>
    </row>
    <row r="165" spans="1:39">
      <c r="A165" t="str">
        <v>Gumuz</v>
      </c>
      <c r="B165" s="27">
        <v>0</v>
      </c>
      <c r="C165" s="27">
        <v>0</v>
      </c>
      <c r="D165" s="27">
        <v>0.4</v>
      </c>
      <c r="E165" s="27">
        <v>1.2</v>
      </c>
      <c r="F165" s="27">
        <v>0</v>
      </c>
      <c r="G165" s="27">
        <v>0</v>
      </c>
      <c r="H165" s="27">
        <f>23.6+1.2</f>
        <v>24.8</v>
      </c>
      <c r="I165" s="27">
        <f>66.5+2.7</f>
        <v>69.2</v>
      </c>
      <c r="J165" s="27">
        <f>43.8+29.4</f>
        <v>73.199999999999989</v>
      </c>
      <c r="K165" s="27">
        <v>11</v>
      </c>
      <c r="L165" s="27">
        <v>2.4</v>
      </c>
      <c r="M165" s="27">
        <f>48.4+0.8</f>
        <v>49.199999999999996</v>
      </c>
      <c r="AA165" t="str">
        <v>Gumuz</v>
      </c>
      <c r="AB165" s="27">
        <f>SUMIFS(aFAO!$D:$D,aFAO!$B:$B,Crop!$AA165,aFAO!$A:$A,Crop!AB$161)</f>
        <v>2.5000000000000001E-2</v>
      </c>
      <c r="AC165" s="27">
        <f>SUMIFS(aFAO!$D:$D,aFAO!$B:$B,Crop!$AA165,aFAO!$A:$A,Crop!AC$161)</f>
        <v>2.5000000000000001E-2</v>
      </c>
      <c r="AD165" s="27">
        <f>SUMIFS(aFAO!$D:$D,aFAO!$B:$B,Crop!$AA165,aFAO!$A:$A,Crop!AD$161)</f>
        <v>0.76349999999999996</v>
      </c>
      <c r="AE165" s="27">
        <f>SUMIFS(aFAO!$D:$D,aFAO!$B:$B,Crop!$AA165,aFAO!$A:$A,Crop!AE$161)</f>
        <v>0.34599999999999992</v>
      </c>
      <c r="AF165" s="27">
        <f>SUMIFS(aFAO!$D:$D,aFAO!$B:$B,Crop!$AA165,aFAO!$A:$A,Crop!AF$161)</f>
        <v>2.5000000000000001E-2</v>
      </c>
      <c r="AG165" s="27">
        <f>SUMIFS(aFAO!$D:$D,aFAO!$B:$B,Crop!$AA165,aFAO!$A:$A,Crop!AG$161)</f>
        <v>2.5000000000000001E-2</v>
      </c>
      <c r="AH165" s="27">
        <f>SUMIFS(aFAO!$C:$C,aFAO!$B:$B,Crop!$AA165,aFAO!$A:$A,Crop!AH$161)</f>
        <v>0.5</v>
      </c>
      <c r="AI165" s="27">
        <f>SUMIFS(aFAO!$C:$C,aFAO!$B:$B,Crop!$AA165,aFAO!$A:$A,Crop!AI$161)</f>
        <v>0.85</v>
      </c>
      <c r="AJ165" s="27">
        <f>SUMIFS(aFAO!$C:$C,aFAO!$B:$B,Crop!$AA165,aFAO!$A:$A,Crop!AJ$161)</f>
        <v>1.1000000000000001</v>
      </c>
      <c r="AK165" s="27">
        <f>SUMIFS(aFAO!$C:$C,aFAO!$B:$B,Crop!$AA165,aFAO!$A:$A,Crop!AK$161)</f>
        <v>0.75</v>
      </c>
      <c r="AL165" s="27">
        <f>SUMIFS(aFAO!$C:$C,aFAO!$B:$B,Crop!$AA165,aFAO!$A:$A,Crop!AL$161)</f>
        <v>3.4</v>
      </c>
      <c r="AM165" s="27">
        <f>SUMIFS(aFAO!$C:$C,aFAO!$B:$B,Crop!$AA165,aFAO!$A:$A,Crop!AM$161)</f>
        <v>0.45</v>
      </c>
    </row>
    <row r="166" spans="1:39">
      <c r="A166" t="str">
        <v>DireDawa</v>
      </c>
      <c r="B166" s="27">
        <v>0</v>
      </c>
      <c r="C166" s="27">
        <v>0</v>
      </c>
      <c r="D166" s="27">
        <v>0.1</v>
      </c>
      <c r="E166" s="27">
        <v>0</v>
      </c>
      <c r="F166" s="27">
        <v>0</v>
      </c>
      <c r="G166" s="27">
        <v>0</v>
      </c>
      <c r="H166" s="27">
        <v>0</v>
      </c>
      <c r="I166" s="27">
        <v>8.8000000000000007</v>
      </c>
      <c r="J166" s="27">
        <v>0.3</v>
      </c>
      <c r="K166" s="27">
        <v>0.27</v>
      </c>
      <c r="L166" s="27">
        <v>0.2</v>
      </c>
      <c r="M166" s="27">
        <v>0.3</v>
      </c>
      <c r="AA166" t="str">
        <v>DireDawa</v>
      </c>
      <c r="AB166" s="27">
        <f>SUMIFS(aFAO!$D:$D,aFAO!$B:$B,Crop!$AA166,aFAO!$A:$A,Crop!AB$161)</f>
        <v>2.5000000000000001E-2</v>
      </c>
      <c r="AC166" s="27">
        <f>SUMIFS(aFAO!$D:$D,aFAO!$B:$B,Crop!$AA166,aFAO!$A:$A,Crop!AC$161)</f>
        <v>0.05</v>
      </c>
      <c r="AD166" s="27">
        <f>SUMIFS(aFAO!$D:$D,aFAO!$B:$B,Crop!$AA166,aFAO!$A:$A,Crop!AD$161)</f>
        <v>0.71599999999999997</v>
      </c>
      <c r="AE166" s="27">
        <f>SUMIFS(aFAO!$D:$D,aFAO!$B:$B,Crop!$AA166,aFAO!$A:$A,Crop!AE$161)</f>
        <v>2.5000000000000001E-2</v>
      </c>
      <c r="AF166" s="27">
        <f>SUMIFS(aFAO!$D:$D,aFAO!$B:$B,Crop!$AA166,aFAO!$A:$A,Crop!AF$161)</f>
        <v>2.5000000000000001E-2</v>
      </c>
      <c r="AG166" s="27">
        <f>SUMIFS(aFAO!$D:$D,aFAO!$B:$B,Crop!$AA166,aFAO!$A:$A,Crop!AG$161)</f>
        <v>2.5000000000000001E-2</v>
      </c>
      <c r="AH166" s="27">
        <f>SUMIFS(aFAO!$C:$C,aFAO!$B:$B,Crop!$AA166,aFAO!$A:$A,Crop!AH$161)</f>
        <v>0</v>
      </c>
      <c r="AI166" s="27">
        <f>SUMIFS(aFAO!$C:$C,aFAO!$B:$B,Crop!$AA166,aFAO!$A:$A,Crop!AI$161)</f>
        <v>0.85</v>
      </c>
      <c r="AJ166" s="27">
        <f>SUMIFS(aFAO!$C:$C,aFAO!$B:$B,Crop!$AA166,aFAO!$A:$A,Crop!AJ$161)</f>
        <v>0.8</v>
      </c>
      <c r="AK166" s="27">
        <f>SUMIFS(aFAO!$C:$C,aFAO!$B:$B,Crop!$AA166,aFAO!$A:$A,Crop!AK$161)</f>
        <v>0.9</v>
      </c>
      <c r="AL166" s="27">
        <f>SUMIFS(aFAO!$C:$C,aFAO!$B:$B,Crop!$AA166,aFAO!$A:$A,Crop!AL$161)</f>
        <v>5</v>
      </c>
      <c r="AM166" s="27">
        <f>SUMIFS(aFAO!$C:$C,aFAO!$B:$B,Crop!$AA166,aFAO!$A:$A,Crop!AM$161)</f>
        <v>0.2</v>
      </c>
    </row>
    <row r="167" spans="1:39">
      <c r="A167" t="str">
        <v>Gambela</v>
      </c>
      <c r="B167" s="27">
        <v>0</v>
      </c>
      <c r="C167" s="27">
        <v>0</v>
      </c>
      <c r="D167" s="27">
        <v>0</v>
      </c>
      <c r="E167" s="27">
        <v>0</v>
      </c>
      <c r="F167" s="27">
        <v>0</v>
      </c>
      <c r="G167" s="27">
        <v>0</v>
      </c>
      <c r="H167" s="27">
        <v>0</v>
      </c>
      <c r="I167" s="27">
        <v>3.5</v>
      </c>
      <c r="J167" s="27">
        <v>6</v>
      </c>
      <c r="K167" s="27">
        <v>0.16</v>
      </c>
      <c r="L167" s="27">
        <f>0.13+0.26</f>
        <v>0.39</v>
      </c>
      <c r="M167" s="27">
        <v>3.4</v>
      </c>
      <c r="AA167" t="str">
        <v>Gambela</v>
      </c>
      <c r="AB167" s="27">
        <f>SUMIFS(aFAO!$D:$D,aFAO!$B:$B,Crop!$AA167,aFAO!$A:$A,Crop!AB$161)</f>
        <v>0</v>
      </c>
      <c r="AC167" s="27">
        <f>SUMIFS(aFAO!$D:$D,aFAO!$B:$B,Crop!$AA167,aFAO!$A:$A,Crop!AC$161)</f>
        <v>0</v>
      </c>
      <c r="AD167" s="27">
        <f>SUMIFS(aFAO!$D:$D,aFAO!$B:$B,Crop!$AA167,aFAO!$A:$A,Crop!AD$161)</f>
        <v>0</v>
      </c>
      <c r="AE167" s="27">
        <f>SUMIFS(aFAO!$D:$D,aFAO!$B:$B,Crop!$AA167,aFAO!$A:$A,Crop!AE$161)</f>
        <v>0</v>
      </c>
      <c r="AF167" s="27">
        <f>SUMIFS(aFAO!$D:$D,aFAO!$B:$B,Crop!$AA167,aFAO!$A:$A,Crop!AF$161)</f>
        <v>0</v>
      </c>
      <c r="AG167" s="27">
        <f>SUMIFS(aFAO!$D:$D,aFAO!$B:$B,Crop!$AA167,aFAO!$A:$A,Crop!AG$161)</f>
        <v>0</v>
      </c>
      <c r="AH167" s="27">
        <f>SUMIFS(aFAO!$C:$C,aFAO!$B:$B,Crop!$AA167,aFAO!$A:$A,Crop!AH$161)</f>
        <v>0</v>
      </c>
      <c r="AI167" s="27">
        <f>SUMIFS(aFAO!$C:$C,aFAO!$B:$B,Crop!$AA167,aFAO!$A:$A,Crop!AI$161)</f>
        <v>1.1499999999999999</v>
      </c>
      <c r="AJ167" s="27">
        <f>SUMIFS(aFAO!$C:$C,aFAO!$B:$B,Crop!$AA167,aFAO!$A:$A,Crop!AJ$161)</f>
        <v>0.85</v>
      </c>
      <c r="AK167" s="27">
        <f>SUMIFS(aFAO!$C:$C,aFAO!$B:$B,Crop!$AA167,aFAO!$A:$A,Crop!AK$161)</f>
        <v>0.2</v>
      </c>
      <c r="AL167" s="27">
        <f>SUMIFS(aFAO!$C:$C,aFAO!$B:$B,Crop!$AA167,aFAO!$A:$A,Crop!AL$161)</f>
        <v>4.0999999999999996</v>
      </c>
      <c r="AM167" s="27">
        <f>SUMIFS(aFAO!$C:$C,aFAO!$B:$B,Crop!$AA167,aFAO!$A:$A,Crop!AM$161)</f>
        <v>0</v>
      </c>
    </row>
    <row r="168" spans="1:39">
      <c r="A168" t="str">
        <v>Harari</v>
      </c>
      <c r="B168" s="27">
        <v>0</v>
      </c>
      <c r="C168" s="27">
        <v>0</v>
      </c>
      <c r="D168" s="27">
        <v>0</v>
      </c>
      <c r="E168" s="27">
        <v>0.2</v>
      </c>
      <c r="F168" s="27">
        <v>0</v>
      </c>
      <c r="G168" s="27">
        <v>0</v>
      </c>
      <c r="H168" s="27">
        <v>0</v>
      </c>
      <c r="I168" s="27">
        <f>6.7+0.12</f>
        <v>6.82</v>
      </c>
      <c r="J168" s="27">
        <f>0.1</f>
        <v>0.1</v>
      </c>
      <c r="K168" s="27">
        <v>0</v>
      </c>
      <c r="L168" s="27">
        <v>0</v>
      </c>
      <c r="M168" s="27">
        <v>1.6</v>
      </c>
      <c r="AA168" t="str">
        <v>Harari</v>
      </c>
      <c r="AB168" s="27">
        <f>SUMIFS(aFAO!$D:$D,aFAO!$B:$B,Crop!$AA168,aFAO!$A:$A,Crop!AB$161)</f>
        <v>2.5000000000000001E-2</v>
      </c>
      <c r="AC168" s="27">
        <f>SUMIFS(aFAO!$D:$D,aFAO!$B:$B,Crop!$AA168,aFAO!$A:$A,Crop!AC$161)</f>
        <v>2.5000000000000001E-2</v>
      </c>
      <c r="AD168" s="27">
        <f>SUMIFS(aFAO!$D:$D,aFAO!$B:$B,Crop!$AA168,aFAO!$A:$A,Crop!AD$161)</f>
        <v>2.5000000000000001E-2</v>
      </c>
      <c r="AE168" s="27">
        <f>SUMIFS(aFAO!$D:$D,aFAO!$B:$B,Crop!$AA168,aFAO!$A:$A,Crop!AE$161)</f>
        <v>0.67899999999999994</v>
      </c>
      <c r="AF168" s="27">
        <f>SUMIFS(aFAO!$D:$D,aFAO!$B:$B,Crop!$AA168,aFAO!$A:$A,Crop!AF$161)</f>
        <v>2.5000000000000001E-2</v>
      </c>
      <c r="AG168" s="27">
        <f>SUMIFS(aFAO!$D:$D,aFAO!$B:$B,Crop!$AA168,aFAO!$A:$A,Crop!AG$161)</f>
        <v>2.5000000000000001E-2</v>
      </c>
      <c r="AH168" s="27">
        <f>SUMIFS(aFAO!$C:$C,aFAO!$B:$B,Crop!$AA168,aFAO!$A:$A,Crop!AH$161)</f>
        <v>0.45</v>
      </c>
      <c r="AI168" s="27">
        <f>SUMIFS(aFAO!$C:$C,aFAO!$B:$B,Crop!$AA168,aFAO!$A:$A,Crop!AI$161)</f>
        <v>0.75</v>
      </c>
      <c r="AJ168" s="27">
        <f>SUMIFS(aFAO!$C:$C,aFAO!$B:$B,Crop!$AA168,aFAO!$A:$A,Crop!AJ$161)</f>
        <v>1</v>
      </c>
      <c r="AK168" s="27">
        <f>SUMIFS(aFAO!$C:$C,aFAO!$B:$B,Crop!$AA168,aFAO!$A:$A,Crop!AK$161)</f>
        <v>0</v>
      </c>
      <c r="AL168" s="27">
        <f>SUMIFS(aFAO!$C:$C,aFAO!$B:$B,Crop!$AA168,aFAO!$A:$A,Crop!AL$161)</f>
        <v>4.0999999999999996</v>
      </c>
      <c r="AM168" s="27">
        <f>SUMIFS(aFAO!$C:$C,aFAO!$B:$B,Crop!$AA168,aFAO!$A:$A,Crop!AM$161)</f>
        <v>2.5</v>
      </c>
    </row>
    <row r="169" spans="1:39">
      <c r="A169" t="str">
        <v>Oromia</v>
      </c>
      <c r="B169" s="27">
        <f>53+135</f>
        <v>188</v>
      </c>
      <c r="C169" s="27">
        <f>15+99</f>
        <v>114</v>
      </c>
      <c r="D169" s="27">
        <v>185</v>
      </c>
      <c r="E169" s="27">
        <v>82</v>
      </c>
      <c r="F169" s="27">
        <v>0</v>
      </c>
      <c r="G169" s="27">
        <v>0</v>
      </c>
      <c r="H169" s="27">
        <f>9.7+0.7</f>
        <v>10.399999999999999</v>
      </c>
      <c r="I169" s="27">
        <v>35</v>
      </c>
      <c r="J169" s="27">
        <v>6</v>
      </c>
      <c r="K169" s="27">
        <v>2.2999999999999998</v>
      </c>
      <c r="L169" s="27">
        <v>0.3</v>
      </c>
      <c r="M169" s="27">
        <v>0</v>
      </c>
      <c r="AA169" t="str">
        <v>Oromia</v>
      </c>
      <c r="AB169" s="27">
        <f>SUMIFS(aFAO!$D:$D,aFAO!$B:$B,Crop!$AA169,aFAO!$A:$A,Crop!AB$161)</f>
        <v>0.29787234042553196</v>
      </c>
      <c r="AC169" s="27">
        <f>SUMIFS(aFAO!$D:$D,aFAO!$B:$B,Crop!$AA169,aFAO!$A:$A,Crop!AC$161)</f>
        <v>0.38913043478260845</v>
      </c>
      <c r="AD169" s="27">
        <f>SUMIFS(aFAO!$D:$D,aFAO!$B:$B,Crop!$AA169,aFAO!$A:$A,Crop!AD$161)</f>
        <v>0.77636815920397995</v>
      </c>
      <c r="AE169" s="27">
        <f>SUMIFS(aFAO!$D:$D,aFAO!$B:$B,Crop!$AA169,aFAO!$A:$A,Crop!AE$161)</f>
        <v>0.35</v>
      </c>
      <c r="AF169" s="27">
        <f>SUMIFS(aFAO!$D:$D,aFAO!$B:$B,Crop!$AA169,aFAO!$A:$A,Crop!AF$161)</f>
        <v>2.5000000000000001E-2</v>
      </c>
      <c r="AG169" s="27">
        <f>SUMIFS(aFAO!$D:$D,aFAO!$B:$B,Crop!$AA169,aFAO!$A:$A,Crop!AG$161)</f>
        <v>2.5000000000000001E-2</v>
      </c>
      <c r="AH169" s="27">
        <f>SUMIFS(aFAO!$C:$C,aFAO!$B:$B,Crop!$AA169,aFAO!$A:$A,Crop!AH$161)</f>
        <v>0.7</v>
      </c>
      <c r="AI169" s="27">
        <f>SUMIFS(aFAO!$C:$C,aFAO!$B:$B,Crop!$AA169,aFAO!$A:$A,Crop!AI$161)</f>
        <v>1</v>
      </c>
      <c r="AJ169" s="27">
        <f>SUMIFS(aFAO!$C:$C,aFAO!$B:$B,Crop!$AA169,aFAO!$A:$A,Crop!AJ$161)</f>
        <v>1.25</v>
      </c>
      <c r="AK169" s="27">
        <f>SUMIFS(aFAO!$C:$C,aFAO!$B:$B,Crop!$AA169,aFAO!$A:$A,Crop!AK$161)</f>
        <v>0.75</v>
      </c>
      <c r="AL169" s="27">
        <f>SUMIFS(aFAO!$C:$C,aFAO!$B:$B,Crop!$AA169,aFAO!$A:$A,Crop!AL$161)</f>
        <v>3.25</v>
      </c>
      <c r="AM169" s="27">
        <f>SUMIFS(aFAO!$C:$C,aFAO!$B:$B,Crop!$AA169,aFAO!$A:$A,Crop!AM$161)</f>
        <v>0.35</v>
      </c>
    </row>
    <row r="170" spans="1:39">
      <c r="A170" t="str">
        <v>Somali</v>
      </c>
      <c r="B170" s="27">
        <v>0</v>
      </c>
      <c r="C170" s="27">
        <v>0.4</v>
      </c>
      <c r="D170" s="27">
        <v>19.5</v>
      </c>
      <c r="E170" s="27">
        <v>0.3</v>
      </c>
      <c r="F170" s="27">
        <v>0</v>
      </c>
      <c r="G170" s="27">
        <v>0</v>
      </c>
      <c r="H170" s="27">
        <v>0</v>
      </c>
      <c r="I170" s="27">
        <f>34.6+4.3</f>
        <v>38.9</v>
      </c>
      <c r="J170" s="27">
        <v>28</v>
      </c>
      <c r="K170" s="27">
        <v>0</v>
      </c>
      <c r="L170" s="27">
        <v>0</v>
      </c>
      <c r="M170" s="27">
        <v>0</v>
      </c>
      <c r="AA170" t="str">
        <v>Somali</v>
      </c>
      <c r="AB170" s="27">
        <f>SUMIFS(aFAO!$D:$D,aFAO!$B:$B,Crop!$AA170,aFAO!$A:$A,Crop!AB$161)</f>
        <v>2.5000000000000001E-2</v>
      </c>
      <c r="AC170" s="27">
        <f>SUMIFS(aFAO!$D:$D,aFAO!$B:$B,Crop!$AA170,aFAO!$A:$A,Crop!AC$161)</f>
        <v>0.23369565217391297</v>
      </c>
      <c r="AD170" s="27">
        <f>SUMIFS(aFAO!$D:$D,aFAO!$B:$B,Crop!$AA170,aFAO!$A:$A,Crop!AD$161)</f>
        <v>0.3115</v>
      </c>
      <c r="AE170" s="27">
        <f>SUMIFS(aFAO!$D:$D,aFAO!$B:$B,Crop!$AA170,aFAO!$A:$A,Crop!AE$161)</f>
        <v>0.05</v>
      </c>
      <c r="AF170" s="27">
        <f>SUMIFS(aFAO!$D:$D,aFAO!$B:$B,Crop!$AA170,aFAO!$A:$A,Crop!AF$161)</f>
        <v>2.5000000000000001E-2</v>
      </c>
      <c r="AG170" s="27">
        <f>SUMIFS(aFAO!$D:$D,aFAO!$B:$B,Crop!$AA170,aFAO!$A:$A,Crop!AG$161)</f>
        <v>2.5000000000000001E-2</v>
      </c>
      <c r="AH170" s="27">
        <f>SUMIFS(aFAO!$C:$C,aFAO!$B:$B,Crop!$AA170,aFAO!$A:$A,Crop!AH$161)</f>
        <v>0</v>
      </c>
      <c r="AI170" s="27">
        <f>SUMIFS(aFAO!$C:$C,aFAO!$B:$B,Crop!$AA170,aFAO!$A:$A,Crop!AI$161)</f>
        <v>0.7</v>
      </c>
      <c r="AJ170" s="27">
        <f>SUMIFS(aFAO!$C:$C,aFAO!$B:$B,Crop!$AA170,aFAO!$A:$A,Crop!AJ$161)</f>
        <v>0.9</v>
      </c>
      <c r="AK170" s="27">
        <f>SUMIFS(aFAO!$C:$C,aFAO!$B:$B,Crop!$AA170,aFAO!$A:$A,Crop!AK$161)</f>
        <v>0</v>
      </c>
      <c r="AL170" s="27">
        <f>SUMIFS(aFAO!$C:$C,aFAO!$B:$B,Crop!$AA170,aFAO!$A:$A,Crop!AL$161)</f>
        <v>0</v>
      </c>
      <c r="AM170" s="27">
        <f>SUMIFS(aFAO!$C:$C,aFAO!$B:$B,Crop!$AA170,aFAO!$A:$A,Crop!AM$161)</f>
        <v>0</v>
      </c>
    </row>
    <row r="171" spans="1:39">
      <c r="A171" t="str">
        <v>SNNPR</v>
      </c>
      <c r="B171" s="27">
        <f>18+15</f>
        <v>33</v>
      </c>
      <c r="C171" s="27">
        <f>28</f>
        <v>28</v>
      </c>
      <c r="D171" s="27">
        <f>202+1</f>
        <v>203</v>
      </c>
      <c r="E171" s="27">
        <v>77</v>
      </c>
      <c r="F171" s="27">
        <v>0</v>
      </c>
      <c r="G171" s="27">
        <v>1</v>
      </c>
      <c r="H171" s="27">
        <f>265.3+111.7</f>
        <v>377</v>
      </c>
      <c r="I171" s="27">
        <f>107.7+131.16</f>
        <v>238.86</v>
      </c>
      <c r="J171" s="27">
        <f>237.3+3.8</f>
        <v>241.10000000000002</v>
      </c>
      <c r="K171" s="27">
        <v>202</v>
      </c>
      <c r="L171" s="27">
        <f>38+91</f>
        <v>129</v>
      </c>
      <c r="M171" s="27">
        <f>130+5</f>
        <v>135</v>
      </c>
      <c r="AA171" t="str">
        <v>SNNPR</v>
      </c>
      <c r="AB171" s="27">
        <f>SUMIFS(aFAO!$D:$D,aFAO!$B:$B,Crop!$AA171,aFAO!$A:$A,Crop!AB$161)</f>
        <v>0.25303030303030299</v>
      </c>
      <c r="AC171" s="27">
        <f>SUMIFS(aFAO!$D:$D,aFAO!$B:$B,Crop!$AA171,aFAO!$A:$A,Crop!AC$161)</f>
        <v>0.27428571428571447</v>
      </c>
      <c r="AD171" s="27">
        <f>SUMIFS(aFAO!$D:$D,aFAO!$B:$B,Crop!$AA171,aFAO!$A:$A,Crop!AD$161)</f>
        <v>0.60599999999999998</v>
      </c>
      <c r="AE171" s="27">
        <f>SUMIFS(aFAO!$D:$D,aFAO!$B:$B,Crop!$AA171,aFAO!$A:$A,Crop!AE$161)</f>
        <v>0.3299999999999999</v>
      </c>
      <c r="AF171" s="27">
        <f>SUMIFS(aFAO!$D:$D,aFAO!$B:$B,Crop!$AA171,aFAO!$A:$A,Crop!AF$161)</f>
        <v>2.5000000000000001E-2</v>
      </c>
      <c r="AG171" s="27">
        <f>SUMIFS(aFAO!$D:$D,aFAO!$B:$B,Crop!$AA171,aFAO!$A:$A,Crop!AG$161)</f>
        <v>2.5000000000000001E-2</v>
      </c>
      <c r="AH171" s="27">
        <f>SUMIFS(aFAO!$C:$C,aFAO!$B:$B,Crop!$AA171,aFAO!$A:$A,Crop!AH$161)</f>
        <v>0.65</v>
      </c>
      <c r="AI171" s="27">
        <f>SUMIFS(aFAO!$C:$C,aFAO!$B:$B,Crop!$AA171,aFAO!$A:$A,Crop!AI$161)</f>
        <v>0.9</v>
      </c>
      <c r="AJ171" s="27">
        <f>SUMIFS(aFAO!$C:$C,aFAO!$B:$B,Crop!$AA171,aFAO!$A:$A,Crop!AJ$161)</f>
        <v>1.1499999999999999</v>
      </c>
      <c r="AK171" s="27">
        <f>SUMIFS(aFAO!$C:$C,aFAO!$B:$B,Crop!$AA171,aFAO!$A:$A,Crop!AK$161)</f>
        <v>0.65</v>
      </c>
      <c r="AL171" s="27">
        <f>SUMIFS(aFAO!$C:$C,aFAO!$B:$B,Crop!$AA171,aFAO!$A:$A,Crop!AL$161)</f>
        <v>4.55</v>
      </c>
      <c r="AM171" s="27">
        <f>SUMIFS(aFAO!$C:$C,aFAO!$B:$B,Crop!$AA171,aFAO!$A:$A,Crop!AM$161)</f>
        <v>0.4</v>
      </c>
    </row>
    <row r="172" spans="1:39">
      <c r="A172" t="str">
        <v>Tigray</v>
      </c>
      <c r="B172" s="27">
        <v>15</v>
      </c>
      <c r="C172" s="27">
        <v>0</v>
      </c>
      <c r="D172" s="27">
        <v>2</v>
      </c>
      <c r="E172" s="27">
        <v>0</v>
      </c>
      <c r="F172" s="27">
        <v>0.6</v>
      </c>
      <c r="G172" s="27">
        <v>0</v>
      </c>
      <c r="H172" s="27">
        <f>165+90</f>
        <v>255</v>
      </c>
      <c r="I172" s="27">
        <f>100+216</f>
        <v>316</v>
      </c>
      <c r="J172" s="27">
        <v>135</v>
      </c>
      <c r="K172" s="27">
        <v>37</v>
      </c>
      <c r="L172" s="27">
        <f>2.8+2.3</f>
        <v>5.0999999999999996</v>
      </c>
      <c r="M172" s="27">
        <v>70</v>
      </c>
      <c r="AA172" t="str">
        <v>Tigray</v>
      </c>
      <c r="AB172" s="27">
        <f>SUMIFS(aFAO!$D:$D,aFAO!$B:$B,Crop!$AA172,aFAO!$A:$A,Crop!AB$161)</f>
        <v>0.29199999999999998</v>
      </c>
      <c r="AC172" s="27">
        <f>SUMIFS(aFAO!$D:$D,aFAO!$B:$B,Crop!$AA172,aFAO!$A:$A,Crop!AC$161)</f>
        <v>2.5000000000000001E-2</v>
      </c>
      <c r="AD172" s="27">
        <f>SUMIFS(aFAO!$D:$D,aFAO!$B:$B,Crop!$AA172,aFAO!$A:$A,Crop!AD$161)</f>
        <v>0.47850000000000004</v>
      </c>
      <c r="AE172" s="27">
        <f>SUMIFS(aFAO!$D:$D,aFAO!$B:$B,Crop!$AA172,aFAO!$A:$A,Crop!AE$161)</f>
        <v>2.5000000000000001E-2</v>
      </c>
      <c r="AF172" s="27">
        <f>SUMIFS(aFAO!$D:$D,aFAO!$B:$B,Crop!$AA172,aFAO!$A:$A,Crop!AF$161)</f>
        <v>2.5000000000000001E-2</v>
      </c>
      <c r="AG172" s="27">
        <f>SUMIFS(aFAO!$D:$D,aFAO!$B:$B,Crop!$AA172,aFAO!$A:$A,Crop!AG$161)</f>
        <v>2.5000000000000001E-2</v>
      </c>
      <c r="AH172" s="27">
        <f>SUMIFS(aFAO!$C:$C,aFAO!$B:$B,Crop!$AA172,aFAO!$A:$A,Crop!AH$161)</f>
        <v>0.75</v>
      </c>
      <c r="AI172" s="27">
        <f>SUMIFS(aFAO!$C:$C,aFAO!$B:$B,Crop!$AA172,aFAO!$A:$A,Crop!AI$161)</f>
        <v>1.05</v>
      </c>
      <c r="AJ172" s="27">
        <f>SUMIFS(aFAO!$C:$C,aFAO!$B:$B,Crop!$AA172,aFAO!$A:$A,Crop!AJ$161)</f>
        <v>1</v>
      </c>
      <c r="AK172" s="27">
        <f>SUMIFS(aFAO!$C:$C,aFAO!$B:$B,Crop!$AA172,aFAO!$A:$A,Crop!AK$161)</f>
        <v>0.7</v>
      </c>
      <c r="AL172" s="27">
        <f>SUMIFS(aFAO!$C:$C,aFAO!$B:$B,Crop!$AA172,aFAO!$A:$A,Crop!AL$161)</f>
        <v>4.5</v>
      </c>
      <c r="AM172" s="27">
        <f>SUMIFS(aFAO!$C:$C,aFAO!$B:$B,Crop!$AA172,aFAO!$A:$A,Crop!AM$161)</f>
        <v>0.6</v>
      </c>
    </row>
    <row r="178" spans="1:27">
      <c r="AA178" t="s">
        <v>102</v>
      </c>
    </row>
    <row r="181" spans="1:27">
      <c r="B181" t="str">
        <f t="array" ref="B181:G181">TRANSPOSE(Crops)</f>
        <v>Teff</v>
      </c>
      <c r="C181" t="str">
        <v>Sorghum</v>
      </c>
      <c r="D181" t="str">
        <v>Maize</v>
      </c>
      <c r="E181" t="str">
        <v>Lentils</v>
      </c>
      <c r="F181" t="str">
        <v>Vegetables</v>
      </c>
      <c r="G181" t="str">
        <v>Coffee</v>
      </c>
    </row>
    <row r="182" spans="1:27">
      <c r="A182" t="str">
        <f t="array" ref="A182:A192">Nodes</f>
        <v>AddisAbaba</v>
      </c>
      <c r="B182">
        <v>5</v>
      </c>
      <c r="C182">
        <v>5</v>
      </c>
      <c r="D182">
        <v>5</v>
      </c>
      <c r="E182">
        <v>5</v>
      </c>
      <c r="F182">
        <v>5</v>
      </c>
      <c r="G182">
        <v>5</v>
      </c>
    </row>
    <row r="183" spans="1:27">
      <c r="A183" t="str">
        <v>Afar</v>
      </c>
      <c r="B183">
        <v>5</v>
      </c>
      <c r="C183">
        <v>5</v>
      </c>
      <c r="D183">
        <v>5</v>
      </c>
      <c r="E183">
        <v>5</v>
      </c>
      <c r="F183">
        <v>5</v>
      </c>
      <c r="G183">
        <v>5</v>
      </c>
    </row>
    <row r="184" spans="1:27">
      <c r="A184" t="str">
        <v>Amhara</v>
      </c>
      <c r="B184">
        <v>5</v>
      </c>
      <c r="C184">
        <v>5</v>
      </c>
      <c r="D184">
        <v>5</v>
      </c>
      <c r="E184">
        <v>5</v>
      </c>
      <c r="F184">
        <v>5</v>
      </c>
      <c r="G184">
        <v>5</v>
      </c>
    </row>
    <row r="185" spans="1:27">
      <c r="A185" t="str">
        <v>Gumuz</v>
      </c>
      <c r="B185">
        <v>5</v>
      </c>
      <c r="C185">
        <v>5</v>
      </c>
      <c r="D185">
        <v>5</v>
      </c>
      <c r="E185">
        <v>5</v>
      </c>
      <c r="F185">
        <v>5</v>
      </c>
      <c r="G185">
        <v>5</v>
      </c>
    </row>
    <row r="186" spans="1:27">
      <c r="A186" t="str">
        <v>DireDawa</v>
      </c>
      <c r="B186">
        <v>5</v>
      </c>
      <c r="C186">
        <v>5</v>
      </c>
      <c r="D186">
        <v>5</v>
      </c>
      <c r="E186">
        <v>5</v>
      </c>
      <c r="F186">
        <v>5</v>
      </c>
      <c r="G186">
        <v>5</v>
      </c>
    </row>
    <row r="187" spans="1:27">
      <c r="A187" t="str">
        <v>Gambela</v>
      </c>
      <c r="B187">
        <v>5</v>
      </c>
      <c r="C187">
        <v>5</v>
      </c>
      <c r="D187">
        <v>5</v>
      </c>
      <c r="E187">
        <v>5</v>
      </c>
      <c r="F187">
        <v>5</v>
      </c>
      <c r="G187">
        <v>5</v>
      </c>
    </row>
    <row r="188" spans="1:27">
      <c r="A188" t="str">
        <v>Harari</v>
      </c>
      <c r="B188">
        <v>5</v>
      </c>
      <c r="C188">
        <v>5</v>
      </c>
      <c r="D188">
        <v>5</v>
      </c>
      <c r="E188">
        <v>5</v>
      </c>
      <c r="F188">
        <v>5</v>
      </c>
      <c r="G188">
        <v>5</v>
      </c>
    </row>
    <row r="189" spans="1:27">
      <c r="A189" t="str">
        <v>Oromia</v>
      </c>
      <c r="B189">
        <v>5</v>
      </c>
      <c r="C189">
        <v>5</v>
      </c>
      <c r="D189">
        <v>5</v>
      </c>
      <c r="E189">
        <v>5</v>
      </c>
      <c r="F189">
        <v>5</v>
      </c>
      <c r="G189">
        <v>5</v>
      </c>
    </row>
    <row r="190" spans="1:27">
      <c r="A190" t="str">
        <v>Somali</v>
      </c>
      <c r="B190">
        <v>5</v>
      </c>
      <c r="C190">
        <v>5</v>
      </c>
      <c r="D190">
        <v>5</v>
      </c>
      <c r="E190">
        <v>5</v>
      </c>
      <c r="F190">
        <v>5</v>
      </c>
      <c r="G190">
        <v>5</v>
      </c>
    </row>
    <row r="191" spans="1:27">
      <c r="A191" t="str">
        <v>SNNPR</v>
      </c>
      <c r="B191">
        <v>5</v>
      </c>
      <c r="C191">
        <v>5</v>
      </c>
      <c r="D191">
        <v>5</v>
      </c>
      <c r="E191">
        <v>5</v>
      </c>
      <c r="F191">
        <v>5</v>
      </c>
      <c r="G191">
        <v>5</v>
      </c>
    </row>
    <row r="192" spans="1:27">
      <c r="A192" t="str">
        <v>Tigray</v>
      </c>
      <c r="B192">
        <v>5</v>
      </c>
      <c r="C192">
        <v>5</v>
      </c>
      <c r="D192">
        <v>5</v>
      </c>
      <c r="E192">
        <v>5</v>
      </c>
      <c r="F192">
        <v>5</v>
      </c>
      <c r="G192">
        <v>5</v>
      </c>
    </row>
  </sheetData>
  <pageMargins left="0.75" right="0.75" top="1" bottom="1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H68"/>
  <sheetViews>
    <sheetView zoomScale="85" zoomScaleNormal="85" workbookViewId="0">
      <selection activeCell="C3" sqref="C3"/>
    </sheetView>
  </sheetViews>
  <sheetFormatPr defaultColWidth="8.875" defaultRowHeight="15.75"/>
  <cols>
    <col min="1" max="1" width="10.125" bestFit="1" customWidth="1"/>
    <col min="2" max="2" width="10.625" bestFit="1" customWidth="1"/>
  </cols>
  <sheetData>
    <row r="1" spans="1:34">
      <c r="C1" t="str">
        <f t="array" ref="C1:D1">TRANSPOSE(Seasons)</f>
        <v>Kremt</v>
      </c>
      <c r="D1" t="str">
        <v>Belg</v>
      </c>
      <c r="E1" t="str">
        <f>C1</f>
        <v>Kremt</v>
      </c>
      <c r="F1" t="str">
        <f t="shared" ref="F1:AH1" si="0">D1</f>
        <v>Belg</v>
      </c>
      <c r="G1" t="str">
        <f t="shared" si="0"/>
        <v>Kremt</v>
      </c>
      <c r="H1" t="str">
        <f t="shared" si="0"/>
        <v>Belg</v>
      </c>
      <c r="I1" t="str">
        <f t="shared" si="0"/>
        <v>Kremt</v>
      </c>
      <c r="J1" t="str">
        <f t="shared" si="0"/>
        <v>Belg</v>
      </c>
      <c r="K1" t="str">
        <f t="shared" si="0"/>
        <v>Kremt</v>
      </c>
      <c r="L1" t="str">
        <f t="shared" si="0"/>
        <v>Belg</v>
      </c>
      <c r="M1" t="str">
        <f t="shared" si="0"/>
        <v>Kremt</v>
      </c>
      <c r="N1" t="str">
        <f t="shared" si="0"/>
        <v>Belg</v>
      </c>
      <c r="O1" t="str">
        <f t="shared" si="0"/>
        <v>Kremt</v>
      </c>
      <c r="P1" t="str">
        <f t="shared" si="0"/>
        <v>Belg</v>
      </c>
      <c r="Q1" t="str">
        <f t="shared" si="0"/>
        <v>Kremt</v>
      </c>
      <c r="R1" t="str">
        <f t="shared" si="0"/>
        <v>Belg</v>
      </c>
      <c r="S1" t="str">
        <f t="shared" si="0"/>
        <v>Kremt</v>
      </c>
      <c r="T1" t="str">
        <f t="shared" si="0"/>
        <v>Belg</v>
      </c>
      <c r="U1" t="str">
        <f t="shared" si="0"/>
        <v>Kremt</v>
      </c>
      <c r="V1" t="str">
        <f t="shared" si="0"/>
        <v>Belg</v>
      </c>
      <c r="W1" t="str">
        <f t="shared" si="0"/>
        <v>Kremt</v>
      </c>
      <c r="X1" t="str">
        <f t="shared" si="0"/>
        <v>Belg</v>
      </c>
      <c r="Y1" t="str">
        <f t="shared" si="0"/>
        <v>Kremt</v>
      </c>
      <c r="Z1" t="str">
        <f t="shared" si="0"/>
        <v>Belg</v>
      </c>
      <c r="AA1" t="str">
        <f t="shared" si="0"/>
        <v>Kremt</v>
      </c>
      <c r="AB1" t="str">
        <f t="shared" si="0"/>
        <v>Belg</v>
      </c>
      <c r="AC1" t="str">
        <f t="shared" si="0"/>
        <v>Kremt</v>
      </c>
      <c r="AD1" t="str">
        <f t="shared" si="0"/>
        <v>Belg</v>
      </c>
      <c r="AE1" t="str">
        <f t="shared" si="0"/>
        <v>Kremt</v>
      </c>
      <c r="AF1" t="str">
        <f t="shared" si="0"/>
        <v>Belg</v>
      </c>
      <c r="AG1" t="str">
        <f t="shared" si="0"/>
        <v>Kremt</v>
      </c>
      <c r="AH1" t="str">
        <f t="shared" si="0"/>
        <v>Belg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sets!$H$3</f>
        <v>Teff</v>
      </c>
      <c r="B3" t="str">
        <f t="array" ref="B3:B13">Nodes</f>
        <v>AddisAbaba</v>
      </c>
      <c r="C3" s="2">
        <v>0.2</v>
      </c>
      <c r="D3" s="2">
        <v>0.18</v>
      </c>
      <c r="E3" s="2">
        <f>C3</f>
        <v>0.2</v>
      </c>
      <c r="F3" s="2">
        <f>D3</f>
        <v>0.18</v>
      </c>
      <c r="G3" s="2">
        <f>E3</f>
        <v>0.2</v>
      </c>
      <c r="H3" s="2">
        <f t="shared" ref="H3:AH12" si="2">F3</f>
        <v>0.18</v>
      </c>
      <c r="I3" s="2">
        <f t="shared" si="2"/>
        <v>0.2</v>
      </c>
      <c r="J3" s="2">
        <f t="shared" si="2"/>
        <v>0.18</v>
      </c>
      <c r="K3" s="2">
        <f t="shared" si="2"/>
        <v>0.2</v>
      </c>
      <c r="L3" s="2">
        <f t="shared" si="2"/>
        <v>0.18</v>
      </c>
      <c r="M3" s="2">
        <f t="shared" si="2"/>
        <v>0.2</v>
      </c>
      <c r="N3" s="2">
        <f t="shared" si="2"/>
        <v>0.18</v>
      </c>
      <c r="O3" s="2">
        <f t="shared" si="2"/>
        <v>0.2</v>
      </c>
      <c r="P3" s="2">
        <f t="shared" si="2"/>
        <v>0.18</v>
      </c>
      <c r="Q3" s="2">
        <f t="shared" si="2"/>
        <v>0.2</v>
      </c>
      <c r="R3" s="2">
        <f t="shared" si="2"/>
        <v>0.18</v>
      </c>
      <c r="S3" s="2">
        <f t="shared" si="2"/>
        <v>0.2</v>
      </c>
      <c r="T3" s="2">
        <f t="shared" si="2"/>
        <v>0.18</v>
      </c>
      <c r="U3" s="2">
        <f t="shared" si="2"/>
        <v>0.2</v>
      </c>
      <c r="V3" s="2">
        <f t="shared" si="2"/>
        <v>0.18</v>
      </c>
      <c r="W3" s="2">
        <f t="shared" si="2"/>
        <v>0.2</v>
      </c>
      <c r="X3" s="2">
        <f t="shared" si="2"/>
        <v>0.18</v>
      </c>
      <c r="Y3" s="2">
        <f t="shared" si="2"/>
        <v>0.2</v>
      </c>
      <c r="Z3" s="2">
        <f t="shared" si="2"/>
        <v>0.18</v>
      </c>
      <c r="AA3" s="2">
        <f t="shared" si="2"/>
        <v>0.2</v>
      </c>
      <c r="AB3" s="2">
        <f t="shared" si="2"/>
        <v>0.18</v>
      </c>
      <c r="AC3" s="2">
        <f t="shared" si="2"/>
        <v>0.2</v>
      </c>
      <c r="AD3" s="2">
        <f t="shared" si="2"/>
        <v>0.18</v>
      </c>
      <c r="AE3" s="2">
        <f t="shared" si="2"/>
        <v>0.2</v>
      </c>
      <c r="AF3" s="2">
        <f t="shared" si="2"/>
        <v>0.18</v>
      </c>
      <c r="AG3" s="2">
        <f t="shared" si="2"/>
        <v>0.2</v>
      </c>
      <c r="AH3" s="2">
        <f t="shared" si="2"/>
        <v>0.18</v>
      </c>
    </row>
    <row r="4" spans="1:34">
      <c r="A4" t="str">
        <f>sets!$H$3</f>
        <v>Teff</v>
      </c>
      <c r="B4" t="str">
        <v>Afar</v>
      </c>
      <c r="C4" s="2">
        <v>0.2</v>
      </c>
      <c r="D4" s="2">
        <v>0.18</v>
      </c>
      <c r="E4" s="2">
        <f t="shared" ref="E4:E67" si="3">C4</f>
        <v>0.2</v>
      </c>
      <c r="F4" s="2">
        <f t="shared" ref="F4:F67" si="4">D4</f>
        <v>0.18</v>
      </c>
      <c r="G4" s="2">
        <f t="shared" ref="G4:G67" si="5">E4</f>
        <v>0.2</v>
      </c>
      <c r="H4" s="2">
        <f t="shared" si="2"/>
        <v>0.18</v>
      </c>
      <c r="I4" s="2">
        <f t="shared" si="2"/>
        <v>0.2</v>
      </c>
      <c r="J4" s="2">
        <f t="shared" si="2"/>
        <v>0.18</v>
      </c>
      <c r="K4" s="2">
        <f t="shared" si="2"/>
        <v>0.2</v>
      </c>
      <c r="L4" s="2">
        <f t="shared" si="2"/>
        <v>0.18</v>
      </c>
      <c r="M4" s="2">
        <f t="shared" si="2"/>
        <v>0.2</v>
      </c>
      <c r="N4" s="2">
        <f t="shared" si="2"/>
        <v>0.18</v>
      </c>
      <c r="O4" s="2">
        <f t="shared" si="2"/>
        <v>0.2</v>
      </c>
      <c r="P4" s="2">
        <f t="shared" si="2"/>
        <v>0.18</v>
      </c>
      <c r="Q4" s="2">
        <f t="shared" si="2"/>
        <v>0.2</v>
      </c>
      <c r="R4" s="2">
        <f t="shared" si="2"/>
        <v>0.18</v>
      </c>
      <c r="S4" s="2">
        <f t="shared" si="2"/>
        <v>0.2</v>
      </c>
      <c r="T4" s="2">
        <f t="shared" si="2"/>
        <v>0.18</v>
      </c>
      <c r="U4" s="2">
        <f t="shared" si="2"/>
        <v>0.2</v>
      </c>
      <c r="V4" s="2">
        <f t="shared" si="2"/>
        <v>0.18</v>
      </c>
      <c r="W4" s="2">
        <f t="shared" si="2"/>
        <v>0.2</v>
      </c>
      <c r="X4" s="2">
        <f t="shared" si="2"/>
        <v>0.18</v>
      </c>
      <c r="Y4" s="2">
        <f t="shared" si="2"/>
        <v>0.2</v>
      </c>
      <c r="Z4" s="2">
        <f t="shared" si="2"/>
        <v>0.18</v>
      </c>
      <c r="AA4" s="2">
        <f t="shared" si="2"/>
        <v>0.2</v>
      </c>
      <c r="AB4" s="2">
        <f t="shared" si="2"/>
        <v>0.18</v>
      </c>
      <c r="AC4" s="2">
        <f t="shared" si="2"/>
        <v>0.2</v>
      </c>
      <c r="AD4" s="2">
        <f t="shared" si="2"/>
        <v>0.18</v>
      </c>
      <c r="AE4" s="2">
        <f t="shared" si="2"/>
        <v>0.2</v>
      </c>
      <c r="AF4" s="2">
        <f t="shared" si="2"/>
        <v>0.18</v>
      </c>
      <c r="AG4" s="2">
        <f t="shared" si="2"/>
        <v>0.2</v>
      </c>
      <c r="AH4" s="2">
        <f t="shared" si="2"/>
        <v>0.18</v>
      </c>
    </row>
    <row r="5" spans="1:34">
      <c r="A5" t="str">
        <f>sets!$H$3</f>
        <v>Teff</v>
      </c>
      <c r="B5" t="str">
        <v>Amhara</v>
      </c>
      <c r="C5" s="2">
        <v>0.2</v>
      </c>
      <c r="D5" s="2">
        <v>0.18</v>
      </c>
      <c r="E5" s="2">
        <f t="shared" si="3"/>
        <v>0.2</v>
      </c>
      <c r="F5" s="2">
        <f t="shared" si="4"/>
        <v>0.18</v>
      </c>
      <c r="G5" s="2">
        <f t="shared" si="5"/>
        <v>0.2</v>
      </c>
      <c r="H5" s="2">
        <f t="shared" si="2"/>
        <v>0.18</v>
      </c>
      <c r="I5" s="2">
        <f t="shared" si="2"/>
        <v>0.2</v>
      </c>
      <c r="J5" s="2">
        <f t="shared" si="2"/>
        <v>0.18</v>
      </c>
      <c r="K5" s="2">
        <f t="shared" si="2"/>
        <v>0.2</v>
      </c>
      <c r="L5" s="2">
        <f t="shared" si="2"/>
        <v>0.18</v>
      </c>
      <c r="M5" s="2">
        <f t="shared" si="2"/>
        <v>0.2</v>
      </c>
      <c r="N5" s="2">
        <f t="shared" si="2"/>
        <v>0.18</v>
      </c>
      <c r="O5" s="2">
        <f t="shared" si="2"/>
        <v>0.2</v>
      </c>
      <c r="P5" s="2">
        <f t="shared" si="2"/>
        <v>0.18</v>
      </c>
      <c r="Q5" s="2">
        <f t="shared" si="2"/>
        <v>0.2</v>
      </c>
      <c r="R5" s="2">
        <f t="shared" si="2"/>
        <v>0.18</v>
      </c>
      <c r="S5" s="2">
        <f t="shared" si="2"/>
        <v>0.2</v>
      </c>
      <c r="T5" s="2">
        <f t="shared" si="2"/>
        <v>0.18</v>
      </c>
      <c r="U5" s="2">
        <f t="shared" si="2"/>
        <v>0.2</v>
      </c>
      <c r="V5" s="2">
        <f t="shared" si="2"/>
        <v>0.18</v>
      </c>
      <c r="W5" s="2">
        <f t="shared" si="2"/>
        <v>0.2</v>
      </c>
      <c r="X5" s="2">
        <f t="shared" si="2"/>
        <v>0.18</v>
      </c>
      <c r="Y5" s="2">
        <f t="shared" si="2"/>
        <v>0.2</v>
      </c>
      <c r="Z5" s="2">
        <f t="shared" si="2"/>
        <v>0.18</v>
      </c>
      <c r="AA5" s="2">
        <f t="shared" si="2"/>
        <v>0.2</v>
      </c>
      <c r="AB5" s="2">
        <f t="shared" si="2"/>
        <v>0.18</v>
      </c>
      <c r="AC5" s="2">
        <f t="shared" si="2"/>
        <v>0.2</v>
      </c>
      <c r="AD5" s="2">
        <f t="shared" si="2"/>
        <v>0.18</v>
      </c>
      <c r="AE5" s="2">
        <f t="shared" si="2"/>
        <v>0.2</v>
      </c>
      <c r="AF5" s="2">
        <f t="shared" si="2"/>
        <v>0.18</v>
      </c>
      <c r="AG5" s="2">
        <f t="shared" si="2"/>
        <v>0.2</v>
      </c>
      <c r="AH5" s="2">
        <f t="shared" si="2"/>
        <v>0.18</v>
      </c>
    </row>
    <row r="6" spans="1:34">
      <c r="A6" t="str">
        <f>sets!$H$3</f>
        <v>Teff</v>
      </c>
      <c r="B6" t="str">
        <v>Gumuz</v>
      </c>
      <c r="C6" s="2">
        <v>0.2</v>
      </c>
      <c r="D6" s="2">
        <v>0.18</v>
      </c>
      <c r="E6" s="2">
        <f t="shared" si="3"/>
        <v>0.2</v>
      </c>
      <c r="F6" s="2">
        <f t="shared" si="4"/>
        <v>0.18</v>
      </c>
      <c r="G6" s="2">
        <f t="shared" si="5"/>
        <v>0.2</v>
      </c>
      <c r="H6" s="2">
        <f t="shared" si="2"/>
        <v>0.18</v>
      </c>
      <c r="I6" s="2">
        <f t="shared" si="2"/>
        <v>0.2</v>
      </c>
      <c r="J6" s="2">
        <f t="shared" si="2"/>
        <v>0.18</v>
      </c>
      <c r="K6" s="2">
        <f t="shared" si="2"/>
        <v>0.2</v>
      </c>
      <c r="L6" s="2">
        <f t="shared" si="2"/>
        <v>0.18</v>
      </c>
      <c r="M6" s="2">
        <f t="shared" si="2"/>
        <v>0.2</v>
      </c>
      <c r="N6" s="2">
        <f t="shared" si="2"/>
        <v>0.18</v>
      </c>
      <c r="O6" s="2">
        <f t="shared" si="2"/>
        <v>0.2</v>
      </c>
      <c r="P6" s="2">
        <f t="shared" si="2"/>
        <v>0.18</v>
      </c>
      <c r="Q6" s="2">
        <f t="shared" si="2"/>
        <v>0.2</v>
      </c>
      <c r="R6" s="2">
        <f t="shared" si="2"/>
        <v>0.18</v>
      </c>
      <c r="S6" s="2">
        <f t="shared" si="2"/>
        <v>0.2</v>
      </c>
      <c r="T6" s="2">
        <f t="shared" si="2"/>
        <v>0.18</v>
      </c>
      <c r="U6" s="2">
        <f t="shared" si="2"/>
        <v>0.2</v>
      </c>
      <c r="V6" s="2">
        <f t="shared" si="2"/>
        <v>0.18</v>
      </c>
      <c r="W6" s="2">
        <f t="shared" si="2"/>
        <v>0.2</v>
      </c>
      <c r="X6" s="2">
        <f t="shared" si="2"/>
        <v>0.18</v>
      </c>
      <c r="Y6" s="2">
        <f t="shared" si="2"/>
        <v>0.2</v>
      </c>
      <c r="Z6" s="2">
        <f t="shared" si="2"/>
        <v>0.18</v>
      </c>
      <c r="AA6" s="2">
        <f t="shared" si="2"/>
        <v>0.2</v>
      </c>
      <c r="AB6" s="2">
        <f t="shared" si="2"/>
        <v>0.18</v>
      </c>
      <c r="AC6" s="2">
        <f t="shared" si="2"/>
        <v>0.2</v>
      </c>
      <c r="AD6" s="2">
        <f t="shared" si="2"/>
        <v>0.18</v>
      </c>
      <c r="AE6" s="2">
        <f t="shared" si="2"/>
        <v>0.2</v>
      </c>
      <c r="AF6" s="2">
        <f t="shared" si="2"/>
        <v>0.18</v>
      </c>
      <c r="AG6" s="2">
        <f t="shared" si="2"/>
        <v>0.2</v>
      </c>
      <c r="AH6" s="2">
        <f t="shared" si="2"/>
        <v>0.18</v>
      </c>
    </row>
    <row r="7" spans="1:34">
      <c r="A7" t="str">
        <f>sets!$H$3</f>
        <v>Teff</v>
      </c>
      <c r="B7" t="str">
        <v>DireDawa</v>
      </c>
      <c r="C7" s="2">
        <v>0.2</v>
      </c>
      <c r="D7" s="2">
        <v>0.18</v>
      </c>
      <c r="E7" s="2">
        <f t="shared" si="3"/>
        <v>0.2</v>
      </c>
      <c r="F7" s="2">
        <f t="shared" si="4"/>
        <v>0.18</v>
      </c>
      <c r="G7" s="2">
        <f t="shared" si="5"/>
        <v>0.2</v>
      </c>
      <c r="H7" s="2">
        <f t="shared" si="2"/>
        <v>0.18</v>
      </c>
      <c r="I7" s="2">
        <f t="shared" si="2"/>
        <v>0.2</v>
      </c>
      <c r="J7" s="2">
        <f t="shared" si="2"/>
        <v>0.18</v>
      </c>
      <c r="K7" s="2">
        <f t="shared" si="2"/>
        <v>0.2</v>
      </c>
      <c r="L7" s="2">
        <f t="shared" si="2"/>
        <v>0.18</v>
      </c>
      <c r="M7" s="2">
        <f t="shared" si="2"/>
        <v>0.2</v>
      </c>
      <c r="N7" s="2">
        <f t="shared" si="2"/>
        <v>0.18</v>
      </c>
      <c r="O7" s="2">
        <f t="shared" si="2"/>
        <v>0.2</v>
      </c>
      <c r="P7" s="2">
        <f t="shared" si="2"/>
        <v>0.18</v>
      </c>
      <c r="Q7" s="2">
        <f t="shared" si="2"/>
        <v>0.2</v>
      </c>
      <c r="R7" s="2">
        <f t="shared" si="2"/>
        <v>0.18</v>
      </c>
      <c r="S7" s="2">
        <f t="shared" si="2"/>
        <v>0.2</v>
      </c>
      <c r="T7" s="2">
        <f t="shared" si="2"/>
        <v>0.18</v>
      </c>
      <c r="U7" s="2">
        <f t="shared" si="2"/>
        <v>0.2</v>
      </c>
      <c r="V7" s="2">
        <f t="shared" si="2"/>
        <v>0.18</v>
      </c>
      <c r="W7" s="2">
        <f t="shared" si="2"/>
        <v>0.2</v>
      </c>
      <c r="X7" s="2">
        <f t="shared" si="2"/>
        <v>0.18</v>
      </c>
      <c r="Y7" s="2">
        <f t="shared" si="2"/>
        <v>0.2</v>
      </c>
      <c r="Z7" s="2">
        <f t="shared" si="2"/>
        <v>0.18</v>
      </c>
      <c r="AA7" s="2">
        <f t="shared" si="2"/>
        <v>0.2</v>
      </c>
      <c r="AB7" s="2">
        <f t="shared" si="2"/>
        <v>0.18</v>
      </c>
      <c r="AC7" s="2">
        <f t="shared" si="2"/>
        <v>0.2</v>
      </c>
      <c r="AD7" s="2">
        <f t="shared" si="2"/>
        <v>0.18</v>
      </c>
      <c r="AE7" s="2">
        <f t="shared" si="2"/>
        <v>0.2</v>
      </c>
      <c r="AF7" s="2">
        <f t="shared" si="2"/>
        <v>0.18</v>
      </c>
      <c r="AG7" s="2">
        <f t="shared" si="2"/>
        <v>0.2</v>
      </c>
      <c r="AH7" s="2">
        <f t="shared" si="2"/>
        <v>0.18</v>
      </c>
    </row>
    <row r="8" spans="1:34">
      <c r="A8" t="str">
        <f>sets!$H$3</f>
        <v>Teff</v>
      </c>
      <c r="B8" t="str">
        <v>Gambela</v>
      </c>
      <c r="C8" s="2">
        <v>0.2</v>
      </c>
      <c r="D8" s="2">
        <v>0.18</v>
      </c>
      <c r="E8" s="2">
        <f t="shared" si="3"/>
        <v>0.2</v>
      </c>
      <c r="F8" s="2">
        <f t="shared" si="4"/>
        <v>0.18</v>
      </c>
      <c r="G8" s="2">
        <f t="shared" si="5"/>
        <v>0.2</v>
      </c>
      <c r="H8" s="2">
        <f t="shared" si="2"/>
        <v>0.18</v>
      </c>
      <c r="I8" s="2">
        <f t="shared" si="2"/>
        <v>0.2</v>
      </c>
      <c r="J8" s="2">
        <f t="shared" si="2"/>
        <v>0.18</v>
      </c>
      <c r="K8" s="2">
        <f t="shared" si="2"/>
        <v>0.2</v>
      </c>
      <c r="L8" s="2">
        <f t="shared" si="2"/>
        <v>0.18</v>
      </c>
      <c r="M8" s="2">
        <f t="shared" si="2"/>
        <v>0.2</v>
      </c>
      <c r="N8" s="2">
        <f t="shared" si="2"/>
        <v>0.18</v>
      </c>
      <c r="O8" s="2">
        <f t="shared" si="2"/>
        <v>0.2</v>
      </c>
      <c r="P8" s="2">
        <f t="shared" si="2"/>
        <v>0.18</v>
      </c>
      <c r="Q8" s="2">
        <f t="shared" si="2"/>
        <v>0.2</v>
      </c>
      <c r="R8" s="2">
        <f t="shared" si="2"/>
        <v>0.18</v>
      </c>
      <c r="S8" s="2">
        <f t="shared" si="2"/>
        <v>0.2</v>
      </c>
      <c r="T8" s="2">
        <f t="shared" si="2"/>
        <v>0.18</v>
      </c>
      <c r="U8" s="2">
        <f t="shared" si="2"/>
        <v>0.2</v>
      </c>
      <c r="V8" s="2">
        <f t="shared" si="2"/>
        <v>0.18</v>
      </c>
      <c r="W8" s="2">
        <f t="shared" si="2"/>
        <v>0.2</v>
      </c>
      <c r="X8" s="2">
        <f t="shared" si="2"/>
        <v>0.18</v>
      </c>
      <c r="Y8" s="2">
        <f t="shared" si="2"/>
        <v>0.2</v>
      </c>
      <c r="Z8" s="2">
        <f t="shared" si="2"/>
        <v>0.18</v>
      </c>
      <c r="AA8" s="2">
        <f t="shared" si="2"/>
        <v>0.2</v>
      </c>
      <c r="AB8" s="2">
        <f t="shared" si="2"/>
        <v>0.18</v>
      </c>
      <c r="AC8" s="2">
        <f t="shared" si="2"/>
        <v>0.2</v>
      </c>
      <c r="AD8" s="2">
        <f t="shared" si="2"/>
        <v>0.18</v>
      </c>
      <c r="AE8" s="2">
        <f t="shared" si="2"/>
        <v>0.2</v>
      </c>
      <c r="AF8" s="2">
        <f t="shared" si="2"/>
        <v>0.18</v>
      </c>
      <c r="AG8" s="2">
        <f t="shared" si="2"/>
        <v>0.2</v>
      </c>
      <c r="AH8" s="2">
        <f t="shared" si="2"/>
        <v>0.18</v>
      </c>
    </row>
    <row r="9" spans="1:34">
      <c r="A9" t="str">
        <f>sets!$H$3</f>
        <v>Teff</v>
      </c>
      <c r="B9" t="str">
        <v>Harari</v>
      </c>
      <c r="C9" s="2">
        <v>0.2</v>
      </c>
      <c r="D9" s="2">
        <v>0.18</v>
      </c>
      <c r="E9" s="2">
        <f t="shared" si="3"/>
        <v>0.2</v>
      </c>
      <c r="F9" s="2">
        <f t="shared" si="4"/>
        <v>0.18</v>
      </c>
      <c r="G9" s="2">
        <f t="shared" si="5"/>
        <v>0.2</v>
      </c>
      <c r="H9" s="2">
        <f t="shared" si="2"/>
        <v>0.18</v>
      </c>
      <c r="I9" s="2">
        <f t="shared" si="2"/>
        <v>0.2</v>
      </c>
      <c r="J9" s="2">
        <f t="shared" si="2"/>
        <v>0.18</v>
      </c>
      <c r="K9" s="2">
        <f t="shared" si="2"/>
        <v>0.2</v>
      </c>
      <c r="L9" s="2">
        <f t="shared" si="2"/>
        <v>0.18</v>
      </c>
      <c r="M9" s="2">
        <f t="shared" si="2"/>
        <v>0.2</v>
      </c>
      <c r="N9" s="2">
        <f t="shared" si="2"/>
        <v>0.18</v>
      </c>
      <c r="O9" s="2">
        <f t="shared" si="2"/>
        <v>0.2</v>
      </c>
      <c r="P9" s="2">
        <f t="shared" si="2"/>
        <v>0.18</v>
      </c>
      <c r="Q9" s="2">
        <f t="shared" si="2"/>
        <v>0.2</v>
      </c>
      <c r="R9" s="2">
        <f t="shared" si="2"/>
        <v>0.18</v>
      </c>
      <c r="S9" s="2">
        <f t="shared" si="2"/>
        <v>0.2</v>
      </c>
      <c r="T9" s="2">
        <f t="shared" si="2"/>
        <v>0.18</v>
      </c>
      <c r="U9" s="2">
        <f t="shared" si="2"/>
        <v>0.2</v>
      </c>
      <c r="V9" s="2">
        <f t="shared" si="2"/>
        <v>0.18</v>
      </c>
      <c r="W9" s="2">
        <f t="shared" si="2"/>
        <v>0.2</v>
      </c>
      <c r="X9" s="2">
        <f t="shared" si="2"/>
        <v>0.18</v>
      </c>
      <c r="Y9" s="2">
        <f t="shared" si="2"/>
        <v>0.2</v>
      </c>
      <c r="Z9" s="2">
        <f t="shared" si="2"/>
        <v>0.18</v>
      </c>
      <c r="AA9" s="2">
        <f t="shared" si="2"/>
        <v>0.2</v>
      </c>
      <c r="AB9" s="2">
        <f t="shared" si="2"/>
        <v>0.18</v>
      </c>
      <c r="AC9" s="2">
        <f t="shared" si="2"/>
        <v>0.2</v>
      </c>
      <c r="AD9" s="2">
        <f t="shared" si="2"/>
        <v>0.18</v>
      </c>
      <c r="AE9" s="2">
        <f t="shared" si="2"/>
        <v>0.2</v>
      </c>
      <c r="AF9" s="2">
        <f t="shared" si="2"/>
        <v>0.18</v>
      </c>
      <c r="AG9" s="2">
        <f t="shared" si="2"/>
        <v>0.2</v>
      </c>
      <c r="AH9" s="2">
        <f t="shared" si="2"/>
        <v>0.18</v>
      </c>
    </row>
    <row r="10" spans="1:34">
      <c r="A10" t="str">
        <f>sets!$H$3</f>
        <v>Teff</v>
      </c>
      <c r="B10" t="str">
        <v>Oromia</v>
      </c>
      <c r="C10" s="2">
        <v>0.2</v>
      </c>
      <c r="D10" s="2">
        <v>0.18</v>
      </c>
      <c r="E10" s="2">
        <f t="shared" si="3"/>
        <v>0.2</v>
      </c>
      <c r="F10" s="2">
        <f t="shared" si="4"/>
        <v>0.18</v>
      </c>
      <c r="G10" s="2">
        <f t="shared" si="5"/>
        <v>0.2</v>
      </c>
      <c r="H10" s="2">
        <f t="shared" si="2"/>
        <v>0.18</v>
      </c>
      <c r="I10" s="2">
        <f t="shared" si="2"/>
        <v>0.2</v>
      </c>
      <c r="J10" s="2">
        <f t="shared" si="2"/>
        <v>0.18</v>
      </c>
      <c r="K10" s="2">
        <f t="shared" si="2"/>
        <v>0.2</v>
      </c>
      <c r="L10" s="2">
        <f t="shared" si="2"/>
        <v>0.18</v>
      </c>
      <c r="M10" s="2">
        <f t="shared" si="2"/>
        <v>0.2</v>
      </c>
      <c r="N10" s="2">
        <f t="shared" si="2"/>
        <v>0.18</v>
      </c>
      <c r="O10" s="2">
        <f t="shared" si="2"/>
        <v>0.2</v>
      </c>
      <c r="P10" s="2">
        <f t="shared" si="2"/>
        <v>0.18</v>
      </c>
      <c r="Q10" s="2">
        <f t="shared" si="2"/>
        <v>0.2</v>
      </c>
      <c r="R10" s="2">
        <f t="shared" si="2"/>
        <v>0.18</v>
      </c>
      <c r="S10" s="2">
        <f t="shared" si="2"/>
        <v>0.2</v>
      </c>
      <c r="T10" s="2">
        <f t="shared" si="2"/>
        <v>0.18</v>
      </c>
      <c r="U10" s="2">
        <f t="shared" si="2"/>
        <v>0.2</v>
      </c>
      <c r="V10" s="2">
        <f t="shared" si="2"/>
        <v>0.18</v>
      </c>
      <c r="W10" s="2">
        <f t="shared" si="2"/>
        <v>0.2</v>
      </c>
      <c r="X10" s="2">
        <f t="shared" si="2"/>
        <v>0.18</v>
      </c>
      <c r="Y10" s="2">
        <f t="shared" si="2"/>
        <v>0.2</v>
      </c>
      <c r="Z10" s="2">
        <f t="shared" si="2"/>
        <v>0.18</v>
      </c>
      <c r="AA10" s="2">
        <f t="shared" si="2"/>
        <v>0.2</v>
      </c>
      <c r="AB10" s="2">
        <f t="shared" si="2"/>
        <v>0.18</v>
      </c>
      <c r="AC10" s="2">
        <f t="shared" si="2"/>
        <v>0.2</v>
      </c>
      <c r="AD10" s="2">
        <f t="shared" si="2"/>
        <v>0.18</v>
      </c>
      <c r="AE10" s="2">
        <f t="shared" si="2"/>
        <v>0.2</v>
      </c>
      <c r="AF10" s="2">
        <f t="shared" si="2"/>
        <v>0.18</v>
      </c>
      <c r="AG10" s="2">
        <f t="shared" si="2"/>
        <v>0.2</v>
      </c>
      <c r="AH10" s="2">
        <f t="shared" si="2"/>
        <v>0.18</v>
      </c>
    </row>
    <row r="11" spans="1:34">
      <c r="A11" t="str">
        <f>sets!$H$3</f>
        <v>Teff</v>
      </c>
      <c r="B11" t="str">
        <v>Somali</v>
      </c>
      <c r="C11" s="2">
        <v>0.2</v>
      </c>
      <c r="D11" s="2">
        <v>0.18</v>
      </c>
      <c r="E11" s="2">
        <f t="shared" si="3"/>
        <v>0.2</v>
      </c>
      <c r="F11" s="2">
        <f t="shared" si="4"/>
        <v>0.18</v>
      </c>
      <c r="G11" s="2">
        <f t="shared" si="5"/>
        <v>0.2</v>
      </c>
      <c r="H11" s="2">
        <f t="shared" si="2"/>
        <v>0.18</v>
      </c>
      <c r="I11" s="2">
        <f t="shared" si="2"/>
        <v>0.2</v>
      </c>
      <c r="J11" s="2">
        <f t="shared" si="2"/>
        <v>0.18</v>
      </c>
      <c r="K11" s="2">
        <f t="shared" si="2"/>
        <v>0.2</v>
      </c>
      <c r="L11" s="2">
        <f t="shared" si="2"/>
        <v>0.18</v>
      </c>
      <c r="M11" s="2">
        <f t="shared" si="2"/>
        <v>0.2</v>
      </c>
      <c r="N11" s="2">
        <f t="shared" si="2"/>
        <v>0.18</v>
      </c>
      <c r="O11" s="2">
        <f t="shared" si="2"/>
        <v>0.2</v>
      </c>
      <c r="P11" s="2">
        <f t="shared" si="2"/>
        <v>0.18</v>
      </c>
      <c r="Q11" s="2">
        <f t="shared" si="2"/>
        <v>0.2</v>
      </c>
      <c r="R11" s="2">
        <f t="shared" si="2"/>
        <v>0.18</v>
      </c>
      <c r="S11" s="2">
        <f t="shared" si="2"/>
        <v>0.2</v>
      </c>
      <c r="T11" s="2">
        <f t="shared" si="2"/>
        <v>0.18</v>
      </c>
      <c r="U11" s="2">
        <f t="shared" si="2"/>
        <v>0.2</v>
      </c>
      <c r="V11" s="2">
        <f t="shared" si="2"/>
        <v>0.18</v>
      </c>
      <c r="W11" s="2">
        <f t="shared" si="2"/>
        <v>0.2</v>
      </c>
      <c r="X11" s="2">
        <f t="shared" si="2"/>
        <v>0.18</v>
      </c>
      <c r="Y11" s="2">
        <f t="shared" si="2"/>
        <v>0.2</v>
      </c>
      <c r="Z11" s="2">
        <f t="shared" si="2"/>
        <v>0.18</v>
      </c>
      <c r="AA11" s="2">
        <f t="shared" si="2"/>
        <v>0.2</v>
      </c>
      <c r="AB11" s="2">
        <f t="shared" si="2"/>
        <v>0.18</v>
      </c>
      <c r="AC11" s="2">
        <f t="shared" si="2"/>
        <v>0.2</v>
      </c>
      <c r="AD11" s="2">
        <f t="shared" si="2"/>
        <v>0.18</v>
      </c>
      <c r="AE11" s="2">
        <f t="shared" si="2"/>
        <v>0.2</v>
      </c>
      <c r="AF11" s="2">
        <f t="shared" si="2"/>
        <v>0.18</v>
      </c>
      <c r="AG11" s="2">
        <f t="shared" si="2"/>
        <v>0.2</v>
      </c>
      <c r="AH11" s="2">
        <f t="shared" si="2"/>
        <v>0.18</v>
      </c>
    </row>
    <row r="12" spans="1:34">
      <c r="A12" t="str">
        <f>sets!$H$3</f>
        <v>Teff</v>
      </c>
      <c r="B12" t="str">
        <v>SNNPR</v>
      </c>
      <c r="C12" s="2">
        <v>0.2</v>
      </c>
      <c r="D12" s="2">
        <v>0.18</v>
      </c>
      <c r="E12" s="2">
        <f t="shared" si="3"/>
        <v>0.2</v>
      </c>
      <c r="F12" s="2">
        <f t="shared" si="4"/>
        <v>0.18</v>
      </c>
      <c r="G12" s="2">
        <f t="shared" si="5"/>
        <v>0.2</v>
      </c>
      <c r="H12" s="2">
        <f t="shared" si="2"/>
        <v>0.18</v>
      </c>
      <c r="I12" s="2">
        <f t="shared" si="2"/>
        <v>0.2</v>
      </c>
      <c r="J12" s="2">
        <f t="shared" si="2"/>
        <v>0.18</v>
      </c>
      <c r="K12" s="2">
        <f t="shared" si="2"/>
        <v>0.2</v>
      </c>
      <c r="L12" s="2">
        <f t="shared" si="2"/>
        <v>0.18</v>
      </c>
      <c r="M12" s="2">
        <f t="shared" si="2"/>
        <v>0.2</v>
      </c>
      <c r="N12" s="2">
        <f t="shared" si="2"/>
        <v>0.18</v>
      </c>
      <c r="O12" s="2">
        <f t="shared" si="2"/>
        <v>0.2</v>
      </c>
      <c r="P12" s="2">
        <f t="shared" si="2"/>
        <v>0.18</v>
      </c>
      <c r="Q12" s="2">
        <f t="shared" si="2"/>
        <v>0.2</v>
      </c>
      <c r="R12" s="2">
        <f t="shared" si="2"/>
        <v>0.18</v>
      </c>
      <c r="S12" s="2">
        <f t="shared" si="2"/>
        <v>0.2</v>
      </c>
      <c r="T12" s="2">
        <f t="shared" ref="T12:T68" si="6">R12</f>
        <v>0.18</v>
      </c>
      <c r="U12" s="2">
        <f t="shared" ref="U12:U68" si="7">S12</f>
        <v>0.2</v>
      </c>
      <c r="V12" s="2">
        <f t="shared" ref="V12:V68" si="8">T12</f>
        <v>0.18</v>
      </c>
      <c r="W12" s="2">
        <f t="shared" ref="W12:W68" si="9">U12</f>
        <v>0.2</v>
      </c>
      <c r="X12" s="2">
        <f t="shared" ref="X12:X68" si="10">V12</f>
        <v>0.18</v>
      </c>
      <c r="Y12" s="2">
        <f t="shared" ref="Y12:Y68" si="11">W12</f>
        <v>0.2</v>
      </c>
      <c r="Z12" s="2">
        <f t="shared" ref="Z12:Z68" si="12">X12</f>
        <v>0.18</v>
      </c>
      <c r="AA12" s="2">
        <f t="shared" ref="AA12:AA68" si="13">Y12</f>
        <v>0.2</v>
      </c>
      <c r="AB12" s="2">
        <f t="shared" ref="AB12:AB68" si="14">Z12</f>
        <v>0.18</v>
      </c>
      <c r="AC12" s="2">
        <f t="shared" ref="AC12:AC68" si="15">AA12</f>
        <v>0.2</v>
      </c>
      <c r="AD12" s="2">
        <f t="shared" ref="AD12:AD68" si="16">AB12</f>
        <v>0.18</v>
      </c>
      <c r="AE12" s="2">
        <f t="shared" ref="AE12:AE68" si="17">AC12</f>
        <v>0.2</v>
      </c>
      <c r="AF12" s="2">
        <f t="shared" ref="AF12:AF68" si="18">AD12</f>
        <v>0.18</v>
      </c>
      <c r="AG12" s="2">
        <f t="shared" ref="AG12:AG68" si="19">AE12</f>
        <v>0.2</v>
      </c>
      <c r="AH12" s="2">
        <f t="shared" ref="AH12:AH68" si="20">AF12</f>
        <v>0.18</v>
      </c>
    </row>
    <row r="13" spans="1:34">
      <c r="A13" t="str">
        <f>sets!$H$3</f>
        <v>Teff</v>
      </c>
      <c r="B13" t="str">
        <v>Tigray</v>
      </c>
      <c r="C13" s="2">
        <v>0.2</v>
      </c>
      <c r="D13" s="2">
        <v>0.18</v>
      </c>
      <c r="E13" s="2">
        <f t="shared" si="3"/>
        <v>0.2</v>
      </c>
      <c r="F13" s="2">
        <f t="shared" si="4"/>
        <v>0.18</v>
      </c>
      <c r="G13" s="2">
        <f t="shared" si="5"/>
        <v>0.2</v>
      </c>
      <c r="H13" s="2">
        <f t="shared" ref="H13:H68" si="21">F13</f>
        <v>0.18</v>
      </c>
      <c r="I13" s="2">
        <f t="shared" ref="I13:I68" si="22">G13</f>
        <v>0.2</v>
      </c>
      <c r="J13" s="2">
        <f t="shared" ref="J13:J68" si="23">H13</f>
        <v>0.18</v>
      </c>
      <c r="K13" s="2">
        <f t="shared" ref="K13:K68" si="24">I13</f>
        <v>0.2</v>
      </c>
      <c r="L13" s="2">
        <f t="shared" ref="L13:L68" si="25">J13</f>
        <v>0.18</v>
      </c>
      <c r="M13" s="2">
        <f t="shared" ref="M13:M68" si="26">K13</f>
        <v>0.2</v>
      </c>
      <c r="N13" s="2">
        <f t="shared" ref="N13:N68" si="27">L13</f>
        <v>0.18</v>
      </c>
      <c r="O13" s="2">
        <f t="shared" ref="O13:O68" si="28">M13</f>
        <v>0.2</v>
      </c>
      <c r="P13" s="2">
        <f t="shared" ref="P13:P68" si="29">N13</f>
        <v>0.18</v>
      </c>
      <c r="Q13" s="2">
        <f t="shared" ref="Q13:Q68" si="30">O13</f>
        <v>0.2</v>
      </c>
      <c r="R13" s="2">
        <f t="shared" ref="R13:R68" si="31">P13</f>
        <v>0.18</v>
      </c>
      <c r="S13" s="2">
        <f t="shared" ref="S13:S68" si="32">Q13</f>
        <v>0.2</v>
      </c>
      <c r="T13" s="2">
        <f t="shared" si="6"/>
        <v>0.18</v>
      </c>
      <c r="U13" s="2">
        <f t="shared" si="7"/>
        <v>0.2</v>
      </c>
      <c r="V13" s="2">
        <f t="shared" si="8"/>
        <v>0.18</v>
      </c>
      <c r="W13" s="2">
        <f t="shared" si="9"/>
        <v>0.2</v>
      </c>
      <c r="X13" s="2">
        <f t="shared" si="10"/>
        <v>0.18</v>
      </c>
      <c r="Y13" s="2">
        <f t="shared" si="11"/>
        <v>0.2</v>
      </c>
      <c r="Z13" s="2">
        <f t="shared" si="12"/>
        <v>0.18</v>
      </c>
      <c r="AA13" s="2">
        <f t="shared" si="13"/>
        <v>0.2</v>
      </c>
      <c r="AB13" s="2">
        <f t="shared" si="14"/>
        <v>0.18</v>
      </c>
      <c r="AC13" s="2">
        <f t="shared" si="15"/>
        <v>0.2</v>
      </c>
      <c r="AD13" s="2">
        <f t="shared" si="16"/>
        <v>0.18</v>
      </c>
      <c r="AE13" s="2">
        <f t="shared" si="17"/>
        <v>0.2</v>
      </c>
      <c r="AF13" s="2">
        <f t="shared" si="18"/>
        <v>0.18</v>
      </c>
      <c r="AG13" s="2">
        <f t="shared" si="19"/>
        <v>0.2</v>
      </c>
      <c r="AH13" s="2">
        <f t="shared" si="20"/>
        <v>0.18</v>
      </c>
    </row>
    <row r="14" spans="1:34">
      <c r="A14" t="str">
        <f t="shared" ref="A14:A45" si="33">INDEX(Food,MATCH(A3,Food,0)+1)</f>
        <v>Sorghum</v>
      </c>
      <c r="B14" t="str">
        <f>B3</f>
        <v>AddisAbaba</v>
      </c>
      <c r="C14" s="2">
        <v>0.2</v>
      </c>
      <c r="D14" s="2">
        <v>0.18</v>
      </c>
      <c r="E14" s="2">
        <f t="shared" si="3"/>
        <v>0.2</v>
      </c>
      <c r="F14" s="2">
        <f t="shared" si="4"/>
        <v>0.18</v>
      </c>
      <c r="G14" s="2">
        <f t="shared" si="5"/>
        <v>0.2</v>
      </c>
      <c r="H14" s="2">
        <f t="shared" si="21"/>
        <v>0.18</v>
      </c>
      <c r="I14" s="2">
        <f t="shared" si="22"/>
        <v>0.2</v>
      </c>
      <c r="J14" s="2">
        <f t="shared" si="23"/>
        <v>0.18</v>
      </c>
      <c r="K14" s="2">
        <f t="shared" si="24"/>
        <v>0.2</v>
      </c>
      <c r="L14" s="2">
        <f t="shared" si="25"/>
        <v>0.18</v>
      </c>
      <c r="M14" s="2">
        <f t="shared" si="26"/>
        <v>0.2</v>
      </c>
      <c r="N14" s="2">
        <f t="shared" si="27"/>
        <v>0.18</v>
      </c>
      <c r="O14" s="2">
        <f t="shared" si="28"/>
        <v>0.2</v>
      </c>
      <c r="P14" s="2">
        <f t="shared" si="29"/>
        <v>0.18</v>
      </c>
      <c r="Q14" s="2">
        <f t="shared" si="30"/>
        <v>0.2</v>
      </c>
      <c r="R14" s="2">
        <f t="shared" si="31"/>
        <v>0.18</v>
      </c>
      <c r="S14" s="2">
        <f t="shared" si="32"/>
        <v>0.2</v>
      </c>
      <c r="T14" s="2">
        <f t="shared" si="6"/>
        <v>0.18</v>
      </c>
      <c r="U14" s="2">
        <f t="shared" si="7"/>
        <v>0.2</v>
      </c>
      <c r="V14" s="2">
        <f t="shared" si="8"/>
        <v>0.18</v>
      </c>
      <c r="W14" s="2">
        <f t="shared" si="9"/>
        <v>0.2</v>
      </c>
      <c r="X14" s="2">
        <f t="shared" si="10"/>
        <v>0.18</v>
      </c>
      <c r="Y14" s="2">
        <f t="shared" si="11"/>
        <v>0.2</v>
      </c>
      <c r="Z14" s="2">
        <f t="shared" si="12"/>
        <v>0.18</v>
      </c>
      <c r="AA14" s="2">
        <f t="shared" si="13"/>
        <v>0.2</v>
      </c>
      <c r="AB14" s="2">
        <f t="shared" si="14"/>
        <v>0.18</v>
      </c>
      <c r="AC14" s="2">
        <f t="shared" si="15"/>
        <v>0.2</v>
      </c>
      <c r="AD14" s="2">
        <f t="shared" si="16"/>
        <v>0.18</v>
      </c>
      <c r="AE14" s="2">
        <f t="shared" si="17"/>
        <v>0.2</v>
      </c>
      <c r="AF14" s="2">
        <f t="shared" si="18"/>
        <v>0.18</v>
      </c>
      <c r="AG14" s="2">
        <f t="shared" si="19"/>
        <v>0.2</v>
      </c>
      <c r="AH14" s="2">
        <f t="shared" si="20"/>
        <v>0.18</v>
      </c>
    </row>
    <row r="15" spans="1:34">
      <c r="A15" t="str">
        <f t="shared" si="33"/>
        <v>Sorghum</v>
      </c>
      <c r="B15" t="str">
        <f t="shared" ref="B15:B68" si="34">B4</f>
        <v>Afar</v>
      </c>
      <c r="C15" s="2">
        <v>0.2</v>
      </c>
      <c r="D15" s="2">
        <v>0.18</v>
      </c>
      <c r="E15" s="2">
        <f t="shared" si="3"/>
        <v>0.2</v>
      </c>
      <c r="F15" s="2">
        <f t="shared" si="4"/>
        <v>0.18</v>
      </c>
      <c r="G15" s="2">
        <f t="shared" si="5"/>
        <v>0.2</v>
      </c>
      <c r="H15" s="2">
        <f t="shared" si="21"/>
        <v>0.18</v>
      </c>
      <c r="I15" s="2">
        <f t="shared" si="22"/>
        <v>0.2</v>
      </c>
      <c r="J15" s="2">
        <f t="shared" si="23"/>
        <v>0.18</v>
      </c>
      <c r="K15" s="2">
        <f t="shared" si="24"/>
        <v>0.2</v>
      </c>
      <c r="L15" s="2">
        <f t="shared" si="25"/>
        <v>0.18</v>
      </c>
      <c r="M15" s="2">
        <f t="shared" si="26"/>
        <v>0.2</v>
      </c>
      <c r="N15" s="2">
        <f t="shared" si="27"/>
        <v>0.18</v>
      </c>
      <c r="O15" s="2">
        <f t="shared" si="28"/>
        <v>0.2</v>
      </c>
      <c r="P15" s="2">
        <f t="shared" si="29"/>
        <v>0.18</v>
      </c>
      <c r="Q15" s="2">
        <f t="shared" si="30"/>
        <v>0.2</v>
      </c>
      <c r="R15" s="2">
        <f t="shared" si="31"/>
        <v>0.18</v>
      </c>
      <c r="S15" s="2">
        <f t="shared" si="32"/>
        <v>0.2</v>
      </c>
      <c r="T15" s="2">
        <f t="shared" si="6"/>
        <v>0.18</v>
      </c>
      <c r="U15" s="2">
        <f t="shared" si="7"/>
        <v>0.2</v>
      </c>
      <c r="V15" s="2">
        <f t="shared" si="8"/>
        <v>0.18</v>
      </c>
      <c r="W15" s="2">
        <f t="shared" si="9"/>
        <v>0.2</v>
      </c>
      <c r="X15" s="2">
        <f t="shared" si="10"/>
        <v>0.18</v>
      </c>
      <c r="Y15" s="2">
        <f t="shared" si="11"/>
        <v>0.2</v>
      </c>
      <c r="Z15" s="2">
        <f t="shared" si="12"/>
        <v>0.18</v>
      </c>
      <c r="AA15" s="2">
        <f t="shared" si="13"/>
        <v>0.2</v>
      </c>
      <c r="AB15" s="2">
        <f t="shared" si="14"/>
        <v>0.18</v>
      </c>
      <c r="AC15" s="2">
        <f t="shared" si="15"/>
        <v>0.2</v>
      </c>
      <c r="AD15" s="2">
        <f t="shared" si="16"/>
        <v>0.18</v>
      </c>
      <c r="AE15" s="2">
        <f t="shared" si="17"/>
        <v>0.2</v>
      </c>
      <c r="AF15" s="2">
        <f t="shared" si="18"/>
        <v>0.18</v>
      </c>
      <c r="AG15" s="2">
        <f t="shared" si="19"/>
        <v>0.2</v>
      </c>
      <c r="AH15" s="2">
        <f t="shared" si="20"/>
        <v>0.18</v>
      </c>
    </row>
    <row r="16" spans="1:34">
      <c r="A16" t="str">
        <f t="shared" si="33"/>
        <v>Sorghum</v>
      </c>
      <c r="B16" t="str">
        <f t="shared" si="34"/>
        <v>Amhara</v>
      </c>
      <c r="C16" s="2">
        <v>0.2</v>
      </c>
      <c r="D16" s="2">
        <v>0.18</v>
      </c>
      <c r="E16" s="2">
        <f t="shared" si="3"/>
        <v>0.2</v>
      </c>
      <c r="F16" s="2">
        <f t="shared" si="4"/>
        <v>0.18</v>
      </c>
      <c r="G16" s="2">
        <f t="shared" si="5"/>
        <v>0.2</v>
      </c>
      <c r="H16" s="2">
        <f t="shared" si="21"/>
        <v>0.18</v>
      </c>
      <c r="I16" s="2">
        <f t="shared" si="22"/>
        <v>0.2</v>
      </c>
      <c r="J16" s="2">
        <f t="shared" si="23"/>
        <v>0.18</v>
      </c>
      <c r="K16" s="2">
        <f t="shared" si="24"/>
        <v>0.2</v>
      </c>
      <c r="L16" s="2">
        <f t="shared" si="25"/>
        <v>0.18</v>
      </c>
      <c r="M16" s="2">
        <f t="shared" si="26"/>
        <v>0.2</v>
      </c>
      <c r="N16" s="2">
        <f t="shared" si="27"/>
        <v>0.18</v>
      </c>
      <c r="O16" s="2">
        <f t="shared" si="28"/>
        <v>0.2</v>
      </c>
      <c r="P16" s="2">
        <f t="shared" si="29"/>
        <v>0.18</v>
      </c>
      <c r="Q16" s="2">
        <f t="shared" si="30"/>
        <v>0.2</v>
      </c>
      <c r="R16" s="2">
        <f t="shared" si="31"/>
        <v>0.18</v>
      </c>
      <c r="S16" s="2">
        <f t="shared" si="32"/>
        <v>0.2</v>
      </c>
      <c r="T16" s="2">
        <f t="shared" si="6"/>
        <v>0.18</v>
      </c>
      <c r="U16" s="2">
        <f t="shared" si="7"/>
        <v>0.2</v>
      </c>
      <c r="V16" s="2">
        <f t="shared" si="8"/>
        <v>0.18</v>
      </c>
      <c r="W16" s="2">
        <f t="shared" si="9"/>
        <v>0.2</v>
      </c>
      <c r="X16" s="2">
        <f t="shared" si="10"/>
        <v>0.18</v>
      </c>
      <c r="Y16" s="2">
        <f t="shared" si="11"/>
        <v>0.2</v>
      </c>
      <c r="Z16" s="2">
        <f t="shared" si="12"/>
        <v>0.18</v>
      </c>
      <c r="AA16" s="2">
        <f t="shared" si="13"/>
        <v>0.2</v>
      </c>
      <c r="AB16" s="2">
        <f t="shared" si="14"/>
        <v>0.18</v>
      </c>
      <c r="AC16" s="2">
        <f t="shared" si="15"/>
        <v>0.2</v>
      </c>
      <c r="AD16" s="2">
        <f t="shared" si="16"/>
        <v>0.18</v>
      </c>
      <c r="AE16" s="2">
        <f t="shared" si="17"/>
        <v>0.2</v>
      </c>
      <c r="AF16" s="2">
        <f t="shared" si="18"/>
        <v>0.18</v>
      </c>
      <c r="AG16" s="2">
        <f t="shared" si="19"/>
        <v>0.2</v>
      </c>
      <c r="AH16" s="2">
        <f t="shared" si="20"/>
        <v>0.18</v>
      </c>
    </row>
    <row r="17" spans="1:34">
      <c r="A17" t="str">
        <f t="shared" si="33"/>
        <v>Sorghum</v>
      </c>
      <c r="B17" t="str">
        <f t="shared" si="34"/>
        <v>Gumuz</v>
      </c>
      <c r="C17" s="2">
        <v>0.2</v>
      </c>
      <c r="D17" s="2">
        <v>0.18</v>
      </c>
      <c r="E17" s="2">
        <f t="shared" si="3"/>
        <v>0.2</v>
      </c>
      <c r="F17" s="2">
        <f t="shared" si="4"/>
        <v>0.18</v>
      </c>
      <c r="G17" s="2">
        <f t="shared" si="5"/>
        <v>0.2</v>
      </c>
      <c r="H17" s="2">
        <f t="shared" si="21"/>
        <v>0.18</v>
      </c>
      <c r="I17" s="2">
        <f t="shared" si="22"/>
        <v>0.2</v>
      </c>
      <c r="J17" s="2">
        <f t="shared" si="23"/>
        <v>0.18</v>
      </c>
      <c r="K17" s="2">
        <f t="shared" si="24"/>
        <v>0.2</v>
      </c>
      <c r="L17" s="2">
        <f t="shared" si="25"/>
        <v>0.18</v>
      </c>
      <c r="M17" s="2">
        <f t="shared" si="26"/>
        <v>0.2</v>
      </c>
      <c r="N17" s="2">
        <f t="shared" si="27"/>
        <v>0.18</v>
      </c>
      <c r="O17" s="2">
        <f t="shared" si="28"/>
        <v>0.2</v>
      </c>
      <c r="P17" s="2">
        <f t="shared" si="29"/>
        <v>0.18</v>
      </c>
      <c r="Q17" s="2">
        <f t="shared" si="30"/>
        <v>0.2</v>
      </c>
      <c r="R17" s="2">
        <f t="shared" si="31"/>
        <v>0.18</v>
      </c>
      <c r="S17" s="2">
        <f t="shared" si="32"/>
        <v>0.2</v>
      </c>
      <c r="T17" s="2">
        <f t="shared" si="6"/>
        <v>0.18</v>
      </c>
      <c r="U17" s="2">
        <f t="shared" si="7"/>
        <v>0.2</v>
      </c>
      <c r="V17" s="2">
        <f t="shared" si="8"/>
        <v>0.18</v>
      </c>
      <c r="W17" s="2">
        <f t="shared" si="9"/>
        <v>0.2</v>
      </c>
      <c r="X17" s="2">
        <f t="shared" si="10"/>
        <v>0.18</v>
      </c>
      <c r="Y17" s="2">
        <f t="shared" si="11"/>
        <v>0.2</v>
      </c>
      <c r="Z17" s="2">
        <f t="shared" si="12"/>
        <v>0.18</v>
      </c>
      <c r="AA17" s="2">
        <f t="shared" si="13"/>
        <v>0.2</v>
      </c>
      <c r="AB17" s="2">
        <f t="shared" si="14"/>
        <v>0.18</v>
      </c>
      <c r="AC17" s="2">
        <f t="shared" si="15"/>
        <v>0.2</v>
      </c>
      <c r="AD17" s="2">
        <f t="shared" si="16"/>
        <v>0.18</v>
      </c>
      <c r="AE17" s="2">
        <f t="shared" si="17"/>
        <v>0.2</v>
      </c>
      <c r="AF17" s="2">
        <f t="shared" si="18"/>
        <v>0.18</v>
      </c>
      <c r="AG17" s="2">
        <f t="shared" si="19"/>
        <v>0.2</v>
      </c>
      <c r="AH17" s="2">
        <f t="shared" si="20"/>
        <v>0.18</v>
      </c>
    </row>
    <row r="18" spans="1:34">
      <c r="A18" t="str">
        <f t="shared" si="33"/>
        <v>Sorghum</v>
      </c>
      <c r="B18" t="str">
        <f t="shared" si="34"/>
        <v>DireDawa</v>
      </c>
      <c r="C18" s="2">
        <v>0.2</v>
      </c>
      <c r="D18" s="2">
        <v>0.18</v>
      </c>
      <c r="E18" s="2">
        <f t="shared" si="3"/>
        <v>0.2</v>
      </c>
      <c r="F18" s="2">
        <f t="shared" si="4"/>
        <v>0.18</v>
      </c>
      <c r="G18" s="2">
        <f t="shared" si="5"/>
        <v>0.2</v>
      </c>
      <c r="H18" s="2">
        <f t="shared" si="21"/>
        <v>0.18</v>
      </c>
      <c r="I18" s="2">
        <f t="shared" si="22"/>
        <v>0.2</v>
      </c>
      <c r="J18" s="2">
        <f t="shared" si="23"/>
        <v>0.18</v>
      </c>
      <c r="K18" s="2">
        <f t="shared" si="24"/>
        <v>0.2</v>
      </c>
      <c r="L18" s="2">
        <f t="shared" si="25"/>
        <v>0.18</v>
      </c>
      <c r="M18" s="2">
        <f t="shared" si="26"/>
        <v>0.2</v>
      </c>
      <c r="N18" s="2">
        <f t="shared" si="27"/>
        <v>0.18</v>
      </c>
      <c r="O18" s="2">
        <f t="shared" si="28"/>
        <v>0.2</v>
      </c>
      <c r="P18" s="2">
        <f t="shared" si="29"/>
        <v>0.18</v>
      </c>
      <c r="Q18" s="2">
        <f t="shared" si="30"/>
        <v>0.2</v>
      </c>
      <c r="R18" s="2">
        <f t="shared" si="31"/>
        <v>0.18</v>
      </c>
      <c r="S18" s="2">
        <f t="shared" si="32"/>
        <v>0.2</v>
      </c>
      <c r="T18" s="2">
        <f t="shared" si="6"/>
        <v>0.18</v>
      </c>
      <c r="U18" s="2">
        <f t="shared" si="7"/>
        <v>0.2</v>
      </c>
      <c r="V18" s="2">
        <f t="shared" si="8"/>
        <v>0.18</v>
      </c>
      <c r="W18" s="2">
        <f t="shared" si="9"/>
        <v>0.2</v>
      </c>
      <c r="X18" s="2">
        <f t="shared" si="10"/>
        <v>0.18</v>
      </c>
      <c r="Y18" s="2">
        <f t="shared" si="11"/>
        <v>0.2</v>
      </c>
      <c r="Z18" s="2">
        <f t="shared" si="12"/>
        <v>0.18</v>
      </c>
      <c r="AA18" s="2">
        <f t="shared" si="13"/>
        <v>0.2</v>
      </c>
      <c r="AB18" s="2">
        <f t="shared" si="14"/>
        <v>0.18</v>
      </c>
      <c r="AC18" s="2">
        <f t="shared" si="15"/>
        <v>0.2</v>
      </c>
      <c r="AD18" s="2">
        <f t="shared" si="16"/>
        <v>0.18</v>
      </c>
      <c r="AE18" s="2">
        <f t="shared" si="17"/>
        <v>0.2</v>
      </c>
      <c r="AF18" s="2">
        <f t="shared" si="18"/>
        <v>0.18</v>
      </c>
      <c r="AG18" s="2">
        <f t="shared" si="19"/>
        <v>0.2</v>
      </c>
      <c r="AH18" s="2">
        <f t="shared" si="20"/>
        <v>0.18</v>
      </c>
    </row>
    <row r="19" spans="1:34">
      <c r="A19" t="str">
        <f t="shared" si="33"/>
        <v>Sorghum</v>
      </c>
      <c r="B19" t="str">
        <f t="shared" si="34"/>
        <v>Gambela</v>
      </c>
      <c r="C19" s="2">
        <v>0.2</v>
      </c>
      <c r="D19" s="2">
        <v>0.18</v>
      </c>
      <c r="E19" s="2">
        <f t="shared" si="3"/>
        <v>0.2</v>
      </c>
      <c r="F19" s="2">
        <f t="shared" si="4"/>
        <v>0.18</v>
      </c>
      <c r="G19" s="2">
        <f t="shared" si="5"/>
        <v>0.2</v>
      </c>
      <c r="H19" s="2">
        <f t="shared" si="21"/>
        <v>0.18</v>
      </c>
      <c r="I19" s="2">
        <f t="shared" si="22"/>
        <v>0.2</v>
      </c>
      <c r="J19" s="2">
        <f t="shared" si="23"/>
        <v>0.18</v>
      </c>
      <c r="K19" s="2">
        <f t="shared" si="24"/>
        <v>0.2</v>
      </c>
      <c r="L19" s="2">
        <f t="shared" si="25"/>
        <v>0.18</v>
      </c>
      <c r="M19" s="2">
        <f t="shared" si="26"/>
        <v>0.2</v>
      </c>
      <c r="N19" s="2">
        <f t="shared" si="27"/>
        <v>0.18</v>
      </c>
      <c r="O19" s="2">
        <f t="shared" si="28"/>
        <v>0.2</v>
      </c>
      <c r="P19" s="2">
        <f t="shared" si="29"/>
        <v>0.18</v>
      </c>
      <c r="Q19" s="2">
        <f t="shared" si="30"/>
        <v>0.2</v>
      </c>
      <c r="R19" s="2">
        <f t="shared" si="31"/>
        <v>0.18</v>
      </c>
      <c r="S19" s="2">
        <f t="shared" si="32"/>
        <v>0.2</v>
      </c>
      <c r="T19" s="2">
        <f t="shared" si="6"/>
        <v>0.18</v>
      </c>
      <c r="U19" s="2">
        <f t="shared" si="7"/>
        <v>0.2</v>
      </c>
      <c r="V19" s="2">
        <f t="shared" si="8"/>
        <v>0.18</v>
      </c>
      <c r="W19" s="2">
        <f t="shared" si="9"/>
        <v>0.2</v>
      </c>
      <c r="X19" s="2">
        <f t="shared" si="10"/>
        <v>0.18</v>
      </c>
      <c r="Y19" s="2">
        <f t="shared" si="11"/>
        <v>0.2</v>
      </c>
      <c r="Z19" s="2">
        <f t="shared" si="12"/>
        <v>0.18</v>
      </c>
      <c r="AA19" s="2">
        <f t="shared" si="13"/>
        <v>0.2</v>
      </c>
      <c r="AB19" s="2">
        <f t="shared" si="14"/>
        <v>0.18</v>
      </c>
      <c r="AC19" s="2">
        <f t="shared" si="15"/>
        <v>0.2</v>
      </c>
      <c r="AD19" s="2">
        <f t="shared" si="16"/>
        <v>0.18</v>
      </c>
      <c r="AE19" s="2">
        <f t="shared" si="17"/>
        <v>0.2</v>
      </c>
      <c r="AF19" s="2">
        <f t="shared" si="18"/>
        <v>0.18</v>
      </c>
      <c r="AG19" s="2">
        <f t="shared" si="19"/>
        <v>0.2</v>
      </c>
      <c r="AH19" s="2">
        <f t="shared" si="20"/>
        <v>0.18</v>
      </c>
    </row>
    <row r="20" spans="1:34">
      <c r="A20" t="str">
        <f t="shared" si="33"/>
        <v>Sorghum</v>
      </c>
      <c r="B20" t="str">
        <f t="shared" si="34"/>
        <v>Harari</v>
      </c>
      <c r="C20" s="2">
        <v>0.2</v>
      </c>
      <c r="D20" s="2">
        <v>0.18</v>
      </c>
      <c r="E20" s="2">
        <f t="shared" si="3"/>
        <v>0.2</v>
      </c>
      <c r="F20" s="2">
        <f t="shared" si="4"/>
        <v>0.18</v>
      </c>
      <c r="G20" s="2">
        <f t="shared" si="5"/>
        <v>0.2</v>
      </c>
      <c r="H20" s="2">
        <f t="shared" si="21"/>
        <v>0.18</v>
      </c>
      <c r="I20" s="2">
        <f t="shared" si="22"/>
        <v>0.2</v>
      </c>
      <c r="J20" s="2">
        <f t="shared" si="23"/>
        <v>0.18</v>
      </c>
      <c r="K20" s="2">
        <f t="shared" si="24"/>
        <v>0.2</v>
      </c>
      <c r="L20" s="2">
        <f t="shared" si="25"/>
        <v>0.18</v>
      </c>
      <c r="M20" s="2">
        <f t="shared" si="26"/>
        <v>0.2</v>
      </c>
      <c r="N20" s="2">
        <f t="shared" si="27"/>
        <v>0.18</v>
      </c>
      <c r="O20" s="2">
        <f t="shared" si="28"/>
        <v>0.2</v>
      </c>
      <c r="P20" s="2">
        <f t="shared" si="29"/>
        <v>0.18</v>
      </c>
      <c r="Q20" s="2">
        <f t="shared" si="30"/>
        <v>0.2</v>
      </c>
      <c r="R20" s="2">
        <f t="shared" si="31"/>
        <v>0.18</v>
      </c>
      <c r="S20" s="2">
        <f t="shared" si="32"/>
        <v>0.2</v>
      </c>
      <c r="T20" s="2">
        <f t="shared" si="6"/>
        <v>0.18</v>
      </c>
      <c r="U20" s="2">
        <f t="shared" si="7"/>
        <v>0.2</v>
      </c>
      <c r="V20" s="2">
        <f t="shared" si="8"/>
        <v>0.18</v>
      </c>
      <c r="W20" s="2">
        <f t="shared" si="9"/>
        <v>0.2</v>
      </c>
      <c r="X20" s="2">
        <f t="shared" si="10"/>
        <v>0.18</v>
      </c>
      <c r="Y20" s="2">
        <f t="shared" si="11"/>
        <v>0.2</v>
      </c>
      <c r="Z20" s="2">
        <f t="shared" si="12"/>
        <v>0.18</v>
      </c>
      <c r="AA20" s="2">
        <f t="shared" si="13"/>
        <v>0.2</v>
      </c>
      <c r="AB20" s="2">
        <f t="shared" si="14"/>
        <v>0.18</v>
      </c>
      <c r="AC20" s="2">
        <f t="shared" si="15"/>
        <v>0.2</v>
      </c>
      <c r="AD20" s="2">
        <f t="shared" si="16"/>
        <v>0.18</v>
      </c>
      <c r="AE20" s="2">
        <f t="shared" si="17"/>
        <v>0.2</v>
      </c>
      <c r="AF20" s="2">
        <f t="shared" si="18"/>
        <v>0.18</v>
      </c>
      <c r="AG20" s="2">
        <f t="shared" si="19"/>
        <v>0.2</v>
      </c>
      <c r="AH20" s="2">
        <f t="shared" si="20"/>
        <v>0.18</v>
      </c>
    </row>
    <row r="21" spans="1:34">
      <c r="A21" t="str">
        <f t="shared" si="33"/>
        <v>Sorghum</v>
      </c>
      <c r="B21" t="str">
        <f t="shared" si="34"/>
        <v>Oromia</v>
      </c>
      <c r="C21" s="2">
        <v>0.2</v>
      </c>
      <c r="D21" s="2">
        <v>0.18</v>
      </c>
      <c r="E21" s="2">
        <f t="shared" si="3"/>
        <v>0.2</v>
      </c>
      <c r="F21" s="2">
        <f t="shared" si="4"/>
        <v>0.18</v>
      </c>
      <c r="G21" s="2">
        <f t="shared" si="5"/>
        <v>0.2</v>
      </c>
      <c r="H21" s="2">
        <f t="shared" si="21"/>
        <v>0.18</v>
      </c>
      <c r="I21" s="2">
        <f t="shared" si="22"/>
        <v>0.2</v>
      </c>
      <c r="J21" s="2">
        <f t="shared" si="23"/>
        <v>0.18</v>
      </c>
      <c r="K21" s="2">
        <f t="shared" si="24"/>
        <v>0.2</v>
      </c>
      <c r="L21" s="2">
        <f t="shared" si="25"/>
        <v>0.18</v>
      </c>
      <c r="M21" s="2">
        <f t="shared" si="26"/>
        <v>0.2</v>
      </c>
      <c r="N21" s="2">
        <f t="shared" si="27"/>
        <v>0.18</v>
      </c>
      <c r="O21" s="2">
        <f t="shared" si="28"/>
        <v>0.2</v>
      </c>
      <c r="P21" s="2">
        <f t="shared" si="29"/>
        <v>0.18</v>
      </c>
      <c r="Q21" s="2">
        <f t="shared" si="30"/>
        <v>0.2</v>
      </c>
      <c r="R21" s="2">
        <f t="shared" si="31"/>
        <v>0.18</v>
      </c>
      <c r="S21" s="2">
        <f t="shared" si="32"/>
        <v>0.2</v>
      </c>
      <c r="T21" s="2">
        <f t="shared" si="6"/>
        <v>0.18</v>
      </c>
      <c r="U21" s="2">
        <f t="shared" si="7"/>
        <v>0.2</v>
      </c>
      <c r="V21" s="2">
        <f t="shared" si="8"/>
        <v>0.18</v>
      </c>
      <c r="W21" s="2">
        <f t="shared" si="9"/>
        <v>0.2</v>
      </c>
      <c r="X21" s="2">
        <f t="shared" si="10"/>
        <v>0.18</v>
      </c>
      <c r="Y21" s="2">
        <f t="shared" si="11"/>
        <v>0.2</v>
      </c>
      <c r="Z21" s="2">
        <f t="shared" si="12"/>
        <v>0.18</v>
      </c>
      <c r="AA21" s="2">
        <f t="shared" si="13"/>
        <v>0.2</v>
      </c>
      <c r="AB21" s="2">
        <f t="shared" si="14"/>
        <v>0.18</v>
      </c>
      <c r="AC21" s="2">
        <f t="shared" si="15"/>
        <v>0.2</v>
      </c>
      <c r="AD21" s="2">
        <f t="shared" si="16"/>
        <v>0.18</v>
      </c>
      <c r="AE21" s="2">
        <f t="shared" si="17"/>
        <v>0.2</v>
      </c>
      <c r="AF21" s="2">
        <f t="shared" si="18"/>
        <v>0.18</v>
      </c>
      <c r="AG21" s="2">
        <f t="shared" si="19"/>
        <v>0.2</v>
      </c>
      <c r="AH21" s="2">
        <f t="shared" si="20"/>
        <v>0.18</v>
      </c>
    </row>
    <row r="22" spans="1:34">
      <c r="A22" t="str">
        <f t="shared" si="33"/>
        <v>Sorghum</v>
      </c>
      <c r="B22" t="str">
        <f t="shared" si="34"/>
        <v>Somali</v>
      </c>
      <c r="C22" s="2">
        <v>0.2</v>
      </c>
      <c r="D22" s="2">
        <v>0.18</v>
      </c>
      <c r="E22" s="2">
        <f t="shared" si="3"/>
        <v>0.2</v>
      </c>
      <c r="F22" s="2">
        <f t="shared" si="4"/>
        <v>0.18</v>
      </c>
      <c r="G22" s="2">
        <f t="shared" si="5"/>
        <v>0.2</v>
      </c>
      <c r="H22" s="2">
        <f t="shared" si="21"/>
        <v>0.18</v>
      </c>
      <c r="I22" s="2">
        <f t="shared" si="22"/>
        <v>0.2</v>
      </c>
      <c r="J22" s="2">
        <f t="shared" si="23"/>
        <v>0.18</v>
      </c>
      <c r="K22" s="2">
        <f t="shared" si="24"/>
        <v>0.2</v>
      </c>
      <c r="L22" s="2">
        <f t="shared" si="25"/>
        <v>0.18</v>
      </c>
      <c r="M22" s="2">
        <f t="shared" si="26"/>
        <v>0.2</v>
      </c>
      <c r="N22" s="2">
        <f t="shared" si="27"/>
        <v>0.18</v>
      </c>
      <c r="O22" s="2">
        <f t="shared" si="28"/>
        <v>0.2</v>
      </c>
      <c r="P22" s="2">
        <f t="shared" si="29"/>
        <v>0.18</v>
      </c>
      <c r="Q22" s="2">
        <f t="shared" si="30"/>
        <v>0.2</v>
      </c>
      <c r="R22" s="2">
        <f t="shared" si="31"/>
        <v>0.18</v>
      </c>
      <c r="S22" s="2">
        <f t="shared" si="32"/>
        <v>0.2</v>
      </c>
      <c r="T22" s="2">
        <f t="shared" si="6"/>
        <v>0.18</v>
      </c>
      <c r="U22" s="2">
        <f t="shared" si="7"/>
        <v>0.2</v>
      </c>
      <c r="V22" s="2">
        <f t="shared" si="8"/>
        <v>0.18</v>
      </c>
      <c r="W22" s="2">
        <f t="shared" si="9"/>
        <v>0.2</v>
      </c>
      <c r="X22" s="2">
        <f t="shared" si="10"/>
        <v>0.18</v>
      </c>
      <c r="Y22" s="2">
        <f t="shared" si="11"/>
        <v>0.2</v>
      </c>
      <c r="Z22" s="2">
        <f t="shared" si="12"/>
        <v>0.18</v>
      </c>
      <c r="AA22" s="2">
        <f t="shared" si="13"/>
        <v>0.2</v>
      </c>
      <c r="AB22" s="2">
        <f t="shared" si="14"/>
        <v>0.18</v>
      </c>
      <c r="AC22" s="2">
        <f t="shared" si="15"/>
        <v>0.2</v>
      </c>
      <c r="AD22" s="2">
        <f t="shared" si="16"/>
        <v>0.18</v>
      </c>
      <c r="AE22" s="2">
        <f t="shared" si="17"/>
        <v>0.2</v>
      </c>
      <c r="AF22" s="2">
        <f t="shared" si="18"/>
        <v>0.18</v>
      </c>
      <c r="AG22" s="2">
        <f t="shared" si="19"/>
        <v>0.2</v>
      </c>
      <c r="AH22" s="2">
        <f t="shared" si="20"/>
        <v>0.18</v>
      </c>
    </row>
    <row r="23" spans="1:34">
      <c r="A23" t="str">
        <f t="shared" si="33"/>
        <v>Sorghum</v>
      </c>
      <c r="B23" t="str">
        <f t="shared" si="34"/>
        <v>SNNPR</v>
      </c>
      <c r="C23" s="2">
        <v>0.2</v>
      </c>
      <c r="D23" s="2">
        <v>0.18</v>
      </c>
      <c r="E23" s="2">
        <f t="shared" si="3"/>
        <v>0.2</v>
      </c>
      <c r="F23" s="2">
        <f t="shared" si="4"/>
        <v>0.18</v>
      </c>
      <c r="G23" s="2">
        <f t="shared" si="5"/>
        <v>0.2</v>
      </c>
      <c r="H23" s="2">
        <f t="shared" si="21"/>
        <v>0.18</v>
      </c>
      <c r="I23" s="2">
        <f t="shared" si="22"/>
        <v>0.2</v>
      </c>
      <c r="J23" s="2">
        <f t="shared" si="23"/>
        <v>0.18</v>
      </c>
      <c r="K23" s="2">
        <f t="shared" si="24"/>
        <v>0.2</v>
      </c>
      <c r="L23" s="2">
        <f t="shared" si="25"/>
        <v>0.18</v>
      </c>
      <c r="M23" s="2">
        <f t="shared" si="26"/>
        <v>0.2</v>
      </c>
      <c r="N23" s="2">
        <f t="shared" si="27"/>
        <v>0.18</v>
      </c>
      <c r="O23" s="2">
        <f t="shared" si="28"/>
        <v>0.2</v>
      </c>
      <c r="P23" s="2">
        <f t="shared" si="29"/>
        <v>0.18</v>
      </c>
      <c r="Q23" s="2">
        <f t="shared" si="30"/>
        <v>0.2</v>
      </c>
      <c r="R23" s="2">
        <f t="shared" si="31"/>
        <v>0.18</v>
      </c>
      <c r="S23" s="2">
        <f t="shared" si="32"/>
        <v>0.2</v>
      </c>
      <c r="T23" s="2">
        <f t="shared" si="6"/>
        <v>0.18</v>
      </c>
      <c r="U23" s="2">
        <f t="shared" si="7"/>
        <v>0.2</v>
      </c>
      <c r="V23" s="2">
        <f t="shared" si="8"/>
        <v>0.18</v>
      </c>
      <c r="W23" s="2">
        <f t="shared" si="9"/>
        <v>0.2</v>
      </c>
      <c r="X23" s="2">
        <f t="shared" si="10"/>
        <v>0.18</v>
      </c>
      <c r="Y23" s="2">
        <f t="shared" si="11"/>
        <v>0.2</v>
      </c>
      <c r="Z23" s="2">
        <f t="shared" si="12"/>
        <v>0.18</v>
      </c>
      <c r="AA23" s="2">
        <f t="shared" si="13"/>
        <v>0.2</v>
      </c>
      <c r="AB23" s="2">
        <f t="shared" si="14"/>
        <v>0.18</v>
      </c>
      <c r="AC23" s="2">
        <f t="shared" si="15"/>
        <v>0.2</v>
      </c>
      <c r="AD23" s="2">
        <f t="shared" si="16"/>
        <v>0.18</v>
      </c>
      <c r="AE23" s="2">
        <f t="shared" si="17"/>
        <v>0.2</v>
      </c>
      <c r="AF23" s="2">
        <f t="shared" si="18"/>
        <v>0.18</v>
      </c>
      <c r="AG23" s="2">
        <f t="shared" si="19"/>
        <v>0.2</v>
      </c>
      <c r="AH23" s="2">
        <f t="shared" si="20"/>
        <v>0.18</v>
      </c>
    </row>
    <row r="24" spans="1:34">
      <c r="A24" t="str">
        <f t="shared" si="33"/>
        <v>Sorghum</v>
      </c>
      <c r="B24" t="str">
        <f t="shared" si="34"/>
        <v>Tigray</v>
      </c>
      <c r="C24" s="2">
        <v>0.2</v>
      </c>
      <c r="D24" s="2">
        <v>0.18</v>
      </c>
      <c r="E24" s="2">
        <f t="shared" si="3"/>
        <v>0.2</v>
      </c>
      <c r="F24" s="2">
        <f t="shared" si="4"/>
        <v>0.18</v>
      </c>
      <c r="G24" s="2">
        <f t="shared" si="5"/>
        <v>0.2</v>
      </c>
      <c r="H24" s="2">
        <f t="shared" si="21"/>
        <v>0.18</v>
      </c>
      <c r="I24" s="2">
        <f t="shared" si="22"/>
        <v>0.2</v>
      </c>
      <c r="J24" s="2">
        <f t="shared" si="23"/>
        <v>0.18</v>
      </c>
      <c r="K24" s="2">
        <f t="shared" si="24"/>
        <v>0.2</v>
      </c>
      <c r="L24" s="2">
        <f t="shared" si="25"/>
        <v>0.18</v>
      </c>
      <c r="M24" s="2">
        <f t="shared" si="26"/>
        <v>0.2</v>
      </c>
      <c r="N24" s="2">
        <f t="shared" si="27"/>
        <v>0.18</v>
      </c>
      <c r="O24" s="2">
        <f t="shared" si="28"/>
        <v>0.2</v>
      </c>
      <c r="P24" s="2">
        <f t="shared" si="29"/>
        <v>0.18</v>
      </c>
      <c r="Q24" s="2">
        <f t="shared" si="30"/>
        <v>0.2</v>
      </c>
      <c r="R24" s="2">
        <f t="shared" si="31"/>
        <v>0.18</v>
      </c>
      <c r="S24" s="2">
        <f t="shared" si="32"/>
        <v>0.2</v>
      </c>
      <c r="T24" s="2">
        <f t="shared" si="6"/>
        <v>0.18</v>
      </c>
      <c r="U24" s="2">
        <f t="shared" si="7"/>
        <v>0.2</v>
      </c>
      <c r="V24" s="2">
        <f t="shared" si="8"/>
        <v>0.18</v>
      </c>
      <c r="W24" s="2">
        <f t="shared" si="9"/>
        <v>0.2</v>
      </c>
      <c r="X24" s="2">
        <f t="shared" si="10"/>
        <v>0.18</v>
      </c>
      <c r="Y24" s="2">
        <f t="shared" si="11"/>
        <v>0.2</v>
      </c>
      <c r="Z24" s="2">
        <f t="shared" si="12"/>
        <v>0.18</v>
      </c>
      <c r="AA24" s="2">
        <f t="shared" si="13"/>
        <v>0.2</v>
      </c>
      <c r="AB24" s="2">
        <f t="shared" si="14"/>
        <v>0.18</v>
      </c>
      <c r="AC24" s="2">
        <f t="shared" si="15"/>
        <v>0.2</v>
      </c>
      <c r="AD24" s="2">
        <f t="shared" si="16"/>
        <v>0.18</v>
      </c>
      <c r="AE24" s="2">
        <f t="shared" si="17"/>
        <v>0.2</v>
      </c>
      <c r="AF24" s="2">
        <f t="shared" si="18"/>
        <v>0.18</v>
      </c>
      <c r="AG24" s="2">
        <f t="shared" si="19"/>
        <v>0.2</v>
      </c>
      <c r="AH24" s="2">
        <f t="shared" si="20"/>
        <v>0.18</v>
      </c>
    </row>
    <row r="25" spans="1:34">
      <c r="A25" t="str">
        <f t="shared" si="33"/>
        <v>Maize</v>
      </c>
      <c r="B25" t="str">
        <f t="shared" si="34"/>
        <v>AddisAbaba</v>
      </c>
      <c r="C25" s="2">
        <v>0.2</v>
      </c>
      <c r="D25" s="2">
        <v>0.18</v>
      </c>
      <c r="E25" s="2">
        <f t="shared" si="3"/>
        <v>0.2</v>
      </c>
      <c r="F25" s="2">
        <f t="shared" si="4"/>
        <v>0.18</v>
      </c>
      <c r="G25" s="2">
        <f t="shared" si="5"/>
        <v>0.2</v>
      </c>
      <c r="H25" s="2">
        <f t="shared" si="21"/>
        <v>0.18</v>
      </c>
      <c r="I25" s="2">
        <f t="shared" si="22"/>
        <v>0.2</v>
      </c>
      <c r="J25" s="2">
        <f t="shared" si="23"/>
        <v>0.18</v>
      </c>
      <c r="K25" s="2">
        <f t="shared" si="24"/>
        <v>0.2</v>
      </c>
      <c r="L25" s="2">
        <f t="shared" si="25"/>
        <v>0.18</v>
      </c>
      <c r="M25" s="2">
        <f t="shared" si="26"/>
        <v>0.2</v>
      </c>
      <c r="N25" s="2">
        <f t="shared" si="27"/>
        <v>0.18</v>
      </c>
      <c r="O25" s="2">
        <f t="shared" si="28"/>
        <v>0.2</v>
      </c>
      <c r="P25" s="2">
        <f t="shared" si="29"/>
        <v>0.18</v>
      </c>
      <c r="Q25" s="2">
        <f t="shared" si="30"/>
        <v>0.2</v>
      </c>
      <c r="R25" s="2">
        <f t="shared" si="31"/>
        <v>0.18</v>
      </c>
      <c r="S25" s="2">
        <f t="shared" si="32"/>
        <v>0.2</v>
      </c>
      <c r="T25" s="2">
        <f t="shared" si="6"/>
        <v>0.18</v>
      </c>
      <c r="U25" s="2">
        <f t="shared" si="7"/>
        <v>0.2</v>
      </c>
      <c r="V25" s="2">
        <f t="shared" si="8"/>
        <v>0.18</v>
      </c>
      <c r="W25" s="2">
        <f t="shared" si="9"/>
        <v>0.2</v>
      </c>
      <c r="X25" s="2">
        <f t="shared" si="10"/>
        <v>0.18</v>
      </c>
      <c r="Y25" s="2">
        <f t="shared" si="11"/>
        <v>0.2</v>
      </c>
      <c r="Z25" s="2">
        <f t="shared" si="12"/>
        <v>0.18</v>
      </c>
      <c r="AA25" s="2">
        <f t="shared" si="13"/>
        <v>0.2</v>
      </c>
      <c r="AB25" s="2">
        <f t="shared" si="14"/>
        <v>0.18</v>
      </c>
      <c r="AC25" s="2">
        <f t="shared" si="15"/>
        <v>0.2</v>
      </c>
      <c r="AD25" s="2">
        <f t="shared" si="16"/>
        <v>0.18</v>
      </c>
      <c r="AE25" s="2">
        <f t="shared" si="17"/>
        <v>0.2</v>
      </c>
      <c r="AF25" s="2">
        <f t="shared" si="18"/>
        <v>0.18</v>
      </c>
      <c r="AG25" s="2">
        <f t="shared" si="19"/>
        <v>0.2</v>
      </c>
      <c r="AH25" s="2">
        <f t="shared" si="20"/>
        <v>0.18</v>
      </c>
    </row>
    <row r="26" spans="1:34">
      <c r="A26" t="str">
        <f t="shared" si="33"/>
        <v>Maize</v>
      </c>
      <c r="B26" t="str">
        <f t="shared" si="34"/>
        <v>Afar</v>
      </c>
      <c r="C26" s="2">
        <v>0.2</v>
      </c>
      <c r="D26" s="2">
        <v>0.18</v>
      </c>
      <c r="E26" s="2">
        <f t="shared" si="3"/>
        <v>0.2</v>
      </c>
      <c r="F26" s="2">
        <f t="shared" si="4"/>
        <v>0.18</v>
      </c>
      <c r="G26" s="2">
        <f t="shared" si="5"/>
        <v>0.2</v>
      </c>
      <c r="H26" s="2">
        <f t="shared" si="21"/>
        <v>0.18</v>
      </c>
      <c r="I26" s="2">
        <f t="shared" si="22"/>
        <v>0.2</v>
      </c>
      <c r="J26" s="2">
        <f t="shared" si="23"/>
        <v>0.18</v>
      </c>
      <c r="K26" s="2">
        <f t="shared" si="24"/>
        <v>0.2</v>
      </c>
      <c r="L26" s="2">
        <f t="shared" si="25"/>
        <v>0.18</v>
      </c>
      <c r="M26" s="2">
        <f t="shared" si="26"/>
        <v>0.2</v>
      </c>
      <c r="N26" s="2">
        <f t="shared" si="27"/>
        <v>0.18</v>
      </c>
      <c r="O26" s="2">
        <f t="shared" si="28"/>
        <v>0.2</v>
      </c>
      <c r="P26" s="2">
        <f t="shared" si="29"/>
        <v>0.18</v>
      </c>
      <c r="Q26" s="2">
        <f t="shared" si="30"/>
        <v>0.2</v>
      </c>
      <c r="R26" s="2">
        <f t="shared" si="31"/>
        <v>0.18</v>
      </c>
      <c r="S26" s="2">
        <f t="shared" si="32"/>
        <v>0.2</v>
      </c>
      <c r="T26" s="2">
        <f t="shared" si="6"/>
        <v>0.18</v>
      </c>
      <c r="U26" s="2">
        <f t="shared" si="7"/>
        <v>0.2</v>
      </c>
      <c r="V26" s="2">
        <f t="shared" si="8"/>
        <v>0.18</v>
      </c>
      <c r="W26" s="2">
        <f t="shared" si="9"/>
        <v>0.2</v>
      </c>
      <c r="X26" s="2">
        <f t="shared" si="10"/>
        <v>0.18</v>
      </c>
      <c r="Y26" s="2">
        <f t="shared" si="11"/>
        <v>0.2</v>
      </c>
      <c r="Z26" s="2">
        <f t="shared" si="12"/>
        <v>0.18</v>
      </c>
      <c r="AA26" s="2">
        <f t="shared" si="13"/>
        <v>0.2</v>
      </c>
      <c r="AB26" s="2">
        <f t="shared" si="14"/>
        <v>0.18</v>
      </c>
      <c r="AC26" s="2">
        <f t="shared" si="15"/>
        <v>0.2</v>
      </c>
      <c r="AD26" s="2">
        <f t="shared" si="16"/>
        <v>0.18</v>
      </c>
      <c r="AE26" s="2">
        <f t="shared" si="17"/>
        <v>0.2</v>
      </c>
      <c r="AF26" s="2">
        <f t="shared" si="18"/>
        <v>0.18</v>
      </c>
      <c r="AG26" s="2">
        <f t="shared" si="19"/>
        <v>0.2</v>
      </c>
      <c r="AH26" s="2">
        <f t="shared" si="20"/>
        <v>0.18</v>
      </c>
    </row>
    <row r="27" spans="1:34">
      <c r="A27" t="str">
        <f t="shared" si="33"/>
        <v>Maize</v>
      </c>
      <c r="B27" t="str">
        <f t="shared" si="34"/>
        <v>Amhara</v>
      </c>
      <c r="C27" s="2">
        <v>0.2</v>
      </c>
      <c r="D27" s="2">
        <v>0.18</v>
      </c>
      <c r="E27" s="2">
        <f t="shared" si="3"/>
        <v>0.2</v>
      </c>
      <c r="F27" s="2">
        <f t="shared" si="4"/>
        <v>0.18</v>
      </c>
      <c r="G27" s="2">
        <f t="shared" si="5"/>
        <v>0.2</v>
      </c>
      <c r="H27" s="2">
        <f t="shared" si="21"/>
        <v>0.18</v>
      </c>
      <c r="I27" s="2">
        <f t="shared" si="22"/>
        <v>0.2</v>
      </c>
      <c r="J27" s="2">
        <f t="shared" si="23"/>
        <v>0.18</v>
      </c>
      <c r="K27" s="2">
        <f t="shared" si="24"/>
        <v>0.2</v>
      </c>
      <c r="L27" s="2">
        <f t="shared" si="25"/>
        <v>0.18</v>
      </c>
      <c r="M27" s="2">
        <f t="shared" si="26"/>
        <v>0.2</v>
      </c>
      <c r="N27" s="2">
        <f t="shared" si="27"/>
        <v>0.18</v>
      </c>
      <c r="O27" s="2">
        <f t="shared" si="28"/>
        <v>0.2</v>
      </c>
      <c r="P27" s="2">
        <f t="shared" si="29"/>
        <v>0.18</v>
      </c>
      <c r="Q27" s="2">
        <f t="shared" si="30"/>
        <v>0.2</v>
      </c>
      <c r="R27" s="2">
        <f t="shared" si="31"/>
        <v>0.18</v>
      </c>
      <c r="S27" s="2">
        <f t="shared" si="32"/>
        <v>0.2</v>
      </c>
      <c r="T27" s="2">
        <f t="shared" si="6"/>
        <v>0.18</v>
      </c>
      <c r="U27" s="2">
        <f t="shared" si="7"/>
        <v>0.2</v>
      </c>
      <c r="V27" s="2">
        <f t="shared" si="8"/>
        <v>0.18</v>
      </c>
      <c r="W27" s="2">
        <f t="shared" si="9"/>
        <v>0.2</v>
      </c>
      <c r="X27" s="2">
        <f t="shared" si="10"/>
        <v>0.18</v>
      </c>
      <c r="Y27" s="2">
        <f t="shared" si="11"/>
        <v>0.2</v>
      </c>
      <c r="Z27" s="2">
        <f t="shared" si="12"/>
        <v>0.18</v>
      </c>
      <c r="AA27" s="2">
        <f t="shared" si="13"/>
        <v>0.2</v>
      </c>
      <c r="AB27" s="2">
        <f t="shared" si="14"/>
        <v>0.18</v>
      </c>
      <c r="AC27" s="2">
        <f t="shared" si="15"/>
        <v>0.2</v>
      </c>
      <c r="AD27" s="2">
        <f t="shared" si="16"/>
        <v>0.18</v>
      </c>
      <c r="AE27" s="2">
        <f t="shared" si="17"/>
        <v>0.2</v>
      </c>
      <c r="AF27" s="2">
        <f t="shared" si="18"/>
        <v>0.18</v>
      </c>
      <c r="AG27" s="2">
        <f t="shared" si="19"/>
        <v>0.2</v>
      </c>
      <c r="AH27" s="2">
        <f t="shared" si="20"/>
        <v>0.18</v>
      </c>
    </row>
    <row r="28" spans="1:34">
      <c r="A28" t="str">
        <f t="shared" si="33"/>
        <v>Maize</v>
      </c>
      <c r="B28" t="str">
        <f t="shared" si="34"/>
        <v>Gumuz</v>
      </c>
      <c r="C28" s="2">
        <v>0.2</v>
      </c>
      <c r="D28" s="2">
        <v>0.18</v>
      </c>
      <c r="E28" s="2">
        <f t="shared" si="3"/>
        <v>0.2</v>
      </c>
      <c r="F28" s="2">
        <f t="shared" si="4"/>
        <v>0.18</v>
      </c>
      <c r="G28" s="2">
        <f t="shared" si="5"/>
        <v>0.2</v>
      </c>
      <c r="H28" s="2">
        <f t="shared" si="21"/>
        <v>0.18</v>
      </c>
      <c r="I28" s="2">
        <f t="shared" si="22"/>
        <v>0.2</v>
      </c>
      <c r="J28" s="2">
        <f t="shared" si="23"/>
        <v>0.18</v>
      </c>
      <c r="K28" s="2">
        <f t="shared" si="24"/>
        <v>0.2</v>
      </c>
      <c r="L28" s="2">
        <f t="shared" si="25"/>
        <v>0.18</v>
      </c>
      <c r="M28" s="2">
        <f t="shared" si="26"/>
        <v>0.2</v>
      </c>
      <c r="N28" s="2">
        <f t="shared" si="27"/>
        <v>0.18</v>
      </c>
      <c r="O28" s="2">
        <f t="shared" si="28"/>
        <v>0.2</v>
      </c>
      <c r="P28" s="2">
        <f t="shared" si="29"/>
        <v>0.18</v>
      </c>
      <c r="Q28" s="2">
        <f t="shared" si="30"/>
        <v>0.2</v>
      </c>
      <c r="R28" s="2">
        <f t="shared" si="31"/>
        <v>0.18</v>
      </c>
      <c r="S28" s="2">
        <f t="shared" si="32"/>
        <v>0.2</v>
      </c>
      <c r="T28" s="2">
        <f t="shared" si="6"/>
        <v>0.18</v>
      </c>
      <c r="U28" s="2">
        <f t="shared" si="7"/>
        <v>0.2</v>
      </c>
      <c r="V28" s="2">
        <f t="shared" si="8"/>
        <v>0.18</v>
      </c>
      <c r="W28" s="2">
        <f t="shared" si="9"/>
        <v>0.2</v>
      </c>
      <c r="X28" s="2">
        <f t="shared" si="10"/>
        <v>0.18</v>
      </c>
      <c r="Y28" s="2">
        <f t="shared" si="11"/>
        <v>0.2</v>
      </c>
      <c r="Z28" s="2">
        <f t="shared" si="12"/>
        <v>0.18</v>
      </c>
      <c r="AA28" s="2">
        <f t="shared" si="13"/>
        <v>0.2</v>
      </c>
      <c r="AB28" s="2">
        <f t="shared" si="14"/>
        <v>0.18</v>
      </c>
      <c r="AC28" s="2">
        <f t="shared" si="15"/>
        <v>0.2</v>
      </c>
      <c r="AD28" s="2">
        <f t="shared" si="16"/>
        <v>0.18</v>
      </c>
      <c r="AE28" s="2">
        <f t="shared" si="17"/>
        <v>0.2</v>
      </c>
      <c r="AF28" s="2">
        <f t="shared" si="18"/>
        <v>0.18</v>
      </c>
      <c r="AG28" s="2">
        <f t="shared" si="19"/>
        <v>0.2</v>
      </c>
      <c r="AH28" s="2">
        <f t="shared" si="20"/>
        <v>0.18</v>
      </c>
    </row>
    <row r="29" spans="1:34">
      <c r="A29" t="str">
        <f t="shared" si="33"/>
        <v>Maize</v>
      </c>
      <c r="B29" t="str">
        <f t="shared" si="34"/>
        <v>DireDawa</v>
      </c>
      <c r="C29" s="2">
        <v>0.2</v>
      </c>
      <c r="D29" s="2">
        <v>0.18</v>
      </c>
      <c r="E29" s="2">
        <f t="shared" si="3"/>
        <v>0.2</v>
      </c>
      <c r="F29" s="2">
        <f t="shared" si="4"/>
        <v>0.18</v>
      </c>
      <c r="G29" s="2">
        <f t="shared" si="5"/>
        <v>0.2</v>
      </c>
      <c r="H29" s="2">
        <f t="shared" si="21"/>
        <v>0.18</v>
      </c>
      <c r="I29" s="2">
        <f t="shared" si="22"/>
        <v>0.2</v>
      </c>
      <c r="J29" s="2">
        <f t="shared" si="23"/>
        <v>0.18</v>
      </c>
      <c r="K29" s="2">
        <f t="shared" si="24"/>
        <v>0.2</v>
      </c>
      <c r="L29" s="2">
        <f t="shared" si="25"/>
        <v>0.18</v>
      </c>
      <c r="M29" s="2">
        <f t="shared" si="26"/>
        <v>0.2</v>
      </c>
      <c r="N29" s="2">
        <f t="shared" si="27"/>
        <v>0.18</v>
      </c>
      <c r="O29" s="2">
        <f t="shared" si="28"/>
        <v>0.2</v>
      </c>
      <c r="P29" s="2">
        <f t="shared" si="29"/>
        <v>0.18</v>
      </c>
      <c r="Q29" s="2">
        <f t="shared" si="30"/>
        <v>0.2</v>
      </c>
      <c r="R29" s="2">
        <f t="shared" si="31"/>
        <v>0.18</v>
      </c>
      <c r="S29" s="2">
        <f t="shared" si="32"/>
        <v>0.2</v>
      </c>
      <c r="T29" s="2">
        <f t="shared" si="6"/>
        <v>0.18</v>
      </c>
      <c r="U29" s="2">
        <f t="shared" si="7"/>
        <v>0.2</v>
      </c>
      <c r="V29" s="2">
        <f t="shared" si="8"/>
        <v>0.18</v>
      </c>
      <c r="W29" s="2">
        <f t="shared" si="9"/>
        <v>0.2</v>
      </c>
      <c r="X29" s="2">
        <f t="shared" si="10"/>
        <v>0.18</v>
      </c>
      <c r="Y29" s="2">
        <f t="shared" si="11"/>
        <v>0.2</v>
      </c>
      <c r="Z29" s="2">
        <f t="shared" si="12"/>
        <v>0.18</v>
      </c>
      <c r="AA29" s="2">
        <f t="shared" si="13"/>
        <v>0.2</v>
      </c>
      <c r="AB29" s="2">
        <f t="shared" si="14"/>
        <v>0.18</v>
      </c>
      <c r="AC29" s="2">
        <f t="shared" si="15"/>
        <v>0.2</v>
      </c>
      <c r="AD29" s="2">
        <f t="shared" si="16"/>
        <v>0.18</v>
      </c>
      <c r="AE29" s="2">
        <f t="shared" si="17"/>
        <v>0.2</v>
      </c>
      <c r="AF29" s="2">
        <f t="shared" si="18"/>
        <v>0.18</v>
      </c>
      <c r="AG29" s="2">
        <f t="shared" si="19"/>
        <v>0.2</v>
      </c>
      <c r="AH29" s="2">
        <f t="shared" si="20"/>
        <v>0.18</v>
      </c>
    </row>
    <row r="30" spans="1:34">
      <c r="A30" t="str">
        <f t="shared" si="33"/>
        <v>Maize</v>
      </c>
      <c r="B30" t="str">
        <f t="shared" si="34"/>
        <v>Gambela</v>
      </c>
      <c r="C30" s="2">
        <v>0.2</v>
      </c>
      <c r="D30" s="2">
        <v>0.18</v>
      </c>
      <c r="E30" s="2">
        <f t="shared" si="3"/>
        <v>0.2</v>
      </c>
      <c r="F30" s="2">
        <f t="shared" si="4"/>
        <v>0.18</v>
      </c>
      <c r="G30" s="2">
        <f t="shared" si="5"/>
        <v>0.2</v>
      </c>
      <c r="H30" s="2">
        <f t="shared" si="21"/>
        <v>0.18</v>
      </c>
      <c r="I30" s="2">
        <f t="shared" si="22"/>
        <v>0.2</v>
      </c>
      <c r="J30" s="2">
        <f t="shared" si="23"/>
        <v>0.18</v>
      </c>
      <c r="K30" s="2">
        <f t="shared" si="24"/>
        <v>0.2</v>
      </c>
      <c r="L30" s="2">
        <f t="shared" si="25"/>
        <v>0.18</v>
      </c>
      <c r="M30" s="2">
        <f t="shared" si="26"/>
        <v>0.2</v>
      </c>
      <c r="N30" s="2">
        <f t="shared" si="27"/>
        <v>0.18</v>
      </c>
      <c r="O30" s="2">
        <f t="shared" si="28"/>
        <v>0.2</v>
      </c>
      <c r="P30" s="2">
        <f t="shared" si="29"/>
        <v>0.18</v>
      </c>
      <c r="Q30" s="2">
        <f t="shared" si="30"/>
        <v>0.2</v>
      </c>
      <c r="R30" s="2">
        <f t="shared" si="31"/>
        <v>0.18</v>
      </c>
      <c r="S30" s="2">
        <f t="shared" si="32"/>
        <v>0.2</v>
      </c>
      <c r="T30" s="2">
        <f t="shared" si="6"/>
        <v>0.18</v>
      </c>
      <c r="U30" s="2">
        <f t="shared" si="7"/>
        <v>0.2</v>
      </c>
      <c r="V30" s="2">
        <f t="shared" si="8"/>
        <v>0.18</v>
      </c>
      <c r="W30" s="2">
        <f t="shared" si="9"/>
        <v>0.2</v>
      </c>
      <c r="X30" s="2">
        <f t="shared" si="10"/>
        <v>0.18</v>
      </c>
      <c r="Y30" s="2">
        <f t="shared" si="11"/>
        <v>0.2</v>
      </c>
      <c r="Z30" s="2">
        <f t="shared" si="12"/>
        <v>0.18</v>
      </c>
      <c r="AA30" s="2">
        <f t="shared" si="13"/>
        <v>0.2</v>
      </c>
      <c r="AB30" s="2">
        <f t="shared" si="14"/>
        <v>0.18</v>
      </c>
      <c r="AC30" s="2">
        <f t="shared" si="15"/>
        <v>0.2</v>
      </c>
      <c r="AD30" s="2">
        <f t="shared" si="16"/>
        <v>0.18</v>
      </c>
      <c r="AE30" s="2">
        <f t="shared" si="17"/>
        <v>0.2</v>
      </c>
      <c r="AF30" s="2">
        <f t="shared" si="18"/>
        <v>0.18</v>
      </c>
      <c r="AG30" s="2">
        <f t="shared" si="19"/>
        <v>0.2</v>
      </c>
      <c r="AH30" s="2">
        <f t="shared" si="20"/>
        <v>0.18</v>
      </c>
    </row>
    <row r="31" spans="1:34">
      <c r="A31" t="str">
        <f t="shared" si="33"/>
        <v>Maize</v>
      </c>
      <c r="B31" t="str">
        <f t="shared" si="34"/>
        <v>Harari</v>
      </c>
      <c r="C31" s="2">
        <v>0.2</v>
      </c>
      <c r="D31" s="2">
        <v>0.18</v>
      </c>
      <c r="E31" s="2">
        <f t="shared" si="3"/>
        <v>0.2</v>
      </c>
      <c r="F31" s="2">
        <f t="shared" si="4"/>
        <v>0.18</v>
      </c>
      <c r="G31" s="2">
        <f t="shared" si="5"/>
        <v>0.2</v>
      </c>
      <c r="H31" s="2">
        <f t="shared" si="21"/>
        <v>0.18</v>
      </c>
      <c r="I31" s="2">
        <f t="shared" si="22"/>
        <v>0.2</v>
      </c>
      <c r="J31" s="2">
        <f t="shared" si="23"/>
        <v>0.18</v>
      </c>
      <c r="K31" s="2">
        <f t="shared" si="24"/>
        <v>0.2</v>
      </c>
      <c r="L31" s="2">
        <f t="shared" si="25"/>
        <v>0.18</v>
      </c>
      <c r="M31" s="2">
        <f t="shared" si="26"/>
        <v>0.2</v>
      </c>
      <c r="N31" s="2">
        <f t="shared" si="27"/>
        <v>0.18</v>
      </c>
      <c r="O31" s="2">
        <f t="shared" si="28"/>
        <v>0.2</v>
      </c>
      <c r="P31" s="2">
        <f t="shared" si="29"/>
        <v>0.18</v>
      </c>
      <c r="Q31" s="2">
        <f t="shared" si="30"/>
        <v>0.2</v>
      </c>
      <c r="R31" s="2">
        <f t="shared" si="31"/>
        <v>0.18</v>
      </c>
      <c r="S31" s="2">
        <f t="shared" si="32"/>
        <v>0.2</v>
      </c>
      <c r="T31" s="2">
        <f t="shared" si="6"/>
        <v>0.18</v>
      </c>
      <c r="U31" s="2">
        <f t="shared" si="7"/>
        <v>0.2</v>
      </c>
      <c r="V31" s="2">
        <f t="shared" si="8"/>
        <v>0.18</v>
      </c>
      <c r="W31" s="2">
        <f t="shared" si="9"/>
        <v>0.2</v>
      </c>
      <c r="X31" s="2">
        <f t="shared" si="10"/>
        <v>0.18</v>
      </c>
      <c r="Y31" s="2">
        <f t="shared" si="11"/>
        <v>0.2</v>
      </c>
      <c r="Z31" s="2">
        <f t="shared" si="12"/>
        <v>0.18</v>
      </c>
      <c r="AA31" s="2">
        <f t="shared" si="13"/>
        <v>0.2</v>
      </c>
      <c r="AB31" s="2">
        <f t="shared" si="14"/>
        <v>0.18</v>
      </c>
      <c r="AC31" s="2">
        <f t="shared" si="15"/>
        <v>0.2</v>
      </c>
      <c r="AD31" s="2">
        <f t="shared" si="16"/>
        <v>0.18</v>
      </c>
      <c r="AE31" s="2">
        <f t="shared" si="17"/>
        <v>0.2</v>
      </c>
      <c r="AF31" s="2">
        <f t="shared" si="18"/>
        <v>0.18</v>
      </c>
      <c r="AG31" s="2">
        <f t="shared" si="19"/>
        <v>0.2</v>
      </c>
      <c r="AH31" s="2">
        <f t="shared" si="20"/>
        <v>0.18</v>
      </c>
    </row>
    <row r="32" spans="1:34">
      <c r="A32" t="str">
        <f t="shared" si="33"/>
        <v>Maize</v>
      </c>
      <c r="B32" t="str">
        <f t="shared" si="34"/>
        <v>Oromia</v>
      </c>
      <c r="C32" s="2">
        <v>0.2</v>
      </c>
      <c r="D32" s="2">
        <v>0.18</v>
      </c>
      <c r="E32" s="2">
        <f t="shared" si="3"/>
        <v>0.2</v>
      </c>
      <c r="F32" s="2">
        <f t="shared" si="4"/>
        <v>0.18</v>
      </c>
      <c r="G32" s="2">
        <f t="shared" si="5"/>
        <v>0.2</v>
      </c>
      <c r="H32" s="2">
        <f t="shared" si="21"/>
        <v>0.18</v>
      </c>
      <c r="I32" s="2">
        <f t="shared" si="22"/>
        <v>0.2</v>
      </c>
      <c r="J32" s="2">
        <f t="shared" si="23"/>
        <v>0.18</v>
      </c>
      <c r="K32" s="2">
        <f t="shared" si="24"/>
        <v>0.2</v>
      </c>
      <c r="L32" s="2">
        <f t="shared" si="25"/>
        <v>0.18</v>
      </c>
      <c r="M32" s="2">
        <f t="shared" si="26"/>
        <v>0.2</v>
      </c>
      <c r="N32" s="2">
        <f t="shared" si="27"/>
        <v>0.18</v>
      </c>
      <c r="O32" s="2">
        <f t="shared" si="28"/>
        <v>0.2</v>
      </c>
      <c r="P32" s="2">
        <f t="shared" si="29"/>
        <v>0.18</v>
      </c>
      <c r="Q32" s="2">
        <f t="shared" si="30"/>
        <v>0.2</v>
      </c>
      <c r="R32" s="2">
        <f t="shared" si="31"/>
        <v>0.18</v>
      </c>
      <c r="S32" s="2">
        <f t="shared" si="32"/>
        <v>0.2</v>
      </c>
      <c r="T32" s="2">
        <f t="shared" si="6"/>
        <v>0.18</v>
      </c>
      <c r="U32" s="2">
        <f t="shared" si="7"/>
        <v>0.2</v>
      </c>
      <c r="V32" s="2">
        <f t="shared" si="8"/>
        <v>0.18</v>
      </c>
      <c r="W32" s="2">
        <f t="shared" si="9"/>
        <v>0.2</v>
      </c>
      <c r="X32" s="2">
        <f t="shared" si="10"/>
        <v>0.18</v>
      </c>
      <c r="Y32" s="2">
        <f t="shared" si="11"/>
        <v>0.2</v>
      </c>
      <c r="Z32" s="2">
        <f t="shared" si="12"/>
        <v>0.18</v>
      </c>
      <c r="AA32" s="2">
        <f t="shared" si="13"/>
        <v>0.2</v>
      </c>
      <c r="AB32" s="2">
        <f t="shared" si="14"/>
        <v>0.18</v>
      </c>
      <c r="AC32" s="2">
        <f t="shared" si="15"/>
        <v>0.2</v>
      </c>
      <c r="AD32" s="2">
        <f t="shared" si="16"/>
        <v>0.18</v>
      </c>
      <c r="AE32" s="2">
        <f t="shared" si="17"/>
        <v>0.2</v>
      </c>
      <c r="AF32" s="2">
        <f t="shared" si="18"/>
        <v>0.18</v>
      </c>
      <c r="AG32" s="2">
        <f t="shared" si="19"/>
        <v>0.2</v>
      </c>
      <c r="AH32" s="2">
        <f t="shared" si="20"/>
        <v>0.18</v>
      </c>
    </row>
    <row r="33" spans="1:34">
      <c r="A33" t="str">
        <f t="shared" si="33"/>
        <v>Maize</v>
      </c>
      <c r="B33" t="str">
        <f t="shared" si="34"/>
        <v>Somali</v>
      </c>
      <c r="C33" s="2">
        <v>0.2</v>
      </c>
      <c r="D33" s="2">
        <v>0.18</v>
      </c>
      <c r="E33" s="2">
        <f t="shared" si="3"/>
        <v>0.2</v>
      </c>
      <c r="F33" s="2">
        <f t="shared" si="4"/>
        <v>0.18</v>
      </c>
      <c r="G33" s="2">
        <f t="shared" si="5"/>
        <v>0.2</v>
      </c>
      <c r="H33" s="2">
        <f t="shared" si="21"/>
        <v>0.18</v>
      </c>
      <c r="I33" s="2">
        <f t="shared" si="22"/>
        <v>0.2</v>
      </c>
      <c r="J33" s="2">
        <f t="shared" si="23"/>
        <v>0.18</v>
      </c>
      <c r="K33" s="2">
        <f t="shared" si="24"/>
        <v>0.2</v>
      </c>
      <c r="L33" s="2">
        <f t="shared" si="25"/>
        <v>0.18</v>
      </c>
      <c r="M33" s="2">
        <f t="shared" si="26"/>
        <v>0.2</v>
      </c>
      <c r="N33" s="2">
        <f t="shared" si="27"/>
        <v>0.18</v>
      </c>
      <c r="O33" s="2">
        <f t="shared" si="28"/>
        <v>0.2</v>
      </c>
      <c r="P33" s="2">
        <f t="shared" si="29"/>
        <v>0.18</v>
      </c>
      <c r="Q33" s="2">
        <f t="shared" si="30"/>
        <v>0.2</v>
      </c>
      <c r="R33" s="2">
        <f t="shared" si="31"/>
        <v>0.18</v>
      </c>
      <c r="S33" s="2">
        <f t="shared" si="32"/>
        <v>0.2</v>
      </c>
      <c r="T33" s="2">
        <f t="shared" si="6"/>
        <v>0.18</v>
      </c>
      <c r="U33" s="2">
        <f t="shared" si="7"/>
        <v>0.2</v>
      </c>
      <c r="V33" s="2">
        <f t="shared" si="8"/>
        <v>0.18</v>
      </c>
      <c r="W33" s="2">
        <f t="shared" si="9"/>
        <v>0.2</v>
      </c>
      <c r="X33" s="2">
        <f t="shared" si="10"/>
        <v>0.18</v>
      </c>
      <c r="Y33" s="2">
        <f t="shared" si="11"/>
        <v>0.2</v>
      </c>
      <c r="Z33" s="2">
        <f t="shared" si="12"/>
        <v>0.18</v>
      </c>
      <c r="AA33" s="2">
        <f t="shared" si="13"/>
        <v>0.2</v>
      </c>
      <c r="AB33" s="2">
        <f t="shared" si="14"/>
        <v>0.18</v>
      </c>
      <c r="AC33" s="2">
        <f t="shared" si="15"/>
        <v>0.2</v>
      </c>
      <c r="AD33" s="2">
        <f t="shared" si="16"/>
        <v>0.18</v>
      </c>
      <c r="AE33" s="2">
        <f t="shared" si="17"/>
        <v>0.2</v>
      </c>
      <c r="AF33" s="2">
        <f t="shared" si="18"/>
        <v>0.18</v>
      </c>
      <c r="AG33" s="2">
        <f t="shared" si="19"/>
        <v>0.2</v>
      </c>
      <c r="AH33" s="2">
        <f t="shared" si="20"/>
        <v>0.18</v>
      </c>
    </row>
    <row r="34" spans="1:34">
      <c r="A34" t="str">
        <f t="shared" si="33"/>
        <v>Maize</v>
      </c>
      <c r="B34" t="str">
        <f t="shared" si="34"/>
        <v>SNNPR</v>
      </c>
      <c r="C34" s="2">
        <v>0.2</v>
      </c>
      <c r="D34" s="2">
        <v>0.18</v>
      </c>
      <c r="E34" s="2">
        <f t="shared" si="3"/>
        <v>0.2</v>
      </c>
      <c r="F34" s="2">
        <f t="shared" si="4"/>
        <v>0.18</v>
      </c>
      <c r="G34" s="2">
        <f t="shared" si="5"/>
        <v>0.2</v>
      </c>
      <c r="H34" s="2">
        <f t="shared" si="21"/>
        <v>0.18</v>
      </c>
      <c r="I34" s="2">
        <f t="shared" si="22"/>
        <v>0.2</v>
      </c>
      <c r="J34" s="2">
        <f t="shared" si="23"/>
        <v>0.18</v>
      </c>
      <c r="K34" s="2">
        <f t="shared" si="24"/>
        <v>0.2</v>
      </c>
      <c r="L34" s="2">
        <f t="shared" si="25"/>
        <v>0.18</v>
      </c>
      <c r="M34" s="2">
        <f t="shared" si="26"/>
        <v>0.2</v>
      </c>
      <c r="N34" s="2">
        <f t="shared" si="27"/>
        <v>0.18</v>
      </c>
      <c r="O34" s="2">
        <f t="shared" si="28"/>
        <v>0.2</v>
      </c>
      <c r="P34" s="2">
        <f t="shared" si="29"/>
        <v>0.18</v>
      </c>
      <c r="Q34" s="2">
        <f t="shared" si="30"/>
        <v>0.2</v>
      </c>
      <c r="R34" s="2">
        <f t="shared" si="31"/>
        <v>0.18</v>
      </c>
      <c r="S34" s="2">
        <f t="shared" si="32"/>
        <v>0.2</v>
      </c>
      <c r="T34" s="2">
        <f t="shared" si="6"/>
        <v>0.18</v>
      </c>
      <c r="U34" s="2">
        <f t="shared" si="7"/>
        <v>0.2</v>
      </c>
      <c r="V34" s="2">
        <f t="shared" si="8"/>
        <v>0.18</v>
      </c>
      <c r="W34" s="2">
        <f t="shared" si="9"/>
        <v>0.2</v>
      </c>
      <c r="X34" s="2">
        <f t="shared" si="10"/>
        <v>0.18</v>
      </c>
      <c r="Y34" s="2">
        <f t="shared" si="11"/>
        <v>0.2</v>
      </c>
      <c r="Z34" s="2">
        <f t="shared" si="12"/>
        <v>0.18</v>
      </c>
      <c r="AA34" s="2">
        <f t="shared" si="13"/>
        <v>0.2</v>
      </c>
      <c r="AB34" s="2">
        <f t="shared" si="14"/>
        <v>0.18</v>
      </c>
      <c r="AC34" s="2">
        <f t="shared" si="15"/>
        <v>0.2</v>
      </c>
      <c r="AD34" s="2">
        <f t="shared" si="16"/>
        <v>0.18</v>
      </c>
      <c r="AE34" s="2">
        <f t="shared" si="17"/>
        <v>0.2</v>
      </c>
      <c r="AF34" s="2">
        <f t="shared" si="18"/>
        <v>0.18</v>
      </c>
      <c r="AG34" s="2">
        <f t="shared" si="19"/>
        <v>0.2</v>
      </c>
      <c r="AH34" s="2">
        <f t="shared" si="20"/>
        <v>0.18</v>
      </c>
    </row>
    <row r="35" spans="1:34">
      <c r="A35" t="str">
        <f t="shared" si="33"/>
        <v>Maize</v>
      </c>
      <c r="B35" t="str">
        <f t="shared" si="34"/>
        <v>Tigray</v>
      </c>
      <c r="C35" s="2">
        <v>0.2</v>
      </c>
      <c r="D35" s="2">
        <v>0.18</v>
      </c>
      <c r="E35" s="2">
        <f t="shared" si="3"/>
        <v>0.2</v>
      </c>
      <c r="F35" s="2">
        <f t="shared" si="4"/>
        <v>0.18</v>
      </c>
      <c r="G35" s="2">
        <f t="shared" si="5"/>
        <v>0.2</v>
      </c>
      <c r="H35" s="2">
        <f t="shared" si="21"/>
        <v>0.18</v>
      </c>
      <c r="I35" s="2">
        <f t="shared" si="22"/>
        <v>0.2</v>
      </c>
      <c r="J35" s="2">
        <f t="shared" si="23"/>
        <v>0.18</v>
      </c>
      <c r="K35" s="2">
        <f t="shared" si="24"/>
        <v>0.2</v>
      </c>
      <c r="L35" s="2">
        <f t="shared" si="25"/>
        <v>0.18</v>
      </c>
      <c r="M35" s="2">
        <f t="shared" si="26"/>
        <v>0.2</v>
      </c>
      <c r="N35" s="2">
        <f t="shared" si="27"/>
        <v>0.18</v>
      </c>
      <c r="O35" s="2">
        <f t="shared" si="28"/>
        <v>0.2</v>
      </c>
      <c r="P35" s="2">
        <f t="shared" si="29"/>
        <v>0.18</v>
      </c>
      <c r="Q35" s="2">
        <f t="shared" si="30"/>
        <v>0.2</v>
      </c>
      <c r="R35" s="2">
        <f t="shared" si="31"/>
        <v>0.18</v>
      </c>
      <c r="S35" s="2">
        <f t="shared" si="32"/>
        <v>0.2</v>
      </c>
      <c r="T35" s="2">
        <f t="shared" si="6"/>
        <v>0.18</v>
      </c>
      <c r="U35" s="2">
        <f t="shared" si="7"/>
        <v>0.2</v>
      </c>
      <c r="V35" s="2">
        <f t="shared" si="8"/>
        <v>0.18</v>
      </c>
      <c r="W35" s="2">
        <f t="shared" si="9"/>
        <v>0.2</v>
      </c>
      <c r="X35" s="2">
        <f t="shared" si="10"/>
        <v>0.18</v>
      </c>
      <c r="Y35" s="2">
        <f t="shared" si="11"/>
        <v>0.2</v>
      </c>
      <c r="Z35" s="2">
        <f t="shared" si="12"/>
        <v>0.18</v>
      </c>
      <c r="AA35" s="2">
        <f t="shared" si="13"/>
        <v>0.2</v>
      </c>
      <c r="AB35" s="2">
        <f t="shared" si="14"/>
        <v>0.18</v>
      </c>
      <c r="AC35" s="2">
        <f t="shared" si="15"/>
        <v>0.2</v>
      </c>
      <c r="AD35" s="2">
        <f t="shared" si="16"/>
        <v>0.18</v>
      </c>
      <c r="AE35" s="2">
        <f t="shared" si="17"/>
        <v>0.2</v>
      </c>
      <c r="AF35" s="2">
        <f t="shared" si="18"/>
        <v>0.18</v>
      </c>
      <c r="AG35" s="2">
        <f t="shared" si="19"/>
        <v>0.2</v>
      </c>
      <c r="AH35" s="2">
        <f t="shared" si="20"/>
        <v>0.18</v>
      </c>
    </row>
    <row r="36" spans="1:34">
      <c r="A36" t="str">
        <f t="shared" si="33"/>
        <v>Lentils</v>
      </c>
      <c r="B36" t="str">
        <f t="shared" si="34"/>
        <v>AddisAbaba</v>
      </c>
      <c r="C36" s="2">
        <v>0.2</v>
      </c>
      <c r="D36" s="2">
        <v>0.18</v>
      </c>
      <c r="E36" s="2">
        <f t="shared" si="3"/>
        <v>0.2</v>
      </c>
      <c r="F36" s="2">
        <f t="shared" si="4"/>
        <v>0.18</v>
      </c>
      <c r="G36" s="2">
        <f t="shared" si="5"/>
        <v>0.2</v>
      </c>
      <c r="H36" s="2">
        <f t="shared" si="21"/>
        <v>0.18</v>
      </c>
      <c r="I36" s="2">
        <f t="shared" si="22"/>
        <v>0.2</v>
      </c>
      <c r="J36" s="2">
        <f t="shared" si="23"/>
        <v>0.18</v>
      </c>
      <c r="K36" s="2">
        <f t="shared" si="24"/>
        <v>0.2</v>
      </c>
      <c r="L36" s="2">
        <f t="shared" si="25"/>
        <v>0.18</v>
      </c>
      <c r="M36" s="2">
        <f t="shared" si="26"/>
        <v>0.2</v>
      </c>
      <c r="N36" s="2">
        <f t="shared" si="27"/>
        <v>0.18</v>
      </c>
      <c r="O36" s="2">
        <f t="shared" si="28"/>
        <v>0.2</v>
      </c>
      <c r="P36" s="2">
        <f t="shared" si="29"/>
        <v>0.18</v>
      </c>
      <c r="Q36" s="2">
        <f t="shared" si="30"/>
        <v>0.2</v>
      </c>
      <c r="R36" s="2">
        <f t="shared" si="31"/>
        <v>0.18</v>
      </c>
      <c r="S36" s="2">
        <f t="shared" si="32"/>
        <v>0.2</v>
      </c>
      <c r="T36" s="2">
        <f t="shared" si="6"/>
        <v>0.18</v>
      </c>
      <c r="U36" s="2">
        <f t="shared" si="7"/>
        <v>0.2</v>
      </c>
      <c r="V36" s="2">
        <f t="shared" si="8"/>
        <v>0.18</v>
      </c>
      <c r="W36" s="2">
        <f t="shared" si="9"/>
        <v>0.2</v>
      </c>
      <c r="X36" s="2">
        <f t="shared" si="10"/>
        <v>0.18</v>
      </c>
      <c r="Y36" s="2">
        <f t="shared" si="11"/>
        <v>0.2</v>
      </c>
      <c r="Z36" s="2">
        <f t="shared" si="12"/>
        <v>0.18</v>
      </c>
      <c r="AA36" s="2">
        <f t="shared" si="13"/>
        <v>0.2</v>
      </c>
      <c r="AB36" s="2">
        <f t="shared" si="14"/>
        <v>0.18</v>
      </c>
      <c r="AC36" s="2">
        <f t="shared" si="15"/>
        <v>0.2</v>
      </c>
      <c r="AD36" s="2">
        <f t="shared" si="16"/>
        <v>0.18</v>
      </c>
      <c r="AE36" s="2">
        <f t="shared" si="17"/>
        <v>0.2</v>
      </c>
      <c r="AF36" s="2">
        <f t="shared" si="18"/>
        <v>0.18</v>
      </c>
      <c r="AG36" s="2">
        <f t="shared" si="19"/>
        <v>0.2</v>
      </c>
      <c r="AH36" s="2">
        <f t="shared" si="20"/>
        <v>0.18</v>
      </c>
    </row>
    <row r="37" spans="1:34">
      <c r="A37" t="str">
        <f t="shared" si="33"/>
        <v>Lentils</v>
      </c>
      <c r="B37" t="str">
        <f t="shared" si="34"/>
        <v>Afar</v>
      </c>
      <c r="C37" s="2">
        <v>0.2</v>
      </c>
      <c r="D37" s="2">
        <v>0.18</v>
      </c>
      <c r="E37" s="2">
        <f t="shared" si="3"/>
        <v>0.2</v>
      </c>
      <c r="F37" s="2">
        <f t="shared" si="4"/>
        <v>0.18</v>
      </c>
      <c r="G37" s="2">
        <f t="shared" si="5"/>
        <v>0.2</v>
      </c>
      <c r="H37" s="2">
        <f t="shared" si="21"/>
        <v>0.18</v>
      </c>
      <c r="I37" s="2">
        <f t="shared" si="22"/>
        <v>0.2</v>
      </c>
      <c r="J37" s="2">
        <f t="shared" si="23"/>
        <v>0.18</v>
      </c>
      <c r="K37" s="2">
        <f t="shared" si="24"/>
        <v>0.2</v>
      </c>
      <c r="L37" s="2">
        <f t="shared" si="25"/>
        <v>0.18</v>
      </c>
      <c r="M37" s="2">
        <f t="shared" si="26"/>
        <v>0.2</v>
      </c>
      <c r="N37" s="2">
        <f t="shared" si="27"/>
        <v>0.18</v>
      </c>
      <c r="O37" s="2">
        <f t="shared" si="28"/>
        <v>0.2</v>
      </c>
      <c r="P37" s="2">
        <f t="shared" si="29"/>
        <v>0.18</v>
      </c>
      <c r="Q37" s="2">
        <f t="shared" si="30"/>
        <v>0.2</v>
      </c>
      <c r="R37" s="2">
        <f t="shared" si="31"/>
        <v>0.18</v>
      </c>
      <c r="S37" s="2">
        <f t="shared" si="32"/>
        <v>0.2</v>
      </c>
      <c r="T37" s="2">
        <f t="shared" si="6"/>
        <v>0.18</v>
      </c>
      <c r="U37" s="2">
        <f t="shared" si="7"/>
        <v>0.2</v>
      </c>
      <c r="V37" s="2">
        <f t="shared" si="8"/>
        <v>0.18</v>
      </c>
      <c r="W37" s="2">
        <f t="shared" si="9"/>
        <v>0.2</v>
      </c>
      <c r="X37" s="2">
        <f t="shared" si="10"/>
        <v>0.18</v>
      </c>
      <c r="Y37" s="2">
        <f t="shared" si="11"/>
        <v>0.2</v>
      </c>
      <c r="Z37" s="2">
        <f t="shared" si="12"/>
        <v>0.18</v>
      </c>
      <c r="AA37" s="2">
        <f t="shared" si="13"/>
        <v>0.2</v>
      </c>
      <c r="AB37" s="2">
        <f t="shared" si="14"/>
        <v>0.18</v>
      </c>
      <c r="AC37" s="2">
        <f t="shared" si="15"/>
        <v>0.2</v>
      </c>
      <c r="AD37" s="2">
        <f t="shared" si="16"/>
        <v>0.18</v>
      </c>
      <c r="AE37" s="2">
        <f t="shared" si="17"/>
        <v>0.2</v>
      </c>
      <c r="AF37" s="2">
        <f t="shared" si="18"/>
        <v>0.18</v>
      </c>
      <c r="AG37" s="2">
        <f t="shared" si="19"/>
        <v>0.2</v>
      </c>
      <c r="AH37" s="2">
        <f t="shared" si="20"/>
        <v>0.18</v>
      </c>
    </row>
    <row r="38" spans="1:34">
      <c r="A38" t="str">
        <f t="shared" si="33"/>
        <v>Lentils</v>
      </c>
      <c r="B38" t="str">
        <f t="shared" si="34"/>
        <v>Amhara</v>
      </c>
      <c r="C38" s="2">
        <v>0.2</v>
      </c>
      <c r="D38" s="2">
        <v>0.18</v>
      </c>
      <c r="E38" s="2">
        <f t="shared" si="3"/>
        <v>0.2</v>
      </c>
      <c r="F38" s="2">
        <f t="shared" si="4"/>
        <v>0.18</v>
      </c>
      <c r="G38" s="2">
        <f t="shared" si="5"/>
        <v>0.2</v>
      </c>
      <c r="H38" s="2">
        <f t="shared" si="21"/>
        <v>0.18</v>
      </c>
      <c r="I38" s="2">
        <f t="shared" si="22"/>
        <v>0.2</v>
      </c>
      <c r="J38" s="2">
        <f t="shared" si="23"/>
        <v>0.18</v>
      </c>
      <c r="K38" s="2">
        <f t="shared" si="24"/>
        <v>0.2</v>
      </c>
      <c r="L38" s="2">
        <f t="shared" si="25"/>
        <v>0.18</v>
      </c>
      <c r="M38" s="2">
        <f t="shared" si="26"/>
        <v>0.2</v>
      </c>
      <c r="N38" s="2">
        <f t="shared" si="27"/>
        <v>0.18</v>
      </c>
      <c r="O38" s="2">
        <f t="shared" si="28"/>
        <v>0.2</v>
      </c>
      <c r="P38" s="2">
        <f t="shared" si="29"/>
        <v>0.18</v>
      </c>
      <c r="Q38" s="2">
        <f t="shared" si="30"/>
        <v>0.2</v>
      </c>
      <c r="R38" s="2">
        <f t="shared" si="31"/>
        <v>0.18</v>
      </c>
      <c r="S38" s="2">
        <f t="shared" si="32"/>
        <v>0.2</v>
      </c>
      <c r="T38" s="2">
        <f t="shared" si="6"/>
        <v>0.18</v>
      </c>
      <c r="U38" s="2">
        <f t="shared" si="7"/>
        <v>0.2</v>
      </c>
      <c r="V38" s="2">
        <f t="shared" si="8"/>
        <v>0.18</v>
      </c>
      <c r="W38" s="2">
        <f t="shared" si="9"/>
        <v>0.2</v>
      </c>
      <c r="X38" s="2">
        <f t="shared" si="10"/>
        <v>0.18</v>
      </c>
      <c r="Y38" s="2">
        <f t="shared" si="11"/>
        <v>0.2</v>
      </c>
      <c r="Z38" s="2">
        <f t="shared" si="12"/>
        <v>0.18</v>
      </c>
      <c r="AA38" s="2">
        <f t="shared" si="13"/>
        <v>0.2</v>
      </c>
      <c r="AB38" s="2">
        <f t="shared" si="14"/>
        <v>0.18</v>
      </c>
      <c r="AC38" s="2">
        <f t="shared" si="15"/>
        <v>0.2</v>
      </c>
      <c r="AD38" s="2">
        <f t="shared" si="16"/>
        <v>0.18</v>
      </c>
      <c r="AE38" s="2">
        <f t="shared" si="17"/>
        <v>0.2</v>
      </c>
      <c r="AF38" s="2">
        <f t="shared" si="18"/>
        <v>0.18</v>
      </c>
      <c r="AG38" s="2">
        <f t="shared" si="19"/>
        <v>0.2</v>
      </c>
      <c r="AH38" s="2">
        <f t="shared" si="20"/>
        <v>0.18</v>
      </c>
    </row>
    <row r="39" spans="1:34">
      <c r="A39" t="str">
        <f t="shared" si="33"/>
        <v>Lentils</v>
      </c>
      <c r="B39" t="str">
        <f t="shared" si="34"/>
        <v>Gumuz</v>
      </c>
      <c r="C39" s="2">
        <v>0.2</v>
      </c>
      <c r="D39" s="2">
        <v>0.18</v>
      </c>
      <c r="E39" s="2">
        <f t="shared" si="3"/>
        <v>0.2</v>
      </c>
      <c r="F39" s="2">
        <f t="shared" si="4"/>
        <v>0.18</v>
      </c>
      <c r="G39" s="2">
        <f t="shared" si="5"/>
        <v>0.2</v>
      </c>
      <c r="H39" s="2">
        <f t="shared" si="21"/>
        <v>0.18</v>
      </c>
      <c r="I39" s="2">
        <f t="shared" si="22"/>
        <v>0.2</v>
      </c>
      <c r="J39" s="2">
        <f t="shared" si="23"/>
        <v>0.18</v>
      </c>
      <c r="K39" s="2">
        <f t="shared" si="24"/>
        <v>0.2</v>
      </c>
      <c r="L39" s="2">
        <f t="shared" si="25"/>
        <v>0.18</v>
      </c>
      <c r="M39" s="2">
        <f t="shared" si="26"/>
        <v>0.2</v>
      </c>
      <c r="N39" s="2">
        <f t="shared" si="27"/>
        <v>0.18</v>
      </c>
      <c r="O39" s="2">
        <f t="shared" si="28"/>
        <v>0.2</v>
      </c>
      <c r="P39" s="2">
        <f t="shared" si="29"/>
        <v>0.18</v>
      </c>
      <c r="Q39" s="2">
        <f t="shared" si="30"/>
        <v>0.2</v>
      </c>
      <c r="R39" s="2">
        <f t="shared" si="31"/>
        <v>0.18</v>
      </c>
      <c r="S39" s="2">
        <f t="shared" si="32"/>
        <v>0.2</v>
      </c>
      <c r="T39" s="2">
        <f t="shared" si="6"/>
        <v>0.18</v>
      </c>
      <c r="U39" s="2">
        <f t="shared" si="7"/>
        <v>0.2</v>
      </c>
      <c r="V39" s="2">
        <f t="shared" si="8"/>
        <v>0.18</v>
      </c>
      <c r="W39" s="2">
        <f t="shared" si="9"/>
        <v>0.2</v>
      </c>
      <c r="X39" s="2">
        <f t="shared" si="10"/>
        <v>0.18</v>
      </c>
      <c r="Y39" s="2">
        <f t="shared" si="11"/>
        <v>0.2</v>
      </c>
      <c r="Z39" s="2">
        <f t="shared" si="12"/>
        <v>0.18</v>
      </c>
      <c r="AA39" s="2">
        <f t="shared" si="13"/>
        <v>0.2</v>
      </c>
      <c r="AB39" s="2">
        <f t="shared" si="14"/>
        <v>0.18</v>
      </c>
      <c r="AC39" s="2">
        <f t="shared" si="15"/>
        <v>0.2</v>
      </c>
      <c r="AD39" s="2">
        <f t="shared" si="16"/>
        <v>0.18</v>
      </c>
      <c r="AE39" s="2">
        <f t="shared" si="17"/>
        <v>0.2</v>
      </c>
      <c r="AF39" s="2">
        <f t="shared" si="18"/>
        <v>0.18</v>
      </c>
      <c r="AG39" s="2">
        <f t="shared" si="19"/>
        <v>0.2</v>
      </c>
      <c r="AH39" s="2">
        <f t="shared" si="20"/>
        <v>0.18</v>
      </c>
    </row>
    <row r="40" spans="1:34">
      <c r="A40" t="str">
        <f t="shared" si="33"/>
        <v>Lentils</v>
      </c>
      <c r="B40" t="str">
        <f t="shared" si="34"/>
        <v>DireDawa</v>
      </c>
      <c r="C40" s="2">
        <v>0.2</v>
      </c>
      <c r="D40" s="2">
        <v>0.18</v>
      </c>
      <c r="E40" s="2">
        <f t="shared" si="3"/>
        <v>0.2</v>
      </c>
      <c r="F40" s="2">
        <f t="shared" si="4"/>
        <v>0.18</v>
      </c>
      <c r="G40" s="2">
        <f t="shared" si="5"/>
        <v>0.2</v>
      </c>
      <c r="H40" s="2">
        <f t="shared" si="21"/>
        <v>0.18</v>
      </c>
      <c r="I40" s="2">
        <f t="shared" si="22"/>
        <v>0.2</v>
      </c>
      <c r="J40" s="2">
        <f t="shared" si="23"/>
        <v>0.18</v>
      </c>
      <c r="K40" s="2">
        <f t="shared" si="24"/>
        <v>0.2</v>
      </c>
      <c r="L40" s="2">
        <f t="shared" si="25"/>
        <v>0.18</v>
      </c>
      <c r="M40" s="2">
        <f t="shared" si="26"/>
        <v>0.2</v>
      </c>
      <c r="N40" s="2">
        <f t="shared" si="27"/>
        <v>0.18</v>
      </c>
      <c r="O40" s="2">
        <f t="shared" si="28"/>
        <v>0.2</v>
      </c>
      <c r="P40" s="2">
        <f t="shared" si="29"/>
        <v>0.18</v>
      </c>
      <c r="Q40" s="2">
        <f t="shared" si="30"/>
        <v>0.2</v>
      </c>
      <c r="R40" s="2">
        <f t="shared" si="31"/>
        <v>0.18</v>
      </c>
      <c r="S40" s="2">
        <f t="shared" si="32"/>
        <v>0.2</v>
      </c>
      <c r="T40" s="2">
        <f t="shared" si="6"/>
        <v>0.18</v>
      </c>
      <c r="U40" s="2">
        <f t="shared" si="7"/>
        <v>0.2</v>
      </c>
      <c r="V40" s="2">
        <f t="shared" si="8"/>
        <v>0.18</v>
      </c>
      <c r="W40" s="2">
        <f t="shared" si="9"/>
        <v>0.2</v>
      </c>
      <c r="X40" s="2">
        <f t="shared" si="10"/>
        <v>0.18</v>
      </c>
      <c r="Y40" s="2">
        <f t="shared" si="11"/>
        <v>0.2</v>
      </c>
      <c r="Z40" s="2">
        <f t="shared" si="12"/>
        <v>0.18</v>
      </c>
      <c r="AA40" s="2">
        <f t="shared" si="13"/>
        <v>0.2</v>
      </c>
      <c r="AB40" s="2">
        <f t="shared" si="14"/>
        <v>0.18</v>
      </c>
      <c r="AC40" s="2">
        <f t="shared" si="15"/>
        <v>0.2</v>
      </c>
      <c r="AD40" s="2">
        <f t="shared" si="16"/>
        <v>0.18</v>
      </c>
      <c r="AE40" s="2">
        <f t="shared" si="17"/>
        <v>0.2</v>
      </c>
      <c r="AF40" s="2">
        <f t="shared" si="18"/>
        <v>0.18</v>
      </c>
      <c r="AG40" s="2">
        <f t="shared" si="19"/>
        <v>0.2</v>
      </c>
      <c r="AH40" s="2">
        <f t="shared" si="20"/>
        <v>0.18</v>
      </c>
    </row>
    <row r="41" spans="1:34">
      <c r="A41" t="str">
        <f t="shared" si="33"/>
        <v>Lentils</v>
      </c>
      <c r="B41" t="str">
        <f t="shared" si="34"/>
        <v>Gambela</v>
      </c>
      <c r="C41" s="2">
        <v>0.2</v>
      </c>
      <c r="D41" s="2">
        <v>0.18</v>
      </c>
      <c r="E41" s="2">
        <f t="shared" si="3"/>
        <v>0.2</v>
      </c>
      <c r="F41" s="2">
        <f t="shared" si="4"/>
        <v>0.18</v>
      </c>
      <c r="G41" s="2">
        <f t="shared" si="5"/>
        <v>0.2</v>
      </c>
      <c r="H41" s="2">
        <f t="shared" si="21"/>
        <v>0.18</v>
      </c>
      <c r="I41" s="2">
        <f t="shared" si="22"/>
        <v>0.2</v>
      </c>
      <c r="J41" s="2">
        <f t="shared" si="23"/>
        <v>0.18</v>
      </c>
      <c r="K41" s="2">
        <f t="shared" si="24"/>
        <v>0.2</v>
      </c>
      <c r="L41" s="2">
        <f t="shared" si="25"/>
        <v>0.18</v>
      </c>
      <c r="M41" s="2">
        <f t="shared" si="26"/>
        <v>0.2</v>
      </c>
      <c r="N41" s="2">
        <f t="shared" si="27"/>
        <v>0.18</v>
      </c>
      <c r="O41" s="2">
        <f t="shared" si="28"/>
        <v>0.2</v>
      </c>
      <c r="P41" s="2">
        <f t="shared" si="29"/>
        <v>0.18</v>
      </c>
      <c r="Q41" s="2">
        <f t="shared" si="30"/>
        <v>0.2</v>
      </c>
      <c r="R41" s="2">
        <f t="shared" si="31"/>
        <v>0.18</v>
      </c>
      <c r="S41" s="2">
        <f t="shared" si="32"/>
        <v>0.2</v>
      </c>
      <c r="T41" s="2">
        <f t="shared" si="6"/>
        <v>0.18</v>
      </c>
      <c r="U41" s="2">
        <f t="shared" si="7"/>
        <v>0.2</v>
      </c>
      <c r="V41" s="2">
        <f t="shared" si="8"/>
        <v>0.18</v>
      </c>
      <c r="W41" s="2">
        <f t="shared" si="9"/>
        <v>0.2</v>
      </c>
      <c r="X41" s="2">
        <f t="shared" si="10"/>
        <v>0.18</v>
      </c>
      <c r="Y41" s="2">
        <f t="shared" si="11"/>
        <v>0.2</v>
      </c>
      <c r="Z41" s="2">
        <f t="shared" si="12"/>
        <v>0.18</v>
      </c>
      <c r="AA41" s="2">
        <f t="shared" si="13"/>
        <v>0.2</v>
      </c>
      <c r="AB41" s="2">
        <f t="shared" si="14"/>
        <v>0.18</v>
      </c>
      <c r="AC41" s="2">
        <f t="shared" si="15"/>
        <v>0.2</v>
      </c>
      <c r="AD41" s="2">
        <f t="shared" si="16"/>
        <v>0.18</v>
      </c>
      <c r="AE41" s="2">
        <f t="shared" si="17"/>
        <v>0.2</v>
      </c>
      <c r="AF41" s="2">
        <f t="shared" si="18"/>
        <v>0.18</v>
      </c>
      <c r="AG41" s="2">
        <f t="shared" si="19"/>
        <v>0.2</v>
      </c>
      <c r="AH41" s="2">
        <f t="shared" si="20"/>
        <v>0.18</v>
      </c>
    </row>
    <row r="42" spans="1:34">
      <c r="A42" t="str">
        <f t="shared" si="33"/>
        <v>Lentils</v>
      </c>
      <c r="B42" t="str">
        <f t="shared" si="34"/>
        <v>Harari</v>
      </c>
      <c r="C42" s="2">
        <v>0.2</v>
      </c>
      <c r="D42" s="2">
        <v>0.18</v>
      </c>
      <c r="E42" s="2">
        <f t="shared" si="3"/>
        <v>0.2</v>
      </c>
      <c r="F42" s="2">
        <f t="shared" si="4"/>
        <v>0.18</v>
      </c>
      <c r="G42" s="2">
        <f t="shared" si="5"/>
        <v>0.2</v>
      </c>
      <c r="H42" s="2">
        <f t="shared" si="21"/>
        <v>0.18</v>
      </c>
      <c r="I42" s="2">
        <f t="shared" si="22"/>
        <v>0.2</v>
      </c>
      <c r="J42" s="2">
        <f t="shared" si="23"/>
        <v>0.18</v>
      </c>
      <c r="K42" s="2">
        <f t="shared" si="24"/>
        <v>0.2</v>
      </c>
      <c r="L42" s="2">
        <f t="shared" si="25"/>
        <v>0.18</v>
      </c>
      <c r="M42" s="2">
        <f t="shared" si="26"/>
        <v>0.2</v>
      </c>
      <c r="N42" s="2">
        <f t="shared" si="27"/>
        <v>0.18</v>
      </c>
      <c r="O42" s="2">
        <f t="shared" si="28"/>
        <v>0.2</v>
      </c>
      <c r="P42" s="2">
        <f t="shared" si="29"/>
        <v>0.18</v>
      </c>
      <c r="Q42" s="2">
        <f t="shared" si="30"/>
        <v>0.2</v>
      </c>
      <c r="R42" s="2">
        <f t="shared" si="31"/>
        <v>0.18</v>
      </c>
      <c r="S42" s="2">
        <f t="shared" si="32"/>
        <v>0.2</v>
      </c>
      <c r="T42" s="2">
        <f t="shared" si="6"/>
        <v>0.18</v>
      </c>
      <c r="U42" s="2">
        <f t="shared" si="7"/>
        <v>0.2</v>
      </c>
      <c r="V42" s="2">
        <f t="shared" si="8"/>
        <v>0.18</v>
      </c>
      <c r="W42" s="2">
        <f t="shared" si="9"/>
        <v>0.2</v>
      </c>
      <c r="X42" s="2">
        <f t="shared" si="10"/>
        <v>0.18</v>
      </c>
      <c r="Y42" s="2">
        <f t="shared" si="11"/>
        <v>0.2</v>
      </c>
      <c r="Z42" s="2">
        <f t="shared" si="12"/>
        <v>0.18</v>
      </c>
      <c r="AA42" s="2">
        <f t="shared" si="13"/>
        <v>0.2</v>
      </c>
      <c r="AB42" s="2">
        <f t="shared" si="14"/>
        <v>0.18</v>
      </c>
      <c r="AC42" s="2">
        <f t="shared" si="15"/>
        <v>0.2</v>
      </c>
      <c r="AD42" s="2">
        <f t="shared" si="16"/>
        <v>0.18</v>
      </c>
      <c r="AE42" s="2">
        <f t="shared" si="17"/>
        <v>0.2</v>
      </c>
      <c r="AF42" s="2">
        <f t="shared" si="18"/>
        <v>0.18</v>
      </c>
      <c r="AG42" s="2">
        <f t="shared" si="19"/>
        <v>0.2</v>
      </c>
      <c r="AH42" s="2">
        <f t="shared" si="20"/>
        <v>0.18</v>
      </c>
    </row>
    <row r="43" spans="1:34">
      <c r="A43" t="str">
        <f t="shared" si="33"/>
        <v>Lentils</v>
      </c>
      <c r="B43" t="str">
        <f t="shared" si="34"/>
        <v>Oromia</v>
      </c>
      <c r="C43" s="2">
        <v>0.2</v>
      </c>
      <c r="D43" s="2">
        <v>0.18</v>
      </c>
      <c r="E43" s="2">
        <f t="shared" si="3"/>
        <v>0.2</v>
      </c>
      <c r="F43" s="2">
        <f t="shared" si="4"/>
        <v>0.18</v>
      </c>
      <c r="G43" s="2">
        <f t="shared" si="5"/>
        <v>0.2</v>
      </c>
      <c r="H43" s="2">
        <f t="shared" si="21"/>
        <v>0.18</v>
      </c>
      <c r="I43" s="2">
        <f t="shared" si="22"/>
        <v>0.2</v>
      </c>
      <c r="J43" s="2">
        <f t="shared" si="23"/>
        <v>0.18</v>
      </c>
      <c r="K43" s="2">
        <f t="shared" si="24"/>
        <v>0.2</v>
      </c>
      <c r="L43" s="2">
        <f t="shared" si="25"/>
        <v>0.18</v>
      </c>
      <c r="M43" s="2">
        <f t="shared" si="26"/>
        <v>0.2</v>
      </c>
      <c r="N43" s="2">
        <f t="shared" si="27"/>
        <v>0.18</v>
      </c>
      <c r="O43" s="2">
        <f t="shared" si="28"/>
        <v>0.2</v>
      </c>
      <c r="P43" s="2">
        <f t="shared" si="29"/>
        <v>0.18</v>
      </c>
      <c r="Q43" s="2">
        <f t="shared" si="30"/>
        <v>0.2</v>
      </c>
      <c r="R43" s="2">
        <f t="shared" si="31"/>
        <v>0.18</v>
      </c>
      <c r="S43" s="2">
        <f t="shared" si="32"/>
        <v>0.2</v>
      </c>
      <c r="T43" s="2">
        <f t="shared" si="6"/>
        <v>0.18</v>
      </c>
      <c r="U43" s="2">
        <f t="shared" si="7"/>
        <v>0.2</v>
      </c>
      <c r="V43" s="2">
        <f t="shared" si="8"/>
        <v>0.18</v>
      </c>
      <c r="W43" s="2">
        <f t="shared" si="9"/>
        <v>0.2</v>
      </c>
      <c r="X43" s="2">
        <f t="shared" si="10"/>
        <v>0.18</v>
      </c>
      <c r="Y43" s="2">
        <f t="shared" si="11"/>
        <v>0.2</v>
      </c>
      <c r="Z43" s="2">
        <f t="shared" si="12"/>
        <v>0.18</v>
      </c>
      <c r="AA43" s="2">
        <f t="shared" si="13"/>
        <v>0.2</v>
      </c>
      <c r="AB43" s="2">
        <f t="shared" si="14"/>
        <v>0.18</v>
      </c>
      <c r="AC43" s="2">
        <f t="shared" si="15"/>
        <v>0.2</v>
      </c>
      <c r="AD43" s="2">
        <f t="shared" si="16"/>
        <v>0.18</v>
      </c>
      <c r="AE43" s="2">
        <f t="shared" si="17"/>
        <v>0.2</v>
      </c>
      <c r="AF43" s="2">
        <f t="shared" si="18"/>
        <v>0.18</v>
      </c>
      <c r="AG43" s="2">
        <f t="shared" si="19"/>
        <v>0.2</v>
      </c>
      <c r="AH43" s="2">
        <f t="shared" si="20"/>
        <v>0.18</v>
      </c>
    </row>
    <row r="44" spans="1:34">
      <c r="A44" t="str">
        <f t="shared" si="33"/>
        <v>Lentils</v>
      </c>
      <c r="B44" t="str">
        <f t="shared" si="34"/>
        <v>Somali</v>
      </c>
      <c r="C44" s="2">
        <v>0.2</v>
      </c>
      <c r="D44" s="2">
        <v>0.18</v>
      </c>
      <c r="E44" s="2">
        <f t="shared" si="3"/>
        <v>0.2</v>
      </c>
      <c r="F44" s="2">
        <f t="shared" si="4"/>
        <v>0.18</v>
      </c>
      <c r="G44" s="2">
        <f t="shared" si="5"/>
        <v>0.2</v>
      </c>
      <c r="H44" s="2">
        <f t="shared" si="21"/>
        <v>0.18</v>
      </c>
      <c r="I44" s="2">
        <f t="shared" si="22"/>
        <v>0.2</v>
      </c>
      <c r="J44" s="2">
        <f t="shared" si="23"/>
        <v>0.18</v>
      </c>
      <c r="K44" s="2">
        <f t="shared" si="24"/>
        <v>0.2</v>
      </c>
      <c r="L44" s="2">
        <f t="shared" si="25"/>
        <v>0.18</v>
      </c>
      <c r="M44" s="2">
        <f t="shared" si="26"/>
        <v>0.2</v>
      </c>
      <c r="N44" s="2">
        <f t="shared" si="27"/>
        <v>0.18</v>
      </c>
      <c r="O44" s="2">
        <f t="shared" si="28"/>
        <v>0.2</v>
      </c>
      <c r="P44" s="2">
        <f t="shared" si="29"/>
        <v>0.18</v>
      </c>
      <c r="Q44" s="2">
        <f t="shared" si="30"/>
        <v>0.2</v>
      </c>
      <c r="R44" s="2">
        <f t="shared" si="31"/>
        <v>0.18</v>
      </c>
      <c r="S44" s="2">
        <f t="shared" si="32"/>
        <v>0.2</v>
      </c>
      <c r="T44" s="2">
        <f t="shared" si="6"/>
        <v>0.18</v>
      </c>
      <c r="U44" s="2">
        <f t="shared" si="7"/>
        <v>0.2</v>
      </c>
      <c r="V44" s="2">
        <f t="shared" si="8"/>
        <v>0.18</v>
      </c>
      <c r="W44" s="2">
        <f t="shared" si="9"/>
        <v>0.2</v>
      </c>
      <c r="X44" s="2">
        <f t="shared" si="10"/>
        <v>0.18</v>
      </c>
      <c r="Y44" s="2">
        <f t="shared" si="11"/>
        <v>0.2</v>
      </c>
      <c r="Z44" s="2">
        <f t="shared" si="12"/>
        <v>0.18</v>
      </c>
      <c r="AA44" s="2">
        <f t="shared" si="13"/>
        <v>0.2</v>
      </c>
      <c r="AB44" s="2">
        <f t="shared" si="14"/>
        <v>0.18</v>
      </c>
      <c r="AC44" s="2">
        <f t="shared" si="15"/>
        <v>0.2</v>
      </c>
      <c r="AD44" s="2">
        <f t="shared" si="16"/>
        <v>0.18</v>
      </c>
      <c r="AE44" s="2">
        <f t="shared" si="17"/>
        <v>0.2</v>
      </c>
      <c r="AF44" s="2">
        <f t="shared" si="18"/>
        <v>0.18</v>
      </c>
      <c r="AG44" s="2">
        <f t="shared" si="19"/>
        <v>0.2</v>
      </c>
      <c r="AH44" s="2">
        <f t="shared" si="20"/>
        <v>0.18</v>
      </c>
    </row>
    <row r="45" spans="1:34">
      <c r="A45" t="str">
        <f t="shared" si="33"/>
        <v>Lentils</v>
      </c>
      <c r="B45" t="str">
        <f t="shared" si="34"/>
        <v>SNNPR</v>
      </c>
      <c r="C45" s="2">
        <v>0.2</v>
      </c>
      <c r="D45" s="2">
        <v>0.18</v>
      </c>
      <c r="E45" s="2">
        <f t="shared" si="3"/>
        <v>0.2</v>
      </c>
      <c r="F45" s="2">
        <f t="shared" si="4"/>
        <v>0.18</v>
      </c>
      <c r="G45" s="2">
        <f t="shared" si="5"/>
        <v>0.2</v>
      </c>
      <c r="H45" s="2">
        <f t="shared" si="21"/>
        <v>0.18</v>
      </c>
      <c r="I45" s="2">
        <f t="shared" si="22"/>
        <v>0.2</v>
      </c>
      <c r="J45" s="2">
        <f t="shared" si="23"/>
        <v>0.18</v>
      </c>
      <c r="K45" s="2">
        <f t="shared" si="24"/>
        <v>0.2</v>
      </c>
      <c r="L45" s="2">
        <f t="shared" si="25"/>
        <v>0.18</v>
      </c>
      <c r="M45" s="2">
        <f t="shared" si="26"/>
        <v>0.2</v>
      </c>
      <c r="N45" s="2">
        <f t="shared" si="27"/>
        <v>0.18</v>
      </c>
      <c r="O45" s="2">
        <f t="shared" si="28"/>
        <v>0.2</v>
      </c>
      <c r="P45" s="2">
        <f t="shared" si="29"/>
        <v>0.18</v>
      </c>
      <c r="Q45" s="2">
        <f t="shared" si="30"/>
        <v>0.2</v>
      </c>
      <c r="R45" s="2">
        <f t="shared" si="31"/>
        <v>0.18</v>
      </c>
      <c r="S45" s="2">
        <f t="shared" si="32"/>
        <v>0.2</v>
      </c>
      <c r="T45" s="2">
        <f t="shared" si="6"/>
        <v>0.18</v>
      </c>
      <c r="U45" s="2">
        <f t="shared" si="7"/>
        <v>0.2</v>
      </c>
      <c r="V45" s="2">
        <f t="shared" si="8"/>
        <v>0.18</v>
      </c>
      <c r="W45" s="2">
        <f t="shared" si="9"/>
        <v>0.2</v>
      </c>
      <c r="X45" s="2">
        <f t="shared" si="10"/>
        <v>0.18</v>
      </c>
      <c r="Y45" s="2">
        <f t="shared" si="11"/>
        <v>0.2</v>
      </c>
      <c r="Z45" s="2">
        <f t="shared" si="12"/>
        <v>0.18</v>
      </c>
      <c r="AA45" s="2">
        <f t="shared" si="13"/>
        <v>0.2</v>
      </c>
      <c r="AB45" s="2">
        <f t="shared" si="14"/>
        <v>0.18</v>
      </c>
      <c r="AC45" s="2">
        <f t="shared" si="15"/>
        <v>0.2</v>
      </c>
      <c r="AD45" s="2">
        <f t="shared" si="16"/>
        <v>0.18</v>
      </c>
      <c r="AE45" s="2">
        <f t="shared" si="17"/>
        <v>0.2</v>
      </c>
      <c r="AF45" s="2">
        <f t="shared" si="18"/>
        <v>0.18</v>
      </c>
      <c r="AG45" s="2">
        <f t="shared" si="19"/>
        <v>0.2</v>
      </c>
      <c r="AH45" s="2">
        <f t="shared" si="20"/>
        <v>0.18</v>
      </c>
    </row>
    <row r="46" spans="1:34">
      <c r="A46" t="str">
        <f t="shared" ref="A46:A68" si="35">INDEX(Food,MATCH(A35,Food,0)+1)</f>
        <v>Lentils</v>
      </c>
      <c r="B46" t="str">
        <f t="shared" si="34"/>
        <v>Tigray</v>
      </c>
      <c r="C46" s="2">
        <v>0.2</v>
      </c>
      <c r="D46" s="2">
        <v>0.18</v>
      </c>
      <c r="E46" s="2">
        <f t="shared" si="3"/>
        <v>0.2</v>
      </c>
      <c r="F46" s="2">
        <f t="shared" si="4"/>
        <v>0.18</v>
      </c>
      <c r="G46" s="2">
        <f t="shared" si="5"/>
        <v>0.2</v>
      </c>
      <c r="H46" s="2">
        <f t="shared" si="21"/>
        <v>0.18</v>
      </c>
      <c r="I46" s="2">
        <f t="shared" si="22"/>
        <v>0.2</v>
      </c>
      <c r="J46" s="2">
        <f t="shared" si="23"/>
        <v>0.18</v>
      </c>
      <c r="K46" s="2">
        <f t="shared" si="24"/>
        <v>0.2</v>
      </c>
      <c r="L46" s="2">
        <f t="shared" si="25"/>
        <v>0.18</v>
      </c>
      <c r="M46" s="2">
        <f t="shared" si="26"/>
        <v>0.2</v>
      </c>
      <c r="N46" s="2">
        <f t="shared" si="27"/>
        <v>0.18</v>
      </c>
      <c r="O46" s="2">
        <f t="shared" si="28"/>
        <v>0.2</v>
      </c>
      <c r="P46" s="2">
        <f t="shared" si="29"/>
        <v>0.18</v>
      </c>
      <c r="Q46" s="2">
        <f t="shared" si="30"/>
        <v>0.2</v>
      </c>
      <c r="R46" s="2">
        <f t="shared" si="31"/>
        <v>0.18</v>
      </c>
      <c r="S46" s="2">
        <f t="shared" si="32"/>
        <v>0.2</v>
      </c>
      <c r="T46" s="2">
        <f t="shared" si="6"/>
        <v>0.18</v>
      </c>
      <c r="U46" s="2">
        <f t="shared" si="7"/>
        <v>0.2</v>
      </c>
      <c r="V46" s="2">
        <f t="shared" si="8"/>
        <v>0.18</v>
      </c>
      <c r="W46" s="2">
        <f t="shared" si="9"/>
        <v>0.2</v>
      </c>
      <c r="X46" s="2">
        <f t="shared" si="10"/>
        <v>0.18</v>
      </c>
      <c r="Y46" s="2">
        <f t="shared" si="11"/>
        <v>0.2</v>
      </c>
      <c r="Z46" s="2">
        <f t="shared" si="12"/>
        <v>0.18</v>
      </c>
      <c r="AA46" s="2">
        <f t="shared" si="13"/>
        <v>0.2</v>
      </c>
      <c r="AB46" s="2">
        <f t="shared" si="14"/>
        <v>0.18</v>
      </c>
      <c r="AC46" s="2">
        <f t="shared" si="15"/>
        <v>0.2</v>
      </c>
      <c r="AD46" s="2">
        <f t="shared" si="16"/>
        <v>0.18</v>
      </c>
      <c r="AE46" s="2">
        <f t="shared" si="17"/>
        <v>0.2</v>
      </c>
      <c r="AF46" s="2">
        <f t="shared" si="18"/>
        <v>0.18</v>
      </c>
      <c r="AG46" s="2">
        <f t="shared" si="19"/>
        <v>0.2</v>
      </c>
      <c r="AH46" s="2">
        <f t="shared" si="20"/>
        <v>0.18</v>
      </c>
    </row>
    <row r="47" spans="1:34">
      <c r="A47" t="str">
        <f t="shared" si="35"/>
        <v>Vegetables</v>
      </c>
      <c r="B47" t="str">
        <f t="shared" si="34"/>
        <v>AddisAbaba</v>
      </c>
      <c r="C47" s="2">
        <v>0.2</v>
      </c>
      <c r="D47" s="2">
        <v>0.18</v>
      </c>
      <c r="E47" s="2">
        <f t="shared" si="3"/>
        <v>0.2</v>
      </c>
      <c r="F47" s="2">
        <f t="shared" si="4"/>
        <v>0.18</v>
      </c>
      <c r="G47" s="2">
        <f t="shared" si="5"/>
        <v>0.2</v>
      </c>
      <c r="H47" s="2">
        <f t="shared" si="21"/>
        <v>0.18</v>
      </c>
      <c r="I47" s="2">
        <f t="shared" si="22"/>
        <v>0.2</v>
      </c>
      <c r="J47" s="2">
        <f t="shared" si="23"/>
        <v>0.18</v>
      </c>
      <c r="K47" s="2">
        <f t="shared" si="24"/>
        <v>0.2</v>
      </c>
      <c r="L47" s="2">
        <f t="shared" si="25"/>
        <v>0.18</v>
      </c>
      <c r="M47" s="2">
        <f t="shared" si="26"/>
        <v>0.2</v>
      </c>
      <c r="N47" s="2">
        <f t="shared" si="27"/>
        <v>0.18</v>
      </c>
      <c r="O47" s="2">
        <f t="shared" si="28"/>
        <v>0.2</v>
      </c>
      <c r="P47" s="2">
        <f t="shared" si="29"/>
        <v>0.18</v>
      </c>
      <c r="Q47" s="2">
        <f t="shared" si="30"/>
        <v>0.2</v>
      </c>
      <c r="R47" s="2">
        <f t="shared" si="31"/>
        <v>0.18</v>
      </c>
      <c r="S47" s="2">
        <f t="shared" si="32"/>
        <v>0.2</v>
      </c>
      <c r="T47" s="2">
        <f t="shared" si="6"/>
        <v>0.18</v>
      </c>
      <c r="U47" s="2">
        <f t="shared" si="7"/>
        <v>0.2</v>
      </c>
      <c r="V47" s="2">
        <f t="shared" si="8"/>
        <v>0.18</v>
      </c>
      <c r="W47" s="2">
        <f t="shared" si="9"/>
        <v>0.2</v>
      </c>
      <c r="X47" s="2">
        <f t="shared" si="10"/>
        <v>0.18</v>
      </c>
      <c r="Y47" s="2">
        <f t="shared" si="11"/>
        <v>0.2</v>
      </c>
      <c r="Z47" s="2">
        <f t="shared" si="12"/>
        <v>0.18</v>
      </c>
      <c r="AA47" s="2">
        <f t="shared" si="13"/>
        <v>0.2</v>
      </c>
      <c r="AB47" s="2">
        <f t="shared" si="14"/>
        <v>0.18</v>
      </c>
      <c r="AC47" s="2">
        <f t="shared" si="15"/>
        <v>0.2</v>
      </c>
      <c r="AD47" s="2">
        <f t="shared" si="16"/>
        <v>0.18</v>
      </c>
      <c r="AE47" s="2">
        <f t="shared" si="17"/>
        <v>0.2</v>
      </c>
      <c r="AF47" s="2">
        <f t="shared" si="18"/>
        <v>0.18</v>
      </c>
      <c r="AG47" s="2">
        <f t="shared" si="19"/>
        <v>0.2</v>
      </c>
      <c r="AH47" s="2">
        <f t="shared" si="20"/>
        <v>0.18</v>
      </c>
    </row>
    <row r="48" spans="1:34">
      <c r="A48" t="str">
        <f t="shared" si="35"/>
        <v>Vegetables</v>
      </c>
      <c r="B48" t="str">
        <f t="shared" si="34"/>
        <v>Afar</v>
      </c>
      <c r="C48" s="2">
        <v>0.2</v>
      </c>
      <c r="D48" s="2">
        <v>0.18</v>
      </c>
      <c r="E48" s="2">
        <f t="shared" si="3"/>
        <v>0.2</v>
      </c>
      <c r="F48" s="2">
        <f t="shared" si="4"/>
        <v>0.18</v>
      </c>
      <c r="G48" s="2">
        <f t="shared" si="5"/>
        <v>0.2</v>
      </c>
      <c r="H48" s="2">
        <f t="shared" si="21"/>
        <v>0.18</v>
      </c>
      <c r="I48" s="2">
        <f t="shared" si="22"/>
        <v>0.2</v>
      </c>
      <c r="J48" s="2">
        <f t="shared" si="23"/>
        <v>0.18</v>
      </c>
      <c r="K48" s="2">
        <f t="shared" si="24"/>
        <v>0.2</v>
      </c>
      <c r="L48" s="2">
        <f t="shared" si="25"/>
        <v>0.18</v>
      </c>
      <c r="M48" s="2">
        <f t="shared" si="26"/>
        <v>0.2</v>
      </c>
      <c r="N48" s="2">
        <f t="shared" si="27"/>
        <v>0.18</v>
      </c>
      <c r="O48" s="2">
        <f t="shared" si="28"/>
        <v>0.2</v>
      </c>
      <c r="P48" s="2">
        <f t="shared" si="29"/>
        <v>0.18</v>
      </c>
      <c r="Q48" s="2">
        <f t="shared" si="30"/>
        <v>0.2</v>
      </c>
      <c r="R48" s="2">
        <f t="shared" si="31"/>
        <v>0.18</v>
      </c>
      <c r="S48" s="2">
        <f t="shared" si="32"/>
        <v>0.2</v>
      </c>
      <c r="T48" s="2">
        <f t="shared" si="6"/>
        <v>0.18</v>
      </c>
      <c r="U48" s="2">
        <f t="shared" si="7"/>
        <v>0.2</v>
      </c>
      <c r="V48" s="2">
        <f t="shared" si="8"/>
        <v>0.18</v>
      </c>
      <c r="W48" s="2">
        <f t="shared" si="9"/>
        <v>0.2</v>
      </c>
      <c r="X48" s="2">
        <f t="shared" si="10"/>
        <v>0.18</v>
      </c>
      <c r="Y48" s="2">
        <f t="shared" si="11"/>
        <v>0.2</v>
      </c>
      <c r="Z48" s="2">
        <f t="shared" si="12"/>
        <v>0.18</v>
      </c>
      <c r="AA48" s="2">
        <f t="shared" si="13"/>
        <v>0.2</v>
      </c>
      <c r="AB48" s="2">
        <f t="shared" si="14"/>
        <v>0.18</v>
      </c>
      <c r="AC48" s="2">
        <f t="shared" si="15"/>
        <v>0.2</v>
      </c>
      <c r="AD48" s="2">
        <f t="shared" si="16"/>
        <v>0.18</v>
      </c>
      <c r="AE48" s="2">
        <f t="shared" si="17"/>
        <v>0.2</v>
      </c>
      <c r="AF48" s="2">
        <f t="shared" si="18"/>
        <v>0.18</v>
      </c>
      <c r="AG48" s="2">
        <f t="shared" si="19"/>
        <v>0.2</v>
      </c>
      <c r="AH48" s="2">
        <f t="shared" si="20"/>
        <v>0.18</v>
      </c>
    </row>
    <row r="49" spans="1:34">
      <c r="A49" t="str">
        <f t="shared" si="35"/>
        <v>Vegetables</v>
      </c>
      <c r="B49" t="str">
        <f t="shared" si="34"/>
        <v>Amhara</v>
      </c>
      <c r="C49" s="2">
        <v>0.2</v>
      </c>
      <c r="D49" s="2">
        <v>0.18</v>
      </c>
      <c r="E49" s="2">
        <f t="shared" si="3"/>
        <v>0.2</v>
      </c>
      <c r="F49" s="2">
        <f t="shared" si="4"/>
        <v>0.18</v>
      </c>
      <c r="G49" s="2">
        <f t="shared" si="5"/>
        <v>0.2</v>
      </c>
      <c r="H49" s="2">
        <f t="shared" si="21"/>
        <v>0.18</v>
      </c>
      <c r="I49" s="2">
        <f t="shared" si="22"/>
        <v>0.2</v>
      </c>
      <c r="J49" s="2">
        <f t="shared" si="23"/>
        <v>0.18</v>
      </c>
      <c r="K49" s="2">
        <f t="shared" si="24"/>
        <v>0.2</v>
      </c>
      <c r="L49" s="2">
        <f t="shared" si="25"/>
        <v>0.18</v>
      </c>
      <c r="M49" s="2">
        <f t="shared" si="26"/>
        <v>0.2</v>
      </c>
      <c r="N49" s="2">
        <f t="shared" si="27"/>
        <v>0.18</v>
      </c>
      <c r="O49" s="2">
        <f t="shared" si="28"/>
        <v>0.2</v>
      </c>
      <c r="P49" s="2">
        <f t="shared" si="29"/>
        <v>0.18</v>
      </c>
      <c r="Q49" s="2">
        <f t="shared" si="30"/>
        <v>0.2</v>
      </c>
      <c r="R49" s="2">
        <f t="shared" si="31"/>
        <v>0.18</v>
      </c>
      <c r="S49" s="2">
        <f t="shared" si="32"/>
        <v>0.2</v>
      </c>
      <c r="T49" s="2">
        <f t="shared" si="6"/>
        <v>0.18</v>
      </c>
      <c r="U49" s="2">
        <f t="shared" si="7"/>
        <v>0.2</v>
      </c>
      <c r="V49" s="2">
        <f t="shared" si="8"/>
        <v>0.18</v>
      </c>
      <c r="W49" s="2">
        <f t="shared" si="9"/>
        <v>0.2</v>
      </c>
      <c r="X49" s="2">
        <f t="shared" si="10"/>
        <v>0.18</v>
      </c>
      <c r="Y49" s="2">
        <f t="shared" si="11"/>
        <v>0.2</v>
      </c>
      <c r="Z49" s="2">
        <f t="shared" si="12"/>
        <v>0.18</v>
      </c>
      <c r="AA49" s="2">
        <f t="shared" si="13"/>
        <v>0.2</v>
      </c>
      <c r="AB49" s="2">
        <f t="shared" si="14"/>
        <v>0.18</v>
      </c>
      <c r="AC49" s="2">
        <f t="shared" si="15"/>
        <v>0.2</v>
      </c>
      <c r="AD49" s="2">
        <f t="shared" si="16"/>
        <v>0.18</v>
      </c>
      <c r="AE49" s="2">
        <f t="shared" si="17"/>
        <v>0.2</v>
      </c>
      <c r="AF49" s="2">
        <f t="shared" si="18"/>
        <v>0.18</v>
      </c>
      <c r="AG49" s="2">
        <f t="shared" si="19"/>
        <v>0.2</v>
      </c>
      <c r="AH49" s="2">
        <f t="shared" si="20"/>
        <v>0.18</v>
      </c>
    </row>
    <row r="50" spans="1:34">
      <c r="A50" t="str">
        <f t="shared" si="35"/>
        <v>Vegetables</v>
      </c>
      <c r="B50" t="str">
        <f t="shared" si="34"/>
        <v>Gumuz</v>
      </c>
      <c r="C50" s="2">
        <v>0.2</v>
      </c>
      <c r="D50" s="2">
        <v>0.18</v>
      </c>
      <c r="E50" s="2">
        <f t="shared" si="3"/>
        <v>0.2</v>
      </c>
      <c r="F50" s="2">
        <f t="shared" si="4"/>
        <v>0.18</v>
      </c>
      <c r="G50" s="2">
        <f t="shared" si="5"/>
        <v>0.2</v>
      </c>
      <c r="H50" s="2">
        <f t="shared" si="21"/>
        <v>0.18</v>
      </c>
      <c r="I50" s="2">
        <f t="shared" si="22"/>
        <v>0.2</v>
      </c>
      <c r="J50" s="2">
        <f t="shared" si="23"/>
        <v>0.18</v>
      </c>
      <c r="K50" s="2">
        <f t="shared" si="24"/>
        <v>0.2</v>
      </c>
      <c r="L50" s="2">
        <f t="shared" si="25"/>
        <v>0.18</v>
      </c>
      <c r="M50" s="2">
        <f t="shared" si="26"/>
        <v>0.2</v>
      </c>
      <c r="N50" s="2">
        <f t="shared" si="27"/>
        <v>0.18</v>
      </c>
      <c r="O50" s="2">
        <f t="shared" si="28"/>
        <v>0.2</v>
      </c>
      <c r="P50" s="2">
        <f t="shared" si="29"/>
        <v>0.18</v>
      </c>
      <c r="Q50" s="2">
        <f t="shared" si="30"/>
        <v>0.2</v>
      </c>
      <c r="R50" s="2">
        <f t="shared" si="31"/>
        <v>0.18</v>
      </c>
      <c r="S50" s="2">
        <f t="shared" si="32"/>
        <v>0.2</v>
      </c>
      <c r="T50" s="2">
        <f t="shared" si="6"/>
        <v>0.18</v>
      </c>
      <c r="U50" s="2">
        <f t="shared" si="7"/>
        <v>0.2</v>
      </c>
      <c r="V50" s="2">
        <f t="shared" si="8"/>
        <v>0.18</v>
      </c>
      <c r="W50" s="2">
        <f t="shared" si="9"/>
        <v>0.2</v>
      </c>
      <c r="X50" s="2">
        <f t="shared" si="10"/>
        <v>0.18</v>
      </c>
      <c r="Y50" s="2">
        <f t="shared" si="11"/>
        <v>0.2</v>
      </c>
      <c r="Z50" s="2">
        <f t="shared" si="12"/>
        <v>0.18</v>
      </c>
      <c r="AA50" s="2">
        <f t="shared" si="13"/>
        <v>0.2</v>
      </c>
      <c r="AB50" s="2">
        <f t="shared" si="14"/>
        <v>0.18</v>
      </c>
      <c r="AC50" s="2">
        <f t="shared" si="15"/>
        <v>0.2</v>
      </c>
      <c r="AD50" s="2">
        <f t="shared" si="16"/>
        <v>0.18</v>
      </c>
      <c r="AE50" s="2">
        <f t="shared" si="17"/>
        <v>0.2</v>
      </c>
      <c r="AF50" s="2">
        <f t="shared" si="18"/>
        <v>0.18</v>
      </c>
      <c r="AG50" s="2">
        <f t="shared" si="19"/>
        <v>0.2</v>
      </c>
      <c r="AH50" s="2">
        <f t="shared" si="20"/>
        <v>0.18</v>
      </c>
    </row>
    <row r="51" spans="1:34">
      <c r="A51" t="str">
        <f t="shared" si="35"/>
        <v>Vegetables</v>
      </c>
      <c r="B51" t="str">
        <f t="shared" si="34"/>
        <v>DireDawa</v>
      </c>
      <c r="C51" s="2">
        <v>0.2</v>
      </c>
      <c r="D51" s="2">
        <v>0.18</v>
      </c>
      <c r="E51" s="2">
        <f t="shared" si="3"/>
        <v>0.2</v>
      </c>
      <c r="F51" s="2">
        <f t="shared" si="4"/>
        <v>0.18</v>
      </c>
      <c r="G51" s="2">
        <f t="shared" si="5"/>
        <v>0.2</v>
      </c>
      <c r="H51" s="2">
        <f t="shared" si="21"/>
        <v>0.18</v>
      </c>
      <c r="I51" s="2">
        <f t="shared" si="22"/>
        <v>0.2</v>
      </c>
      <c r="J51" s="2">
        <f t="shared" si="23"/>
        <v>0.18</v>
      </c>
      <c r="K51" s="2">
        <f t="shared" si="24"/>
        <v>0.2</v>
      </c>
      <c r="L51" s="2">
        <f t="shared" si="25"/>
        <v>0.18</v>
      </c>
      <c r="M51" s="2">
        <f t="shared" si="26"/>
        <v>0.2</v>
      </c>
      <c r="N51" s="2">
        <f t="shared" si="27"/>
        <v>0.18</v>
      </c>
      <c r="O51" s="2">
        <f t="shared" si="28"/>
        <v>0.2</v>
      </c>
      <c r="P51" s="2">
        <f t="shared" si="29"/>
        <v>0.18</v>
      </c>
      <c r="Q51" s="2">
        <f t="shared" si="30"/>
        <v>0.2</v>
      </c>
      <c r="R51" s="2">
        <f t="shared" si="31"/>
        <v>0.18</v>
      </c>
      <c r="S51" s="2">
        <f t="shared" si="32"/>
        <v>0.2</v>
      </c>
      <c r="T51" s="2">
        <f t="shared" si="6"/>
        <v>0.18</v>
      </c>
      <c r="U51" s="2">
        <f t="shared" si="7"/>
        <v>0.2</v>
      </c>
      <c r="V51" s="2">
        <f t="shared" si="8"/>
        <v>0.18</v>
      </c>
      <c r="W51" s="2">
        <f t="shared" si="9"/>
        <v>0.2</v>
      </c>
      <c r="X51" s="2">
        <f t="shared" si="10"/>
        <v>0.18</v>
      </c>
      <c r="Y51" s="2">
        <f t="shared" si="11"/>
        <v>0.2</v>
      </c>
      <c r="Z51" s="2">
        <f t="shared" si="12"/>
        <v>0.18</v>
      </c>
      <c r="AA51" s="2">
        <f t="shared" si="13"/>
        <v>0.2</v>
      </c>
      <c r="AB51" s="2">
        <f t="shared" si="14"/>
        <v>0.18</v>
      </c>
      <c r="AC51" s="2">
        <f t="shared" si="15"/>
        <v>0.2</v>
      </c>
      <c r="AD51" s="2">
        <f t="shared" si="16"/>
        <v>0.18</v>
      </c>
      <c r="AE51" s="2">
        <f t="shared" si="17"/>
        <v>0.2</v>
      </c>
      <c r="AF51" s="2">
        <f t="shared" si="18"/>
        <v>0.18</v>
      </c>
      <c r="AG51" s="2">
        <f t="shared" si="19"/>
        <v>0.2</v>
      </c>
      <c r="AH51" s="2">
        <f t="shared" si="20"/>
        <v>0.18</v>
      </c>
    </row>
    <row r="52" spans="1:34">
      <c r="A52" t="str">
        <f t="shared" si="35"/>
        <v>Vegetables</v>
      </c>
      <c r="B52" t="str">
        <f t="shared" si="34"/>
        <v>Gambela</v>
      </c>
      <c r="C52" s="2">
        <v>0.2</v>
      </c>
      <c r="D52" s="2">
        <v>0.18</v>
      </c>
      <c r="E52" s="2">
        <f t="shared" si="3"/>
        <v>0.2</v>
      </c>
      <c r="F52" s="2">
        <f t="shared" si="4"/>
        <v>0.18</v>
      </c>
      <c r="G52" s="2">
        <f t="shared" si="5"/>
        <v>0.2</v>
      </c>
      <c r="H52" s="2">
        <f t="shared" si="21"/>
        <v>0.18</v>
      </c>
      <c r="I52" s="2">
        <f t="shared" si="22"/>
        <v>0.2</v>
      </c>
      <c r="J52" s="2">
        <f t="shared" si="23"/>
        <v>0.18</v>
      </c>
      <c r="K52" s="2">
        <f t="shared" si="24"/>
        <v>0.2</v>
      </c>
      <c r="L52" s="2">
        <f t="shared" si="25"/>
        <v>0.18</v>
      </c>
      <c r="M52" s="2">
        <f t="shared" si="26"/>
        <v>0.2</v>
      </c>
      <c r="N52" s="2">
        <f t="shared" si="27"/>
        <v>0.18</v>
      </c>
      <c r="O52" s="2">
        <f t="shared" si="28"/>
        <v>0.2</v>
      </c>
      <c r="P52" s="2">
        <f t="shared" si="29"/>
        <v>0.18</v>
      </c>
      <c r="Q52" s="2">
        <f t="shared" si="30"/>
        <v>0.2</v>
      </c>
      <c r="R52" s="2">
        <f t="shared" si="31"/>
        <v>0.18</v>
      </c>
      <c r="S52" s="2">
        <f t="shared" si="32"/>
        <v>0.2</v>
      </c>
      <c r="T52" s="2">
        <f t="shared" si="6"/>
        <v>0.18</v>
      </c>
      <c r="U52" s="2">
        <f t="shared" si="7"/>
        <v>0.2</v>
      </c>
      <c r="V52" s="2">
        <f t="shared" si="8"/>
        <v>0.18</v>
      </c>
      <c r="W52" s="2">
        <f t="shared" si="9"/>
        <v>0.2</v>
      </c>
      <c r="X52" s="2">
        <f t="shared" si="10"/>
        <v>0.18</v>
      </c>
      <c r="Y52" s="2">
        <f t="shared" si="11"/>
        <v>0.2</v>
      </c>
      <c r="Z52" s="2">
        <f t="shared" si="12"/>
        <v>0.18</v>
      </c>
      <c r="AA52" s="2">
        <f t="shared" si="13"/>
        <v>0.2</v>
      </c>
      <c r="AB52" s="2">
        <f t="shared" si="14"/>
        <v>0.18</v>
      </c>
      <c r="AC52" s="2">
        <f t="shared" si="15"/>
        <v>0.2</v>
      </c>
      <c r="AD52" s="2">
        <f t="shared" si="16"/>
        <v>0.18</v>
      </c>
      <c r="AE52" s="2">
        <f t="shared" si="17"/>
        <v>0.2</v>
      </c>
      <c r="AF52" s="2">
        <f t="shared" si="18"/>
        <v>0.18</v>
      </c>
      <c r="AG52" s="2">
        <f t="shared" si="19"/>
        <v>0.2</v>
      </c>
      <c r="AH52" s="2">
        <f t="shared" si="20"/>
        <v>0.18</v>
      </c>
    </row>
    <row r="53" spans="1:34">
      <c r="A53" t="str">
        <f t="shared" si="35"/>
        <v>Vegetables</v>
      </c>
      <c r="B53" t="str">
        <f t="shared" si="34"/>
        <v>Harari</v>
      </c>
      <c r="C53" s="2">
        <v>0.2</v>
      </c>
      <c r="D53" s="2">
        <v>0.18</v>
      </c>
      <c r="E53" s="2">
        <f t="shared" si="3"/>
        <v>0.2</v>
      </c>
      <c r="F53" s="2">
        <f t="shared" si="4"/>
        <v>0.18</v>
      </c>
      <c r="G53" s="2">
        <f t="shared" si="5"/>
        <v>0.2</v>
      </c>
      <c r="H53" s="2">
        <f t="shared" si="21"/>
        <v>0.18</v>
      </c>
      <c r="I53" s="2">
        <f t="shared" si="22"/>
        <v>0.2</v>
      </c>
      <c r="J53" s="2">
        <f t="shared" si="23"/>
        <v>0.18</v>
      </c>
      <c r="K53" s="2">
        <f t="shared" si="24"/>
        <v>0.2</v>
      </c>
      <c r="L53" s="2">
        <f t="shared" si="25"/>
        <v>0.18</v>
      </c>
      <c r="M53" s="2">
        <f t="shared" si="26"/>
        <v>0.2</v>
      </c>
      <c r="N53" s="2">
        <f t="shared" si="27"/>
        <v>0.18</v>
      </c>
      <c r="O53" s="2">
        <f t="shared" si="28"/>
        <v>0.2</v>
      </c>
      <c r="P53" s="2">
        <f t="shared" si="29"/>
        <v>0.18</v>
      </c>
      <c r="Q53" s="2">
        <f t="shared" si="30"/>
        <v>0.2</v>
      </c>
      <c r="R53" s="2">
        <f t="shared" si="31"/>
        <v>0.18</v>
      </c>
      <c r="S53" s="2">
        <f t="shared" si="32"/>
        <v>0.2</v>
      </c>
      <c r="T53" s="2">
        <f t="shared" si="6"/>
        <v>0.18</v>
      </c>
      <c r="U53" s="2">
        <f t="shared" si="7"/>
        <v>0.2</v>
      </c>
      <c r="V53" s="2">
        <f t="shared" si="8"/>
        <v>0.18</v>
      </c>
      <c r="W53" s="2">
        <f t="shared" si="9"/>
        <v>0.2</v>
      </c>
      <c r="X53" s="2">
        <f t="shared" si="10"/>
        <v>0.18</v>
      </c>
      <c r="Y53" s="2">
        <f t="shared" si="11"/>
        <v>0.2</v>
      </c>
      <c r="Z53" s="2">
        <f t="shared" si="12"/>
        <v>0.18</v>
      </c>
      <c r="AA53" s="2">
        <f t="shared" si="13"/>
        <v>0.2</v>
      </c>
      <c r="AB53" s="2">
        <f t="shared" si="14"/>
        <v>0.18</v>
      </c>
      <c r="AC53" s="2">
        <f t="shared" si="15"/>
        <v>0.2</v>
      </c>
      <c r="AD53" s="2">
        <f t="shared" si="16"/>
        <v>0.18</v>
      </c>
      <c r="AE53" s="2">
        <f t="shared" si="17"/>
        <v>0.2</v>
      </c>
      <c r="AF53" s="2">
        <f t="shared" si="18"/>
        <v>0.18</v>
      </c>
      <c r="AG53" s="2">
        <f t="shared" si="19"/>
        <v>0.2</v>
      </c>
      <c r="AH53" s="2">
        <f t="shared" si="20"/>
        <v>0.18</v>
      </c>
    </row>
    <row r="54" spans="1:34">
      <c r="A54" t="str">
        <f t="shared" si="35"/>
        <v>Vegetables</v>
      </c>
      <c r="B54" t="str">
        <f t="shared" si="34"/>
        <v>Oromia</v>
      </c>
      <c r="C54" s="2">
        <v>0.2</v>
      </c>
      <c r="D54" s="2">
        <v>0.18</v>
      </c>
      <c r="E54" s="2">
        <f t="shared" si="3"/>
        <v>0.2</v>
      </c>
      <c r="F54" s="2">
        <f t="shared" si="4"/>
        <v>0.18</v>
      </c>
      <c r="G54" s="2">
        <f t="shared" si="5"/>
        <v>0.2</v>
      </c>
      <c r="H54" s="2">
        <f t="shared" si="21"/>
        <v>0.18</v>
      </c>
      <c r="I54" s="2">
        <f t="shared" si="22"/>
        <v>0.2</v>
      </c>
      <c r="J54" s="2">
        <f t="shared" si="23"/>
        <v>0.18</v>
      </c>
      <c r="K54" s="2">
        <f t="shared" si="24"/>
        <v>0.2</v>
      </c>
      <c r="L54" s="2">
        <f t="shared" si="25"/>
        <v>0.18</v>
      </c>
      <c r="M54" s="2">
        <f t="shared" si="26"/>
        <v>0.2</v>
      </c>
      <c r="N54" s="2">
        <f t="shared" si="27"/>
        <v>0.18</v>
      </c>
      <c r="O54" s="2">
        <f t="shared" si="28"/>
        <v>0.2</v>
      </c>
      <c r="P54" s="2">
        <f t="shared" si="29"/>
        <v>0.18</v>
      </c>
      <c r="Q54" s="2">
        <f t="shared" si="30"/>
        <v>0.2</v>
      </c>
      <c r="R54" s="2">
        <f t="shared" si="31"/>
        <v>0.18</v>
      </c>
      <c r="S54" s="2">
        <f t="shared" si="32"/>
        <v>0.2</v>
      </c>
      <c r="T54" s="2">
        <f t="shared" si="6"/>
        <v>0.18</v>
      </c>
      <c r="U54" s="2">
        <f t="shared" si="7"/>
        <v>0.2</v>
      </c>
      <c r="V54" s="2">
        <f t="shared" si="8"/>
        <v>0.18</v>
      </c>
      <c r="W54" s="2">
        <f t="shared" si="9"/>
        <v>0.2</v>
      </c>
      <c r="X54" s="2">
        <f t="shared" si="10"/>
        <v>0.18</v>
      </c>
      <c r="Y54" s="2">
        <f t="shared" si="11"/>
        <v>0.2</v>
      </c>
      <c r="Z54" s="2">
        <f t="shared" si="12"/>
        <v>0.18</v>
      </c>
      <c r="AA54" s="2">
        <f t="shared" si="13"/>
        <v>0.2</v>
      </c>
      <c r="AB54" s="2">
        <f t="shared" si="14"/>
        <v>0.18</v>
      </c>
      <c r="AC54" s="2">
        <f t="shared" si="15"/>
        <v>0.2</v>
      </c>
      <c r="AD54" s="2">
        <f t="shared" si="16"/>
        <v>0.18</v>
      </c>
      <c r="AE54" s="2">
        <f t="shared" si="17"/>
        <v>0.2</v>
      </c>
      <c r="AF54" s="2">
        <f t="shared" si="18"/>
        <v>0.18</v>
      </c>
      <c r="AG54" s="2">
        <f t="shared" si="19"/>
        <v>0.2</v>
      </c>
      <c r="AH54" s="2">
        <f t="shared" si="20"/>
        <v>0.18</v>
      </c>
    </row>
    <row r="55" spans="1:34">
      <c r="A55" t="str">
        <f t="shared" si="35"/>
        <v>Vegetables</v>
      </c>
      <c r="B55" t="str">
        <f t="shared" si="34"/>
        <v>Somali</v>
      </c>
      <c r="C55" s="2">
        <v>0.2</v>
      </c>
      <c r="D55" s="2">
        <v>0.18</v>
      </c>
      <c r="E55" s="2">
        <f t="shared" si="3"/>
        <v>0.2</v>
      </c>
      <c r="F55" s="2">
        <f t="shared" si="4"/>
        <v>0.18</v>
      </c>
      <c r="G55" s="2">
        <f t="shared" si="5"/>
        <v>0.2</v>
      </c>
      <c r="H55" s="2">
        <f t="shared" si="21"/>
        <v>0.18</v>
      </c>
      <c r="I55" s="2">
        <f t="shared" si="22"/>
        <v>0.2</v>
      </c>
      <c r="J55" s="2">
        <f t="shared" si="23"/>
        <v>0.18</v>
      </c>
      <c r="K55" s="2">
        <f t="shared" si="24"/>
        <v>0.2</v>
      </c>
      <c r="L55" s="2">
        <f t="shared" si="25"/>
        <v>0.18</v>
      </c>
      <c r="M55" s="2">
        <f t="shared" si="26"/>
        <v>0.2</v>
      </c>
      <c r="N55" s="2">
        <f t="shared" si="27"/>
        <v>0.18</v>
      </c>
      <c r="O55" s="2">
        <f t="shared" si="28"/>
        <v>0.2</v>
      </c>
      <c r="P55" s="2">
        <f t="shared" si="29"/>
        <v>0.18</v>
      </c>
      <c r="Q55" s="2">
        <f t="shared" si="30"/>
        <v>0.2</v>
      </c>
      <c r="R55" s="2">
        <f t="shared" si="31"/>
        <v>0.18</v>
      </c>
      <c r="S55" s="2">
        <f t="shared" si="32"/>
        <v>0.2</v>
      </c>
      <c r="T55" s="2">
        <f t="shared" si="6"/>
        <v>0.18</v>
      </c>
      <c r="U55" s="2">
        <f t="shared" si="7"/>
        <v>0.2</v>
      </c>
      <c r="V55" s="2">
        <f t="shared" si="8"/>
        <v>0.18</v>
      </c>
      <c r="W55" s="2">
        <f t="shared" si="9"/>
        <v>0.2</v>
      </c>
      <c r="X55" s="2">
        <f t="shared" si="10"/>
        <v>0.18</v>
      </c>
      <c r="Y55" s="2">
        <f t="shared" si="11"/>
        <v>0.2</v>
      </c>
      <c r="Z55" s="2">
        <f t="shared" si="12"/>
        <v>0.18</v>
      </c>
      <c r="AA55" s="2">
        <f t="shared" si="13"/>
        <v>0.2</v>
      </c>
      <c r="AB55" s="2">
        <f t="shared" si="14"/>
        <v>0.18</v>
      </c>
      <c r="AC55" s="2">
        <f t="shared" si="15"/>
        <v>0.2</v>
      </c>
      <c r="AD55" s="2">
        <f t="shared" si="16"/>
        <v>0.18</v>
      </c>
      <c r="AE55" s="2">
        <f t="shared" si="17"/>
        <v>0.2</v>
      </c>
      <c r="AF55" s="2">
        <f t="shared" si="18"/>
        <v>0.18</v>
      </c>
      <c r="AG55" s="2">
        <f t="shared" si="19"/>
        <v>0.2</v>
      </c>
      <c r="AH55" s="2">
        <f t="shared" si="20"/>
        <v>0.18</v>
      </c>
    </row>
    <row r="56" spans="1:34">
      <c r="A56" t="str">
        <f t="shared" si="35"/>
        <v>Vegetables</v>
      </c>
      <c r="B56" t="str">
        <f t="shared" si="34"/>
        <v>SNNPR</v>
      </c>
      <c r="C56" s="2">
        <v>0.2</v>
      </c>
      <c r="D56" s="2">
        <v>0.18</v>
      </c>
      <c r="E56" s="2">
        <f t="shared" si="3"/>
        <v>0.2</v>
      </c>
      <c r="F56" s="2">
        <f t="shared" si="4"/>
        <v>0.18</v>
      </c>
      <c r="G56" s="2">
        <f t="shared" si="5"/>
        <v>0.2</v>
      </c>
      <c r="H56" s="2">
        <f t="shared" si="21"/>
        <v>0.18</v>
      </c>
      <c r="I56" s="2">
        <f t="shared" si="22"/>
        <v>0.2</v>
      </c>
      <c r="J56" s="2">
        <f t="shared" si="23"/>
        <v>0.18</v>
      </c>
      <c r="K56" s="2">
        <f t="shared" si="24"/>
        <v>0.2</v>
      </c>
      <c r="L56" s="2">
        <f t="shared" si="25"/>
        <v>0.18</v>
      </c>
      <c r="M56" s="2">
        <f t="shared" si="26"/>
        <v>0.2</v>
      </c>
      <c r="N56" s="2">
        <f t="shared" si="27"/>
        <v>0.18</v>
      </c>
      <c r="O56" s="2">
        <f t="shared" si="28"/>
        <v>0.2</v>
      </c>
      <c r="P56" s="2">
        <f t="shared" si="29"/>
        <v>0.18</v>
      </c>
      <c r="Q56" s="2">
        <f t="shared" si="30"/>
        <v>0.2</v>
      </c>
      <c r="R56" s="2">
        <f t="shared" si="31"/>
        <v>0.18</v>
      </c>
      <c r="S56" s="2">
        <f t="shared" si="32"/>
        <v>0.2</v>
      </c>
      <c r="T56" s="2">
        <f t="shared" si="6"/>
        <v>0.18</v>
      </c>
      <c r="U56" s="2">
        <f t="shared" si="7"/>
        <v>0.2</v>
      </c>
      <c r="V56" s="2">
        <f t="shared" si="8"/>
        <v>0.18</v>
      </c>
      <c r="W56" s="2">
        <f t="shared" si="9"/>
        <v>0.2</v>
      </c>
      <c r="X56" s="2">
        <f t="shared" si="10"/>
        <v>0.18</v>
      </c>
      <c r="Y56" s="2">
        <f t="shared" si="11"/>
        <v>0.2</v>
      </c>
      <c r="Z56" s="2">
        <f t="shared" si="12"/>
        <v>0.18</v>
      </c>
      <c r="AA56" s="2">
        <f t="shared" si="13"/>
        <v>0.2</v>
      </c>
      <c r="AB56" s="2">
        <f t="shared" si="14"/>
        <v>0.18</v>
      </c>
      <c r="AC56" s="2">
        <f t="shared" si="15"/>
        <v>0.2</v>
      </c>
      <c r="AD56" s="2">
        <f t="shared" si="16"/>
        <v>0.18</v>
      </c>
      <c r="AE56" s="2">
        <f t="shared" si="17"/>
        <v>0.2</v>
      </c>
      <c r="AF56" s="2">
        <f t="shared" si="18"/>
        <v>0.18</v>
      </c>
      <c r="AG56" s="2">
        <f t="shared" si="19"/>
        <v>0.2</v>
      </c>
      <c r="AH56" s="2">
        <f t="shared" si="20"/>
        <v>0.18</v>
      </c>
    </row>
    <row r="57" spans="1:34">
      <c r="A57" t="str">
        <f t="shared" si="35"/>
        <v>Vegetables</v>
      </c>
      <c r="B57" t="str">
        <f t="shared" si="34"/>
        <v>Tigray</v>
      </c>
      <c r="C57" s="2">
        <v>0.2</v>
      </c>
      <c r="D57" s="2">
        <v>0.18</v>
      </c>
      <c r="E57" s="2">
        <f t="shared" si="3"/>
        <v>0.2</v>
      </c>
      <c r="F57" s="2">
        <f t="shared" si="4"/>
        <v>0.18</v>
      </c>
      <c r="G57" s="2">
        <f t="shared" si="5"/>
        <v>0.2</v>
      </c>
      <c r="H57" s="2">
        <f t="shared" si="21"/>
        <v>0.18</v>
      </c>
      <c r="I57" s="2">
        <f t="shared" si="22"/>
        <v>0.2</v>
      </c>
      <c r="J57" s="2">
        <f t="shared" si="23"/>
        <v>0.18</v>
      </c>
      <c r="K57" s="2">
        <f t="shared" si="24"/>
        <v>0.2</v>
      </c>
      <c r="L57" s="2">
        <f t="shared" si="25"/>
        <v>0.18</v>
      </c>
      <c r="M57" s="2">
        <f t="shared" si="26"/>
        <v>0.2</v>
      </c>
      <c r="N57" s="2">
        <f t="shared" si="27"/>
        <v>0.18</v>
      </c>
      <c r="O57" s="2">
        <f t="shared" si="28"/>
        <v>0.2</v>
      </c>
      <c r="P57" s="2">
        <f t="shared" si="29"/>
        <v>0.18</v>
      </c>
      <c r="Q57" s="2">
        <f t="shared" si="30"/>
        <v>0.2</v>
      </c>
      <c r="R57" s="2">
        <f t="shared" si="31"/>
        <v>0.18</v>
      </c>
      <c r="S57" s="2">
        <f t="shared" si="32"/>
        <v>0.2</v>
      </c>
      <c r="T57" s="2">
        <f t="shared" si="6"/>
        <v>0.18</v>
      </c>
      <c r="U57" s="2">
        <f t="shared" si="7"/>
        <v>0.2</v>
      </c>
      <c r="V57" s="2">
        <f t="shared" si="8"/>
        <v>0.18</v>
      </c>
      <c r="W57" s="2">
        <f t="shared" si="9"/>
        <v>0.2</v>
      </c>
      <c r="X57" s="2">
        <f t="shared" si="10"/>
        <v>0.18</v>
      </c>
      <c r="Y57" s="2">
        <f t="shared" si="11"/>
        <v>0.2</v>
      </c>
      <c r="Z57" s="2">
        <f t="shared" si="12"/>
        <v>0.18</v>
      </c>
      <c r="AA57" s="2">
        <f t="shared" si="13"/>
        <v>0.2</v>
      </c>
      <c r="AB57" s="2">
        <f t="shared" si="14"/>
        <v>0.18</v>
      </c>
      <c r="AC57" s="2">
        <f t="shared" si="15"/>
        <v>0.2</v>
      </c>
      <c r="AD57" s="2">
        <f t="shared" si="16"/>
        <v>0.18</v>
      </c>
      <c r="AE57" s="2">
        <f t="shared" si="17"/>
        <v>0.2</v>
      </c>
      <c r="AF57" s="2">
        <f t="shared" si="18"/>
        <v>0.18</v>
      </c>
      <c r="AG57" s="2">
        <f t="shared" si="19"/>
        <v>0.2</v>
      </c>
      <c r="AH57" s="2">
        <f t="shared" si="20"/>
        <v>0.18</v>
      </c>
    </row>
    <row r="58" spans="1:34">
      <c r="A58" t="str">
        <f t="shared" si="35"/>
        <v>Coffee</v>
      </c>
      <c r="B58" t="str">
        <f t="shared" si="34"/>
        <v>AddisAbaba</v>
      </c>
      <c r="C58" s="2">
        <v>0.2</v>
      </c>
      <c r="D58" s="2">
        <v>0.18</v>
      </c>
      <c r="E58" s="2">
        <f t="shared" si="3"/>
        <v>0.2</v>
      </c>
      <c r="F58" s="2">
        <f t="shared" si="4"/>
        <v>0.18</v>
      </c>
      <c r="G58" s="2">
        <f t="shared" si="5"/>
        <v>0.2</v>
      </c>
      <c r="H58" s="2">
        <f t="shared" si="21"/>
        <v>0.18</v>
      </c>
      <c r="I58" s="2">
        <f t="shared" si="22"/>
        <v>0.2</v>
      </c>
      <c r="J58" s="2">
        <f t="shared" si="23"/>
        <v>0.18</v>
      </c>
      <c r="K58" s="2">
        <f t="shared" si="24"/>
        <v>0.2</v>
      </c>
      <c r="L58" s="2">
        <f t="shared" si="25"/>
        <v>0.18</v>
      </c>
      <c r="M58" s="2">
        <f t="shared" si="26"/>
        <v>0.2</v>
      </c>
      <c r="N58" s="2">
        <f t="shared" si="27"/>
        <v>0.18</v>
      </c>
      <c r="O58" s="2">
        <f t="shared" si="28"/>
        <v>0.2</v>
      </c>
      <c r="P58" s="2">
        <f t="shared" si="29"/>
        <v>0.18</v>
      </c>
      <c r="Q58" s="2">
        <f t="shared" si="30"/>
        <v>0.2</v>
      </c>
      <c r="R58" s="2">
        <f t="shared" si="31"/>
        <v>0.18</v>
      </c>
      <c r="S58" s="2">
        <f t="shared" si="32"/>
        <v>0.2</v>
      </c>
      <c r="T58" s="2">
        <f t="shared" si="6"/>
        <v>0.18</v>
      </c>
      <c r="U58" s="2">
        <f t="shared" si="7"/>
        <v>0.2</v>
      </c>
      <c r="V58" s="2">
        <f t="shared" si="8"/>
        <v>0.18</v>
      </c>
      <c r="W58" s="2">
        <f t="shared" si="9"/>
        <v>0.2</v>
      </c>
      <c r="X58" s="2">
        <f t="shared" si="10"/>
        <v>0.18</v>
      </c>
      <c r="Y58" s="2">
        <f t="shared" si="11"/>
        <v>0.2</v>
      </c>
      <c r="Z58" s="2">
        <f t="shared" si="12"/>
        <v>0.18</v>
      </c>
      <c r="AA58" s="2">
        <f t="shared" si="13"/>
        <v>0.2</v>
      </c>
      <c r="AB58" s="2">
        <f t="shared" si="14"/>
        <v>0.18</v>
      </c>
      <c r="AC58" s="2">
        <f t="shared" si="15"/>
        <v>0.2</v>
      </c>
      <c r="AD58" s="2">
        <f t="shared" si="16"/>
        <v>0.18</v>
      </c>
      <c r="AE58" s="2">
        <f t="shared" si="17"/>
        <v>0.2</v>
      </c>
      <c r="AF58" s="2">
        <f t="shared" si="18"/>
        <v>0.18</v>
      </c>
      <c r="AG58" s="2">
        <f t="shared" si="19"/>
        <v>0.2</v>
      </c>
      <c r="AH58" s="2">
        <f t="shared" si="20"/>
        <v>0.18</v>
      </c>
    </row>
    <row r="59" spans="1:34">
      <c r="A59" t="str">
        <f t="shared" si="35"/>
        <v>Coffee</v>
      </c>
      <c r="B59" t="str">
        <f t="shared" si="34"/>
        <v>Afar</v>
      </c>
      <c r="C59" s="2">
        <v>0.2</v>
      </c>
      <c r="D59" s="2">
        <v>0.18</v>
      </c>
      <c r="E59" s="2">
        <f t="shared" si="3"/>
        <v>0.2</v>
      </c>
      <c r="F59" s="2">
        <f t="shared" si="4"/>
        <v>0.18</v>
      </c>
      <c r="G59" s="2">
        <f t="shared" si="5"/>
        <v>0.2</v>
      </c>
      <c r="H59" s="2">
        <f t="shared" si="21"/>
        <v>0.18</v>
      </c>
      <c r="I59" s="2">
        <f t="shared" si="22"/>
        <v>0.2</v>
      </c>
      <c r="J59" s="2">
        <f t="shared" si="23"/>
        <v>0.18</v>
      </c>
      <c r="K59" s="2">
        <f t="shared" si="24"/>
        <v>0.2</v>
      </c>
      <c r="L59" s="2">
        <f t="shared" si="25"/>
        <v>0.18</v>
      </c>
      <c r="M59" s="2">
        <f t="shared" si="26"/>
        <v>0.2</v>
      </c>
      <c r="N59" s="2">
        <f t="shared" si="27"/>
        <v>0.18</v>
      </c>
      <c r="O59" s="2">
        <f t="shared" si="28"/>
        <v>0.2</v>
      </c>
      <c r="P59" s="2">
        <f t="shared" si="29"/>
        <v>0.18</v>
      </c>
      <c r="Q59" s="2">
        <f t="shared" si="30"/>
        <v>0.2</v>
      </c>
      <c r="R59" s="2">
        <f t="shared" si="31"/>
        <v>0.18</v>
      </c>
      <c r="S59" s="2">
        <f t="shared" si="32"/>
        <v>0.2</v>
      </c>
      <c r="T59" s="2">
        <f t="shared" si="6"/>
        <v>0.18</v>
      </c>
      <c r="U59" s="2">
        <f t="shared" si="7"/>
        <v>0.2</v>
      </c>
      <c r="V59" s="2">
        <f t="shared" si="8"/>
        <v>0.18</v>
      </c>
      <c r="W59" s="2">
        <f t="shared" si="9"/>
        <v>0.2</v>
      </c>
      <c r="X59" s="2">
        <f t="shared" si="10"/>
        <v>0.18</v>
      </c>
      <c r="Y59" s="2">
        <f t="shared" si="11"/>
        <v>0.2</v>
      </c>
      <c r="Z59" s="2">
        <f t="shared" si="12"/>
        <v>0.18</v>
      </c>
      <c r="AA59" s="2">
        <f t="shared" si="13"/>
        <v>0.2</v>
      </c>
      <c r="AB59" s="2">
        <f t="shared" si="14"/>
        <v>0.18</v>
      </c>
      <c r="AC59" s="2">
        <f t="shared" si="15"/>
        <v>0.2</v>
      </c>
      <c r="AD59" s="2">
        <f t="shared" si="16"/>
        <v>0.18</v>
      </c>
      <c r="AE59" s="2">
        <f t="shared" si="17"/>
        <v>0.2</v>
      </c>
      <c r="AF59" s="2">
        <f t="shared" si="18"/>
        <v>0.18</v>
      </c>
      <c r="AG59" s="2">
        <f t="shared" si="19"/>
        <v>0.2</v>
      </c>
      <c r="AH59" s="2">
        <f t="shared" si="20"/>
        <v>0.18</v>
      </c>
    </row>
    <row r="60" spans="1:34">
      <c r="A60" t="str">
        <f t="shared" si="35"/>
        <v>Coffee</v>
      </c>
      <c r="B60" t="str">
        <f t="shared" si="34"/>
        <v>Amhara</v>
      </c>
      <c r="C60" s="2">
        <v>0.2</v>
      </c>
      <c r="D60" s="2">
        <v>0.18</v>
      </c>
      <c r="E60" s="2">
        <f t="shared" si="3"/>
        <v>0.2</v>
      </c>
      <c r="F60" s="2">
        <f t="shared" si="4"/>
        <v>0.18</v>
      </c>
      <c r="G60" s="2">
        <f t="shared" si="5"/>
        <v>0.2</v>
      </c>
      <c r="H60" s="2">
        <f t="shared" si="21"/>
        <v>0.18</v>
      </c>
      <c r="I60" s="2">
        <f t="shared" si="22"/>
        <v>0.2</v>
      </c>
      <c r="J60" s="2">
        <f t="shared" si="23"/>
        <v>0.18</v>
      </c>
      <c r="K60" s="2">
        <f t="shared" si="24"/>
        <v>0.2</v>
      </c>
      <c r="L60" s="2">
        <f t="shared" si="25"/>
        <v>0.18</v>
      </c>
      <c r="M60" s="2">
        <f t="shared" si="26"/>
        <v>0.2</v>
      </c>
      <c r="N60" s="2">
        <f t="shared" si="27"/>
        <v>0.18</v>
      </c>
      <c r="O60" s="2">
        <f t="shared" si="28"/>
        <v>0.2</v>
      </c>
      <c r="P60" s="2">
        <f t="shared" si="29"/>
        <v>0.18</v>
      </c>
      <c r="Q60" s="2">
        <f t="shared" si="30"/>
        <v>0.2</v>
      </c>
      <c r="R60" s="2">
        <f t="shared" si="31"/>
        <v>0.18</v>
      </c>
      <c r="S60" s="2">
        <f t="shared" si="32"/>
        <v>0.2</v>
      </c>
      <c r="T60" s="2">
        <f t="shared" si="6"/>
        <v>0.18</v>
      </c>
      <c r="U60" s="2">
        <f t="shared" si="7"/>
        <v>0.2</v>
      </c>
      <c r="V60" s="2">
        <f t="shared" si="8"/>
        <v>0.18</v>
      </c>
      <c r="W60" s="2">
        <f t="shared" si="9"/>
        <v>0.2</v>
      </c>
      <c r="X60" s="2">
        <f t="shared" si="10"/>
        <v>0.18</v>
      </c>
      <c r="Y60" s="2">
        <f t="shared" si="11"/>
        <v>0.2</v>
      </c>
      <c r="Z60" s="2">
        <f t="shared" si="12"/>
        <v>0.18</v>
      </c>
      <c r="AA60" s="2">
        <f t="shared" si="13"/>
        <v>0.2</v>
      </c>
      <c r="AB60" s="2">
        <f t="shared" si="14"/>
        <v>0.18</v>
      </c>
      <c r="AC60" s="2">
        <f t="shared" si="15"/>
        <v>0.2</v>
      </c>
      <c r="AD60" s="2">
        <f t="shared" si="16"/>
        <v>0.18</v>
      </c>
      <c r="AE60" s="2">
        <f t="shared" si="17"/>
        <v>0.2</v>
      </c>
      <c r="AF60" s="2">
        <f t="shared" si="18"/>
        <v>0.18</v>
      </c>
      <c r="AG60" s="2">
        <f t="shared" si="19"/>
        <v>0.2</v>
      </c>
      <c r="AH60" s="2">
        <f t="shared" si="20"/>
        <v>0.18</v>
      </c>
    </row>
    <row r="61" spans="1:34">
      <c r="A61" t="str">
        <f t="shared" si="35"/>
        <v>Coffee</v>
      </c>
      <c r="B61" t="str">
        <f t="shared" si="34"/>
        <v>Gumuz</v>
      </c>
      <c r="C61" s="2">
        <v>0.2</v>
      </c>
      <c r="D61" s="2">
        <v>0.18</v>
      </c>
      <c r="E61" s="2">
        <f t="shared" si="3"/>
        <v>0.2</v>
      </c>
      <c r="F61" s="2">
        <f t="shared" si="4"/>
        <v>0.18</v>
      </c>
      <c r="G61" s="2">
        <f t="shared" si="5"/>
        <v>0.2</v>
      </c>
      <c r="H61" s="2">
        <f t="shared" si="21"/>
        <v>0.18</v>
      </c>
      <c r="I61" s="2">
        <f t="shared" si="22"/>
        <v>0.2</v>
      </c>
      <c r="J61" s="2">
        <f t="shared" si="23"/>
        <v>0.18</v>
      </c>
      <c r="K61" s="2">
        <f t="shared" si="24"/>
        <v>0.2</v>
      </c>
      <c r="L61" s="2">
        <f t="shared" si="25"/>
        <v>0.18</v>
      </c>
      <c r="M61" s="2">
        <f t="shared" si="26"/>
        <v>0.2</v>
      </c>
      <c r="N61" s="2">
        <f t="shared" si="27"/>
        <v>0.18</v>
      </c>
      <c r="O61" s="2">
        <f t="shared" si="28"/>
        <v>0.2</v>
      </c>
      <c r="P61" s="2">
        <f t="shared" si="29"/>
        <v>0.18</v>
      </c>
      <c r="Q61" s="2">
        <f t="shared" si="30"/>
        <v>0.2</v>
      </c>
      <c r="R61" s="2">
        <f t="shared" si="31"/>
        <v>0.18</v>
      </c>
      <c r="S61" s="2">
        <f t="shared" si="32"/>
        <v>0.2</v>
      </c>
      <c r="T61" s="2">
        <f t="shared" si="6"/>
        <v>0.18</v>
      </c>
      <c r="U61" s="2">
        <f t="shared" si="7"/>
        <v>0.2</v>
      </c>
      <c r="V61" s="2">
        <f t="shared" si="8"/>
        <v>0.18</v>
      </c>
      <c r="W61" s="2">
        <f t="shared" si="9"/>
        <v>0.2</v>
      </c>
      <c r="X61" s="2">
        <f t="shared" si="10"/>
        <v>0.18</v>
      </c>
      <c r="Y61" s="2">
        <f t="shared" si="11"/>
        <v>0.2</v>
      </c>
      <c r="Z61" s="2">
        <f t="shared" si="12"/>
        <v>0.18</v>
      </c>
      <c r="AA61" s="2">
        <f t="shared" si="13"/>
        <v>0.2</v>
      </c>
      <c r="AB61" s="2">
        <f t="shared" si="14"/>
        <v>0.18</v>
      </c>
      <c r="AC61" s="2">
        <f t="shared" si="15"/>
        <v>0.2</v>
      </c>
      <c r="AD61" s="2">
        <f t="shared" si="16"/>
        <v>0.18</v>
      </c>
      <c r="AE61" s="2">
        <f t="shared" si="17"/>
        <v>0.2</v>
      </c>
      <c r="AF61" s="2">
        <f t="shared" si="18"/>
        <v>0.18</v>
      </c>
      <c r="AG61" s="2">
        <f t="shared" si="19"/>
        <v>0.2</v>
      </c>
      <c r="AH61" s="2">
        <f t="shared" si="20"/>
        <v>0.18</v>
      </c>
    </row>
    <row r="62" spans="1:34">
      <c r="A62" t="str">
        <f t="shared" si="35"/>
        <v>Coffee</v>
      </c>
      <c r="B62" t="str">
        <f t="shared" si="34"/>
        <v>DireDawa</v>
      </c>
      <c r="C62" s="2">
        <v>0.2</v>
      </c>
      <c r="D62" s="2">
        <v>0.18</v>
      </c>
      <c r="E62" s="2">
        <f t="shared" si="3"/>
        <v>0.2</v>
      </c>
      <c r="F62" s="2">
        <f t="shared" si="4"/>
        <v>0.18</v>
      </c>
      <c r="G62" s="2">
        <f t="shared" si="5"/>
        <v>0.2</v>
      </c>
      <c r="H62" s="2">
        <f t="shared" si="21"/>
        <v>0.18</v>
      </c>
      <c r="I62" s="2">
        <f t="shared" si="22"/>
        <v>0.2</v>
      </c>
      <c r="J62" s="2">
        <f t="shared" si="23"/>
        <v>0.18</v>
      </c>
      <c r="K62" s="2">
        <f t="shared" si="24"/>
        <v>0.2</v>
      </c>
      <c r="L62" s="2">
        <f t="shared" si="25"/>
        <v>0.18</v>
      </c>
      <c r="M62" s="2">
        <f t="shared" si="26"/>
        <v>0.2</v>
      </c>
      <c r="N62" s="2">
        <f t="shared" si="27"/>
        <v>0.18</v>
      </c>
      <c r="O62" s="2">
        <f t="shared" si="28"/>
        <v>0.2</v>
      </c>
      <c r="P62" s="2">
        <f t="shared" si="29"/>
        <v>0.18</v>
      </c>
      <c r="Q62" s="2">
        <f t="shared" si="30"/>
        <v>0.2</v>
      </c>
      <c r="R62" s="2">
        <f t="shared" si="31"/>
        <v>0.18</v>
      </c>
      <c r="S62" s="2">
        <f t="shared" si="32"/>
        <v>0.2</v>
      </c>
      <c r="T62" s="2">
        <f t="shared" si="6"/>
        <v>0.18</v>
      </c>
      <c r="U62" s="2">
        <f t="shared" si="7"/>
        <v>0.2</v>
      </c>
      <c r="V62" s="2">
        <f t="shared" si="8"/>
        <v>0.18</v>
      </c>
      <c r="W62" s="2">
        <f t="shared" si="9"/>
        <v>0.2</v>
      </c>
      <c r="X62" s="2">
        <f t="shared" si="10"/>
        <v>0.18</v>
      </c>
      <c r="Y62" s="2">
        <f t="shared" si="11"/>
        <v>0.2</v>
      </c>
      <c r="Z62" s="2">
        <f t="shared" si="12"/>
        <v>0.18</v>
      </c>
      <c r="AA62" s="2">
        <f t="shared" si="13"/>
        <v>0.2</v>
      </c>
      <c r="AB62" s="2">
        <f t="shared" si="14"/>
        <v>0.18</v>
      </c>
      <c r="AC62" s="2">
        <f t="shared" si="15"/>
        <v>0.2</v>
      </c>
      <c r="AD62" s="2">
        <f t="shared" si="16"/>
        <v>0.18</v>
      </c>
      <c r="AE62" s="2">
        <f t="shared" si="17"/>
        <v>0.2</v>
      </c>
      <c r="AF62" s="2">
        <f t="shared" si="18"/>
        <v>0.18</v>
      </c>
      <c r="AG62" s="2">
        <f t="shared" si="19"/>
        <v>0.2</v>
      </c>
      <c r="AH62" s="2">
        <f t="shared" si="20"/>
        <v>0.18</v>
      </c>
    </row>
    <row r="63" spans="1:34">
      <c r="A63" t="str">
        <f t="shared" si="35"/>
        <v>Coffee</v>
      </c>
      <c r="B63" t="str">
        <f t="shared" si="34"/>
        <v>Gambela</v>
      </c>
      <c r="C63" s="2">
        <v>0.2</v>
      </c>
      <c r="D63" s="2">
        <v>0.18</v>
      </c>
      <c r="E63" s="2">
        <f t="shared" si="3"/>
        <v>0.2</v>
      </c>
      <c r="F63" s="2">
        <f t="shared" si="4"/>
        <v>0.18</v>
      </c>
      <c r="G63" s="2">
        <f t="shared" si="5"/>
        <v>0.2</v>
      </c>
      <c r="H63" s="2">
        <f t="shared" si="21"/>
        <v>0.18</v>
      </c>
      <c r="I63" s="2">
        <f t="shared" si="22"/>
        <v>0.2</v>
      </c>
      <c r="J63" s="2">
        <f t="shared" si="23"/>
        <v>0.18</v>
      </c>
      <c r="K63" s="2">
        <f t="shared" si="24"/>
        <v>0.2</v>
      </c>
      <c r="L63" s="2">
        <f t="shared" si="25"/>
        <v>0.18</v>
      </c>
      <c r="M63" s="2">
        <f t="shared" si="26"/>
        <v>0.2</v>
      </c>
      <c r="N63" s="2">
        <f t="shared" si="27"/>
        <v>0.18</v>
      </c>
      <c r="O63" s="2">
        <f t="shared" si="28"/>
        <v>0.2</v>
      </c>
      <c r="P63" s="2">
        <f t="shared" si="29"/>
        <v>0.18</v>
      </c>
      <c r="Q63" s="2">
        <f t="shared" si="30"/>
        <v>0.2</v>
      </c>
      <c r="R63" s="2">
        <f t="shared" si="31"/>
        <v>0.18</v>
      </c>
      <c r="S63" s="2">
        <f t="shared" si="32"/>
        <v>0.2</v>
      </c>
      <c r="T63" s="2">
        <f t="shared" si="6"/>
        <v>0.18</v>
      </c>
      <c r="U63" s="2">
        <f t="shared" si="7"/>
        <v>0.2</v>
      </c>
      <c r="V63" s="2">
        <f t="shared" si="8"/>
        <v>0.18</v>
      </c>
      <c r="W63" s="2">
        <f t="shared" si="9"/>
        <v>0.2</v>
      </c>
      <c r="X63" s="2">
        <f t="shared" si="10"/>
        <v>0.18</v>
      </c>
      <c r="Y63" s="2">
        <f t="shared" si="11"/>
        <v>0.2</v>
      </c>
      <c r="Z63" s="2">
        <f t="shared" si="12"/>
        <v>0.18</v>
      </c>
      <c r="AA63" s="2">
        <f t="shared" si="13"/>
        <v>0.2</v>
      </c>
      <c r="AB63" s="2">
        <f t="shared" si="14"/>
        <v>0.18</v>
      </c>
      <c r="AC63" s="2">
        <f t="shared" si="15"/>
        <v>0.2</v>
      </c>
      <c r="AD63" s="2">
        <f t="shared" si="16"/>
        <v>0.18</v>
      </c>
      <c r="AE63" s="2">
        <f t="shared" si="17"/>
        <v>0.2</v>
      </c>
      <c r="AF63" s="2">
        <f t="shared" si="18"/>
        <v>0.18</v>
      </c>
      <c r="AG63" s="2">
        <f t="shared" si="19"/>
        <v>0.2</v>
      </c>
      <c r="AH63" s="2">
        <f t="shared" si="20"/>
        <v>0.18</v>
      </c>
    </row>
    <row r="64" spans="1:34">
      <c r="A64" t="str">
        <f t="shared" si="35"/>
        <v>Coffee</v>
      </c>
      <c r="B64" t="str">
        <f t="shared" si="34"/>
        <v>Harari</v>
      </c>
      <c r="C64" s="2">
        <v>0.2</v>
      </c>
      <c r="D64" s="2">
        <v>0.18</v>
      </c>
      <c r="E64" s="2">
        <f t="shared" si="3"/>
        <v>0.2</v>
      </c>
      <c r="F64" s="2">
        <f t="shared" si="4"/>
        <v>0.18</v>
      </c>
      <c r="G64" s="2">
        <f t="shared" si="5"/>
        <v>0.2</v>
      </c>
      <c r="H64" s="2">
        <f t="shared" si="21"/>
        <v>0.18</v>
      </c>
      <c r="I64" s="2">
        <f t="shared" si="22"/>
        <v>0.2</v>
      </c>
      <c r="J64" s="2">
        <f t="shared" si="23"/>
        <v>0.18</v>
      </c>
      <c r="K64" s="2">
        <f t="shared" si="24"/>
        <v>0.2</v>
      </c>
      <c r="L64" s="2">
        <f t="shared" si="25"/>
        <v>0.18</v>
      </c>
      <c r="M64" s="2">
        <f t="shared" si="26"/>
        <v>0.2</v>
      </c>
      <c r="N64" s="2">
        <f t="shared" si="27"/>
        <v>0.18</v>
      </c>
      <c r="O64" s="2">
        <f t="shared" si="28"/>
        <v>0.2</v>
      </c>
      <c r="P64" s="2">
        <f t="shared" si="29"/>
        <v>0.18</v>
      </c>
      <c r="Q64" s="2">
        <f t="shared" si="30"/>
        <v>0.2</v>
      </c>
      <c r="R64" s="2">
        <f t="shared" si="31"/>
        <v>0.18</v>
      </c>
      <c r="S64" s="2">
        <f t="shared" si="32"/>
        <v>0.2</v>
      </c>
      <c r="T64" s="2">
        <f t="shared" si="6"/>
        <v>0.18</v>
      </c>
      <c r="U64" s="2">
        <f t="shared" si="7"/>
        <v>0.2</v>
      </c>
      <c r="V64" s="2">
        <f t="shared" si="8"/>
        <v>0.18</v>
      </c>
      <c r="W64" s="2">
        <f t="shared" si="9"/>
        <v>0.2</v>
      </c>
      <c r="X64" s="2">
        <f t="shared" si="10"/>
        <v>0.18</v>
      </c>
      <c r="Y64" s="2">
        <f t="shared" si="11"/>
        <v>0.2</v>
      </c>
      <c r="Z64" s="2">
        <f t="shared" si="12"/>
        <v>0.18</v>
      </c>
      <c r="AA64" s="2">
        <f t="shared" si="13"/>
        <v>0.2</v>
      </c>
      <c r="AB64" s="2">
        <f t="shared" si="14"/>
        <v>0.18</v>
      </c>
      <c r="AC64" s="2">
        <f t="shared" si="15"/>
        <v>0.2</v>
      </c>
      <c r="AD64" s="2">
        <f t="shared" si="16"/>
        <v>0.18</v>
      </c>
      <c r="AE64" s="2">
        <f t="shared" si="17"/>
        <v>0.2</v>
      </c>
      <c r="AF64" s="2">
        <f t="shared" si="18"/>
        <v>0.18</v>
      </c>
      <c r="AG64" s="2">
        <f t="shared" si="19"/>
        <v>0.2</v>
      </c>
      <c r="AH64" s="2">
        <f t="shared" si="20"/>
        <v>0.18</v>
      </c>
    </row>
    <row r="65" spans="1:34">
      <c r="A65" t="str">
        <f t="shared" si="35"/>
        <v>Coffee</v>
      </c>
      <c r="B65" t="str">
        <f t="shared" si="34"/>
        <v>Oromia</v>
      </c>
      <c r="C65" s="2">
        <v>0.2</v>
      </c>
      <c r="D65" s="2">
        <v>0.18</v>
      </c>
      <c r="E65" s="2">
        <f t="shared" si="3"/>
        <v>0.2</v>
      </c>
      <c r="F65" s="2">
        <f t="shared" si="4"/>
        <v>0.18</v>
      </c>
      <c r="G65" s="2">
        <f t="shared" si="5"/>
        <v>0.2</v>
      </c>
      <c r="H65" s="2">
        <f t="shared" si="21"/>
        <v>0.18</v>
      </c>
      <c r="I65" s="2">
        <f t="shared" si="22"/>
        <v>0.2</v>
      </c>
      <c r="J65" s="2">
        <f t="shared" si="23"/>
        <v>0.18</v>
      </c>
      <c r="K65" s="2">
        <f t="shared" si="24"/>
        <v>0.2</v>
      </c>
      <c r="L65" s="2">
        <f t="shared" si="25"/>
        <v>0.18</v>
      </c>
      <c r="M65" s="2">
        <f t="shared" si="26"/>
        <v>0.2</v>
      </c>
      <c r="N65" s="2">
        <f t="shared" si="27"/>
        <v>0.18</v>
      </c>
      <c r="O65" s="2">
        <f t="shared" si="28"/>
        <v>0.2</v>
      </c>
      <c r="P65" s="2">
        <f t="shared" si="29"/>
        <v>0.18</v>
      </c>
      <c r="Q65" s="2">
        <f t="shared" si="30"/>
        <v>0.2</v>
      </c>
      <c r="R65" s="2">
        <f t="shared" si="31"/>
        <v>0.18</v>
      </c>
      <c r="S65" s="2">
        <f t="shared" si="32"/>
        <v>0.2</v>
      </c>
      <c r="T65" s="2">
        <f t="shared" si="6"/>
        <v>0.18</v>
      </c>
      <c r="U65" s="2">
        <f t="shared" si="7"/>
        <v>0.2</v>
      </c>
      <c r="V65" s="2">
        <f t="shared" si="8"/>
        <v>0.18</v>
      </c>
      <c r="W65" s="2">
        <f t="shared" si="9"/>
        <v>0.2</v>
      </c>
      <c r="X65" s="2">
        <f t="shared" si="10"/>
        <v>0.18</v>
      </c>
      <c r="Y65" s="2">
        <f t="shared" si="11"/>
        <v>0.2</v>
      </c>
      <c r="Z65" s="2">
        <f t="shared" si="12"/>
        <v>0.18</v>
      </c>
      <c r="AA65" s="2">
        <f t="shared" si="13"/>
        <v>0.2</v>
      </c>
      <c r="AB65" s="2">
        <f t="shared" si="14"/>
        <v>0.18</v>
      </c>
      <c r="AC65" s="2">
        <f t="shared" si="15"/>
        <v>0.2</v>
      </c>
      <c r="AD65" s="2">
        <f t="shared" si="16"/>
        <v>0.18</v>
      </c>
      <c r="AE65" s="2">
        <f t="shared" si="17"/>
        <v>0.2</v>
      </c>
      <c r="AF65" s="2">
        <f t="shared" si="18"/>
        <v>0.18</v>
      </c>
      <c r="AG65" s="2">
        <f t="shared" si="19"/>
        <v>0.2</v>
      </c>
      <c r="AH65" s="2">
        <f t="shared" si="20"/>
        <v>0.18</v>
      </c>
    </row>
    <row r="66" spans="1:34">
      <c r="A66" t="str">
        <f t="shared" si="35"/>
        <v>Coffee</v>
      </c>
      <c r="B66" t="str">
        <f t="shared" si="34"/>
        <v>Somali</v>
      </c>
      <c r="C66" s="2">
        <v>0.2</v>
      </c>
      <c r="D66" s="2">
        <v>0.18</v>
      </c>
      <c r="E66" s="2">
        <f t="shared" si="3"/>
        <v>0.2</v>
      </c>
      <c r="F66" s="2">
        <f t="shared" si="4"/>
        <v>0.18</v>
      </c>
      <c r="G66" s="2">
        <f t="shared" si="5"/>
        <v>0.2</v>
      </c>
      <c r="H66" s="2">
        <f t="shared" si="21"/>
        <v>0.18</v>
      </c>
      <c r="I66" s="2">
        <f t="shared" si="22"/>
        <v>0.2</v>
      </c>
      <c r="J66" s="2">
        <f t="shared" si="23"/>
        <v>0.18</v>
      </c>
      <c r="K66" s="2">
        <f t="shared" si="24"/>
        <v>0.2</v>
      </c>
      <c r="L66" s="2">
        <f t="shared" si="25"/>
        <v>0.18</v>
      </c>
      <c r="M66" s="2">
        <f t="shared" si="26"/>
        <v>0.2</v>
      </c>
      <c r="N66" s="2">
        <f t="shared" si="27"/>
        <v>0.18</v>
      </c>
      <c r="O66" s="2">
        <f t="shared" si="28"/>
        <v>0.2</v>
      </c>
      <c r="P66" s="2">
        <f t="shared" si="29"/>
        <v>0.18</v>
      </c>
      <c r="Q66" s="2">
        <f t="shared" si="30"/>
        <v>0.2</v>
      </c>
      <c r="R66" s="2">
        <f t="shared" si="31"/>
        <v>0.18</v>
      </c>
      <c r="S66" s="2">
        <f t="shared" si="32"/>
        <v>0.2</v>
      </c>
      <c r="T66" s="2">
        <f t="shared" si="6"/>
        <v>0.18</v>
      </c>
      <c r="U66" s="2">
        <f t="shared" si="7"/>
        <v>0.2</v>
      </c>
      <c r="V66" s="2">
        <f t="shared" si="8"/>
        <v>0.18</v>
      </c>
      <c r="W66" s="2">
        <f t="shared" si="9"/>
        <v>0.2</v>
      </c>
      <c r="X66" s="2">
        <f t="shared" si="10"/>
        <v>0.18</v>
      </c>
      <c r="Y66" s="2">
        <f t="shared" si="11"/>
        <v>0.2</v>
      </c>
      <c r="Z66" s="2">
        <f t="shared" si="12"/>
        <v>0.18</v>
      </c>
      <c r="AA66" s="2">
        <f t="shared" si="13"/>
        <v>0.2</v>
      </c>
      <c r="AB66" s="2">
        <f t="shared" si="14"/>
        <v>0.18</v>
      </c>
      <c r="AC66" s="2">
        <f t="shared" si="15"/>
        <v>0.2</v>
      </c>
      <c r="AD66" s="2">
        <f t="shared" si="16"/>
        <v>0.18</v>
      </c>
      <c r="AE66" s="2">
        <f t="shared" si="17"/>
        <v>0.2</v>
      </c>
      <c r="AF66" s="2">
        <f t="shared" si="18"/>
        <v>0.18</v>
      </c>
      <c r="AG66" s="2">
        <f t="shared" si="19"/>
        <v>0.2</v>
      </c>
      <c r="AH66" s="2">
        <f t="shared" si="20"/>
        <v>0.18</v>
      </c>
    </row>
    <row r="67" spans="1:34">
      <c r="A67" t="str">
        <f t="shared" si="35"/>
        <v>Coffee</v>
      </c>
      <c r="B67" t="str">
        <f t="shared" si="34"/>
        <v>SNNPR</v>
      </c>
      <c r="C67" s="2">
        <v>0.2</v>
      </c>
      <c r="D67" s="2">
        <v>0.18</v>
      </c>
      <c r="E67" s="2">
        <f t="shared" si="3"/>
        <v>0.2</v>
      </c>
      <c r="F67" s="2">
        <f t="shared" si="4"/>
        <v>0.18</v>
      </c>
      <c r="G67" s="2">
        <f t="shared" si="5"/>
        <v>0.2</v>
      </c>
      <c r="H67" s="2">
        <f t="shared" si="21"/>
        <v>0.18</v>
      </c>
      <c r="I67" s="2">
        <f t="shared" si="22"/>
        <v>0.2</v>
      </c>
      <c r="J67" s="2">
        <f t="shared" si="23"/>
        <v>0.18</v>
      </c>
      <c r="K67" s="2">
        <f t="shared" si="24"/>
        <v>0.2</v>
      </c>
      <c r="L67" s="2">
        <f t="shared" si="25"/>
        <v>0.18</v>
      </c>
      <c r="M67" s="2">
        <f t="shared" si="26"/>
        <v>0.2</v>
      </c>
      <c r="N67" s="2">
        <f t="shared" si="27"/>
        <v>0.18</v>
      </c>
      <c r="O67" s="2">
        <f t="shared" si="28"/>
        <v>0.2</v>
      </c>
      <c r="P67" s="2">
        <f t="shared" si="29"/>
        <v>0.18</v>
      </c>
      <c r="Q67" s="2">
        <f t="shared" si="30"/>
        <v>0.2</v>
      </c>
      <c r="R67" s="2">
        <f t="shared" si="31"/>
        <v>0.18</v>
      </c>
      <c r="S67" s="2">
        <f t="shared" si="32"/>
        <v>0.2</v>
      </c>
      <c r="T67" s="2">
        <f t="shared" si="6"/>
        <v>0.18</v>
      </c>
      <c r="U67" s="2">
        <f t="shared" si="7"/>
        <v>0.2</v>
      </c>
      <c r="V67" s="2">
        <f t="shared" si="8"/>
        <v>0.18</v>
      </c>
      <c r="W67" s="2">
        <f t="shared" si="9"/>
        <v>0.2</v>
      </c>
      <c r="X67" s="2">
        <f t="shared" si="10"/>
        <v>0.18</v>
      </c>
      <c r="Y67" s="2">
        <f t="shared" si="11"/>
        <v>0.2</v>
      </c>
      <c r="Z67" s="2">
        <f t="shared" si="12"/>
        <v>0.18</v>
      </c>
      <c r="AA67" s="2">
        <f t="shared" si="13"/>
        <v>0.2</v>
      </c>
      <c r="AB67" s="2">
        <f t="shared" si="14"/>
        <v>0.18</v>
      </c>
      <c r="AC67" s="2">
        <f t="shared" si="15"/>
        <v>0.2</v>
      </c>
      <c r="AD67" s="2">
        <f t="shared" si="16"/>
        <v>0.18</v>
      </c>
      <c r="AE67" s="2">
        <f t="shared" si="17"/>
        <v>0.2</v>
      </c>
      <c r="AF67" s="2">
        <f t="shared" si="18"/>
        <v>0.18</v>
      </c>
      <c r="AG67" s="2">
        <f t="shared" si="19"/>
        <v>0.2</v>
      </c>
      <c r="AH67" s="2">
        <f t="shared" si="20"/>
        <v>0.18</v>
      </c>
    </row>
    <row r="68" spans="1:34">
      <c r="A68" t="str">
        <f t="shared" si="35"/>
        <v>Coffee</v>
      </c>
      <c r="B68" t="str">
        <f t="shared" si="34"/>
        <v>Tigray</v>
      </c>
      <c r="C68" s="2">
        <v>0.2</v>
      </c>
      <c r="D68" s="2">
        <v>0.18</v>
      </c>
      <c r="E68" s="2">
        <f t="shared" ref="E68:F68" si="36">C68</f>
        <v>0.2</v>
      </c>
      <c r="F68" s="2">
        <f t="shared" si="36"/>
        <v>0.18</v>
      </c>
      <c r="G68" s="2">
        <f t="shared" ref="G68" si="37">E68</f>
        <v>0.2</v>
      </c>
      <c r="H68" s="2">
        <f t="shared" si="21"/>
        <v>0.18</v>
      </c>
      <c r="I68" s="2">
        <f t="shared" si="22"/>
        <v>0.2</v>
      </c>
      <c r="J68" s="2">
        <f t="shared" si="23"/>
        <v>0.18</v>
      </c>
      <c r="K68" s="2">
        <f t="shared" si="24"/>
        <v>0.2</v>
      </c>
      <c r="L68" s="2">
        <f t="shared" si="25"/>
        <v>0.18</v>
      </c>
      <c r="M68" s="2">
        <f t="shared" si="26"/>
        <v>0.2</v>
      </c>
      <c r="N68" s="2">
        <f t="shared" si="27"/>
        <v>0.18</v>
      </c>
      <c r="O68" s="2">
        <f t="shared" si="28"/>
        <v>0.2</v>
      </c>
      <c r="P68" s="2">
        <f t="shared" si="29"/>
        <v>0.18</v>
      </c>
      <c r="Q68" s="2">
        <f t="shared" si="30"/>
        <v>0.2</v>
      </c>
      <c r="R68" s="2">
        <f t="shared" si="31"/>
        <v>0.18</v>
      </c>
      <c r="S68" s="2">
        <f t="shared" si="32"/>
        <v>0.2</v>
      </c>
      <c r="T68" s="2">
        <f t="shared" si="6"/>
        <v>0.18</v>
      </c>
      <c r="U68" s="2">
        <f t="shared" si="7"/>
        <v>0.2</v>
      </c>
      <c r="V68" s="2">
        <f t="shared" si="8"/>
        <v>0.18</v>
      </c>
      <c r="W68" s="2">
        <f t="shared" si="9"/>
        <v>0.2</v>
      </c>
      <c r="X68" s="2">
        <f t="shared" si="10"/>
        <v>0.18</v>
      </c>
      <c r="Y68" s="2">
        <f t="shared" si="11"/>
        <v>0.2</v>
      </c>
      <c r="Z68" s="2">
        <f t="shared" si="12"/>
        <v>0.18</v>
      </c>
      <c r="AA68" s="2">
        <f t="shared" si="13"/>
        <v>0.2</v>
      </c>
      <c r="AB68" s="2">
        <f t="shared" si="14"/>
        <v>0.18</v>
      </c>
      <c r="AC68" s="2">
        <f t="shared" si="15"/>
        <v>0.2</v>
      </c>
      <c r="AD68" s="2">
        <f t="shared" si="16"/>
        <v>0.18</v>
      </c>
      <c r="AE68" s="2">
        <f t="shared" si="17"/>
        <v>0.2</v>
      </c>
      <c r="AF68" s="2">
        <f t="shared" si="18"/>
        <v>0.18</v>
      </c>
      <c r="AG68" s="2">
        <f t="shared" si="19"/>
        <v>0.2</v>
      </c>
      <c r="AH68" s="2">
        <f t="shared" si="20"/>
        <v>0.18</v>
      </c>
    </row>
  </sheetData>
  <pageMargins left="0.75" right="0.75" top="1" bottom="1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168"/>
  <sheetViews>
    <sheetView zoomScale="85" zoomScaleNormal="85" workbookViewId="0">
      <selection activeCell="P9" sqref="P9"/>
    </sheetView>
  </sheetViews>
  <sheetFormatPr defaultColWidth="8.875" defaultRowHeight="15.75"/>
  <cols>
    <col min="1" max="1" width="10.125" bestFit="1" customWidth="1"/>
    <col min="2" max="2" width="10.625" bestFit="1" customWidth="1"/>
    <col min="5" max="5" width="10.25" bestFit="1" customWidth="1"/>
    <col min="6" max="6" width="10.75" bestFit="1" customWidth="1"/>
  </cols>
  <sheetData>
    <row r="1" spans="1:37">
      <c r="C1" t="str">
        <f t="array" ref="C1:D1">TRANSPOSE(Seasons)</f>
        <v>Kremt</v>
      </c>
      <c r="D1" t="str">
        <v>Belg</v>
      </c>
      <c r="E1" t="str">
        <f>C1</f>
        <v>Kremt</v>
      </c>
      <c r="F1" t="str">
        <f t="shared" ref="F1:AH1" si="0">D1</f>
        <v>Belg</v>
      </c>
      <c r="G1" t="str">
        <f t="shared" si="0"/>
        <v>Kremt</v>
      </c>
      <c r="H1" t="str">
        <f t="shared" si="0"/>
        <v>Belg</v>
      </c>
      <c r="I1" t="str">
        <f t="shared" si="0"/>
        <v>Kremt</v>
      </c>
      <c r="J1" t="str">
        <f t="shared" si="0"/>
        <v>Belg</v>
      </c>
      <c r="K1" t="str">
        <f t="shared" si="0"/>
        <v>Kremt</v>
      </c>
      <c r="L1" t="str">
        <f t="shared" si="0"/>
        <v>Belg</v>
      </c>
      <c r="M1" t="str">
        <f t="shared" si="0"/>
        <v>Kremt</v>
      </c>
      <c r="N1" t="str">
        <f t="shared" si="0"/>
        <v>Belg</v>
      </c>
      <c r="O1" t="str">
        <f t="shared" si="0"/>
        <v>Kremt</v>
      </c>
      <c r="P1" t="str">
        <f t="shared" si="0"/>
        <v>Belg</v>
      </c>
      <c r="Q1" t="str">
        <f t="shared" si="0"/>
        <v>Kremt</v>
      </c>
      <c r="R1" t="str">
        <f t="shared" si="0"/>
        <v>Belg</v>
      </c>
      <c r="S1" t="str">
        <f t="shared" si="0"/>
        <v>Kremt</v>
      </c>
      <c r="T1" t="str">
        <f t="shared" si="0"/>
        <v>Belg</v>
      </c>
      <c r="U1" t="str">
        <f t="shared" si="0"/>
        <v>Kremt</v>
      </c>
      <c r="V1" t="str">
        <f t="shared" si="0"/>
        <v>Belg</v>
      </c>
      <c r="W1" t="str">
        <f t="shared" si="0"/>
        <v>Kremt</v>
      </c>
      <c r="X1" t="str">
        <f t="shared" si="0"/>
        <v>Belg</v>
      </c>
      <c r="Y1" t="str">
        <f t="shared" si="0"/>
        <v>Kremt</v>
      </c>
      <c r="Z1" t="str">
        <f t="shared" si="0"/>
        <v>Belg</v>
      </c>
      <c r="AA1" t="str">
        <f t="shared" si="0"/>
        <v>Kremt</v>
      </c>
      <c r="AB1" t="str">
        <f t="shared" si="0"/>
        <v>Belg</v>
      </c>
      <c r="AC1" t="str">
        <f t="shared" si="0"/>
        <v>Kremt</v>
      </c>
      <c r="AD1" t="str">
        <f t="shared" si="0"/>
        <v>Belg</v>
      </c>
      <c r="AE1" t="str">
        <f t="shared" si="0"/>
        <v>Kremt</v>
      </c>
      <c r="AF1" t="str">
        <f t="shared" si="0"/>
        <v>Belg</v>
      </c>
      <c r="AG1" t="str">
        <f t="shared" si="0"/>
        <v>Kremt</v>
      </c>
      <c r="AH1" t="str">
        <f t="shared" si="0"/>
        <v>Belg</v>
      </c>
      <c r="AK1">
        <v>100</v>
      </c>
    </row>
    <row r="2" spans="1:37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7">
      <c r="A3" t="str">
        <f>sets!$H$3</f>
        <v>Teff</v>
      </c>
      <c r="B3" t="str">
        <f t="array" ref="B3:B13">Nodes</f>
        <v>AddisAbaba</v>
      </c>
      <c r="C3" s="2">
        <f>(C103/0.2)/100</f>
        <v>0</v>
      </c>
      <c r="D3" s="2">
        <f>(D103/0.2)/100</f>
        <v>0</v>
      </c>
      <c r="E3" s="2">
        <f>C3</f>
        <v>0</v>
      </c>
      <c r="F3" s="2">
        <f t="shared" ref="F3:AH3" si="2">D3</f>
        <v>0</v>
      </c>
      <c r="G3" s="2">
        <f t="shared" si="2"/>
        <v>0</v>
      </c>
      <c r="H3" s="2">
        <f t="shared" si="2"/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O3" s="2">
        <f t="shared" si="2"/>
        <v>0</v>
      </c>
      <c r="P3" s="2">
        <f t="shared" si="2"/>
        <v>0</v>
      </c>
      <c r="Q3" s="2">
        <f t="shared" si="2"/>
        <v>0</v>
      </c>
      <c r="R3" s="2">
        <f t="shared" si="2"/>
        <v>0</v>
      </c>
      <c r="S3" s="2">
        <f t="shared" si="2"/>
        <v>0</v>
      </c>
      <c r="T3" s="2">
        <f t="shared" si="2"/>
        <v>0</v>
      </c>
      <c r="U3" s="2">
        <f t="shared" si="2"/>
        <v>0</v>
      </c>
      <c r="V3" s="2">
        <f t="shared" si="2"/>
        <v>0</v>
      </c>
      <c r="W3" s="2">
        <f t="shared" si="2"/>
        <v>0</v>
      </c>
      <c r="X3" s="2">
        <f t="shared" si="2"/>
        <v>0</v>
      </c>
      <c r="Y3" s="2">
        <f t="shared" si="2"/>
        <v>0</v>
      </c>
      <c r="Z3" s="2">
        <f t="shared" si="2"/>
        <v>0</v>
      </c>
      <c r="AA3" s="2">
        <f t="shared" si="2"/>
        <v>0</v>
      </c>
      <c r="AB3" s="2">
        <f t="shared" si="2"/>
        <v>0</v>
      </c>
      <c r="AC3" s="2">
        <f t="shared" si="2"/>
        <v>0</v>
      </c>
      <c r="AD3" s="2">
        <f t="shared" si="2"/>
        <v>0</v>
      </c>
      <c r="AE3" s="2">
        <f t="shared" si="2"/>
        <v>0</v>
      </c>
      <c r="AF3" s="2">
        <f t="shared" si="2"/>
        <v>0</v>
      </c>
      <c r="AG3" s="2">
        <f t="shared" si="2"/>
        <v>0</v>
      </c>
      <c r="AH3" s="2">
        <f t="shared" si="2"/>
        <v>0</v>
      </c>
    </row>
    <row r="4" spans="1:37">
      <c r="A4" t="str">
        <f>sets!$H$3</f>
        <v>Teff</v>
      </c>
      <c r="B4" t="str">
        <v>Afar</v>
      </c>
      <c r="C4" s="2">
        <f t="shared" ref="C4:D4" si="3">(C104/0.2)/100</f>
        <v>0</v>
      </c>
      <c r="D4" s="2">
        <f t="shared" si="3"/>
        <v>0.12399999999999999</v>
      </c>
      <c r="E4" s="2">
        <f t="shared" ref="E4:E67" si="4">C4</f>
        <v>0</v>
      </c>
      <c r="F4" s="2">
        <f t="shared" ref="F4:F67" si="5">D4</f>
        <v>0.12399999999999999</v>
      </c>
      <c r="G4" s="2">
        <f t="shared" ref="G4:G67" si="6">E4</f>
        <v>0</v>
      </c>
      <c r="H4" s="2">
        <f t="shared" ref="H4:H67" si="7">F4</f>
        <v>0.12399999999999999</v>
      </c>
      <c r="I4" s="2">
        <f t="shared" ref="I4:I67" si="8">G4</f>
        <v>0</v>
      </c>
      <c r="J4" s="2">
        <f t="shared" ref="J4:J67" si="9">H4</f>
        <v>0.12399999999999999</v>
      </c>
      <c r="K4" s="2">
        <f t="shared" ref="K4:K67" si="10">I4</f>
        <v>0</v>
      </c>
      <c r="L4" s="2">
        <f t="shared" ref="L4:L67" si="11">J4</f>
        <v>0.12399999999999999</v>
      </c>
      <c r="M4" s="2">
        <f t="shared" ref="M4:M67" si="12">K4</f>
        <v>0</v>
      </c>
      <c r="N4" s="2">
        <f t="shared" ref="N4:N67" si="13">L4</f>
        <v>0.12399999999999999</v>
      </c>
      <c r="O4" s="2">
        <f t="shared" ref="O4:O67" si="14">M4</f>
        <v>0</v>
      </c>
      <c r="P4" s="2">
        <f t="shared" ref="P4:P67" si="15">N4</f>
        <v>0.12399999999999999</v>
      </c>
      <c r="Q4" s="2">
        <f t="shared" ref="Q4:Q67" si="16">O4</f>
        <v>0</v>
      </c>
      <c r="R4" s="2">
        <f t="shared" ref="R4:R67" si="17">P4</f>
        <v>0.12399999999999999</v>
      </c>
      <c r="S4" s="2">
        <f t="shared" ref="S4:S67" si="18">Q4</f>
        <v>0</v>
      </c>
      <c r="T4" s="2">
        <f t="shared" ref="T4:T67" si="19">R4</f>
        <v>0.12399999999999999</v>
      </c>
      <c r="U4" s="2">
        <f t="shared" ref="U4:U67" si="20">S4</f>
        <v>0</v>
      </c>
      <c r="V4" s="2">
        <f t="shared" ref="V4:V67" si="21">T4</f>
        <v>0.12399999999999999</v>
      </c>
      <c r="W4" s="2">
        <f t="shared" ref="W4:W67" si="22">U4</f>
        <v>0</v>
      </c>
      <c r="X4" s="2">
        <f t="shared" ref="X4:X67" si="23">V4</f>
        <v>0.12399999999999999</v>
      </c>
      <c r="Y4" s="2">
        <f t="shared" ref="Y4:Y67" si="24">W4</f>
        <v>0</v>
      </c>
      <c r="Z4" s="2">
        <f t="shared" ref="Z4:Z67" si="25">X4</f>
        <v>0.12399999999999999</v>
      </c>
      <c r="AA4" s="2">
        <f t="shared" ref="AA4:AA67" si="26">Y4</f>
        <v>0</v>
      </c>
      <c r="AB4" s="2">
        <f t="shared" ref="AB4:AB67" si="27">Z4</f>
        <v>0.12399999999999999</v>
      </c>
      <c r="AC4" s="2">
        <f t="shared" ref="AC4:AC67" si="28">AA4</f>
        <v>0</v>
      </c>
      <c r="AD4" s="2">
        <f t="shared" ref="AD4:AD67" si="29">AB4</f>
        <v>0.12399999999999999</v>
      </c>
      <c r="AE4" s="2">
        <f t="shared" ref="AE4:AE67" si="30">AC4</f>
        <v>0</v>
      </c>
      <c r="AF4" s="2">
        <f t="shared" ref="AF4:AF67" si="31">AD4</f>
        <v>0.12399999999999999</v>
      </c>
      <c r="AG4" s="2">
        <f t="shared" ref="AG4:AG67" si="32">AE4</f>
        <v>0</v>
      </c>
      <c r="AH4" s="2">
        <f t="shared" ref="AH4:AH67" si="33">AF4</f>
        <v>0.12399999999999999</v>
      </c>
    </row>
    <row r="5" spans="1:37">
      <c r="A5" t="str">
        <f>sets!$H$3</f>
        <v>Teff</v>
      </c>
      <c r="B5" t="str">
        <v>Amhara</v>
      </c>
      <c r="C5" s="2">
        <f t="shared" ref="C5:D5" si="34">(C105/0.2)/100</f>
        <v>0.2</v>
      </c>
      <c r="D5" s="2">
        <f t="shared" si="34"/>
        <v>0.4</v>
      </c>
      <c r="E5" s="2">
        <f t="shared" si="4"/>
        <v>0.2</v>
      </c>
      <c r="F5" s="2">
        <f t="shared" si="5"/>
        <v>0.4</v>
      </c>
      <c r="G5" s="2">
        <f t="shared" si="6"/>
        <v>0.2</v>
      </c>
      <c r="H5" s="2">
        <f t="shared" si="7"/>
        <v>0.4</v>
      </c>
      <c r="I5" s="2">
        <f t="shared" si="8"/>
        <v>0.2</v>
      </c>
      <c r="J5" s="2">
        <f t="shared" si="9"/>
        <v>0.4</v>
      </c>
      <c r="K5" s="2">
        <f t="shared" si="10"/>
        <v>0.2</v>
      </c>
      <c r="L5" s="2">
        <f t="shared" si="11"/>
        <v>0.4</v>
      </c>
      <c r="M5" s="2">
        <f t="shared" si="12"/>
        <v>0.2</v>
      </c>
      <c r="N5" s="2">
        <f t="shared" si="13"/>
        <v>0.4</v>
      </c>
      <c r="O5" s="2">
        <f t="shared" si="14"/>
        <v>0.2</v>
      </c>
      <c r="P5" s="2">
        <f t="shared" si="15"/>
        <v>0.4</v>
      </c>
      <c r="Q5" s="2">
        <f t="shared" si="16"/>
        <v>0.2</v>
      </c>
      <c r="R5" s="2">
        <f t="shared" si="17"/>
        <v>0.4</v>
      </c>
      <c r="S5" s="2">
        <f t="shared" si="18"/>
        <v>0.2</v>
      </c>
      <c r="T5" s="2">
        <f t="shared" si="19"/>
        <v>0.4</v>
      </c>
      <c r="U5" s="2">
        <f t="shared" si="20"/>
        <v>0.2</v>
      </c>
      <c r="V5" s="2">
        <f t="shared" si="21"/>
        <v>0.4</v>
      </c>
      <c r="W5" s="2">
        <f t="shared" si="22"/>
        <v>0.2</v>
      </c>
      <c r="X5" s="2">
        <f t="shared" si="23"/>
        <v>0.4</v>
      </c>
      <c r="Y5" s="2">
        <f t="shared" si="24"/>
        <v>0.2</v>
      </c>
      <c r="Z5" s="2">
        <f t="shared" si="25"/>
        <v>0.4</v>
      </c>
      <c r="AA5" s="2">
        <f t="shared" si="26"/>
        <v>0.2</v>
      </c>
      <c r="AB5" s="2">
        <f t="shared" si="27"/>
        <v>0.4</v>
      </c>
      <c r="AC5" s="2">
        <f t="shared" si="28"/>
        <v>0.2</v>
      </c>
      <c r="AD5" s="2">
        <f t="shared" si="29"/>
        <v>0.4</v>
      </c>
      <c r="AE5" s="2">
        <f t="shared" si="30"/>
        <v>0.2</v>
      </c>
      <c r="AF5" s="2">
        <f t="shared" si="31"/>
        <v>0.4</v>
      </c>
      <c r="AG5" s="2">
        <f t="shared" si="32"/>
        <v>0.2</v>
      </c>
      <c r="AH5" s="2">
        <f t="shared" si="33"/>
        <v>0.4</v>
      </c>
    </row>
    <row r="6" spans="1:37">
      <c r="A6" t="str">
        <f>sets!$H$3</f>
        <v>Teff</v>
      </c>
      <c r="B6" t="str">
        <v>Gumuz</v>
      </c>
      <c r="C6" s="2">
        <f t="shared" ref="C6:D6" si="35">(C106/0.2)/100</f>
        <v>0.5</v>
      </c>
      <c r="D6" s="2">
        <f t="shared" si="35"/>
        <v>2.5000000000000001E-2</v>
      </c>
      <c r="E6" s="2">
        <f t="shared" si="4"/>
        <v>0.5</v>
      </c>
      <c r="F6" s="2">
        <f t="shared" si="5"/>
        <v>2.5000000000000001E-2</v>
      </c>
      <c r="G6" s="2">
        <f t="shared" si="6"/>
        <v>0.5</v>
      </c>
      <c r="H6" s="2">
        <f t="shared" si="7"/>
        <v>2.5000000000000001E-2</v>
      </c>
      <c r="I6" s="2">
        <f t="shared" si="8"/>
        <v>0.5</v>
      </c>
      <c r="J6" s="2">
        <f t="shared" si="9"/>
        <v>2.5000000000000001E-2</v>
      </c>
      <c r="K6" s="2">
        <f t="shared" si="10"/>
        <v>0.5</v>
      </c>
      <c r="L6" s="2">
        <f t="shared" si="11"/>
        <v>2.5000000000000001E-2</v>
      </c>
      <c r="M6" s="2">
        <f t="shared" si="12"/>
        <v>0.5</v>
      </c>
      <c r="N6" s="2">
        <f t="shared" si="13"/>
        <v>2.5000000000000001E-2</v>
      </c>
      <c r="O6" s="2">
        <f t="shared" si="14"/>
        <v>0.5</v>
      </c>
      <c r="P6" s="2">
        <f t="shared" si="15"/>
        <v>2.5000000000000001E-2</v>
      </c>
      <c r="Q6" s="2">
        <f t="shared" si="16"/>
        <v>0.5</v>
      </c>
      <c r="R6" s="2">
        <f t="shared" si="17"/>
        <v>2.5000000000000001E-2</v>
      </c>
      <c r="S6" s="2">
        <f t="shared" si="18"/>
        <v>0.5</v>
      </c>
      <c r="T6" s="2">
        <f t="shared" si="19"/>
        <v>2.5000000000000001E-2</v>
      </c>
      <c r="U6" s="2">
        <f t="shared" si="20"/>
        <v>0.5</v>
      </c>
      <c r="V6" s="2">
        <f t="shared" si="21"/>
        <v>2.5000000000000001E-2</v>
      </c>
      <c r="W6" s="2">
        <f t="shared" si="22"/>
        <v>0.5</v>
      </c>
      <c r="X6" s="2">
        <f t="shared" si="23"/>
        <v>2.5000000000000001E-2</v>
      </c>
      <c r="Y6" s="2">
        <f t="shared" si="24"/>
        <v>0.5</v>
      </c>
      <c r="Z6" s="2">
        <f t="shared" si="25"/>
        <v>2.5000000000000001E-2</v>
      </c>
      <c r="AA6" s="2">
        <f t="shared" si="26"/>
        <v>0.5</v>
      </c>
      <c r="AB6" s="2">
        <f t="shared" si="27"/>
        <v>2.5000000000000001E-2</v>
      </c>
      <c r="AC6" s="2">
        <f t="shared" si="28"/>
        <v>0.5</v>
      </c>
      <c r="AD6" s="2">
        <f t="shared" si="29"/>
        <v>2.5000000000000001E-2</v>
      </c>
      <c r="AE6" s="2">
        <f t="shared" si="30"/>
        <v>0.5</v>
      </c>
      <c r="AF6" s="2">
        <f t="shared" si="31"/>
        <v>2.5000000000000001E-2</v>
      </c>
      <c r="AG6" s="2">
        <f t="shared" si="32"/>
        <v>0.5</v>
      </c>
      <c r="AH6" s="2">
        <f t="shared" si="33"/>
        <v>2.5000000000000001E-2</v>
      </c>
    </row>
    <row r="7" spans="1:37">
      <c r="A7" t="str">
        <f>sets!$H$3</f>
        <v>Teff</v>
      </c>
      <c r="B7" t="str">
        <v>DireDawa</v>
      </c>
      <c r="C7" s="2">
        <f t="shared" ref="C7:D7" si="36">(C107/0.2)/100</f>
        <v>0</v>
      </c>
      <c r="D7" s="2">
        <f t="shared" si="36"/>
        <v>2.5000000000000001E-2</v>
      </c>
      <c r="E7" s="2">
        <f t="shared" si="4"/>
        <v>0</v>
      </c>
      <c r="F7" s="2">
        <f t="shared" si="5"/>
        <v>2.5000000000000001E-2</v>
      </c>
      <c r="G7" s="2">
        <f t="shared" si="6"/>
        <v>0</v>
      </c>
      <c r="H7" s="2">
        <f t="shared" si="7"/>
        <v>2.5000000000000001E-2</v>
      </c>
      <c r="I7" s="2">
        <f t="shared" si="8"/>
        <v>0</v>
      </c>
      <c r="J7" s="2">
        <f t="shared" si="9"/>
        <v>2.5000000000000001E-2</v>
      </c>
      <c r="K7" s="2">
        <f t="shared" si="10"/>
        <v>0</v>
      </c>
      <c r="L7" s="2">
        <f t="shared" si="11"/>
        <v>2.5000000000000001E-2</v>
      </c>
      <c r="M7" s="2">
        <f t="shared" si="12"/>
        <v>0</v>
      </c>
      <c r="N7" s="2">
        <f t="shared" si="13"/>
        <v>2.5000000000000001E-2</v>
      </c>
      <c r="O7" s="2">
        <f t="shared" si="14"/>
        <v>0</v>
      </c>
      <c r="P7" s="2">
        <f t="shared" si="15"/>
        <v>2.5000000000000001E-2</v>
      </c>
      <c r="Q7" s="2">
        <f t="shared" si="16"/>
        <v>0</v>
      </c>
      <c r="R7" s="2">
        <f t="shared" si="17"/>
        <v>2.5000000000000001E-2</v>
      </c>
      <c r="S7" s="2">
        <f t="shared" si="18"/>
        <v>0</v>
      </c>
      <c r="T7" s="2">
        <f t="shared" si="19"/>
        <v>2.5000000000000001E-2</v>
      </c>
      <c r="U7" s="2">
        <f t="shared" si="20"/>
        <v>0</v>
      </c>
      <c r="V7" s="2">
        <f t="shared" si="21"/>
        <v>2.5000000000000001E-2</v>
      </c>
      <c r="W7" s="2">
        <f t="shared" si="22"/>
        <v>0</v>
      </c>
      <c r="X7" s="2">
        <f t="shared" si="23"/>
        <v>2.5000000000000001E-2</v>
      </c>
      <c r="Y7" s="2">
        <f t="shared" si="24"/>
        <v>0</v>
      </c>
      <c r="Z7" s="2">
        <f t="shared" si="25"/>
        <v>2.5000000000000001E-2</v>
      </c>
      <c r="AA7" s="2">
        <f t="shared" si="26"/>
        <v>0</v>
      </c>
      <c r="AB7" s="2">
        <f t="shared" si="27"/>
        <v>2.5000000000000001E-2</v>
      </c>
      <c r="AC7" s="2">
        <f t="shared" si="28"/>
        <v>0</v>
      </c>
      <c r="AD7" s="2">
        <f t="shared" si="29"/>
        <v>2.5000000000000001E-2</v>
      </c>
      <c r="AE7" s="2">
        <f t="shared" si="30"/>
        <v>0</v>
      </c>
      <c r="AF7" s="2">
        <f t="shared" si="31"/>
        <v>2.5000000000000001E-2</v>
      </c>
      <c r="AG7" s="2">
        <f t="shared" si="32"/>
        <v>0</v>
      </c>
      <c r="AH7" s="2">
        <f t="shared" si="33"/>
        <v>2.5000000000000001E-2</v>
      </c>
    </row>
    <row r="8" spans="1:37">
      <c r="A8" t="str">
        <f>sets!$H$3</f>
        <v>Teff</v>
      </c>
      <c r="B8" t="str">
        <v>Gambela</v>
      </c>
      <c r="C8" s="2">
        <f t="shared" ref="C8:D8" si="37">(C108/0.2)/100</f>
        <v>0</v>
      </c>
      <c r="D8" s="2">
        <f t="shared" si="37"/>
        <v>0</v>
      </c>
      <c r="E8" s="2">
        <f t="shared" si="4"/>
        <v>0</v>
      </c>
      <c r="F8" s="2">
        <f t="shared" si="5"/>
        <v>0</v>
      </c>
      <c r="G8" s="2">
        <f t="shared" si="6"/>
        <v>0</v>
      </c>
      <c r="H8" s="2">
        <f t="shared" si="7"/>
        <v>0</v>
      </c>
      <c r="I8" s="2">
        <f t="shared" si="8"/>
        <v>0</v>
      </c>
      <c r="J8" s="2">
        <f t="shared" si="9"/>
        <v>0</v>
      </c>
      <c r="K8" s="2">
        <f t="shared" si="10"/>
        <v>0</v>
      </c>
      <c r="L8" s="2">
        <f t="shared" si="11"/>
        <v>0</v>
      </c>
      <c r="M8" s="2">
        <f t="shared" si="12"/>
        <v>0</v>
      </c>
      <c r="N8" s="2">
        <f t="shared" si="13"/>
        <v>0</v>
      </c>
      <c r="O8" s="2">
        <f t="shared" si="14"/>
        <v>0</v>
      </c>
      <c r="P8" s="2">
        <f t="shared" si="15"/>
        <v>0</v>
      </c>
      <c r="Q8" s="2">
        <f t="shared" si="16"/>
        <v>0</v>
      </c>
      <c r="R8" s="2">
        <f t="shared" si="17"/>
        <v>0</v>
      </c>
      <c r="S8" s="2">
        <f t="shared" si="18"/>
        <v>0</v>
      </c>
      <c r="T8" s="2">
        <f t="shared" si="19"/>
        <v>0</v>
      </c>
      <c r="U8" s="2">
        <f t="shared" si="20"/>
        <v>0</v>
      </c>
      <c r="V8" s="2">
        <f t="shared" si="21"/>
        <v>0</v>
      </c>
      <c r="W8" s="2">
        <f t="shared" si="22"/>
        <v>0</v>
      </c>
      <c r="X8" s="2">
        <f t="shared" si="23"/>
        <v>0</v>
      </c>
      <c r="Y8" s="2">
        <f t="shared" si="24"/>
        <v>0</v>
      </c>
      <c r="Z8" s="2">
        <f t="shared" si="25"/>
        <v>0</v>
      </c>
      <c r="AA8" s="2">
        <f t="shared" si="26"/>
        <v>0</v>
      </c>
      <c r="AB8" s="2">
        <f t="shared" si="27"/>
        <v>0</v>
      </c>
      <c r="AC8" s="2">
        <f t="shared" si="28"/>
        <v>0</v>
      </c>
      <c r="AD8" s="2">
        <f t="shared" si="29"/>
        <v>0</v>
      </c>
      <c r="AE8" s="2">
        <f t="shared" si="30"/>
        <v>0</v>
      </c>
      <c r="AF8" s="2">
        <f t="shared" si="31"/>
        <v>0</v>
      </c>
      <c r="AG8" s="2">
        <f t="shared" si="32"/>
        <v>0</v>
      </c>
      <c r="AH8" s="2">
        <f t="shared" si="33"/>
        <v>0</v>
      </c>
    </row>
    <row r="9" spans="1:37">
      <c r="A9" t="str">
        <f>sets!$H$3</f>
        <v>Teff</v>
      </c>
      <c r="B9" t="str">
        <v>Harari</v>
      </c>
      <c r="C9" s="2">
        <f t="shared" ref="C9" si="38">(C109/0.2)/100</f>
        <v>0.45</v>
      </c>
      <c r="D9" s="2">
        <f>(D109/0.2)/100</f>
        <v>2.5000000000000001E-2</v>
      </c>
      <c r="E9" s="2">
        <f t="shared" si="4"/>
        <v>0.45</v>
      </c>
      <c r="F9" s="2">
        <f t="shared" si="5"/>
        <v>2.5000000000000001E-2</v>
      </c>
      <c r="G9" s="2">
        <f t="shared" si="6"/>
        <v>0.45</v>
      </c>
      <c r="H9" s="2">
        <f t="shared" si="7"/>
        <v>2.5000000000000001E-2</v>
      </c>
      <c r="I9" s="2">
        <f t="shared" si="8"/>
        <v>0.45</v>
      </c>
      <c r="J9" s="2">
        <f t="shared" si="9"/>
        <v>2.5000000000000001E-2</v>
      </c>
      <c r="K9" s="2">
        <f t="shared" si="10"/>
        <v>0.45</v>
      </c>
      <c r="L9" s="2">
        <f t="shared" si="11"/>
        <v>2.5000000000000001E-2</v>
      </c>
      <c r="M9" s="2">
        <f t="shared" si="12"/>
        <v>0.45</v>
      </c>
      <c r="N9" s="2">
        <f t="shared" si="13"/>
        <v>2.5000000000000001E-2</v>
      </c>
      <c r="O9" s="2">
        <f t="shared" si="14"/>
        <v>0.45</v>
      </c>
      <c r="P9" s="2">
        <f t="shared" si="15"/>
        <v>2.5000000000000001E-2</v>
      </c>
      <c r="Q9" s="2">
        <f t="shared" si="16"/>
        <v>0.45</v>
      </c>
      <c r="R9" s="2">
        <f t="shared" si="17"/>
        <v>2.5000000000000001E-2</v>
      </c>
      <c r="S9" s="2">
        <f t="shared" si="18"/>
        <v>0.45</v>
      </c>
      <c r="T9" s="2">
        <f t="shared" si="19"/>
        <v>2.5000000000000001E-2</v>
      </c>
      <c r="U9" s="2">
        <f t="shared" si="20"/>
        <v>0.45</v>
      </c>
      <c r="V9" s="2">
        <f t="shared" si="21"/>
        <v>2.5000000000000001E-2</v>
      </c>
      <c r="W9" s="2">
        <f t="shared" si="22"/>
        <v>0.45</v>
      </c>
      <c r="X9" s="2">
        <f t="shared" si="23"/>
        <v>2.5000000000000001E-2</v>
      </c>
      <c r="Y9" s="2">
        <f t="shared" si="24"/>
        <v>0.45</v>
      </c>
      <c r="Z9" s="2">
        <f t="shared" si="25"/>
        <v>2.5000000000000001E-2</v>
      </c>
      <c r="AA9" s="2">
        <f t="shared" si="26"/>
        <v>0.45</v>
      </c>
      <c r="AB9" s="2">
        <f t="shared" si="27"/>
        <v>2.5000000000000001E-2</v>
      </c>
      <c r="AC9" s="2">
        <f t="shared" si="28"/>
        <v>0.45</v>
      </c>
      <c r="AD9" s="2">
        <f t="shared" si="29"/>
        <v>2.5000000000000001E-2</v>
      </c>
      <c r="AE9" s="2">
        <f t="shared" si="30"/>
        <v>0.45</v>
      </c>
      <c r="AF9" s="2">
        <f t="shared" si="31"/>
        <v>2.5000000000000001E-2</v>
      </c>
      <c r="AG9" s="2">
        <f t="shared" si="32"/>
        <v>0.45</v>
      </c>
      <c r="AH9" s="2">
        <f t="shared" si="33"/>
        <v>2.5000000000000001E-2</v>
      </c>
    </row>
    <row r="10" spans="1:37">
      <c r="A10" t="str">
        <f>sets!$H$3</f>
        <v>Teff</v>
      </c>
      <c r="B10" t="str">
        <v>Oromia</v>
      </c>
      <c r="C10" s="2">
        <f t="shared" ref="C10:D10" si="39">(C110/0.2)/100</f>
        <v>0.7</v>
      </c>
      <c r="D10" s="2">
        <f t="shared" si="39"/>
        <v>0.29787234042553196</v>
      </c>
      <c r="E10" s="2">
        <f t="shared" si="4"/>
        <v>0.7</v>
      </c>
      <c r="F10" s="2">
        <f t="shared" si="5"/>
        <v>0.29787234042553196</v>
      </c>
      <c r="G10" s="2">
        <f t="shared" si="6"/>
        <v>0.7</v>
      </c>
      <c r="H10" s="2">
        <f t="shared" si="7"/>
        <v>0.29787234042553196</v>
      </c>
      <c r="I10" s="2">
        <f t="shared" si="8"/>
        <v>0.7</v>
      </c>
      <c r="J10" s="2">
        <f t="shared" si="9"/>
        <v>0.29787234042553196</v>
      </c>
      <c r="K10" s="2">
        <f t="shared" si="10"/>
        <v>0.7</v>
      </c>
      <c r="L10" s="2">
        <f t="shared" si="11"/>
        <v>0.29787234042553196</v>
      </c>
      <c r="M10" s="2">
        <f t="shared" si="12"/>
        <v>0.7</v>
      </c>
      <c r="N10" s="2">
        <f t="shared" si="13"/>
        <v>0.29787234042553196</v>
      </c>
      <c r="O10" s="2">
        <f t="shared" si="14"/>
        <v>0.7</v>
      </c>
      <c r="P10" s="2">
        <f t="shared" si="15"/>
        <v>0.29787234042553196</v>
      </c>
      <c r="Q10" s="2">
        <f t="shared" si="16"/>
        <v>0.7</v>
      </c>
      <c r="R10" s="2">
        <f t="shared" si="17"/>
        <v>0.29787234042553196</v>
      </c>
      <c r="S10" s="2">
        <f t="shared" si="18"/>
        <v>0.7</v>
      </c>
      <c r="T10" s="2">
        <f t="shared" si="19"/>
        <v>0.29787234042553196</v>
      </c>
      <c r="U10" s="2">
        <f t="shared" si="20"/>
        <v>0.7</v>
      </c>
      <c r="V10" s="2">
        <f t="shared" si="21"/>
        <v>0.29787234042553196</v>
      </c>
      <c r="W10" s="2">
        <f t="shared" si="22"/>
        <v>0.7</v>
      </c>
      <c r="X10" s="2">
        <f t="shared" si="23"/>
        <v>0.29787234042553196</v>
      </c>
      <c r="Y10" s="2">
        <f t="shared" si="24"/>
        <v>0.7</v>
      </c>
      <c r="Z10" s="2">
        <f t="shared" si="25"/>
        <v>0.29787234042553196</v>
      </c>
      <c r="AA10" s="2">
        <f t="shared" si="26"/>
        <v>0.7</v>
      </c>
      <c r="AB10" s="2">
        <f t="shared" si="27"/>
        <v>0.29787234042553196</v>
      </c>
      <c r="AC10" s="2">
        <f t="shared" si="28"/>
        <v>0.7</v>
      </c>
      <c r="AD10" s="2">
        <f t="shared" si="29"/>
        <v>0.29787234042553196</v>
      </c>
      <c r="AE10" s="2">
        <f t="shared" si="30"/>
        <v>0.7</v>
      </c>
      <c r="AF10" s="2">
        <f t="shared" si="31"/>
        <v>0.29787234042553196</v>
      </c>
      <c r="AG10" s="2">
        <f t="shared" si="32"/>
        <v>0.7</v>
      </c>
      <c r="AH10" s="2">
        <f t="shared" si="33"/>
        <v>0.29787234042553196</v>
      </c>
    </row>
    <row r="11" spans="1:37">
      <c r="A11" t="str">
        <f>sets!$H$3</f>
        <v>Teff</v>
      </c>
      <c r="B11" t="str">
        <v>Somali</v>
      </c>
      <c r="C11" s="2">
        <f t="shared" ref="C11:D11" si="40">(C111/0.2)/100</f>
        <v>0</v>
      </c>
      <c r="D11" s="2">
        <f t="shared" si="40"/>
        <v>2.5000000000000001E-2</v>
      </c>
      <c r="E11" s="2">
        <f t="shared" si="4"/>
        <v>0</v>
      </c>
      <c r="F11" s="2">
        <f t="shared" si="5"/>
        <v>2.5000000000000001E-2</v>
      </c>
      <c r="G11" s="2">
        <f t="shared" si="6"/>
        <v>0</v>
      </c>
      <c r="H11" s="2">
        <f t="shared" si="7"/>
        <v>2.5000000000000001E-2</v>
      </c>
      <c r="I11" s="2">
        <f t="shared" si="8"/>
        <v>0</v>
      </c>
      <c r="J11" s="2">
        <f t="shared" si="9"/>
        <v>2.5000000000000001E-2</v>
      </c>
      <c r="K11" s="2">
        <f t="shared" si="10"/>
        <v>0</v>
      </c>
      <c r="L11" s="2">
        <f t="shared" si="11"/>
        <v>2.5000000000000001E-2</v>
      </c>
      <c r="M11" s="2">
        <f t="shared" si="12"/>
        <v>0</v>
      </c>
      <c r="N11" s="2">
        <f t="shared" si="13"/>
        <v>2.5000000000000001E-2</v>
      </c>
      <c r="O11" s="2">
        <f t="shared" si="14"/>
        <v>0</v>
      </c>
      <c r="P11" s="2">
        <f t="shared" si="15"/>
        <v>2.5000000000000001E-2</v>
      </c>
      <c r="Q11" s="2">
        <f t="shared" si="16"/>
        <v>0</v>
      </c>
      <c r="R11" s="2">
        <f t="shared" si="17"/>
        <v>2.5000000000000001E-2</v>
      </c>
      <c r="S11" s="2">
        <f t="shared" si="18"/>
        <v>0</v>
      </c>
      <c r="T11" s="2">
        <f t="shared" si="19"/>
        <v>2.5000000000000001E-2</v>
      </c>
      <c r="U11" s="2">
        <f t="shared" si="20"/>
        <v>0</v>
      </c>
      <c r="V11" s="2">
        <f t="shared" si="21"/>
        <v>2.5000000000000001E-2</v>
      </c>
      <c r="W11" s="2">
        <f t="shared" si="22"/>
        <v>0</v>
      </c>
      <c r="X11" s="2">
        <f t="shared" si="23"/>
        <v>2.5000000000000001E-2</v>
      </c>
      <c r="Y11" s="2">
        <f t="shared" si="24"/>
        <v>0</v>
      </c>
      <c r="Z11" s="2">
        <f t="shared" si="25"/>
        <v>2.5000000000000001E-2</v>
      </c>
      <c r="AA11" s="2">
        <f t="shared" si="26"/>
        <v>0</v>
      </c>
      <c r="AB11" s="2">
        <f t="shared" si="27"/>
        <v>2.5000000000000001E-2</v>
      </c>
      <c r="AC11" s="2">
        <f t="shared" si="28"/>
        <v>0</v>
      </c>
      <c r="AD11" s="2">
        <f t="shared" si="29"/>
        <v>2.5000000000000001E-2</v>
      </c>
      <c r="AE11" s="2">
        <f t="shared" si="30"/>
        <v>0</v>
      </c>
      <c r="AF11" s="2">
        <f t="shared" si="31"/>
        <v>2.5000000000000001E-2</v>
      </c>
      <c r="AG11" s="2">
        <f t="shared" si="32"/>
        <v>0</v>
      </c>
      <c r="AH11" s="2">
        <f t="shared" si="33"/>
        <v>2.5000000000000001E-2</v>
      </c>
    </row>
    <row r="12" spans="1:37">
      <c r="A12" t="str">
        <f>sets!$H$3</f>
        <v>Teff</v>
      </c>
      <c r="B12" t="str">
        <v>SNNPR</v>
      </c>
      <c r="C12" s="2">
        <f t="shared" ref="C12:D12" si="41">(C112/0.2)/100</f>
        <v>0.65</v>
      </c>
      <c r="D12" s="2">
        <f t="shared" si="41"/>
        <v>0.25303030303030299</v>
      </c>
      <c r="E12" s="2">
        <f t="shared" si="4"/>
        <v>0.65</v>
      </c>
      <c r="F12" s="2">
        <f t="shared" si="5"/>
        <v>0.25303030303030299</v>
      </c>
      <c r="G12" s="2">
        <f t="shared" si="6"/>
        <v>0.65</v>
      </c>
      <c r="H12" s="2">
        <f t="shared" si="7"/>
        <v>0.25303030303030299</v>
      </c>
      <c r="I12" s="2">
        <f t="shared" si="8"/>
        <v>0.65</v>
      </c>
      <c r="J12" s="2">
        <f t="shared" si="9"/>
        <v>0.25303030303030299</v>
      </c>
      <c r="K12" s="2">
        <f t="shared" si="10"/>
        <v>0.65</v>
      </c>
      <c r="L12" s="2">
        <f t="shared" si="11"/>
        <v>0.25303030303030299</v>
      </c>
      <c r="M12" s="2">
        <f t="shared" si="12"/>
        <v>0.65</v>
      </c>
      <c r="N12" s="2">
        <f t="shared" si="13"/>
        <v>0.25303030303030299</v>
      </c>
      <c r="O12" s="2">
        <f t="shared" si="14"/>
        <v>0.65</v>
      </c>
      <c r="P12" s="2">
        <f t="shared" si="15"/>
        <v>0.25303030303030299</v>
      </c>
      <c r="Q12" s="2">
        <f t="shared" si="16"/>
        <v>0.65</v>
      </c>
      <c r="R12" s="2">
        <f t="shared" si="17"/>
        <v>0.25303030303030299</v>
      </c>
      <c r="S12" s="2">
        <f t="shared" si="18"/>
        <v>0.65</v>
      </c>
      <c r="T12" s="2">
        <f t="shared" si="19"/>
        <v>0.25303030303030299</v>
      </c>
      <c r="U12" s="2">
        <f t="shared" si="20"/>
        <v>0.65</v>
      </c>
      <c r="V12" s="2">
        <f t="shared" si="21"/>
        <v>0.25303030303030299</v>
      </c>
      <c r="W12" s="2">
        <f t="shared" si="22"/>
        <v>0.65</v>
      </c>
      <c r="X12" s="2">
        <f t="shared" si="23"/>
        <v>0.25303030303030299</v>
      </c>
      <c r="Y12" s="2">
        <f t="shared" si="24"/>
        <v>0.65</v>
      </c>
      <c r="Z12" s="2">
        <f t="shared" si="25"/>
        <v>0.25303030303030299</v>
      </c>
      <c r="AA12" s="2">
        <f t="shared" si="26"/>
        <v>0.65</v>
      </c>
      <c r="AB12" s="2">
        <f t="shared" si="27"/>
        <v>0.25303030303030299</v>
      </c>
      <c r="AC12" s="2">
        <f t="shared" si="28"/>
        <v>0.65</v>
      </c>
      <c r="AD12" s="2">
        <f t="shared" si="29"/>
        <v>0.25303030303030299</v>
      </c>
      <c r="AE12" s="2">
        <f t="shared" si="30"/>
        <v>0.65</v>
      </c>
      <c r="AF12" s="2">
        <f t="shared" si="31"/>
        <v>0.25303030303030299</v>
      </c>
      <c r="AG12" s="2">
        <f t="shared" si="32"/>
        <v>0.65</v>
      </c>
      <c r="AH12" s="2">
        <f t="shared" si="33"/>
        <v>0.25303030303030299</v>
      </c>
    </row>
    <row r="13" spans="1:37">
      <c r="A13" t="str">
        <f>sets!$H$3</f>
        <v>Teff</v>
      </c>
      <c r="B13" t="str">
        <v>Tigray</v>
      </c>
      <c r="C13" s="2">
        <f t="shared" ref="C13:D13" si="42">(C113/0.2)/100</f>
        <v>0.75</v>
      </c>
      <c r="D13" s="2">
        <f t="shared" si="42"/>
        <v>0.29199999999999998</v>
      </c>
      <c r="E13" s="2">
        <f t="shared" si="4"/>
        <v>0.75</v>
      </c>
      <c r="F13" s="2">
        <f t="shared" si="5"/>
        <v>0.29199999999999998</v>
      </c>
      <c r="G13" s="2">
        <f t="shared" si="6"/>
        <v>0.75</v>
      </c>
      <c r="H13" s="2">
        <f t="shared" si="7"/>
        <v>0.29199999999999998</v>
      </c>
      <c r="I13" s="2">
        <f t="shared" si="8"/>
        <v>0.75</v>
      </c>
      <c r="J13" s="2">
        <f t="shared" si="9"/>
        <v>0.29199999999999998</v>
      </c>
      <c r="K13" s="2">
        <f t="shared" si="10"/>
        <v>0.75</v>
      </c>
      <c r="L13" s="2">
        <f t="shared" si="11"/>
        <v>0.29199999999999998</v>
      </c>
      <c r="M13" s="2">
        <f t="shared" si="12"/>
        <v>0.75</v>
      </c>
      <c r="N13" s="2">
        <f t="shared" si="13"/>
        <v>0.29199999999999998</v>
      </c>
      <c r="O13" s="2">
        <f t="shared" si="14"/>
        <v>0.75</v>
      </c>
      <c r="P13" s="2">
        <f t="shared" si="15"/>
        <v>0.29199999999999998</v>
      </c>
      <c r="Q13" s="2">
        <f t="shared" si="16"/>
        <v>0.75</v>
      </c>
      <c r="R13" s="2">
        <f t="shared" si="17"/>
        <v>0.29199999999999998</v>
      </c>
      <c r="S13" s="2">
        <f t="shared" si="18"/>
        <v>0.75</v>
      </c>
      <c r="T13" s="2">
        <f t="shared" si="19"/>
        <v>0.29199999999999998</v>
      </c>
      <c r="U13" s="2">
        <f t="shared" si="20"/>
        <v>0.75</v>
      </c>
      <c r="V13" s="2">
        <f t="shared" si="21"/>
        <v>0.29199999999999998</v>
      </c>
      <c r="W13" s="2">
        <f t="shared" si="22"/>
        <v>0.75</v>
      </c>
      <c r="X13" s="2">
        <f t="shared" si="23"/>
        <v>0.29199999999999998</v>
      </c>
      <c r="Y13" s="2">
        <f t="shared" si="24"/>
        <v>0.75</v>
      </c>
      <c r="Z13" s="2">
        <f t="shared" si="25"/>
        <v>0.29199999999999998</v>
      </c>
      <c r="AA13" s="2">
        <f t="shared" si="26"/>
        <v>0.75</v>
      </c>
      <c r="AB13" s="2">
        <f t="shared" si="27"/>
        <v>0.29199999999999998</v>
      </c>
      <c r="AC13" s="2">
        <f t="shared" si="28"/>
        <v>0.75</v>
      </c>
      <c r="AD13" s="2">
        <f t="shared" si="29"/>
        <v>0.29199999999999998</v>
      </c>
      <c r="AE13" s="2">
        <f t="shared" si="30"/>
        <v>0.75</v>
      </c>
      <c r="AF13" s="2">
        <f t="shared" si="31"/>
        <v>0.29199999999999998</v>
      </c>
      <c r="AG13" s="2">
        <f t="shared" si="32"/>
        <v>0.75</v>
      </c>
      <c r="AH13" s="2">
        <f t="shared" si="33"/>
        <v>0.29199999999999998</v>
      </c>
    </row>
    <row r="14" spans="1:37">
      <c r="A14" t="str">
        <f t="shared" ref="A14:A68" si="43">INDEX(Food,MATCH(A3,Food,0)+1)</f>
        <v>Sorghum</v>
      </c>
      <c r="B14" t="str">
        <f>B3</f>
        <v>AddisAbaba</v>
      </c>
      <c r="C14" s="2">
        <f t="shared" ref="C14:D14" si="44">(C114/0.2)/100</f>
        <v>0</v>
      </c>
      <c r="D14" s="2">
        <f t="shared" si="44"/>
        <v>0</v>
      </c>
      <c r="E14" s="2">
        <f t="shared" si="4"/>
        <v>0</v>
      </c>
      <c r="F14" s="2">
        <f t="shared" si="5"/>
        <v>0</v>
      </c>
      <c r="G14" s="2">
        <f t="shared" si="6"/>
        <v>0</v>
      </c>
      <c r="H14" s="2">
        <f t="shared" si="7"/>
        <v>0</v>
      </c>
      <c r="I14" s="2">
        <f t="shared" si="8"/>
        <v>0</v>
      </c>
      <c r="J14" s="2">
        <f t="shared" si="9"/>
        <v>0</v>
      </c>
      <c r="K14" s="2">
        <f t="shared" si="10"/>
        <v>0</v>
      </c>
      <c r="L14" s="2">
        <f t="shared" si="11"/>
        <v>0</v>
      </c>
      <c r="M14" s="2">
        <f t="shared" si="12"/>
        <v>0</v>
      </c>
      <c r="N14" s="2">
        <f t="shared" si="13"/>
        <v>0</v>
      </c>
      <c r="O14" s="2">
        <f t="shared" si="14"/>
        <v>0</v>
      </c>
      <c r="P14" s="2">
        <f t="shared" si="15"/>
        <v>0</v>
      </c>
      <c r="Q14" s="2">
        <f t="shared" si="16"/>
        <v>0</v>
      </c>
      <c r="R14" s="2">
        <f t="shared" si="17"/>
        <v>0</v>
      </c>
      <c r="S14" s="2">
        <f t="shared" si="18"/>
        <v>0</v>
      </c>
      <c r="T14" s="2">
        <f t="shared" si="19"/>
        <v>0</v>
      </c>
      <c r="U14" s="2">
        <f t="shared" si="20"/>
        <v>0</v>
      </c>
      <c r="V14" s="2">
        <f t="shared" si="21"/>
        <v>0</v>
      </c>
      <c r="W14" s="2">
        <f t="shared" si="22"/>
        <v>0</v>
      </c>
      <c r="X14" s="2">
        <f t="shared" si="23"/>
        <v>0</v>
      </c>
      <c r="Y14" s="2">
        <f t="shared" si="24"/>
        <v>0</v>
      </c>
      <c r="Z14" s="2">
        <f t="shared" si="25"/>
        <v>0</v>
      </c>
      <c r="AA14" s="2">
        <f t="shared" si="26"/>
        <v>0</v>
      </c>
      <c r="AB14" s="2">
        <f t="shared" si="27"/>
        <v>0</v>
      </c>
      <c r="AC14" s="2">
        <f t="shared" si="28"/>
        <v>0</v>
      </c>
      <c r="AD14" s="2">
        <f t="shared" si="29"/>
        <v>0</v>
      </c>
      <c r="AE14" s="2">
        <f t="shared" si="30"/>
        <v>0</v>
      </c>
      <c r="AF14" s="2">
        <f t="shared" si="31"/>
        <v>0</v>
      </c>
      <c r="AG14" s="2">
        <f t="shared" si="32"/>
        <v>0</v>
      </c>
      <c r="AH14" s="2">
        <f t="shared" si="33"/>
        <v>0</v>
      </c>
    </row>
    <row r="15" spans="1:37">
      <c r="A15" t="str">
        <f t="shared" si="43"/>
        <v>Sorghum</v>
      </c>
      <c r="B15" t="str">
        <f t="shared" ref="B15:B68" si="45">B4</f>
        <v>Afar</v>
      </c>
      <c r="C15" s="2">
        <f t="shared" ref="C15:D15" si="46">(C115/0.2)/100</f>
        <v>0.8</v>
      </c>
      <c r="D15" s="2">
        <f t="shared" si="46"/>
        <v>2.5000000000000001E-2</v>
      </c>
      <c r="E15" s="2">
        <f t="shared" si="4"/>
        <v>0.8</v>
      </c>
      <c r="F15" s="2">
        <f t="shared" si="5"/>
        <v>2.5000000000000001E-2</v>
      </c>
      <c r="G15" s="2">
        <f t="shared" si="6"/>
        <v>0.8</v>
      </c>
      <c r="H15" s="2">
        <f t="shared" si="7"/>
        <v>2.5000000000000001E-2</v>
      </c>
      <c r="I15" s="2">
        <f t="shared" si="8"/>
        <v>0.8</v>
      </c>
      <c r="J15" s="2">
        <f t="shared" si="9"/>
        <v>2.5000000000000001E-2</v>
      </c>
      <c r="K15" s="2">
        <f t="shared" si="10"/>
        <v>0.8</v>
      </c>
      <c r="L15" s="2">
        <f t="shared" si="11"/>
        <v>2.5000000000000001E-2</v>
      </c>
      <c r="M15" s="2">
        <f t="shared" si="12"/>
        <v>0.8</v>
      </c>
      <c r="N15" s="2">
        <f t="shared" si="13"/>
        <v>2.5000000000000001E-2</v>
      </c>
      <c r="O15" s="2">
        <f t="shared" si="14"/>
        <v>0.8</v>
      </c>
      <c r="P15" s="2">
        <f t="shared" si="15"/>
        <v>2.5000000000000001E-2</v>
      </c>
      <c r="Q15" s="2">
        <f t="shared" si="16"/>
        <v>0.8</v>
      </c>
      <c r="R15" s="2">
        <f t="shared" si="17"/>
        <v>2.5000000000000001E-2</v>
      </c>
      <c r="S15" s="2">
        <f t="shared" si="18"/>
        <v>0.8</v>
      </c>
      <c r="T15" s="2">
        <f t="shared" si="19"/>
        <v>2.5000000000000001E-2</v>
      </c>
      <c r="U15" s="2">
        <f t="shared" si="20"/>
        <v>0.8</v>
      </c>
      <c r="V15" s="2">
        <f t="shared" si="21"/>
        <v>2.5000000000000001E-2</v>
      </c>
      <c r="W15" s="2">
        <f t="shared" si="22"/>
        <v>0.8</v>
      </c>
      <c r="X15" s="2">
        <f t="shared" si="23"/>
        <v>2.5000000000000001E-2</v>
      </c>
      <c r="Y15" s="2">
        <f t="shared" si="24"/>
        <v>0.8</v>
      </c>
      <c r="Z15" s="2">
        <f t="shared" si="25"/>
        <v>2.5000000000000001E-2</v>
      </c>
      <c r="AA15" s="2">
        <f t="shared" si="26"/>
        <v>0.8</v>
      </c>
      <c r="AB15" s="2">
        <f t="shared" si="27"/>
        <v>2.5000000000000001E-2</v>
      </c>
      <c r="AC15" s="2">
        <f t="shared" si="28"/>
        <v>0.8</v>
      </c>
      <c r="AD15" s="2">
        <f t="shared" si="29"/>
        <v>2.5000000000000001E-2</v>
      </c>
      <c r="AE15" s="2">
        <f t="shared" si="30"/>
        <v>0.8</v>
      </c>
      <c r="AF15" s="2">
        <f t="shared" si="31"/>
        <v>2.5000000000000001E-2</v>
      </c>
      <c r="AG15" s="2">
        <f t="shared" si="32"/>
        <v>0.8</v>
      </c>
      <c r="AH15" s="2">
        <f t="shared" si="33"/>
        <v>2.5000000000000001E-2</v>
      </c>
    </row>
    <row r="16" spans="1:37">
      <c r="A16" t="str">
        <f t="shared" si="43"/>
        <v>Sorghum</v>
      </c>
      <c r="B16" t="str">
        <f t="shared" si="45"/>
        <v>Amhara</v>
      </c>
      <c r="C16" s="2">
        <f t="shared" ref="C16:D16" si="47">(C116/0.2)/100</f>
        <v>0.95</v>
      </c>
      <c r="D16" s="2">
        <f t="shared" si="47"/>
        <v>0.42999999999999994</v>
      </c>
      <c r="E16" s="2">
        <f t="shared" si="4"/>
        <v>0.95</v>
      </c>
      <c r="F16" s="2">
        <f t="shared" si="5"/>
        <v>0.42999999999999994</v>
      </c>
      <c r="G16" s="2">
        <f t="shared" si="6"/>
        <v>0.95</v>
      </c>
      <c r="H16" s="2">
        <f t="shared" si="7"/>
        <v>0.42999999999999994</v>
      </c>
      <c r="I16" s="2">
        <f t="shared" si="8"/>
        <v>0.95</v>
      </c>
      <c r="J16" s="2">
        <f t="shared" si="9"/>
        <v>0.42999999999999994</v>
      </c>
      <c r="K16" s="2">
        <f t="shared" si="10"/>
        <v>0.95</v>
      </c>
      <c r="L16" s="2">
        <f t="shared" si="11"/>
        <v>0.42999999999999994</v>
      </c>
      <c r="M16" s="2">
        <f t="shared" si="12"/>
        <v>0.95</v>
      </c>
      <c r="N16" s="2">
        <f t="shared" si="13"/>
        <v>0.42999999999999994</v>
      </c>
      <c r="O16" s="2">
        <f t="shared" si="14"/>
        <v>0.95</v>
      </c>
      <c r="P16" s="2">
        <f t="shared" si="15"/>
        <v>0.42999999999999994</v>
      </c>
      <c r="Q16" s="2">
        <f t="shared" si="16"/>
        <v>0.95</v>
      </c>
      <c r="R16" s="2">
        <f t="shared" si="17"/>
        <v>0.42999999999999994</v>
      </c>
      <c r="S16" s="2">
        <f t="shared" si="18"/>
        <v>0.95</v>
      </c>
      <c r="T16" s="2">
        <f t="shared" si="19"/>
        <v>0.42999999999999994</v>
      </c>
      <c r="U16" s="2">
        <f t="shared" si="20"/>
        <v>0.95</v>
      </c>
      <c r="V16" s="2">
        <f t="shared" si="21"/>
        <v>0.42999999999999994</v>
      </c>
      <c r="W16" s="2">
        <f t="shared" si="22"/>
        <v>0.95</v>
      </c>
      <c r="X16" s="2">
        <f t="shared" si="23"/>
        <v>0.42999999999999994</v>
      </c>
      <c r="Y16" s="2">
        <f t="shared" si="24"/>
        <v>0.95</v>
      </c>
      <c r="Z16" s="2">
        <f t="shared" si="25"/>
        <v>0.42999999999999994</v>
      </c>
      <c r="AA16" s="2">
        <f t="shared" si="26"/>
        <v>0.95</v>
      </c>
      <c r="AB16" s="2">
        <f t="shared" si="27"/>
        <v>0.42999999999999994</v>
      </c>
      <c r="AC16" s="2">
        <f t="shared" si="28"/>
        <v>0.95</v>
      </c>
      <c r="AD16" s="2">
        <f t="shared" si="29"/>
        <v>0.42999999999999994</v>
      </c>
      <c r="AE16" s="2">
        <f t="shared" si="30"/>
        <v>0.95</v>
      </c>
      <c r="AF16" s="2">
        <f t="shared" si="31"/>
        <v>0.42999999999999994</v>
      </c>
      <c r="AG16" s="2">
        <f t="shared" si="32"/>
        <v>0.95</v>
      </c>
      <c r="AH16" s="2">
        <f t="shared" si="33"/>
        <v>0.42999999999999994</v>
      </c>
    </row>
    <row r="17" spans="1:36">
      <c r="A17" t="str">
        <f t="shared" si="43"/>
        <v>Sorghum</v>
      </c>
      <c r="B17" t="str">
        <f t="shared" si="45"/>
        <v>Gumuz</v>
      </c>
      <c r="C17" s="2">
        <f t="shared" ref="C17:D17" si="48">(C117/0.2)/100</f>
        <v>0.85</v>
      </c>
      <c r="D17" s="2">
        <f t="shared" si="48"/>
        <v>2.5000000000000001E-2</v>
      </c>
      <c r="E17" s="2">
        <f t="shared" si="4"/>
        <v>0.85</v>
      </c>
      <c r="F17" s="2">
        <f t="shared" si="5"/>
        <v>2.5000000000000001E-2</v>
      </c>
      <c r="G17" s="2">
        <f t="shared" si="6"/>
        <v>0.85</v>
      </c>
      <c r="H17" s="2">
        <f t="shared" si="7"/>
        <v>2.5000000000000001E-2</v>
      </c>
      <c r="I17" s="2">
        <f t="shared" si="8"/>
        <v>0.85</v>
      </c>
      <c r="J17" s="2">
        <f t="shared" si="9"/>
        <v>2.5000000000000001E-2</v>
      </c>
      <c r="K17" s="2">
        <f t="shared" si="10"/>
        <v>0.85</v>
      </c>
      <c r="L17" s="2">
        <f t="shared" si="11"/>
        <v>2.5000000000000001E-2</v>
      </c>
      <c r="M17" s="2">
        <f t="shared" si="12"/>
        <v>0.85</v>
      </c>
      <c r="N17" s="2">
        <f t="shared" si="13"/>
        <v>2.5000000000000001E-2</v>
      </c>
      <c r="O17" s="2">
        <f t="shared" si="14"/>
        <v>0.85</v>
      </c>
      <c r="P17" s="2">
        <f t="shared" si="15"/>
        <v>2.5000000000000001E-2</v>
      </c>
      <c r="Q17" s="2">
        <f t="shared" si="16"/>
        <v>0.85</v>
      </c>
      <c r="R17" s="2">
        <f t="shared" si="17"/>
        <v>2.5000000000000001E-2</v>
      </c>
      <c r="S17" s="2">
        <f t="shared" si="18"/>
        <v>0.85</v>
      </c>
      <c r="T17" s="2">
        <f t="shared" si="19"/>
        <v>2.5000000000000001E-2</v>
      </c>
      <c r="U17" s="2">
        <f t="shared" si="20"/>
        <v>0.85</v>
      </c>
      <c r="V17" s="2">
        <f t="shared" si="21"/>
        <v>2.5000000000000001E-2</v>
      </c>
      <c r="W17" s="2">
        <f t="shared" si="22"/>
        <v>0.85</v>
      </c>
      <c r="X17" s="2">
        <f t="shared" si="23"/>
        <v>2.5000000000000001E-2</v>
      </c>
      <c r="Y17" s="2">
        <f t="shared" si="24"/>
        <v>0.85</v>
      </c>
      <c r="Z17" s="2">
        <f t="shared" si="25"/>
        <v>2.5000000000000001E-2</v>
      </c>
      <c r="AA17" s="2">
        <f t="shared" si="26"/>
        <v>0.85</v>
      </c>
      <c r="AB17" s="2">
        <f t="shared" si="27"/>
        <v>2.5000000000000001E-2</v>
      </c>
      <c r="AC17" s="2">
        <f t="shared" si="28"/>
        <v>0.85</v>
      </c>
      <c r="AD17" s="2">
        <f t="shared" si="29"/>
        <v>2.5000000000000001E-2</v>
      </c>
      <c r="AE17" s="2">
        <f t="shared" si="30"/>
        <v>0.85</v>
      </c>
      <c r="AF17" s="2">
        <f t="shared" si="31"/>
        <v>2.5000000000000001E-2</v>
      </c>
      <c r="AG17" s="2">
        <f t="shared" si="32"/>
        <v>0.85</v>
      </c>
      <c r="AH17" s="2">
        <f t="shared" si="33"/>
        <v>2.5000000000000001E-2</v>
      </c>
    </row>
    <row r="18" spans="1:36">
      <c r="A18" t="str">
        <f t="shared" si="43"/>
        <v>Sorghum</v>
      </c>
      <c r="B18" t="str">
        <f t="shared" si="45"/>
        <v>DireDawa</v>
      </c>
      <c r="C18" s="2">
        <f t="shared" ref="C18:D18" si="49">(C118/0.2)/100</f>
        <v>0.85</v>
      </c>
      <c r="D18" s="2">
        <f t="shared" si="49"/>
        <v>0.05</v>
      </c>
      <c r="E18" s="2">
        <f t="shared" si="4"/>
        <v>0.85</v>
      </c>
      <c r="F18" s="2">
        <f t="shared" si="5"/>
        <v>0.05</v>
      </c>
      <c r="G18" s="2">
        <f t="shared" si="6"/>
        <v>0.85</v>
      </c>
      <c r="H18" s="2">
        <f t="shared" si="7"/>
        <v>0.05</v>
      </c>
      <c r="I18" s="2">
        <f t="shared" si="8"/>
        <v>0.85</v>
      </c>
      <c r="J18" s="2">
        <f t="shared" si="9"/>
        <v>0.05</v>
      </c>
      <c r="K18" s="2">
        <f t="shared" si="10"/>
        <v>0.85</v>
      </c>
      <c r="L18" s="2">
        <f t="shared" si="11"/>
        <v>0.05</v>
      </c>
      <c r="M18" s="2">
        <f t="shared" si="12"/>
        <v>0.85</v>
      </c>
      <c r="N18" s="2">
        <f t="shared" si="13"/>
        <v>0.05</v>
      </c>
      <c r="O18" s="2">
        <f t="shared" si="14"/>
        <v>0.85</v>
      </c>
      <c r="P18" s="2">
        <f t="shared" si="15"/>
        <v>0.05</v>
      </c>
      <c r="Q18" s="2">
        <f t="shared" si="16"/>
        <v>0.85</v>
      </c>
      <c r="R18" s="2">
        <f t="shared" si="17"/>
        <v>0.05</v>
      </c>
      <c r="S18" s="2">
        <f t="shared" si="18"/>
        <v>0.85</v>
      </c>
      <c r="T18" s="2">
        <f t="shared" si="19"/>
        <v>0.05</v>
      </c>
      <c r="U18" s="2">
        <f t="shared" si="20"/>
        <v>0.85</v>
      </c>
      <c r="V18" s="2">
        <f t="shared" si="21"/>
        <v>0.05</v>
      </c>
      <c r="W18" s="2">
        <f t="shared" si="22"/>
        <v>0.85</v>
      </c>
      <c r="X18" s="2">
        <f t="shared" si="23"/>
        <v>0.05</v>
      </c>
      <c r="Y18" s="2">
        <f t="shared" si="24"/>
        <v>0.85</v>
      </c>
      <c r="Z18" s="2">
        <f t="shared" si="25"/>
        <v>0.05</v>
      </c>
      <c r="AA18" s="2">
        <f t="shared" si="26"/>
        <v>0.85</v>
      </c>
      <c r="AB18" s="2">
        <f t="shared" si="27"/>
        <v>0.05</v>
      </c>
      <c r="AC18" s="2">
        <f t="shared" si="28"/>
        <v>0.85</v>
      </c>
      <c r="AD18" s="2">
        <f t="shared" si="29"/>
        <v>0.05</v>
      </c>
      <c r="AE18" s="2">
        <f t="shared" si="30"/>
        <v>0.85</v>
      </c>
      <c r="AF18" s="2">
        <f t="shared" si="31"/>
        <v>0.05</v>
      </c>
      <c r="AG18" s="2">
        <f t="shared" si="32"/>
        <v>0.85</v>
      </c>
      <c r="AH18" s="2">
        <f t="shared" si="33"/>
        <v>0.05</v>
      </c>
    </row>
    <row r="19" spans="1:36">
      <c r="A19" t="str">
        <f t="shared" si="43"/>
        <v>Sorghum</v>
      </c>
      <c r="B19" t="str">
        <f t="shared" si="45"/>
        <v>Gambela</v>
      </c>
      <c r="C19" s="2">
        <f t="shared" ref="C19:D19" si="50">(C119/0.2)/100</f>
        <v>1.1499999999999999</v>
      </c>
      <c r="D19" s="2">
        <f t="shared" si="50"/>
        <v>0</v>
      </c>
      <c r="E19" s="2">
        <f t="shared" si="4"/>
        <v>1.1499999999999999</v>
      </c>
      <c r="F19" s="2">
        <f t="shared" si="5"/>
        <v>0</v>
      </c>
      <c r="G19" s="2">
        <f t="shared" si="6"/>
        <v>1.1499999999999999</v>
      </c>
      <c r="H19" s="2">
        <f t="shared" si="7"/>
        <v>0</v>
      </c>
      <c r="I19" s="2">
        <f t="shared" si="8"/>
        <v>1.1499999999999999</v>
      </c>
      <c r="J19" s="2">
        <f t="shared" si="9"/>
        <v>0</v>
      </c>
      <c r="K19" s="2">
        <f t="shared" si="10"/>
        <v>1.1499999999999999</v>
      </c>
      <c r="L19" s="2">
        <f t="shared" si="11"/>
        <v>0</v>
      </c>
      <c r="M19" s="2">
        <f t="shared" si="12"/>
        <v>1.1499999999999999</v>
      </c>
      <c r="N19" s="2">
        <f t="shared" si="13"/>
        <v>0</v>
      </c>
      <c r="O19" s="2">
        <f t="shared" si="14"/>
        <v>1.1499999999999999</v>
      </c>
      <c r="P19" s="2">
        <f t="shared" si="15"/>
        <v>0</v>
      </c>
      <c r="Q19" s="2">
        <f t="shared" si="16"/>
        <v>1.1499999999999999</v>
      </c>
      <c r="R19" s="2">
        <f t="shared" si="17"/>
        <v>0</v>
      </c>
      <c r="S19" s="2">
        <f t="shared" si="18"/>
        <v>1.1499999999999999</v>
      </c>
      <c r="T19" s="2">
        <f t="shared" si="19"/>
        <v>0</v>
      </c>
      <c r="U19" s="2">
        <f t="shared" si="20"/>
        <v>1.1499999999999999</v>
      </c>
      <c r="V19" s="2">
        <f t="shared" si="21"/>
        <v>0</v>
      </c>
      <c r="W19" s="2">
        <f t="shared" si="22"/>
        <v>1.1499999999999999</v>
      </c>
      <c r="X19" s="2">
        <f t="shared" si="23"/>
        <v>0</v>
      </c>
      <c r="Y19" s="2">
        <f t="shared" si="24"/>
        <v>1.1499999999999999</v>
      </c>
      <c r="Z19" s="2">
        <f t="shared" si="25"/>
        <v>0</v>
      </c>
      <c r="AA19" s="2">
        <f t="shared" si="26"/>
        <v>1.1499999999999999</v>
      </c>
      <c r="AB19" s="2">
        <f t="shared" si="27"/>
        <v>0</v>
      </c>
      <c r="AC19" s="2">
        <f t="shared" si="28"/>
        <v>1.1499999999999999</v>
      </c>
      <c r="AD19" s="2">
        <f t="shared" si="29"/>
        <v>0</v>
      </c>
      <c r="AE19" s="2">
        <f t="shared" si="30"/>
        <v>1.1499999999999999</v>
      </c>
      <c r="AF19" s="2">
        <f t="shared" si="31"/>
        <v>0</v>
      </c>
      <c r="AG19" s="2">
        <f t="shared" si="32"/>
        <v>1.1499999999999999</v>
      </c>
      <c r="AH19" s="2">
        <f t="shared" si="33"/>
        <v>0</v>
      </c>
    </row>
    <row r="20" spans="1:36">
      <c r="A20" t="str">
        <f t="shared" si="43"/>
        <v>Sorghum</v>
      </c>
      <c r="B20" t="str">
        <f t="shared" si="45"/>
        <v>Harari</v>
      </c>
      <c r="C20" s="2">
        <f t="shared" ref="C20:D20" si="51">(C120/0.2)/100</f>
        <v>0.75</v>
      </c>
      <c r="D20" s="2">
        <f t="shared" si="51"/>
        <v>2.5000000000000001E-2</v>
      </c>
      <c r="E20" s="2">
        <f t="shared" si="4"/>
        <v>0.75</v>
      </c>
      <c r="F20" s="2">
        <f t="shared" si="5"/>
        <v>2.5000000000000001E-2</v>
      </c>
      <c r="G20" s="2">
        <f t="shared" si="6"/>
        <v>0.75</v>
      </c>
      <c r="H20" s="2">
        <f t="shared" si="7"/>
        <v>2.5000000000000001E-2</v>
      </c>
      <c r="I20" s="2">
        <f t="shared" si="8"/>
        <v>0.75</v>
      </c>
      <c r="J20" s="2">
        <f t="shared" si="9"/>
        <v>2.5000000000000001E-2</v>
      </c>
      <c r="K20" s="2">
        <f t="shared" si="10"/>
        <v>0.75</v>
      </c>
      <c r="L20" s="2">
        <f t="shared" si="11"/>
        <v>2.5000000000000001E-2</v>
      </c>
      <c r="M20" s="2">
        <f t="shared" si="12"/>
        <v>0.75</v>
      </c>
      <c r="N20" s="2">
        <f t="shared" si="13"/>
        <v>2.5000000000000001E-2</v>
      </c>
      <c r="O20" s="2">
        <f t="shared" si="14"/>
        <v>0.75</v>
      </c>
      <c r="P20" s="2">
        <f t="shared" si="15"/>
        <v>2.5000000000000001E-2</v>
      </c>
      <c r="Q20" s="2">
        <f t="shared" si="16"/>
        <v>0.75</v>
      </c>
      <c r="R20" s="2">
        <f t="shared" si="17"/>
        <v>2.5000000000000001E-2</v>
      </c>
      <c r="S20" s="2">
        <f t="shared" si="18"/>
        <v>0.75</v>
      </c>
      <c r="T20" s="2">
        <f t="shared" si="19"/>
        <v>2.5000000000000001E-2</v>
      </c>
      <c r="U20" s="2">
        <f t="shared" si="20"/>
        <v>0.75</v>
      </c>
      <c r="V20" s="2">
        <f t="shared" si="21"/>
        <v>2.5000000000000001E-2</v>
      </c>
      <c r="W20" s="2">
        <f t="shared" si="22"/>
        <v>0.75</v>
      </c>
      <c r="X20" s="2">
        <f t="shared" si="23"/>
        <v>2.5000000000000001E-2</v>
      </c>
      <c r="Y20" s="2">
        <f t="shared" si="24"/>
        <v>0.75</v>
      </c>
      <c r="Z20" s="2">
        <f t="shared" si="25"/>
        <v>2.5000000000000001E-2</v>
      </c>
      <c r="AA20" s="2">
        <f t="shared" si="26"/>
        <v>0.75</v>
      </c>
      <c r="AB20" s="2">
        <f t="shared" si="27"/>
        <v>2.5000000000000001E-2</v>
      </c>
      <c r="AC20" s="2">
        <f t="shared" si="28"/>
        <v>0.75</v>
      </c>
      <c r="AD20" s="2">
        <f t="shared" si="29"/>
        <v>2.5000000000000001E-2</v>
      </c>
      <c r="AE20" s="2">
        <f t="shared" si="30"/>
        <v>0.75</v>
      </c>
      <c r="AF20" s="2">
        <f t="shared" si="31"/>
        <v>2.5000000000000001E-2</v>
      </c>
      <c r="AG20" s="2">
        <f t="shared" si="32"/>
        <v>0.75</v>
      </c>
      <c r="AH20" s="2">
        <f t="shared" si="33"/>
        <v>2.5000000000000001E-2</v>
      </c>
    </row>
    <row r="21" spans="1:36">
      <c r="A21" t="str">
        <f t="shared" si="43"/>
        <v>Sorghum</v>
      </c>
      <c r="B21" t="str">
        <f t="shared" si="45"/>
        <v>Oromia</v>
      </c>
      <c r="C21" s="2">
        <f t="shared" ref="C21:D21" si="52">(C121/0.2)/100</f>
        <v>1</v>
      </c>
      <c r="D21" s="2">
        <f t="shared" si="52"/>
        <v>0.38913043478260845</v>
      </c>
      <c r="E21" s="2">
        <f t="shared" si="4"/>
        <v>1</v>
      </c>
      <c r="F21" s="2">
        <f t="shared" si="5"/>
        <v>0.38913043478260845</v>
      </c>
      <c r="G21" s="2">
        <f t="shared" si="6"/>
        <v>1</v>
      </c>
      <c r="H21" s="2">
        <f t="shared" si="7"/>
        <v>0.38913043478260845</v>
      </c>
      <c r="I21" s="2">
        <f t="shared" si="8"/>
        <v>1</v>
      </c>
      <c r="J21" s="2">
        <f t="shared" si="9"/>
        <v>0.38913043478260845</v>
      </c>
      <c r="K21" s="2">
        <f t="shared" si="10"/>
        <v>1</v>
      </c>
      <c r="L21" s="2">
        <f t="shared" si="11"/>
        <v>0.38913043478260845</v>
      </c>
      <c r="M21" s="2">
        <f t="shared" si="12"/>
        <v>1</v>
      </c>
      <c r="N21" s="2">
        <f t="shared" si="13"/>
        <v>0.38913043478260845</v>
      </c>
      <c r="O21" s="2">
        <f t="shared" si="14"/>
        <v>1</v>
      </c>
      <c r="P21" s="2">
        <f t="shared" si="15"/>
        <v>0.38913043478260845</v>
      </c>
      <c r="Q21" s="2">
        <f t="shared" si="16"/>
        <v>1</v>
      </c>
      <c r="R21" s="2">
        <f t="shared" si="17"/>
        <v>0.38913043478260845</v>
      </c>
      <c r="S21" s="2">
        <f t="shared" si="18"/>
        <v>1</v>
      </c>
      <c r="T21" s="2">
        <f t="shared" si="19"/>
        <v>0.38913043478260845</v>
      </c>
      <c r="U21" s="2">
        <f t="shared" si="20"/>
        <v>1</v>
      </c>
      <c r="V21" s="2">
        <f t="shared" si="21"/>
        <v>0.38913043478260845</v>
      </c>
      <c r="W21" s="2">
        <f t="shared" si="22"/>
        <v>1</v>
      </c>
      <c r="X21" s="2">
        <f t="shared" si="23"/>
        <v>0.38913043478260845</v>
      </c>
      <c r="Y21" s="2">
        <f t="shared" si="24"/>
        <v>1</v>
      </c>
      <c r="Z21" s="2">
        <f t="shared" si="25"/>
        <v>0.38913043478260845</v>
      </c>
      <c r="AA21" s="2">
        <f t="shared" si="26"/>
        <v>1</v>
      </c>
      <c r="AB21" s="2">
        <f t="shared" si="27"/>
        <v>0.38913043478260845</v>
      </c>
      <c r="AC21" s="2">
        <f t="shared" si="28"/>
        <v>1</v>
      </c>
      <c r="AD21" s="2">
        <f t="shared" si="29"/>
        <v>0.38913043478260845</v>
      </c>
      <c r="AE21" s="2">
        <f t="shared" si="30"/>
        <v>1</v>
      </c>
      <c r="AF21" s="2">
        <f t="shared" si="31"/>
        <v>0.38913043478260845</v>
      </c>
      <c r="AG21" s="2">
        <f t="shared" si="32"/>
        <v>1</v>
      </c>
      <c r="AH21" s="2">
        <f t="shared" si="33"/>
        <v>0.38913043478260845</v>
      </c>
      <c r="AJ21" t="s">
        <v>79</v>
      </c>
    </row>
    <row r="22" spans="1:36">
      <c r="A22" t="str">
        <f t="shared" si="43"/>
        <v>Sorghum</v>
      </c>
      <c r="B22" t="str">
        <f t="shared" si="45"/>
        <v>Somali</v>
      </c>
      <c r="C22" s="2">
        <f t="shared" ref="C22:D22" si="53">(C122/0.2)/100</f>
        <v>0.7</v>
      </c>
      <c r="D22" s="2">
        <f t="shared" si="53"/>
        <v>0.23369565217391297</v>
      </c>
      <c r="E22" s="2">
        <f t="shared" si="4"/>
        <v>0.7</v>
      </c>
      <c r="F22" s="2">
        <f t="shared" si="5"/>
        <v>0.23369565217391297</v>
      </c>
      <c r="G22" s="2">
        <f t="shared" si="6"/>
        <v>0.7</v>
      </c>
      <c r="H22" s="2">
        <f t="shared" si="7"/>
        <v>0.23369565217391297</v>
      </c>
      <c r="I22" s="2">
        <f t="shared" si="8"/>
        <v>0.7</v>
      </c>
      <c r="J22" s="2">
        <f t="shared" si="9"/>
        <v>0.23369565217391297</v>
      </c>
      <c r="K22" s="2">
        <f t="shared" si="10"/>
        <v>0.7</v>
      </c>
      <c r="L22" s="2">
        <f t="shared" si="11"/>
        <v>0.23369565217391297</v>
      </c>
      <c r="M22" s="2">
        <f t="shared" si="12"/>
        <v>0.7</v>
      </c>
      <c r="N22" s="2">
        <f t="shared" si="13"/>
        <v>0.23369565217391297</v>
      </c>
      <c r="O22" s="2">
        <f t="shared" si="14"/>
        <v>0.7</v>
      </c>
      <c r="P22" s="2">
        <f t="shared" si="15"/>
        <v>0.23369565217391297</v>
      </c>
      <c r="Q22" s="2">
        <f t="shared" si="16"/>
        <v>0.7</v>
      </c>
      <c r="R22" s="2">
        <f t="shared" si="17"/>
        <v>0.23369565217391297</v>
      </c>
      <c r="S22" s="2">
        <f t="shared" si="18"/>
        <v>0.7</v>
      </c>
      <c r="T22" s="2">
        <f t="shared" si="19"/>
        <v>0.23369565217391297</v>
      </c>
      <c r="U22" s="2">
        <f t="shared" si="20"/>
        <v>0.7</v>
      </c>
      <c r="V22" s="2">
        <f t="shared" si="21"/>
        <v>0.23369565217391297</v>
      </c>
      <c r="W22" s="2">
        <f t="shared" si="22"/>
        <v>0.7</v>
      </c>
      <c r="X22" s="2">
        <f t="shared" si="23"/>
        <v>0.23369565217391297</v>
      </c>
      <c r="Y22" s="2">
        <f t="shared" si="24"/>
        <v>0.7</v>
      </c>
      <c r="Z22" s="2">
        <f t="shared" si="25"/>
        <v>0.23369565217391297</v>
      </c>
      <c r="AA22" s="2">
        <f t="shared" si="26"/>
        <v>0.7</v>
      </c>
      <c r="AB22" s="2">
        <f t="shared" si="27"/>
        <v>0.23369565217391297</v>
      </c>
      <c r="AC22" s="2">
        <f t="shared" si="28"/>
        <v>0.7</v>
      </c>
      <c r="AD22" s="2">
        <f t="shared" si="29"/>
        <v>0.23369565217391297</v>
      </c>
      <c r="AE22" s="2">
        <f t="shared" si="30"/>
        <v>0.7</v>
      </c>
      <c r="AF22" s="2">
        <f t="shared" si="31"/>
        <v>0.23369565217391297</v>
      </c>
      <c r="AG22" s="2">
        <f t="shared" si="32"/>
        <v>0.7</v>
      </c>
      <c r="AH22" s="2">
        <f t="shared" si="33"/>
        <v>0.23369565217391297</v>
      </c>
    </row>
    <row r="23" spans="1:36">
      <c r="A23" t="str">
        <f t="shared" si="43"/>
        <v>Sorghum</v>
      </c>
      <c r="B23" t="str">
        <f t="shared" si="45"/>
        <v>SNNPR</v>
      </c>
      <c r="C23" s="2">
        <f t="shared" ref="C23:D23" si="54">(C123/0.2)/100</f>
        <v>0.9</v>
      </c>
      <c r="D23" s="2">
        <f t="shared" si="54"/>
        <v>0.27428571428571447</v>
      </c>
      <c r="E23" s="2">
        <f t="shared" si="4"/>
        <v>0.9</v>
      </c>
      <c r="F23" s="2">
        <f t="shared" si="5"/>
        <v>0.27428571428571447</v>
      </c>
      <c r="G23" s="2">
        <f t="shared" si="6"/>
        <v>0.9</v>
      </c>
      <c r="H23" s="2">
        <f t="shared" si="7"/>
        <v>0.27428571428571447</v>
      </c>
      <c r="I23" s="2">
        <f t="shared" si="8"/>
        <v>0.9</v>
      </c>
      <c r="J23" s="2">
        <f t="shared" si="9"/>
        <v>0.27428571428571447</v>
      </c>
      <c r="K23" s="2">
        <f t="shared" si="10"/>
        <v>0.9</v>
      </c>
      <c r="L23" s="2">
        <f t="shared" si="11"/>
        <v>0.27428571428571447</v>
      </c>
      <c r="M23" s="2">
        <f t="shared" si="12"/>
        <v>0.9</v>
      </c>
      <c r="N23" s="2">
        <f t="shared" si="13"/>
        <v>0.27428571428571447</v>
      </c>
      <c r="O23" s="2">
        <f t="shared" si="14"/>
        <v>0.9</v>
      </c>
      <c r="P23" s="2">
        <f t="shared" si="15"/>
        <v>0.27428571428571447</v>
      </c>
      <c r="Q23" s="2">
        <f t="shared" si="16"/>
        <v>0.9</v>
      </c>
      <c r="R23" s="2">
        <f t="shared" si="17"/>
        <v>0.27428571428571447</v>
      </c>
      <c r="S23" s="2">
        <f t="shared" si="18"/>
        <v>0.9</v>
      </c>
      <c r="T23" s="2">
        <f t="shared" si="19"/>
        <v>0.27428571428571447</v>
      </c>
      <c r="U23" s="2">
        <f t="shared" si="20"/>
        <v>0.9</v>
      </c>
      <c r="V23" s="2">
        <f t="shared" si="21"/>
        <v>0.27428571428571447</v>
      </c>
      <c r="W23" s="2">
        <f t="shared" si="22"/>
        <v>0.9</v>
      </c>
      <c r="X23" s="2">
        <f t="shared" si="23"/>
        <v>0.27428571428571447</v>
      </c>
      <c r="Y23" s="2">
        <f t="shared" si="24"/>
        <v>0.9</v>
      </c>
      <c r="Z23" s="2">
        <f t="shared" si="25"/>
        <v>0.27428571428571447</v>
      </c>
      <c r="AA23" s="2">
        <f t="shared" si="26"/>
        <v>0.9</v>
      </c>
      <c r="AB23" s="2">
        <f t="shared" si="27"/>
        <v>0.27428571428571447</v>
      </c>
      <c r="AC23" s="2">
        <f t="shared" si="28"/>
        <v>0.9</v>
      </c>
      <c r="AD23" s="2">
        <f t="shared" si="29"/>
        <v>0.27428571428571447</v>
      </c>
      <c r="AE23" s="2">
        <f t="shared" si="30"/>
        <v>0.9</v>
      </c>
      <c r="AF23" s="2">
        <f t="shared" si="31"/>
        <v>0.27428571428571447</v>
      </c>
      <c r="AG23" s="2">
        <f t="shared" si="32"/>
        <v>0.9</v>
      </c>
      <c r="AH23" s="2">
        <f t="shared" si="33"/>
        <v>0.27428571428571447</v>
      </c>
    </row>
    <row r="24" spans="1:36">
      <c r="A24" t="str">
        <f t="shared" si="43"/>
        <v>Sorghum</v>
      </c>
      <c r="B24" t="str">
        <f t="shared" si="45"/>
        <v>Tigray</v>
      </c>
      <c r="C24" s="2">
        <f t="shared" ref="C24:D24" si="55">(C124/0.2)/100</f>
        <v>1.05</v>
      </c>
      <c r="D24" s="2">
        <f t="shared" si="55"/>
        <v>2.5000000000000001E-2</v>
      </c>
      <c r="E24" s="2">
        <f t="shared" si="4"/>
        <v>1.05</v>
      </c>
      <c r="F24" s="2">
        <f t="shared" si="5"/>
        <v>2.5000000000000001E-2</v>
      </c>
      <c r="G24" s="2">
        <f t="shared" si="6"/>
        <v>1.05</v>
      </c>
      <c r="H24" s="2">
        <f t="shared" si="7"/>
        <v>2.5000000000000001E-2</v>
      </c>
      <c r="I24" s="2">
        <f t="shared" si="8"/>
        <v>1.05</v>
      </c>
      <c r="J24" s="2">
        <f t="shared" si="9"/>
        <v>2.5000000000000001E-2</v>
      </c>
      <c r="K24" s="2">
        <f t="shared" si="10"/>
        <v>1.05</v>
      </c>
      <c r="L24" s="2">
        <f t="shared" si="11"/>
        <v>2.5000000000000001E-2</v>
      </c>
      <c r="M24" s="2">
        <f t="shared" si="12"/>
        <v>1.05</v>
      </c>
      <c r="N24" s="2">
        <f t="shared" si="13"/>
        <v>2.5000000000000001E-2</v>
      </c>
      <c r="O24" s="2">
        <f t="shared" si="14"/>
        <v>1.05</v>
      </c>
      <c r="P24" s="2">
        <f t="shared" si="15"/>
        <v>2.5000000000000001E-2</v>
      </c>
      <c r="Q24" s="2">
        <f t="shared" si="16"/>
        <v>1.05</v>
      </c>
      <c r="R24" s="2">
        <f t="shared" si="17"/>
        <v>2.5000000000000001E-2</v>
      </c>
      <c r="S24" s="2">
        <f t="shared" si="18"/>
        <v>1.05</v>
      </c>
      <c r="T24" s="2">
        <f t="shared" si="19"/>
        <v>2.5000000000000001E-2</v>
      </c>
      <c r="U24" s="2">
        <f t="shared" si="20"/>
        <v>1.05</v>
      </c>
      <c r="V24" s="2">
        <f t="shared" si="21"/>
        <v>2.5000000000000001E-2</v>
      </c>
      <c r="W24" s="2">
        <f t="shared" si="22"/>
        <v>1.05</v>
      </c>
      <c r="X24" s="2">
        <f t="shared" si="23"/>
        <v>2.5000000000000001E-2</v>
      </c>
      <c r="Y24" s="2">
        <f t="shared" si="24"/>
        <v>1.05</v>
      </c>
      <c r="Z24" s="2">
        <f t="shared" si="25"/>
        <v>2.5000000000000001E-2</v>
      </c>
      <c r="AA24" s="2">
        <f t="shared" si="26"/>
        <v>1.05</v>
      </c>
      <c r="AB24" s="2">
        <f t="shared" si="27"/>
        <v>2.5000000000000001E-2</v>
      </c>
      <c r="AC24" s="2">
        <f t="shared" si="28"/>
        <v>1.05</v>
      </c>
      <c r="AD24" s="2">
        <f t="shared" si="29"/>
        <v>2.5000000000000001E-2</v>
      </c>
      <c r="AE24" s="2">
        <f t="shared" si="30"/>
        <v>1.05</v>
      </c>
      <c r="AF24" s="2">
        <f t="shared" si="31"/>
        <v>2.5000000000000001E-2</v>
      </c>
      <c r="AG24" s="2">
        <f t="shared" si="32"/>
        <v>1.05</v>
      </c>
      <c r="AH24" s="2">
        <f t="shared" si="33"/>
        <v>2.5000000000000001E-2</v>
      </c>
    </row>
    <row r="25" spans="1:36">
      <c r="A25" t="str">
        <f t="shared" si="43"/>
        <v>Maize</v>
      </c>
      <c r="B25" t="str">
        <f t="shared" si="45"/>
        <v>AddisAbaba</v>
      </c>
      <c r="C25" s="2">
        <f t="shared" ref="C25:D25" si="56">(C125/0.2)/100</f>
        <v>0</v>
      </c>
      <c r="D25" s="2">
        <f t="shared" si="56"/>
        <v>0</v>
      </c>
      <c r="E25" s="2">
        <f t="shared" si="4"/>
        <v>0</v>
      </c>
      <c r="F25" s="2">
        <f t="shared" si="5"/>
        <v>0</v>
      </c>
      <c r="G25" s="2">
        <f t="shared" si="6"/>
        <v>0</v>
      </c>
      <c r="H25" s="2">
        <f t="shared" si="7"/>
        <v>0</v>
      </c>
      <c r="I25" s="2">
        <f t="shared" si="8"/>
        <v>0</v>
      </c>
      <c r="J25" s="2">
        <f t="shared" si="9"/>
        <v>0</v>
      </c>
      <c r="K25" s="2">
        <f t="shared" si="10"/>
        <v>0</v>
      </c>
      <c r="L25" s="2">
        <f t="shared" si="11"/>
        <v>0</v>
      </c>
      <c r="M25" s="2">
        <f t="shared" si="12"/>
        <v>0</v>
      </c>
      <c r="N25" s="2">
        <f t="shared" si="13"/>
        <v>0</v>
      </c>
      <c r="O25" s="2">
        <f t="shared" si="14"/>
        <v>0</v>
      </c>
      <c r="P25" s="2">
        <f t="shared" si="15"/>
        <v>0</v>
      </c>
      <c r="Q25" s="2">
        <f t="shared" si="16"/>
        <v>0</v>
      </c>
      <c r="R25" s="2">
        <f t="shared" si="17"/>
        <v>0</v>
      </c>
      <c r="S25" s="2">
        <f t="shared" si="18"/>
        <v>0</v>
      </c>
      <c r="T25" s="2">
        <f t="shared" si="19"/>
        <v>0</v>
      </c>
      <c r="U25" s="2">
        <f t="shared" si="20"/>
        <v>0</v>
      </c>
      <c r="V25" s="2">
        <f t="shared" si="21"/>
        <v>0</v>
      </c>
      <c r="W25" s="2">
        <f t="shared" si="22"/>
        <v>0</v>
      </c>
      <c r="X25" s="2">
        <f t="shared" si="23"/>
        <v>0</v>
      </c>
      <c r="Y25" s="2">
        <f t="shared" si="24"/>
        <v>0</v>
      </c>
      <c r="Z25" s="2">
        <f t="shared" si="25"/>
        <v>0</v>
      </c>
      <c r="AA25" s="2">
        <f t="shared" si="26"/>
        <v>0</v>
      </c>
      <c r="AB25" s="2">
        <f t="shared" si="27"/>
        <v>0</v>
      </c>
      <c r="AC25" s="2">
        <f t="shared" si="28"/>
        <v>0</v>
      </c>
      <c r="AD25" s="2">
        <f t="shared" si="29"/>
        <v>0</v>
      </c>
      <c r="AE25" s="2">
        <f t="shared" si="30"/>
        <v>0</v>
      </c>
      <c r="AF25" s="2">
        <f t="shared" si="31"/>
        <v>0</v>
      </c>
      <c r="AG25" s="2">
        <f t="shared" si="32"/>
        <v>0</v>
      </c>
      <c r="AH25" s="2">
        <f t="shared" si="33"/>
        <v>0</v>
      </c>
    </row>
    <row r="26" spans="1:36">
      <c r="A26" t="str">
        <f t="shared" si="43"/>
        <v>Maize</v>
      </c>
      <c r="B26" t="str">
        <f t="shared" si="45"/>
        <v>Afar</v>
      </c>
      <c r="C26" s="2">
        <f t="shared" ref="C26:D26" si="57">(C126/0.2)/100</f>
        <v>0</v>
      </c>
      <c r="D26" s="2">
        <f t="shared" si="57"/>
        <v>2.5000000000000001E-2</v>
      </c>
      <c r="E26" s="2">
        <f t="shared" si="4"/>
        <v>0</v>
      </c>
      <c r="F26" s="2">
        <f t="shared" si="5"/>
        <v>2.5000000000000001E-2</v>
      </c>
      <c r="G26" s="2">
        <f t="shared" si="6"/>
        <v>0</v>
      </c>
      <c r="H26" s="2">
        <f t="shared" si="7"/>
        <v>2.5000000000000001E-2</v>
      </c>
      <c r="I26" s="2">
        <f t="shared" si="8"/>
        <v>0</v>
      </c>
      <c r="J26" s="2">
        <f t="shared" si="9"/>
        <v>2.5000000000000001E-2</v>
      </c>
      <c r="K26" s="2">
        <f t="shared" si="10"/>
        <v>0</v>
      </c>
      <c r="L26" s="2">
        <f t="shared" si="11"/>
        <v>2.5000000000000001E-2</v>
      </c>
      <c r="M26" s="2">
        <f t="shared" si="12"/>
        <v>0</v>
      </c>
      <c r="N26" s="2">
        <f t="shared" si="13"/>
        <v>2.5000000000000001E-2</v>
      </c>
      <c r="O26" s="2">
        <f t="shared" si="14"/>
        <v>0</v>
      </c>
      <c r="P26" s="2">
        <f t="shared" si="15"/>
        <v>2.5000000000000001E-2</v>
      </c>
      <c r="Q26" s="2">
        <f t="shared" si="16"/>
        <v>0</v>
      </c>
      <c r="R26" s="2">
        <f t="shared" si="17"/>
        <v>2.5000000000000001E-2</v>
      </c>
      <c r="S26" s="2">
        <f t="shared" si="18"/>
        <v>0</v>
      </c>
      <c r="T26" s="2">
        <f t="shared" si="19"/>
        <v>2.5000000000000001E-2</v>
      </c>
      <c r="U26" s="2">
        <f t="shared" si="20"/>
        <v>0</v>
      </c>
      <c r="V26" s="2">
        <f t="shared" si="21"/>
        <v>2.5000000000000001E-2</v>
      </c>
      <c r="W26" s="2">
        <f t="shared" si="22"/>
        <v>0</v>
      </c>
      <c r="X26" s="2">
        <f t="shared" si="23"/>
        <v>2.5000000000000001E-2</v>
      </c>
      <c r="Y26" s="2">
        <f t="shared" si="24"/>
        <v>0</v>
      </c>
      <c r="Z26" s="2">
        <f t="shared" si="25"/>
        <v>2.5000000000000001E-2</v>
      </c>
      <c r="AA26" s="2">
        <f t="shared" si="26"/>
        <v>0</v>
      </c>
      <c r="AB26" s="2">
        <f t="shared" si="27"/>
        <v>2.5000000000000001E-2</v>
      </c>
      <c r="AC26" s="2">
        <f t="shared" si="28"/>
        <v>0</v>
      </c>
      <c r="AD26" s="2">
        <f t="shared" si="29"/>
        <v>2.5000000000000001E-2</v>
      </c>
      <c r="AE26" s="2">
        <f t="shared" si="30"/>
        <v>0</v>
      </c>
      <c r="AF26" s="2">
        <f t="shared" si="31"/>
        <v>2.5000000000000001E-2</v>
      </c>
      <c r="AG26" s="2">
        <f t="shared" si="32"/>
        <v>0</v>
      </c>
      <c r="AH26" s="2">
        <f t="shared" si="33"/>
        <v>2.5000000000000001E-2</v>
      </c>
    </row>
    <row r="27" spans="1:36">
      <c r="A27" t="str">
        <f t="shared" si="43"/>
        <v>Maize</v>
      </c>
      <c r="B27" t="str">
        <f t="shared" si="45"/>
        <v>Amhara</v>
      </c>
      <c r="C27" s="2">
        <f t="shared" ref="C27:D27" si="58">(C127/0.2)/100</f>
        <v>1.1499999999999999</v>
      </c>
      <c r="D27" s="2">
        <f t="shared" si="58"/>
        <v>0.64849999999999997</v>
      </c>
      <c r="E27" s="2">
        <f t="shared" si="4"/>
        <v>1.1499999999999999</v>
      </c>
      <c r="F27" s="2">
        <f t="shared" si="5"/>
        <v>0.64849999999999997</v>
      </c>
      <c r="G27" s="2">
        <f t="shared" si="6"/>
        <v>1.1499999999999999</v>
      </c>
      <c r="H27" s="2">
        <f t="shared" si="7"/>
        <v>0.64849999999999997</v>
      </c>
      <c r="I27" s="2">
        <f t="shared" si="8"/>
        <v>1.1499999999999999</v>
      </c>
      <c r="J27" s="2">
        <f t="shared" si="9"/>
        <v>0.64849999999999997</v>
      </c>
      <c r="K27" s="2">
        <f t="shared" si="10"/>
        <v>1.1499999999999999</v>
      </c>
      <c r="L27" s="2">
        <f t="shared" si="11"/>
        <v>0.64849999999999997</v>
      </c>
      <c r="M27" s="2">
        <f t="shared" si="12"/>
        <v>1.1499999999999999</v>
      </c>
      <c r="N27" s="2">
        <f t="shared" si="13"/>
        <v>0.64849999999999997</v>
      </c>
      <c r="O27" s="2">
        <f t="shared" si="14"/>
        <v>1.1499999999999999</v>
      </c>
      <c r="P27" s="2">
        <f t="shared" si="15"/>
        <v>0.64849999999999997</v>
      </c>
      <c r="Q27" s="2">
        <f t="shared" si="16"/>
        <v>1.1499999999999999</v>
      </c>
      <c r="R27" s="2">
        <f t="shared" si="17"/>
        <v>0.64849999999999997</v>
      </c>
      <c r="S27" s="2">
        <f t="shared" si="18"/>
        <v>1.1499999999999999</v>
      </c>
      <c r="T27" s="2">
        <f t="shared" si="19"/>
        <v>0.64849999999999997</v>
      </c>
      <c r="U27" s="2">
        <f t="shared" si="20"/>
        <v>1.1499999999999999</v>
      </c>
      <c r="V27" s="2">
        <f t="shared" si="21"/>
        <v>0.64849999999999997</v>
      </c>
      <c r="W27" s="2">
        <f t="shared" si="22"/>
        <v>1.1499999999999999</v>
      </c>
      <c r="X27" s="2">
        <f t="shared" si="23"/>
        <v>0.64849999999999997</v>
      </c>
      <c r="Y27" s="2">
        <f t="shared" si="24"/>
        <v>1.1499999999999999</v>
      </c>
      <c r="Z27" s="2">
        <f t="shared" si="25"/>
        <v>0.64849999999999997</v>
      </c>
      <c r="AA27" s="2">
        <f t="shared" si="26"/>
        <v>1.1499999999999999</v>
      </c>
      <c r="AB27" s="2">
        <f t="shared" si="27"/>
        <v>0.64849999999999997</v>
      </c>
      <c r="AC27" s="2">
        <f t="shared" si="28"/>
        <v>1.1499999999999999</v>
      </c>
      <c r="AD27" s="2">
        <f t="shared" si="29"/>
        <v>0.64849999999999997</v>
      </c>
      <c r="AE27" s="2">
        <f t="shared" si="30"/>
        <v>1.1499999999999999</v>
      </c>
      <c r="AF27" s="2">
        <f t="shared" si="31"/>
        <v>0.64849999999999997</v>
      </c>
      <c r="AG27" s="2">
        <f t="shared" si="32"/>
        <v>1.1499999999999999</v>
      </c>
      <c r="AH27" s="2">
        <f t="shared" si="33"/>
        <v>0.64849999999999997</v>
      </c>
    </row>
    <row r="28" spans="1:36">
      <c r="A28" t="str">
        <f t="shared" si="43"/>
        <v>Maize</v>
      </c>
      <c r="B28" t="str">
        <f t="shared" si="45"/>
        <v>Gumuz</v>
      </c>
      <c r="C28" s="2">
        <f t="shared" ref="C28:D28" si="59">(C128/0.2)/100</f>
        <v>1.1000000000000001</v>
      </c>
      <c r="D28" s="2">
        <f t="shared" si="59"/>
        <v>0.76349999999999996</v>
      </c>
      <c r="E28" s="2">
        <f t="shared" si="4"/>
        <v>1.1000000000000001</v>
      </c>
      <c r="F28" s="2">
        <f t="shared" si="5"/>
        <v>0.76349999999999996</v>
      </c>
      <c r="G28" s="2">
        <f t="shared" si="6"/>
        <v>1.1000000000000001</v>
      </c>
      <c r="H28" s="2">
        <f t="shared" si="7"/>
        <v>0.76349999999999996</v>
      </c>
      <c r="I28" s="2">
        <f t="shared" si="8"/>
        <v>1.1000000000000001</v>
      </c>
      <c r="J28" s="2">
        <f t="shared" si="9"/>
        <v>0.76349999999999996</v>
      </c>
      <c r="K28" s="2">
        <f t="shared" si="10"/>
        <v>1.1000000000000001</v>
      </c>
      <c r="L28" s="2">
        <f t="shared" si="11"/>
        <v>0.76349999999999996</v>
      </c>
      <c r="M28" s="2">
        <f t="shared" si="12"/>
        <v>1.1000000000000001</v>
      </c>
      <c r="N28" s="2">
        <f t="shared" si="13"/>
        <v>0.76349999999999996</v>
      </c>
      <c r="O28" s="2">
        <f t="shared" si="14"/>
        <v>1.1000000000000001</v>
      </c>
      <c r="P28" s="2">
        <f t="shared" si="15"/>
        <v>0.76349999999999996</v>
      </c>
      <c r="Q28" s="2">
        <f t="shared" si="16"/>
        <v>1.1000000000000001</v>
      </c>
      <c r="R28" s="2">
        <f t="shared" si="17"/>
        <v>0.76349999999999996</v>
      </c>
      <c r="S28" s="2">
        <f t="shared" si="18"/>
        <v>1.1000000000000001</v>
      </c>
      <c r="T28" s="2">
        <f t="shared" si="19"/>
        <v>0.76349999999999996</v>
      </c>
      <c r="U28" s="2">
        <f t="shared" si="20"/>
        <v>1.1000000000000001</v>
      </c>
      <c r="V28" s="2">
        <f t="shared" si="21"/>
        <v>0.76349999999999996</v>
      </c>
      <c r="W28" s="2">
        <f t="shared" si="22"/>
        <v>1.1000000000000001</v>
      </c>
      <c r="X28" s="2">
        <f t="shared" si="23"/>
        <v>0.76349999999999996</v>
      </c>
      <c r="Y28" s="2">
        <f t="shared" si="24"/>
        <v>1.1000000000000001</v>
      </c>
      <c r="Z28" s="2">
        <f t="shared" si="25"/>
        <v>0.76349999999999996</v>
      </c>
      <c r="AA28" s="2">
        <f t="shared" si="26"/>
        <v>1.1000000000000001</v>
      </c>
      <c r="AB28" s="2">
        <f t="shared" si="27"/>
        <v>0.76349999999999996</v>
      </c>
      <c r="AC28" s="2">
        <f t="shared" si="28"/>
        <v>1.1000000000000001</v>
      </c>
      <c r="AD28" s="2">
        <f t="shared" si="29"/>
        <v>0.76349999999999996</v>
      </c>
      <c r="AE28" s="2">
        <f t="shared" si="30"/>
        <v>1.1000000000000001</v>
      </c>
      <c r="AF28" s="2">
        <f t="shared" si="31"/>
        <v>0.76349999999999996</v>
      </c>
      <c r="AG28" s="2">
        <f t="shared" si="32"/>
        <v>1.1000000000000001</v>
      </c>
      <c r="AH28" s="2">
        <f t="shared" si="33"/>
        <v>0.76349999999999996</v>
      </c>
    </row>
    <row r="29" spans="1:36">
      <c r="A29" t="str">
        <f t="shared" si="43"/>
        <v>Maize</v>
      </c>
      <c r="B29" t="str">
        <f t="shared" si="45"/>
        <v>DireDawa</v>
      </c>
      <c r="C29" s="2">
        <f t="shared" ref="C29:D29" si="60">(C129/0.2)/100</f>
        <v>0.8</v>
      </c>
      <c r="D29" s="2">
        <f t="shared" si="60"/>
        <v>0.71599999999999997</v>
      </c>
      <c r="E29" s="2">
        <f t="shared" si="4"/>
        <v>0.8</v>
      </c>
      <c r="F29" s="2">
        <f t="shared" si="5"/>
        <v>0.71599999999999997</v>
      </c>
      <c r="G29" s="2">
        <f t="shared" si="6"/>
        <v>0.8</v>
      </c>
      <c r="H29" s="2">
        <f t="shared" si="7"/>
        <v>0.71599999999999997</v>
      </c>
      <c r="I29" s="2">
        <f t="shared" si="8"/>
        <v>0.8</v>
      </c>
      <c r="J29" s="2">
        <f t="shared" si="9"/>
        <v>0.71599999999999997</v>
      </c>
      <c r="K29" s="2">
        <f t="shared" si="10"/>
        <v>0.8</v>
      </c>
      <c r="L29" s="2">
        <f t="shared" si="11"/>
        <v>0.71599999999999997</v>
      </c>
      <c r="M29" s="2">
        <f t="shared" si="12"/>
        <v>0.8</v>
      </c>
      <c r="N29" s="2">
        <f t="shared" si="13"/>
        <v>0.71599999999999997</v>
      </c>
      <c r="O29" s="2">
        <f t="shared" si="14"/>
        <v>0.8</v>
      </c>
      <c r="P29" s="2">
        <f t="shared" si="15"/>
        <v>0.71599999999999997</v>
      </c>
      <c r="Q29" s="2">
        <f t="shared" si="16"/>
        <v>0.8</v>
      </c>
      <c r="R29" s="2">
        <f t="shared" si="17"/>
        <v>0.71599999999999997</v>
      </c>
      <c r="S29" s="2">
        <f t="shared" si="18"/>
        <v>0.8</v>
      </c>
      <c r="T29" s="2">
        <f t="shared" si="19"/>
        <v>0.71599999999999997</v>
      </c>
      <c r="U29" s="2">
        <f t="shared" si="20"/>
        <v>0.8</v>
      </c>
      <c r="V29" s="2">
        <f t="shared" si="21"/>
        <v>0.71599999999999997</v>
      </c>
      <c r="W29" s="2">
        <f t="shared" si="22"/>
        <v>0.8</v>
      </c>
      <c r="X29" s="2">
        <f t="shared" si="23"/>
        <v>0.71599999999999997</v>
      </c>
      <c r="Y29" s="2">
        <f t="shared" si="24"/>
        <v>0.8</v>
      </c>
      <c r="Z29" s="2">
        <f t="shared" si="25"/>
        <v>0.71599999999999997</v>
      </c>
      <c r="AA29" s="2">
        <f t="shared" si="26"/>
        <v>0.8</v>
      </c>
      <c r="AB29" s="2">
        <f t="shared" si="27"/>
        <v>0.71599999999999997</v>
      </c>
      <c r="AC29" s="2">
        <f t="shared" si="28"/>
        <v>0.8</v>
      </c>
      <c r="AD29" s="2">
        <f t="shared" si="29"/>
        <v>0.71599999999999997</v>
      </c>
      <c r="AE29" s="2">
        <f t="shared" si="30"/>
        <v>0.8</v>
      </c>
      <c r="AF29" s="2">
        <f t="shared" si="31"/>
        <v>0.71599999999999997</v>
      </c>
      <c r="AG29" s="2">
        <f t="shared" si="32"/>
        <v>0.8</v>
      </c>
      <c r="AH29" s="2">
        <f t="shared" si="33"/>
        <v>0.71599999999999997</v>
      </c>
    </row>
    <row r="30" spans="1:36">
      <c r="A30" t="str">
        <f t="shared" si="43"/>
        <v>Maize</v>
      </c>
      <c r="B30" t="str">
        <f t="shared" si="45"/>
        <v>Gambela</v>
      </c>
      <c r="C30" s="2">
        <f t="shared" ref="C30:D30" si="61">(C130/0.2)/100</f>
        <v>0.85</v>
      </c>
      <c r="D30" s="2">
        <f t="shared" si="61"/>
        <v>0</v>
      </c>
      <c r="E30" s="2">
        <f t="shared" si="4"/>
        <v>0.85</v>
      </c>
      <c r="F30" s="2">
        <f t="shared" si="5"/>
        <v>0</v>
      </c>
      <c r="G30" s="2">
        <f t="shared" si="6"/>
        <v>0.85</v>
      </c>
      <c r="H30" s="2">
        <f t="shared" si="7"/>
        <v>0</v>
      </c>
      <c r="I30" s="2">
        <f t="shared" si="8"/>
        <v>0.85</v>
      </c>
      <c r="J30" s="2">
        <f t="shared" si="9"/>
        <v>0</v>
      </c>
      <c r="K30" s="2">
        <f t="shared" si="10"/>
        <v>0.85</v>
      </c>
      <c r="L30" s="2">
        <f t="shared" si="11"/>
        <v>0</v>
      </c>
      <c r="M30" s="2">
        <f t="shared" si="12"/>
        <v>0.85</v>
      </c>
      <c r="N30" s="2">
        <f t="shared" si="13"/>
        <v>0</v>
      </c>
      <c r="O30" s="2">
        <f t="shared" si="14"/>
        <v>0.85</v>
      </c>
      <c r="P30" s="2">
        <f t="shared" si="15"/>
        <v>0</v>
      </c>
      <c r="Q30" s="2">
        <f t="shared" si="16"/>
        <v>0.85</v>
      </c>
      <c r="R30" s="2">
        <f t="shared" si="17"/>
        <v>0</v>
      </c>
      <c r="S30" s="2">
        <f t="shared" si="18"/>
        <v>0.85</v>
      </c>
      <c r="T30" s="2">
        <f t="shared" si="19"/>
        <v>0</v>
      </c>
      <c r="U30" s="2">
        <f t="shared" si="20"/>
        <v>0.85</v>
      </c>
      <c r="V30" s="2">
        <f t="shared" si="21"/>
        <v>0</v>
      </c>
      <c r="W30" s="2">
        <f t="shared" si="22"/>
        <v>0.85</v>
      </c>
      <c r="X30" s="2">
        <f t="shared" si="23"/>
        <v>0</v>
      </c>
      <c r="Y30" s="2">
        <f t="shared" si="24"/>
        <v>0.85</v>
      </c>
      <c r="Z30" s="2">
        <f t="shared" si="25"/>
        <v>0</v>
      </c>
      <c r="AA30" s="2">
        <f t="shared" si="26"/>
        <v>0.85</v>
      </c>
      <c r="AB30" s="2">
        <f t="shared" si="27"/>
        <v>0</v>
      </c>
      <c r="AC30" s="2">
        <f t="shared" si="28"/>
        <v>0.85</v>
      </c>
      <c r="AD30" s="2">
        <f t="shared" si="29"/>
        <v>0</v>
      </c>
      <c r="AE30" s="2">
        <f t="shared" si="30"/>
        <v>0.85</v>
      </c>
      <c r="AF30" s="2">
        <f t="shared" si="31"/>
        <v>0</v>
      </c>
      <c r="AG30" s="2">
        <f t="shared" si="32"/>
        <v>0.85</v>
      </c>
      <c r="AH30" s="2">
        <f t="shared" si="33"/>
        <v>0</v>
      </c>
    </row>
    <row r="31" spans="1:36">
      <c r="A31" t="str">
        <f t="shared" si="43"/>
        <v>Maize</v>
      </c>
      <c r="B31" t="str">
        <f t="shared" si="45"/>
        <v>Harari</v>
      </c>
      <c r="C31" s="2">
        <f t="shared" ref="C31:D31" si="62">(C131/0.2)/100</f>
        <v>1</v>
      </c>
      <c r="D31" s="2">
        <f t="shared" si="62"/>
        <v>2.5000000000000001E-2</v>
      </c>
      <c r="E31" s="2">
        <f t="shared" si="4"/>
        <v>1</v>
      </c>
      <c r="F31" s="2">
        <f t="shared" si="5"/>
        <v>2.5000000000000001E-2</v>
      </c>
      <c r="G31" s="2">
        <f t="shared" si="6"/>
        <v>1</v>
      </c>
      <c r="H31" s="2">
        <f t="shared" si="7"/>
        <v>2.5000000000000001E-2</v>
      </c>
      <c r="I31" s="2">
        <f t="shared" si="8"/>
        <v>1</v>
      </c>
      <c r="J31" s="2">
        <f t="shared" si="9"/>
        <v>2.5000000000000001E-2</v>
      </c>
      <c r="K31" s="2">
        <f t="shared" si="10"/>
        <v>1</v>
      </c>
      <c r="L31" s="2">
        <f t="shared" si="11"/>
        <v>2.5000000000000001E-2</v>
      </c>
      <c r="M31" s="2">
        <f t="shared" si="12"/>
        <v>1</v>
      </c>
      <c r="N31" s="2">
        <f t="shared" si="13"/>
        <v>2.5000000000000001E-2</v>
      </c>
      <c r="O31" s="2">
        <f t="shared" si="14"/>
        <v>1</v>
      </c>
      <c r="P31" s="2">
        <f t="shared" si="15"/>
        <v>2.5000000000000001E-2</v>
      </c>
      <c r="Q31" s="2">
        <f t="shared" si="16"/>
        <v>1</v>
      </c>
      <c r="R31" s="2">
        <f t="shared" si="17"/>
        <v>2.5000000000000001E-2</v>
      </c>
      <c r="S31" s="2">
        <f t="shared" si="18"/>
        <v>1</v>
      </c>
      <c r="T31" s="2">
        <f t="shared" si="19"/>
        <v>2.5000000000000001E-2</v>
      </c>
      <c r="U31" s="2">
        <f t="shared" si="20"/>
        <v>1</v>
      </c>
      <c r="V31" s="2">
        <f t="shared" si="21"/>
        <v>2.5000000000000001E-2</v>
      </c>
      <c r="W31" s="2">
        <f t="shared" si="22"/>
        <v>1</v>
      </c>
      <c r="X31" s="2">
        <f t="shared" si="23"/>
        <v>2.5000000000000001E-2</v>
      </c>
      <c r="Y31" s="2">
        <f t="shared" si="24"/>
        <v>1</v>
      </c>
      <c r="Z31" s="2">
        <f t="shared" si="25"/>
        <v>2.5000000000000001E-2</v>
      </c>
      <c r="AA31" s="2">
        <f t="shared" si="26"/>
        <v>1</v>
      </c>
      <c r="AB31" s="2">
        <f t="shared" si="27"/>
        <v>2.5000000000000001E-2</v>
      </c>
      <c r="AC31" s="2">
        <f t="shared" si="28"/>
        <v>1</v>
      </c>
      <c r="AD31" s="2">
        <f t="shared" si="29"/>
        <v>2.5000000000000001E-2</v>
      </c>
      <c r="AE31" s="2">
        <f t="shared" si="30"/>
        <v>1</v>
      </c>
      <c r="AF31" s="2">
        <f t="shared" si="31"/>
        <v>2.5000000000000001E-2</v>
      </c>
      <c r="AG31" s="2">
        <f t="shared" si="32"/>
        <v>1</v>
      </c>
      <c r="AH31" s="2">
        <f t="shared" si="33"/>
        <v>2.5000000000000001E-2</v>
      </c>
    </row>
    <row r="32" spans="1:36">
      <c r="A32" t="str">
        <f t="shared" si="43"/>
        <v>Maize</v>
      </c>
      <c r="B32" t="str">
        <f t="shared" si="45"/>
        <v>Oromia</v>
      </c>
      <c r="C32" s="2">
        <f t="shared" ref="C32:D32" si="63">(C132/0.2)/100</f>
        <v>1.25</v>
      </c>
      <c r="D32" s="2">
        <f t="shared" si="63"/>
        <v>0.77636815920397995</v>
      </c>
      <c r="E32" s="2">
        <f t="shared" si="4"/>
        <v>1.25</v>
      </c>
      <c r="F32" s="2">
        <f t="shared" si="5"/>
        <v>0.77636815920397995</v>
      </c>
      <c r="G32" s="2">
        <f t="shared" si="6"/>
        <v>1.25</v>
      </c>
      <c r="H32" s="2">
        <f t="shared" si="7"/>
        <v>0.77636815920397995</v>
      </c>
      <c r="I32" s="2">
        <f t="shared" si="8"/>
        <v>1.25</v>
      </c>
      <c r="J32" s="2">
        <f t="shared" si="9"/>
        <v>0.77636815920397995</v>
      </c>
      <c r="K32" s="2">
        <f t="shared" si="10"/>
        <v>1.25</v>
      </c>
      <c r="L32" s="2">
        <f t="shared" si="11"/>
        <v>0.77636815920397995</v>
      </c>
      <c r="M32" s="2">
        <f t="shared" si="12"/>
        <v>1.25</v>
      </c>
      <c r="N32" s="2">
        <f t="shared" si="13"/>
        <v>0.77636815920397995</v>
      </c>
      <c r="O32" s="2">
        <f t="shared" si="14"/>
        <v>1.25</v>
      </c>
      <c r="P32" s="2">
        <f t="shared" si="15"/>
        <v>0.77636815920397995</v>
      </c>
      <c r="Q32" s="2">
        <f t="shared" si="16"/>
        <v>1.25</v>
      </c>
      <c r="R32" s="2">
        <f t="shared" si="17"/>
        <v>0.77636815920397995</v>
      </c>
      <c r="S32" s="2">
        <f t="shared" si="18"/>
        <v>1.25</v>
      </c>
      <c r="T32" s="2">
        <f t="shared" si="19"/>
        <v>0.77636815920397995</v>
      </c>
      <c r="U32" s="2">
        <f t="shared" si="20"/>
        <v>1.25</v>
      </c>
      <c r="V32" s="2">
        <f t="shared" si="21"/>
        <v>0.77636815920397995</v>
      </c>
      <c r="W32" s="2">
        <f t="shared" si="22"/>
        <v>1.25</v>
      </c>
      <c r="X32" s="2">
        <f t="shared" si="23"/>
        <v>0.77636815920397995</v>
      </c>
      <c r="Y32" s="2">
        <f t="shared" si="24"/>
        <v>1.25</v>
      </c>
      <c r="Z32" s="2">
        <f t="shared" si="25"/>
        <v>0.77636815920397995</v>
      </c>
      <c r="AA32" s="2">
        <f t="shared" si="26"/>
        <v>1.25</v>
      </c>
      <c r="AB32" s="2">
        <f t="shared" si="27"/>
        <v>0.77636815920397995</v>
      </c>
      <c r="AC32" s="2">
        <f t="shared" si="28"/>
        <v>1.25</v>
      </c>
      <c r="AD32" s="2">
        <f t="shared" si="29"/>
        <v>0.77636815920397995</v>
      </c>
      <c r="AE32" s="2">
        <f t="shared" si="30"/>
        <v>1.25</v>
      </c>
      <c r="AF32" s="2">
        <f t="shared" si="31"/>
        <v>0.77636815920397995</v>
      </c>
      <c r="AG32" s="2">
        <f t="shared" si="32"/>
        <v>1.25</v>
      </c>
      <c r="AH32" s="2">
        <f t="shared" si="33"/>
        <v>0.77636815920397995</v>
      </c>
    </row>
    <row r="33" spans="1:34">
      <c r="A33" t="str">
        <f t="shared" si="43"/>
        <v>Maize</v>
      </c>
      <c r="B33" t="str">
        <f t="shared" si="45"/>
        <v>Somali</v>
      </c>
      <c r="C33" s="2">
        <f t="shared" ref="C33:D33" si="64">(C133/0.2)/100</f>
        <v>0.9</v>
      </c>
      <c r="D33" s="2">
        <f t="shared" si="64"/>
        <v>0.3115</v>
      </c>
      <c r="E33" s="2">
        <f t="shared" si="4"/>
        <v>0.9</v>
      </c>
      <c r="F33" s="2">
        <f t="shared" si="5"/>
        <v>0.3115</v>
      </c>
      <c r="G33" s="2">
        <f t="shared" si="6"/>
        <v>0.9</v>
      </c>
      <c r="H33" s="2">
        <f t="shared" si="7"/>
        <v>0.3115</v>
      </c>
      <c r="I33" s="2">
        <f t="shared" si="8"/>
        <v>0.9</v>
      </c>
      <c r="J33" s="2">
        <f t="shared" si="9"/>
        <v>0.3115</v>
      </c>
      <c r="K33" s="2">
        <f t="shared" si="10"/>
        <v>0.9</v>
      </c>
      <c r="L33" s="2">
        <f t="shared" si="11"/>
        <v>0.3115</v>
      </c>
      <c r="M33" s="2">
        <f t="shared" si="12"/>
        <v>0.9</v>
      </c>
      <c r="N33" s="2">
        <f t="shared" si="13"/>
        <v>0.3115</v>
      </c>
      <c r="O33" s="2">
        <f t="shared" si="14"/>
        <v>0.9</v>
      </c>
      <c r="P33" s="2">
        <f t="shared" si="15"/>
        <v>0.3115</v>
      </c>
      <c r="Q33" s="2">
        <f t="shared" si="16"/>
        <v>0.9</v>
      </c>
      <c r="R33" s="2">
        <f t="shared" si="17"/>
        <v>0.3115</v>
      </c>
      <c r="S33" s="2">
        <f t="shared" si="18"/>
        <v>0.9</v>
      </c>
      <c r="T33" s="2">
        <f t="shared" si="19"/>
        <v>0.3115</v>
      </c>
      <c r="U33" s="2">
        <f t="shared" si="20"/>
        <v>0.9</v>
      </c>
      <c r="V33" s="2">
        <f t="shared" si="21"/>
        <v>0.3115</v>
      </c>
      <c r="W33" s="2">
        <f t="shared" si="22"/>
        <v>0.9</v>
      </c>
      <c r="X33" s="2">
        <f t="shared" si="23"/>
        <v>0.3115</v>
      </c>
      <c r="Y33" s="2">
        <f t="shared" si="24"/>
        <v>0.9</v>
      </c>
      <c r="Z33" s="2">
        <f t="shared" si="25"/>
        <v>0.3115</v>
      </c>
      <c r="AA33" s="2">
        <f t="shared" si="26"/>
        <v>0.9</v>
      </c>
      <c r="AB33" s="2">
        <f t="shared" si="27"/>
        <v>0.3115</v>
      </c>
      <c r="AC33" s="2">
        <f t="shared" si="28"/>
        <v>0.9</v>
      </c>
      <c r="AD33" s="2">
        <f t="shared" si="29"/>
        <v>0.3115</v>
      </c>
      <c r="AE33" s="2">
        <f t="shared" si="30"/>
        <v>0.9</v>
      </c>
      <c r="AF33" s="2">
        <f t="shared" si="31"/>
        <v>0.3115</v>
      </c>
      <c r="AG33" s="2">
        <f t="shared" si="32"/>
        <v>0.9</v>
      </c>
      <c r="AH33" s="2">
        <f t="shared" si="33"/>
        <v>0.3115</v>
      </c>
    </row>
    <row r="34" spans="1:34">
      <c r="A34" t="str">
        <f t="shared" si="43"/>
        <v>Maize</v>
      </c>
      <c r="B34" t="str">
        <f t="shared" si="45"/>
        <v>SNNPR</v>
      </c>
      <c r="C34" s="2">
        <f t="shared" ref="C34:D34" si="65">(C134/0.2)/100</f>
        <v>1.1499999999999999</v>
      </c>
      <c r="D34" s="2">
        <f t="shared" si="65"/>
        <v>0.60599999999999998</v>
      </c>
      <c r="E34" s="2">
        <f t="shared" si="4"/>
        <v>1.1499999999999999</v>
      </c>
      <c r="F34" s="2">
        <f t="shared" si="5"/>
        <v>0.60599999999999998</v>
      </c>
      <c r="G34" s="2">
        <f t="shared" si="6"/>
        <v>1.1499999999999999</v>
      </c>
      <c r="H34" s="2">
        <f t="shared" si="7"/>
        <v>0.60599999999999998</v>
      </c>
      <c r="I34" s="2">
        <f t="shared" si="8"/>
        <v>1.1499999999999999</v>
      </c>
      <c r="J34" s="2">
        <f t="shared" si="9"/>
        <v>0.60599999999999998</v>
      </c>
      <c r="K34" s="2">
        <f t="shared" si="10"/>
        <v>1.1499999999999999</v>
      </c>
      <c r="L34" s="2">
        <f t="shared" si="11"/>
        <v>0.60599999999999998</v>
      </c>
      <c r="M34" s="2">
        <f t="shared" si="12"/>
        <v>1.1499999999999999</v>
      </c>
      <c r="N34" s="2">
        <f t="shared" si="13"/>
        <v>0.60599999999999998</v>
      </c>
      <c r="O34" s="2">
        <f t="shared" si="14"/>
        <v>1.1499999999999999</v>
      </c>
      <c r="P34" s="2">
        <f t="shared" si="15"/>
        <v>0.60599999999999998</v>
      </c>
      <c r="Q34" s="2">
        <f t="shared" si="16"/>
        <v>1.1499999999999999</v>
      </c>
      <c r="R34" s="2">
        <f t="shared" si="17"/>
        <v>0.60599999999999998</v>
      </c>
      <c r="S34" s="2">
        <f t="shared" si="18"/>
        <v>1.1499999999999999</v>
      </c>
      <c r="T34" s="2">
        <f t="shared" si="19"/>
        <v>0.60599999999999998</v>
      </c>
      <c r="U34" s="2">
        <f t="shared" si="20"/>
        <v>1.1499999999999999</v>
      </c>
      <c r="V34" s="2">
        <f t="shared" si="21"/>
        <v>0.60599999999999998</v>
      </c>
      <c r="W34" s="2">
        <f t="shared" si="22"/>
        <v>1.1499999999999999</v>
      </c>
      <c r="X34" s="2">
        <f t="shared" si="23"/>
        <v>0.60599999999999998</v>
      </c>
      <c r="Y34" s="2">
        <f t="shared" si="24"/>
        <v>1.1499999999999999</v>
      </c>
      <c r="Z34" s="2">
        <f t="shared" si="25"/>
        <v>0.60599999999999998</v>
      </c>
      <c r="AA34" s="2">
        <f t="shared" si="26"/>
        <v>1.1499999999999999</v>
      </c>
      <c r="AB34" s="2">
        <f t="shared" si="27"/>
        <v>0.60599999999999998</v>
      </c>
      <c r="AC34" s="2">
        <f t="shared" si="28"/>
        <v>1.1499999999999999</v>
      </c>
      <c r="AD34" s="2">
        <f t="shared" si="29"/>
        <v>0.60599999999999998</v>
      </c>
      <c r="AE34" s="2">
        <f t="shared" si="30"/>
        <v>1.1499999999999999</v>
      </c>
      <c r="AF34" s="2">
        <f t="shared" si="31"/>
        <v>0.60599999999999998</v>
      </c>
      <c r="AG34" s="2">
        <f t="shared" si="32"/>
        <v>1.1499999999999999</v>
      </c>
      <c r="AH34" s="2">
        <f t="shared" si="33"/>
        <v>0.60599999999999998</v>
      </c>
    </row>
    <row r="35" spans="1:34">
      <c r="A35" t="str">
        <f t="shared" si="43"/>
        <v>Maize</v>
      </c>
      <c r="B35" t="str">
        <f t="shared" si="45"/>
        <v>Tigray</v>
      </c>
      <c r="C35" s="2">
        <f t="shared" ref="C35:D35" si="66">(C135/0.2)/100</f>
        <v>1</v>
      </c>
      <c r="D35" s="2">
        <f t="shared" si="66"/>
        <v>0.47850000000000004</v>
      </c>
      <c r="E35" s="2">
        <f t="shared" si="4"/>
        <v>1</v>
      </c>
      <c r="F35" s="2">
        <f t="shared" si="5"/>
        <v>0.47850000000000004</v>
      </c>
      <c r="G35" s="2">
        <f t="shared" si="6"/>
        <v>1</v>
      </c>
      <c r="H35" s="2">
        <f t="shared" si="7"/>
        <v>0.47850000000000004</v>
      </c>
      <c r="I35" s="2">
        <f t="shared" si="8"/>
        <v>1</v>
      </c>
      <c r="J35" s="2">
        <f t="shared" si="9"/>
        <v>0.47850000000000004</v>
      </c>
      <c r="K35" s="2">
        <f t="shared" si="10"/>
        <v>1</v>
      </c>
      <c r="L35" s="2">
        <f t="shared" si="11"/>
        <v>0.47850000000000004</v>
      </c>
      <c r="M35" s="2">
        <f t="shared" si="12"/>
        <v>1</v>
      </c>
      <c r="N35" s="2">
        <f t="shared" si="13"/>
        <v>0.47850000000000004</v>
      </c>
      <c r="O35" s="2">
        <f t="shared" si="14"/>
        <v>1</v>
      </c>
      <c r="P35" s="2">
        <f t="shared" si="15"/>
        <v>0.47850000000000004</v>
      </c>
      <c r="Q35" s="2">
        <f t="shared" si="16"/>
        <v>1</v>
      </c>
      <c r="R35" s="2">
        <f t="shared" si="17"/>
        <v>0.47850000000000004</v>
      </c>
      <c r="S35" s="2">
        <f t="shared" si="18"/>
        <v>1</v>
      </c>
      <c r="T35" s="2">
        <f t="shared" si="19"/>
        <v>0.47850000000000004</v>
      </c>
      <c r="U35" s="2">
        <f t="shared" si="20"/>
        <v>1</v>
      </c>
      <c r="V35" s="2">
        <f t="shared" si="21"/>
        <v>0.47850000000000004</v>
      </c>
      <c r="W35" s="2">
        <f t="shared" si="22"/>
        <v>1</v>
      </c>
      <c r="X35" s="2">
        <f t="shared" si="23"/>
        <v>0.47850000000000004</v>
      </c>
      <c r="Y35" s="2">
        <f t="shared" si="24"/>
        <v>1</v>
      </c>
      <c r="Z35" s="2">
        <f t="shared" si="25"/>
        <v>0.47850000000000004</v>
      </c>
      <c r="AA35" s="2">
        <f t="shared" si="26"/>
        <v>1</v>
      </c>
      <c r="AB35" s="2">
        <f t="shared" si="27"/>
        <v>0.47850000000000004</v>
      </c>
      <c r="AC35" s="2">
        <f t="shared" si="28"/>
        <v>1</v>
      </c>
      <c r="AD35" s="2">
        <f t="shared" si="29"/>
        <v>0.47850000000000004</v>
      </c>
      <c r="AE35" s="2">
        <f t="shared" si="30"/>
        <v>1</v>
      </c>
      <c r="AF35" s="2">
        <f t="shared" si="31"/>
        <v>0.47850000000000004</v>
      </c>
      <c r="AG35" s="2">
        <f t="shared" si="32"/>
        <v>1</v>
      </c>
      <c r="AH35" s="2">
        <f t="shared" si="33"/>
        <v>0.47850000000000004</v>
      </c>
    </row>
    <row r="36" spans="1:34">
      <c r="A36" t="str">
        <f t="shared" si="43"/>
        <v>Lentils</v>
      </c>
      <c r="B36" t="str">
        <f t="shared" si="45"/>
        <v>AddisAbaba</v>
      </c>
      <c r="C36" s="2">
        <f t="shared" ref="C36:D36" si="67">(C136/0.2)/100</f>
        <v>0</v>
      </c>
      <c r="D36" s="2">
        <f t="shared" si="67"/>
        <v>0</v>
      </c>
      <c r="E36" s="2">
        <f t="shared" si="4"/>
        <v>0</v>
      </c>
      <c r="F36" s="2">
        <f t="shared" si="5"/>
        <v>0</v>
      </c>
      <c r="G36" s="2">
        <f t="shared" si="6"/>
        <v>0</v>
      </c>
      <c r="H36" s="2">
        <f t="shared" si="7"/>
        <v>0</v>
      </c>
      <c r="I36" s="2">
        <f t="shared" si="8"/>
        <v>0</v>
      </c>
      <c r="J36" s="2">
        <f t="shared" si="9"/>
        <v>0</v>
      </c>
      <c r="K36" s="2">
        <f t="shared" si="10"/>
        <v>0</v>
      </c>
      <c r="L36" s="2">
        <f t="shared" si="11"/>
        <v>0</v>
      </c>
      <c r="M36" s="2">
        <f t="shared" si="12"/>
        <v>0</v>
      </c>
      <c r="N36" s="2">
        <f t="shared" si="13"/>
        <v>0</v>
      </c>
      <c r="O36" s="2">
        <f t="shared" si="14"/>
        <v>0</v>
      </c>
      <c r="P36" s="2">
        <f t="shared" si="15"/>
        <v>0</v>
      </c>
      <c r="Q36" s="2">
        <f t="shared" si="16"/>
        <v>0</v>
      </c>
      <c r="R36" s="2">
        <f t="shared" si="17"/>
        <v>0</v>
      </c>
      <c r="S36" s="2">
        <f t="shared" si="18"/>
        <v>0</v>
      </c>
      <c r="T36" s="2">
        <f t="shared" si="19"/>
        <v>0</v>
      </c>
      <c r="U36" s="2">
        <f t="shared" si="20"/>
        <v>0</v>
      </c>
      <c r="V36" s="2">
        <f t="shared" si="21"/>
        <v>0</v>
      </c>
      <c r="W36" s="2">
        <f t="shared" si="22"/>
        <v>0</v>
      </c>
      <c r="X36" s="2">
        <f t="shared" si="23"/>
        <v>0</v>
      </c>
      <c r="Y36" s="2">
        <f t="shared" si="24"/>
        <v>0</v>
      </c>
      <c r="Z36" s="2">
        <f t="shared" si="25"/>
        <v>0</v>
      </c>
      <c r="AA36" s="2">
        <f t="shared" si="26"/>
        <v>0</v>
      </c>
      <c r="AB36" s="2">
        <f t="shared" si="27"/>
        <v>0</v>
      </c>
      <c r="AC36" s="2">
        <f t="shared" si="28"/>
        <v>0</v>
      </c>
      <c r="AD36" s="2">
        <f t="shared" si="29"/>
        <v>0</v>
      </c>
      <c r="AE36" s="2">
        <f t="shared" si="30"/>
        <v>0</v>
      </c>
      <c r="AF36" s="2">
        <f t="shared" si="31"/>
        <v>0</v>
      </c>
      <c r="AG36" s="2">
        <f t="shared" si="32"/>
        <v>0</v>
      </c>
      <c r="AH36" s="2">
        <f t="shared" si="33"/>
        <v>0</v>
      </c>
    </row>
    <row r="37" spans="1:34">
      <c r="A37" t="str">
        <f t="shared" si="43"/>
        <v>Lentils</v>
      </c>
      <c r="B37" t="str">
        <f t="shared" si="45"/>
        <v>Afar</v>
      </c>
      <c r="C37" s="2">
        <f t="shared" ref="C37:D37" si="68">(C137/0.2)/100</f>
        <v>0</v>
      </c>
      <c r="D37" s="2">
        <f t="shared" si="68"/>
        <v>0.05</v>
      </c>
      <c r="E37" s="2">
        <f t="shared" si="4"/>
        <v>0</v>
      </c>
      <c r="F37" s="2">
        <f t="shared" si="5"/>
        <v>0.05</v>
      </c>
      <c r="G37" s="2">
        <f t="shared" si="6"/>
        <v>0</v>
      </c>
      <c r="H37" s="2">
        <f t="shared" si="7"/>
        <v>0.05</v>
      </c>
      <c r="I37" s="2">
        <f t="shared" si="8"/>
        <v>0</v>
      </c>
      <c r="J37" s="2">
        <f t="shared" si="9"/>
        <v>0.05</v>
      </c>
      <c r="K37" s="2">
        <f t="shared" si="10"/>
        <v>0</v>
      </c>
      <c r="L37" s="2">
        <f t="shared" si="11"/>
        <v>0.05</v>
      </c>
      <c r="M37" s="2">
        <f t="shared" si="12"/>
        <v>0</v>
      </c>
      <c r="N37" s="2">
        <f t="shared" si="13"/>
        <v>0.05</v>
      </c>
      <c r="O37" s="2">
        <f t="shared" si="14"/>
        <v>0</v>
      </c>
      <c r="P37" s="2">
        <f t="shared" si="15"/>
        <v>0.05</v>
      </c>
      <c r="Q37" s="2">
        <f t="shared" si="16"/>
        <v>0</v>
      </c>
      <c r="R37" s="2">
        <f t="shared" si="17"/>
        <v>0.05</v>
      </c>
      <c r="S37" s="2">
        <f t="shared" si="18"/>
        <v>0</v>
      </c>
      <c r="T37" s="2">
        <f t="shared" si="19"/>
        <v>0.05</v>
      </c>
      <c r="U37" s="2">
        <f t="shared" si="20"/>
        <v>0</v>
      </c>
      <c r="V37" s="2">
        <f t="shared" si="21"/>
        <v>0.05</v>
      </c>
      <c r="W37" s="2">
        <f t="shared" si="22"/>
        <v>0</v>
      </c>
      <c r="X37" s="2">
        <f t="shared" si="23"/>
        <v>0.05</v>
      </c>
      <c r="Y37" s="2">
        <f t="shared" si="24"/>
        <v>0</v>
      </c>
      <c r="Z37" s="2">
        <f t="shared" si="25"/>
        <v>0.05</v>
      </c>
      <c r="AA37" s="2">
        <f t="shared" si="26"/>
        <v>0</v>
      </c>
      <c r="AB37" s="2">
        <f t="shared" si="27"/>
        <v>0.05</v>
      </c>
      <c r="AC37" s="2">
        <f t="shared" si="28"/>
        <v>0</v>
      </c>
      <c r="AD37" s="2">
        <f t="shared" si="29"/>
        <v>0.05</v>
      </c>
      <c r="AE37" s="2">
        <f t="shared" si="30"/>
        <v>0</v>
      </c>
      <c r="AF37" s="2">
        <f t="shared" si="31"/>
        <v>0.05</v>
      </c>
      <c r="AG37" s="2">
        <f t="shared" si="32"/>
        <v>0</v>
      </c>
      <c r="AH37" s="2">
        <f t="shared" si="33"/>
        <v>0.05</v>
      </c>
    </row>
    <row r="38" spans="1:34">
      <c r="A38" t="str">
        <f t="shared" si="43"/>
        <v>Lentils</v>
      </c>
      <c r="B38" t="str">
        <f t="shared" si="45"/>
        <v>Amhara</v>
      </c>
      <c r="C38" s="2">
        <f t="shared" ref="C38:D38" si="69">(C138/0.2)/100</f>
        <v>0.7</v>
      </c>
      <c r="D38" s="2">
        <f t="shared" si="69"/>
        <v>0.26</v>
      </c>
      <c r="E38" s="2">
        <f t="shared" si="4"/>
        <v>0.7</v>
      </c>
      <c r="F38" s="2">
        <f t="shared" si="5"/>
        <v>0.26</v>
      </c>
      <c r="G38" s="2">
        <f t="shared" si="6"/>
        <v>0.7</v>
      </c>
      <c r="H38" s="2">
        <f t="shared" si="7"/>
        <v>0.26</v>
      </c>
      <c r="I38" s="2">
        <f t="shared" si="8"/>
        <v>0.7</v>
      </c>
      <c r="J38" s="2">
        <f t="shared" si="9"/>
        <v>0.26</v>
      </c>
      <c r="K38" s="2">
        <f t="shared" si="10"/>
        <v>0.7</v>
      </c>
      <c r="L38" s="2">
        <f t="shared" si="11"/>
        <v>0.26</v>
      </c>
      <c r="M38" s="2">
        <f t="shared" si="12"/>
        <v>0.7</v>
      </c>
      <c r="N38" s="2">
        <f t="shared" si="13"/>
        <v>0.26</v>
      </c>
      <c r="O38" s="2">
        <f t="shared" si="14"/>
        <v>0.7</v>
      </c>
      <c r="P38" s="2">
        <f t="shared" si="15"/>
        <v>0.26</v>
      </c>
      <c r="Q38" s="2">
        <f t="shared" si="16"/>
        <v>0.7</v>
      </c>
      <c r="R38" s="2">
        <f t="shared" si="17"/>
        <v>0.26</v>
      </c>
      <c r="S38" s="2">
        <f t="shared" si="18"/>
        <v>0.7</v>
      </c>
      <c r="T38" s="2">
        <f t="shared" si="19"/>
        <v>0.26</v>
      </c>
      <c r="U38" s="2">
        <f t="shared" si="20"/>
        <v>0.7</v>
      </c>
      <c r="V38" s="2">
        <f t="shared" si="21"/>
        <v>0.26</v>
      </c>
      <c r="W38" s="2">
        <f t="shared" si="22"/>
        <v>0.7</v>
      </c>
      <c r="X38" s="2">
        <f t="shared" si="23"/>
        <v>0.26</v>
      </c>
      <c r="Y38" s="2">
        <f t="shared" si="24"/>
        <v>0.7</v>
      </c>
      <c r="Z38" s="2">
        <f t="shared" si="25"/>
        <v>0.26</v>
      </c>
      <c r="AA38" s="2">
        <f t="shared" si="26"/>
        <v>0.7</v>
      </c>
      <c r="AB38" s="2">
        <f t="shared" si="27"/>
        <v>0.26</v>
      </c>
      <c r="AC38" s="2">
        <f t="shared" si="28"/>
        <v>0.7</v>
      </c>
      <c r="AD38" s="2">
        <f t="shared" si="29"/>
        <v>0.26</v>
      </c>
      <c r="AE38" s="2">
        <f t="shared" si="30"/>
        <v>0.7</v>
      </c>
      <c r="AF38" s="2">
        <f t="shared" si="31"/>
        <v>0.26</v>
      </c>
      <c r="AG38" s="2">
        <f t="shared" si="32"/>
        <v>0.7</v>
      </c>
      <c r="AH38" s="2">
        <f t="shared" si="33"/>
        <v>0.26</v>
      </c>
    </row>
    <row r="39" spans="1:34">
      <c r="A39" t="str">
        <f t="shared" si="43"/>
        <v>Lentils</v>
      </c>
      <c r="B39" t="str">
        <f t="shared" si="45"/>
        <v>Gumuz</v>
      </c>
      <c r="C39" s="2">
        <f t="shared" ref="C39:D39" si="70">(C139/0.2)/100</f>
        <v>0.75</v>
      </c>
      <c r="D39" s="2">
        <f t="shared" si="70"/>
        <v>0.34599999999999992</v>
      </c>
      <c r="E39" s="2">
        <f t="shared" si="4"/>
        <v>0.75</v>
      </c>
      <c r="F39" s="2">
        <f t="shared" si="5"/>
        <v>0.34599999999999992</v>
      </c>
      <c r="G39" s="2">
        <f t="shared" si="6"/>
        <v>0.75</v>
      </c>
      <c r="H39" s="2">
        <f t="shared" si="7"/>
        <v>0.34599999999999992</v>
      </c>
      <c r="I39" s="2">
        <f t="shared" si="8"/>
        <v>0.75</v>
      </c>
      <c r="J39" s="2">
        <f t="shared" si="9"/>
        <v>0.34599999999999992</v>
      </c>
      <c r="K39" s="2">
        <f t="shared" si="10"/>
        <v>0.75</v>
      </c>
      <c r="L39" s="2">
        <f t="shared" si="11"/>
        <v>0.34599999999999992</v>
      </c>
      <c r="M39" s="2">
        <f t="shared" si="12"/>
        <v>0.75</v>
      </c>
      <c r="N39" s="2">
        <f t="shared" si="13"/>
        <v>0.34599999999999992</v>
      </c>
      <c r="O39" s="2">
        <f t="shared" si="14"/>
        <v>0.75</v>
      </c>
      <c r="P39" s="2">
        <f t="shared" si="15"/>
        <v>0.34599999999999992</v>
      </c>
      <c r="Q39" s="2">
        <f t="shared" si="16"/>
        <v>0.75</v>
      </c>
      <c r="R39" s="2">
        <f t="shared" si="17"/>
        <v>0.34599999999999992</v>
      </c>
      <c r="S39" s="2">
        <f t="shared" si="18"/>
        <v>0.75</v>
      </c>
      <c r="T39" s="2">
        <f t="shared" si="19"/>
        <v>0.34599999999999992</v>
      </c>
      <c r="U39" s="2">
        <f t="shared" si="20"/>
        <v>0.75</v>
      </c>
      <c r="V39" s="2">
        <f t="shared" si="21"/>
        <v>0.34599999999999992</v>
      </c>
      <c r="W39" s="2">
        <f t="shared" si="22"/>
        <v>0.75</v>
      </c>
      <c r="X39" s="2">
        <f t="shared" si="23"/>
        <v>0.34599999999999992</v>
      </c>
      <c r="Y39" s="2">
        <f t="shared" si="24"/>
        <v>0.75</v>
      </c>
      <c r="Z39" s="2">
        <f t="shared" si="25"/>
        <v>0.34599999999999992</v>
      </c>
      <c r="AA39" s="2">
        <f t="shared" si="26"/>
        <v>0.75</v>
      </c>
      <c r="AB39" s="2">
        <f t="shared" si="27"/>
        <v>0.34599999999999992</v>
      </c>
      <c r="AC39" s="2">
        <f t="shared" si="28"/>
        <v>0.75</v>
      </c>
      <c r="AD39" s="2">
        <f t="shared" si="29"/>
        <v>0.34599999999999992</v>
      </c>
      <c r="AE39" s="2">
        <f t="shared" si="30"/>
        <v>0.75</v>
      </c>
      <c r="AF39" s="2">
        <f t="shared" si="31"/>
        <v>0.34599999999999992</v>
      </c>
      <c r="AG39" s="2">
        <f t="shared" si="32"/>
        <v>0.75</v>
      </c>
      <c r="AH39" s="2">
        <f t="shared" si="33"/>
        <v>0.34599999999999992</v>
      </c>
    </row>
    <row r="40" spans="1:34">
      <c r="A40" t="str">
        <f t="shared" si="43"/>
        <v>Lentils</v>
      </c>
      <c r="B40" t="str">
        <f t="shared" si="45"/>
        <v>DireDawa</v>
      </c>
      <c r="C40" s="2">
        <f t="shared" ref="C40:D40" si="71">(C140/0.2)/100</f>
        <v>0.9</v>
      </c>
      <c r="D40" s="2">
        <f t="shared" si="71"/>
        <v>2.5000000000000001E-2</v>
      </c>
      <c r="E40" s="2">
        <f t="shared" si="4"/>
        <v>0.9</v>
      </c>
      <c r="F40" s="2">
        <f t="shared" si="5"/>
        <v>2.5000000000000001E-2</v>
      </c>
      <c r="G40" s="2">
        <f t="shared" si="6"/>
        <v>0.9</v>
      </c>
      <c r="H40" s="2">
        <f t="shared" si="7"/>
        <v>2.5000000000000001E-2</v>
      </c>
      <c r="I40" s="2">
        <f t="shared" si="8"/>
        <v>0.9</v>
      </c>
      <c r="J40" s="2">
        <f t="shared" si="9"/>
        <v>2.5000000000000001E-2</v>
      </c>
      <c r="K40" s="2">
        <f t="shared" si="10"/>
        <v>0.9</v>
      </c>
      <c r="L40" s="2">
        <f t="shared" si="11"/>
        <v>2.5000000000000001E-2</v>
      </c>
      <c r="M40" s="2">
        <f t="shared" si="12"/>
        <v>0.9</v>
      </c>
      <c r="N40" s="2">
        <f t="shared" si="13"/>
        <v>2.5000000000000001E-2</v>
      </c>
      <c r="O40" s="2">
        <f t="shared" si="14"/>
        <v>0.9</v>
      </c>
      <c r="P40" s="2">
        <f t="shared" si="15"/>
        <v>2.5000000000000001E-2</v>
      </c>
      <c r="Q40" s="2">
        <f t="shared" si="16"/>
        <v>0.9</v>
      </c>
      <c r="R40" s="2">
        <f t="shared" si="17"/>
        <v>2.5000000000000001E-2</v>
      </c>
      <c r="S40" s="2">
        <f t="shared" si="18"/>
        <v>0.9</v>
      </c>
      <c r="T40" s="2">
        <f t="shared" si="19"/>
        <v>2.5000000000000001E-2</v>
      </c>
      <c r="U40" s="2">
        <f t="shared" si="20"/>
        <v>0.9</v>
      </c>
      <c r="V40" s="2">
        <f t="shared" si="21"/>
        <v>2.5000000000000001E-2</v>
      </c>
      <c r="W40" s="2">
        <f t="shared" si="22"/>
        <v>0.9</v>
      </c>
      <c r="X40" s="2">
        <f t="shared" si="23"/>
        <v>2.5000000000000001E-2</v>
      </c>
      <c r="Y40" s="2">
        <f t="shared" si="24"/>
        <v>0.9</v>
      </c>
      <c r="Z40" s="2">
        <f t="shared" si="25"/>
        <v>2.5000000000000001E-2</v>
      </c>
      <c r="AA40" s="2">
        <f t="shared" si="26"/>
        <v>0.9</v>
      </c>
      <c r="AB40" s="2">
        <f t="shared" si="27"/>
        <v>2.5000000000000001E-2</v>
      </c>
      <c r="AC40" s="2">
        <f t="shared" si="28"/>
        <v>0.9</v>
      </c>
      <c r="AD40" s="2">
        <f t="shared" si="29"/>
        <v>2.5000000000000001E-2</v>
      </c>
      <c r="AE40" s="2">
        <f t="shared" si="30"/>
        <v>0.9</v>
      </c>
      <c r="AF40" s="2">
        <f t="shared" si="31"/>
        <v>2.5000000000000001E-2</v>
      </c>
      <c r="AG40" s="2">
        <f t="shared" si="32"/>
        <v>0.9</v>
      </c>
      <c r="AH40" s="2">
        <f t="shared" si="33"/>
        <v>2.5000000000000001E-2</v>
      </c>
    </row>
    <row r="41" spans="1:34">
      <c r="A41" t="str">
        <f t="shared" si="43"/>
        <v>Lentils</v>
      </c>
      <c r="B41" t="str">
        <f t="shared" si="45"/>
        <v>Gambela</v>
      </c>
      <c r="C41" s="2">
        <f t="shared" ref="C41:D41" si="72">(C141/0.2)/100</f>
        <v>0.2</v>
      </c>
      <c r="D41" s="2">
        <f t="shared" si="72"/>
        <v>0</v>
      </c>
      <c r="E41" s="2">
        <f t="shared" si="4"/>
        <v>0.2</v>
      </c>
      <c r="F41" s="2">
        <f t="shared" si="5"/>
        <v>0</v>
      </c>
      <c r="G41" s="2">
        <f t="shared" si="6"/>
        <v>0.2</v>
      </c>
      <c r="H41" s="2">
        <f t="shared" si="7"/>
        <v>0</v>
      </c>
      <c r="I41" s="2">
        <f t="shared" si="8"/>
        <v>0.2</v>
      </c>
      <c r="J41" s="2">
        <f t="shared" si="9"/>
        <v>0</v>
      </c>
      <c r="K41" s="2">
        <f t="shared" si="10"/>
        <v>0.2</v>
      </c>
      <c r="L41" s="2">
        <f t="shared" si="11"/>
        <v>0</v>
      </c>
      <c r="M41" s="2">
        <f t="shared" si="12"/>
        <v>0.2</v>
      </c>
      <c r="N41" s="2">
        <f t="shared" si="13"/>
        <v>0</v>
      </c>
      <c r="O41" s="2">
        <f t="shared" si="14"/>
        <v>0.2</v>
      </c>
      <c r="P41" s="2">
        <f t="shared" si="15"/>
        <v>0</v>
      </c>
      <c r="Q41" s="2">
        <f t="shared" si="16"/>
        <v>0.2</v>
      </c>
      <c r="R41" s="2">
        <f t="shared" si="17"/>
        <v>0</v>
      </c>
      <c r="S41" s="2">
        <f t="shared" si="18"/>
        <v>0.2</v>
      </c>
      <c r="T41" s="2">
        <f t="shared" si="19"/>
        <v>0</v>
      </c>
      <c r="U41" s="2">
        <f t="shared" si="20"/>
        <v>0.2</v>
      </c>
      <c r="V41" s="2">
        <f t="shared" si="21"/>
        <v>0</v>
      </c>
      <c r="W41" s="2">
        <f t="shared" si="22"/>
        <v>0.2</v>
      </c>
      <c r="X41" s="2">
        <f t="shared" si="23"/>
        <v>0</v>
      </c>
      <c r="Y41" s="2">
        <f t="shared" si="24"/>
        <v>0.2</v>
      </c>
      <c r="Z41" s="2">
        <f t="shared" si="25"/>
        <v>0</v>
      </c>
      <c r="AA41" s="2">
        <f t="shared" si="26"/>
        <v>0.2</v>
      </c>
      <c r="AB41" s="2">
        <f t="shared" si="27"/>
        <v>0</v>
      </c>
      <c r="AC41" s="2">
        <f t="shared" si="28"/>
        <v>0.2</v>
      </c>
      <c r="AD41" s="2">
        <f t="shared" si="29"/>
        <v>0</v>
      </c>
      <c r="AE41" s="2">
        <f t="shared" si="30"/>
        <v>0.2</v>
      </c>
      <c r="AF41" s="2">
        <f t="shared" si="31"/>
        <v>0</v>
      </c>
      <c r="AG41" s="2">
        <f t="shared" si="32"/>
        <v>0.2</v>
      </c>
      <c r="AH41" s="2">
        <f t="shared" si="33"/>
        <v>0</v>
      </c>
    </row>
    <row r="42" spans="1:34">
      <c r="A42" t="str">
        <f t="shared" si="43"/>
        <v>Lentils</v>
      </c>
      <c r="B42" t="str">
        <f t="shared" si="45"/>
        <v>Harari</v>
      </c>
      <c r="C42" s="2">
        <f t="shared" ref="C42:D42" si="73">(C142/0.2)/100</f>
        <v>0</v>
      </c>
      <c r="D42" s="2">
        <f t="shared" si="73"/>
        <v>0.67899999999999994</v>
      </c>
      <c r="E42" s="2">
        <f t="shared" si="4"/>
        <v>0</v>
      </c>
      <c r="F42" s="2">
        <f t="shared" si="5"/>
        <v>0.67899999999999994</v>
      </c>
      <c r="G42" s="2">
        <f t="shared" si="6"/>
        <v>0</v>
      </c>
      <c r="H42" s="2">
        <f t="shared" si="7"/>
        <v>0.67899999999999994</v>
      </c>
      <c r="I42" s="2">
        <f t="shared" si="8"/>
        <v>0</v>
      </c>
      <c r="J42" s="2">
        <f t="shared" si="9"/>
        <v>0.67899999999999994</v>
      </c>
      <c r="K42" s="2">
        <f t="shared" si="10"/>
        <v>0</v>
      </c>
      <c r="L42" s="2">
        <f t="shared" si="11"/>
        <v>0.67899999999999994</v>
      </c>
      <c r="M42" s="2">
        <f t="shared" si="12"/>
        <v>0</v>
      </c>
      <c r="N42" s="2">
        <f t="shared" si="13"/>
        <v>0.67899999999999994</v>
      </c>
      <c r="O42" s="2">
        <f t="shared" si="14"/>
        <v>0</v>
      </c>
      <c r="P42" s="2">
        <f t="shared" si="15"/>
        <v>0.67899999999999994</v>
      </c>
      <c r="Q42" s="2">
        <f t="shared" si="16"/>
        <v>0</v>
      </c>
      <c r="R42" s="2">
        <f t="shared" si="17"/>
        <v>0.67899999999999994</v>
      </c>
      <c r="S42" s="2">
        <f t="shared" si="18"/>
        <v>0</v>
      </c>
      <c r="T42" s="2">
        <f t="shared" si="19"/>
        <v>0.67899999999999994</v>
      </c>
      <c r="U42" s="2">
        <f t="shared" si="20"/>
        <v>0</v>
      </c>
      <c r="V42" s="2">
        <f t="shared" si="21"/>
        <v>0.67899999999999994</v>
      </c>
      <c r="W42" s="2">
        <f t="shared" si="22"/>
        <v>0</v>
      </c>
      <c r="X42" s="2">
        <f t="shared" si="23"/>
        <v>0.67899999999999994</v>
      </c>
      <c r="Y42" s="2">
        <f t="shared" si="24"/>
        <v>0</v>
      </c>
      <c r="Z42" s="2">
        <f t="shared" si="25"/>
        <v>0.67899999999999994</v>
      </c>
      <c r="AA42" s="2">
        <f t="shared" si="26"/>
        <v>0</v>
      </c>
      <c r="AB42" s="2">
        <f t="shared" si="27"/>
        <v>0.67899999999999994</v>
      </c>
      <c r="AC42" s="2">
        <f t="shared" si="28"/>
        <v>0</v>
      </c>
      <c r="AD42" s="2">
        <f t="shared" si="29"/>
        <v>0.67899999999999994</v>
      </c>
      <c r="AE42" s="2">
        <f t="shared" si="30"/>
        <v>0</v>
      </c>
      <c r="AF42" s="2">
        <f t="shared" si="31"/>
        <v>0.67899999999999994</v>
      </c>
      <c r="AG42" s="2">
        <f t="shared" si="32"/>
        <v>0</v>
      </c>
      <c r="AH42" s="2">
        <f t="shared" si="33"/>
        <v>0.67899999999999994</v>
      </c>
    </row>
    <row r="43" spans="1:34">
      <c r="A43" t="str">
        <f t="shared" si="43"/>
        <v>Lentils</v>
      </c>
      <c r="B43" t="str">
        <f t="shared" si="45"/>
        <v>Oromia</v>
      </c>
      <c r="C43" s="2">
        <f t="shared" ref="C43:D43" si="74">(C143/0.2)/100</f>
        <v>0.75</v>
      </c>
      <c r="D43" s="2">
        <f t="shared" si="74"/>
        <v>0.35</v>
      </c>
      <c r="E43" s="2">
        <f t="shared" si="4"/>
        <v>0.75</v>
      </c>
      <c r="F43" s="2">
        <f t="shared" si="5"/>
        <v>0.35</v>
      </c>
      <c r="G43" s="2">
        <f t="shared" si="6"/>
        <v>0.75</v>
      </c>
      <c r="H43" s="2">
        <f t="shared" si="7"/>
        <v>0.35</v>
      </c>
      <c r="I43" s="2">
        <f t="shared" si="8"/>
        <v>0.75</v>
      </c>
      <c r="J43" s="2">
        <f t="shared" si="9"/>
        <v>0.35</v>
      </c>
      <c r="K43" s="2">
        <f t="shared" si="10"/>
        <v>0.75</v>
      </c>
      <c r="L43" s="2">
        <f t="shared" si="11"/>
        <v>0.35</v>
      </c>
      <c r="M43" s="2">
        <f t="shared" si="12"/>
        <v>0.75</v>
      </c>
      <c r="N43" s="2">
        <f t="shared" si="13"/>
        <v>0.35</v>
      </c>
      <c r="O43" s="2">
        <f t="shared" si="14"/>
        <v>0.75</v>
      </c>
      <c r="P43" s="2">
        <f t="shared" si="15"/>
        <v>0.35</v>
      </c>
      <c r="Q43" s="2">
        <f t="shared" si="16"/>
        <v>0.75</v>
      </c>
      <c r="R43" s="2">
        <f t="shared" si="17"/>
        <v>0.35</v>
      </c>
      <c r="S43" s="2">
        <f t="shared" si="18"/>
        <v>0.75</v>
      </c>
      <c r="T43" s="2">
        <f t="shared" si="19"/>
        <v>0.35</v>
      </c>
      <c r="U43" s="2">
        <f t="shared" si="20"/>
        <v>0.75</v>
      </c>
      <c r="V43" s="2">
        <f t="shared" si="21"/>
        <v>0.35</v>
      </c>
      <c r="W43" s="2">
        <f t="shared" si="22"/>
        <v>0.75</v>
      </c>
      <c r="X43" s="2">
        <f t="shared" si="23"/>
        <v>0.35</v>
      </c>
      <c r="Y43" s="2">
        <f t="shared" si="24"/>
        <v>0.75</v>
      </c>
      <c r="Z43" s="2">
        <f t="shared" si="25"/>
        <v>0.35</v>
      </c>
      <c r="AA43" s="2">
        <f t="shared" si="26"/>
        <v>0.75</v>
      </c>
      <c r="AB43" s="2">
        <f t="shared" si="27"/>
        <v>0.35</v>
      </c>
      <c r="AC43" s="2">
        <f t="shared" si="28"/>
        <v>0.75</v>
      </c>
      <c r="AD43" s="2">
        <f t="shared" si="29"/>
        <v>0.35</v>
      </c>
      <c r="AE43" s="2">
        <f t="shared" si="30"/>
        <v>0.75</v>
      </c>
      <c r="AF43" s="2">
        <f t="shared" si="31"/>
        <v>0.35</v>
      </c>
      <c r="AG43" s="2">
        <f t="shared" si="32"/>
        <v>0.75</v>
      </c>
      <c r="AH43" s="2">
        <f t="shared" si="33"/>
        <v>0.35</v>
      </c>
    </row>
    <row r="44" spans="1:34">
      <c r="A44" t="str">
        <f t="shared" si="43"/>
        <v>Lentils</v>
      </c>
      <c r="B44" t="str">
        <f t="shared" si="45"/>
        <v>Somali</v>
      </c>
      <c r="C44" s="2">
        <f t="shared" ref="C44:D44" si="75">(C144/0.2)/100</f>
        <v>0</v>
      </c>
      <c r="D44" s="2">
        <f t="shared" si="75"/>
        <v>0.05</v>
      </c>
      <c r="E44" s="2">
        <f t="shared" si="4"/>
        <v>0</v>
      </c>
      <c r="F44" s="2">
        <f t="shared" si="5"/>
        <v>0.05</v>
      </c>
      <c r="G44" s="2">
        <f t="shared" si="6"/>
        <v>0</v>
      </c>
      <c r="H44" s="2">
        <f t="shared" si="7"/>
        <v>0.05</v>
      </c>
      <c r="I44" s="2">
        <f t="shared" si="8"/>
        <v>0</v>
      </c>
      <c r="J44" s="2">
        <f t="shared" si="9"/>
        <v>0.05</v>
      </c>
      <c r="K44" s="2">
        <f t="shared" si="10"/>
        <v>0</v>
      </c>
      <c r="L44" s="2">
        <f t="shared" si="11"/>
        <v>0.05</v>
      </c>
      <c r="M44" s="2">
        <f t="shared" si="12"/>
        <v>0</v>
      </c>
      <c r="N44" s="2">
        <f t="shared" si="13"/>
        <v>0.05</v>
      </c>
      <c r="O44" s="2">
        <f t="shared" si="14"/>
        <v>0</v>
      </c>
      <c r="P44" s="2">
        <f t="shared" si="15"/>
        <v>0.05</v>
      </c>
      <c r="Q44" s="2">
        <f t="shared" si="16"/>
        <v>0</v>
      </c>
      <c r="R44" s="2">
        <f t="shared" si="17"/>
        <v>0.05</v>
      </c>
      <c r="S44" s="2">
        <f t="shared" si="18"/>
        <v>0</v>
      </c>
      <c r="T44" s="2">
        <f t="shared" si="19"/>
        <v>0.05</v>
      </c>
      <c r="U44" s="2">
        <f t="shared" si="20"/>
        <v>0</v>
      </c>
      <c r="V44" s="2">
        <f t="shared" si="21"/>
        <v>0.05</v>
      </c>
      <c r="W44" s="2">
        <f t="shared" si="22"/>
        <v>0</v>
      </c>
      <c r="X44" s="2">
        <f t="shared" si="23"/>
        <v>0.05</v>
      </c>
      <c r="Y44" s="2">
        <f t="shared" si="24"/>
        <v>0</v>
      </c>
      <c r="Z44" s="2">
        <f t="shared" si="25"/>
        <v>0.05</v>
      </c>
      <c r="AA44" s="2">
        <f t="shared" si="26"/>
        <v>0</v>
      </c>
      <c r="AB44" s="2">
        <f t="shared" si="27"/>
        <v>0.05</v>
      </c>
      <c r="AC44" s="2">
        <f t="shared" si="28"/>
        <v>0</v>
      </c>
      <c r="AD44" s="2">
        <f t="shared" si="29"/>
        <v>0.05</v>
      </c>
      <c r="AE44" s="2">
        <f t="shared" si="30"/>
        <v>0</v>
      </c>
      <c r="AF44" s="2">
        <f t="shared" si="31"/>
        <v>0.05</v>
      </c>
      <c r="AG44" s="2">
        <f t="shared" si="32"/>
        <v>0</v>
      </c>
      <c r="AH44" s="2">
        <f t="shared" si="33"/>
        <v>0.05</v>
      </c>
    </row>
    <row r="45" spans="1:34">
      <c r="A45" t="str">
        <f t="shared" si="43"/>
        <v>Lentils</v>
      </c>
      <c r="B45" t="str">
        <f t="shared" si="45"/>
        <v>SNNPR</v>
      </c>
      <c r="C45" s="2">
        <f t="shared" ref="C45:D45" si="76">(C145/0.2)/100</f>
        <v>0.65</v>
      </c>
      <c r="D45" s="2">
        <f t="shared" si="76"/>
        <v>0.3299999999999999</v>
      </c>
      <c r="E45" s="2">
        <f t="shared" si="4"/>
        <v>0.65</v>
      </c>
      <c r="F45" s="2">
        <f t="shared" si="5"/>
        <v>0.3299999999999999</v>
      </c>
      <c r="G45" s="2">
        <f t="shared" si="6"/>
        <v>0.65</v>
      </c>
      <c r="H45" s="2">
        <f t="shared" si="7"/>
        <v>0.3299999999999999</v>
      </c>
      <c r="I45" s="2">
        <f t="shared" si="8"/>
        <v>0.65</v>
      </c>
      <c r="J45" s="2">
        <f t="shared" si="9"/>
        <v>0.3299999999999999</v>
      </c>
      <c r="K45" s="2">
        <f t="shared" si="10"/>
        <v>0.65</v>
      </c>
      <c r="L45" s="2">
        <f t="shared" si="11"/>
        <v>0.3299999999999999</v>
      </c>
      <c r="M45" s="2">
        <f t="shared" si="12"/>
        <v>0.65</v>
      </c>
      <c r="N45" s="2">
        <f t="shared" si="13"/>
        <v>0.3299999999999999</v>
      </c>
      <c r="O45" s="2">
        <f t="shared" si="14"/>
        <v>0.65</v>
      </c>
      <c r="P45" s="2">
        <f t="shared" si="15"/>
        <v>0.3299999999999999</v>
      </c>
      <c r="Q45" s="2">
        <f t="shared" si="16"/>
        <v>0.65</v>
      </c>
      <c r="R45" s="2">
        <f t="shared" si="17"/>
        <v>0.3299999999999999</v>
      </c>
      <c r="S45" s="2">
        <f t="shared" si="18"/>
        <v>0.65</v>
      </c>
      <c r="T45" s="2">
        <f t="shared" si="19"/>
        <v>0.3299999999999999</v>
      </c>
      <c r="U45" s="2">
        <f t="shared" si="20"/>
        <v>0.65</v>
      </c>
      <c r="V45" s="2">
        <f t="shared" si="21"/>
        <v>0.3299999999999999</v>
      </c>
      <c r="W45" s="2">
        <f t="shared" si="22"/>
        <v>0.65</v>
      </c>
      <c r="X45" s="2">
        <f t="shared" si="23"/>
        <v>0.3299999999999999</v>
      </c>
      <c r="Y45" s="2">
        <f t="shared" si="24"/>
        <v>0.65</v>
      </c>
      <c r="Z45" s="2">
        <f t="shared" si="25"/>
        <v>0.3299999999999999</v>
      </c>
      <c r="AA45" s="2">
        <f t="shared" si="26"/>
        <v>0.65</v>
      </c>
      <c r="AB45" s="2">
        <f t="shared" si="27"/>
        <v>0.3299999999999999</v>
      </c>
      <c r="AC45" s="2">
        <f t="shared" si="28"/>
        <v>0.65</v>
      </c>
      <c r="AD45" s="2">
        <f t="shared" si="29"/>
        <v>0.3299999999999999</v>
      </c>
      <c r="AE45" s="2">
        <f t="shared" si="30"/>
        <v>0.65</v>
      </c>
      <c r="AF45" s="2">
        <f t="shared" si="31"/>
        <v>0.3299999999999999</v>
      </c>
      <c r="AG45" s="2">
        <f t="shared" si="32"/>
        <v>0.65</v>
      </c>
      <c r="AH45" s="2">
        <f t="shared" si="33"/>
        <v>0.3299999999999999</v>
      </c>
    </row>
    <row r="46" spans="1:34">
      <c r="A46" t="str">
        <f t="shared" si="43"/>
        <v>Lentils</v>
      </c>
      <c r="B46" t="str">
        <f t="shared" si="45"/>
        <v>Tigray</v>
      </c>
      <c r="C46" s="2">
        <f t="shared" ref="C46:D46" si="77">(C146/0.2)/100</f>
        <v>0.7</v>
      </c>
      <c r="D46" s="2">
        <f t="shared" si="77"/>
        <v>2.5000000000000001E-2</v>
      </c>
      <c r="E46" s="2">
        <f t="shared" si="4"/>
        <v>0.7</v>
      </c>
      <c r="F46" s="2">
        <f t="shared" si="5"/>
        <v>2.5000000000000001E-2</v>
      </c>
      <c r="G46" s="2">
        <f t="shared" si="6"/>
        <v>0.7</v>
      </c>
      <c r="H46" s="2">
        <f t="shared" si="7"/>
        <v>2.5000000000000001E-2</v>
      </c>
      <c r="I46" s="2">
        <f t="shared" si="8"/>
        <v>0.7</v>
      </c>
      <c r="J46" s="2">
        <f t="shared" si="9"/>
        <v>2.5000000000000001E-2</v>
      </c>
      <c r="K46" s="2">
        <f t="shared" si="10"/>
        <v>0.7</v>
      </c>
      <c r="L46" s="2">
        <f t="shared" si="11"/>
        <v>2.5000000000000001E-2</v>
      </c>
      <c r="M46" s="2">
        <f t="shared" si="12"/>
        <v>0.7</v>
      </c>
      <c r="N46" s="2">
        <f t="shared" si="13"/>
        <v>2.5000000000000001E-2</v>
      </c>
      <c r="O46" s="2">
        <f t="shared" si="14"/>
        <v>0.7</v>
      </c>
      <c r="P46" s="2">
        <f t="shared" si="15"/>
        <v>2.5000000000000001E-2</v>
      </c>
      <c r="Q46" s="2">
        <f t="shared" si="16"/>
        <v>0.7</v>
      </c>
      <c r="R46" s="2">
        <f t="shared" si="17"/>
        <v>2.5000000000000001E-2</v>
      </c>
      <c r="S46" s="2">
        <f t="shared" si="18"/>
        <v>0.7</v>
      </c>
      <c r="T46" s="2">
        <f t="shared" si="19"/>
        <v>2.5000000000000001E-2</v>
      </c>
      <c r="U46" s="2">
        <f t="shared" si="20"/>
        <v>0.7</v>
      </c>
      <c r="V46" s="2">
        <f t="shared" si="21"/>
        <v>2.5000000000000001E-2</v>
      </c>
      <c r="W46" s="2">
        <f t="shared" si="22"/>
        <v>0.7</v>
      </c>
      <c r="X46" s="2">
        <f t="shared" si="23"/>
        <v>2.5000000000000001E-2</v>
      </c>
      <c r="Y46" s="2">
        <f t="shared" si="24"/>
        <v>0.7</v>
      </c>
      <c r="Z46" s="2">
        <f t="shared" si="25"/>
        <v>2.5000000000000001E-2</v>
      </c>
      <c r="AA46" s="2">
        <f t="shared" si="26"/>
        <v>0.7</v>
      </c>
      <c r="AB46" s="2">
        <f t="shared" si="27"/>
        <v>2.5000000000000001E-2</v>
      </c>
      <c r="AC46" s="2">
        <f t="shared" si="28"/>
        <v>0.7</v>
      </c>
      <c r="AD46" s="2">
        <f t="shared" si="29"/>
        <v>2.5000000000000001E-2</v>
      </c>
      <c r="AE46" s="2">
        <f t="shared" si="30"/>
        <v>0.7</v>
      </c>
      <c r="AF46" s="2">
        <f t="shared" si="31"/>
        <v>2.5000000000000001E-2</v>
      </c>
      <c r="AG46" s="2">
        <f t="shared" si="32"/>
        <v>0.7</v>
      </c>
      <c r="AH46" s="2">
        <f t="shared" si="33"/>
        <v>2.5000000000000001E-2</v>
      </c>
    </row>
    <row r="47" spans="1:34">
      <c r="A47" t="str">
        <f t="shared" si="43"/>
        <v>Vegetables</v>
      </c>
      <c r="B47" t="str">
        <f t="shared" si="45"/>
        <v>AddisAbaba</v>
      </c>
      <c r="C47" s="2">
        <f t="shared" ref="C47:D47" si="78">(C147/0.2)/100</f>
        <v>0</v>
      </c>
      <c r="D47" s="2">
        <f t="shared" si="78"/>
        <v>0</v>
      </c>
      <c r="E47" s="2">
        <f t="shared" si="4"/>
        <v>0</v>
      </c>
      <c r="F47" s="2">
        <f t="shared" si="5"/>
        <v>0</v>
      </c>
      <c r="G47" s="2">
        <f t="shared" si="6"/>
        <v>0</v>
      </c>
      <c r="H47" s="2">
        <f t="shared" si="7"/>
        <v>0</v>
      </c>
      <c r="I47" s="2">
        <f t="shared" si="8"/>
        <v>0</v>
      </c>
      <c r="J47" s="2">
        <f t="shared" si="9"/>
        <v>0</v>
      </c>
      <c r="K47" s="2">
        <f t="shared" si="10"/>
        <v>0</v>
      </c>
      <c r="L47" s="2">
        <f t="shared" si="11"/>
        <v>0</v>
      </c>
      <c r="M47" s="2">
        <f t="shared" si="12"/>
        <v>0</v>
      </c>
      <c r="N47" s="2">
        <f t="shared" si="13"/>
        <v>0</v>
      </c>
      <c r="O47" s="2">
        <f t="shared" si="14"/>
        <v>0</v>
      </c>
      <c r="P47" s="2">
        <f t="shared" si="15"/>
        <v>0</v>
      </c>
      <c r="Q47" s="2">
        <f t="shared" si="16"/>
        <v>0</v>
      </c>
      <c r="R47" s="2">
        <f t="shared" si="17"/>
        <v>0</v>
      </c>
      <c r="S47" s="2">
        <f t="shared" si="18"/>
        <v>0</v>
      </c>
      <c r="T47" s="2">
        <f t="shared" si="19"/>
        <v>0</v>
      </c>
      <c r="U47" s="2">
        <f t="shared" si="20"/>
        <v>0</v>
      </c>
      <c r="V47" s="2">
        <f t="shared" si="21"/>
        <v>0</v>
      </c>
      <c r="W47" s="2">
        <f t="shared" si="22"/>
        <v>0</v>
      </c>
      <c r="X47" s="2">
        <f t="shared" si="23"/>
        <v>0</v>
      </c>
      <c r="Y47" s="2">
        <f t="shared" si="24"/>
        <v>0</v>
      </c>
      <c r="Z47" s="2">
        <f t="shared" si="25"/>
        <v>0</v>
      </c>
      <c r="AA47" s="2">
        <f t="shared" si="26"/>
        <v>0</v>
      </c>
      <c r="AB47" s="2">
        <f t="shared" si="27"/>
        <v>0</v>
      </c>
      <c r="AC47" s="2">
        <f t="shared" si="28"/>
        <v>0</v>
      </c>
      <c r="AD47" s="2">
        <f t="shared" si="29"/>
        <v>0</v>
      </c>
      <c r="AE47" s="2">
        <f t="shared" si="30"/>
        <v>0</v>
      </c>
      <c r="AF47" s="2">
        <f t="shared" si="31"/>
        <v>0</v>
      </c>
      <c r="AG47" s="2">
        <f t="shared" si="32"/>
        <v>0</v>
      </c>
      <c r="AH47" s="2">
        <f t="shared" si="33"/>
        <v>0</v>
      </c>
    </row>
    <row r="48" spans="1:34">
      <c r="A48" t="str">
        <f t="shared" si="43"/>
        <v>Vegetables</v>
      </c>
      <c r="B48" t="str">
        <f t="shared" si="45"/>
        <v>Afar</v>
      </c>
      <c r="C48" s="2">
        <f t="shared" ref="C48:D48" si="79">(C148/0.2)/100</f>
        <v>7.7</v>
      </c>
      <c r="D48" s="2">
        <f t="shared" si="79"/>
        <v>2.5000000000000001E-2</v>
      </c>
      <c r="E48" s="2">
        <f t="shared" si="4"/>
        <v>7.7</v>
      </c>
      <c r="F48" s="2">
        <f t="shared" si="5"/>
        <v>2.5000000000000001E-2</v>
      </c>
      <c r="G48" s="2">
        <f t="shared" si="6"/>
        <v>7.7</v>
      </c>
      <c r="H48" s="2">
        <f t="shared" si="7"/>
        <v>2.5000000000000001E-2</v>
      </c>
      <c r="I48" s="2">
        <f t="shared" si="8"/>
        <v>7.7</v>
      </c>
      <c r="J48" s="2">
        <f t="shared" si="9"/>
        <v>2.5000000000000001E-2</v>
      </c>
      <c r="K48" s="2">
        <f t="shared" si="10"/>
        <v>7.7</v>
      </c>
      <c r="L48" s="2">
        <f t="shared" si="11"/>
        <v>2.5000000000000001E-2</v>
      </c>
      <c r="M48" s="2">
        <f t="shared" si="12"/>
        <v>7.7</v>
      </c>
      <c r="N48" s="2">
        <f t="shared" si="13"/>
        <v>2.5000000000000001E-2</v>
      </c>
      <c r="O48" s="2">
        <f t="shared" si="14"/>
        <v>7.7</v>
      </c>
      <c r="P48" s="2">
        <f t="shared" si="15"/>
        <v>2.5000000000000001E-2</v>
      </c>
      <c r="Q48" s="2">
        <f t="shared" si="16"/>
        <v>7.7</v>
      </c>
      <c r="R48" s="2">
        <f t="shared" si="17"/>
        <v>2.5000000000000001E-2</v>
      </c>
      <c r="S48" s="2">
        <f t="shared" si="18"/>
        <v>7.7</v>
      </c>
      <c r="T48" s="2">
        <f t="shared" si="19"/>
        <v>2.5000000000000001E-2</v>
      </c>
      <c r="U48" s="2">
        <f t="shared" si="20"/>
        <v>7.7</v>
      </c>
      <c r="V48" s="2">
        <f t="shared" si="21"/>
        <v>2.5000000000000001E-2</v>
      </c>
      <c r="W48" s="2">
        <f t="shared" si="22"/>
        <v>7.7</v>
      </c>
      <c r="X48" s="2">
        <f t="shared" si="23"/>
        <v>2.5000000000000001E-2</v>
      </c>
      <c r="Y48" s="2">
        <f t="shared" si="24"/>
        <v>7.7</v>
      </c>
      <c r="Z48" s="2">
        <f t="shared" si="25"/>
        <v>2.5000000000000001E-2</v>
      </c>
      <c r="AA48" s="2">
        <f t="shared" si="26"/>
        <v>7.7</v>
      </c>
      <c r="AB48" s="2">
        <f t="shared" si="27"/>
        <v>2.5000000000000001E-2</v>
      </c>
      <c r="AC48" s="2">
        <f t="shared" si="28"/>
        <v>7.7</v>
      </c>
      <c r="AD48" s="2">
        <f t="shared" si="29"/>
        <v>2.5000000000000001E-2</v>
      </c>
      <c r="AE48" s="2">
        <f t="shared" si="30"/>
        <v>7.7</v>
      </c>
      <c r="AF48" s="2">
        <f t="shared" si="31"/>
        <v>2.5000000000000001E-2</v>
      </c>
      <c r="AG48" s="2">
        <f t="shared" si="32"/>
        <v>7.7</v>
      </c>
      <c r="AH48" s="2">
        <f t="shared" si="33"/>
        <v>2.5000000000000001E-2</v>
      </c>
    </row>
    <row r="49" spans="1:34">
      <c r="A49" t="str">
        <f t="shared" si="43"/>
        <v>Vegetables</v>
      </c>
      <c r="B49" t="str">
        <f t="shared" si="45"/>
        <v>Amhara</v>
      </c>
      <c r="C49" s="2">
        <f t="shared" ref="C49:D49" si="80">(C149/0.2)/100</f>
        <v>3.25</v>
      </c>
      <c r="D49" s="2">
        <f t="shared" si="80"/>
        <v>2.5000000000000001E-2</v>
      </c>
      <c r="E49" s="2">
        <f t="shared" si="4"/>
        <v>3.25</v>
      </c>
      <c r="F49" s="2">
        <f t="shared" si="5"/>
        <v>2.5000000000000001E-2</v>
      </c>
      <c r="G49" s="2">
        <f t="shared" si="6"/>
        <v>3.25</v>
      </c>
      <c r="H49" s="2">
        <f t="shared" si="7"/>
        <v>2.5000000000000001E-2</v>
      </c>
      <c r="I49" s="2">
        <f t="shared" si="8"/>
        <v>3.25</v>
      </c>
      <c r="J49" s="2">
        <f t="shared" si="9"/>
        <v>2.5000000000000001E-2</v>
      </c>
      <c r="K49" s="2">
        <f t="shared" si="10"/>
        <v>3.25</v>
      </c>
      <c r="L49" s="2">
        <f t="shared" si="11"/>
        <v>2.5000000000000001E-2</v>
      </c>
      <c r="M49" s="2">
        <f t="shared" si="12"/>
        <v>3.25</v>
      </c>
      <c r="N49" s="2">
        <f t="shared" si="13"/>
        <v>2.5000000000000001E-2</v>
      </c>
      <c r="O49" s="2">
        <f t="shared" si="14"/>
        <v>3.25</v>
      </c>
      <c r="P49" s="2">
        <f t="shared" si="15"/>
        <v>2.5000000000000001E-2</v>
      </c>
      <c r="Q49" s="2">
        <f t="shared" si="16"/>
        <v>3.25</v>
      </c>
      <c r="R49" s="2">
        <f t="shared" si="17"/>
        <v>2.5000000000000001E-2</v>
      </c>
      <c r="S49" s="2">
        <f t="shared" si="18"/>
        <v>3.25</v>
      </c>
      <c r="T49" s="2">
        <f t="shared" si="19"/>
        <v>2.5000000000000001E-2</v>
      </c>
      <c r="U49" s="2">
        <f t="shared" si="20"/>
        <v>3.25</v>
      </c>
      <c r="V49" s="2">
        <f t="shared" si="21"/>
        <v>2.5000000000000001E-2</v>
      </c>
      <c r="W49" s="2">
        <f t="shared" si="22"/>
        <v>3.25</v>
      </c>
      <c r="X49" s="2">
        <f t="shared" si="23"/>
        <v>2.5000000000000001E-2</v>
      </c>
      <c r="Y49" s="2">
        <f t="shared" si="24"/>
        <v>3.25</v>
      </c>
      <c r="Z49" s="2">
        <f t="shared" si="25"/>
        <v>2.5000000000000001E-2</v>
      </c>
      <c r="AA49" s="2">
        <f t="shared" si="26"/>
        <v>3.25</v>
      </c>
      <c r="AB49" s="2">
        <f t="shared" si="27"/>
        <v>2.5000000000000001E-2</v>
      </c>
      <c r="AC49" s="2">
        <f t="shared" si="28"/>
        <v>3.25</v>
      </c>
      <c r="AD49" s="2">
        <f t="shared" si="29"/>
        <v>2.5000000000000001E-2</v>
      </c>
      <c r="AE49" s="2">
        <f t="shared" si="30"/>
        <v>3.25</v>
      </c>
      <c r="AF49" s="2">
        <f t="shared" si="31"/>
        <v>2.5000000000000001E-2</v>
      </c>
      <c r="AG49" s="2">
        <f t="shared" si="32"/>
        <v>3.25</v>
      </c>
      <c r="AH49" s="2">
        <f t="shared" si="33"/>
        <v>2.5000000000000001E-2</v>
      </c>
    </row>
    <row r="50" spans="1:34">
      <c r="A50" t="str">
        <f t="shared" si="43"/>
        <v>Vegetables</v>
      </c>
      <c r="B50" t="str">
        <f t="shared" si="45"/>
        <v>Gumuz</v>
      </c>
      <c r="C50" s="2">
        <f t="shared" ref="C50:D50" si="81">(C150/0.2)/100</f>
        <v>3.4</v>
      </c>
      <c r="D50" s="2">
        <f t="shared" si="81"/>
        <v>2.5000000000000001E-2</v>
      </c>
      <c r="E50" s="2">
        <f t="shared" si="4"/>
        <v>3.4</v>
      </c>
      <c r="F50" s="2">
        <f t="shared" si="5"/>
        <v>2.5000000000000001E-2</v>
      </c>
      <c r="G50" s="2">
        <f t="shared" si="6"/>
        <v>3.4</v>
      </c>
      <c r="H50" s="2">
        <f t="shared" si="7"/>
        <v>2.5000000000000001E-2</v>
      </c>
      <c r="I50" s="2">
        <f t="shared" si="8"/>
        <v>3.4</v>
      </c>
      <c r="J50" s="2">
        <f t="shared" si="9"/>
        <v>2.5000000000000001E-2</v>
      </c>
      <c r="K50" s="2">
        <f t="shared" si="10"/>
        <v>3.4</v>
      </c>
      <c r="L50" s="2">
        <f t="shared" si="11"/>
        <v>2.5000000000000001E-2</v>
      </c>
      <c r="M50" s="2">
        <f t="shared" si="12"/>
        <v>3.4</v>
      </c>
      <c r="N50" s="2">
        <f t="shared" si="13"/>
        <v>2.5000000000000001E-2</v>
      </c>
      <c r="O50" s="2">
        <f t="shared" si="14"/>
        <v>3.4</v>
      </c>
      <c r="P50" s="2">
        <f t="shared" si="15"/>
        <v>2.5000000000000001E-2</v>
      </c>
      <c r="Q50" s="2">
        <f t="shared" si="16"/>
        <v>3.4</v>
      </c>
      <c r="R50" s="2">
        <f t="shared" si="17"/>
        <v>2.5000000000000001E-2</v>
      </c>
      <c r="S50" s="2">
        <f t="shared" si="18"/>
        <v>3.4</v>
      </c>
      <c r="T50" s="2">
        <f t="shared" si="19"/>
        <v>2.5000000000000001E-2</v>
      </c>
      <c r="U50" s="2">
        <f t="shared" si="20"/>
        <v>3.4</v>
      </c>
      <c r="V50" s="2">
        <f t="shared" si="21"/>
        <v>2.5000000000000001E-2</v>
      </c>
      <c r="W50" s="2">
        <f t="shared" si="22"/>
        <v>3.4</v>
      </c>
      <c r="X50" s="2">
        <f t="shared" si="23"/>
        <v>2.5000000000000001E-2</v>
      </c>
      <c r="Y50" s="2">
        <f t="shared" si="24"/>
        <v>3.4</v>
      </c>
      <c r="Z50" s="2">
        <f t="shared" si="25"/>
        <v>2.5000000000000001E-2</v>
      </c>
      <c r="AA50" s="2">
        <f t="shared" si="26"/>
        <v>3.4</v>
      </c>
      <c r="AB50" s="2">
        <f t="shared" si="27"/>
        <v>2.5000000000000001E-2</v>
      </c>
      <c r="AC50" s="2">
        <f t="shared" si="28"/>
        <v>3.4</v>
      </c>
      <c r="AD50" s="2">
        <f t="shared" si="29"/>
        <v>2.5000000000000001E-2</v>
      </c>
      <c r="AE50" s="2">
        <f t="shared" si="30"/>
        <v>3.4</v>
      </c>
      <c r="AF50" s="2">
        <f t="shared" si="31"/>
        <v>2.5000000000000001E-2</v>
      </c>
      <c r="AG50" s="2">
        <f t="shared" si="32"/>
        <v>3.4</v>
      </c>
      <c r="AH50" s="2">
        <f t="shared" si="33"/>
        <v>2.5000000000000001E-2</v>
      </c>
    </row>
    <row r="51" spans="1:34">
      <c r="A51" t="str">
        <f t="shared" si="43"/>
        <v>Vegetables</v>
      </c>
      <c r="B51" t="str">
        <f t="shared" si="45"/>
        <v>DireDawa</v>
      </c>
      <c r="C51" s="2">
        <f t="shared" ref="C51:D51" si="82">(C151/0.2)/100</f>
        <v>5</v>
      </c>
      <c r="D51" s="2">
        <f t="shared" si="82"/>
        <v>2.5000000000000001E-2</v>
      </c>
      <c r="E51" s="2">
        <f t="shared" si="4"/>
        <v>5</v>
      </c>
      <c r="F51" s="2">
        <f t="shared" si="5"/>
        <v>2.5000000000000001E-2</v>
      </c>
      <c r="G51" s="2">
        <f t="shared" si="6"/>
        <v>5</v>
      </c>
      <c r="H51" s="2">
        <f t="shared" si="7"/>
        <v>2.5000000000000001E-2</v>
      </c>
      <c r="I51" s="2">
        <f t="shared" si="8"/>
        <v>5</v>
      </c>
      <c r="J51" s="2">
        <f t="shared" si="9"/>
        <v>2.5000000000000001E-2</v>
      </c>
      <c r="K51" s="2">
        <f t="shared" si="10"/>
        <v>5</v>
      </c>
      <c r="L51" s="2">
        <f t="shared" si="11"/>
        <v>2.5000000000000001E-2</v>
      </c>
      <c r="M51" s="2">
        <f t="shared" si="12"/>
        <v>5</v>
      </c>
      <c r="N51" s="2">
        <f t="shared" si="13"/>
        <v>2.5000000000000001E-2</v>
      </c>
      <c r="O51" s="2">
        <f t="shared" si="14"/>
        <v>5</v>
      </c>
      <c r="P51" s="2">
        <f t="shared" si="15"/>
        <v>2.5000000000000001E-2</v>
      </c>
      <c r="Q51" s="2">
        <f t="shared" si="16"/>
        <v>5</v>
      </c>
      <c r="R51" s="2">
        <f t="shared" si="17"/>
        <v>2.5000000000000001E-2</v>
      </c>
      <c r="S51" s="2">
        <f t="shared" si="18"/>
        <v>5</v>
      </c>
      <c r="T51" s="2">
        <f t="shared" si="19"/>
        <v>2.5000000000000001E-2</v>
      </c>
      <c r="U51" s="2">
        <f t="shared" si="20"/>
        <v>5</v>
      </c>
      <c r="V51" s="2">
        <f t="shared" si="21"/>
        <v>2.5000000000000001E-2</v>
      </c>
      <c r="W51" s="2">
        <f t="shared" si="22"/>
        <v>5</v>
      </c>
      <c r="X51" s="2">
        <f t="shared" si="23"/>
        <v>2.5000000000000001E-2</v>
      </c>
      <c r="Y51" s="2">
        <f t="shared" si="24"/>
        <v>5</v>
      </c>
      <c r="Z51" s="2">
        <f t="shared" si="25"/>
        <v>2.5000000000000001E-2</v>
      </c>
      <c r="AA51" s="2">
        <f t="shared" si="26"/>
        <v>5</v>
      </c>
      <c r="AB51" s="2">
        <f t="shared" si="27"/>
        <v>2.5000000000000001E-2</v>
      </c>
      <c r="AC51" s="2">
        <f t="shared" si="28"/>
        <v>5</v>
      </c>
      <c r="AD51" s="2">
        <f t="shared" si="29"/>
        <v>2.5000000000000001E-2</v>
      </c>
      <c r="AE51" s="2">
        <f t="shared" si="30"/>
        <v>5</v>
      </c>
      <c r="AF51" s="2">
        <f t="shared" si="31"/>
        <v>2.5000000000000001E-2</v>
      </c>
      <c r="AG51" s="2">
        <f t="shared" si="32"/>
        <v>5</v>
      </c>
      <c r="AH51" s="2">
        <f t="shared" si="33"/>
        <v>2.5000000000000001E-2</v>
      </c>
    </row>
    <row r="52" spans="1:34">
      <c r="A52" t="str">
        <f t="shared" si="43"/>
        <v>Vegetables</v>
      </c>
      <c r="B52" t="str">
        <f t="shared" si="45"/>
        <v>Gambela</v>
      </c>
      <c r="C52" s="2">
        <f t="shared" ref="C52:D52" si="83">(C152/0.2)/100</f>
        <v>4.0999999999999996</v>
      </c>
      <c r="D52" s="2">
        <f t="shared" si="83"/>
        <v>0</v>
      </c>
      <c r="E52" s="2">
        <f t="shared" si="4"/>
        <v>4.0999999999999996</v>
      </c>
      <c r="F52" s="2">
        <f t="shared" si="5"/>
        <v>0</v>
      </c>
      <c r="G52" s="2">
        <f t="shared" si="6"/>
        <v>4.0999999999999996</v>
      </c>
      <c r="H52" s="2">
        <f t="shared" si="7"/>
        <v>0</v>
      </c>
      <c r="I52" s="2">
        <f t="shared" si="8"/>
        <v>4.0999999999999996</v>
      </c>
      <c r="J52" s="2">
        <f t="shared" si="9"/>
        <v>0</v>
      </c>
      <c r="K52" s="2">
        <f t="shared" si="10"/>
        <v>4.0999999999999996</v>
      </c>
      <c r="L52" s="2">
        <f t="shared" si="11"/>
        <v>0</v>
      </c>
      <c r="M52" s="2">
        <f t="shared" si="12"/>
        <v>4.0999999999999996</v>
      </c>
      <c r="N52" s="2">
        <f t="shared" si="13"/>
        <v>0</v>
      </c>
      <c r="O52" s="2">
        <f t="shared" si="14"/>
        <v>4.0999999999999996</v>
      </c>
      <c r="P52" s="2">
        <f t="shared" si="15"/>
        <v>0</v>
      </c>
      <c r="Q52" s="2">
        <f t="shared" si="16"/>
        <v>4.0999999999999996</v>
      </c>
      <c r="R52" s="2">
        <f t="shared" si="17"/>
        <v>0</v>
      </c>
      <c r="S52" s="2">
        <f t="shared" si="18"/>
        <v>4.0999999999999996</v>
      </c>
      <c r="T52" s="2">
        <f t="shared" si="19"/>
        <v>0</v>
      </c>
      <c r="U52" s="2">
        <f t="shared" si="20"/>
        <v>4.0999999999999996</v>
      </c>
      <c r="V52" s="2">
        <f t="shared" si="21"/>
        <v>0</v>
      </c>
      <c r="W52" s="2">
        <f t="shared" si="22"/>
        <v>4.0999999999999996</v>
      </c>
      <c r="X52" s="2">
        <f t="shared" si="23"/>
        <v>0</v>
      </c>
      <c r="Y52" s="2">
        <f t="shared" si="24"/>
        <v>4.0999999999999996</v>
      </c>
      <c r="Z52" s="2">
        <f t="shared" si="25"/>
        <v>0</v>
      </c>
      <c r="AA52" s="2">
        <f t="shared" si="26"/>
        <v>4.0999999999999996</v>
      </c>
      <c r="AB52" s="2">
        <f t="shared" si="27"/>
        <v>0</v>
      </c>
      <c r="AC52" s="2">
        <f t="shared" si="28"/>
        <v>4.0999999999999996</v>
      </c>
      <c r="AD52" s="2">
        <f t="shared" si="29"/>
        <v>0</v>
      </c>
      <c r="AE52" s="2">
        <f t="shared" si="30"/>
        <v>4.0999999999999996</v>
      </c>
      <c r="AF52" s="2">
        <f t="shared" si="31"/>
        <v>0</v>
      </c>
      <c r="AG52" s="2">
        <f t="shared" si="32"/>
        <v>4.0999999999999996</v>
      </c>
      <c r="AH52" s="2">
        <f t="shared" si="33"/>
        <v>0</v>
      </c>
    </row>
    <row r="53" spans="1:34">
      <c r="A53" t="str">
        <f t="shared" si="43"/>
        <v>Vegetables</v>
      </c>
      <c r="B53" t="str">
        <f t="shared" si="45"/>
        <v>Harari</v>
      </c>
      <c r="C53" s="2">
        <f t="shared" ref="C53:D53" si="84">(C153/0.2)/100</f>
        <v>4.0999999999999996</v>
      </c>
      <c r="D53" s="2">
        <f t="shared" si="84"/>
        <v>2.5000000000000001E-2</v>
      </c>
      <c r="E53" s="2">
        <f t="shared" si="4"/>
        <v>4.0999999999999996</v>
      </c>
      <c r="F53" s="2">
        <f t="shared" si="5"/>
        <v>2.5000000000000001E-2</v>
      </c>
      <c r="G53" s="2">
        <f t="shared" si="6"/>
        <v>4.0999999999999996</v>
      </c>
      <c r="H53" s="2">
        <f t="shared" si="7"/>
        <v>2.5000000000000001E-2</v>
      </c>
      <c r="I53" s="2">
        <f t="shared" si="8"/>
        <v>4.0999999999999996</v>
      </c>
      <c r="J53" s="2">
        <f t="shared" si="9"/>
        <v>2.5000000000000001E-2</v>
      </c>
      <c r="K53" s="2">
        <f t="shared" si="10"/>
        <v>4.0999999999999996</v>
      </c>
      <c r="L53" s="2">
        <f t="shared" si="11"/>
        <v>2.5000000000000001E-2</v>
      </c>
      <c r="M53" s="2">
        <f t="shared" si="12"/>
        <v>4.0999999999999996</v>
      </c>
      <c r="N53" s="2">
        <f t="shared" si="13"/>
        <v>2.5000000000000001E-2</v>
      </c>
      <c r="O53" s="2">
        <f t="shared" si="14"/>
        <v>4.0999999999999996</v>
      </c>
      <c r="P53" s="2">
        <f t="shared" si="15"/>
        <v>2.5000000000000001E-2</v>
      </c>
      <c r="Q53" s="2">
        <f t="shared" si="16"/>
        <v>4.0999999999999996</v>
      </c>
      <c r="R53" s="2">
        <f t="shared" si="17"/>
        <v>2.5000000000000001E-2</v>
      </c>
      <c r="S53" s="2">
        <f t="shared" si="18"/>
        <v>4.0999999999999996</v>
      </c>
      <c r="T53" s="2">
        <f t="shared" si="19"/>
        <v>2.5000000000000001E-2</v>
      </c>
      <c r="U53" s="2">
        <f t="shared" si="20"/>
        <v>4.0999999999999996</v>
      </c>
      <c r="V53" s="2">
        <f t="shared" si="21"/>
        <v>2.5000000000000001E-2</v>
      </c>
      <c r="W53" s="2">
        <f t="shared" si="22"/>
        <v>4.0999999999999996</v>
      </c>
      <c r="X53" s="2">
        <f t="shared" si="23"/>
        <v>2.5000000000000001E-2</v>
      </c>
      <c r="Y53" s="2">
        <f t="shared" si="24"/>
        <v>4.0999999999999996</v>
      </c>
      <c r="Z53" s="2">
        <f t="shared" si="25"/>
        <v>2.5000000000000001E-2</v>
      </c>
      <c r="AA53" s="2">
        <f t="shared" si="26"/>
        <v>4.0999999999999996</v>
      </c>
      <c r="AB53" s="2">
        <f t="shared" si="27"/>
        <v>2.5000000000000001E-2</v>
      </c>
      <c r="AC53" s="2">
        <f t="shared" si="28"/>
        <v>4.0999999999999996</v>
      </c>
      <c r="AD53" s="2">
        <f t="shared" si="29"/>
        <v>2.5000000000000001E-2</v>
      </c>
      <c r="AE53" s="2">
        <f t="shared" si="30"/>
        <v>4.0999999999999996</v>
      </c>
      <c r="AF53" s="2">
        <f t="shared" si="31"/>
        <v>2.5000000000000001E-2</v>
      </c>
      <c r="AG53" s="2">
        <f t="shared" si="32"/>
        <v>4.0999999999999996</v>
      </c>
      <c r="AH53" s="2">
        <f t="shared" si="33"/>
        <v>2.5000000000000001E-2</v>
      </c>
    </row>
    <row r="54" spans="1:34">
      <c r="A54" t="str">
        <f t="shared" si="43"/>
        <v>Vegetables</v>
      </c>
      <c r="B54" t="str">
        <f t="shared" si="45"/>
        <v>Oromia</v>
      </c>
      <c r="C54" s="2">
        <f t="shared" ref="C54:D54" si="85">(C154/0.2)/100</f>
        <v>3.25</v>
      </c>
      <c r="D54" s="2">
        <f t="shared" si="85"/>
        <v>2.5000000000000001E-2</v>
      </c>
      <c r="E54" s="2">
        <f t="shared" si="4"/>
        <v>3.25</v>
      </c>
      <c r="F54" s="2">
        <f t="shared" si="5"/>
        <v>2.5000000000000001E-2</v>
      </c>
      <c r="G54" s="2">
        <f t="shared" si="6"/>
        <v>3.25</v>
      </c>
      <c r="H54" s="2">
        <f t="shared" si="7"/>
        <v>2.5000000000000001E-2</v>
      </c>
      <c r="I54" s="2">
        <f t="shared" si="8"/>
        <v>3.25</v>
      </c>
      <c r="J54" s="2">
        <f t="shared" si="9"/>
        <v>2.5000000000000001E-2</v>
      </c>
      <c r="K54" s="2">
        <f t="shared" si="10"/>
        <v>3.25</v>
      </c>
      <c r="L54" s="2">
        <f t="shared" si="11"/>
        <v>2.5000000000000001E-2</v>
      </c>
      <c r="M54" s="2">
        <f t="shared" si="12"/>
        <v>3.25</v>
      </c>
      <c r="N54" s="2">
        <f t="shared" si="13"/>
        <v>2.5000000000000001E-2</v>
      </c>
      <c r="O54" s="2">
        <f t="shared" si="14"/>
        <v>3.25</v>
      </c>
      <c r="P54" s="2">
        <f t="shared" si="15"/>
        <v>2.5000000000000001E-2</v>
      </c>
      <c r="Q54" s="2">
        <f t="shared" si="16"/>
        <v>3.25</v>
      </c>
      <c r="R54" s="2">
        <f t="shared" si="17"/>
        <v>2.5000000000000001E-2</v>
      </c>
      <c r="S54" s="2">
        <f t="shared" si="18"/>
        <v>3.25</v>
      </c>
      <c r="T54" s="2">
        <f t="shared" si="19"/>
        <v>2.5000000000000001E-2</v>
      </c>
      <c r="U54" s="2">
        <f t="shared" si="20"/>
        <v>3.25</v>
      </c>
      <c r="V54" s="2">
        <f t="shared" si="21"/>
        <v>2.5000000000000001E-2</v>
      </c>
      <c r="W54" s="2">
        <f t="shared" si="22"/>
        <v>3.25</v>
      </c>
      <c r="X54" s="2">
        <f t="shared" si="23"/>
        <v>2.5000000000000001E-2</v>
      </c>
      <c r="Y54" s="2">
        <f t="shared" si="24"/>
        <v>3.25</v>
      </c>
      <c r="Z54" s="2">
        <f t="shared" si="25"/>
        <v>2.5000000000000001E-2</v>
      </c>
      <c r="AA54" s="2">
        <f t="shared" si="26"/>
        <v>3.25</v>
      </c>
      <c r="AB54" s="2">
        <f t="shared" si="27"/>
        <v>2.5000000000000001E-2</v>
      </c>
      <c r="AC54" s="2">
        <f t="shared" si="28"/>
        <v>3.25</v>
      </c>
      <c r="AD54" s="2">
        <f t="shared" si="29"/>
        <v>2.5000000000000001E-2</v>
      </c>
      <c r="AE54" s="2">
        <f t="shared" si="30"/>
        <v>3.25</v>
      </c>
      <c r="AF54" s="2">
        <f t="shared" si="31"/>
        <v>2.5000000000000001E-2</v>
      </c>
      <c r="AG54" s="2">
        <f t="shared" si="32"/>
        <v>3.25</v>
      </c>
      <c r="AH54" s="2">
        <f t="shared" si="33"/>
        <v>2.5000000000000001E-2</v>
      </c>
    </row>
    <row r="55" spans="1:34">
      <c r="A55" t="str">
        <f t="shared" si="43"/>
        <v>Vegetables</v>
      </c>
      <c r="B55" t="str">
        <f t="shared" si="45"/>
        <v>Somali</v>
      </c>
      <c r="C55" s="2">
        <f t="shared" ref="C55:D55" si="86">(C155/0.2)/100</f>
        <v>0</v>
      </c>
      <c r="D55" s="2">
        <f t="shared" si="86"/>
        <v>2.5000000000000001E-2</v>
      </c>
      <c r="E55" s="2">
        <f t="shared" si="4"/>
        <v>0</v>
      </c>
      <c r="F55" s="2">
        <f t="shared" si="5"/>
        <v>2.5000000000000001E-2</v>
      </c>
      <c r="G55" s="2">
        <f t="shared" si="6"/>
        <v>0</v>
      </c>
      <c r="H55" s="2">
        <f t="shared" si="7"/>
        <v>2.5000000000000001E-2</v>
      </c>
      <c r="I55" s="2">
        <f t="shared" si="8"/>
        <v>0</v>
      </c>
      <c r="J55" s="2">
        <f t="shared" si="9"/>
        <v>2.5000000000000001E-2</v>
      </c>
      <c r="K55" s="2">
        <f t="shared" si="10"/>
        <v>0</v>
      </c>
      <c r="L55" s="2">
        <f t="shared" si="11"/>
        <v>2.5000000000000001E-2</v>
      </c>
      <c r="M55" s="2">
        <f t="shared" si="12"/>
        <v>0</v>
      </c>
      <c r="N55" s="2">
        <f t="shared" si="13"/>
        <v>2.5000000000000001E-2</v>
      </c>
      <c r="O55" s="2">
        <f t="shared" si="14"/>
        <v>0</v>
      </c>
      <c r="P55" s="2">
        <f t="shared" si="15"/>
        <v>2.5000000000000001E-2</v>
      </c>
      <c r="Q55" s="2">
        <f t="shared" si="16"/>
        <v>0</v>
      </c>
      <c r="R55" s="2">
        <f t="shared" si="17"/>
        <v>2.5000000000000001E-2</v>
      </c>
      <c r="S55" s="2">
        <f t="shared" si="18"/>
        <v>0</v>
      </c>
      <c r="T55" s="2">
        <f t="shared" si="19"/>
        <v>2.5000000000000001E-2</v>
      </c>
      <c r="U55" s="2">
        <f t="shared" si="20"/>
        <v>0</v>
      </c>
      <c r="V55" s="2">
        <f t="shared" si="21"/>
        <v>2.5000000000000001E-2</v>
      </c>
      <c r="W55" s="2">
        <f t="shared" si="22"/>
        <v>0</v>
      </c>
      <c r="X55" s="2">
        <f t="shared" si="23"/>
        <v>2.5000000000000001E-2</v>
      </c>
      <c r="Y55" s="2">
        <f t="shared" si="24"/>
        <v>0</v>
      </c>
      <c r="Z55" s="2">
        <f t="shared" si="25"/>
        <v>2.5000000000000001E-2</v>
      </c>
      <c r="AA55" s="2">
        <f t="shared" si="26"/>
        <v>0</v>
      </c>
      <c r="AB55" s="2">
        <f t="shared" si="27"/>
        <v>2.5000000000000001E-2</v>
      </c>
      <c r="AC55" s="2">
        <f t="shared" si="28"/>
        <v>0</v>
      </c>
      <c r="AD55" s="2">
        <f t="shared" si="29"/>
        <v>2.5000000000000001E-2</v>
      </c>
      <c r="AE55" s="2">
        <f t="shared" si="30"/>
        <v>0</v>
      </c>
      <c r="AF55" s="2">
        <f t="shared" si="31"/>
        <v>2.5000000000000001E-2</v>
      </c>
      <c r="AG55" s="2">
        <f t="shared" si="32"/>
        <v>0</v>
      </c>
      <c r="AH55" s="2">
        <f t="shared" si="33"/>
        <v>2.5000000000000001E-2</v>
      </c>
    </row>
    <row r="56" spans="1:34">
      <c r="A56" t="str">
        <f t="shared" si="43"/>
        <v>Vegetables</v>
      </c>
      <c r="B56" t="str">
        <f t="shared" si="45"/>
        <v>SNNPR</v>
      </c>
      <c r="C56" s="2">
        <f t="shared" ref="C56:D56" si="87">(C156/0.2)/100</f>
        <v>4.55</v>
      </c>
      <c r="D56" s="2">
        <f t="shared" si="87"/>
        <v>2.5000000000000001E-2</v>
      </c>
      <c r="E56" s="2">
        <f t="shared" si="4"/>
        <v>4.55</v>
      </c>
      <c r="F56" s="2">
        <f t="shared" si="5"/>
        <v>2.5000000000000001E-2</v>
      </c>
      <c r="G56" s="2">
        <f t="shared" si="6"/>
        <v>4.55</v>
      </c>
      <c r="H56" s="2">
        <f t="shared" si="7"/>
        <v>2.5000000000000001E-2</v>
      </c>
      <c r="I56" s="2">
        <f t="shared" si="8"/>
        <v>4.55</v>
      </c>
      <c r="J56" s="2">
        <f t="shared" si="9"/>
        <v>2.5000000000000001E-2</v>
      </c>
      <c r="K56" s="2">
        <f t="shared" si="10"/>
        <v>4.55</v>
      </c>
      <c r="L56" s="2">
        <f t="shared" si="11"/>
        <v>2.5000000000000001E-2</v>
      </c>
      <c r="M56" s="2">
        <f t="shared" si="12"/>
        <v>4.55</v>
      </c>
      <c r="N56" s="2">
        <f t="shared" si="13"/>
        <v>2.5000000000000001E-2</v>
      </c>
      <c r="O56" s="2">
        <f t="shared" si="14"/>
        <v>4.55</v>
      </c>
      <c r="P56" s="2">
        <f t="shared" si="15"/>
        <v>2.5000000000000001E-2</v>
      </c>
      <c r="Q56" s="2">
        <f t="shared" si="16"/>
        <v>4.55</v>
      </c>
      <c r="R56" s="2">
        <f t="shared" si="17"/>
        <v>2.5000000000000001E-2</v>
      </c>
      <c r="S56" s="2">
        <f t="shared" si="18"/>
        <v>4.55</v>
      </c>
      <c r="T56" s="2">
        <f t="shared" si="19"/>
        <v>2.5000000000000001E-2</v>
      </c>
      <c r="U56" s="2">
        <f t="shared" si="20"/>
        <v>4.55</v>
      </c>
      <c r="V56" s="2">
        <f t="shared" si="21"/>
        <v>2.5000000000000001E-2</v>
      </c>
      <c r="W56" s="2">
        <f t="shared" si="22"/>
        <v>4.55</v>
      </c>
      <c r="X56" s="2">
        <f t="shared" si="23"/>
        <v>2.5000000000000001E-2</v>
      </c>
      <c r="Y56" s="2">
        <f t="shared" si="24"/>
        <v>4.55</v>
      </c>
      <c r="Z56" s="2">
        <f t="shared" si="25"/>
        <v>2.5000000000000001E-2</v>
      </c>
      <c r="AA56" s="2">
        <f t="shared" si="26"/>
        <v>4.55</v>
      </c>
      <c r="AB56" s="2">
        <f t="shared" si="27"/>
        <v>2.5000000000000001E-2</v>
      </c>
      <c r="AC56" s="2">
        <f t="shared" si="28"/>
        <v>4.55</v>
      </c>
      <c r="AD56" s="2">
        <f t="shared" si="29"/>
        <v>2.5000000000000001E-2</v>
      </c>
      <c r="AE56" s="2">
        <f t="shared" si="30"/>
        <v>4.55</v>
      </c>
      <c r="AF56" s="2">
        <f t="shared" si="31"/>
        <v>2.5000000000000001E-2</v>
      </c>
      <c r="AG56" s="2">
        <f t="shared" si="32"/>
        <v>4.55</v>
      </c>
      <c r="AH56" s="2">
        <f t="shared" si="33"/>
        <v>2.5000000000000001E-2</v>
      </c>
    </row>
    <row r="57" spans="1:34">
      <c r="A57" t="str">
        <f t="shared" si="43"/>
        <v>Vegetables</v>
      </c>
      <c r="B57" t="str">
        <f t="shared" si="45"/>
        <v>Tigray</v>
      </c>
      <c r="C57" s="2">
        <f t="shared" ref="C57:D57" si="88">(C157/0.2)/100</f>
        <v>4.5</v>
      </c>
      <c r="D57" s="2">
        <f t="shared" si="88"/>
        <v>2.5000000000000001E-2</v>
      </c>
      <c r="E57" s="2">
        <f t="shared" si="4"/>
        <v>4.5</v>
      </c>
      <c r="F57" s="2">
        <f t="shared" si="5"/>
        <v>2.5000000000000001E-2</v>
      </c>
      <c r="G57" s="2">
        <f t="shared" si="6"/>
        <v>4.5</v>
      </c>
      <c r="H57" s="2">
        <f t="shared" si="7"/>
        <v>2.5000000000000001E-2</v>
      </c>
      <c r="I57" s="2">
        <f t="shared" si="8"/>
        <v>4.5</v>
      </c>
      <c r="J57" s="2">
        <f t="shared" si="9"/>
        <v>2.5000000000000001E-2</v>
      </c>
      <c r="K57" s="2">
        <f t="shared" si="10"/>
        <v>4.5</v>
      </c>
      <c r="L57" s="2">
        <f t="shared" si="11"/>
        <v>2.5000000000000001E-2</v>
      </c>
      <c r="M57" s="2">
        <f t="shared" si="12"/>
        <v>4.5</v>
      </c>
      <c r="N57" s="2">
        <f t="shared" si="13"/>
        <v>2.5000000000000001E-2</v>
      </c>
      <c r="O57" s="2">
        <f t="shared" si="14"/>
        <v>4.5</v>
      </c>
      <c r="P57" s="2">
        <f t="shared" si="15"/>
        <v>2.5000000000000001E-2</v>
      </c>
      <c r="Q57" s="2">
        <f t="shared" si="16"/>
        <v>4.5</v>
      </c>
      <c r="R57" s="2">
        <f t="shared" si="17"/>
        <v>2.5000000000000001E-2</v>
      </c>
      <c r="S57" s="2">
        <f t="shared" si="18"/>
        <v>4.5</v>
      </c>
      <c r="T57" s="2">
        <f t="shared" si="19"/>
        <v>2.5000000000000001E-2</v>
      </c>
      <c r="U57" s="2">
        <f t="shared" si="20"/>
        <v>4.5</v>
      </c>
      <c r="V57" s="2">
        <f t="shared" si="21"/>
        <v>2.5000000000000001E-2</v>
      </c>
      <c r="W57" s="2">
        <f t="shared" si="22"/>
        <v>4.5</v>
      </c>
      <c r="X57" s="2">
        <f t="shared" si="23"/>
        <v>2.5000000000000001E-2</v>
      </c>
      <c r="Y57" s="2">
        <f t="shared" si="24"/>
        <v>4.5</v>
      </c>
      <c r="Z57" s="2">
        <f t="shared" si="25"/>
        <v>2.5000000000000001E-2</v>
      </c>
      <c r="AA57" s="2">
        <f t="shared" si="26"/>
        <v>4.5</v>
      </c>
      <c r="AB57" s="2">
        <f t="shared" si="27"/>
        <v>2.5000000000000001E-2</v>
      </c>
      <c r="AC57" s="2">
        <f t="shared" si="28"/>
        <v>4.5</v>
      </c>
      <c r="AD57" s="2">
        <f t="shared" si="29"/>
        <v>2.5000000000000001E-2</v>
      </c>
      <c r="AE57" s="2">
        <f t="shared" si="30"/>
        <v>4.5</v>
      </c>
      <c r="AF57" s="2">
        <f t="shared" si="31"/>
        <v>2.5000000000000001E-2</v>
      </c>
      <c r="AG57" s="2">
        <f t="shared" si="32"/>
        <v>4.5</v>
      </c>
      <c r="AH57" s="2">
        <f t="shared" si="33"/>
        <v>2.5000000000000001E-2</v>
      </c>
    </row>
    <row r="58" spans="1:34">
      <c r="A58" t="str">
        <f t="shared" si="43"/>
        <v>Coffee</v>
      </c>
      <c r="B58" t="str">
        <f t="shared" si="45"/>
        <v>AddisAbaba</v>
      </c>
      <c r="C58" s="2">
        <f t="shared" ref="C58:D58" si="89">(C158/0.2)/100</f>
        <v>0</v>
      </c>
      <c r="D58" s="2">
        <f t="shared" si="89"/>
        <v>0</v>
      </c>
      <c r="E58" s="2">
        <f t="shared" si="4"/>
        <v>0</v>
      </c>
      <c r="F58" s="2">
        <f t="shared" si="5"/>
        <v>0</v>
      </c>
      <c r="G58" s="2">
        <f t="shared" si="6"/>
        <v>0</v>
      </c>
      <c r="H58" s="2">
        <f t="shared" si="7"/>
        <v>0</v>
      </c>
      <c r="I58" s="2">
        <f t="shared" si="8"/>
        <v>0</v>
      </c>
      <c r="J58" s="2">
        <f t="shared" si="9"/>
        <v>0</v>
      </c>
      <c r="K58" s="2">
        <f t="shared" si="10"/>
        <v>0</v>
      </c>
      <c r="L58" s="2">
        <f t="shared" si="11"/>
        <v>0</v>
      </c>
      <c r="M58" s="2">
        <f t="shared" si="12"/>
        <v>0</v>
      </c>
      <c r="N58" s="2">
        <f t="shared" si="13"/>
        <v>0</v>
      </c>
      <c r="O58" s="2">
        <f t="shared" si="14"/>
        <v>0</v>
      </c>
      <c r="P58" s="2">
        <f t="shared" si="15"/>
        <v>0</v>
      </c>
      <c r="Q58" s="2">
        <f t="shared" si="16"/>
        <v>0</v>
      </c>
      <c r="R58" s="2">
        <f t="shared" si="17"/>
        <v>0</v>
      </c>
      <c r="S58" s="2">
        <f t="shared" si="18"/>
        <v>0</v>
      </c>
      <c r="T58" s="2">
        <f t="shared" si="19"/>
        <v>0</v>
      </c>
      <c r="U58" s="2">
        <f t="shared" si="20"/>
        <v>0</v>
      </c>
      <c r="V58" s="2">
        <f t="shared" si="21"/>
        <v>0</v>
      </c>
      <c r="W58" s="2">
        <f t="shared" si="22"/>
        <v>0</v>
      </c>
      <c r="X58" s="2">
        <f t="shared" si="23"/>
        <v>0</v>
      </c>
      <c r="Y58" s="2">
        <f t="shared" si="24"/>
        <v>0</v>
      </c>
      <c r="Z58" s="2">
        <f t="shared" si="25"/>
        <v>0</v>
      </c>
      <c r="AA58" s="2">
        <f t="shared" si="26"/>
        <v>0</v>
      </c>
      <c r="AB58" s="2">
        <f t="shared" si="27"/>
        <v>0</v>
      </c>
      <c r="AC58" s="2">
        <f t="shared" si="28"/>
        <v>0</v>
      </c>
      <c r="AD58" s="2">
        <f t="shared" si="29"/>
        <v>0</v>
      </c>
      <c r="AE58" s="2">
        <f t="shared" si="30"/>
        <v>0</v>
      </c>
      <c r="AF58" s="2">
        <f t="shared" si="31"/>
        <v>0</v>
      </c>
      <c r="AG58" s="2">
        <f t="shared" si="32"/>
        <v>0</v>
      </c>
      <c r="AH58" s="2">
        <f t="shared" si="33"/>
        <v>0</v>
      </c>
    </row>
    <row r="59" spans="1:34">
      <c r="A59" t="str">
        <f t="shared" si="43"/>
        <v>Coffee</v>
      </c>
      <c r="B59" t="str">
        <f t="shared" si="45"/>
        <v>Afar</v>
      </c>
      <c r="C59" s="2">
        <f t="shared" ref="C59:D59" si="90">(C159/0.2)/100</f>
        <v>0</v>
      </c>
      <c r="D59" s="2">
        <f t="shared" si="90"/>
        <v>2.5000000000000001E-2</v>
      </c>
      <c r="E59" s="2">
        <f t="shared" si="4"/>
        <v>0</v>
      </c>
      <c r="F59" s="2">
        <f t="shared" si="5"/>
        <v>2.5000000000000001E-2</v>
      </c>
      <c r="G59" s="2">
        <f t="shared" si="6"/>
        <v>0</v>
      </c>
      <c r="H59" s="2">
        <f t="shared" si="7"/>
        <v>2.5000000000000001E-2</v>
      </c>
      <c r="I59" s="2">
        <f t="shared" si="8"/>
        <v>0</v>
      </c>
      <c r="J59" s="2">
        <f t="shared" si="9"/>
        <v>2.5000000000000001E-2</v>
      </c>
      <c r="K59" s="2">
        <f t="shared" si="10"/>
        <v>0</v>
      </c>
      <c r="L59" s="2">
        <f t="shared" si="11"/>
        <v>2.5000000000000001E-2</v>
      </c>
      <c r="M59" s="2">
        <f t="shared" si="12"/>
        <v>0</v>
      </c>
      <c r="N59" s="2">
        <f t="shared" si="13"/>
        <v>2.5000000000000001E-2</v>
      </c>
      <c r="O59" s="2">
        <f t="shared" si="14"/>
        <v>0</v>
      </c>
      <c r="P59" s="2">
        <f t="shared" si="15"/>
        <v>2.5000000000000001E-2</v>
      </c>
      <c r="Q59" s="2">
        <f t="shared" si="16"/>
        <v>0</v>
      </c>
      <c r="R59" s="2">
        <f t="shared" si="17"/>
        <v>2.5000000000000001E-2</v>
      </c>
      <c r="S59" s="2">
        <f t="shared" si="18"/>
        <v>0</v>
      </c>
      <c r="T59" s="2">
        <f t="shared" si="19"/>
        <v>2.5000000000000001E-2</v>
      </c>
      <c r="U59" s="2">
        <f t="shared" si="20"/>
        <v>0</v>
      </c>
      <c r="V59" s="2">
        <f t="shared" si="21"/>
        <v>2.5000000000000001E-2</v>
      </c>
      <c r="W59" s="2">
        <f t="shared" si="22"/>
        <v>0</v>
      </c>
      <c r="X59" s="2">
        <f t="shared" si="23"/>
        <v>2.5000000000000001E-2</v>
      </c>
      <c r="Y59" s="2">
        <f t="shared" si="24"/>
        <v>0</v>
      </c>
      <c r="Z59" s="2">
        <f t="shared" si="25"/>
        <v>2.5000000000000001E-2</v>
      </c>
      <c r="AA59" s="2">
        <f t="shared" si="26"/>
        <v>0</v>
      </c>
      <c r="AB59" s="2">
        <f t="shared" si="27"/>
        <v>2.5000000000000001E-2</v>
      </c>
      <c r="AC59" s="2">
        <f t="shared" si="28"/>
        <v>0</v>
      </c>
      <c r="AD59" s="2">
        <f t="shared" si="29"/>
        <v>2.5000000000000001E-2</v>
      </c>
      <c r="AE59" s="2">
        <f t="shared" si="30"/>
        <v>0</v>
      </c>
      <c r="AF59" s="2">
        <f t="shared" si="31"/>
        <v>2.5000000000000001E-2</v>
      </c>
      <c r="AG59" s="2">
        <f t="shared" si="32"/>
        <v>0</v>
      </c>
      <c r="AH59" s="2">
        <f t="shared" si="33"/>
        <v>2.5000000000000001E-2</v>
      </c>
    </row>
    <row r="60" spans="1:34">
      <c r="A60" t="str">
        <f t="shared" si="43"/>
        <v>Coffee</v>
      </c>
      <c r="B60" t="str">
        <f t="shared" si="45"/>
        <v>Amhara</v>
      </c>
      <c r="C60" s="2">
        <f t="shared" ref="C60:D60" si="91">(C160/0.2)/100</f>
        <v>0.35</v>
      </c>
      <c r="D60" s="2">
        <f t="shared" si="91"/>
        <v>2.5000000000000001E-2</v>
      </c>
      <c r="E60" s="2">
        <f t="shared" si="4"/>
        <v>0.35</v>
      </c>
      <c r="F60" s="2">
        <f t="shared" si="5"/>
        <v>2.5000000000000001E-2</v>
      </c>
      <c r="G60" s="2">
        <f t="shared" si="6"/>
        <v>0.35</v>
      </c>
      <c r="H60" s="2">
        <f t="shared" si="7"/>
        <v>2.5000000000000001E-2</v>
      </c>
      <c r="I60" s="2">
        <f t="shared" si="8"/>
        <v>0.35</v>
      </c>
      <c r="J60" s="2">
        <f t="shared" si="9"/>
        <v>2.5000000000000001E-2</v>
      </c>
      <c r="K60" s="2">
        <f t="shared" si="10"/>
        <v>0.35</v>
      </c>
      <c r="L60" s="2">
        <f t="shared" si="11"/>
        <v>2.5000000000000001E-2</v>
      </c>
      <c r="M60" s="2">
        <f t="shared" si="12"/>
        <v>0.35</v>
      </c>
      <c r="N60" s="2">
        <f t="shared" si="13"/>
        <v>2.5000000000000001E-2</v>
      </c>
      <c r="O60" s="2">
        <f t="shared" si="14"/>
        <v>0.35</v>
      </c>
      <c r="P60" s="2">
        <f t="shared" si="15"/>
        <v>2.5000000000000001E-2</v>
      </c>
      <c r="Q60" s="2">
        <f t="shared" si="16"/>
        <v>0.35</v>
      </c>
      <c r="R60" s="2">
        <f t="shared" si="17"/>
        <v>2.5000000000000001E-2</v>
      </c>
      <c r="S60" s="2">
        <f t="shared" si="18"/>
        <v>0.35</v>
      </c>
      <c r="T60" s="2">
        <f t="shared" si="19"/>
        <v>2.5000000000000001E-2</v>
      </c>
      <c r="U60" s="2">
        <f t="shared" si="20"/>
        <v>0.35</v>
      </c>
      <c r="V60" s="2">
        <f t="shared" si="21"/>
        <v>2.5000000000000001E-2</v>
      </c>
      <c r="W60" s="2">
        <f t="shared" si="22"/>
        <v>0.35</v>
      </c>
      <c r="X60" s="2">
        <f t="shared" si="23"/>
        <v>2.5000000000000001E-2</v>
      </c>
      <c r="Y60" s="2">
        <f t="shared" si="24"/>
        <v>0.35</v>
      </c>
      <c r="Z60" s="2">
        <f t="shared" si="25"/>
        <v>2.5000000000000001E-2</v>
      </c>
      <c r="AA60" s="2">
        <f t="shared" si="26"/>
        <v>0.35</v>
      </c>
      <c r="AB60" s="2">
        <f t="shared" si="27"/>
        <v>2.5000000000000001E-2</v>
      </c>
      <c r="AC60" s="2">
        <f t="shared" si="28"/>
        <v>0.35</v>
      </c>
      <c r="AD60" s="2">
        <f t="shared" si="29"/>
        <v>2.5000000000000001E-2</v>
      </c>
      <c r="AE60" s="2">
        <f t="shared" si="30"/>
        <v>0.35</v>
      </c>
      <c r="AF60" s="2">
        <f t="shared" si="31"/>
        <v>2.5000000000000001E-2</v>
      </c>
      <c r="AG60" s="2">
        <f t="shared" si="32"/>
        <v>0.35</v>
      </c>
      <c r="AH60" s="2">
        <f t="shared" si="33"/>
        <v>2.5000000000000001E-2</v>
      </c>
    </row>
    <row r="61" spans="1:34">
      <c r="A61" t="str">
        <f t="shared" si="43"/>
        <v>Coffee</v>
      </c>
      <c r="B61" t="str">
        <f t="shared" si="45"/>
        <v>Gumuz</v>
      </c>
      <c r="C61" s="2">
        <f t="shared" ref="C61:D61" si="92">(C161/0.2)/100</f>
        <v>0.45</v>
      </c>
      <c r="D61" s="2">
        <f t="shared" si="92"/>
        <v>2.5000000000000001E-2</v>
      </c>
      <c r="E61" s="2">
        <f t="shared" si="4"/>
        <v>0.45</v>
      </c>
      <c r="F61" s="2">
        <f t="shared" si="5"/>
        <v>2.5000000000000001E-2</v>
      </c>
      <c r="G61" s="2">
        <f t="shared" si="6"/>
        <v>0.45</v>
      </c>
      <c r="H61" s="2">
        <f t="shared" si="7"/>
        <v>2.5000000000000001E-2</v>
      </c>
      <c r="I61" s="2">
        <f t="shared" si="8"/>
        <v>0.45</v>
      </c>
      <c r="J61" s="2">
        <f t="shared" si="9"/>
        <v>2.5000000000000001E-2</v>
      </c>
      <c r="K61" s="2">
        <f t="shared" si="10"/>
        <v>0.45</v>
      </c>
      <c r="L61" s="2">
        <f t="shared" si="11"/>
        <v>2.5000000000000001E-2</v>
      </c>
      <c r="M61" s="2">
        <f t="shared" si="12"/>
        <v>0.45</v>
      </c>
      <c r="N61" s="2">
        <f t="shared" si="13"/>
        <v>2.5000000000000001E-2</v>
      </c>
      <c r="O61" s="2">
        <f t="shared" si="14"/>
        <v>0.45</v>
      </c>
      <c r="P61" s="2">
        <f t="shared" si="15"/>
        <v>2.5000000000000001E-2</v>
      </c>
      <c r="Q61" s="2">
        <f t="shared" si="16"/>
        <v>0.45</v>
      </c>
      <c r="R61" s="2">
        <f t="shared" si="17"/>
        <v>2.5000000000000001E-2</v>
      </c>
      <c r="S61" s="2">
        <f t="shared" si="18"/>
        <v>0.45</v>
      </c>
      <c r="T61" s="2">
        <f t="shared" si="19"/>
        <v>2.5000000000000001E-2</v>
      </c>
      <c r="U61" s="2">
        <f t="shared" si="20"/>
        <v>0.45</v>
      </c>
      <c r="V61" s="2">
        <f t="shared" si="21"/>
        <v>2.5000000000000001E-2</v>
      </c>
      <c r="W61" s="2">
        <f t="shared" si="22"/>
        <v>0.45</v>
      </c>
      <c r="X61" s="2">
        <f t="shared" si="23"/>
        <v>2.5000000000000001E-2</v>
      </c>
      <c r="Y61" s="2">
        <f t="shared" si="24"/>
        <v>0.45</v>
      </c>
      <c r="Z61" s="2">
        <f t="shared" si="25"/>
        <v>2.5000000000000001E-2</v>
      </c>
      <c r="AA61" s="2">
        <f t="shared" si="26"/>
        <v>0.45</v>
      </c>
      <c r="AB61" s="2">
        <f t="shared" si="27"/>
        <v>2.5000000000000001E-2</v>
      </c>
      <c r="AC61" s="2">
        <f t="shared" si="28"/>
        <v>0.45</v>
      </c>
      <c r="AD61" s="2">
        <f t="shared" si="29"/>
        <v>2.5000000000000001E-2</v>
      </c>
      <c r="AE61" s="2">
        <f t="shared" si="30"/>
        <v>0.45</v>
      </c>
      <c r="AF61" s="2">
        <f t="shared" si="31"/>
        <v>2.5000000000000001E-2</v>
      </c>
      <c r="AG61" s="2">
        <f t="shared" si="32"/>
        <v>0.45</v>
      </c>
      <c r="AH61" s="2">
        <f t="shared" si="33"/>
        <v>2.5000000000000001E-2</v>
      </c>
    </row>
    <row r="62" spans="1:34">
      <c r="A62" t="str">
        <f t="shared" si="43"/>
        <v>Coffee</v>
      </c>
      <c r="B62" t="str">
        <f t="shared" si="45"/>
        <v>DireDawa</v>
      </c>
      <c r="C62" s="2">
        <f t="shared" ref="C62:D62" si="93">(C162/0.2)/100</f>
        <v>0.2</v>
      </c>
      <c r="D62" s="2">
        <f t="shared" si="93"/>
        <v>2.5000000000000001E-2</v>
      </c>
      <c r="E62" s="2">
        <f t="shared" si="4"/>
        <v>0.2</v>
      </c>
      <c r="F62" s="2">
        <f t="shared" si="5"/>
        <v>2.5000000000000001E-2</v>
      </c>
      <c r="G62" s="2">
        <f t="shared" si="6"/>
        <v>0.2</v>
      </c>
      <c r="H62" s="2">
        <f t="shared" si="7"/>
        <v>2.5000000000000001E-2</v>
      </c>
      <c r="I62" s="2">
        <f t="shared" si="8"/>
        <v>0.2</v>
      </c>
      <c r="J62" s="2">
        <f t="shared" si="9"/>
        <v>2.5000000000000001E-2</v>
      </c>
      <c r="K62" s="2">
        <f t="shared" si="10"/>
        <v>0.2</v>
      </c>
      <c r="L62" s="2">
        <f t="shared" si="11"/>
        <v>2.5000000000000001E-2</v>
      </c>
      <c r="M62" s="2">
        <f t="shared" si="12"/>
        <v>0.2</v>
      </c>
      <c r="N62" s="2">
        <f t="shared" si="13"/>
        <v>2.5000000000000001E-2</v>
      </c>
      <c r="O62" s="2">
        <f t="shared" si="14"/>
        <v>0.2</v>
      </c>
      <c r="P62" s="2">
        <f t="shared" si="15"/>
        <v>2.5000000000000001E-2</v>
      </c>
      <c r="Q62" s="2">
        <f t="shared" si="16"/>
        <v>0.2</v>
      </c>
      <c r="R62" s="2">
        <f t="shared" si="17"/>
        <v>2.5000000000000001E-2</v>
      </c>
      <c r="S62" s="2">
        <f t="shared" si="18"/>
        <v>0.2</v>
      </c>
      <c r="T62" s="2">
        <f t="shared" si="19"/>
        <v>2.5000000000000001E-2</v>
      </c>
      <c r="U62" s="2">
        <f t="shared" si="20"/>
        <v>0.2</v>
      </c>
      <c r="V62" s="2">
        <f t="shared" si="21"/>
        <v>2.5000000000000001E-2</v>
      </c>
      <c r="W62" s="2">
        <f t="shared" si="22"/>
        <v>0.2</v>
      </c>
      <c r="X62" s="2">
        <f t="shared" si="23"/>
        <v>2.5000000000000001E-2</v>
      </c>
      <c r="Y62" s="2">
        <f t="shared" si="24"/>
        <v>0.2</v>
      </c>
      <c r="Z62" s="2">
        <f t="shared" si="25"/>
        <v>2.5000000000000001E-2</v>
      </c>
      <c r="AA62" s="2">
        <f t="shared" si="26"/>
        <v>0.2</v>
      </c>
      <c r="AB62" s="2">
        <f t="shared" si="27"/>
        <v>2.5000000000000001E-2</v>
      </c>
      <c r="AC62" s="2">
        <f t="shared" si="28"/>
        <v>0.2</v>
      </c>
      <c r="AD62" s="2">
        <f t="shared" si="29"/>
        <v>2.5000000000000001E-2</v>
      </c>
      <c r="AE62" s="2">
        <f t="shared" si="30"/>
        <v>0.2</v>
      </c>
      <c r="AF62" s="2">
        <f t="shared" si="31"/>
        <v>2.5000000000000001E-2</v>
      </c>
      <c r="AG62" s="2">
        <f t="shared" si="32"/>
        <v>0.2</v>
      </c>
      <c r="AH62" s="2">
        <f t="shared" si="33"/>
        <v>2.5000000000000001E-2</v>
      </c>
    </row>
    <row r="63" spans="1:34">
      <c r="A63" t="str">
        <f t="shared" si="43"/>
        <v>Coffee</v>
      </c>
      <c r="B63" t="str">
        <f t="shared" si="45"/>
        <v>Gambela</v>
      </c>
      <c r="C63" s="2">
        <f t="shared" ref="C63:D63" si="94">(C163/0.2)/100</f>
        <v>0</v>
      </c>
      <c r="D63" s="2">
        <f t="shared" si="94"/>
        <v>0</v>
      </c>
      <c r="E63" s="2">
        <f t="shared" si="4"/>
        <v>0</v>
      </c>
      <c r="F63" s="2">
        <f t="shared" si="5"/>
        <v>0</v>
      </c>
      <c r="G63" s="2">
        <f t="shared" si="6"/>
        <v>0</v>
      </c>
      <c r="H63" s="2">
        <f t="shared" si="7"/>
        <v>0</v>
      </c>
      <c r="I63" s="2">
        <f t="shared" si="8"/>
        <v>0</v>
      </c>
      <c r="J63" s="2">
        <f t="shared" si="9"/>
        <v>0</v>
      </c>
      <c r="K63" s="2">
        <f t="shared" si="10"/>
        <v>0</v>
      </c>
      <c r="L63" s="2">
        <f t="shared" si="11"/>
        <v>0</v>
      </c>
      <c r="M63" s="2">
        <f t="shared" si="12"/>
        <v>0</v>
      </c>
      <c r="N63" s="2">
        <f t="shared" si="13"/>
        <v>0</v>
      </c>
      <c r="O63" s="2">
        <f t="shared" si="14"/>
        <v>0</v>
      </c>
      <c r="P63" s="2">
        <f t="shared" si="15"/>
        <v>0</v>
      </c>
      <c r="Q63" s="2">
        <f t="shared" si="16"/>
        <v>0</v>
      </c>
      <c r="R63" s="2">
        <f t="shared" si="17"/>
        <v>0</v>
      </c>
      <c r="S63" s="2">
        <f t="shared" si="18"/>
        <v>0</v>
      </c>
      <c r="T63" s="2">
        <f t="shared" si="19"/>
        <v>0</v>
      </c>
      <c r="U63" s="2">
        <f t="shared" si="20"/>
        <v>0</v>
      </c>
      <c r="V63" s="2">
        <f t="shared" si="21"/>
        <v>0</v>
      </c>
      <c r="W63" s="2">
        <f t="shared" si="22"/>
        <v>0</v>
      </c>
      <c r="X63" s="2">
        <f t="shared" si="23"/>
        <v>0</v>
      </c>
      <c r="Y63" s="2">
        <f t="shared" si="24"/>
        <v>0</v>
      </c>
      <c r="Z63" s="2">
        <f t="shared" si="25"/>
        <v>0</v>
      </c>
      <c r="AA63" s="2">
        <f t="shared" si="26"/>
        <v>0</v>
      </c>
      <c r="AB63" s="2">
        <f t="shared" si="27"/>
        <v>0</v>
      </c>
      <c r="AC63" s="2">
        <f t="shared" si="28"/>
        <v>0</v>
      </c>
      <c r="AD63" s="2">
        <f t="shared" si="29"/>
        <v>0</v>
      </c>
      <c r="AE63" s="2">
        <f t="shared" si="30"/>
        <v>0</v>
      </c>
      <c r="AF63" s="2">
        <f t="shared" si="31"/>
        <v>0</v>
      </c>
      <c r="AG63" s="2">
        <f t="shared" si="32"/>
        <v>0</v>
      </c>
      <c r="AH63" s="2">
        <f t="shared" si="33"/>
        <v>0</v>
      </c>
    </row>
    <row r="64" spans="1:34">
      <c r="A64" t="str">
        <f t="shared" si="43"/>
        <v>Coffee</v>
      </c>
      <c r="B64" t="str">
        <f t="shared" si="45"/>
        <v>Harari</v>
      </c>
      <c r="C64" s="2">
        <f t="shared" ref="C64:D64" si="95">(C164/0.2)/100</f>
        <v>2.5</v>
      </c>
      <c r="D64" s="2">
        <f t="shared" si="95"/>
        <v>2.5000000000000001E-2</v>
      </c>
      <c r="E64" s="2">
        <f t="shared" si="4"/>
        <v>2.5</v>
      </c>
      <c r="F64" s="2">
        <f t="shared" si="5"/>
        <v>2.5000000000000001E-2</v>
      </c>
      <c r="G64" s="2">
        <f t="shared" si="6"/>
        <v>2.5</v>
      </c>
      <c r="H64" s="2">
        <f t="shared" si="7"/>
        <v>2.5000000000000001E-2</v>
      </c>
      <c r="I64" s="2">
        <f t="shared" si="8"/>
        <v>2.5</v>
      </c>
      <c r="J64" s="2">
        <f t="shared" si="9"/>
        <v>2.5000000000000001E-2</v>
      </c>
      <c r="K64" s="2">
        <f t="shared" si="10"/>
        <v>2.5</v>
      </c>
      <c r="L64" s="2">
        <f t="shared" si="11"/>
        <v>2.5000000000000001E-2</v>
      </c>
      <c r="M64" s="2">
        <f t="shared" si="12"/>
        <v>2.5</v>
      </c>
      <c r="N64" s="2">
        <f t="shared" si="13"/>
        <v>2.5000000000000001E-2</v>
      </c>
      <c r="O64" s="2">
        <f t="shared" si="14"/>
        <v>2.5</v>
      </c>
      <c r="P64" s="2">
        <f t="shared" si="15"/>
        <v>2.5000000000000001E-2</v>
      </c>
      <c r="Q64" s="2">
        <f t="shared" si="16"/>
        <v>2.5</v>
      </c>
      <c r="R64" s="2">
        <f t="shared" si="17"/>
        <v>2.5000000000000001E-2</v>
      </c>
      <c r="S64" s="2">
        <f t="shared" si="18"/>
        <v>2.5</v>
      </c>
      <c r="T64" s="2">
        <f t="shared" si="19"/>
        <v>2.5000000000000001E-2</v>
      </c>
      <c r="U64" s="2">
        <f t="shared" si="20"/>
        <v>2.5</v>
      </c>
      <c r="V64" s="2">
        <f t="shared" si="21"/>
        <v>2.5000000000000001E-2</v>
      </c>
      <c r="W64" s="2">
        <f t="shared" si="22"/>
        <v>2.5</v>
      </c>
      <c r="X64" s="2">
        <f t="shared" si="23"/>
        <v>2.5000000000000001E-2</v>
      </c>
      <c r="Y64" s="2">
        <f t="shared" si="24"/>
        <v>2.5</v>
      </c>
      <c r="Z64" s="2">
        <f t="shared" si="25"/>
        <v>2.5000000000000001E-2</v>
      </c>
      <c r="AA64" s="2">
        <f t="shared" si="26"/>
        <v>2.5</v>
      </c>
      <c r="AB64" s="2">
        <f t="shared" si="27"/>
        <v>2.5000000000000001E-2</v>
      </c>
      <c r="AC64" s="2">
        <f t="shared" si="28"/>
        <v>2.5</v>
      </c>
      <c r="AD64" s="2">
        <f t="shared" si="29"/>
        <v>2.5000000000000001E-2</v>
      </c>
      <c r="AE64" s="2">
        <f t="shared" si="30"/>
        <v>2.5</v>
      </c>
      <c r="AF64" s="2">
        <f t="shared" si="31"/>
        <v>2.5000000000000001E-2</v>
      </c>
      <c r="AG64" s="2">
        <f t="shared" si="32"/>
        <v>2.5</v>
      </c>
      <c r="AH64" s="2">
        <f t="shared" si="33"/>
        <v>2.5000000000000001E-2</v>
      </c>
    </row>
    <row r="65" spans="1:34">
      <c r="A65" t="str">
        <f t="shared" si="43"/>
        <v>Coffee</v>
      </c>
      <c r="B65" t="str">
        <f t="shared" si="45"/>
        <v>Oromia</v>
      </c>
      <c r="C65" s="2">
        <f t="shared" ref="C65:D65" si="96">(C165/0.2)/100</f>
        <v>0.35</v>
      </c>
      <c r="D65" s="2">
        <f t="shared" si="96"/>
        <v>2.5000000000000001E-2</v>
      </c>
      <c r="E65" s="2">
        <f t="shared" si="4"/>
        <v>0.35</v>
      </c>
      <c r="F65" s="2">
        <f t="shared" si="5"/>
        <v>2.5000000000000001E-2</v>
      </c>
      <c r="G65" s="2">
        <f t="shared" si="6"/>
        <v>0.35</v>
      </c>
      <c r="H65" s="2">
        <f t="shared" si="7"/>
        <v>2.5000000000000001E-2</v>
      </c>
      <c r="I65" s="2">
        <f t="shared" si="8"/>
        <v>0.35</v>
      </c>
      <c r="J65" s="2">
        <f t="shared" si="9"/>
        <v>2.5000000000000001E-2</v>
      </c>
      <c r="K65" s="2">
        <f t="shared" si="10"/>
        <v>0.35</v>
      </c>
      <c r="L65" s="2">
        <f t="shared" si="11"/>
        <v>2.5000000000000001E-2</v>
      </c>
      <c r="M65" s="2">
        <f t="shared" si="12"/>
        <v>0.35</v>
      </c>
      <c r="N65" s="2">
        <f t="shared" si="13"/>
        <v>2.5000000000000001E-2</v>
      </c>
      <c r="O65" s="2">
        <f t="shared" si="14"/>
        <v>0.35</v>
      </c>
      <c r="P65" s="2">
        <f t="shared" si="15"/>
        <v>2.5000000000000001E-2</v>
      </c>
      <c r="Q65" s="2">
        <f t="shared" si="16"/>
        <v>0.35</v>
      </c>
      <c r="R65" s="2">
        <f t="shared" si="17"/>
        <v>2.5000000000000001E-2</v>
      </c>
      <c r="S65" s="2">
        <f t="shared" si="18"/>
        <v>0.35</v>
      </c>
      <c r="T65" s="2">
        <f t="shared" si="19"/>
        <v>2.5000000000000001E-2</v>
      </c>
      <c r="U65" s="2">
        <f t="shared" si="20"/>
        <v>0.35</v>
      </c>
      <c r="V65" s="2">
        <f t="shared" si="21"/>
        <v>2.5000000000000001E-2</v>
      </c>
      <c r="W65" s="2">
        <f t="shared" si="22"/>
        <v>0.35</v>
      </c>
      <c r="X65" s="2">
        <f t="shared" si="23"/>
        <v>2.5000000000000001E-2</v>
      </c>
      <c r="Y65" s="2">
        <f t="shared" si="24"/>
        <v>0.35</v>
      </c>
      <c r="Z65" s="2">
        <f t="shared" si="25"/>
        <v>2.5000000000000001E-2</v>
      </c>
      <c r="AA65" s="2">
        <f t="shared" si="26"/>
        <v>0.35</v>
      </c>
      <c r="AB65" s="2">
        <f t="shared" si="27"/>
        <v>2.5000000000000001E-2</v>
      </c>
      <c r="AC65" s="2">
        <f t="shared" si="28"/>
        <v>0.35</v>
      </c>
      <c r="AD65" s="2">
        <f t="shared" si="29"/>
        <v>2.5000000000000001E-2</v>
      </c>
      <c r="AE65" s="2">
        <f t="shared" si="30"/>
        <v>0.35</v>
      </c>
      <c r="AF65" s="2">
        <f t="shared" si="31"/>
        <v>2.5000000000000001E-2</v>
      </c>
      <c r="AG65" s="2">
        <f t="shared" si="32"/>
        <v>0.35</v>
      </c>
      <c r="AH65" s="2">
        <f t="shared" si="33"/>
        <v>2.5000000000000001E-2</v>
      </c>
    </row>
    <row r="66" spans="1:34">
      <c r="A66" t="str">
        <f t="shared" si="43"/>
        <v>Coffee</v>
      </c>
      <c r="B66" t="str">
        <f t="shared" si="45"/>
        <v>Somali</v>
      </c>
      <c r="C66" s="2">
        <f t="shared" ref="C66:D66" si="97">(C166/0.2)/100</f>
        <v>0</v>
      </c>
      <c r="D66" s="2">
        <f t="shared" si="97"/>
        <v>2.5000000000000001E-2</v>
      </c>
      <c r="E66" s="2">
        <f t="shared" si="4"/>
        <v>0</v>
      </c>
      <c r="F66" s="2">
        <f t="shared" si="5"/>
        <v>2.5000000000000001E-2</v>
      </c>
      <c r="G66" s="2">
        <f t="shared" si="6"/>
        <v>0</v>
      </c>
      <c r="H66" s="2">
        <f t="shared" si="7"/>
        <v>2.5000000000000001E-2</v>
      </c>
      <c r="I66" s="2">
        <f t="shared" si="8"/>
        <v>0</v>
      </c>
      <c r="J66" s="2">
        <f t="shared" si="9"/>
        <v>2.5000000000000001E-2</v>
      </c>
      <c r="K66" s="2">
        <f t="shared" si="10"/>
        <v>0</v>
      </c>
      <c r="L66" s="2">
        <f t="shared" si="11"/>
        <v>2.5000000000000001E-2</v>
      </c>
      <c r="M66" s="2">
        <f t="shared" si="12"/>
        <v>0</v>
      </c>
      <c r="N66" s="2">
        <f t="shared" si="13"/>
        <v>2.5000000000000001E-2</v>
      </c>
      <c r="O66" s="2">
        <f t="shared" si="14"/>
        <v>0</v>
      </c>
      <c r="P66" s="2">
        <f t="shared" si="15"/>
        <v>2.5000000000000001E-2</v>
      </c>
      <c r="Q66" s="2">
        <f t="shared" si="16"/>
        <v>0</v>
      </c>
      <c r="R66" s="2">
        <f t="shared" si="17"/>
        <v>2.5000000000000001E-2</v>
      </c>
      <c r="S66" s="2">
        <f t="shared" si="18"/>
        <v>0</v>
      </c>
      <c r="T66" s="2">
        <f t="shared" si="19"/>
        <v>2.5000000000000001E-2</v>
      </c>
      <c r="U66" s="2">
        <f t="shared" si="20"/>
        <v>0</v>
      </c>
      <c r="V66" s="2">
        <f t="shared" si="21"/>
        <v>2.5000000000000001E-2</v>
      </c>
      <c r="W66" s="2">
        <f t="shared" si="22"/>
        <v>0</v>
      </c>
      <c r="X66" s="2">
        <f t="shared" si="23"/>
        <v>2.5000000000000001E-2</v>
      </c>
      <c r="Y66" s="2">
        <f t="shared" si="24"/>
        <v>0</v>
      </c>
      <c r="Z66" s="2">
        <f t="shared" si="25"/>
        <v>2.5000000000000001E-2</v>
      </c>
      <c r="AA66" s="2">
        <f t="shared" si="26"/>
        <v>0</v>
      </c>
      <c r="AB66" s="2">
        <f t="shared" si="27"/>
        <v>2.5000000000000001E-2</v>
      </c>
      <c r="AC66" s="2">
        <f t="shared" si="28"/>
        <v>0</v>
      </c>
      <c r="AD66" s="2">
        <f t="shared" si="29"/>
        <v>2.5000000000000001E-2</v>
      </c>
      <c r="AE66" s="2">
        <f t="shared" si="30"/>
        <v>0</v>
      </c>
      <c r="AF66" s="2">
        <f t="shared" si="31"/>
        <v>2.5000000000000001E-2</v>
      </c>
      <c r="AG66" s="2">
        <f t="shared" si="32"/>
        <v>0</v>
      </c>
      <c r="AH66" s="2">
        <f t="shared" si="33"/>
        <v>2.5000000000000001E-2</v>
      </c>
    </row>
    <row r="67" spans="1:34">
      <c r="A67" t="str">
        <f t="shared" si="43"/>
        <v>Coffee</v>
      </c>
      <c r="B67" t="str">
        <f t="shared" si="45"/>
        <v>SNNPR</v>
      </c>
      <c r="C67" s="2">
        <f t="shared" ref="C67:D67" si="98">(C167/0.2)/100</f>
        <v>0.4</v>
      </c>
      <c r="D67" s="2">
        <f t="shared" si="98"/>
        <v>2.5000000000000001E-2</v>
      </c>
      <c r="E67" s="2">
        <f t="shared" si="4"/>
        <v>0.4</v>
      </c>
      <c r="F67" s="2">
        <f t="shared" si="5"/>
        <v>2.5000000000000001E-2</v>
      </c>
      <c r="G67" s="2">
        <f t="shared" si="6"/>
        <v>0.4</v>
      </c>
      <c r="H67" s="2">
        <f t="shared" si="7"/>
        <v>2.5000000000000001E-2</v>
      </c>
      <c r="I67" s="2">
        <f t="shared" si="8"/>
        <v>0.4</v>
      </c>
      <c r="J67" s="2">
        <f t="shared" si="9"/>
        <v>2.5000000000000001E-2</v>
      </c>
      <c r="K67" s="2">
        <f t="shared" si="10"/>
        <v>0.4</v>
      </c>
      <c r="L67" s="2">
        <f t="shared" si="11"/>
        <v>2.5000000000000001E-2</v>
      </c>
      <c r="M67" s="2">
        <f t="shared" si="12"/>
        <v>0.4</v>
      </c>
      <c r="N67" s="2">
        <f t="shared" si="13"/>
        <v>2.5000000000000001E-2</v>
      </c>
      <c r="O67" s="2">
        <f t="shared" si="14"/>
        <v>0.4</v>
      </c>
      <c r="P67" s="2">
        <f t="shared" si="15"/>
        <v>2.5000000000000001E-2</v>
      </c>
      <c r="Q67" s="2">
        <f t="shared" si="16"/>
        <v>0.4</v>
      </c>
      <c r="R67" s="2">
        <f t="shared" si="17"/>
        <v>2.5000000000000001E-2</v>
      </c>
      <c r="S67" s="2">
        <f t="shared" si="18"/>
        <v>0.4</v>
      </c>
      <c r="T67" s="2">
        <f t="shared" si="19"/>
        <v>2.5000000000000001E-2</v>
      </c>
      <c r="U67" s="2">
        <f t="shared" si="20"/>
        <v>0.4</v>
      </c>
      <c r="V67" s="2">
        <f t="shared" si="21"/>
        <v>2.5000000000000001E-2</v>
      </c>
      <c r="W67" s="2">
        <f t="shared" si="22"/>
        <v>0.4</v>
      </c>
      <c r="X67" s="2">
        <f t="shared" si="23"/>
        <v>2.5000000000000001E-2</v>
      </c>
      <c r="Y67" s="2">
        <f t="shared" si="24"/>
        <v>0.4</v>
      </c>
      <c r="Z67" s="2">
        <f t="shared" si="25"/>
        <v>2.5000000000000001E-2</v>
      </c>
      <c r="AA67" s="2">
        <f t="shared" si="26"/>
        <v>0.4</v>
      </c>
      <c r="AB67" s="2">
        <f t="shared" si="27"/>
        <v>2.5000000000000001E-2</v>
      </c>
      <c r="AC67" s="2">
        <f t="shared" si="28"/>
        <v>0.4</v>
      </c>
      <c r="AD67" s="2">
        <f t="shared" si="29"/>
        <v>2.5000000000000001E-2</v>
      </c>
      <c r="AE67" s="2">
        <f t="shared" si="30"/>
        <v>0.4</v>
      </c>
      <c r="AF67" s="2">
        <f t="shared" si="31"/>
        <v>2.5000000000000001E-2</v>
      </c>
      <c r="AG67" s="2">
        <f t="shared" si="32"/>
        <v>0.4</v>
      </c>
      <c r="AH67" s="2">
        <f t="shared" si="33"/>
        <v>2.5000000000000001E-2</v>
      </c>
    </row>
    <row r="68" spans="1:34">
      <c r="A68" t="str">
        <f t="shared" si="43"/>
        <v>Coffee</v>
      </c>
      <c r="B68" t="str">
        <f t="shared" si="45"/>
        <v>Tigray</v>
      </c>
      <c r="C68" s="2">
        <f t="shared" ref="C68:D68" si="99">(C168/0.2)/100</f>
        <v>0.6</v>
      </c>
      <c r="D68" s="2">
        <f t="shared" si="99"/>
        <v>2.5000000000000001E-2</v>
      </c>
      <c r="E68" s="2">
        <f t="shared" ref="E68" si="100">C68</f>
        <v>0.6</v>
      </c>
      <c r="F68" s="2">
        <f t="shared" ref="F68" si="101">D68</f>
        <v>2.5000000000000001E-2</v>
      </c>
      <c r="G68" s="2">
        <f t="shared" ref="G68" si="102">E68</f>
        <v>0.6</v>
      </c>
      <c r="H68" s="2">
        <f t="shared" ref="H68" si="103">F68</f>
        <v>2.5000000000000001E-2</v>
      </c>
      <c r="I68" s="2">
        <f t="shared" ref="I68" si="104">G68</f>
        <v>0.6</v>
      </c>
      <c r="J68" s="2">
        <f t="shared" ref="J68" si="105">H68</f>
        <v>2.5000000000000001E-2</v>
      </c>
      <c r="K68" s="2">
        <f t="shared" ref="K68" si="106">I68</f>
        <v>0.6</v>
      </c>
      <c r="L68" s="2">
        <f t="shared" ref="L68" si="107">J68</f>
        <v>2.5000000000000001E-2</v>
      </c>
      <c r="M68" s="2">
        <f t="shared" ref="M68" si="108">K68</f>
        <v>0.6</v>
      </c>
      <c r="N68" s="2">
        <f t="shared" ref="N68" si="109">L68</f>
        <v>2.5000000000000001E-2</v>
      </c>
      <c r="O68" s="2">
        <f t="shared" ref="O68" si="110">M68</f>
        <v>0.6</v>
      </c>
      <c r="P68" s="2">
        <f t="shared" ref="P68" si="111">N68</f>
        <v>2.5000000000000001E-2</v>
      </c>
      <c r="Q68" s="2">
        <f t="shared" ref="Q68" si="112">O68</f>
        <v>0.6</v>
      </c>
      <c r="R68" s="2">
        <f t="shared" ref="R68" si="113">P68</f>
        <v>2.5000000000000001E-2</v>
      </c>
      <c r="S68" s="2">
        <f t="shared" ref="S68" si="114">Q68</f>
        <v>0.6</v>
      </c>
      <c r="T68" s="2">
        <f t="shared" ref="T68" si="115">R68</f>
        <v>2.5000000000000001E-2</v>
      </c>
      <c r="U68" s="2">
        <f t="shared" ref="U68" si="116">S68</f>
        <v>0.6</v>
      </c>
      <c r="V68" s="2">
        <f t="shared" ref="V68" si="117">T68</f>
        <v>2.5000000000000001E-2</v>
      </c>
      <c r="W68" s="2">
        <f t="shared" ref="W68" si="118">U68</f>
        <v>0.6</v>
      </c>
      <c r="X68" s="2">
        <f t="shared" ref="X68" si="119">V68</f>
        <v>2.5000000000000001E-2</v>
      </c>
      <c r="Y68" s="2">
        <f t="shared" ref="Y68" si="120">W68</f>
        <v>0.6</v>
      </c>
      <c r="Z68" s="2">
        <f t="shared" ref="Z68" si="121">X68</f>
        <v>2.5000000000000001E-2</v>
      </c>
      <c r="AA68" s="2">
        <f t="shared" ref="AA68" si="122">Y68</f>
        <v>0.6</v>
      </c>
      <c r="AB68" s="2">
        <f t="shared" ref="AB68" si="123">Z68</f>
        <v>2.5000000000000001E-2</v>
      </c>
      <c r="AC68" s="2">
        <f t="shared" ref="AC68" si="124">AA68</f>
        <v>0.6</v>
      </c>
      <c r="AD68" s="2">
        <f t="shared" ref="AD68" si="125">AB68</f>
        <v>2.5000000000000001E-2</v>
      </c>
      <c r="AE68" s="2">
        <f t="shared" ref="AE68" si="126">AC68</f>
        <v>0.6</v>
      </c>
      <c r="AF68" s="2">
        <f t="shared" ref="AF68" si="127">AD68</f>
        <v>2.5000000000000001E-2</v>
      </c>
      <c r="AG68" s="2">
        <f t="shared" ref="AG68" si="128">AE68</f>
        <v>0.6</v>
      </c>
      <c r="AH68" s="2">
        <f t="shared" ref="AH68" si="129">AF68</f>
        <v>2.5000000000000001E-2</v>
      </c>
    </row>
    <row r="101" spans="1:6">
      <c r="A101" t="s">
        <v>88</v>
      </c>
      <c r="C101" t="str">
        <f t="array" ref="C101:D101">TRANSPOSE(Seasons)</f>
        <v>Kremt</v>
      </c>
      <c r="D101" t="str">
        <v>Belg</v>
      </c>
    </row>
    <row r="102" spans="1:6">
      <c r="C102">
        <v>2015</v>
      </c>
      <c r="D102">
        <v>2015</v>
      </c>
    </row>
    <row r="103" spans="1:6">
      <c r="C103" s="2">
        <v>0</v>
      </c>
      <c r="D103" s="2">
        <v>0</v>
      </c>
      <c r="E103" t="str">
        <f>sets!$H$3</f>
        <v>Teff</v>
      </c>
      <c r="F103" t="str">
        <f t="array" ref="F103:F113">Nodes</f>
        <v>AddisAbaba</v>
      </c>
    </row>
    <row r="104" spans="1:6">
      <c r="C104" s="2">
        <v>0</v>
      </c>
      <c r="D104" s="2">
        <v>2.48</v>
      </c>
      <c r="E104" t="str">
        <f>sets!$H$3</f>
        <v>Teff</v>
      </c>
      <c r="F104" t="str">
        <v>Afar</v>
      </c>
    </row>
    <row r="105" spans="1:6">
      <c r="C105" s="2">
        <v>4</v>
      </c>
      <c r="D105" s="2">
        <v>8</v>
      </c>
      <c r="E105" t="str">
        <f>sets!$H$3</f>
        <v>Teff</v>
      </c>
      <c r="F105" t="str">
        <v>Amhara</v>
      </c>
    </row>
    <row r="106" spans="1:6">
      <c r="C106" s="2">
        <v>10</v>
      </c>
      <c r="D106" s="2">
        <v>0.5</v>
      </c>
      <c r="E106" t="str">
        <f>sets!$H$3</f>
        <v>Teff</v>
      </c>
      <c r="F106" t="str">
        <v>Gumuz</v>
      </c>
    </row>
    <row r="107" spans="1:6">
      <c r="C107" s="2">
        <v>0</v>
      </c>
      <c r="D107" s="2">
        <v>0.5</v>
      </c>
      <c r="E107" t="str">
        <f>sets!$H$3</f>
        <v>Teff</v>
      </c>
      <c r="F107" t="str">
        <v>DireDawa</v>
      </c>
    </row>
    <row r="108" spans="1:6">
      <c r="C108" s="2">
        <v>0</v>
      </c>
      <c r="D108" s="2">
        <v>0</v>
      </c>
      <c r="E108" t="str">
        <f>sets!$H$3</f>
        <v>Teff</v>
      </c>
      <c r="F108" t="str">
        <v>Gambela</v>
      </c>
    </row>
    <row r="109" spans="1:6">
      <c r="C109" s="2">
        <v>9</v>
      </c>
      <c r="D109" s="2">
        <v>0.5</v>
      </c>
      <c r="E109" t="str">
        <f>sets!$H$3</f>
        <v>Teff</v>
      </c>
      <c r="F109" t="str">
        <v>Harari</v>
      </c>
    </row>
    <row r="110" spans="1:6">
      <c r="C110" s="2">
        <v>14</v>
      </c>
      <c r="D110" s="2">
        <v>5.9574468085106398</v>
      </c>
      <c r="E110" t="str">
        <f>sets!$H$3</f>
        <v>Teff</v>
      </c>
      <c r="F110" t="str">
        <v>Oromia</v>
      </c>
    </row>
    <row r="111" spans="1:6">
      <c r="C111" s="2">
        <v>0</v>
      </c>
      <c r="D111" s="2">
        <v>0.5</v>
      </c>
      <c r="E111" t="str">
        <f>sets!$H$3</f>
        <v>Teff</v>
      </c>
      <c r="F111" t="str">
        <v>Somali</v>
      </c>
    </row>
    <row r="112" spans="1:6">
      <c r="C112" s="2">
        <v>13</v>
      </c>
      <c r="D112" s="2">
        <v>5.0606060606060597</v>
      </c>
      <c r="E112" t="str">
        <f>sets!$H$3</f>
        <v>Teff</v>
      </c>
      <c r="F112" t="str">
        <v>SNNPR</v>
      </c>
    </row>
    <row r="113" spans="3:6">
      <c r="C113" s="2">
        <v>15</v>
      </c>
      <c r="D113" s="2">
        <v>5.84</v>
      </c>
      <c r="E113" t="str">
        <f>sets!$H$3</f>
        <v>Teff</v>
      </c>
      <c r="F113" t="str">
        <v>Tigray</v>
      </c>
    </row>
    <row r="114" spans="3:6">
      <c r="C114" s="2">
        <v>0</v>
      </c>
      <c r="D114" s="2">
        <v>0</v>
      </c>
      <c r="E114" t="str">
        <f t="shared" ref="E114:E168" si="130">INDEX(Food,MATCH(E103,Food,0)+1)</f>
        <v>Sorghum</v>
      </c>
      <c r="F114" t="str">
        <f>F103</f>
        <v>AddisAbaba</v>
      </c>
    </row>
    <row r="115" spans="3:6">
      <c r="C115" s="2">
        <v>16</v>
      </c>
      <c r="D115" s="2">
        <v>0.5</v>
      </c>
      <c r="E115" t="str">
        <f t="shared" si="130"/>
        <v>Sorghum</v>
      </c>
      <c r="F115" t="str">
        <f t="shared" ref="F115:F168" si="131">F104</f>
        <v>Afar</v>
      </c>
    </row>
    <row r="116" spans="3:6">
      <c r="C116" s="2">
        <v>19</v>
      </c>
      <c r="D116" s="2">
        <v>8.6</v>
      </c>
      <c r="E116" t="str">
        <f t="shared" si="130"/>
        <v>Sorghum</v>
      </c>
      <c r="F116" t="str">
        <f t="shared" si="131"/>
        <v>Amhara</v>
      </c>
    </row>
    <row r="117" spans="3:6">
      <c r="C117" s="2">
        <v>17</v>
      </c>
      <c r="D117" s="2">
        <v>0.5</v>
      </c>
      <c r="E117" t="str">
        <f t="shared" si="130"/>
        <v>Sorghum</v>
      </c>
      <c r="F117" t="str">
        <f t="shared" si="131"/>
        <v>Gumuz</v>
      </c>
    </row>
    <row r="118" spans="3:6">
      <c r="C118" s="2">
        <v>17</v>
      </c>
      <c r="D118" s="2">
        <v>1</v>
      </c>
      <c r="E118" t="str">
        <f t="shared" si="130"/>
        <v>Sorghum</v>
      </c>
      <c r="F118" t="str">
        <f t="shared" si="131"/>
        <v>DireDawa</v>
      </c>
    </row>
    <row r="119" spans="3:6">
      <c r="C119" s="2">
        <v>23</v>
      </c>
      <c r="D119" s="2">
        <v>0</v>
      </c>
      <c r="E119" t="str">
        <f t="shared" si="130"/>
        <v>Sorghum</v>
      </c>
      <c r="F119" t="str">
        <f t="shared" si="131"/>
        <v>Gambela</v>
      </c>
    </row>
    <row r="120" spans="3:6">
      <c r="C120" s="2">
        <v>15</v>
      </c>
      <c r="D120" s="2">
        <v>0.5</v>
      </c>
      <c r="E120" t="str">
        <f t="shared" si="130"/>
        <v>Sorghum</v>
      </c>
      <c r="F120" t="str">
        <f t="shared" si="131"/>
        <v>Harari</v>
      </c>
    </row>
    <row r="121" spans="3:6">
      <c r="C121" s="2">
        <v>20</v>
      </c>
      <c r="D121" s="2">
        <v>7.7826086956521694</v>
      </c>
      <c r="E121" t="str">
        <f t="shared" si="130"/>
        <v>Sorghum</v>
      </c>
      <c r="F121" t="str">
        <f t="shared" si="131"/>
        <v>Oromia</v>
      </c>
    </row>
    <row r="122" spans="3:6">
      <c r="C122" s="2">
        <v>14</v>
      </c>
      <c r="D122" s="2">
        <v>4.6739130434782599</v>
      </c>
      <c r="E122" t="str">
        <f t="shared" si="130"/>
        <v>Sorghum</v>
      </c>
      <c r="F122" t="str">
        <f t="shared" si="131"/>
        <v>Somali</v>
      </c>
    </row>
    <row r="123" spans="3:6">
      <c r="C123" s="2">
        <v>18</v>
      </c>
      <c r="D123" s="2">
        <v>5.4857142857142902</v>
      </c>
      <c r="E123" t="str">
        <f t="shared" si="130"/>
        <v>Sorghum</v>
      </c>
      <c r="F123" t="str">
        <f t="shared" si="131"/>
        <v>SNNPR</v>
      </c>
    </row>
    <row r="124" spans="3:6">
      <c r="C124" s="2">
        <v>21</v>
      </c>
      <c r="D124" s="2">
        <v>0.5</v>
      </c>
      <c r="E124" t="str">
        <f t="shared" si="130"/>
        <v>Sorghum</v>
      </c>
      <c r="F124" t="str">
        <f t="shared" si="131"/>
        <v>Tigray</v>
      </c>
    </row>
    <row r="125" spans="3:6">
      <c r="C125" s="2">
        <v>0</v>
      </c>
      <c r="D125" s="2">
        <v>0</v>
      </c>
      <c r="E125" t="str">
        <f t="shared" si="130"/>
        <v>Maize</v>
      </c>
      <c r="F125" t="str">
        <f t="shared" si="131"/>
        <v>AddisAbaba</v>
      </c>
    </row>
    <row r="126" spans="3:6">
      <c r="C126" s="2">
        <v>0</v>
      </c>
      <c r="D126" s="2">
        <v>0.5</v>
      </c>
      <c r="E126" t="str">
        <f t="shared" si="130"/>
        <v>Maize</v>
      </c>
      <c r="F126" t="str">
        <f t="shared" si="131"/>
        <v>Afar</v>
      </c>
    </row>
    <row r="127" spans="3:6">
      <c r="C127" s="2">
        <v>23</v>
      </c>
      <c r="D127" s="2">
        <v>12.969999999999999</v>
      </c>
      <c r="E127" t="str">
        <f t="shared" si="130"/>
        <v>Maize</v>
      </c>
      <c r="F127" t="str">
        <f t="shared" si="131"/>
        <v>Amhara</v>
      </c>
    </row>
    <row r="128" spans="3:6">
      <c r="C128" s="2">
        <v>22</v>
      </c>
      <c r="D128" s="2">
        <v>15.27</v>
      </c>
      <c r="E128" t="str">
        <f t="shared" si="130"/>
        <v>Maize</v>
      </c>
      <c r="F128" t="str">
        <f t="shared" si="131"/>
        <v>Gumuz</v>
      </c>
    </row>
    <row r="129" spans="3:6">
      <c r="C129" s="2">
        <v>16</v>
      </c>
      <c r="D129" s="2">
        <v>14.32</v>
      </c>
      <c r="E129" t="str">
        <f t="shared" si="130"/>
        <v>Maize</v>
      </c>
      <c r="F129" t="str">
        <f t="shared" si="131"/>
        <v>DireDawa</v>
      </c>
    </row>
    <row r="130" spans="3:6">
      <c r="C130" s="2">
        <v>17</v>
      </c>
      <c r="D130" s="2">
        <v>0</v>
      </c>
      <c r="E130" t="str">
        <f t="shared" si="130"/>
        <v>Maize</v>
      </c>
      <c r="F130" t="str">
        <f t="shared" si="131"/>
        <v>Gambela</v>
      </c>
    </row>
    <row r="131" spans="3:6">
      <c r="C131" s="2">
        <v>20</v>
      </c>
      <c r="D131" s="2">
        <v>0.5</v>
      </c>
      <c r="E131" t="str">
        <f t="shared" si="130"/>
        <v>Maize</v>
      </c>
      <c r="F131" t="str">
        <f t="shared" si="131"/>
        <v>Harari</v>
      </c>
    </row>
    <row r="132" spans="3:6">
      <c r="C132" s="2">
        <v>25</v>
      </c>
      <c r="D132" s="2">
        <v>15.527363184079599</v>
      </c>
      <c r="E132" t="str">
        <f t="shared" si="130"/>
        <v>Maize</v>
      </c>
      <c r="F132" t="str">
        <f t="shared" si="131"/>
        <v>Oromia</v>
      </c>
    </row>
    <row r="133" spans="3:6">
      <c r="C133" s="2">
        <v>18</v>
      </c>
      <c r="D133" s="2">
        <v>6.23</v>
      </c>
      <c r="E133" t="str">
        <f t="shared" si="130"/>
        <v>Maize</v>
      </c>
      <c r="F133" t="str">
        <f t="shared" si="131"/>
        <v>Somali</v>
      </c>
    </row>
    <row r="134" spans="3:6">
      <c r="C134" s="2">
        <v>23</v>
      </c>
      <c r="D134" s="2">
        <v>12.12</v>
      </c>
      <c r="E134" t="str">
        <f t="shared" si="130"/>
        <v>Maize</v>
      </c>
      <c r="F134" t="str">
        <f t="shared" si="131"/>
        <v>SNNPR</v>
      </c>
    </row>
    <row r="135" spans="3:6">
      <c r="C135" s="2">
        <v>20</v>
      </c>
      <c r="D135" s="2">
        <v>9.57</v>
      </c>
      <c r="E135" t="str">
        <f t="shared" si="130"/>
        <v>Maize</v>
      </c>
      <c r="F135" t="str">
        <f t="shared" si="131"/>
        <v>Tigray</v>
      </c>
    </row>
    <row r="136" spans="3:6">
      <c r="C136" s="2">
        <v>0</v>
      </c>
      <c r="D136" s="2">
        <v>0</v>
      </c>
      <c r="E136" t="str">
        <f t="shared" si="130"/>
        <v>Lentils</v>
      </c>
      <c r="F136" t="str">
        <f t="shared" si="131"/>
        <v>AddisAbaba</v>
      </c>
    </row>
    <row r="137" spans="3:6">
      <c r="C137" s="2">
        <v>0</v>
      </c>
      <c r="D137" s="2">
        <v>1</v>
      </c>
      <c r="E137" t="str">
        <f t="shared" si="130"/>
        <v>Lentils</v>
      </c>
      <c r="F137" t="str">
        <f t="shared" si="131"/>
        <v>Afar</v>
      </c>
    </row>
    <row r="138" spans="3:6">
      <c r="C138" s="2">
        <v>14</v>
      </c>
      <c r="D138" s="2">
        <v>5.2</v>
      </c>
      <c r="E138" t="str">
        <f t="shared" si="130"/>
        <v>Lentils</v>
      </c>
      <c r="F138" t="str">
        <f t="shared" si="131"/>
        <v>Amhara</v>
      </c>
    </row>
    <row r="139" spans="3:6">
      <c r="C139" s="2">
        <v>15</v>
      </c>
      <c r="D139" s="2">
        <v>6.919999999999999</v>
      </c>
      <c r="E139" t="str">
        <f t="shared" si="130"/>
        <v>Lentils</v>
      </c>
      <c r="F139" t="str">
        <f t="shared" si="131"/>
        <v>Gumuz</v>
      </c>
    </row>
    <row r="140" spans="3:6">
      <c r="C140" s="2">
        <v>18</v>
      </c>
      <c r="D140" s="2">
        <v>0.5</v>
      </c>
      <c r="E140" t="str">
        <f t="shared" si="130"/>
        <v>Lentils</v>
      </c>
      <c r="F140" t="str">
        <f t="shared" si="131"/>
        <v>DireDawa</v>
      </c>
    </row>
    <row r="141" spans="3:6">
      <c r="C141" s="2">
        <v>4</v>
      </c>
      <c r="D141" s="2">
        <v>0</v>
      </c>
      <c r="E141" t="str">
        <f t="shared" si="130"/>
        <v>Lentils</v>
      </c>
      <c r="F141" t="str">
        <f t="shared" si="131"/>
        <v>Gambela</v>
      </c>
    </row>
    <row r="142" spans="3:6">
      <c r="C142" s="2">
        <v>0</v>
      </c>
      <c r="D142" s="2">
        <v>13.579999999999998</v>
      </c>
      <c r="E142" t="str">
        <f t="shared" si="130"/>
        <v>Lentils</v>
      </c>
      <c r="F142" t="str">
        <f t="shared" si="131"/>
        <v>Harari</v>
      </c>
    </row>
    <row r="143" spans="3:6">
      <c r="C143" s="2">
        <v>15</v>
      </c>
      <c r="D143" s="2">
        <v>7</v>
      </c>
      <c r="E143" t="str">
        <f t="shared" si="130"/>
        <v>Lentils</v>
      </c>
      <c r="F143" t="str">
        <f t="shared" si="131"/>
        <v>Oromia</v>
      </c>
    </row>
    <row r="144" spans="3:6">
      <c r="C144" s="2">
        <v>0</v>
      </c>
      <c r="D144" s="2">
        <v>1</v>
      </c>
      <c r="E144" t="str">
        <f t="shared" si="130"/>
        <v>Lentils</v>
      </c>
      <c r="F144" t="str">
        <f t="shared" si="131"/>
        <v>Somali</v>
      </c>
    </row>
    <row r="145" spans="3:6">
      <c r="C145" s="2">
        <v>13</v>
      </c>
      <c r="D145" s="2">
        <v>6.5999999999999988</v>
      </c>
      <c r="E145" t="str">
        <f t="shared" si="130"/>
        <v>Lentils</v>
      </c>
      <c r="F145" t="str">
        <f t="shared" si="131"/>
        <v>SNNPR</v>
      </c>
    </row>
    <row r="146" spans="3:6">
      <c r="C146" s="2">
        <v>14</v>
      </c>
      <c r="D146" s="2">
        <v>0.5</v>
      </c>
      <c r="E146" t="str">
        <f t="shared" si="130"/>
        <v>Lentils</v>
      </c>
      <c r="F146" t="str">
        <f t="shared" si="131"/>
        <v>Tigray</v>
      </c>
    </row>
    <row r="147" spans="3:6">
      <c r="C147" s="2">
        <v>0</v>
      </c>
      <c r="D147" s="2">
        <v>0</v>
      </c>
      <c r="E147" t="str">
        <f t="shared" si="130"/>
        <v>Vegetables</v>
      </c>
      <c r="F147" t="str">
        <f t="shared" si="131"/>
        <v>AddisAbaba</v>
      </c>
    </row>
    <row r="148" spans="3:6">
      <c r="C148" s="2">
        <v>154</v>
      </c>
      <c r="D148" s="2">
        <v>0.5</v>
      </c>
      <c r="E148" t="str">
        <f t="shared" si="130"/>
        <v>Vegetables</v>
      </c>
      <c r="F148" t="str">
        <f t="shared" si="131"/>
        <v>Afar</v>
      </c>
    </row>
    <row r="149" spans="3:6">
      <c r="C149" s="2">
        <v>65</v>
      </c>
      <c r="D149" s="2">
        <v>0.5</v>
      </c>
      <c r="E149" t="str">
        <f t="shared" si="130"/>
        <v>Vegetables</v>
      </c>
      <c r="F149" t="str">
        <f t="shared" si="131"/>
        <v>Amhara</v>
      </c>
    </row>
    <row r="150" spans="3:6">
      <c r="C150" s="2">
        <v>68</v>
      </c>
      <c r="D150" s="2">
        <v>0.5</v>
      </c>
      <c r="E150" t="str">
        <f t="shared" si="130"/>
        <v>Vegetables</v>
      </c>
      <c r="F150" t="str">
        <f t="shared" si="131"/>
        <v>Gumuz</v>
      </c>
    </row>
    <row r="151" spans="3:6">
      <c r="C151" s="2">
        <v>100</v>
      </c>
      <c r="D151" s="2">
        <v>0.5</v>
      </c>
      <c r="E151" t="str">
        <f t="shared" si="130"/>
        <v>Vegetables</v>
      </c>
      <c r="F151" t="str">
        <f t="shared" si="131"/>
        <v>DireDawa</v>
      </c>
    </row>
    <row r="152" spans="3:6">
      <c r="C152" s="2">
        <v>82</v>
      </c>
      <c r="D152" s="2">
        <v>0</v>
      </c>
      <c r="E152" t="str">
        <f t="shared" si="130"/>
        <v>Vegetables</v>
      </c>
      <c r="F152" t="str">
        <f t="shared" si="131"/>
        <v>Gambela</v>
      </c>
    </row>
    <row r="153" spans="3:6">
      <c r="C153" s="2">
        <v>82</v>
      </c>
      <c r="D153" s="2">
        <v>0.5</v>
      </c>
      <c r="E153" t="str">
        <f t="shared" si="130"/>
        <v>Vegetables</v>
      </c>
      <c r="F153" t="str">
        <f t="shared" si="131"/>
        <v>Harari</v>
      </c>
    </row>
    <row r="154" spans="3:6">
      <c r="C154" s="2">
        <v>65</v>
      </c>
      <c r="D154" s="2">
        <v>0.5</v>
      </c>
      <c r="E154" t="str">
        <f t="shared" si="130"/>
        <v>Vegetables</v>
      </c>
      <c r="F154" t="str">
        <f t="shared" si="131"/>
        <v>Oromia</v>
      </c>
    </row>
    <row r="155" spans="3:6">
      <c r="C155" s="2">
        <v>0</v>
      </c>
      <c r="D155" s="2">
        <v>0.5</v>
      </c>
      <c r="E155" t="str">
        <f t="shared" si="130"/>
        <v>Vegetables</v>
      </c>
      <c r="F155" t="str">
        <f t="shared" si="131"/>
        <v>Somali</v>
      </c>
    </row>
    <row r="156" spans="3:6">
      <c r="C156" s="2">
        <v>91</v>
      </c>
      <c r="D156" s="2">
        <v>0.5</v>
      </c>
      <c r="E156" t="str">
        <f t="shared" si="130"/>
        <v>Vegetables</v>
      </c>
      <c r="F156" t="str">
        <f t="shared" si="131"/>
        <v>SNNPR</v>
      </c>
    </row>
    <row r="157" spans="3:6">
      <c r="C157" s="2">
        <v>90</v>
      </c>
      <c r="D157" s="2">
        <v>0.5</v>
      </c>
      <c r="E157" t="str">
        <f t="shared" si="130"/>
        <v>Vegetables</v>
      </c>
      <c r="F157" t="str">
        <f t="shared" si="131"/>
        <v>Tigray</v>
      </c>
    </row>
    <row r="158" spans="3:6">
      <c r="C158" s="2">
        <v>0</v>
      </c>
      <c r="D158" s="2">
        <v>0</v>
      </c>
      <c r="E158" t="str">
        <f t="shared" si="130"/>
        <v>Coffee</v>
      </c>
      <c r="F158" t="str">
        <f t="shared" si="131"/>
        <v>AddisAbaba</v>
      </c>
    </row>
    <row r="159" spans="3:6">
      <c r="C159" s="2">
        <v>0</v>
      </c>
      <c r="D159" s="2">
        <v>0.5</v>
      </c>
      <c r="E159" t="str">
        <f t="shared" si="130"/>
        <v>Coffee</v>
      </c>
      <c r="F159" t="str">
        <f t="shared" si="131"/>
        <v>Afar</v>
      </c>
    </row>
    <row r="160" spans="3:6">
      <c r="C160" s="2">
        <v>7</v>
      </c>
      <c r="D160" s="2">
        <v>0.5</v>
      </c>
      <c r="E160" t="str">
        <f t="shared" si="130"/>
        <v>Coffee</v>
      </c>
      <c r="F160" t="str">
        <f t="shared" si="131"/>
        <v>Amhara</v>
      </c>
    </row>
    <row r="161" spans="3:6">
      <c r="C161" s="2">
        <v>9</v>
      </c>
      <c r="D161" s="2">
        <v>0.5</v>
      </c>
      <c r="E161" t="str">
        <f t="shared" si="130"/>
        <v>Coffee</v>
      </c>
      <c r="F161" t="str">
        <f t="shared" si="131"/>
        <v>Gumuz</v>
      </c>
    </row>
    <row r="162" spans="3:6">
      <c r="C162" s="2">
        <v>4</v>
      </c>
      <c r="D162" s="2">
        <v>0.5</v>
      </c>
      <c r="E162" t="str">
        <f t="shared" si="130"/>
        <v>Coffee</v>
      </c>
      <c r="F162" t="str">
        <f t="shared" si="131"/>
        <v>DireDawa</v>
      </c>
    </row>
    <row r="163" spans="3:6">
      <c r="C163" s="2">
        <v>0</v>
      </c>
      <c r="D163" s="2">
        <v>0</v>
      </c>
      <c r="E163" t="str">
        <f t="shared" si="130"/>
        <v>Coffee</v>
      </c>
      <c r="F163" t="str">
        <f t="shared" si="131"/>
        <v>Gambela</v>
      </c>
    </row>
    <row r="164" spans="3:6">
      <c r="C164" s="2">
        <v>50</v>
      </c>
      <c r="D164" s="2">
        <v>0.5</v>
      </c>
      <c r="E164" t="str">
        <f t="shared" si="130"/>
        <v>Coffee</v>
      </c>
      <c r="F164" t="str">
        <f t="shared" si="131"/>
        <v>Harari</v>
      </c>
    </row>
    <row r="165" spans="3:6">
      <c r="C165" s="2">
        <v>7</v>
      </c>
      <c r="D165" s="2">
        <v>0.5</v>
      </c>
      <c r="E165" t="str">
        <f t="shared" si="130"/>
        <v>Coffee</v>
      </c>
      <c r="F165" t="str">
        <f t="shared" si="131"/>
        <v>Oromia</v>
      </c>
    </row>
    <row r="166" spans="3:6">
      <c r="C166" s="2">
        <v>0</v>
      </c>
      <c r="D166" s="2">
        <v>0.5</v>
      </c>
      <c r="E166" t="str">
        <f t="shared" si="130"/>
        <v>Coffee</v>
      </c>
      <c r="F166" t="str">
        <f t="shared" si="131"/>
        <v>Somali</v>
      </c>
    </row>
    <row r="167" spans="3:6">
      <c r="C167" s="2">
        <v>8</v>
      </c>
      <c r="D167" s="2">
        <v>0.5</v>
      </c>
      <c r="E167" t="str">
        <f t="shared" si="130"/>
        <v>Coffee</v>
      </c>
      <c r="F167" t="str">
        <f t="shared" si="131"/>
        <v>SNNPR</v>
      </c>
    </row>
    <row r="168" spans="3:6">
      <c r="C168" s="2">
        <v>12</v>
      </c>
      <c r="D168" s="2">
        <v>0.5</v>
      </c>
      <c r="E168" t="str">
        <f t="shared" si="130"/>
        <v>Coffee</v>
      </c>
      <c r="F168" t="str">
        <f t="shared" si="131"/>
        <v>Tigray</v>
      </c>
    </row>
  </sheetData>
  <pageMargins left="0.75" right="0.75" top="1" bottom="1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H129"/>
  <sheetViews>
    <sheetView topLeftCell="A16" zoomScale="85" zoomScaleNormal="85" workbookViewId="0">
      <selection activeCell="C59" sqref="C59"/>
    </sheetView>
  </sheetViews>
  <sheetFormatPr defaultColWidth="8.875" defaultRowHeight="15.75"/>
  <cols>
    <col min="1" max="1" width="10.125" customWidth="1"/>
    <col min="2" max="2" width="10.25" customWidth="1"/>
    <col min="3" max="3" width="10.75" bestFit="1" customWidth="1"/>
    <col min="7" max="7" width="9.375" bestFit="1" customWidth="1"/>
  </cols>
  <sheetData>
    <row r="1" spans="1:34">
      <c r="C1" t="str">
        <f t="array" ref="C1:D1">TRANSPOSE(Seasons)</f>
        <v>Kremt</v>
      </c>
      <c r="D1" t="str">
        <v>Belg</v>
      </c>
      <c r="E1" t="str">
        <f>C1</f>
        <v>Kremt</v>
      </c>
      <c r="F1" t="str">
        <f t="shared" ref="F1" si="0">D1</f>
        <v>Belg</v>
      </c>
      <c r="G1" t="str">
        <f t="shared" ref="G1" si="1">E1</f>
        <v>Kremt</v>
      </c>
      <c r="H1" t="str">
        <f t="shared" ref="H1" si="2">F1</f>
        <v>Belg</v>
      </c>
      <c r="I1" t="str">
        <f t="shared" ref="I1" si="3">G1</f>
        <v>Kremt</v>
      </c>
      <c r="J1" t="str">
        <f t="shared" ref="J1" si="4">H1</f>
        <v>Belg</v>
      </c>
      <c r="K1" t="str">
        <f t="shared" ref="K1" si="5">I1</f>
        <v>Kremt</v>
      </c>
      <c r="L1" t="str">
        <f t="shared" ref="L1" si="6">J1</f>
        <v>Belg</v>
      </c>
      <c r="M1" t="str">
        <f t="shared" ref="M1" si="7">K1</f>
        <v>Kremt</v>
      </c>
      <c r="N1" t="str">
        <f t="shared" ref="N1" si="8">L1</f>
        <v>Belg</v>
      </c>
      <c r="O1" t="str">
        <f t="shared" ref="O1" si="9">M1</f>
        <v>Kremt</v>
      </c>
      <c r="P1" t="str">
        <f t="shared" ref="P1" si="10">N1</f>
        <v>Belg</v>
      </c>
      <c r="Q1" t="str">
        <f t="shared" ref="Q1" si="11">O1</f>
        <v>Kremt</v>
      </c>
      <c r="R1" t="str">
        <f t="shared" ref="R1" si="12">P1</f>
        <v>Belg</v>
      </c>
      <c r="S1" t="str">
        <f t="shared" ref="S1" si="13">Q1</f>
        <v>Kremt</v>
      </c>
      <c r="T1" t="str">
        <f t="shared" ref="T1" si="14">R1</f>
        <v>Belg</v>
      </c>
      <c r="U1" t="str">
        <f t="shared" ref="U1" si="15">S1</f>
        <v>Kremt</v>
      </c>
      <c r="V1" t="str">
        <f t="shared" ref="V1" si="16">T1</f>
        <v>Belg</v>
      </c>
      <c r="W1" t="str">
        <f t="shared" ref="W1" si="17">U1</f>
        <v>Kremt</v>
      </c>
      <c r="X1" t="str">
        <f t="shared" ref="X1" si="18">V1</f>
        <v>Belg</v>
      </c>
      <c r="Y1" t="str">
        <f t="shared" ref="Y1" si="19">W1</f>
        <v>Kremt</v>
      </c>
      <c r="Z1" t="str">
        <f t="shared" ref="Z1" si="20">X1</f>
        <v>Belg</v>
      </c>
      <c r="AA1" t="str">
        <f t="shared" ref="AA1" si="21">Y1</f>
        <v>Kremt</v>
      </c>
      <c r="AB1" t="str">
        <f t="shared" ref="AB1" si="22">Z1</f>
        <v>Belg</v>
      </c>
      <c r="AC1" t="str">
        <f t="shared" ref="AC1" si="23">AA1</f>
        <v>Kremt</v>
      </c>
      <c r="AD1" t="str">
        <f t="shared" ref="AD1" si="24">AB1</f>
        <v>Belg</v>
      </c>
      <c r="AE1" t="str">
        <f t="shared" ref="AE1" si="25">AC1</f>
        <v>Kremt</v>
      </c>
      <c r="AF1" t="str">
        <f t="shared" ref="AF1" si="26">AD1</f>
        <v>Belg</v>
      </c>
      <c r="AG1" t="str">
        <f t="shared" ref="AG1" si="27">AE1</f>
        <v>Kremt</v>
      </c>
      <c r="AH1" t="str">
        <f t="shared" ref="AH1" si="28">AF1</f>
        <v>Belg</v>
      </c>
    </row>
    <row r="2" spans="1:34">
      <c r="C2">
        <v>2015</v>
      </c>
      <c r="D2">
        <v>2015</v>
      </c>
      <c r="E2">
        <f>C2+1</f>
        <v>2016</v>
      </c>
      <c r="F2">
        <f t="shared" ref="F2:AH2" si="29">D2+1</f>
        <v>2016</v>
      </c>
      <c r="G2">
        <f t="shared" si="29"/>
        <v>2017</v>
      </c>
      <c r="H2">
        <f t="shared" si="29"/>
        <v>2017</v>
      </c>
      <c r="I2">
        <f t="shared" si="29"/>
        <v>2018</v>
      </c>
      <c r="J2">
        <f t="shared" si="29"/>
        <v>2018</v>
      </c>
      <c r="K2">
        <f t="shared" si="29"/>
        <v>2019</v>
      </c>
      <c r="L2">
        <f t="shared" si="29"/>
        <v>2019</v>
      </c>
      <c r="M2">
        <f t="shared" si="29"/>
        <v>2020</v>
      </c>
      <c r="N2">
        <f t="shared" si="29"/>
        <v>2020</v>
      </c>
      <c r="O2">
        <f t="shared" si="29"/>
        <v>2021</v>
      </c>
      <c r="P2">
        <f t="shared" si="29"/>
        <v>2021</v>
      </c>
      <c r="Q2">
        <f t="shared" si="29"/>
        <v>2022</v>
      </c>
      <c r="R2">
        <f t="shared" si="29"/>
        <v>2022</v>
      </c>
      <c r="S2">
        <f t="shared" si="29"/>
        <v>2023</v>
      </c>
      <c r="T2">
        <f t="shared" si="29"/>
        <v>2023</v>
      </c>
      <c r="U2">
        <f t="shared" si="29"/>
        <v>2024</v>
      </c>
      <c r="V2">
        <f t="shared" si="29"/>
        <v>2024</v>
      </c>
      <c r="W2">
        <f t="shared" si="29"/>
        <v>2025</v>
      </c>
      <c r="X2">
        <f t="shared" si="29"/>
        <v>2025</v>
      </c>
      <c r="Y2">
        <f t="shared" si="29"/>
        <v>2026</v>
      </c>
      <c r="Z2">
        <f t="shared" si="29"/>
        <v>2026</v>
      </c>
      <c r="AA2">
        <f t="shared" si="29"/>
        <v>2027</v>
      </c>
      <c r="AB2">
        <f t="shared" si="29"/>
        <v>2027</v>
      </c>
      <c r="AC2">
        <f t="shared" si="29"/>
        <v>2028</v>
      </c>
      <c r="AD2">
        <f t="shared" si="29"/>
        <v>2028</v>
      </c>
      <c r="AE2">
        <f t="shared" si="29"/>
        <v>2029</v>
      </c>
      <c r="AF2">
        <f t="shared" si="29"/>
        <v>2029</v>
      </c>
      <c r="AG2">
        <f t="shared" si="29"/>
        <v>2030</v>
      </c>
      <c r="AH2">
        <f t="shared" si="29"/>
        <v>2030</v>
      </c>
    </row>
    <row r="3" spans="1:34">
      <c r="A3" t="str">
        <f>sets!$H$3</f>
        <v>Teff</v>
      </c>
      <c r="B3" t="str">
        <f t="array" ref="B3:B13">Nodes</f>
        <v>AddisAbaba</v>
      </c>
      <c r="C3" s="2">
        <f>'Target Price'!C3+TargetConsumption!C3*DemSlope!C3</f>
        <v>366.18001817314706</v>
      </c>
      <c r="D3" s="2">
        <f>'Target Price'!D3+TargetConsumption!D3*DemSlope!D3</f>
        <v>408.53576283359058</v>
      </c>
      <c r="E3" s="2">
        <f>C3*1.01</f>
        <v>369.84181835487851</v>
      </c>
      <c r="F3" s="2">
        <f t="shared" ref="F3:AH3" si="30">D3*1.01</f>
        <v>412.62112046192647</v>
      </c>
      <c r="G3" s="2">
        <f t="shared" si="30"/>
        <v>373.54023653842728</v>
      </c>
      <c r="H3" s="2">
        <f t="shared" si="30"/>
        <v>416.74733166654573</v>
      </c>
      <c r="I3" s="2">
        <f t="shared" si="30"/>
        <v>377.27563890381157</v>
      </c>
      <c r="J3" s="2">
        <f t="shared" si="30"/>
        <v>420.91480498321118</v>
      </c>
      <c r="K3" s="2">
        <f t="shared" si="30"/>
        <v>381.0483952928497</v>
      </c>
      <c r="L3" s="2">
        <f t="shared" si="30"/>
        <v>425.12395303304328</v>
      </c>
      <c r="M3" s="2">
        <f t="shared" si="30"/>
        <v>384.85887924577821</v>
      </c>
      <c r="N3" s="2">
        <f t="shared" si="30"/>
        <v>429.37519256337373</v>
      </c>
      <c r="O3" s="2">
        <f t="shared" si="30"/>
        <v>388.70746803823602</v>
      </c>
      <c r="P3" s="2">
        <f t="shared" si="30"/>
        <v>433.66894448900746</v>
      </c>
      <c r="Q3" s="2">
        <f t="shared" si="30"/>
        <v>392.59454271861836</v>
      </c>
      <c r="R3" s="2">
        <f t="shared" si="30"/>
        <v>438.00563393389751</v>
      </c>
      <c r="S3" s="2">
        <f t="shared" si="30"/>
        <v>396.52048814580456</v>
      </c>
      <c r="T3" s="2">
        <f t="shared" si="30"/>
        <v>442.38569027323649</v>
      </c>
      <c r="U3" s="2">
        <f t="shared" si="30"/>
        <v>400.48569302726258</v>
      </c>
      <c r="V3" s="2">
        <f t="shared" si="30"/>
        <v>446.80954717596887</v>
      </c>
      <c r="W3" s="2">
        <f t="shared" si="30"/>
        <v>404.49054995753522</v>
      </c>
      <c r="X3" s="2">
        <f t="shared" si="30"/>
        <v>451.27764264772856</v>
      </c>
      <c r="Y3" s="2">
        <f t="shared" si="30"/>
        <v>408.53545545711057</v>
      </c>
      <c r="Z3" s="2">
        <f t="shared" si="30"/>
        <v>455.79041907420583</v>
      </c>
      <c r="AA3" s="2">
        <f t="shared" si="30"/>
        <v>412.62081001168167</v>
      </c>
      <c r="AB3" s="2">
        <f t="shared" si="30"/>
        <v>460.34832326494791</v>
      </c>
      <c r="AC3" s="2">
        <f t="shared" si="30"/>
        <v>416.74701811179847</v>
      </c>
      <c r="AD3" s="2">
        <f t="shared" si="30"/>
        <v>464.95180649759737</v>
      </c>
      <c r="AE3" s="2">
        <f t="shared" si="30"/>
        <v>420.91448829291647</v>
      </c>
      <c r="AF3" s="2">
        <f t="shared" si="30"/>
        <v>469.60132456257332</v>
      </c>
      <c r="AG3" s="2">
        <f t="shared" si="30"/>
        <v>425.12363317584567</v>
      </c>
      <c r="AH3" s="2">
        <f t="shared" si="30"/>
        <v>474.29733780819907</v>
      </c>
    </row>
    <row r="4" spans="1:34">
      <c r="A4" t="str">
        <f>sets!$H$3</f>
        <v>Teff</v>
      </c>
      <c r="B4" t="str">
        <v>Afar</v>
      </c>
      <c r="C4" s="2">
        <f>'Target Price'!C4+TargetConsumption!C4*DemSlope!C4</f>
        <v>375.82429798359703</v>
      </c>
      <c r="D4" s="2">
        <f>'Target Price'!D4+TargetConsumption!D4*DemSlope!D4</f>
        <v>419.66041547977676</v>
      </c>
      <c r="E4" s="2">
        <f t="shared" ref="E4:E67" si="31">C4*1.01</f>
        <v>379.58254096343302</v>
      </c>
      <c r="F4" s="2">
        <f t="shared" ref="F4:F67" si="32">D4*1.01</f>
        <v>423.85701963457456</v>
      </c>
      <c r="G4" s="2">
        <f t="shared" ref="G4:G67" si="33">E4*1.01</f>
        <v>383.37836637306737</v>
      </c>
      <c r="H4" s="2">
        <f t="shared" ref="H4:H67" si="34">F4*1.01</f>
        <v>428.09558983092029</v>
      </c>
      <c r="I4" s="2">
        <f t="shared" ref="I4:I67" si="35">G4*1.01</f>
        <v>387.21215003679805</v>
      </c>
      <c r="J4" s="2">
        <f t="shared" ref="J4:J67" si="36">H4*1.01</f>
        <v>432.37654572922952</v>
      </c>
      <c r="K4" s="2">
        <f t="shared" ref="K4:K67" si="37">I4*1.01</f>
        <v>391.08427153716605</v>
      </c>
      <c r="L4" s="2">
        <f t="shared" ref="L4:L67" si="38">J4*1.01</f>
        <v>436.70031118652184</v>
      </c>
      <c r="M4" s="2">
        <f t="shared" ref="M4:M67" si="39">K4*1.01</f>
        <v>394.99511425253769</v>
      </c>
      <c r="N4" s="2">
        <f t="shared" ref="N4:N67" si="40">L4*1.01</f>
        <v>441.06731429838709</v>
      </c>
      <c r="O4" s="2">
        <f t="shared" ref="O4:O67" si="41">M4*1.01</f>
        <v>398.94506539506307</v>
      </c>
      <c r="P4" s="2">
        <f t="shared" ref="P4:P67" si="42">N4*1.01</f>
        <v>445.47798744137094</v>
      </c>
      <c r="Q4" s="2">
        <f t="shared" ref="Q4:Q67" si="43">O4*1.01</f>
        <v>402.93451604901372</v>
      </c>
      <c r="R4" s="2">
        <f t="shared" ref="R4:R67" si="44">P4*1.01</f>
        <v>449.93276731578464</v>
      </c>
      <c r="S4" s="2">
        <f t="shared" ref="S4:S67" si="45">Q4*1.01</f>
        <v>406.96386120950388</v>
      </c>
      <c r="T4" s="2">
        <f t="shared" ref="T4:T67" si="46">R4*1.01</f>
        <v>454.43209498894248</v>
      </c>
      <c r="U4" s="2">
        <f t="shared" ref="U4:U67" si="47">S4*1.01</f>
        <v>411.03349982159892</v>
      </c>
      <c r="V4" s="2">
        <f t="shared" ref="V4:V67" si="48">T4*1.01</f>
        <v>458.97641593883191</v>
      </c>
      <c r="W4" s="2">
        <f t="shared" ref="W4:W67" si="49">U4*1.01</f>
        <v>415.14383481981491</v>
      </c>
      <c r="X4" s="2">
        <f t="shared" ref="X4:X67" si="50">V4*1.01</f>
        <v>463.56618009822023</v>
      </c>
      <c r="Y4" s="2">
        <f t="shared" ref="Y4:Y67" si="51">W4*1.01</f>
        <v>419.29527316801307</v>
      </c>
      <c r="Z4" s="2">
        <f t="shared" ref="Z4:Z67" si="52">X4*1.01</f>
        <v>468.20184189920246</v>
      </c>
      <c r="AA4" s="2">
        <f t="shared" ref="AA4:AA67" si="53">Y4*1.01</f>
        <v>423.48822589969319</v>
      </c>
      <c r="AB4" s="2">
        <f t="shared" ref="AB4:AB67" si="54">Z4*1.01</f>
        <v>472.88386031819448</v>
      </c>
      <c r="AC4" s="2">
        <f t="shared" ref="AC4:AC67" si="55">AA4*1.01</f>
        <v>427.72310815869014</v>
      </c>
      <c r="AD4" s="2">
        <f t="shared" ref="AD4:AD67" si="56">AB4*1.01</f>
        <v>477.61269892137642</v>
      </c>
      <c r="AE4" s="2">
        <f t="shared" ref="AE4:AE67" si="57">AC4*1.01</f>
        <v>432.00033924027707</v>
      </c>
      <c r="AF4" s="2">
        <f t="shared" ref="AF4:AF67" si="58">AD4*1.01</f>
        <v>482.38882591059019</v>
      </c>
      <c r="AG4" s="2">
        <f t="shared" ref="AG4:AG67" si="59">AE4*1.01</f>
        <v>436.32034263267985</v>
      </c>
      <c r="AH4" s="2">
        <f t="shared" ref="AH4:AH67" si="60">AF4*1.01</f>
        <v>487.21271416969608</v>
      </c>
    </row>
    <row r="5" spans="1:34">
      <c r="A5" t="str">
        <f>sets!$H$3</f>
        <v>Teff</v>
      </c>
      <c r="B5" t="str">
        <v>Amhara</v>
      </c>
      <c r="C5" s="2">
        <f>'Target Price'!C5+TargetConsumption!C5*DemSlope!C5</f>
        <v>354.16902863499962</v>
      </c>
      <c r="D5" s="2">
        <f>'Target Price'!D5+TargetConsumption!D5*DemSlope!D5</f>
        <v>383.23016808035914</v>
      </c>
      <c r="E5" s="2">
        <f t="shared" si="31"/>
        <v>357.71071892134961</v>
      </c>
      <c r="F5" s="2">
        <f t="shared" si="32"/>
        <v>387.06246976116273</v>
      </c>
      <c r="G5" s="2">
        <f t="shared" si="33"/>
        <v>361.28782611056312</v>
      </c>
      <c r="H5" s="2">
        <f t="shared" si="34"/>
        <v>390.93309445877435</v>
      </c>
      <c r="I5" s="2">
        <f t="shared" si="35"/>
        <v>364.90070437166872</v>
      </c>
      <c r="J5" s="2">
        <f t="shared" si="36"/>
        <v>394.84242540336209</v>
      </c>
      <c r="K5" s="2">
        <f t="shared" si="37"/>
        <v>368.54971141538539</v>
      </c>
      <c r="L5" s="2">
        <f t="shared" si="38"/>
        <v>398.79084965739571</v>
      </c>
      <c r="M5" s="2">
        <f t="shared" si="39"/>
        <v>372.23520852953925</v>
      </c>
      <c r="N5" s="2">
        <f t="shared" si="40"/>
        <v>402.77875815396965</v>
      </c>
      <c r="O5" s="2">
        <f t="shared" si="41"/>
        <v>375.95756061483462</v>
      </c>
      <c r="P5" s="2">
        <f t="shared" si="42"/>
        <v>406.80654573550936</v>
      </c>
      <c r="Q5" s="2">
        <f t="shared" si="43"/>
        <v>379.71713622098298</v>
      </c>
      <c r="R5" s="2">
        <f t="shared" si="44"/>
        <v>410.87461119286445</v>
      </c>
      <c r="S5" s="2">
        <f t="shared" si="45"/>
        <v>383.51430758319282</v>
      </c>
      <c r="T5" s="2">
        <f t="shared" si="46"/>
        <v>414.98335730479312</v>
      </c>
      <c r="U5" s="2">
        <f t="shared" si="47"/>
        <v>387.34945065902474</v>
      </c>
      <c r="V5" s="2">
        <f t="shared" si="48"/>
        <v>419.13319087784106</v>
      </c>
      <c r="W5" s="2">
        <f t="shared" si="49"/>
        <v>391.22294516561499</v>
      </c>
      <c r="X5" s="2">
        <f t="shared" si="50"/>
        <v>423.32452278661947</v>
      </c>
      <c r="Y5" s="2">
        <f t="shared" si="51"/>
        <v>395.13517461727116</v>
      </c>
      <c r="Z5" s="2">
        <f t="shared" si="52"/>
        <v>427.55776801448565</v>
      </c>
      <c r="AA5" s="2">
        <f t="shared" si="53"/>
        <v>399.08652636344385</v>
      </c>
      <c r="AB5" s="2">
        <f t="shared" si="54"/>
        <v>431.83334569463051</v>
      </c>
      <c r="AC5" s="2">
        <f t="shared" si="55"/>
        <v>403.07739162707827</v>
      </c>
      <c r="AD5" s="2">
        <f t="shared" si="56"/>
        <v>436.15167915157684</v>
      </c>
      <c r="AE5" s="2">
        <f t="shared" si="57"/>
        <v>407.10816554334906</v>
      </c>
      <c r="AF5" s="2">
        <f t="shared" si="58"/>
        <v>440.51319594309263</v>
      </c>
      <c r="AG5" s="2">
        <f t="shared" si="59"/>
        <v>411.17924719878255</v>
      </c>
      <c r="AH5" s="2">
        <f t="shared" si="60"/>
        <v>444.91832790252357</v>
      </c>
    </row>
    <row r="6" spans="1:34">
      <c r="A6" t="str">
        <f>sets!$H$3</f>
        <v>Teff</v>
      </c>
      <c r="B6" t="str">
        <v>Gumuz</v>
      </c>
      <c r="C6" s="2">
        <f>'Target Price'!C6+TargetConsumption!C6*DemSlope!C6</f>
        <v>323.3575410371767</v>
      </c>
      <c r="D6" s="2">
        <f>'Target Price'!D6+TargetConsumption!D6*DemSlope!D6</f>
        <v>392.07276407206143</v>
      </c>
      <c r="E6" s="2">
        <f t="shared" si="31"/>
        <v>326.59111644754847</v>
      </c>
      <c r="F6" s="2">
        <f t="shared" si="32"/>
        <v>395.99349171278203</v>
      </c>
      <c r="G6" s="2">
        <f t="shared" si="33"/>
        <v>329.85702761202396</v>
      </c>
      <c r="H6" s="2">
        <f t="shared" si="34"/>
        <v>399.95342662990987</v>
      </c>
      <c r="I6" s="2">
        <f t="shared" si="35"/>
        <v>333.1555978881442</v>
      </c>
      <c r="J6" s="2">
        <f t="shared" si="36"/>
        <v>403.95296089620899</v>
      </c>
      <c r="K6" s="2">
        <f t="shared" si="37"/>
        <v>336.48715386702565</v>
      </c>
      <c r="L6" s="2">
        <f t="shared" si="38"/>
        <v>407.99249050517108</v>
      </c>
      <c r="M6" s="2">
        <f t="shared" si="39"/>
        <v>339.85202540569594</v>
      </c>
      <c r="N6" s="2">
        <f t="shared" si="40"/>
        <v>412.07241541022279</v>
      </c>
      <c r="O6" s="2">
        <f t="shared" si="41"/>
        <v>343.2505456597529</v>
      </c>
      <c r="P6" s="2">
        <f t="shared" si="42"/>
        <v>416.19313956432501</v>
      </c>
      <c r="Q6" s="2">
        <f t="shared" si="43"/>
        <v>346.68305111635044</v>
      </c>
      <c r="R6" s="2">
        <f t="shared" si="44"/>
        <v>420.35507095996826</v>
      </c>
      <c r="S6" s="2">
        <f t="shared" si="45"/>
        <v>350.14988162751393</v>
      </c>
      <c r="T6" s="2">
        <f t="shared" si="46"/>
        <v>424.55862166956797</v>
      </c>
      <c r="U6" s="2">
        <f t="shared" si="47"/>
        <v>353.65138044378909</v>
      </c>
      <c r="V6" s="2">
        <f t="shared" si="48"/>
        <v>428.80420788626367</v>
      </c>
      <c r="W6" s="2">
        <f t="shared" si="49"/>
        <v>357.187894248227</v>
      </c>
      <c r="X6" s="2">
        <f t="shared" si="50"/>
        <v>433.09224996512631</v>
      </c>
      <c r="Y6" s="2">
        <f t="shared" si="51"/>
        <v>360.75977319070927</v>
      </c>
      <c r="Z6" s="2">
        <f t="shared" si="52"/>
        <v>437.42317246477756</v>
      </c>
      <c r="AA6" s="2">
        <f t="shared" si="53"/>
        <v>364.36737092261637</v>
      </c>
      <c r="AB6" s="2">
        <f t="shared" si="54"/>
        <v>441.79740418942532</v>
      </c>
      <c r="AC6" s="2">
        <f t="shared" si="55"/>
        <v>368.01104463184254</v>
      </c>
      <c r="AD6" s="2">
        <f t="shared" si="56"/>
        <v>446.21537823131956</v>
      </c>
      <c r="AE6" s="2">
        <f t="shared" si="57"/>
        <v>371.69115507816099</v>
      </c>
      <c r="AF6" s="2">
        <f t="shared" si="58"/>
        <v>450.67753201363274</v>
      </c>
      <c r="AG6" s="2">
        <f t="shared" si="59"/>
        <v>375.40806662894261</v>
      </c>
      <c r="AH6" s="2">
        <f t="shared" si="60"/>
        <v>455.18430733376908</v>
      </c>
    </row>
    <row r="7" spans="1:34">
      <c r="A7" t="str">
        <f>sets!$H$3</f>
        <v>Teff</v>
      </c>
      <c r="B7" t="str">
        <v>DireDawa</v>
      </c>
      <c r="C7" s="2">
        <f>'Target Price'!C7+TargetConsumption!C7*DemSlope!C7</f>
        <v>319.20184702714971</v>
      </c>
      <c r="D7" s="2">
        <f>'Target Price'!D7+TargetConsumption!D7*DemSlope!D7</f>
        <v>402.67964076874858</v>
      </c>
      <c r="E7" s="2">
        <f t="shared" si="31"/>
        <v>322.39386549742119</v>
      </c>
      <c r="F7" s="2">
        <f t="shared" si="32"/>
        <v>406.70643717643605</v>
      </c>
      <c r="G7" s="2">
        <f t="shared" si="33"/>
        <v>325.61780415239542</v>
      </c>
      <c r="H7" s="2">
        <f t="shared" si="34"/>
        <v>410.77350154820044</v>
      </c>
      <c r="I7" s="2">
        <f t="shared" si="35"/>
        <v>328.8739821939194</v>
      </c>
      <c r="J7" s="2">
        <f t="shared" si="36"/>
        <v>414.88123656368248</v>
      </c>
      <c r="K7" s="2">
        <f t="shared" si="37"/>
        <v>332.16272201585861</v>
      </c>
      <c r="L7" s="2">
        <f t="shared" si="38"/>
        <v>419.03004892931932</v>
      </c>
      <c r="M7" s="2">
        <f t="shared" si="39"/>
        <v>335.48434923601718</v>
      </c>
      <c r="N7" s="2">
        <f t="shared" si="40"/>
        <v>423.2203494186125</v>
      </c>
      <c r="O7" s="2">
        <f t="shared" si="41"/>
        <v>338.83919272837738</v>
      </c>
      <c r="P7" s="2">
        <f t="shared" si="42"/>
        <v>427.45255291279864</v>
      </c>
      <c r="Q7" s="2">
        <f t="shared" si="43"/>
        <v>342.22758465566113</v>
      </c>
      <c r="R7" s="2">
        <f t="shared" si="44"/>
        <v>431.72707844192661</v>
      </c>
      <c r="S7" s="2">
        <f t="shared" si="45"/>
        <v>345.64986050221773</v>
      </c>
      <c r="T7" s="2">
        <f t="shared" si="46"/>
        <v>436.0443492263459</v>
      </c>
      <c r="U7" s="2">
        <f t="shared" si="47"/>
        <v>349.10635910723994</v>
      </c>
      <c r="V7" s="2">
        <f t="shared" si="48"/>
        <v>440.40479271860937</v>
      </c>
      <c r="W7" s="2">
        <f t="shared" si="49"/>
        <v>352.59742269831236</v>
      </c>
      <c r="X7" s="2">
        <f t="shared" si="50"/>
        <v>444.80884064579544</v>
      </c>
      <c r="Y7" s="2">
        <f t="shared" si="51"/>
        <v>356.12339692529548</v>
      </c>
      <c r="Z7" s="2">
        <f t="shared" si="52"/>
        <v>449.25692905225338</v>
      </c>
      <c r="AA7" s="2">
        <f t="shared" si="53"/>
        <v>359.68463089454843</v>
      </c>
      <c r="AB7" s="2">
        <f t="shared" si="54"/>
        <v>453.74949834277589</v>
      </c>
      <c r="AC7" s="2">
        <f t="shared" si="55"/>
        <v>363.28147720349392</v>
      </c>
      <c r="AD7" s="2">
        <f t="shared" si="56"/>
        <v>458.28699332620369</v>
      </c>
      <c r="AE7" s="2">
        <f t="shared" si="57"/>
        <v>366.91429197552884</v>
      </c>
      <c r="AF7" s="2">
        <f t="shared" si="58"/>
        <v>462.86986325946572</v>
      </c>
      <c r="AG7" s="2">
        <f t="shared" si="59"/>
        <v>370.58343489528414</v>
      </c>
      <c r="AH7" s="2">
        <f t="shared" si="60"/>
        <v>467.49856189206037</v>
      </c>
    </row>
    <row r="8" spans="1:34">
      <c r="A8" t="str">
        <f>sets!$H$3</f>
        <v>Teff</v>
      </c>
      <c r="B8" t="str">
        <v>Gambela</v>
      </c>
      <c r="C8" s="2">
        <f>'Target Price'!C8+TargetConsumption!C8*DemSlope!C8</f>
        <v>304.42816070111974</v>
      </c>
      <c r="D8" s="2">
        <f>'Target Price'!D8+TargetConsumption!D8*DemSlope!D8</f>
        <v>402.54049998257392</v>
      </c>
      <c r="E8" s="2">
        <f t="shared" si="31"/>
        <v>307.47244230813095</v>
      </c>
      <c r="F8" s="2">
        <f t="shared" si="32"/>
        <v>406.56590498239967</v>
      </c>
      <c r="G8" s="2">
        <f t="shared" si="33"/>
        <v>310.54716673121226</v>
      </c>
      <c r="H8" s="2">
        <f t="shared" si="34"/>
        <v>410.63156403222365</v>
      </c>
      <c r="I8" s="2">
        <f t="shared" si="35"/>
        <v>313.6526383985244</v>
      </c>
      <c r="J8" s="2">
        <f t="shared" si="36"/>
        <v>414.73787967254589</v>
      </c>
      <c r="K8" s="2">
        <f t="shared" si="37"/>
        <v>316.78916478250966</v>
      </c>
      <c r="L8" s="2">
        <f t="shared" si="38"/>
        <v>418.88525846927138</v>
      </c>
      <c r="M8" s="2">
        <f t="shared" si="39"/>
        <v>319.95705643033477</v>
      </c>
      <c r="N8" s="2">
        <f t="shared" si="40"/>
        <v>423.07411105396409</v>
      </c>
      <c r="O8" s="2">
        <f t="shared" si="41"/>
        <v>323.15662699463815</v>
      </c>
      <c r="P8" s="2">
        <f t="shared" si="42"/>
        <v>427.30485216450376</v>
      </c>
      <c r="Q8" s="2">
        <f t="shared" si="43"/>
        <v>326.38819326458452</v>
      </c>
      <c r="R8" s="2">
        <f t="shared" si="44"/>
        <v>431.57790068614878</v>
      </c>
      <c r="S8" s="2">
        <f t="shared" si="45"/>
        <v>329.65207519723037</v>
      </c>
      <c r="T8" s="2">
        <f t="shared" si="46"/>
        <v>435.89367969301026</v>
      </c>
      <c r="U8" s="2">
        <f t="shared" si="47"/>
        <v>332.94859594920268</v>
      </c>
      <c r="V8" s="2">
        <f t="shared" si="48"/>
        <v>440.25261648994035</v>
      </c>
      <c r="W8" s="2">
        <f t="shared" si="49"/>
        <v>336.27808190869473</v>
      </c>
      <c r="X8" s="2">
        <f t="shared" si="50"/>
        <v>444.65514265483978</v>
      </c>
      <c r="Y8" s="2">
        <f t="shared" si="51"/>
        <v>339.64086272778167</v>
      </c>
      <c r="Z8" s="2">
        <f t="shared" si="52"/>
        <v>449.10169408138819</v>
      </c>
      <c r="AA8" s="2">
        <f t="shared" si="53"/>
        <v>343.03727135505949</v>
      </c>
      <c r="AB8" s="2">
        <f t="shared" si="54"/>
        <v>453.59271102220208</v>
      </c>
      <c r="AC8" s="2">
        <f t="shared" si="55"/>
        <v>346.46764406861007</v>
      </c>
      <c r="AD8" s="2">
        <f t="shared" si="56"/>
        <v>458.1286381324241</v>
      </c>
      <c r="AE8" s="2">
        <f t="shared" si="57"/>
        <v>349.93232050929618</v>
      </c>
      <c r="AF8" s="2">
        <f t="shared" si="58"/>
        <v>462.70992451374832</v>
      </c>
      <c r="AG8" s="2">
        <f t="shared" si="59"/>
        <v>353.43164371438917</v>
      </c>
      <c r="AH8" s="2">
        <f t="shared" si="60"/>
        <v>467.33702375888583</v>
      </c>
    </row>
    <row r="9" spans="1:34">
      <c r="A9" t="str">
        <f>sets!$H$3</f>
        <v>Teff</v>
      </c>
      <c r="B9" t="str">
        <v>Harari</v>
      </c>
      <c r="C9" s="2">
        <f>'Target Price'!C9+TargetConsumption!C9*DemSlope!C9</f>
        <v>330.60219146939215</v>
      </c>
      <c r="D9" s="2">
        <f>'Target Price'!D9+TargetConsumption!D9*DemSlope!D9</f>
        <v>409.00092063706518</v>
      </c>
      <c r="E9" s="2">
        <f t="shared" si="31"/>
        <v>333.90821338408608</v>
      </c>
      <c r="F9" s="2">
        <f t="shared" si="32"/>
        <v>413.09092984343584</v>
      </c>
      <c r="G9" s="2">
        <f t="shared" si="33"/>
        <v>337.24729551792694</v>
      </c>
      <c r="H9" s="2">
        <f t="shared" si="34"/>
        <v>417.22183914187019</v>
      </c>
      <c r="I9" s="2">
        <f t="shared" si="35"/>
        <v>340.61976847310621</v>
      </c>
      <c r="J9" s="2">
        <f t="shared" si="36"/>
        <v>421.3940575332889</v>
      </c>
      <c r="K9" s="2">
        <f t="shared" si="37"/>
        <v>344.02596615783727</v>
      </c>
      <c r="L9" s="2">
        <f t="shared" si="38"/>
        <v>425.60799810862181</v>
      </c>
      <c r="M9" s="2">
        <f t="shared" si="39"/>
        <v>347.46622581941563</v>
      </c>
      <c r="N9" s="2">
        <f t="shared" si="40"/>
        <v>429.86407808970802</v>
      </c>
      <c r="O9" s="2">
        <f t="shared" si="41"/>
        <v>350.94088807760977</v>
      </c>
      <c r="P9" s="2">
        <f t="shared" si="42"/>
        <v>434.16271887060509</v>
      </c>
      <c r="Q9" s="2">
        <f t="shared" si="43"/>
        <v>354.45029695838588</v>
      </c>
      <c r="R9" s="2">
        <f t="shared" si="44"/>
        <v>438.50434605931116</v>
      </c>
      <c r="S9" s="2">
        <f t="shared" si="45"/>
        <v>357.99479992796972</v>
      </c>
      <c r="T9" s="2">
        <f t="shared" si="46"/>
        <v>442.88938951990428</v>
      </c>
      <c r="U9" s="2">
        <f t="shared" si="47"/>
        <v>361.5747479272494</v>
      </c>
      <c r="V9" s="2">
        <f t="shared" si="48"/>
        <v>447.31828341510334</v>
      </c>
      <c r="W9" s="2">
        <f t="shared" si="49"/>
        <v>365.1904954065219</v>
      </c>
      <c r="X9" s="2">
        <f t="shared" si="50"/>
        <v>451.79146624925437</v>
      </c>
      <c r="Y9" s="2">
        <f t="shared" si="51"/>
        <v>368.84240036058713</v>
      </c>
      <c r="Z9" s="2">
        <f t="shared" si="52"/>
        <v>456.30938091174693</v>
      </c>
      <c r="AA9" s="2">
        <f t="shared" si="53"/>
        <v>372.53082436419299</v>
      </c>
      <c r="AB9" s="2">
        <f t="shared" si="54"/>
        <v>460.87247472086437</v>
      </c>
      <c r="AC9" s="2">
        <f t="shared" si="55"/>
        <v>376.2561326078349</v>
      </c>
      <c r="AD9" s="2">
        <f t="shared" si="56"/>
        <v>465.48119946807304</v>
      </c>
      <c r="AE9" s="2">
        <f t="shared" si="57"/>
        <v>380.01869393391326</v>
      </c>
      <c r="AF9" s="2">
        <f t="shared" si="58"/>
        <v>470.1360114627538</v>
      </c>
      <c r="AG9" s="2">
        <f t="shared" si="59"/>
        <v>383.8188808732524</v>
      </c>
      <c r="AH9" s="2">
        <f t="shared" si="60"/>
        <v>474.83737157738136</v>
      </c>
    </row>
    <row r="10" spans="1:34">
      <c r="A10" t="str">
        <f>sets!$H$3</f>
        <v>Teff</v>
      </c>
      <c r="B10" t="str">
        <v>Oromia</v>
      </c>
      <c r="C10" s="2">
        <f>'Target Price'!C10+TargetConsumption!C10*DemSlope!C10</f>
        <v>306.52080287590491</v>
      </c>
      <c r="D10" s="2">
        <f>'Target Price'!D10+TargetConsumption!D10*DemSlope!D10</f>
        <v>382.1629123509224</v>
      </c>
      <c r="E10" s="2">
        <f t="shared" si="31"/>
        <v>309.58601090466396</v>
      </c>
      <c r="F10" s="2">
        <f t="shared" si="32"/>
        <v>385.98454147443164</v>
      </c>
      <c r="G10" s="2">
        <f t="shared" si="33"/>
        <v>312.68187101371063</v>
      </c>
      <c r="H10" s="2">
        <f t="shared" si="34"/>
        <v>389.84438688917595</v>
      </c>
      <c r="I10" s="2">
        <f t="shared" si="35"/>
        <v>315.80868972384775</v>
      </c>
      <c r="J10" s="2">
        <f t="shared" si="36"/>
        <v>393.74283075806773</v>
      </c>
      <c r="K10" s="2">
        <f t="shared" si="37"/>
        <v>318.96677662108624</v>
      </c>
      <c r="L10" s="2">
        <f t="shared" si="38"/>
        <v>397.68025906564839</v>
      </c>
      <c r="M10" s="2">
        <f t="shared" si="39"/>
        <v>322.15644438729709</v>
      </c>
      <c r="N10" s="2">
        <f t="shared" si="40"/>
        <v>401.65706165630485</v>
      </c>
      <c r="O10" s="2">
        <f t="shared" si="41"/>
        <v>325.37800883117006</v>
      </c>
      <c r="P10" s="2">
        <f t="shared" si="42"/>
        <v>405.67363227286791</v>
      </c>
      <c r="Q10" s="2">
        <f t="shared" si="43"/>
        <v>328.63178891948178</v>
      </c>
      <c r="R10" s="2">
        <f t="shared" si="44"/>
        <v>409.73036859559659</v>
      </c>
      <c r="S10" s="2">
        <f t="shared" si="45"/>
        <v>331.91810680867661</v>
      </c>
      <c r="T10" s="2">
        <f t="shared" si="46"/>
        <v>413.82767228155257</v>
      </c>
      <c r="U10" s="2">
        <f t="shared" si="47"/>
        <v>335.23728787676339</v>
      </c>
      <c r="V10" s="2">
        <f t="shared" si="48"/>
        <v>417.9659490043681</v>
      </c>
      <c r="W10" s="2">
        <f t="shared" si="49"/>
        <v>338.58966075553104</v>
      </c>
      <c r="X10" s="2">
        <f t="shared" si="50"/>
        <v>422.14560849441176</v>
      </c>
      <c r="Y10" s="2">
        <f t="shared" si="51"/>
        <v>341.97555736308635</v>
      </c>
      <c r="Z10" s="2">
        <f t="shared" si="52"/>
        <v>426.36706457935588</v>
      </c>
      <c r="AA10" s="2">
        <f t="shared" si="53"/>
        <v>345.39531293671723</v>
      </c>
      <c r="AB10" s="2">
        <f t="shared" si="54"/>
        <v>430.63073522514946</v>
      </c>
      <c r="AC10" s="2">
        <f t="shared" si="55"/>
        <v>348.8492660660844</v>
      </c>
      <c r="AD10" s="2">
        <f t="shared" si="56"/>
        <v>434.93704257740097</v>
      </c>
      <c r="AE10" s="2">
        <f t="shared" si="57"/>
        <v>352.33775872674522</v>
      </c>
      <c r="AF10" s="2">
        <f t="shared" si="58"/>
        <v>439.28641300317497</v>
      </c>
      <c r="AG10" s="2">
        <f t="shared" si="59"/>
        <v>355.8611363140127</v>
      </c>
      <c r="AH10" s="2">
        <f t="shared" si="60"/>
        <v>443.67927713320671</v>
      </c>
    </row>
    <row r="11" spans="1:34">
      <c r="A11" t="str">
        <f>sets!$H$3</f>
        <v>Teff</v>
      </c>
      <c r="B11" t="str">
        <v>Somali</v>
      </c>
      <c r="C11" s="2">
        <f>'Target Price'!C11+TargetConsumption!C11*DemSlope!C11</f>
        <v>293.61398624930189</v>
      </c>
      <c r="D11" s="2">
        <f>'Target Price'!D11+TargetConsumption!D11*DemSlope!D11</f>
        <v>382.31802446813924</v>
      </c>
      <c r="E11" s="2">
        <f t="shared" si="31"/>
        <v>296.5501261117949</v>
      </c>
      <c r="F11" s="2">
        <f t="shared" si="32"/>
        <v>386.14120471282064</v>
      </c>
      <c r="G11" s="2">
        <f t="shared" si="33"/>
        <v>299.51562737291283</v>
      </c>
      <c r="H11" s="2">
        <f t="shared" si="34"/>
        <v>390.00261675994886</v>
      </c>
      <c r="I11" s="2">
        <f t="shared" si="35"/>
        <v>302.51078364664198</v>
      </c>
      <c r="J11" s="2">
        <f t="shared" si="36"/>
        <v>393.90264292754836</v>
      </c>
      <c r="K11" s="2">
        <f t="shared" si="37"/>
        <v>305.5358914831084</v>
      </c>
      <c r="L11" s="2">
        <f t="shared" si="38"/>
        <v>397.84166935682384</v>
      </c>
      <c r="M11" s="2">
        <f t="shared" si="39"/>
        <v>308.59125039793946</v>
      </c>
      <c r="N11" s="2">
        <f t="shared" si="40"/>
        <v>401.82008605039209</v>
      </c>
      <c r="O11" s="2">
        <f t="shared" si="41"/>
        <v>311.67716290191885</v>
      </c>
      <c r="P11" s="2">
        <f t="shared" si="42"/>
        <v>405.83828691089604</v>
      </c>
      <c r="Q11" s="2">
        <f t="shared" si="43"/>
        <v>314.79393453093803</v>
      </c>
      <c r="R11" s="2">
        <f t="shared" si="44"/>
        <v>409.89666978000503</v>
      </c>
      <c r="S11" s="2">
        <f t="shared" si="45"/>
        <v>317.94187387624743</v>
      </c>
      <c r="T11" s="2">
        <f t="shared" si="46"/>
        <v>413.99563647780508</v>
      </c>
      <c r="U11" s="2">
        <f t="shared" si="47"/>
        <v>321.12129261500991</v>
      </c>
      <c r="V11" s="2">
        <f t="shared" si="48"/>
        <v>418.13559284258315</v>
      </c>
      <c r="W11" s="2">
        <f t="shared" si="49"/>
        <v>324.33250554116</v>
      </c>
      <c r="X11" s="2">
        <f t="shared" si="50"/>
        <v>422.31694877100898</v>
      </c>
      <c r="Y11" s="2">
        <f t="shared" si="51"/>
        <v>327.57583059657162</v>
      </c>
      <c r="Z11" s="2">
        <f t="shared" si="52"/>
        <v>426.54011825871908</v>
      </c>
      <c r="AA11" s="2">
        <f t="shared" si="53"/>
        <v>330.85158890253734</v>
      </c>
      <c r="AB11" s="2">
        <f t="shared" si="54"/>
        <v>430.80551944130627</v>
      </c>
      <c r="AC11" s="2">
        <f t="shared" si="55"/>
        <v>334.16010479156273</v>
      </c>
      <c r="AD11" s="2">
        <f t="shared" si="56"/>
        <v>435.11357463571932</v>
      </c>
      <c r="AE11" s="2">
        <f t="shared" si="57"/>
        <v>337.50170583947835</v>
      </c>
      <c r="AF11" s="2">
        <f t="shared" si="58"/>
        <v>439.46471038207653</v>
      </c>
      <c r="AG11" s="2">
        <f t="shared" si="59"/>
        <v>340.87672289787315</v>
      </c>
      <c r="AH11" s="2">
        <f t="shared" si="60"/>
        <v>443.85935748589731</v>
      </c>
    </row>
    <row r="12" spans="1:34">
      <c r="A12" t="str">
        <f>sets!$H$3</f>
        <v>Teff</v>
      </c>
      <c r="B12" t="str">
        <v>SNNPR</v>
      </c>
      <c r="C12" s="2">
        <f>'Target Price'!C12+TargetConsumption!C12*DemSlope!C12</f>
        <v>325.47828678434041</v>
      </c>
      <c r="D12" s="2">
        <f>'Target Price'!D12+TargetConsumption!D12*DemSlope!D12</f>
        <v>404.12509902814213</v>
      </c>
      <c r="E12" s="2">
        <f t="shared" si="31"/>
        <v>328.73306965218381</v>
      </c>
      <c r="F12" s="2">
        <f t="shared" si="32"/>
        <v>408.16635001842354</v>
      </c>
      <c r="G12" s="2">
        <f t="shared" si="33"/>
        <v>332.02040034870566</v>
      </c>
      <c r="H12" s="2">
        <f t="shared" si="34"/>
        <v>412.24801351860776</v>
      </c>
      <c r="I12" s="2">
        <f t="shared" si="35"/>
        <v>335.34060435219271</v>
      </c>
      <c r="J12" s="2">
        <f t="shared" si="36"/>
        <v>416.37049365379386</v>
      </c>
      <c r="K12" s="2">
        <f t="shared" si="37"/>
        <v>338.69401039571466</v>
      </c>
      <c r="L12" s="2">
        <f t="shared" si="38"/>
        <v>420.53419859033181</v>
      </c>
      <c r="M12" s="2">
        <f t="shared" si="39"/>
        <v>342.08095049967181</v>
      </c>
      <c r="N12" s="2">
        <f t="shared" si="40"/>
        <v>424.73954057623513</v>
      </c>
      <c r="O12" s="2">
        <f t="shared" si="41"/>
        <v>345.50176000466854</v>
      </c>
      <c r="P12" s="2">
        <f t="shared" si="42"/>
        <v>428.98693598199748</v>
      </c>
      <c r="Q12" s="2">
        <f t="shared" si="43"/>
        <v>348.95677760471523</v>
      </c>
      <c r="R12" s="2">
        <f t="shared" si="44"/>
        <v>433.27680534181746</v>
      </c>
      <c r="S12" s="2">
        <f t="shared" si="45"/>
        <v>352.44634538076241</v>
      </c>
      <c r="T12" s="2">
        <f t="shared" si="46"/>
        <v>437.60957339523566</v>
      </c>
      <c r="U12" s="2">
        <f t="shared" si="47"/>
        <v>355.97080883457005</v>
      </c>
      <c r="V12" s="2">
        <f t="shared" si="48"/>
        <v>441.98566912918801</v>
      </c>
      <c r="W12" s="2">
        <f t="shared" si="49"/>
        <v>359.53051692291575</v>
      </c>
      <c r="X12" s="2">
        <f t="shared" si="50"/>
        <v>446.40552582047991</v>
      </c>
      <c r="Y12" s="2">
        <f t="shared" si="51"/>
        <v>363.12582209214492</v>
      </c>
      <c r="Z12" s="2">
        <f t="shared" si="52"/>
        <v>450.86958107868469</v>
      </c>
      <c r="AA12" s="2">
        <f t="shared" si="53"/>
        <v>366.75708031306635</v>
      </c>
      <c r="AB12" s="2">
        <f t="shared" si="54"/>
        <v>455.37827688947152</v>
      </c>
      <c r="AC12" s="2">
        <f t="shared" si="55"/>
        <v>370.42465111619703</v>
      </c>
      <c r="AD12" s="2">
        <f t="shared" si="56"/>
        <v>459.93205965836626</v>
      </c>
      <c r="AE12" s="2">
        <f t="shared" si="57"/>
        <v>374.12889762735898</v>
      </c>
      <c r="AF12" s="2">
        <f t="shared" si="58"/>
        <v>464.53138025494991</v>
      </c>
      <c r="AG12" s="2">
        <f t="shared" si="59"/>
        <v>377.87018660363259</v>
      </c>
      <c r="AH12" s="2">
        <f t="shared" si="60"/>
        <v>469.17669405749939</v>
      </c>
    </row>
    <row r="13" spans="1:34">
      <c r="A13" t="str">
        <f>sets!$H$3</f>
        <v>Teff</v>
      </c>
      <c r="B13" t="str">
        <v>Tigray</v>
      </c>
      <c r="C13" s="2">
        <f>'Target Price'!C13+TargetConsumption!C13*DemSlope!C13</f>
        <v>273.95554493958116</v>
      </c>
      <c r="D13" s="2">
        <f>'Target Price'!D13+TargetConsumption!D13*DemSlope!D13</f>
        <v>388.93024600546727</v>
      </c>
      <c r="E13" s="2">
        <f t="shared" si="31"/>
        <v>276.69510038897698</v>
      </c>
      <c r="F13" s="2">
        <f t="shared" si="32"/>
        <v>392.81954846552196</v>
      </c>
      <c r="G13" s="2">
        <f t="shared" si="33"/>
        <v>279.46205139286673</v>
      </c>
      <c r="H13" s="2">
        <f t="shared" si="34"/>
        <v>396.74774395017721</v>
      </c>
      <c r="I13" s="2">
        <f t="shared" si="35"/>
        <v>282.25667190679542</v>
      </c>
      <c r="J13" s="2">
        <f t="shared" si="36"/>
        <v>400.71522138967896</v>
      </c>
      <c r="K13" s="2">
        <f t="shared" si="37"/>
        <v>285.07923862586335</v>
      </c>
      <c r="L13" s="2">
        <f t="shared" si="38"/>
        <v>404.72237360357576</v>
      </c>
      <c r="M13" s="2">
        <f t="shared" si="39"/>
        <v>287.93003101212201</v>
      </c>
      <c r="N13" s="2">
        <f t="shared" si="40"/>
        <v>408.76959733961155</v>
      </c>
      <c r="O13" s="2">
        <f t="shared" si="41"/>
        <v>290.80933132224322</v>
      </c>
      <c r="P13" s="2">
        <f t="shared" si="42"/>
        <v>412.85729331300769</v>
      </c>
      <c r="Q13" s="2">
        <f t="shared" si="43"/>
        <v>293.71742463546565</v>
      </c>
      <c r="R13" s="2">
        <f t="shared" si="44"/>
        <v>416.98586624613779</v>
      </c>
      <c r="S13" s="2">
        <f t="shared" si="45"/>
        <v>296.65459888182033</v>
      </c>
      <c r="T13" s="2">
        <f t="shared" si="46"/>
        <v>421.15572490859915</v>
      </c>
      <c r="U13" s="2">
        <f t="shared" si="47"/>
        <v>299.62114487063855</v>
      </c>
      <c r="V13" s="2">
        <f t="shared" si="48"/>
        <v>425.36728215768517</v>
      </c>
      <c r="W13" s="2">
        <f t="shared" si="49"/>
        <v>302.61735631934494</v>
      </c>
      <c r="X13" s="2">
        <f t="shared" si="50"/>
        <v>429.62095497926202</v>
      </c>
      <c r="Y13" s="2">
        <f t="shared" si="51"/>
        <v>305.64352988253836</v>
      </c>
      <c r="Z13" s="2">
        <f t="shared" si="52"/>
        <v>433.91716452905467</v>
      </c>
      <c r="AA13" s="2">
        <f t="shared" si="53"/>
        <v>308.69996518136372</v>
      </c>
      <c r="AB13" s="2">
        <f t="shared" si="54"/>
        <v>438.25633617434522</v>
      </c>
      <c r="AC13" s="2">
        <f t="shared" si="55"/>
        <v>311.78696483317736</v>
      </c>
      <c r="AD13" s="2">
        <f t="shared" si="56"/>
        <v>442.63889953608867</v>
      </c>
      <c r="AE13" s="2">
        <f t="shared" si="57"/>
        <v>314.90483448150911</v>
      </c>
      <c r="AF13" s="2">
        <f t="shared" si="58"/>
        <v>447.06528853144954</v>
      </c>
      <c r="AG13" s="2">
        <f t="shared" si="59"/>
        <v>318.05388282632418</v>
      </c>
      <c r="AH13" s="2">
        <f t="shared" si="60"/>
        <v>451.53594141676405</v>
      </c>
    </row>
    <row r="14" spans="1:34">
      <c r="A14" t="str">
        <f t="shared" ref="A14:A77" si="61">INDEX(Food,MATCH(A3,Food,0)+1)</f>
        <v>Sorghum</v>
      </c>
      <c r="B14" t="str">
        <f>B3</f>
        <v>AddisAbaba</v>
      </c>
      <c r="C14" s="2">
        <f>'Target Price'!C14+TargetConsumption!C14*DemSlope!C14</f>
        <v>178.74810248516184</v>
      </c>
      <c r="D14" s="2">
        <f>'Target Price'!D14+TargetConsumption!D14*DemSlope!D14</f>
        <v>225.02061539150577</v>
      </c>
      <c r="E14" s="2">
        <f t="shared" si="31"/>
        <v>180.53558351001345</v>
      </c>
      <c r="F14" s="2">
        <f t="shared" si="32"/>
        <v>227.27082154542083</v>
      </c>
      <c r="G14" s="2">
        <f t="shared" si="33"/>
        <v>182.34093934511358</v>
      </c>
      <c r="H14" s="2">
        <f t="shared" si="34"/>
        <v>229.54352976087503</v>
      </c>
      <c r="I14" s="2">
        <f t="shared" si="35"/>
        <v>184.16434873856471</v>
      </c>
      <c r="J14" s="2">
        <f t="shared" si="36"/>
        <v>231.83896505848378</v>
      </c>
      <c r="K14" s="2">
        <f t="shared" si="37"/>
        <v>186.00599222595037</v>
      </c>
      <c r="L14" s="2">
        <f t="shared" si="38"/>
        <v>234.15735470906861</v>
      </c>
      <c r="M14" s="2">
        <f t="shared" si="39"/>
        <v>187.86605214820986</v>
      </c>
      <c r="N14" s="2">
        <f t="shared" si="40"/>
        <v>236.4989282561593</v>
      </c>
      <c r="O14" s="2">
        <f t="shared" si="41"/>
        <v>189.74471266969195</v>
      </c>
      <c r="P14" s="2">
        <f t="shared" si="42"/>
        <v>238.8639175387209</v>
      </c>
      <c r="Q14" s="2">
        <f t="shared" si="43"/>
        <v>191.64215979638888</v>
      </c>
      <c r="R14" s="2">
        <f t="shared" si="44"/>
        <v>241.2525567141081</v>
      </c>
      <c r="S14" s="2">
        <f t="shared" si="45"/>
        <v>193.55858139435279</v>
      </c>
      <c r="T14" s="2">
        <f t="shared" si="46"/>
        <v>243.66508228124917</v>
      </c>
      <c r="U14" s="2">
        <f t="shared" si="47"/>
        <v>195.49416720829632</v>
      </c>
      <c r="V14" s="2">
        <f t="shared" si="48"/>
        <v>246.10173310406165</v>
      </c>
      <c r="W14" s="2">
        <f t="shared" si="49"/>
        <v>197.44910888037927</v>
      </c>
      <c r="X14" s="2">
        <f t="shared" si="50"/>
        <v>248.56275043510226</v>
      </c>
      <c r="Y14" s="2">
        <f t="shared" si="51"/>
        <v>199.42359996918307</v>
      </c>
      <c r="Z14" s="2">
        <f t="shared" si="52"/>
        <v>251.04837793945327</v>
      </c>
      <c r="AA14" s="2">
        <f t="shared" si="53"/>
        <v>201.4178359688749</v>
      </c>
      <c r="AB14" s="2">
        <f t="shared" si="54"/>
        <v>253.55886171884782</v>
      </c>
      <c r="AC14" s="2">
        <f t="shared" si="55"/>
        <v>203.43201432856364</v>
      </c>
      <c r="AD14" s="2">
        <f t="shared" si="56"/>
        <v>256.09445033603629</v>
      </c>
      <c r="AE14" s="2">
        <f t="shared" si="57"/>
        <v>205.46633447184928</v>
      </c>
      <c r="AF14" s="2">
        <f t="shared" si="58"/>
        <v>258.65539483939665</v>
      </c>
      <c r="AG14" s="2">
        <f t="shared" si="59"/>
        <v>207.52099781656779</v>
      </c>
      <c r="AH14" s="2">
        <f t="shared" si="60"/>
        <v>261.24194878779059</v>
      </c>
    </row>
    <row r="15" spans="1:34">
      <c r="A15" t="str">
        <f t="shared" si="61"/>
        <v>Sorghum</v>
      </c>
      <c r="B15" t="str">
        <f t="shared" ref="B15:B78" si="62">B4</f>
        <v>Afar</v>
      </c>
      <c r="C15" s="2">
        <f>'Target Price'!C15+TargetConsumption!C15*DemSlope!C15</f>
        <v>175.38642592237585</v>
      </c>
      <c r="D15" s="2">
        <f>'Target Price'!D15+TargetConsumption!D15*DemSlope!D15</f>
        <v>215.98587006709897</v>
      </c>
      <c r="E15" s="2">
        <f t="shared" si="31"/>
        <v>177.1402901815996</v>
      </c>
      <c r="F15" s="2">
        <f t="shared" si="32"/>
        <v>218.14572876776995</v>
      </c>
      <c r="G15" s="2">
        <f t="shared" si="33"/>
        <v>178.9116930834156</v>
      </c>
      <c r="H15" s="2">
        <f t="shared" si="34"/>
        <v>220.32718605544764</v>
      </c>
      <c r="I15" s="2">
        <f t="shared" si="35"/>
        <v>180.70081001424975</v>
      </c>
      <c r="J15" s="2">
        <f t="shared" si="36"/>
        <v>222.53045791600212</v>
      </c>
      <c r="K15" s="2">
        <f t="shared" si="37"/>
        <v>182.50781811439225</v>
      </c>
      <c r="L15" s="2">
        <f t="shared" si="38"/>
        <v>224.75576249516214</v>
      </c>
      <c r="M15" s="2">
        <f t="shared" si="39"/>
        <v>184.33289629553619</v>
      </c>
      <c r="N15" s="2">
        <f t="shared" si="40"/>
        <v>227.00332012011376</v>
      </c>
      <c r="O15" s="2">
        <f t="shared" si="41"/>
        <v>186.17622525849154</v>
      </c>
      <c r="P15" s="2">
        <f t="shared" si="42"/>
        <v>229.27335332131489</v>
      </c>
      <c r="Q15" s="2">
        <f t="shared" si="43"/>
        <v>188.03798751107647</v>
      </c>
      <c r="R15" s="2">
        <f t="shared" si="44"/>
        <v>231.56608685452804</v>
      </c>
      <c r="S15" s="2">
        <f t="shared" si="45"/>
        <v>189.91836738618724</v>
      </c>
      <c r="T15" s="2">
        <f t="shared" si="46"/>
        <v>233.88174772307332</v>
      </c>
      <c r="U15" s="2">
        <f t="shared" si="47"/>
        <v>191.81755106004911</v>
      </c>
      <c r="V15" s="2">
        <f t="shared" si="48"/>
        <v>236.22056520030407</v>
      </c>
      <c r="W15" s="2">
        <f t="shared" si="49"/>
        <v>193.7357265706496</v>
      </c>
      <c r="X15" s="2">
        <f t="shared" si="50"/>
        <v>238.58277085230711</v>
      </c>
      <c r="Y15" s="2">
        <f t="shared" si="51"/>
        <v>195.67308383635611</v>
      </c>
      <c r="Z15" s="2">
        <f t="shared" si="52"/>
        <v>240.96859856083017</v>
      </c>
      <c r="AA15" s="2">
        <f t="shared" si="53"/>
        <v>197.62981467471968</v>
      </c>
      <c r="AB15" s="2">
        <f t="shared" si="54"/>
        <v>243.37828454643846</v>
      </c>
      <c r="AC15" s="2">
        <f t="shared" si="55"/>
        <v>199.60611282146689</v>
      </c>
      <c r="AD15" s="2">
        <f t="shared" si="56"/>
        <v>245.81206739190284</v>
      </c>
      <c r="AE15" s="2">
        <f t="shared" si="57"/>
        <v>201.60217394968157</v>
      </c>
      <c r="AF15" s="2">
        <f t="shared" si="58"/>
        <v>248.27018806582188</v>
      </c>
      <c r="AG15" s="2">
        <f t="shared" si="59"/>
        <v>203.61819568917838</v>
      </c>
      <c r="AH15" s="2">
        <f t="shared" si="60"/>
        <v>250.75288994648011</v>
      </c>
    </row>
    <row r="16" spans="1:34">
      <c r="A16" t="str">
        <f t="shared" si="61"/>
        <v>Sorghum</v>
      </c>
      <c r="B16" t="str">
        <f t="shared" si="62"/>
        <v>Amhara</v>
      </c>
      <c r="C16" s="2">
        <f>'Target Price'!C16+TargetConsumption!C16*DemSlope!C16</f>
        <v>211.54917556525584</v>
      </c>
      <c r="D16" s="2">
        <f>'Target Price'!D16+TargetConsumption!D16*DemSlope!D16</f>
        <v>211.87869111792284</v>
      </c>
      <c r="E16" s="2">
        <f t="shared" si="31"/>
        <v>213.66466732090839</v>
      </c>
      <c r="F16" s="2">
        <f t="shared" si="32"/>
        <v>213.99747802910207</v>
      </c>
      <c r="G16" s="2">
        <f t="shared" si="33"/>
        <v>215.80131399411749</v>
      </c>
      <c r="H16" s="2">
        <f t="shared" si="34"/>
        <v>216.1374528093931</v>
      </c>
      <c r="I16" s="2">
        <f t="shared" si="35"/>
        <v>217.95932713405867</v>
      </c>
      <c r="J16" s="2">
        <f t="shared" si="36"/>
        <v>218.29882733748704</v>
      </c>
      <c r="K16" s="2">
        <f t="shared" si="37"/>
        <v>220.13892040539926</v>
      </c>
      <c r="L16" s="2">
        <f t="shared" si="38"/>
        <v>220.4818156108619</v>
      </c>
      <c r="M16" s="2">
        <f t="shared" si="39"/>
        <v>222.34030960945324</v>
      </c>
      <c r="N16" s="2">
        <f t="shared" si="40"/>
        <v>222.68663376697052</v>
      </c>
      <c r="O16" s="2">
        <f t="shared" si="41"/>
        <v>224.56371270554777</v>
      </c>
      <c r="P16" s="2">
        <f t="shared" si="42"/>
        <v>224.91350010464024</v>
      </c>
      <c r="Q16" s="2">
        <f t="shared" si="43"/>
        <v>226.80934983260326</v>
      </c>
      <c r="R16" s="2">
        <f t="shared" si="44"/>
        <v>227.16263510568663</v>
      </c>
      <c r="S16" s="2">
        <f t="shared" si="45"/>
        <v>229.0774433309293</v>
      </c>
      <c r="T16" s="2">
        <f t="shared" si="46"/>
        <v>229.43426145674351</v>
      </c>
      <c r="U16" s="2">
        <f t="shared" si="47"/>
        <v>231.36821776423861</v>
      </c>
      <c r="V16" s="2">
        <f t="shared" si="48"/>
        <v>231.72860407131094</v>
      </c>
      <c r="W16" s="2">
        <f t="shared" si="49"/>
        <v>233.681899941881</v>
      </c>
      <c r="X16" s="2">
        <f t="shared" si="50"/>
        <v>234.04589011202404</v>
      </c>
      <c r="Y16" s="2">
        <f t="shared" si="51"/>
        <v>236.01871894129982</v>
      </c>
      <c r="Z16" s="2">
        <f t="shared" si="52"/>
        <v>236.38634901314427</v>
      </c>
      <c r="AA16" s="2">
        <f t="shared" si="53"/>
        <v>238.37890613071283</v>
      </c>
      <c r="AB16" s="2">
        <f t="shared" si="54"/>
        <v>238.75021250327572</v>
      </c>
      <c r="AC16" s="2">
        <f t="shared" si="55"/>
        <v>240.76269519201998</v>
      </c>
      <c r="AD16" s="2">
        <f t="shared" si="56"/>
        <v>241.13771462830849</v>
      </c>
      <c r="AE16" s="2">
        <f t="shared" si="57"/>
        <v>243.17032214394018</v>
      </c>
      <c r="AF16" s="2">
        <f t="shared" si="58"/>
        <v>243.54909177459157</v>
      </c>
      <c r="AG16" s="2">
        <f t="shared" si="59"/>
        <v>245.60202536537957</v>
      </c>
      <c r="AH16" s="2">
        <f t="shared" si="60"/>
        <v>245.98458269233748</v>
      </c>
    </row>
    <row r="17" spans="1:34">
      <c r="A17" t="str">
        <f t="shared" si="61"/>
        <v>Sorghum</v>
      </c>
      <c r="B17" t="str">
        <f t="shared" si="62"/>
        <v>Gumuz</v>
      </c>
      <c r="C17" s="2">
        <f>'Target Price'!C17+TargetConsumption!C17*DemSlope!C17</f>
        <v>199.93624970517715</v>
      </c>
      <c r="D17" s="2">
        <f>'Target Price'!D17+TargetConsumption!D17*DemSlope!D17</f>
        <v>212.5656254103958</v>
      </c>
      <c r="E17" s="2">
        <f t="shared" si="31"/>
        <v>201.93561220222892</v>
      </c>
      <c r="F17" s="2">
        <f t="shared" si="32"/>
        <v>214.69128166449977</v>
      </c>
      <c r="G17" s="2">
        <f t="shared" si="33"/>
        <v>203.95496832425121</v>
      </c>
      <c r="H17" s="2">
        <f t="shared" si="34"/>
        <v>216.83819448114477</v>
      </c>
      <c r="I17" s="2">
        <f t="shared" si="35"/>
        <v>205.99451800749372</v>
      </c>
      <c r="J17" s="2">
        <f t="shared" si="36"/>
        <v>219.00657642595621</v>
      </c>
      <c r="K17" s="2">
        <f t="shared" si="37"/>
        <v>208.05446318756867</v>
      </c>
      <c r="L17" s="2">
        <f t="shared" si="38"/>
        <v>221.19664219021578</v>
      </c>
      <c r="M17" s="2">
        <f t="shared" si="39"/>
        <v>210.13500781944435</v>
      </c>
      <c r="N17" s="2">
        <f t="shared" si="40"/>
        <v>223.40860861211794</v>
      </c>
      <c r="O17" s="2">
        <f t="shared" si="41"/>
        <v>212.23635789763881</v>
      </c>
      <c r="P17" s="2">
        <f t="shared" si="42"/>
        <v>225.64269469823913</v>
      </c>
      <c r="Q17" s="2">
        <f t="shared" si="43"/>
        <v>214.35872147661519</v>
      </c>
      <c r="R17" s="2">
        <f t="shared" si="44"/>
        <v>227.89912164522153</v>
      </c>
      <c r="S17" s="2">
        <f t="shared" si="45"/>
        <v>216.50230869138133</v>
      </c>
      <c r="T17" s="2">
        <f t="shared" si="46"/>
        <v>230.17811286167375</v>
      </c>
      <c r="U17" s="2">
        <f t="shared" si="47"/>
        <v>218.66733177829514</v>
      </c>
      <c r="V17" s="2">
        <f t="shared" si="48"/>
        <v>232.47989399029049</v>
      </c>
      <c r="W17" s="2">
        <f t="shared" si="49"/>
        <v>220.85400509607808</v>
      </c>
      <c r="X17" s="2">
        <f t="shared" si="50"/>
        <v>234.8046929301934</v>
      </c>
      <c r="Y17" s="2">
        <f t="shared" si="51"/>
        <v>223.06254514703886</v>
      </c>
      <c r="Z17" s="2">
        <f t="shared" si="52"/>
        <v>237.15273985949534</v>
      </c>
      <c r="AA17" s="2">
        <f t="shared" si="53"/>
        <v>225.29317059850925</v>
      </c>
      <c r="AB17" s="2">
        <f t="shared" si="54"/>
        <v>239.5242672580903</v>
      </c>
      <c r="AC17" s="2">
        <f t="shared" si="55"/>
        <v>227.54610230449435</v>
      </c>
      <c r="AD17" s="2">
        <f t="shared" si="56"/>
        <v>241.91950993067121</v>
      </c>
      <c r="AE17" s="2">
        <f t="shared" si="57"/>
        <v>229.82156332753931</v>
      </c>
      <c r="AF17" s="2">
        <f t="shared" si="58"/>
        <v>244.33870502997792</v>
      </c>
      <c r="AG17" s="2">
        <f t="shared" si="59"/>
        <v>232.1197789608147</v>
      </c>
      <c r="AH17" s="2">
        <f t="shared" si="60"/>
        <v>246.78209208027769</v>
      </c>
    </row>
    <row r="18" spans="1:34">
      <c r="A18" t="str">
        <f t="shared" si="61"/>
        <v>Sorghum</v>
      </c>
      <c r="B18" t="str">
        <f t="shared" si="62"/>
        <v>DireDawa</v>
      </c>
      <c r="C18" s="2">
        <f>'Target Price'!C18+TargetConsumption!C18*DemSlope!C18</f>
        <v>173.59603917589885</v>
      </c>
      <c r="D18" s="2">
        <f>'Target Price'!D18+TargetConsumption!D18*DemSlope!D18</f>
        <v>229.88167370809037</v>
      </c>
      <c r="E18" s="2">
        <f t="shared" si="31"/>
        <v>175.33199956765785</v>
      </c>
      <c r="F18" s="2">
        <f t="shared" si="32"/>
        <v>232.18049044517127</v>
      </c>
      <c r="G18" s="2">
        <f t="shared" si="33"/>
        <v>177.08531956333442</v>
      </c>
      <c r="H18" s="2">
        <f t="shared" si="34"/>
        <v>234.50229534962298</v>
      </c>
      <c r="I18" s="2">
        <f t="shared" si="35"/>
        <v>178.85617275896777</v>
      </c>
      <c r="J18" s="2">
        <f t="shared" si="36"/>
        <v>236.84731830311921</v>
      </c>
      <c r="K18" s="2">
        <f t="shared" si="37"/>
        <v>180.64473448655744</v>
      </c>
      <c r="L18" s="2">
        <f t="shared" si="38"/>
        <v>239.21579148615041</v>
      </c>
      <c r="M18" s="2">
        <f t="shared" si="39"/>
        <v>182.45118183142301</v>
      </c>
      <c r="N18" s="2">
        <f t="shared" si="40"/>
        <v>241.60794940101192</v>
      </c>
      <c r="O18" s="2">
        <f t="shared" si="41"/>
        <v>184.27569364973724</v>
      </c>
      <c r="P18" s="2">
        <f t="shared" si="42"/>
        <v>244.02402889502204</v>
      </c>
      <c r="Q18" s="2">
        <f t="shared" si="43"/>
        <v>186.11845058623462</v>
      </c>
      <c r="R18" s="2">
        <f t="shared" si="44"/>
        <v>246.46426918397228</v>
      </c>
      <c r="S18" s="2">
        <f t="shared" si="45"/>
        <v>187.97963509209697</v>
      </c>
      <c r="T18" s="2">
        <f t="shared" si="46"/>
        <v>248.92891187581199</v>
      </c>
      <c r="U18" s="2">
        <f t="shared" si="47"/>
        <v>189.85943144301794</v>
      </c>
      <c r="V18" s="2">
        <f t="shared" si="48"/>
        <v>251.4182009945701</v>
      </c>
      <c r="W18" s="2">
        <f t="shared" si="49"/>
        <v>191.75802575744811</v>
      </c>
      <c r="X18" s="2">
        <f t="shared" si="50"/>
        <v>253.9323830045158</v>
      </c>
      <c r="Y18" s="2">
        <f t="shared" si="51"/>
        <v>193.67560601502259</v>
      </c>
      <c r="Z18" s="2">
        <f t="shared" si="52"/>
        <v>256.47170683456096</v>
      </c>
      <c r="AA18" s="2">
        <f t="shared" si="53"/>
        <v>195.61236207517283</v>
      </c>
      <c r="AB18" s="2">
        <f t="shared" si="54"/>
        <v>259.03642390290656</v>
      </c>
      <c r="AC18" s="2">
        <f t="shared" si="55"/>
        <v>197.56848569592455</v>
      </c>
      <c r="AD18" s="2">
        <f t="shared" si="56"/>
        <v>261.62678814193561</v>
      </c>
      <c r="AE18" s="2">
        <f t="shared" si="57"/>
        <v>199.5441705528838</v>
      </c>
      <c r="AF18" s="2">
        <f t="shared" si="58"/>
        <v>264.24305602335494</v>
      </c>
      <c r="AG18" s="2">
        <f t="shared" si="59"/>
        <v>201.53961225841263</v>
      </c>
      <c r="AH18" s="2">
        <f t="shared" si="60"/>
        <v>266.88548658358849</v>
      </c>
    </row>
    <row r="19" spans="1:34">
      <c r="A19" t="str">
        <f t="shared" si="61"/>
        <v>Sorghum</v>
      </c>
      <c r="B19" t="str">
        <f t="shared" si="62"/>
        <v>Gambela</v>
      </c>
      <c r="C19" s="2">
        <f>'Target Price'!C19+TargetConsumption!C19*DemSlope!C19</f>
        <v>217.77666394195734</v>
      </c>
      <c r="D19" s="2">
        <f>'Target Price'!D19+TargetConsumption!D19*DemSlope!D19</f>
        <v>234.55285681977657</v>
      </c>
      <c r="E19" s="2">
        <f t="shared" si="31"/>
        <v>219.95443058137693</v>
      </c>
      <c r="F19" s="2">
        <f t="shared" si="32"/>
        <v>236.89838538797434</v>
      </c>
      <c r="G19" s="2">
        <f t="shared" si="33"/>
        <v>222.15397488719069</v>
      </c>
      <c r="H19" s="2">
        <f t="shared" si="34"/>
        <v>239.26736924185408</v>
      </c>
      <c r="I19" s="2">
        <f t="shared" si="35"/>
        <v>224.3755146360626</v>
      </c>
      <c r="J19" s="2">
        <f t="shared" si="36"/>
        <v>241.66004293427264</v>
      </c>
      <c r="K19" s="2">
        <f t="shared" si="37"/>
        <v>226.61926978242323</v>
      </c>
      <c r="L19" s="2">
        <f t="shared" si="38"/>
        <v>244.07664336361537</v>
      </c>
      <c r="M19" s="2">
        <f t="shared" si="39"/>
        <v>228.88546248024747</v>
      </c>
      <c r="N19" s="2">
        <f t="shared" si="40"/>
        <v>246.51740979725153</v>
      </c>
      <c r="O19" s="2">
        <f t="shared" si="41"/>
        <v>231.17431710504994</v>
      </c>
      <c r="P19" s="2">
        <f t="shared" si="42"/>
        <v>248.98258389522405</v>
      </c>
      <c r="Q19" s="2">
        <f t="shared" si="43"/>
        <v>233.48606027610043</v>
      </c>
      <c r="R19" s="2">
        <f t="shared" si="44"/>
        <v>251.4724097341763</v>
      </c>
      <c r="S19" s="2">
        <f t="shared" si="45"/>
        <v>235.82092087886144</v>
      </c>
      <c r="T19" s="2">
        <f t="shared" si="46"/>
        <v>253.98713383151807</v>
      </c>
      <c r="U19" s="2">
        <f t="shared" si="47"/>
        <v>238.17913008765007</v>
      </c>
      <c r="V19" s="2">
        <f t="shared" si="48"/>
        <v>256.52700516983327</v>
      </c>
      <c r="W19" s="2">
        <f t="shared" si="49"/>
        <v>240.56092138852657</v>
      </c>
      <c r="X19" s="2">
        <f t="shared" si="50"/>
        <v>259.09227522153162</v>
      </c>
      <c r="Y19" s="2">
        <f t="shared" si="51"/>
        <v>242.96653060241184</v>
      </c>
      <c r="Z19" s="2">
        <f t="shared" si="52"/>
        <v>261.68319797374693</v>
      </c>
      <c r="AA19" s="2">
        <f t="shared" si="53"/>
        <v>245.39619590843597</v>
      </c>
      <c r="AB19" s="2">
        <f t="shared" si="54"/>
        <v>264.3000299534844</v>
      </c>
      <c r="AC19" s="2">
        <f t="shared" si="55"/>
        <v>247.85015786752032</v>
      </c>
      <c r="AD19" s="2">
        <f t="shared" si="56"/>
        <v>266.94303025301923</v>
      </c>
      <c r="AE19" s="2">
        <f t="shared" si="57"/>
        <v>250.32865944619553</v>
      </c>
      <c r="AF19" s="2">
        <f t="shared" si="58"/>
        <v>269.61246055554943</v>
      </c>
      <c r="AG19" s="2">
        <f t="shared" si="59"/>
        <v>252.8319460406575</v>
      </c>
      <c r="AH19" s="2">
        <f t="shared" si="60"/>
        <v>272.30858516110493</v>
      </c>
    </row>
    <row r="20" spans="1:34">
      <c r="A20" t="str">
        <f t="shared" si="61"/>
        <v>Sorghum</v>
      </c>
      <c r="B20" t="str">
        <f t="shared" si="62"/>
        <v>Harari</v>
      </c>
      <c r="C20" s="2">
        <f>'Target Price'!C20+TargetConsumption!C20*DemSlope!C20</f>
        <v>213.79391813844057</v>
      </c>
      <c r="D20" s="2">
        <f>'Target Price'!D20+TargetConsumption!D20*DemSlope!D20</f>
        <v>236.3010082846439</v>
      </c>
      <c r="E20" s="2">
        <f t="shared" si="31"/>
        <v>215.93185731982499</v>
      </c>
      <c r="F20" s="2">
        <f t="shared" si="32"/>
        <v>238.66401836749034</v>
      </c>
      <c r="G20" s="2">
        <f t="shared" si="33"/>
        <v>218.09117589302323</v>
      </c>
      <c r="H20" s="2">
        <f t="shared" si="34"/>
        <v>241.05065855116524</v>
      </c>
      <c r="I20" s="2">
        <f t="shared" si="35"/>
        <v>220.27208765195346</v>
      </c>
      <c r="J20" s="2">
        <f t="shared" si="36"/>
        <v>243.4611651366769</v>
      </c>
      <c r="K20" s="2">
        <f t="shared" si="37"/>
        <v>222.47480852847301</v>
      </c>
      <c r="L20" s="2">
        <f t="shared" si="38"/>
        <v>245.89577678804366</v>
      </c>
      <c r="M20" s="2">
        <f t="shared" si="39"/>
        <v>224.69955661375775</v>
      </c>
      <c r="N20" s="2">
        <f t="shared" si="40"/>
        <v>248.3547345559241</v>
      </c>
      <c r="O20" s="2">
        <f t="shared" si="41"/>
        <v>226.94655217989532</v>
      </c>
      <c r="P20" s="2">
        <f t="shared" si="42"/>
        <v>250.83828190148333</v>
      </c>
      <c r="Q20" s="2">
        <f t="shared" si="43"/>
        <v>229.21601770169428</v>
      </c>
      <c r="R20" s="2">
        <f t="shared" si="44"/>
        <v>253.34666472049815</v>
      </c>
      <c r="S20" s="2">
        <f t="shared" si="45"/>
        <v>231.50817787871122</v>
      </c>
      <c r="T20" s="2">
        <f t="shared" si="46"/>
        <v>255.88013136770314</v>
      </c>
      <c r="U20" s="2">
        <f t="shared" si="47"/>
        <v>233.82325965749834</v>
      </c>
      <c r="V20" s="2">
        <f t="shared" si="48"/>
        <v>258.43893268138015</v>
      </c>
      <c r="W20" s="2">
        <f t="shared" si="49"/>
        <v>236.16149225407332</v>
      </c>
      <c r="X20" s="2">
        <f t="shared" si="50"/>
        <v>261.02332200819393</v>
      </c>
      <c r="Y20" s="2">
        <f t="shared" si="51"/>
        <v>238.52310717661405</v>
      </c>
      <c r="Z20" s="2">
        <f t="shared" si="52"/>
        <v>263.6335552282759</v>
      </c>
      <c r="AA20" s="2">
        <f t="shared" si="53"/>
        <v>240.9083382483802</v>
      </c>
      <c r="AB20" s="2">
        <f t="shared" si="54"/>
        <v>266.26989078055868</v>
      </c>
      <c r="AC20" s="2">
        <f t="shared" si="55"/>
        <v>243.317421630864</v>
      </c>
      <c r="AD20" s="2">
        <f t="shared" si="56"/>
        <v>268.93258968836426</v>
      </c>
      <c r="AE20" s="2">
        <f t="shared" si="57"/>
        <v>245.75059584717263</v>
      </c>
      <c r="AF20" s="2">
        <f t="shared" si="58"/>
        <v>271.6219155852479</v>
      </c>
      <c r="AG20" s="2">
        <f t="shared" si="59"/>
        <v>248.20810180564436</v>
      </c>
      <c r="AH20" s="2">
        <f t="shared" si="60"/>
        <v>274.33813474110036</v>
      </c>
    </row>
    <row r="21" spans="1:34">
      <c r="A21" t="str">
        <f t="shared" si="61"/>
        <v>Sorghum</v>
      </c>
      <c r="B21" t="str">
        <f t="shared" si="62"/>
        <v>Oromia</v>
      </c>
      <c r="C21" s="2">
        <f>'Target Price'!C21+TargetConsumption!C21*DemSlope!C21</f>
        <v>177.86803602728708</v>
      </c>
      <c r="D21" s="2">
        <f>'Target Price'!D21+TargetConsumption!D21*DemSlope!D21</f>
        <v>222.15695482870115</v>
      </c>
      <c r="E21" s="2">
        <f t="shared" si="31"/>
        <v>179.64671638755993</v>
      </c>
      <c r="F21" s="2">
        <f t="shared" si="32"/>
        <v>224.37852437698817</v>
      </c>
      <c r="G21" s="2">
        <f t="shared" si="33"/>
        <v>181.44318355143554</v>
      </c>
      <c r="H21" s="2">
        <f t="shared" si="34"/>
        <v>226.62230962075805</v>
      </c>
      <c r="I21" s="2">
        <f t="shared" si="35"/>
        <v>183.25761538694991</v>
      </c>
      <c r="J21" s="2">
        <f t="shared" si="36"/>
        <v>228.88853271696564</v>
      </c>
      <c r="K21" s="2">
        <f t="shared" si="37"/>
        <v>185.0901915408194</v>
      </c>
      <c r="L21" s="2">
        <f t="shared" si="38"/>
        <v>231.17741804413529</v>
      </c>
      <c r="M21" s="2">
        <f t="shared" si="39"/>
        <v>186.94109345622761</v>
      </c>
      <c r="N21" s="2">
        <f t="shared" si="40"/>
        <v>233.48919222457664</v>
      </c>
      <c r="O21" s="2">
        <f t="shared" si="41"/>
        <v>188.81050439078987</v>
      </c>
      <c r="P21" s="2">
        <f t="shared" si="42"/>
        <v>235.8240841468224</v>
      </c>
      <c r="Q21" s="2">
        <f t="shared" si="43"/>
        <v>190.69860943469777</v>
      </c>
      <c r="R21" s="2">
        <f t="shared" si="44"/>
        <v>238.18232498829062</v>
      </c>
      <c r="S21" s="2">
        <f t="shared" si="45"/>
        <v>192.60559552904476</v>
      </c>
      <c r="T21" s="2">
        <f t="shared" si="46"/>
        <v>240.56414823817352</v>
      </c>
      <c r="U21" s="2">
        <f t="shared" si="47"/>
        <v>194.53165148433521</v>
      </c>
      <c r="V21" s="2">
        <f t="shared" si="48"/>
        <v>242.96978972055524</v>
      </c>
      <c r="W21" s="2">
        <f t="shared" si="49"/>
        <v>196.47696799917856</v>
      </c>
      <c r="X21" s="2">
        <f t="shared" si="50"/>
        <v>245.3994876177608</v>
      </c>
      <c r="Y21" s="2">
        <f t="shared" si="51"/>
        <v>198.44173767917033</v>
      </c>
      <c r="Z21" s="2">
        <f t="shared" si="52"/>
        <v>247.8534824939384</v>
      </c>
      <c r="AA21" s="2">
        <f t="shared" si="53"/>
        <v>200.42615505596203</v>
      </c>
      <c r="AB21" s="2">
        <f t="shared" si="54"/>
        <v>250.33201731887777</v>
      </c>
      <c r="AC21" s="2">
        <f t="shared" si="55"/>
        <v>202.43041660652165</v>
      </c>
      <c r="AD21" s="2">
        <f t="shared" si="56"/>
        <v>252.83533749206654</v>
      </c>
      <c r="AE21" s="2">
        <f t="shared" si="57"/>
        <v>204.45472077258685</v>
      </c>
      <c r="AF21" s="2">
        <f t="shared" si="58"/>
        <v>255.36369086698721</v>
      </c>
      <c r="AG21" s="2">
        <f t="shared" si="59"/>
        <v>206.49926798031274</v>
      </c>
      <c r="AH21" s="2">
        <f t="shared" si="60"/>
        <v>257.9173277756571</v>
      </c>
    </row>
    <row r="22" spans="1:34">
      <c r="A22" t="str">
        <f t="shared" si="61"/>
        <v>Sorghum</v>
      </c>
      <c r="B22" t="str">
        <f t="shared" si="62"/>
        <v>Somali</v>
      </c>
      <c r="C22" s="2">
        <f>'Target Price'!C22+TargetConsumption!C22*DemSlope!C22</f>
        <v>204.73045088924778</v>
      </c>
      <c r="D22" s="2">
        <f>'Target Price'!D22+TargetConsumption!D22*DemSlope!D22</f>
        <v>219.27770408361226</v>
      </c>
      <c r="E22" s="2">
        <f t="shared" si="31"/>
        <v>206.77775539814024</v>
      </c>
      <c r="F22" s="2">
        <f t="shared" si="32"/>
        <v>221.47048112444838</v>
      </c>
      <c r="G22" s="2">
        <f t="shared" si="33"/>
        <v>208.84553295212166</v>
      </c>
      <c r="H22" s="2">
        <f t="shared" si="34"/>
        <v>223.68518593569286</v>
      </c>
      <c r="I22" s="2">
        <f t="shared" si="35"/>
        <v>210.93398828164288</v>
      </c>
      <c r="J22" s="2">
        <f t="shared" si="36"/>
        <v>225.92203779504979</v>
      </c>
      <c r="K22" s="2">
        <f t="shared" si="37"/>
        <v>213.04332816445933</v>
      </c>
      <c r="L22" s="2">
        <f t="shared" si="38"/>
        <v>228.18125817300029</v>
      </c>
      <c r="M22" s="2">
        <f t="shared" si="39"/>
        <v>215.17376144610392</v>
      </c>
      <c r="N22" s="2">
        <f t="shared" si="40"/>
        <v>230.4630707547303</v>
      </c>
      <c r="O22" s="2">
        <f t="shared" si="41"/>
        <v>217.32549906056497</v>
      </c>
      <c r="P22" s="2">
        <f t="shared" si="42"/>
        <v>232.76770146227761</v>
      </c>
      <c r="Q22" s="2">
        <f t="shared" si="43"/>
        <v>219.49875405117061</v>
      </c>
      <c r="R22" s="2">
        <f t="shared" si="44"/>
        <v>235.09537847690038</v>
      </c>
      <c r="S22" s="2">
        <f t="shared" si="45"/>
        <v>221.69374159168231</v>
      </c>
      <c r="T22" s="2">
        <f t="shared" si="46"/>
        <v>237.4463322616694</v>
      </c>
      <c r="U22" s="2">
        <f t="shared" si="47"/>
        <v>223.91067900759913</v>
      </c>
      <c r="V22" s="2">
        <f t="shared" si="48"/>
        <v>239.82079558428609</v>
      </c>
      <c r="W22" s="2">
        <f t="shared" si="49"/>
        <v>226.14978579767512</v>
      </c>
      <c r="X22" s="2">
        <f t="shared" si="50"/>
        <v>242.21900354012894</v>
      </c>
      <c r="Y22" s="2">
        <f t="shared" si="51"/>
        <v>228.41128365565189</v>
      </c>
      <c r="Z22" s="2">
        <f t="shared" si="52"/>
        <v>244.64119357553022</v>
      </c>
      <c r="AA22" s="2">
        <f t="shared" si="53"/>
        <v>230.6953964922084</v>
      </c>
      <c r="AB22" s="2">
        <f t="shared" si="54"/>
        <v>247.08760551128552</v>
      </c>
      <c r="AC22" s="2">
        <f t="shared" si="55"/>
        <v>233.00235045713049</v>
      </c>
      <c r="AD22" s="2">
        <f t="shared" si="56"/>
        <v>249.55848156639837</v>
      </c>
      <c r="AE22" s="2">
        <f t="shared" si="57"/>
        <v>235.33237396170179</v>
      </c>
      <c r="AF22" s="2">
        <f t="shared" si="58"/>
        <v>252.05406638206236</v>
      </c>
      <c r="AG22" s="2">
        <f t="shared" si="59"/>
        <v>237.68569770131882</v>
      </c>
      <c r="AH22" s="2">
        <f t="shared" si="60"/>
        <v>254.574607045883</v>
      </c>
    </row>
    <row r="23" spans="1:34">
      <c r="A23" t="str">
        <f t="shared" si="61"/>
        <v>Sorghum</v>
      </c>
      <c r="B23" t="str">
        <f t="shared" si="62"/>
        <v>SNNPR</v>
      </c>
      <c r="C23" s="2">
        <f>'Target Price'!C23+TargetConsumption!C23*DemSlope!C23</f>
        <v>211.35128359578295</v>
      </c>
      <c r="D23" s="2">
        <f>'Target Price'!D23+TargetConsumption!D23*DemSlope!D23</f>
        <v>218.05708562478242</v>
      </c>
      <c r="E23" s="2">
        <f t="shared" si="31"/>
        <v>213.46479643174078</v>
      </c>
      <c r="F23" s="2">
        <f t="shared" si="32"/>
        <v>220.23765648103026</v>
      </c>
      <c r="G23" s="2">
        <f t="shared" si="33"/>
        <v>215.5994443960582</v>
      </c>
      <c r="H23" s="2">
        <f t="shared" si="34"/>
        <v>222.44003304584055</v>
      </c>
      <c r="I23" s="2">
        <f t="shared" si="35"/>
        <v>217.7554388400188</v>
      </c>
      <c r="J23" s="2">
        <f t="shared" si="36"/>
        <v>224.66443337629894</v>
      </c>
      <c r="K23" s="2">
        <f t="shared" si="37"/>
        <v>219.93299322841898</v>
      </c>
      <c r="L23" s="2">
        <f t="shared" si="38"/>
        <v>226.91107771006193</v>
      </c>
      <c r="M23" s="2">
        <f t="shared" si="39"/>
        <v>222.13232316070318</v>
      </c>
      <c r="N23" s="2">
        <f t="shared" si="40"/>
        <v>229.18018848716255</v>
      </c>
      <c r="O23" s="2">
        <f t="shared" si="41"/>
        <v>224.35364639231022</v>
      </c>
      <c r="P23" s="2">
        <f t="shared" si="42"/>
        <v>231.47199037203418</v>
      </c>
      <c r="Q23" s="2">
        <f t="shared" si="43"/>
        <v>226.59718285623333</v>
      </c>
      <c r="R23" s="2">
        <f t="shared" si="44"/>
        <v>233.78671027575453</v>
      </c>
      <c r="S23" s="2">
        <f t="shared" si="45"/>
        <v>228.86315468479566</v>
      </c>
      <c r="T23" s="2">
        <f t="shared" si="46"/>
        <v>236.12457737851207</v>
      </c>
      <c r="U23" s="2">
        <f t="shared" si="47"/>
        <v>231.15178623164363</v>
      </c>
      <c r="V23" s="2">
        <f t="shared" si="48"/>
        <v>238.4858231522972</v>
      </c>
      <c r="W23" s="2">
        <f t="shared" si="49"/>
        <v>233.46330409396006</v>
      </c>
      <c r="X23" s="2">
        <f t="shared" si="50"/>
        <v>240.87068138382017</v>
      </c>
      <c r="Y23" s="2">
        <f t="shared" si="51"/>
        <v>235.79793713489966</v>
      </c>
      <c r="Z23" s="2">
        <f t="shared" si="52"/>
        <v>243.27938819765836</v>
      </c>
      <c r="AA23" s="2">
        <f t="shared" si="53"/>
        <v>238.15591650624864</v>
      </c>
      <c r="AB23" s="2">
        <f t="shared" si="54"/>
        <v>245.71218207963494</v>
      </c>
      <c r="AC23" s="2">
        <f t="shared" si="55"/>
        <v>240.53747567131114</v>
      </c>
      <c r="AD23" s="2">
        <f t="shared" si="56"/>
        <v>248.16930390043129</v>
      </c>
      <c r="AE23" s="2">
        <f t="shared" si="57"/>
        <v>242.94285042802426</v>
      </c>
      <c r="AF23" s="2">
        <f t="shared" si="58"/>
        <v>250.6509969394356</v>
      </c>
      <c r="AG23" s="2">
        <f t="shared" si="59"/>
        <v>245.37227893230451</v>
      </c>
      <c r="AH23" s="2">
        <f t="shared" si="60"/>
        <v>253.15750690882996</v>
      </c>
    </row>
    <row r="24" spans="1:34">
      <c r="A24" t="str">
        <f t="shared" si="61"/>
        <v>Sorghum</v>
      </c>
      <c r="B24" t="str">
        <f t="shared" si="62"/>
        <v>Tigray</v>
      </c>
      <c r="C24" s="2">
        <f>'Target Price'!C24+TargetConsumption!C24*DemSlope!C24</f>
        <v>196.5447597611128</v>
      </c>
      <c r="D24" s="2">
        <f>'Target Price'!D24+TargetConsumption!D24*DemSlope!D24</f>
        <v>224.94452056099166</v>
      </c>
      <c r="E24" s="2">
        <f t="shared" si="31"/>
        <v>198.51020735872393</v>
      </c>
      <c r="F24" s="2">
        <f t="shared" si="32"/>
        <v>227.19396576660159</v>
      </c>
      <c r="G24" s="2">
        <f t="shared" si="33"/>
        <v>200.49530943231116</v>
      </c>
      <c r="H24" s="2">
        <f t="shared" si="34"/>
        <v>229.46590542426762</v>
      </c>
      <c r="I24" s="2">
        <f t="shared" si="35"/>
        <v>202.50026252663429</v>
      </c>
      <c r="J24" s="2">
        <f t="shared" si="36"/>
        <v>231.7605644785103</v>
      </c>
      <c r="K24" s="2">
        <f t="shared" si="37"/>
        <v>204.52526515190064</v>
      </c>
      <c r="L24" s="2">
        <f t="shared" si="38"/>
        <v>234.07817012329542</v>
      </c>
      <c r="M24" s="2">
        <f t="shared" si="39"/>
        <v>206.57051780341965</v>
      </c>
      <c r="N24" s="2">
        <f t="shared" si="40"/>
        <v>236.41895182452839</v>
      </c>
      <c r="O24" s="2">
        <f t="shared" si="41"/>
        <v>208.63622298145384</v>
      </c>
      <c r="P24" s="2">
        <f t="shared" si="42"/>
        <v>238.78314134277369</v>
      </c>
      <c r="Q24" s="2">
        <f t="shared" si="43"/>
        <v>210.72258521126838</v>
      </c>
      <c r="R24" s="2">
        <f t="shared" si="44"/>
        <v>241.17097275620142</v>
      </c>
      <c r="S24" s="2">
        <f t="shared" si="45"/>
        <v>212.82981106338107</v>
      </c>
      <c r="T24" s="2">
        <f t="shared" si="46"/>
        <v>243.58268248376345</v>
      </c>
      <c r="U24" s="2">
        <f t="shared" si="47"/>
        <v>214.95810917401488</v>
      </c>
      <c r="V24" s="2">
        <f t="shared" si="48"/>
        <v>246.0185093086011</v>
      </c>
      <c r="W24" s="2">
        <f t="shared" si="49"/>
        <v>217.10769026575502</v>
      </c>
      <c r="X24" s="2">
        <f t="shared" si="50"/>
        <v>248.47869440168711</v>
      </c>
      <c r="Y24" s="2">
        <f t="shared" si="51"/>
        <v>219.27876716841257</v>
      </c>
      <c r="Z24" s="2">
        <f t="shared" si="52"/>
        <v>250.96348134570397</v>
      </c>
      <c r="AA24" s="2">
        <f t="shared" si="53"/>
        <v>221.4715548400967</v>
      </c>
      <c r="AB24" s="2">
        <f t="shared" si="54"/>
        <v>253.47311615916101</v>
      </c>
      <c r="AC24" s="2">
        <f t="shared" si="55"/>
        <v>223.68627038849766</v>
      </c>
      <c r="AD24" s="2">
        <f t="shared" si="56"/>
        <v>256.0078473207526</v>
      </c>
      <c r="AE24" s="2">
        <f t="shared" si="57"/>
        <v>225.92313309238264</v>
      </c>
      <c r="AF24" s="2">
        <f t="shared" si="58"/>
        <v>258.56792579396011</v>
      </c>
      <c r="AG24" s="2">
        <f t="shared" si="59"/>
        <v>228.18236442330647</v>
      </c>
      <c r="AH24" s="2">
        <f t="shared" si="60"/>
        <v>261.15360505189972</v>
      </c>
    </row>
    <row r="25" spans="1:34">
      <c r="A25" t="str">
        <f t="shared" si="61"/>
        <v>Maize</v>
      </c>
      <c r="B25" t="str">
        <f t="shared" si="62"/>
        <v>AddisAbaba</v>
      </c>
      <c r="C25" s="2">
        <f>'Target Price'!C25+TargetConsumption!C25*DemSlope!C25</f>
        <v>159.73492846848194</v>
      </c>
      <c r="D25" s="2">
        <f>'Target Price'!D25+TargetConsumption!D25*DemSlope!D25</f>
        <v>197.58396190371644</v>
      </c>
      <c r="E25" s="2">
        <f t="shared" si="31"/>
        <v>161.33227775316675</v>
      </c>
      <c r="F25" s="2">
        <f t="shared" si="32"/>
        <v>199.55980152275362</v>
      </c>
      <c r="G25" s="2">
        <f t="shared" si="33"/>
        <v>162.94560053069841</v>
      </c>
      <c r="H25" s="2">
        <f t="shared" si="34"/>
        <v>201.55539953798115</v>
      </c>
      <c r="I25" s="2">
        <f t="shared" si="35"/>
        <v>164.57505653600541</v>
      </c>
      <c r="J25" s="2">
        <f t="shared" si="36"/>
        <v>203.57095353336095</v>
      </c>
      <c r="K25" s="2">
        <f t="shared" si="37"/>
        <v>166.22080710136547</v>
      </c>
      <c r="L25" s="2">
        <f t="shared" si="38"/>
        <v>205.60666306869456</v>
      </c>
      <c r="M25" s="2">
        <f t="shared" si="39"/>
        <v>167.88301517237912</v>
      </c>
      <c r="N25" s="2">
        <f t="shared" si="40"/>
        <v>207.66272969938152</v>
      </c>
      <c r="O25" s="2">
        <f t="shared" si="41"/>
        <v>169.5618453241029</v>
      </c>
      <c r="P25" s="2">
        <f t="shared" si="42"/>
        <v>209.73935699637534</v>
      </c>
      <c r="Q25" s="2">
        <f t="shared" si="43"/>
        <v>171.25746377734393</v>
      </c>
      <c r="R25" s="2">
        <f t="shared" si="44"/>
        <v>211.83675056633908</v>
      </c>
      <c r="S25" s="2">
        <f t="shared" si="45"/>
        <v>172.97003841511736</v>
      </c>
      <c r="T25" s="2">
        <f t="shared" si="46"/>
        <v>213.95511807200248</v>
      </c>
      <c r="U25" s="2">
        <f t="shared" si="47"/>
        <v>174.69973879926854</v>
      </c>
      <c r="V25" s="2">
        <f t="shared" si="48"/>
        <v>216.0946692527225</v>
      </c>
      <c r="W25" s="2">
        <f t="shared" si="49"/>
        <v>176.44673618726122</v>
      </c>
      <c r="X25" s="2">
        <f t="shared" si="50"/>
        <v>218.25561594524973</v>
      </c>
      <c r="Y25" s="2">
        <f t="shared" si="51"/>
        <v>178.21120354913384</v>
      </c>
      <c r="Z25" s="2">
        <f t="shared" si="52"/>
        <v>220.43817210470223</v>
      </c>
      <c r="AA25" s="2">
        <f t="shared" si="53"/>
        <v>179.99331558462518</v>
      </c>
      <c r="AB25" s="2">
        <f t="shared" si="54"/>
        <v>222.64255382574925</v>
      </c>
      <c r="AC25" s="2">
        <f t="shared" si="55"/>
        <v>181.79324874047143</v>
      </c>
      <c r="AD25" s="2">
        <f t="shared" si="56"/>
        <v>224.86897936400675</v>
      </c>
      <c r="AE25" s="2">
        <f t="shared" si="57"/>
        <v>183.61118122787613</v>
      </c>
      <c r="AF25" s="2">
        <f t="shared" si="58"/>
        <v>227.11766915764682</v>
      </c>
      <c r="AG25" s="2">
        <f t="shared" si="59"/>
        <v>185.4472930401549</v>
      </c>
      <c r="AH25" s="2">
        <f t="shared" si="60"/>
        <v>229.38884584922329</v>
      </c>
    </row>
    <row r="26" spans="1:34">
      <c r="A26" t="str">
        <f t="shared" si="61"/>
        <v>Maize</v>
      </c>
      <c r="B26" t="str">
        <f t="shared" si="62"/>
        <v>Afar</v>
      </c>
      <c r="C26" s="2">
        <f>'Target Price'!C26+TargetConsumption!C26*DemSlope!C26</f>
        <v>162.78231497515145</v>
      </c>
      <c r="D26" s="2">
        <f>'Target Price'!D26+TargetConsumption!D26*DemSlope!D26</f>
        <v>202.33931850017234</v>
      </c>
      <c r="E26" s="2">
        <f t="shared" si="31"/>
        <v>164.41013812490297</v>
      </c>
      <c r="F26" s="2">
        <f t="shared" si="32"/>
        <v>204.36271168517408</v>
      </c>
      <c r="G26" s="2">
        <f t="shared" si="33"/>
        <v>166.05423950615202</v>
      </c>
      <c r="H26" s="2">
        <f t="shared" si="34"/>
        <v>206.40633880202583</v>
      </c>
      <c r="I26" s="2">
        <f t="shared" si="35"/>
        <v>167.71478190121354</v>
      </c>
      <c r="J26" s="2">
        <f t="shared" si="36"/>
        <v>208.47040219004609</v>
      </c>
      <c r="K26" s="2">
        <f t="shared" si="37"/>
        <v>169.39192972022568</v>
      </c>
      <c r="L26" s="2">
        <f t="shared" si="38"/>
        <v>210.55510621194654</v>
      </c>
      <c r="M26" s="2">
        <f t="shared" si="39"/>
        <v>171.08584901742793</v>
      </c>
      <c r="N26" s="2">
        <f t="shared" si="40"/>
        <v>212.66065727406601</v>
      </c>
      <c r="O26" s="2">
        <f t="shared" si="41"/>
        <v>172.79670750760221</v>
      </c>
      <c r="P26" s="2">
        <f t="shared" si="42"/>
        <v>214.78726384680667</v>
      </c>
      <c r="Q26" s="2">
        <f t="shared" si="43"/>
        <v>174.52467458267824</v>
      </c>
      <c r="R26" s="2">
        <f t="shared" si="44"/>
        <v>216.93513648527474</v>
      </c>
      <c r="S26" s="2">
        <f t="shared" si="45"/>
        <v>176.26992132850503</v>
      </c>
      <c r="T26" s="2">
        <f t="shared" si="46"/>
        <v>219.1044878501275</v>
      </c>
      <c r="U26" s="2">
        <f t="shared" si="47"/>
        <v>178.0326205417901</v>
      </c>
      <c r="V26" s="2">
        <f t="shared" si="48"/>
        <v>221.29553272862879</v>
      </c>
      <c r="W26" s="2">
        <f t="shared" si="49"/>
        <v>179.812946747208</v>
      </c>
      <c r="X26" s="2">
        <f t="shared" si="50"/>
        <v>223.50848805591508</v>
      </c>
      <c r="Y26" s="2">
        <f t="shared" si="51"/>
        <v>181.61107621468008</v>
      </c>
      <c r="Z26" s="2">
        <f t="shared" si="52"/>
        <v>225.74357293647424</v>
      </c>
      <c r="AA26" s="2">
        <f t="shared" si="53"/>
        <v>183.42718697682687</v>
      </c>
      <c r="AB26" s="2">
        <f t="shared" si="54"/>
        <v>228.00100866583898</v>
      </c>
      <c r="AC26" s="2">
        <f t="shared" si="55"/>
        <v>185.26145884659513</v>
      </c>
      <c r="AD26" s="2">
        <f t="shared" si="56"/>
        <v>230.28101875249737</v>
      </c>
      <c r="AE26" s="2">
        <f t="shared" si="57"/>
        <v>187.11407343506107</v>
      </c>
      <c r="AF26" s="2">
        <f t="shared" si="58"/>
        <v>232.58382894002236</v>
      </c>
      <c r="AG26" s="2">
        <f t="shared" si="59"/>
        <v>188.98521416941168</v>
      </c>
      <c r="AH26" s="2">
        <f t="shared" si="60"/>
        <v>234.90966722942258</v>
      </c>
    </row>
    <row r="27" spans="1:34">
      <c r="A27" t="str">
        <f t="shared" si="61"/>
        <v>Maize</v>
      </c>
      <c r="B27" t="str">
        <f t="shared" si="62"/>
        <v>Amhara</v>
      </c>
      <c r="C27" s="2">
        <f>'Target Price'!C27+TargetConsumption!C27*DemSlope!C27</f>
        <v>160.01644395884415</v>
      </c>
      <c r="D27" s="2">
        <f>'Target Price'!D27+TargetConsumption!D27*DemSlope!D27</f>
        <v>208.08380513034771</v>
      </c>
      <c r="E27" s="2">
        <f t="shared" si="31"/>
        <v>161.61660839843259</v>
      </c>
      <c r="F27" s="2">
        <f t="shared" si="32"/>
        <v>210.1646431816512</v>
      </c>
      <c r="G27" s="2">
        <f t="shared" si="33"/>
        <v>163.23277448241691</v>
      </c>
      <c r="H27" s="2">
        <f t="shared" si="34"/>
        <v>212.26628961346771</v>
      </c>
      <c r="I27" s="2">
        <f t="shared" si="35"/>
        <v>164.8651022272411</v>
      </c>
      <c r="J27" s="2">
        <f t="shared" si="36"/>
        <v>214.38895250960238</v>
      </c>
      <c r="K27" s="2">
        <f t="shared" si="37"/>
        <v>166.51375324951351</v>
      </c>
      <c r="L27" s="2">
        <f t="shared" si="38"/>
        <v>216.5328420346984</v>
      </c>
      <c r="M27" s="2">
        <f t="shared" si="39"/>
        <v>168.17889078200864</v>
      </c>
      <c r="N27" s="2">
        <f t="shared" si="40"/>
        <v>218.69817045504539</v>
      </c>
      <c r="O27" s="2">
        <f t="shared" si="41"/>
        <v>169.86067968982871</v>
      </c>
      <c r="P27" s="2">
        <f t="shared" si="42"/>
        <v>220.88515215959583</v>
      </c>
      <c r="Q27" s="2">
        <f t="shared" si="43"/>
        <v>171.55928648672699</v>
      </c>
      <c r="R27" s="2">
        <f t="shared" si="44"/>
        <v>223.09400368119179</v>
      </c>
      <c r="S27" s="2">
        <f t="shared" si="45"/>
        <v>173.27487935159425</v>
      </c>
      <c r="T27" s="2">
        <f t="shared" si="46"/>
        <v>225.32494371800371</v>
      </c>
      <c r="U27" s="2">
        <f t="shared" si="47"/>
        <v>175.0076281451102</v>
      </c>
      <c r="V27" s="2">
        <f t="shared" si="48"/>
        <v>227.57819315518375</v>
      </c>
      <c r="W27" s="2">
        <f t="shared" si="49"/>
        <v>176.7577044265613</v>
      </c>
      <c r="X27" s="2">
        <f t="shared" si="50"/>
        <v>229.8539750867356</v>
      </c>
      <c r="Y27" s="2">
        <f t="shared" si="51"/>
        <v>178.52528147082691</v>
      </c>
      <c r="Z27" s="2">
        <f t="shared" si="52"/>
        <v>232.15251483760295</v>
      </c>
      <c r="AA27" s="2">
        <f t="shared" si="53"/>
        <v>180.31053428553517</v>
      </c>
      <c r="AB27" s="2">
        <f t="shared" si="54"/>
        <v>234.47403998597898</v>
      </c>
      <c r="AC27" s="2">
        <f t="shared" si="55"/>
        <v>182.11363962839053</v>
      </c>
      <c r="AD27" s="2">
        <f t="shared" si="56"/>
        <v>236.81878038583878</v>
      </c>
      <c r="AE27" s="2">
        <f t="shared" si="57"/>
        <v>183.93477602467445</v>
      </c>
      <c r="AF27" s="2">
        <f t="shared" si="58"/>
        <v>239.18696818969715</v>
      </c>
      <c r="AG27" s="2">
        <f t="shared" si="59"/>
        <v>185.77412378492119</v>
      </c>
      <c r="AH27" s="2">
        <f t="shared" si="60"/>
        <v>241.57883787159412</v>
      </c>
    </row>
    <row r="28" spans="1:34">
      <c r="A28" t="str">
        <f t="shared" si="61"/>
        <v>Maize</v>
      </c>
      <c r="B28" t="str">
        <f t="shared" si="62"/>
        <v>Gumuz</v>
      </c>
      <c r="C28" s="2">
        <f>'Target Price'!C28+TargetConsumption!C28*DemSlope!C28</f>
        <v>160.2989671518682</v>
      </c>
      <c r="D28" s="2">
        <f>'Target Price'!D28+TargetConsumption!D28*DemSlope!D28</f>
        <v>209.94905719980184</v>
      </c>
      <c r="E28" s="2">
        <f t="shared" si="31"/>
        <v>161.90195682338688</v>
      </c>
      <c r="F28" s="2">
        <f t="shared" si="32"/>
        <v>212.04854777179986</v>
      </c>
      <c r="G28" s="2">
        <f t="shared" si="33"/>
        <v>163.52097639162076</v>
      </c>
      <c r="H28" s="2">
        <f t="shared" si="34"/>
        <v>214.16903324951787</v>
      </c>
      <c r="I28" s="2">
        <f t="shared" si="35"/>
        <v>165.15618615553697</v>
      </c>
      <c r="J28" s="2">
        <f t="shared" si="36"/>
        <v>216.31072358201305</v>
      </c>
      <c r="K28" s="2">
        <f t="shared" si="37"/>
        <v>166.80774801709234</v>
      </c>
      <c r="L28" s="2">
        <f t="shared" si="38"/>
        <v>218.47383081783317</v>
      </c>
      <c r="M28" s="2">
        <f t="shared" si="39"/>
        <v>168.47582549726326</v>
      </c>
      <c r="N28" s="2">
        <f t="shared" si="40"/>
        <v>220.65856912601151</v>
      </c>
      <c r="O28" s="2">
        <f t="shared" si="41"/>
        <v>170.16058375223588</v>
      </c>
      <c r="P28" s="2">
        <f t="shared" si="42"/>
        <v>222.86515481727164</v>
      </c>
      <c r="Q28" s="2">
        <f t="shared" si="43"/>
        <v>171.86218958975823</v>
      </c>
      <c r="R28" s="2">
        <f t="shared" si="44"/>
        <v>225.09380636544435</v>
      </c>
      <c r="S28" s="2">
        <f t="shared" si="45"/>
        <v>173.5808114856558</v>
      </c>
      <c r="T28" s="2">
        <f t="shared" si="46"/>
        <v>227.3447444290988</v>
      </c>
      <c r="U28" s="2">
        <f t="shared" si="47"/>
        <v>175.31661960051235</v>
      </c>
      <c r="V28" s="2">
        <f t="shared" si="48"/>
        <v>229.61819187338978</v>
      </c>
      <c r="W28" s="2">
        <f t="shared" si="49"/>
        <v>177.06978579651746</v>
      </c>
      <c r="X28" s="2">
        <f t="shared" si="50"/>
        <v>231.91437379212368</v>
      </c>
      <c r="Y28" s="2">
        <f t="shared" si="51"/>
        <v>178.84048365448265</v>
      </c>
      <c r="Z28" s="2">
        <f t="shared" si="52"/>
        <v>234.23351753004494</v>
      </c>
      <c r="AA28" s="2">
        <f t="shared" si="53"/>
        <v>180.62888849102748</v>
      </c>
      <c r="AB28" s="2">
        <f t="shared" si="54"/>
        <v>236.5758527053454</v>
      </c>
      <c r="AC28" s="2">
        <f t="shared" si="55"/>
        <v>182.43517737593777</v>
      </c>
      <c r="AD28" s="2">
        <f t="shared" si="56"/>
        <v>238.94161123239886</v>
      </c>
      <c r="AE28" s="2">
        <f t="shared" si="57"/>
        <v>184.25952914969716</v>
      </c>
      <c r="AF28" s="2">
        <f t="shared" si="58"/>
        <v>241.33102734472286</v>
      </c>
      <c r="AG28" s="2">
        <f t="shared" si="59"/>
        <v>186.10212444119412</v>
      </c>
      <c r="AH28" s="2">
        <f t="shared" si="60"/>
        <v>243.74433761817008</v>
      </c>
    </row>
    <row r="29" spans="1:34">
      <c r="A29" t="str">
        <f t="shared" si="61"/>
        <v>Maize</v>
      </c>
      <c r="B29" t="str">
        <f t="shared" si="62"/>
        <v>DireDawa</v>
      </c>
      <c r="C29" s="2">
        <f>'Target Price'!C29+TargetConsumption!C29*DemSlope!C29</f>
        <v>193.66214692101423</v>
      </c>
      <c r="D29" s="2">
        <f>'Target Price'!D29+TargetConsumption!D29*DemSlope!D29</f>
        <v>198.69616106284053</v>
      </c>
      <c r="E29" s="2">
        <f t="shared" si="31"/>
        <v>195.59876839022436</v>
      </c>
      <c r="F29" s="2">
        <f t="shared" si="32"/>
        <v>200.68312267346894</v>
      </c>
      <c r="G29" s="2">
        <f t="shared" si="33"/>
        <v>197.5547560741266</v>
      </c>
      <c r="H29" s="2">
        <f t="shared" si="34"/>
        <v>202.68995390020365</v>
      </c>
      <c r="I29" s="2">
        <f t="shared" si="35"/>
        <v>199.53030363486786</v>
      </c>
      <c r="J29" s="2">
        <f t="shared" si="36"/>
        <v>204.71685343920569</v>
      </c>
      <c r="K29" s="2">
        <f t="shared" si="37"/>
        <v>201.52560667121654</v>
      </c>
      <c r="L29" s="2">
        <f t="shared" si="38"/>
        <v>206.76402197359775</v>
      </c>
      <c r="M29" s="2">
        <f t="shared" si="39"/>
        <v>203.54086273792871</v>
      </c>
      <c r="N29" s="2">
        <f t="shared" si="40"/>
        <v>208.83166219333373</v>
      </c>
      <c r="O29" s="2">
        <f t="shared" si="41"/>
        <v>205.576271365308</v>
      </c>
      <c r="P29" s="2">
        <f t="shared" si="42"/>
        <v>210.91997881526706</v>
      </c>
      <c r="Q29" s="2">
        <f t="shared" si="43"/>
        <v>207.63203407896108</v>
      </c>
      <c r="R29" s="2">
        <f t="shared" si="44"/>
        <v>213.02917860341972</v>
      </c>
      <c r="S29" s="2">
        <f t="shared" si="45"/>
        <v>209.70835441975069</v>
      </c>
      <c r="T29" s="2">
        <f t="shared" si="46"/>
        <v>215.15947038945393</v>
      </c>
      <c r="U29" s="2">
        <f t="shared" si="47"/>
        <v>211.80543796394821</v>
      </c>
      <c r="V29" s="2">
        <f t="shared" si="48"/>
        <v>217.31106509334847</v>
      </c>
      <c r="W29" s="2">
        <f t="shared" si="49"/>
        <v>213.9234923435877</v>
      </c>
      <c r="X29" s="2">
        <f t="shared" si="50"/>
        <v>219.48417574428197</v>
      </c>
      <c r="Y29" s="2">
        <f t="shared" si="51"/>
        <v>216.06272726702358</v>
      </c>
      <c r="Z29" s="2">
        <f t="shared" si="52"/>
        <v>221.67901750172479</v>
      </c>
      <c r="AA29" s="2">
        <f t="shared" si="53"/>
        <v>218.22335453969382</v>
      </c>
      <c r="AB29" s="2">
        <f t="shared" si="54"/>
        <v>223.89580767674204</v>
      </c>
      <c r="AC29" s="2">
        <f t="shared" si="55"/>
        <v>220.40558808509076</v>
      </c>
      <c r="AD29" s="2">
        <f t="shared" si="56"/>
        <v>226.13476575350947</v>
      </c>
      <c r="AE29" s="2">
        <f t="shared" si="57"/>
        <v>222.60964396594167</v>
      </c>
      <c r="AF29" s="2">
        <f t="shared" si="58"/>
        <v>228.39611341104455</v>
      </c>
      <c r="AG29" s="2">
        <f t="shared" si="59"/>
        <v>224.83574040560109</v>
      </c>
      <c r="AH29" s="2">
        <f t="shared" si="60"/>
        <v>230.68007454515501</v>
      </c>
    </row>
    <row r="30" spans="1:34">
      <c r="A30" t="str">
        <f t="shared" si="61"/>
        <v>Maize</v>
      </c>
      <c r="B30" t="str">
        <f t="shared" si="62"/>
        <v>Gambela</v>
      </c>
      <c r="C30" s="2">
        <f>'Target Price'!C30+TargetConsumption!C30*DemSlope!C30</f>
        <v>192.7872646930241</v>
      </c>
      <c r="D30" s="2">
        <f>'Target Price'!D30+TargetConsumption!D30*DemSlope!D30</f>
        <v>189.21672799935106</v>
      </c>
      <c r="E30" s="2">
        <f t="shared" si="31"/>
        <v>194.71513733995434</v>
      </c>
      <c r="F30" s="2">
        <f t="shared" si="32"/>
        <v>191.10889527934458</v>
      </c>
      <c r="G30" s="2">
        <f t="shared" si="33"/>
        <v>196.66228871335389</v>
      </c>
      <c r="H30" s="2">
        <f t="shared" si="34"/>
        <v>193.01998423213803</v>
      </c>
      <c r="I30" s="2">
        <f t="shared" si="35"/>
        <v>198.62891160048744</v>
      </c>
      <c r="J30" s="2">
        <f t="shared" si="36"/>
        <v>194.9501840744594</v>
      </c>
      <c r="K30" s="2">
        <f t="shared" si="37"/>
        <v>200.61520071649232</v>
      </c>
      <c r="L30" s="2">
        <f t="shared" si="38"/>
        <v>196.899685915204</v>
      </c>
      <c r="M30" s="2">
        <f t="shared" si="39"/>
        <v>202.62135272365725</v>
      </c>
      <c r="N30" s="2">
        <f t="shared" si="40"/>
        <v>198.86868277435605</v>
      </c>
      <c r="O30" s="2">
        <f t="shared" si="41"/>
        <v>204.64756625089382</v>
      </c>
      <c r="P30" s="2">
        <f t="shared" si="42"/>
        <v>200.8573696020996</v>
      </c>
      <c r="Q30" s="2">
        <f t="shared" si="43"/>
        <v>206.69404191340277</v>
      </c>
      <c r="R30" s="2">
        <f t="shared" si="44"/>
        <v>202.86594329812058</v>
      </c>
      <c r="S30" s="2">
        <f t="shared" si="45"/>
        <v>208.7609823325368</v>
      </c>
      <c r="T30" s="2">
        <f t="shared" si="46"/>
        <v>204.8946027311018</v>
      </c>
      <c r="U30" s="2">
        <f t="shared" si="47"/>
        <v>210.84859215586218</v>
      </c>
      <c r="V30" s="2">
        <f t="shared" si="48"/>
        <v>206.94354875841282</v>
      </c>
      <c r="W30" s="2">
        <f t="shared" si="49"/>
        <v>212.95707807742079</v>
      </c>
      <c r="X30" s="2">
        <f t="shared" si="50"/>
        <v>209.01298424599696</v>
      </c>
      <c r="Y30" s="2">
        <f t="shared" si="51"/>
        <v>215.08664885819499</v>
      </c>
      <c r="Z30" s="2">
        <f t="shared" si="52"/>
        <v>211.10311408845692</v>
      </c>
      <c r="AA30" s="2">
        <f t="shared" si="53"/>
        <v>217.23751534677695</v>
      </c>
      <c r="AB30" s="2">
        <f t="shared" si="54"/>
        <v>213.21414522934148</v>
      </c>
      <c r="AC30" s="2">
        <f t="shared" si="55"/>
        <v>219.40989050024473</v>
      </c>
      <c r="AD30" s="2">
        <f t="shared" si="56"/>
        <v>215.34628668163489</v>
      </c>
      <c r="AE30" s="2">
        <f t="shared" si="57"/>
        <v>221.60398940524718</v>
      </c>
      <c r="AF30" s="2">
        <f t="shared" si="58"/>
        <v>217.49974954845123</v>
      </c>
      <c r="AG30" s="2">
        <f t="shared" si="59"/>
        <v>223.82002929929965</v>
      </c>
      <c r="AH30" s="2">
        <f t="shared" si="60"/>
        <v>219.67474704393575</v>
      </c>
    </row>
    <row r="31" spans="1:34">
      <c r="A31" t="str">
        <f t="shared" si="61"/>
        <v>Maize</v>
      </c>
      <c r="B31" t="str">
        <f t="shared" si="62"/>
        <v>Harari</v>
      </c>
      <c r="C31" s="2">
        <f>'Target Price'!C31+TargetConsumption!C31*DemSlope!C31</f>
        <v>190.12591805976606</v>
      </c>
      <c r="D31" s="2">
        <f>'Target Price'!D31+TargetConsumption!D31*DemSlope!D31</f>
        <v>202.34361607724514</v>
      </c>
      <c r="E31" s="2">
        <f t="shared" si="31"/>
        <v>192.02717724036373</v>
      </c>
      <c r="F31" s="2">
        <f t="shared" si="32"/>
        <v>204.36705223801761</v>
      </c>
      <c r="G31" s="2">
        <f t="shared" si="33"/>
        <v>193.94744901276738</v>
      </c>
      <c r="H31" s="2">
        <f t="shared" si="34"/>
        <v>206.41072276039779</v>
      </c>
      <c r="I31" s="2">
        <f t="shared" si="35"/>
        <v>195.88692350289506</v>
      </c>
      <c r="J31" s="2">
        <f t="shared" si="36"/>
        <v>208.47482998800177</v>
      </c>
      <c r="K31" s="2">
        <f t="shared" si="37"/>
        <v>197.845792737924</v>
      </c>
      <c r="L31" s="2">
        <f t="shared" si="38"/>
        <v>210.55957828788181</v>
      </c>
      <c r="M31" s="2">
        <f t="shared" si="39"/>
        <v>199.82425066530325</v>
      </c>
      <c r="N31" s="2">
        <f t="shared" si="40"/>
        <v>212.66517407076063</v>
      </c>
      <c r="O31" s="2">
        <f t="shared" si="41"/>
        <v>201.8224931719563</v>
      </c>
      <c r="P31" s="2">
        <f t="shared" si="42"/>
        <v>214.79182581146824</v>
      </c>
      <c r="Q31" s="2">
        <f t="shared" si="43"/>
        <v>203.84071810367587</v>
      </c>
      <c r="R31" s="2">
        <f t="shared" si="44"/>
        <v>216.93974406958293</v>
      </c>
      <c r="S31" s="2">
        <f t="shared" si="45"/>
        <v>205.87912528471264</v>
      </c>
      <c r="T31" s="2">
        <f t="shared" si="46"/>
        <v>219.10914151027876</v>
      </c>
      <c r="U31" s="2">
        <f t="shared" si="47"/>
        <v>207.93791653755977</v>
      </c>
      <c r="V31" s="2">
        <f t="shared" si="48"/>
        <v>221.30023292538155</v>
      </c>
      <c r="W31" s="2">
        <f t="shared" si="49"/>
        <v>210.01729570293537</v>
      </c>
      <c r="X31" s="2">
        <f t="shared" si="50"/>
        <v>223.51323525463536</v>
      </c>
      <c r="Y31" s="2">
        <f t="shared" si="51"/>
        <v>212.11746865996471</v>
      </c>
      <c r="Z31" s="2">
        <f t="shared" si="52"/>
        <v>225.74836760718171</v>
      </c>
      <c r="AA31" s="2">
        <f t="shared" si="53"/>
        <v>214.23864334656437</v>
      </c>
      <c r="AB31" s="2">
        <f t="shared" si="54"/>
        <v>228.00585128325352</v>
      </c>
      <c r="AC31" s="2">
        <f t="shared" si="55"/>
        <v>216.38102978003002</v>
      </c>
      <c r="AD31" s="2">
        <f t="shared" si="56"/>
        <v>230.28590979608606</v>
      </c>
      <c r="AE31" s="2">
        <f t="shared" si="57"/>
        <v>218.54484007783032</v>
      </c>
      <c r="AF31" s="2">
        <f t="shared" si="58"/>
        <v>232.58876889404692</v>
      </c>
      <c r="AG31" s="2">
        <f t="shared" si="59"/>
        <v>220.73028847860863</v>
      </c>
      <c r="AH31" s="2">
        <f t="shared" si="60"/>
        <v>234.91465658298739</v>
      </c>
    </row>
    <row r="32" spans="1:34">
      <c r="A32" t="str">
        <f t="shared" si="61"/>
        <v>Maize</v>
      </c>
      <c r="B32" t="str">
        <f t="shared" si="62"/>
        <v>Oromia</v>
      </c>
      <c r="C32" s="2">
        <f>'Target Price'!C32+TargetConsumption!C32*DemSlope!C32</f>
        <v>179.70557174837325</v>
      </c>
      <c r="D32" s="2">
        <f>'Target Price'!D32+TargetConsumption!D32*DemSlope!D32</f>
        <v>194.4301379944522</v>
      </c>
      <c r="E32" s="2">
        <f t="shared" si="31"/>
        <v>181.50262746585699</v>
      </c>
      <c r="F32" s="2">
        <f t="shared" si="32"/>
        <v>196.37443937439673</v>
      </c>
      <c r="G32" s="2">
        <f t="shared" si="33"/>
        <v>183.31765374051557</v>
      </c>
      <c r="H32" s="2">
        <f t="shared" si="34"/>
        <v>198.33818376814071</v>
      </c>
      <c r="I32" s="2">
        <f t="shared" si="35"/>
        <v>185.15083027792073</v>
      </c>
      <c r="J32" s="2">
        <f t="shared" si="36"/>
        <v>200.32156560582212</v>
      </c>
      <c r="K32" s="2">
        <f t="shared" si="37"/>
        <v>187.00233858069996</v>
      </c>
      <c r="L32" s="2">
        <f t="shared" si="38"/>
        <v>202.32478126188033</v>
      </c>
      <c r="M32" s="2">
        <f t="shared" si="39"/>
        <v>188.87236196650696</v>
      </c>
      <c r="N32" s="2">
        <f t="shared" si="40"/>
        <v>204.34802907449912</v>
      </c>
      <c r="O32" s="2">
        <f t="shared" si="41"/>
        <v>190.76108558617202</v>
      </c>
      <c r="P32" s="2">
        <f t="shared" si="42"/>
        <v>206.3915093652441</v>
      </c>
      <c r="Q32" s="2">
        <f t="shared" si="43"/>
        <v>192.66869644203373</v>
      </c>
      <c r="R32" s="2">
        <f t="shared" si="44"/>
        <v>208.45542445889654</v>
      </c>
      <c r="S32" s="2">
        <f t="shared" si="45"/>
        <v>194.59538340645406</v>
      </c>
      <c r="T32" s="2">
        <f t="shared" si="46"/>
        <v>210.5399787034855</v>
      </c>
      <c r="U32" s="2">
        <f t="shared" si="47"/>
        <v>196.5413372405186</v>
      </c>
      <c r="V32" s="2">
        <f t="shared" si="48"/>
        <v>212.64537849052036</v>
      </c>
      <c r="W32" s="2">
        <f t="shared" si="49"/>
        <v>198.50675061292378</v>
      </c>
      <c r="X32" s="2">
        <f t="shared" si="50"/>
        <v>214.77183227542557</v>
      </c>
      <c r="Y32" s="2">
        <f t="shared" si="51"/>
        <v>200.49181811905302</v>
      </c>
      <c r="Z32" s="2">
        <f t="shared" si="52"/>
        <v>216.91955059817982</v>
      </c>
      <c r="AA32" s="2">
        <f t="shared" si="53"/>
        <v>202.49673630024355</v>
      </c>
      <c r="AB32" s="2">
        <f t="shared" si="54"/>
        <v>219.08874610416163</v>
      </c>
      <c r="AC32" s="2">
        <f t="shared" si="55"/>
        <v>204.521703663246</v>
      </c>
      <c r="AD32" s="2">
        <f t="shared" si="56"/>
        <v>221.27963356520326</v>
      </c>
      <c r="AE32" s="2">
        <f t="shared" si="57"/>
        <v>206.56692069987847</v>
      </c>
      <c r="AF32" s="2">
        <f t="shared" si="58"/>
        <v>223.49242990085529</v>
      </c>
      <c r="AG32" s="2">
        <f t="shared" si="59"/>
        <v>208.63258990687726</v>
      </c>
      <c r="AH32" s="2">
        <f t="shared" si="60"/>
        <v>225.72735419986384</v>
      </c>
    </row>
    <row r="33" spans="1:34">
      <c r="A33" t="str">
        <f t="shared" si="61"/>
        <v>Maize</v>
      </c>
      <c r="B33" t="str">
        <f t="shared" si="62"/>
        <v>Somali</v>
      </c>
      <c r="C33" s="2">
        <f>'Target Price'!C33+TargetConsumption!C33*DemSlope!C33</f>
        <v>170.50550235736557</v>
      </c>
      <c r="D33" s="2">
        <f>'Target Price'!D33+TargetConsumption!D33*DemSlope!D33</f>
        <v>206.85858586699968</v>
      </c>
      <c r="E33" s="2">
        <f t="shared" si="31"/>
        <v>172.21055738093924</v>
      </c>
      <c r="F33" s="2">
        <f t="shared" si="32"/>
        <v>208.92717172566967</v>
      </c>
      <c r="G33" s="2">
        <f t="shared" si="33"/>
        <v>173.93266295474862</v>
      </c>
      <c r="H33" s="2">
        <f t="shared" si="34"/>
        <v>211.01644344292637</v>
      </c>
      <c r="I33" s="2">
        <f t="shared" si="35"/>
        <v>175.67198958429611</v>
      </c>
      <c r="J33" s="2">
        <f t="shared" si="36"/>
        <v>213.12660787735564</v>
      </c>
      <c r="K33" s="2">
        <f t="shared" si="37"/>
        <v>177.42870948013908</v>
      </c>
      <c r="L33" s="2">
        <f t="shared" si="38"/>
        <v>215.2578739561292</v>
      </c>
      <c r="M33" s="2">
        <f t="shared" si="39"/>
        <v>179.20299657494047</v>
      </c>
      <c r="N33" s="2">
        <f t="shared" si="40"/>
        <v>217.41045269569051</v>
      </c>
      <c r="O33" s="2">
        <f t="shared" si="41"/>
        <v>180.99502654068988</v>
      </c>
      <c r="P33" s="2">
        <f t="shared" si="42"/>
        <v>219.58455722264742</v>
      </c>
      <c r="Q33" s="2">
        <f t="shared" si="43"/>
        <v>182.80497680609679</v>
      </c>
      <c r="R33" s="2">
        <f t="shared" si="44"/>
        <v>221.78040279487391</v>
      </c>
      <c r="S33" s="2">
        <f t="shared" si="45"/>
        <v>184.63302657415775</v>
      </c>
      <c r="T33" s="2">
        <f t="shared" si="46"/>
        <v>223.99820682282265</v>
      </c>
      <c r="U33" s="2">
        <f t="shared" si="47"/>
        <v>186.47935683989934</v>
      </c>
      <c r="V33" s="2">
        <f t="shared" si="48"/>
        <v>226.23818889105087</v>
      </c>
      <c r="W33" s="2">
        <f t="shared" si="49"/>
        <v>188.34415040829833</v>
      </c>
      <c r="X33" s="2">
        <f t="shared" si="50"/>
        <v>228.50057077996138</v>
      </c>
      <c r="Y33" s="2">
        <f t="shared" si="51"/>
        <v>190.22759191238131</v>
      </c>
      <c r="Z33" s="2">
        <f t="shared" si="52"/>
        <v>230.78557648776101</v>
      </c>
      <c r="AA33" s="2">
        <f t="shared" si="53"/>
        <v>192.12986783150512</v>
      </c>
      <c r="AB33" s="2">
        <f t="shared" si="54"/>
        <v>233.09343225263862</v>
      </c>
      <c r="AC33" s="2">
        <f t="shared" si="55"/>
        <v>194.05116650982018</v>
      </c>
      <c r="AD33" s="2">
        <f t="shared" si="56"/>
        <v>235.42436657516501</v>
      </c>
      <c r="AE33" s="2">
        <f t="shared" si="57"/>
        <v>195.99167817491838</v>
      </c>
      <c r="AF33" s="2">
        <f t="shared" si="58"/>
        <v>237.77861024091666</v>
      </c>
      <c r="AG33" s="2">
        <f t="shared" si="59"/>
        <v>197.95159495666755</v>
      </c>
      <c r="AH33" s="2">
        <f t="shared" si="60"/>
        <v>240.15639634332584</v>
      </c>
    </row>
    <row r="34" spans="1:34">
      <c r="A34" t="str">
        <f t="shared" si="61"/>
        <v>Maize</v>
      </c>
      <c r="B34" t="str">
        <f t="shared" si="62"/>
        <v>SNNPR</v>
      </c>
      <c r="C34" s="2">
        <f>'Target Price'!C34+TargetConsumption!C34*DemSlope!C34</f>
        <v>173.3950789900575</v>
      </c>
      <c r="D34" s="2">
        <f>'Target Price'!D34+TargetConsumption!D34*DemSlope!D34</f>
        <v>208.61647605052733</v>
      </c>
      <c r="E34" s="2">
        <f t="shared" si="31"/>
        <v>175.12902977995807</v>
      </c>
      <c r="F34" s="2">
        <f t="shared" si="32"/>
        <v>210.70264081103261</v>
      </c>
      <c r="G34" s="2">
        <f t="shared" si="33"/>
        <v>176.88032007775766</v>
      </c>
      <c r="H34" s="2">
        <f t="shared" si="34"/>
        <v>212.80966721914294</v>
      </c>
      <c r="I34" s="2">
        <f t="shared" si="35"/>
        <v>178.64912327853523</v>
      </c>
      <c r="J34" s="2">
        <f t="shared" si="36"/>
        <v>214.93776389133436</v>
      </c>
      <c r="K34" s="2">
        <f t="shared" si="37"/>
        <v>180.43561451132058</v>
      </c>
      <c r="L34" s="2">
        <f t="shared" si="38"/>
        <v>217.08714153024769</v>
      </c>
      <c r="M34" s="2">
        <f t="shared" si="39"/>
        <v>182.2399706564338</v>
      </c>
      <c r="N34" s="2">
        <f t="shared" si="40"/>
        <v>219.25801294555018</v>
      </c>
      <c r="O34" s="2">
        <f t="shared" si="41"/>
        <v>184.06237036299814</v>
      </c>
      <c r="P34" s="2">
        <f t="shared" si="42"/>
        <v>221.45059307500568</v>
      </c>
      <c r="Q34" s="2">
        <f t="shared" si="43"/>
        <v>185.90299406662811</v>
      </c>
      <c r="R34" s="2">
        <f t="shared" si="44"/>
        <v>223.66509900575574</v>
      </c>
      <c r="S34" s="2">
        <f t="shared" si="45"/>
        <v>187.7620240072944</v>
      </c>
      <c r="T34" s="2">
        <f t="shared" si="46"/>
        <v>225.9017499958133</v>
      </c>
      <c r="U34" s="2">
        <f t="shared" si="47"/>
        <v>189.63964424736736</v>
      </c>
      <c r="V34" s="2">
        <f t="shared" si="48"/>
        <v>228.16076749577144</v>
      </c>
      <c r="W34" s="2">
        <f t="shared" si="49"/>
        <v>191.53604068984103</v>
      </c>
      <c r="X34" s="2">
        <f t="shared" si="50"/>
        <v>230.44237517072915</v>
      </c>
      <c r="Y34" s="2">
        <f t="shared" si="51"/>
        <v>193.45140109673943</v>
      </c>
      <c r="Z34" s="2">
        <f t="shared" si="52"/>
        <v>232.74679892243645</v>
      </c>
      <c r="AA34" s="2">
        <f t="shared" si="53"/>
        <v>195.38591510770684</v>
      </c>
      <c r="AB34" s="2">
        <f t="shared" si="54"/>
        <v>235.07426691166083</v>
      </c>
      <c r="AC34" s="2">
        <f t="shared" si="55"/>
        <v>197.3397742587839</v>
      </c>
      <c r="AD34" s="2">
        <f t="shared" si="56"/>
        <v>237.42500958077744</v>
      </c>
      <c r="AE34" s="2">
        <f t="shared" si="57"/>
        <v>199.31317200137175</v>
      </c>
      <c r="AF34" s="2">
        <f t="shared" si="58"/>
        <v>239.79925967658522</v>
      </c>
      <c r="AG34" s="2">
        <f t="shared" si="59"/>
        <v>201.30630372138546</v>
      </c>
      <c r="AH34" s="2">
        <f t="shared" si="60"/>
        <v>242.19725227335107</v>
      </c>
    </row>
    <row r="35" spans="1:34">
      <c r="A35" t="str">
        <f t="shared" si="61"/>
        <v>Maize</v>
      </c>
      <c r="B35" t="str">
        <f t="shared" si="62"/>
        <v>Tigray</v>
      </c>
      <c r="C35" s="2">
        <f>'Target Price'!C35+TargetConsumption!C35*DemSlope!C35</f>
        <v>171.096236230535</v>
      </c>
      <c r="D35" s="2">
        <f>'Target Price'!D35+TargetConsumption!D35*DemSlope!D35</f>
        <v>202.725837558688</v>
      </c>
      <c r="E35" s="2">
        <f t="shared" si="31"/>
        <v>172.80719859284034</v>
      </c>
      <c r="F35" s="2">
        <f t="shared" si="32"/>
        <v>204.75309593427488</v>
      </c>
      <c r="G35" s="2">
        <f t="shared" si="33"/>
        <v>174.53527057876875</v>
      </c>
      <c r="H35" s="2">
        <f t="shared" si="34"/>
        <v>206.80062689361762</v>
      </c>
      <c r="I35" s="2">
        <f t="shared" si="35"/>
        <v>176.28062328455644</v>
      </c>
      <c r="J35" s="2">
        <f t="shared" si="36"/>
        <v>208.86863316255381</v>
      </c>
      <c r="K35" s="2">
        <f t="shared" si="37"/>
        <v>178.04342951740202</v>
      </c>
      <c r="L35" s="2">
        <f t="shared" si="38"/>
        <v>210.95731949417936</v>
      </c>
      <c r="M35" s="2">
        <f t="shared" si="39"/>
        <v>179.82386381257604</v>
      </c>
      <c r="N35" s="2">
        <f t="shared" si="40"/>
        <v>213.06689268912115</v>
      </c>
      <c r="O35" s="2">
        <f t="shared" si="41"/>
        <v>181.62210245070179</v>
      </c>
      <c r="P35" s="2">
        <f t="shared" si="42"/>
        <v>215.19756161601236</v>
      </c>
      <c r="Q35" s="2">
        <f t="shared" si="43"/>
        <v>183.43832347520882</v>
      </c>
      <c r="R35" s="2">
        <f t="shared" si="44"/>
        <v>217.34953723217248</v>
      </c>
      <c r="S35" s="2">
        <f t="shared" si="45"/>
        <v>185.27270670996091</v>
      </c>
      <c r="T35" s="2">
        <f t="shared" si="46"/>
        <v>219.5230326044942</v>
      </c>
      <c r="U35" s="2">
        <f t="shared" si="47"/>
        <v>187.12543377706052</v>
      </c>
      <c r="V35" s="2">
        <f t="shared" si="48"/>
        <v>221.71826293053914</v>
      </c>
      <c r="W35" s="2">
        <f t="shared" si="49"/>
        <v>188.99668811483113</v>
      </c>
      <c r="X35" s="2">
        <f t="shared" si="50"/>
        <v>223.93544555984454</v>
      </c>
      <c r="Y35" s="2">
        <f t="shared" si="51"/>
        <v>190.88665499597946</v>
      </c>
      <c r="Z35" s="2">
        <f t="shared" si="52"/>
        <v>226.174800015443</v>
      </c>
      <c r="AA35" s="2">
        <f t="shared" si="53"/>
        <v>192.79552154593924</v>
      </c>
      <c r="AB35" s="2">
        <f t="shared" si="54"/>
        <v>228.43654801559742</v>
      </c>
      <c r="AC35" s="2">
        <f t="shared" si="55"/>
        <v>194.72347676139864</v>
      </c>
      <c r="AD35" s="2">
        <f t="shared" si="56"/>
        <v>230.72091349575339</v>
      </c>
      <c r="AE35" s="2">
        <f t="shared" si="57"/>
        <v>196.67071152901264</v>
      </c>
      <c r="AF35" s="2">
        <f t="shared" si="58"/>
        <v>233.02812263071093</v>
      </c>
      <c r="AG35" s="2">
        <f t="shared" si="59"/>
        <v>198.63741864430276</v>
      </c>
      <c r="AH35" s="2">
        <f t="shared" si="60"/>
        <v>235.35840385701803</v>
      </c>
    </row>
    <row r="36" spans="1:34">
      <c r="A36" t="str">
        <f t="shared" si="61"/>
        <v>Lentils</v>
      </c>
      <c r="B36" t="str">
        <f t="shared" si="62"/>
        <v>AddisAbaba</v>
      </c>
      <c r="C36" s="2">
        <f>'Target Price'!C36+TargetConsumption!C36*DemSlope!C36</f>
        <v>249.90881675458559</v>
      </c>
      <c r="D36" s="2">
        <f>'Target Price'!D36+TargetConsumption!D36*DemSlope!D36</f>
        <v>300.5446711841081</v>
      </c>
      <c r="E36" s="2">
        <f t="shared" si="31"/>
        <v>252.40790492213145</v>
      </c>
      <c r="F36" s="2">
        <f t="shared" si="32"/>
        <v>303.5501178959492</v>
      </c>
      <c r="G36" s="2">
        <f t="shared" si="33"/>
        <v>254.93198397135276</v>
      </c>
      <c r="H36" s="2">
        <f t="shared" si="34"/>
        <v>306.58561907490872</v>
      </c>
      <c r="I36" s="2">
        <f t="shared" si="35"/>
        <v>257.48130381106631</v>
      </c>
      <c r="J36" s="2">
        <f t="shared" si="36"/>
        <v>309.65147526565784</v>
      </c>
      <c r="K36" s="2">
        <f t="shared" si="37"/>
        <v>260.05611684917699</v>
      </c>
      <c r="L36" s="2">
        <f t="shared" si="38"/>
        <v>312.7479900183144</v>
      </c>
      <c r="M36" s="2">
        <f t="shared" si="39"/>
        <v>262.65667801766875</v>
      </c>
      <c r="N36" s="2">
        <f t="shared" si="40"/>
        <v>315.87546991849752</v>
      </c>
      <c r="O36" s="2">
        <f t="shared" si="41"/>
        <v>265.28324479784544</v>
      </c>
      <c r="P36" s="2">
        <f t="shared" si="42"/>
        <v>319.03422461768247</v>
      </c>
      <c r="Q36" s="2">
        <f t="shared" si="43"/>
        <v>267.93607724582392</v>
      </c>
      <c r="R36" s="2">
        <f t="shared" si="44"/>
        <v>322.22456686385931</v>
      </c>
      <c r="S36" s="2">
        <f t="shared" si="45"/>
        <v>270.61543801828219</v>
      </c>
      <c r="T36" s="2">
        <f t="shared" si="46"/>
        <v>325.44681253249792</v>
      </c>
      <c r="U36" s="2">
        <f t="shared" si="47"/>
        <v>273.32159239846504</v>
      </c>
      <c r="V36" s="2">
        <f t="shared" si="48"/>
        <v>328.70128065782291</v>
      </c>
      <c r="W36" s="2">
        <f t="shared" si="49"/>
        <v>276.05480832244967</v>
      </c>
      <c r="X36" s="2">
        <f t="shared" si="50"/>
        <v>331.98829346440112</v>
      </c>
      <c r="Y36" s="2">
        <f t="shared" si="51"/>
        <v>278.81535640567415</v>
      </c>
      <c r="Z36" s="2">
        <f t="shared" si="52"/>
        <v>335.30817639904512</v>
      </c>
      <c r="AA36" s="2">
        <f t="shared" si="53"/>
        <v>281.60350996973091</v>
      </c>
      <c r="AB36" s="2">
        <f t="shared" si="54"/>
        <v>338.6612581630356</v>
      </c>
      <c r="AC36" s="2">
        <f t="shared" si="55"/>
        <v>284.41954506942824</v>
      </c>
      <c r="AD36" s="2">
        <f t="shared" si="56"/>
        <v>342.04787074466594</v>
      </c>
      <c r="AE36" s="2">
        <f t="shared" si="57"/>
        <v>287.2637405201225</v>
      </c>
      <c r="AF36" s="2">
        <f t="shared" si="58"/>
        <v>345.46834945211259</v>
      </c>
      <c r="AG36" s="2">
        <f t="shared" si="59"/>
        <v>290.1363779253237</v>
      </c>
      <c r="AH36" s="2">
        <f t="shared" si="60"/>
        <v>348.92303294663373</v>
      </c>
    </row>
    <row r="37" spans="1:34">
      <c r="A37" t="str">
        <f t="shared" si="61"/>
        <v>Lentils</v>
      </c>
      <c r="B37" t="str">
        <f t="shared" si="62"/>
        <v>Afar</v>
      </c>
      <c r="C37" s="2">
        <f>'Target Price'!C37+TargetConsumption!C37*DemSlope!C37</f>
        <v>272.09594519475957</v>
      </c>
      <c r="D37" s="2">
        <f>'Target Price'!D37+TargetConsumption!D37*DemSlope!D37</f>
        <v>296.18119930750447</v>
      </c>
      <c r="E37" s="2">
        <f t="shared" si="31"/>
        <v>274.81690464670714</v>
      </c>
      <c r="F37" s="2">
        <f t="shared" si="32"/>
        <v>299.14301130057953</v>
      </c>
      <c r="G37" s="2">
        <f t="shared" si="33"/>
        <v>277.56507369317421</v>
      </c>
      <c r="H37" s="2">
        <f t="shared" si="34"/>
        <v>302.13444141358531</v>
      </c>
      <c r="I37" s="2">
        <f t="shared" si="35"/>
        <v>280.34072443010598</v>
      </c>
      <c r="J37" s="2">
        <f t="shared" si="36"/>
        <v>305.15578582772116</v>
      </c>
      <c r="K37" s="2">
        <f t="shared" si="37"/>
        <v>283.14413167440705</v>
      </c>
      <c r="L37" s="2">
        <f t="shared" si="38"/>
        <v>308.20734368599835</v>
      </c>
      <c r="M37" s="2">
        <f t="shared" si="39"/>
        <v>285.97557299115113</v>
      </c>
      <c r="N37" s="2">
        <f t="shared" si="40"/>
        <v>311.28941712285837</v>
      </c>
      <c r="O37" s="2">
        <f t="shared" si="41"/>
        <v>288.83532872106264</v>
      </c>
      <c r="P37" s="2">
        <f t="shared" si="42"/>
        <v>314.40231129408693</v>
      </c>
      <c r="Q37" s="2">
        <f t="shared" si="43"/>
        <v>291.72368200827327</v>
      </c>
      <c r="R37" s="2">
        <f t="shared" si="44"/>
        <v>317.54633440702781</v>
      </c>
      <c r="S37" s="2">
        <f t="shared" si="45"/>
        <v>294.64091882835601</v>
      </c>
      <c r="T37" s="2">
        <f t="shared" si="46"/>
        <v>320.72179775109811</v>
      </c>
      <c r="U37" s="2">
        <f t="shared" si="47"/>
        <v>297.58732801663956</v>
      </c>
      <c r="V37" s="2">
        <f t="shared" si="48"/>
        <v>323.9290157286091</v>
      </c>
      <c r="W37" s="2">
        <f t="shared" si="49"/>
        <v>300.56320129680597</v>
      </c>
      <c r="X37" s="2">
        <f t="shared" si="50"/>
        <v>327.16830588589522</v>
      </c>
      <c r="Y37" s="2">
        <f t="shared" si="51"/>
        <v>303.56883330977405</v>
      </c>
      <c r="Z37" s="2">
        <f t="shared" si="52"/>
        <v>330.43998894475419</v>
      </c>
      <c r="AA37" s="2">
        <f t="shared" si="53"/>
        <v>306.60452164287182</v>
      </c>
      <c r="AB37" s="2">
        <f t="shared" si="54"/>
        <v>333.74438883420174</v>
      </c>
      <c r="AC37" s="2">
        <f t="shared" si="55"/>
        <v>309.67056685930055</v>
      </c>
      <c r="AD37" s="2">
        <f t="shared" si="56"/>
        <v>337.08183272254377</v>
      </c>
      <c r="AE37" s="2">
        <f t="shared" si="57"/>
        <v>312.76727252789357</v>
      </c>
      <c r="AF37" s="2">
        <f t="shared" si="58"/>
        <v>340.4526510497692</v>
      </c>
      <c r="AG37" s="2">
        <f t="shared" si="59"/>
        <v>315.89494525317252</v>
      </c>
      <c r="AH37" s="2">
        <f t="shared" si="60"/>
        <v>343.8571775602669</v>
      </c>
    </row>
    <row r="38" spans="1:34">
      <c r="A38" t="str">
        <f t="shared" si="61"/>
        <v>Lentils</v>
      </c>
      <c r="B38" t="str">
        <f t="shared" si="62"/>
        <v>Amhara</v>
      </c>
      <c r="C38" s="2">
        <f>'Target Price'!C38+TargetConsumption!C38*DemSlope!C38</f>
        <v>247.01978381050617</v>
      </c>
      <c r="D38" s="2">
        <f>'Target Price'!D38+TargetConsumption!D38*DemSlope!D38</f>
        <v>304.62879420383121</v>
      </c>
      <c r="E38" s="2">
        <f t="shared" si="31"/>
        <v>249.48998164861123</v>
      </c>
      <c r="F38" s="2">
        <f t="shared" si="32"/>
        <v>307.67508214586951</v>
      </c>
      <c r="G38" s="2">
        <f t="shared" si="33"/>
        <v>251.98488146509735</v>
      </c>
      <c r="H38" s="2">
        <f t="shared" si="34"/>
        <v>310.7518329673282</v>
      </c>
      <c r="I38" s="2">
        <f t="shared" si="35"/>
        <v>254.50473027974832</v>
      </c>
      <c r="J38" s="2">
        <f t="shared" si="36"/>
        <v>313.85935129700147</v>
      </c>
      <c r="K38" s="2">
        <f t="shared" si="37"/>
        <v>257.0497775825458</v>
      </c>
      <c r="L38" s="2">
        <f t="shared" si="38"/>
        <v>316.9979448099715</v>
      </c>
      <c r="M38" s="2">
        <f t="shared" si="39"/>
        <v>259.62027535837126</v>
      </c>
      <c r="N38" s="2">
        <f t="shared" si="40"/>
        <v>320.1679242580712</v>
      </c>
      <c r="O38" s="2">
        <f t="shared" si="41"/>
        <v>262.21647811195498</v>
      </c>
      <c r="P38" s="2">
        <f t="shared" si="42"/>
        <v>323.36960350065192</v>
      </c>
      <c r="Q38" s="2">
        <f t="shared" si="43"/>
        <v>264.83864289307456</v>
      </c>
      <c r="R38" s="2">
        <f t="shared" si="44"/>
        <v>326.60329953565844</v>
      </c>
      <c r="S38" s="2">
        <f t="shared" si="45"/>
        <v>267.4870293220053</v>
      </c>
      <c r="T38" s="2">
        <f t="shared" si="46"/>
        <v>329.869332531015</v>
      </c>
      <c r="U38" s="2">
        <f t="shared" si="47"/>
        <v>270.16189961522537</v>
      </c>
      <c r="V38" s="2">
        <f t="shared" si="48"/>
        <v>333.16802585632513</v>
      </c>
      <c r="W38" s="2">
        <f t="shared" si="49"/>
        <v>272.86351861137763</v>
      </c>
      <c r="X38" s="2">
        <f t="shared" si="50"/>
        <v>336.4997061148884</v>
      </c>
      <c r="Y38" s="2">
        <f t="shared" si="51"/>
        <v>275.59215379749139</v>
      </c>
      <c r="Z38" s="2">
        <f t="shared" si="52"/>
        <v>339.86470317603727</v>
      </c>
      <c r="AA38" s="2">
        <f t="shared" si="53"/>
        <v>278.34807533546632</v>
      </c>
      <c r="AB38" s="2">
        <f t="shared" si="54"/>
        <v>343.26335020779766</v>
      </c>
      <c r="AC38" s="2">
        <f t="shared" si="55"/>
        <v>281.13155608882096</v>
      </c>
      <c r="AD38" s="2">
        <f t="shared" si="56"/>
        <v>346.69598370987563</v>
      </c>
      <c r="AE38" s="2">
        <f t="shared" si="57"/>
        <v>283.94287164970916</v>
      </c>
      <c r="AF38" s="2">
        <f t="shared" si="58"/>
        <v>350.16294354697442</v>
      </c>
      <c r="AG38" s="2">
        <f t="shared" si="59"/>
        <v>286.78230036620624</v>
      </c>
      <c r="AH38" s="2">
        <f t="shared" si="60"/>
        <v>353.66457298244416</v>
      </c>
    </row>
    <row r="39" spans="1:34">
      <c r="A39" t="str">
        <f t="shared" si="61"/>
        <v>Lentils</v>
      </c>
      <c r="B39" t="str">
        <f t="shared" si="62"/>
        <v>Gumuz</v>
      </c>
      <c r="C39" s="2">
        <f>'Target Price'!C39+TargetConsumption!C39*DemSlope!C39</f>
        <v>286.39513133958883</v>
      </c>
      <c r="D39" s="2">
        <f>'Target Price'!D39+TargetConsumption!D39*DemSlope!D39</f>
        <v>297.21679581781882</v>
      </c>
      <c r="E39" s="2">
        <f t="shared" si="31"/>
        <v>289.25908265298472</v>
      </c>
      <c r="F39" s="2">
        <f t="shared" si="32"/>
        <v>300.18896377599702</v>
      </c>
      <c r="G39" s="2">
        <f t="shared" si="33"/>
        <v>292.15167347951456</v>
      </c>
      <c r="H39" s="2">
        <f t="shared" si="34"/>
        <v>303.190853413757</v>
      </c>
      <c r="I39" s="2">
        <f t="shared" si="35"/>
        <v>295.0731902143097</v>
      </c>
      <c r="J39" s="2">
        <f t="shared" si="36"/>
        <v>306.22276194789458</v>
      </c>
      <c r="K39" s="2">
        <f t="shared" si="37"/>
        <v>298.02392211645281</v>
      </c>
      <c r="L39" s="2">
        <f t="shared" si="38"/>
        <v>309.28498956737354</v>
      </c>
      <c r="M39" s="2">
        <f t="shared" si="39"/>
        <v>301.00416133761735</v>
      </c>
      <c r="N39" s="2">
        <f t="shared" si="40"/>
        <v>312.37783946304728</v>
      </c>
      <c r="O39" s="2">
        <f t="shared" si="41"/>
        <v>304.01420295099354</v>
      </c>
      <c r="P39" s="2">
        <f t="shared" si="42"/>
        <v>315.50161785767773</v>
      </c>
      <c r="Q39" s="2">
        <f t="shared" si="43"/>
        <v>307.05434498050346</v>
      </c>
      <c r="R39" s="2">
        <f t="shared" si="44"/>
        <v>318.6566340362545</v>
      </c>
      <c r="S39" s="2">
        <f t="shared" si="45"/>
        <v>310.12488843030849</v>
      </c>
      <c r="T39" s="2">
        <f t="shared" si="46"/>
        <v>321.84320037661706</v>
      </c>
      <c r="U39" s="2">
        <f t="shared" si="47"/>
        <v>313.22613731461155</v>
      </c>
      <c r="V39" s="2">
        <f t="shared" si="48"/>
        <v>325.06163238038323</v>
      </c>
      <c r="W39" s="2">
        <f t="shared" si="49"/>
        <v>316.35839868775764</v>
      </c>
      <c r="X39" s="2">
        <f t="shared" si="50"/>
        <v>328.31224870418708</v>
      </c>
      <c r="Y39" s="2">
        <f t="shared" si="51"/>
        <v>319.52198267463524</v>
      </c>
      <c r="Z39" s="2">
        <f t="shared" si="52"/>
        <v>331.59537119122894</v>
      </c>
      <c r="AA39" s="2">
        <f t="shared" si="53"/>
        <v>322.71720250138162</v>
      </c>
      <c r="AB39" s="2">
        <f t="shared" si="54"/>
        <v>334.91132490314124</v>
      </c>
      <c r="AC39" s="2">
        <f t="shared" si="55"/>
        <v>325.94437452639545</v>
      </c>
      <c r="AD39" s="2">
        <f t="shared" si="56"/>
        <v>338.26043815217264</v>
      </c>
      <c r="AE39" s="2">
        <f t="shared" si="57"/>
        <v>329.20381827165943</v>
      </c>
      <c r="AF39" s="2">
        <f t="shared" si="58"/>
        <v>341.64304253369437</v>
      </c>
      <c r="AG39" s="2">
        <f t="shared" si="59"/>
        <v>332.49585645437605</v>
      </c>
      <c r="AH39" s="2">
        <f t="shared" si="60"/>
        <v>345.05947295903132</v>
      </c>
    </row>
    <row r="40" spans="1:34">
      <c r="A40" t="str">
        <f t="shared" si="61"/>
        <v>Lentils</v>
      </c>
      <c r="B40" t="str">
        <f t="shared" si="62"/>
        <v>DireDawa</v>
      </c>
      <c r="C40" s="2">
        <f>'Target Price'!C40+TargetConsumption!C40*DemSlope!C40</f>
        <v>293.99679438580313</v>
      </c>
      <c r="D40" s="2">
        <f>'Target Price'!D40+TargetConsumption!D40*DemSlope!D40</f>
        <v>304.39296150023813</v>
      </c>
      <c r="E40" s="2">
        <f t="shared" si="31"/>
        <v>296.93676232966118</v>
      </c>
      <c r="F40" s="2">
        <f t="shared" si="32"/>
        <v>307.43689111524054</v>
      </c>
      <c r="G40" s="2">
        <f t="shared" si="33"/>
        <v>299.90612995295777</v>
      </c>
      <c r="H40" s="2">
        <f t="shared" si="34"/>
        <v>310.51126002639296</v>
      </c>
      <c r="I40" s="2">
        <f t="shared" si="35"/>
        <v>302.90519125248733</v>
      </c>
      <c r="J40" s="2">
        <f t="shared" si="36"/>
        <v>313.61637262665687</v>
      </c>
      <c r="K40" s="2">
        <f t="shared" si="37"/>
        <v>305.93424316501222</v>
      </c>
      <c r="L40" s="2">
        <f t="shared" si="38"/>
        <v>316.75253635292341</v>
      </c>
      <c r="M40" s="2">
        <f t="shared" si="39"/>
        <v>308.99358559666234</v>
      </c>
      <c r="N40" s="2">
        <f t="shared" si="40"/>
        <v>319.92006171645266</v>
      </c>
      <c r="O40" s="2">
        <f t="shared" si="41"/>
        <v>312.08352145262899</v>
      </c>
      <c r="P40" s="2">
        <f t="shared" si="42"/>
        <v>323.1192623336172</v>
      </c>
      <c r="Q40" s="2">
        <f t="shared" si="43"/>
        <v>315.20435666715525</v>
      </c>
      <c r="R40" s="2">
        <f t="shared" si="44"/>
        <v>326.3504549569534</v>
      </c>
      <c r="S40" s="2">
        <f t="shared" si="45"/>
        <v>318.35640023382683</v>
      </c>
      <c r="T40" s="2">
        <f t="shared" si="46"/>
        <v>329.61395950652292</v>
      </c>
      <c r="U40" s="2">
        <f t="shared" si="47"/>
        <v>321.53996423616508</v>
      </c>
      <c r="V40" s="2">
        <f t="shared" si="48"/>
        <v>332.91009910158817</v>
      </c>
      <c r="W40" s="2">
        <f t="shared" si="49"/>
        <v>324.75536387852674</v>
      </c>
      <c r="X40" s="2">
        <f t="shared" si="50"/>
        <v>336.23920009260405</v>
      </c>
      <c r="Y40" s="2">
        <f t="shared" si="51"/>
        <v>328.00291751731203</v>
      </c>
      <c r="Z40" s="2">
        <f t="shared" si="52"/>
        <v>339.60159209353009</v>
      </c>
      <c r="AA40" s="2">
        <f t="shared" si="53"/>
        <v>331.28294669248515</v>
      </c>
      <c r="AB40" s="2">
        <f t="shared" si="54"/>
        <v>342.99760801446541</v>
      </c>
      <c r="AC40" s="2">
        <f t="shared" si="55"/>
        <v>334.59577615941004</v>
      </c>
      <c r="AD40" s="2">
        <f t="shared" si="56"/>
        <v>346.4275840946101</v>
      </c>
      <c r="AE40" s="2">
        <f t="shared" si="57"/>
        <v>337.94173392100413</v>
      </c>
      <c r="AF40" s="2">
        <f t="shared" si="58"/>
        <v>349.89185993555623</v>
      </c>
      <c r="AG40" s="2">
        <f t="shared" si="59"/>
        <v>341.32115126021415</v>
      </c>
      <c r="AH40" s="2">
        <f t="shared" si="60"/>
        <v>353.39077853491182</v>
      </c>
    </row>
    <row r="41" spans="1:34">
      <c r="A41" t="str">
        <f t="shared" si="61"/>
        <v>Lentils</v>
      </c>
      <c r="B41" t="str">
        <f t="shared" si="62"/>
        <v>Gambela</v>
      </c>
      <c r="C41" s="2">
        <f>'Target Price'!C41+TargetConsumption!C41*DemSlope!C41</f>
        <v>274.78241044889489</v>
      </c>
      <c r="D41" s="2">
        <f>'Target Price'!D41+TargetConsumption!D41*DemSlope!D41</f>
        <v>283.06840754919563</v>
      </c>
      <c r="E41" s="2">
        <f t="shared" si="31"/>
        <v>277.53023455338382</v>
      </c>
      <c r="F41" s="2">
        <f t="shared" si="32"/>
        <v>285.89909162468757</v>
      </c>
      <c r="G41" s="2">
        <f t="shared" si="33"/>
        <v>280.30553689891764</v>
      </c>
      <c r="H41" s="2">
        <f t="shared" si="34"/>
        <v>288.75808254093442</v>
      </c>
      <c r="I41" s="2">
        <f t="shared" si="35"/>
        <v>283.10859226790683</v>
      </c>
      <c r="J41" s="2">
        <f t="shared" si="36"/>
        <v>291.6456633663438</v>
      </c>
      <c r="K41" s="2">
        <f t="shared" si="37"/>
        <v>285.93967819058588</v>
      </c>
      <c r="L41" s="2">
        <f t="shared" si="38"/>
        <v>294.56212000000721</v>
      </c>
      <c r="M41" s="2">
        <f t="shared" si="39"/>
        <v>288.79907497249172</v>
      </c>
      <c r="N41" s="2">
        <f t="shared" si="40"/>
        <v>297.50774120000727</v>
      </c>
      <c r="O41" s="2">
        <f t="shared" si="41"/>
        <v>291.68706572221663</v>
      </c>
      <c r="P41" s="2">
        <f t="shared" si="42"/>
        <v>300.48281861200735</v>
      </c>
      <c r="Q41" s="2">
        <f t="shared" si="43"/>
        <v>294.60393637943878</v>
      </c>
      <c r="R41" s="2">
        <f t="shared" si="44"/>
        <v>303.4876467981274</v>
      </c>
      <c r="S41" s="2">
        <f t="shared" si="45"/>
        <v>297.54997574323318</v>
      </c>
      <c r="T41" s="2">
        <f t="shared" si="46"/>
        <v>306.52252326610869</v>
      </c>
      <c r="U41" s="2">
        <f t="shared" si="47"/>
        <v>300.52547550066549</v>
      </c>
      <c r="V41" s="2">
        <f t="shared" si="48"/>
        <v>309.58774849876977</v>
      </c>
      <c r="W41" s="2">
        <f t="shared" si="49"/>
        <v>303.53073025567215</v>
      </c>
      <c r="X41" s="2">
        <f t="shared" si="50"/>
        <v>312.68362598375745</v>
      </c>
      <c r="Y41" s="2">
        <f t="shared" si="51"/>
        <v>306.56603755822886</v>
      </c>
      <c r="Z41" s="2">
        <f t="shared" si="52"/>
        <v>315.81046224359505</v>
      </c>
      <c r="AA41" s="2">
        <f t="shared" si="53"/>
        <v>309.63169793381115</v>
      </c>
      <c r="AB41" s="2">
        <f t="shared" si="54"/>
        <v>318.96856686603098</v>
      </c>
      <c r="AC41" s="2">
        <f t="shared" si="55"/>
        <v>312.72801491314925</v>
      </c>
      <c r="AD41" s="2">
        <f t="shared" si="56"/>
        <v>322.15825253469131</v>
      </c>
      <c r="AE41" s="2">
        <f t="shared" si="57"/>
        <v>315.85529506228073</v>
      </c>
      <c r="AF41" s="2">
        <f t="shared" si="58"/>
        <v>325.3798350600382</v>
      </c>
      <c r="AG41" s="2">
        <f t="shared" si="59"/>
        <v>319.01384801290357</v>
      </c>
      <c r="AH41" s="2">
        <f t="shared" si="60"/>
        <v>328.63363341063859</v>
      </c>
    </row>
    <row r="42" spans="1:34">
      <c r="A42" t="str">
        <f t="shared" si="61"/>
        <v>Lentils</v>
      </c>
      <c r="B42" t="str">
        <f t="shared" si="62"/>
        <v>Harari</v>
      </c>
      <c r="C42" s="2">
        <f>'Target Price'!C42+TargetConsumption!C42*DemSlope!C42</f>
        <v>282.70763313333782</v>
      </c>
      <c r="D42" s="2">
        <f>'Target Price'!D42+TargetConsumption!D42*DemSlope!D42</f>
        <v>315.19449530487742</v>
      </c>
      <c r="E42" s="2">
        <f t="shared" si="31"/>
        <v>285.53470946467121</v>
      </c>
      <c r="F42" s="2">
        <f t="shared" si="32"/>
        <v>318.34644025792619</v>
      </c>
      <c r="G42" s="2">
        <f t="shared" si="33"/>
        <v>288.39005655931794</v>
      </c>
      <c r="H42" s="2">
        <f t="shared" si="34"/>
        <v>321.52990466050545</v>
      </c>
      <c r="I42" s="2">
        <f t="shared" si="35"/>
        <v>291.27395712491113</v>
      </c>
      <c r="J42" s="2">
        <f t="shared" si="36"/>
        <v>324.74520370711053</v>
      </c>
      <c r="K42" s="2">
        <f t="shared" si="37"/>
        <v>294.18669669616025</v>
      </c>
      <c r="L42" s="2">
        <f t="shared" si="38"/>
        <v>327.99265574418166</v>
      </c>
      <c r="M42" s="2">
        <f t="shared" si="39"/>
        <v>297.12856366312184</v>
      </c>
      <c r="N42" s="2">
        <f t="shared" si="40"/>
        <v>331.27258230162346</v>
      </c>
      <c r="O42" s="2">
        <f t="shared" si="41"/>
        <v>300.09984929975303</v>
      </c>
      <c r="P42" s="2">
        <f t="shared" si="42"/>
        <v>334.58530812463971</v>
      </c>
      <c r="Q42" s="2">
        <f t="shared" si="43"/>
        <v>303.10084779275059</v>
      </c>
      <c r="R42" s="2">
        <f t="shared" si="44"/>
        <v>337.9311612058861</v>
      </c>
      <c r="S42" s="2">
        <f t="shared" si="45"/>
        <v>306.1318562706781</v>
      </c>
      <c r="T42" s="2">
        <f t="shared" si="46"/>
        <v>341.31047281794497</v>
      </c>
      <c r="U42" s="2">
        <f t="shared" si="47"/>
        <v>309.19317483338489</v>
      </c>
      <c r="V42" s="2">
        <f t="shared" si="48"/>
        <v>344.72357754612443</v>
      </c>
      <c r="W42" s="2">
        <f t="shared" si="49"/>
        <v>312.28510658171876</v>
      </c>
      <c r="X42" s="2">
        <f t="shared" si="50"/>
        <v>348.17081332158568</v>
      </c>
      <c r="Y42" s="2">
        <f t="shared" si="51"/>
        <v>315.40795764753597</v>
      </c>
      <c r="Z42" s="2">
        <f t="shared" si="52"/>
        <v>351.65252145480156</v>
      </c>
      <c r="AA42" s="2">
        <f t="shared" si="53"/>
        <v>318.56203722401131</v>
      </c>
      <c r="AB42" s="2">
        <f t="shared" si="54"/>
        <v>355.1690466693496</v>
      </c>
      <c r="AC42" s="2">
        <f t="shared" si="55"/>
        <v>321.74765759625143</v>
      </c>
      <c r="AD42" s="2">
        <f t="shared" si="56"/>
        <v>358.72073713604311</v>
      </c>
      <c r="AE42" s="2">
        <f t="shared" si="57"/>
        <v>324.96513417221394</v>
      </c>
      <c r="AF42" s="2">
        <f t="shared" si="58"/>
        <v>362.30794450740353</v>
      </c>
      <c r="AG42" s="2">
        <f t="shared" si="59"/>
        <v>328.21478551393608</v>
      </c>
      <c r="AH42" s="2">
        <f t="shared" si="60"/>
        <v>365.93102395247757</v>
      </c>
    </row>
    <row r="43" spans="1:34">
      <c r="A43" t="str">
        <f t="shared" si="61"/>
        <v>Lentils</v>
      </c>
      <c r="B43" t="str">
        <f t="shared" si="62"/>
        <v>Oromia</v>
      </c>
      <c r="C43" s="2">
        <f>'Target Price'!C43+TargetConsumption!C43*DemSlope!C43</f>
        <v>261.0457881886914</v>
      </c>
      <c r="D43" s="2">
        <f>'Target Price'!D43+TargetConsumption!D43*DemSlope!D43</f>
        <v>305.92285634202688</v>
      </c>
      <c r="E43" s="2">
        <f t="shared" si="31"/>
        <v>263.65624607057833</v>
      </c>
      <c r="F43" s="2">
        <f t="shared" si="32"/>
        <v>308.98208490544715</v>
      </c>
      <c r="G43" s="2">
        <f t="shared" si="33"/>
        <v>266.29280853128409</v>
      </c>
      <c r="H43" s="2">
        <f t="shared" si="34"/>
        <v>312.07190575450164</v>
      </c>
      <c r="I43" s="2">
        <f t="shared" si="35"/>
        <v>268.95573661659694</v>
      </c>
      <c r="J43" s="2">
        <f t="shared" si="36"/>
        <v>315.19262481204669</v>
      </c>
      <c r="K43" s="2">
        <f t="shared" si="37"/>
        <v>271.64529398276289</v>
      </c>
      <c r="L43" s="2">
        <f t="shared" si="38"/>
        <v>318.34455106016713</v>
      </c>
      <c r="M43" s="2">
        <f t="shared" si="39"/>
        <v>274.3617469225905</v>
      </c>
      <c r="N43" s="2">
        <f t="shared" si="40"/>
        <v>321.52799657076883</v>
      </c>
      <c r="O43" s="2">
        <f t="shared" si="41"/>
        <v>277.10536439181641</v>
      </c>
      <c r="P43" s="2">
        <f t="shared" si="42"/>
        <v>324.74327653647651</v>
      </c>
      <c r="Q43" s="2">
        <f t="shared" si="43"/>
        <v>279.87641803573456</v>
      </c>
      <c r="R43" s="2">
        <f t="shared" si="44"/>
        <v>327.99070930184126</v>
      </c>
      <c r="S43" s="2">
        <f t="shared" si="45"/>
        <v>282.67518221609191</v>
      </c>
      <c r="T43" s="2">
        <f t="shared" si="46"/>
        <v>331.2706163948597</v>
      </c>
      <c r="U43" s="2">
        <f t="shared" si="47"/>
        <v>285.50193403825284</v>
      </c>
      <c r="V43" s="2">
        <f t="shared" si="48"/>
        <v>334.58332255880828</v>
      </c>
      <c r="W43" s="2">
        <f t="shared" si="49"/>
        <v>288.35695337863535</v>
      </c>
      <c r="X43" s="2">
        <f t="shared" si="50"/>
        <v>337.92915578439636</v>
      </c>
      <c r="Y43" s="2">
        <f t="shared" si="51"/>
        <v>291.24052291242168</v>
      </c>
      <c r="Z43" s="2">
        <f t="shared" si="52"/>
        <v>341.3084473422403</v>
      </c>
      <c r="AA43" s="2">
        <f t="shared" si="53"/>
        <v>294.15292814154589</v>
      </c>
      <c r="AB43" s="2">
        <f t="shared" si="54"/>
        <v>344.72153181566273</v>
      </c>
      <c r="AC43" s="2">
        <f t="shared" si="55"/>
        <v>297.09445742296134</v>
      </c>
      <c r="AD43" s="2">
        <f t="shared" si="56"/>
        <v>348.16874713381935</v>
      </c>
      <c r="AE43" s="2">
        <f t="shared" si="57"/>
        <v>300.06540199719097</v>
      </c>
      <c r="AF43" s="2">
        <f t="shared" si="58"/>
        <v>351.65043460515756</v>
      </c>
      <c r="AG43" s="2">
        <f t="shared" si="59"/>
        <v>303.06605601716291</v>
      </c>
      <c r="AH43" s="2">
        <f t="shared" si="60"/>
        <v>355.16693895120915</v>
      </c>
    </row>
    <row r="44" spans="1:34">
      <c r="A44" t="str">
        <f t="shared" si="61"/>
        <v>Lentils</v>
      </c>
      <c r="B44" t="str">
        <f t="shared" si="62"/>
        <v>Somali</v>
      </c>
      <c r="C44" s="2">
        <f>'Target Price'!C44+TargetConsumption!C44*DemSlope!C44</f>
        <v>244.88146955243752</v>
      </c>
      <c r="D44" s="2">
        <f>'Target Price'!D44+TargetConsumption!D44*DemSlope!D44</f>
        <v>310.65725897571588</v>
      </c>
      <c r="E44" s="2">
        <f t="shared" si="31"/>
        <v>247.33028424796191</v>
      </c>
      <c r="F44" s="2">
        <f t="shared" si="32"/>
        <v>313.76383156547303</v>
      </c>
      <c r="G44" s="2">
        <f t="shared" si="33"/>
        <v>249.80358709044154</v>
      </c>
      <c r="H44" s="2">
        <f t="shared" si="34"/>
        <v>316.90146988112775</v>
      </c>
      <c r="I44" s="2">
        <f t="shared" si="35"/>
        <v>252.30162296134597</v>
      </c>
      <c r="J44" s="2">
        <f t="shared" si="36"/>
        <v>320.07048457993903</v>
      </c>
      <c r="K44" s="2">
        <f t="shared" si="37"/>
        <v>254.82463919095943</v>
      </c>
      <c r="L44" s="2">
        <f t="shared" si="38"/>
        <v>323.27118942573844</v>
      </c>
      <c r="M44" s="2">
        <f t="shared" si="39"/>
        <v>257.372885582869</v>
      </c>
      <c r="N44" s="2">
        <f t="shared" si="40"/>
        <v>326.5039013199958</v>
      </c>
      <c r="O44" s="2">
        <f t="shared" si="41"/>
        <v>259.94661443869768</v>
      </c>
      <c r="P44" s="2">
        <f t="shared" si="42"/>
        <v>329.76894033319576</v>
      </c>
      <c r="Q44" s="2">
        <f t="shared" si="43"/>
        <v>262.54608058308463</v>
      </c>
      <c r="R44" s="2">
        <f t="shared" si="44"/>
        <v>333.06662973652772</v>
      </c>
      <c r="S44" s="2">
        <f t="shared" si="45"/>
        <v>265.1715413889155</v>
      </c>
      <c r="T44" s="2">
        <f t="shared" si="46"/>
        <v>336.39729603389299</v>
      </c>
      <c r="U44" s="2">
        <f t="shared" si="47"/>
        <v>267.82325680280468</v>
      </c>
      <c r="V44" s="2">
        <f t="shared" si="48"/>
        <v>339.7612689942319</v>
      </c>
      <c r="W44" s="2">
        <f t="shared" si="49"/>
        <v>270.5014893708327</v>
      </c>
      <c r="X44" s="2">
        <f t="shared" si="50"/>
        <v>343.15888168417422</v>
      </c>
      <c r="Y44" s="2">
        <f t="shared" si="51"/>
        <v>273.20650426454102</v>
      </c>
      <c r="Z44" s="2">
        <f t="shared" si="52"/>
        <v>346.59047050101594</v>
      </c>
      <c r="AA44" s="2">
        <f t="shared" si="53"/>
        <v>275.93856930718641</v>
      </c>
      <c r="AB44" s="2">
        <f t="shared" si="54"/>
        <v>350.05637520602613</v>
      </c>
      <c r="AC44" s="2">
        <f t="shared" si="55"/>
        <v>278.69795500025828</v>
      </c>
      <c r="AD44" s="2">
        <f t="shared" si="56"/>
        <v>353.55693895808639</v>
      </c>
      <c r="AE44" s="2">
        <f t="shared" si="57"/>
        <v>281.48493455026085</v>
      </c>
      <c r="AF44" s="2">
        <f t="shared" si="58"/>
        <v>357.09250834766726</v>
      </c>
      <c r="AG44" s="2">
        <f t="shared" si="59"/>
        <v>284.29978389576348</v>
      </c>
      <c r="AH44" s="2">
        <f t="shared" si="60"/>
        <v>360.66343343114391</v>
      </c>
    </row>
    <row r="45" spans="1:34">
      <c r="A45" t="str">
        <f t="shared" si="61"/>
        <v>Lentils</v>
      </c>
      <c r="B45" t="str">
        <f t="shared" si="62"/>
        <v>SNNPR</v>
      </c>
      <c r="C45" s="2">
        <f>'Target Price'!C45+TargetConsumption!C45*DemSlope!C45</f>
        <v>273.32833308993111</v>
      </c>
      <c r="D45" s="2">
        <f>'Target Price'!D45+TargetConsumption!D45*DemSlope!D45</f>
        <v>314.69675890261317</v>
      </c>
      <c r="E45" s="2">
        <f t="shared" si="31"/>
        <v>276.06161642083043</v>
      </c>
      <c r="F45" s="2">
        <f t="shared" si="32"/>
        <v>317.8437264916393</v>
      </c>
      <c r="G45" s="2">
        <f t="shared" si="33"/>
        <v>278.82223258503876</v>
      </c>
      <c r="H45" s="2">
        <f t="shared" si="34"/>
        <v>321.0221637565557</v>
      </c>
      <c r="I45" s="2">
        <f t="shared" si="35"/>
        <v>281.61045491088913</v>
      </c>
      <c r="J45" s="2">
        <f t="shared" si="36"/>
        <v>324.23238539412125</v>
      </c>
      <c r="K45" s="2">
        <f t="shared" si="37"/>
        <v>284.42655945999803</v>
      </c>
      <c r="L45" s="2">
        <f t="shared" si="38"/>
        <v>327.47470924806248</v>
      </c>
      <c r="M45" s="2">
        <f t="shared" si="39"/>
        <v>287.27082505459799</v>
      </c>
      <c r="N45" s="2">
        <f t="shared" si="40"/>
        <v>330.74945634054313</v>
      </c>
      <c r="O45" s="2">
        <f t="shared" si="41"/>
        <v>290.14353330514399</v>
      </c>
      <c r="P45" s="2">
        <f t="shared" si="42"/>
        <v>334.05695090394858</v>
      </c>
      <c r="Q45" s="2">
        <f t="shared" si="43"/>
        <v>293.04496863819543</v>
      </c>
      <c r="R45" s="2">
        <f t="shared" si="44"/>
        <v>337.39752041298806</v>
      </c>
      <c r="S45" s="2">
        <f t="shared" si="45"/>
        <v>295.97541832457739</v>
      </c>
      <c r="T45" s="2">
        <f t="shared" si="46"/>
        <v>340.77149561711792</v>
      </c>
      <c r="U45" s="2">
        <f t="shared" si="47"/>
        <v>298.93517250782315</v>
      </c>
      <c r="V45" s="2">
        <f t="shared" si="48"/>
        <v>344.17921057328908</v>
      </c>
      <c r="W45" s="2">
        <f t="shared" si="49"/>
        <v>301.92452423290138</v>
      </c>
      <c r="X45" s="2">
        <f t="shared" si="50"/>
        <v>347.62100267902196</v>
      </c>
      <c r="Y45" s="2">
        <f t="shared" si="51"/>
        <v>304.9437694752304</v>
      </c>
      <c r="Z45" s="2">
        <f t="shared" si="52"/>
        <v>351.09721270581218</v>
      </c>
      <c r="AA45" s="2">
        <f t="shared" si="53"/>
        <v>307.99320716998272</v>
      </c>
      <c r="AB45" s="2">
        <f t="shared" si="54"/>
        <v>354.60818483287034</v>
      </c>
      <c r="AC45" s="2">
        <f t="shared" si="55"/>
        <v>311.07313924168255</v>
      </c>
      <c r="AD45" s="2">
        <f t="shared" si="56"/>
        <v>358.15426668119903</v>
      </c>
      <c r="AE45" s="2">
        <f t="shared" si="57"/>
        <v>314.18387063409938</v>
      </c>
      <c r="AF45" s="2">
        <f t="shared" si="58"/>
        <v>361.735809348011</v>
      </c>
      <c r="AG45" s="2">
        <f t="shared" si="59"/>
        <v>317.32570934044037</v>
      </c>
      <c r="AH45" s="2">
        <f t="shared" si="60"/>
        <v>365.35316744149111</v>
      </c>
    </row>
    <row r="46" spans="1:34">
      <c r="A46" t="str">
        <f t="shared" si="61"/>
        <v>Lentils</v>
      </c>
      <c r="B46" t="str">
        <f t="shared" si="62"/>
        <v>Tigray</v>
      </c>
      <c r="C46" s="2">
        <f>'Target Price'!C46+TargetConsumption!C46*DemSlope!C46</f>
        <v>283.94285402472445</v>
      </c>
      <c r="D46" s="2">
        <f>'Target Price'!D46+TargetConsumption!D46*DemSlope!D46</f>
        <v>285.82075466280622</v>
      </c>
      <c r="E46" s="2">
        <f t="shared" si="31"/>
        <v>286.78228256497169</v>
      </c>
      <c r="F46" s="2">
        <f t="shared" si="32"/>
        <v>288.6789622094343</v>
      </c>
      <c r="G46" s="2">
        <f t="shared" si="33"/>
        <v>289.65010539062143</v>
      </c>
      <c r="H46" s="2">
        <f t="shared" si="34"/>
        <v>291.56575183152864</v>
      </c>
      <c r="I46" s="2">
        <f t="shared" si="35"/>
        <v>292.54660644452764</v>
      </c>
      <c r="J46" s="2">
        <f t="shared" si="36"/>
        <v>294.48140934984394</v>
      </c>
      <c r="K46" s="2">
        <f t="shared" si="37"/>
        <v>295.47207250897293</v>
      </c>
      <c r="L46" s="2">
        <f t="shared" si="38"/>
        <v>297.42622344334239</v>
      </c>
      <c r="M46" s="2">
        <f t="shared" si="39"/>
        <v>298.42679323406264</v>
      </c>
      <c r="N46" s="2">
        <f t="shared" si="40"/>
        <v>300.40048567777581</v>
      </c>
      <c r="O46" s="2">
        <f t="shared" si="41"/>
        <v>301.41106116640327</v>
      </c>
      <c r="P46" s="2">
        <f t="shared" si="42"/>
        <v>303.40449053455359</v>
      </c>
      <c r="Q46" s="2">
        <f t="shared" si="43"/>
        <v>304.42517177806729</v>
      </c>
      <c r="R46" s="2">
        <f t="shared" si="44"/>
        <v>306.43853543989911</v>
      </c>
      <c r="S46" s="2">
        <f t="shared" si="45"/>
        <v>307.46942349584799</v>
      </c>
      <c r="T46" s="2">
        <f t="shared" si="46"/>
        <v>309.50292079429812</v>
      </c>
      <c r="U46" s="2">
        <f t="shared" si="47"/>
        <v>310.54411773080648</v>
      </c>
      <c r="V46" s="2">
        <f t="shared" si="48"/>
        <v>312.59795000224108</v>
      </c>
      <c r="W46" s="2">
        <f t="shared" si="49"/>
        <v>313.64955890811456</v>
      </c>
      <c r="X46" s="2">
        <f t="shared" si="50"/>
        <v>315.7239295022635</v>
      </c>
      <c r="Y46" s="2">
        <f t="shared" si="51"/>
        <v>316.78605449719572</v>
      </c>
      <c r="Z46" s="2">
        <f t="shared" si="52"/>
        <v>318.88116879728614</v>
      </c>
      <c r="AA46" s="2">
        <f t="shared" si="53"/>
        <v>319.95391504216769</v>
      </c>
      <c r="AB46" s="2">
        <f t="shared" si="54"/>
        <v>322.06998048525901</v>
      </c>
      <c r="AC46" s="2">
        <f t="shared" si="55"/>
        <v>323.15345419258938</v>
      </c>
      <c r="AD46" s="2">
        <f t="shared" si="56"/>
        <v>325.2906802901116</v>
      </c>
      <c r="AE46" s="2">
        <f t="shared" si="57"/>
        <v>326.38498873451528</v>
      </c>
      <c r="AF46" s="2">
        <f t="shared" si="58"/>
        <v>328.54358709301272</v>
      </c>
      <c r="AG46" s="2">
        <f t="shared" si="59"/>
        <v>329.64883862186042</v>
      </c>
      <c r="AH46" s="2">
        <f t="shared" si="60"/>
        <v>331.82902296394286</v>
      </c>
    </row>
    <row r="47" spans="1:34">
      <c r="A47" t="str">
        <f t="shared" si="61"/>
        <v>Vegetables</v>
      </c>
      <c r="B47" t="str">
        <f t="shared" si="62"/>
        <v>AddisAbaba</v>
      </c>
      <c r="C47" s="2">
        <f>'Target Price'!C47+TargetConsumption!C47*DemSlope!C47</f>
        <v>39.560305144951343</v>
      </c>
      <c r="D47" s="2">
        <f>'Target Price'!D47+TargetConsumption!D47*DemSlope!D47</f>
        <v>45.718503746572509</v>
      </c>
      <c r="E47" s="2">
        <f t="shared" si="31"/>
        <v>39.955908196400856</v>
      </c>
      <c r="F47" s="2">
        <f t="shared" si="32"/>
        <v>46.175688784038236</v>
      </c>
      <c r="G47" s="2">
        <f t="shared" si="33"/>
        <v>40.355467278364863</v>
      </c>
      <c r="H47" s="2">
        <f t="shared" si="34"/>
        <v>46.637445671878616</v>
      </c>
      <c r="I47" s="2">
        <f t="shared" si="35"/>
        <v>40.759021951148512</v>
      </c>
      <c r="J47" s="2">
        <f t="shared" si="36"/>
        <v>47.103820128597405</v>
      </c>
      <c r="K47" s="2">
        <f t="shared" si="37"/>
        <v>41.166612170659995</v>
      </c>
      <c r="L47" s="2">
        <f t="shared" si="38"/>
        <v>47.574858329883376</v>
      </c>
      <c r="M47" s="2">
        <f t="shared" si="39"/>
        <v>41.578278292366598</v>
      </c>
      <c r="N47" s="2">
        <f t="shared" si="40"/>
        <v>48.050606913182207</v>
      </c>
      <c r="O47" s="2">
        <f t="shared" si="41"/>
        <v>41.994061075290261</v>
      </c>
      <c r="P47" s="2">
        <f t="shared" si="42"/>
        <v>48.531112982314028</v>
      </c>
      <c r="Q47" s="2">
        <f t="shared" si="43"/>
        <v>42.414001686043164</v>
      </c>
      <c r="R47" s="2">
        <f t="shared" si="44"/>
        <v>49.016424112137166</v>
      </c>
      <c r="S47" s="2">
        <f t="shared" si="45"/>
        <v>42.838141702903599</v>
      </c>
      <c r="T47" s="2">
        <f t="shared" si="46"/>
        <v>49.506588353258536</v>
      </c>
      <c r="U47" s="2">
        <f t="shared" si="47"/>
        <v>43.266523119932636</v>
      </c>
      <c r="V47" s="2">
        <f t="shared" si="48"/>
        <v>50.001654236791119</v>
      </c>
      <c r="W47" s="2">
        <f t="shared" si="49"/>
        <v>43.699188351131966</v>
      </c>
      <c r="X47" s="2">
        <f t="shared" si="50"/>
        <v>50.501670779159028</v>
      </c>
      <c r="Y47" s="2">
        <f t="shared" si="51"/>
        <v>44.136180234643284</v>
      </c>
      <c r="Z47" s="2">
        <f t="shared" si="52"/>
        <v>51.006687486950618</v>
      </c>
      <c r="AA47" s="2">
        <f t="shared" si="53"/>
        <v>44.577542036989719</v>
      </c>
      <c r="AB47" s="2">
        <f t="shared" si="54"/>
        <v>51.516754361820126</v>
      </c>
      <c r="AC47" s="2">
        <f t="shared" si="55"/>
        <v>45.023317457359617</v>
      </c>
      <c r="AD47" s="2">
        <f t="shared" si="56"/>
        <v>52.031921905438331</v>
      </c>
      <c r="AE47" s="2">
        <f t="shared" si="57"/>
        <v>45.473550631933215</v>
      </c>
      <c r="AF47" s="2">
        <f t="shared" si="58"/>
        <v>52.552241124492717</v>
      </c>
      <c r="AG47" s="2">
        <f t="shared" si="59"/>
        <v>45.928286138252545</v>
      </c>
      <c r="AH47" s="2">
        <f t="shared" si="60"/>
        <v>53.077763535737645</v>
      </c>
    </row>
    <row r="48" spans="1:34">
      <c r="A48" t="str">
        <f t="shared" si="61"/>
        <v>Vegetables</v>
      </c>
      <c r="B48" t="str">
        <f t="shared" si="62"/>
        <v>Afar</v>
      </c>
      <c r="C48" s="2">
        <f>'Target Price'!C48+TargetConsumption!C48*DemSlope!C48</f>
        <v>42.054127947518005</v>
      </c>
      <c r="D48" s="2">
        <f>'Target Price'!D48+TargetConsumption!D48*DemSlope!D48</f>
        <v>42.367738955445745</v>
      </c>
      <c r="E48" s="2">
        <f t="shared" si="31"/>
        <v>42.474669226993186</v>
      </c>
      <c r="F48" s="2">
        <f t="shared" si="32"/>
        <v>42.791416345000201</v>
      </c>
      <c r="G48" s="2">
        <f t="shared" si="33"/>
        <v>42.89941591926312</v>
      </c>
      <c r="H48" s="2">
        <f t="shared" si="34"/>
        <v>43.219330508450206</v>
      </c>
      <c r="I48" s="2">
        <f t="shared" si="35"/>
        <v>43.328410078455754</v>
      </c>
      <c r="J48" s="2">
        <f t="shared" si="36"/>
        <v>43.651523813534709</v>
      </c>
      <c r="K48" s="2">
        <f t="shared" si="37"/>
        <v>43.761694179240308</v>
      </c>
      <c r="L48" s="2">
        <f t="shared" si="38"/>
        <v>44.088039051670059</v>
      </c>
      <c r="M48" s="2">
        <f t="shared" si="39"/>
        <v>44.199311121032714</v>
      </c>
      <c r="N48" s="2">
        <f t="shared" si="40"/>
        <v>44.528919442186762</v>
      </c>
      <c r="O48" s="2">
        <f t="shared" si="41"/>
        <v>44.641304232243044</v>
      </c>
      <c r="P48" s="2">
        <f t="shared" si="42"/>
        <v>44.97420863660863</v>
      </c>
      <c r="Q48" s="2">
        <f t="shared" si="43"/>
        <v>45.087717274565478</v>
      </c>
      <c r="R48" s="2">
        <f t="shared" si="44"/>
        <v>45.423950722974716</v>
      </c>
      <c r="S48" s="2">
        <f t="shared" si="45"/>
        <v>45.538594447311134</v>
      </c>
      <c r="T48" s="2">
        <f t="shared" si="46"/>
        <v>45.878190230204467</v>
      </c>
      <c r="U48" s="2">
        <f t="shared" si="47"/>
        <v>45.993980391784248</v>
      </c>
      <c r="V48" s="2">
        <f t="shared" si="48"/>
        <v>46.33697213250651</v>
      </c>
      <c r="W48" s="2">
        <f t="shared" si="49"/>
        <v>46.453920195702089</v>
      </c>
      <c r="X48" s="2">
        <f t="shared" si="50"/>
        <v>46.800341853831576</v>
      </c>
      <c r="Y48" s="2">
        <f t="shared" si="51"/>
        <v>46.918459397659113</v>
      </c>
      <c r="Z48" s="2">
        <f t="shared" si="52"/>
        <v>47.268345272369892</v>
      </c>
      <c r="AA48" s="2">
        <f t="shared" si="53"/>
        <v>47.387643991635706</v>
      </c>
      <c r="AB48" s="2">
        <f t="shared" si="54"/>
        <v>47.741028725093592</v>
      </c>
      <c r="AC48" s="2">
        <f t="shared" si="55"/>
        <v>47.861520431552066</v>
      </c>
      <c r="AD48" s="2">
        <f t="shared" si="56"/>
        <v>48.218439012344525</v>
      </c>
      <c r="AE48" s="2">
        <f t="shared" si="57"/>
        <v>48.34013563586759</v>
      </c>
      <c r="AF48" s="2">
        <f t="shared" si="58"/>
        <v>48.700623402467969</v>
      </c>
      <c r="AG48" s="2">
        <f t="shared" si="59"/>
        <v>48.823536992226266</v>
      </c>
      <c r="AH48" s="2">
        <f t="shared" si="60"/>
        <v>49.187629636492652</v>
      </c>
    </row>
    <row r="49" spans="1:34">
      <c r="A49" t="str">
        <f t="shared" si="61"/>
        <v>Vegetables</v>
      </c>
      <c r="B49" t="str">
        <f t="shared" si="62"/>
        <v>Amhara</v>
      </c>
      <c r="C49" s="2">
        <f>'Target Price'!C49+TargetConsumption!C49*DemSlope!C49</f>
        <v>35.6502035536476</v>
      </c>
      <c r="D49" s="2">
        <f>'Target Price'!D49+TargetConsumption!D49*DemSlope!D49</f>
        <v>44.288808067282545</v>
      </c>
      <c r="E49" s="2">
        <f t="shared" si="31"/>
        <v>36.006705589184079</v>
      </c>
      <c r="F49" s="2">
        <f t="shared" si="32"/>
        <v>44.731696147955368</v>
      </c>
      <c r="G49" s="2">
        <f t="shared" si="33"/>
        <v>36.366772645075919</v>
      </c>
      <c r="H49" s="2">
        <f t="shared" si="34"/>
        <v>45.179013109434919</v>
      </c>
      <c r="I49" s="2">
        <f t="shared" si="35"/>
        <v>36.730440371526676</v>
      </c>
      <c r="J49" s="2">
        <f t="shared" si="36"/>
        <v>45.630803240529268</v>
      </c>
      <c r="K49" s="2">
        <f t="shared" si="37"/>
        <v>37.097744775241942</v>
      </c>
      <c r="L49" s="2">
        <f t="shared" si="38"/>
        <v>46.087111272934564</v>
      </c>
      <c r="M49" s="2">
        <f t="shared" si="39"/>
        <v>37.468722222994359</v>
      </c>
      <c r="N49" s="2">
        <f t="shared" si="40"/>
        <v>46.547982385663907</v>
      </c>
      <c r="O49" s="2">
        <f t="shared" si="41"/>
        <v>37.843409445224303</v>
      </c>
      <c r="P49" s="2">
        <f t="shared" si="42"/>
        <v>47.013462209520547</v>
      </c>
      <c r="Q49" s="2">
        <f t="shared" si="43"/>
        <v>38.221843539676549</v>
      </c>
      <c r="R49" s="2">
        <f t="shared" si="44"/>
        <v>47.483596831615756</v>
      </c>
      <c r="S49" s="2">
        <f t="shared" si="45"/>
        <v>38.604061975073314</v>
      </c>
      <c r="T49" s="2">
        <f t="shared" si="46"/>
        <v>47.958432799931913</v>
      </c>
      <c r="U49" s="2">
        <f t="shared" si="47"/>
        <v>38.990102594824045</v>
      </c>
      <c r="V49" s="2">
        <f t="shared" si="48"/>
        <v>48.438017127931232</v>
      </c>
      <c r="W49" s="2">
        <f t="shared" si="49"/>
        <v>39.380003620772285</v>
      </c>
      <c r="X49" s="2">
        <f t="shared" si="50"/>
        <v>48.922397299210544</v>
      </c>
      <c r="Y49" s="2">
        <f t="shared" si="51"/>
        <v>39.773803656980007</v>
      </c>
      <c r="Z49" s="2">
        <f t="shared" si="52"/>
        <v>49.411621272202652</v>
      </c>
      <c r="AA49" s="2">
        <f t="shared" si="53"/>
        <v>40.171541693549806</v>
      </c>
      <c r="AB49" s="2">
        <f t="shared" si="54"/>
        <v>49.905737484924678</v>
      </c>
      <c r="AC49" s="2">
        <f t="shared" si="55"/>
        <v>40.573257110485301</v>
      </c>
      <c r="AD49" s="2">
        <f t="shared" si="56"/>
        <v>50.404794859773922</v>
      </c>
      <c r="AE49" s="2">
        <f t="shared" si="57"/>
        <v>40.978989681590157</v>
      </c>
      <c r="AF49" s="2">
        <f t="shared" si="58"/>
        <v>50.908842808371659</v>
      </c>
      <c r="AG49" s="2">
        <f t="shared" si="59"/>
        <v>41.388779578406059</v>
      </c>
      <c r="AH49" s="2">
        <f t="shared" si="60"/>
        <v>51.417931236455374</v>
      </c>
    </row>
    <row r="50" spans="1:34">
      <c r="A50" t="str">
        <f t="shared" si="61"/>
        <v>Vegetables</v>
      </c>
      <c r="B50" t="str">
        <f t="shared" si="62"/>
        <v>Gumuz</v>
      </c>
      <c r="C50" s="2">
        <f>'Target Price'!C50+TargetConsumption!C50*DemSlope!C50</f>
        <v>38.735368074640391</v>
      </c>
      <c r="D50" s="2">
        <f>'Target Price'!D50+TargetConsumption!D50*DemSlope!D50</f>
        <v>43.992023594250831</v>
      </c>
      <c r="E50" s="2">
        <f t="shared" si="31"/>
        <v>39.122721755386799</v>
      </c>
      <c r="F50" s="2">
        <f t="shared" si="32"/>
        <v>44.43194383019334</v>
      </c>
      <c r="G50" s="2">
        <f t="shared" si="33"/>
        <v>39.513948972940668</v>
      </c>
      <c r="H50" s="2">
        <f t="shared" si="34"/>
        <v>44.876263268495272</v>
      </c>
      <c r="I50" s="2">
        <f t="shared" si="35"/>
        <v>39.909088462670077</v>
      </c>
      <c r="J50" s="2">
        <f t="shared" si="36"/>
        <v>45.325025901180226</v>
      </c>
      <c r="K50" s="2">
        <f t="shared" si="37"/>
        <v>40.308179347296779</v>
      </c>
      <c r="L50" s="2">
        <f t="shared" si="38"/>
        <v>45.778276160192028</v>
      </c>
      <c r="M50" s="2">
        <f t="shared" si="39"/>
        <v>40.71126114076975</v>
      </c>
      <c r="N50" s="2">
        <f t="shared" si="40"/>
        <v>46.236058921793948</v>
      </c>
      <c r="O50" s="2">
        <f t="shared" si="41"/>
        <v>41.118373752177447</v>
      </c>
      <c r="P50" s="2">
        <f t="shared" si="42"/>
        <v>46.698419511011885</v>
      </c>
      <c r="Q50" s="2">
        <f t="shared" si="43"/>
        <v>41.529557489699222</v>
      </c>
      <c r="R50" s="2">
        <f t="shared" si="44"/>
        <v>47.165403706122007</v>
      </c>
      <c r="S50" s="2">
        <f t="shared" si="45"/>
        <v>41.944853064596217</v>
      </c>
      <c r="T50" s="2">
        <f t="shared" si="46"/>
        <v>47.637057743183227</v>
      </c>
      <c r="U50" s="2">
        <f t="shared" si="47"/>
        <v>42.364301595242182</v>
      </c>
      <c r="V50" s="2">
        <f t="shared" si="48"/>
        <v>48.113428320615057</v>
      </c>
      <c r="W50" s="2">
        <f t="shared" si="49"/>
        <v>42.787944611194604</v>
      </c>
      <c r="X50" s="2">
        <f t="shared" si="50"/>
        <v>48.59456260382121</v>
      </c>
      <c r="Y50" s="2">
        <f t="shared" si="51"/>
        <v>43.215824057306548</v>
      </c>
      <c r="Z50" s="2">
        <f t="shared" si="52"/>
        <v>49.080508229859426</v>
      </c>
      <c r="AA50" s="2">
        <f t="shared" si="53"/>
        <v>43.647982297879615</v>
      </c>
      <c r="AB50" s="2">
        <f t="shared" si="54"/>
        <v>49.571313312158019</v>
      </c>
      <c r="AC50" s="2">
        <f t="shared" si="55"/>
        <v>44.084462120858412</v>
      </c>
      <c r="AD50" s="2">
        <f t="shared" si="56"/>
        <v>50.067026445279602</v>
      </c>
      <c r="AE50" s="2">
        <f t="shared" si="57"/>
        <v>44.525306742066995</v>
      </c>
      <c r="AF50" s="2">
        <f t="shared" si="58"/>
        <v>50.567696709732395</v>
      </c>
      <c r="AG50" s="2">
        <f t="shared" si="59"/>
        <v>44.970559809487668</v>
      </c>
      <c r="AH50" s="2">
        <f t="shared" si="60"/>
        <v>51.073373676829718</v>
      </c>
    </row>
    <row r="51" spans="1:34">
      <c r="A51" t="str">
        <f t="shared" si="61"/>
        <v>Vegetables</v>
      </c>
      <c r="B51" t="str">
        <f t="shared" si="62"/>
        <v>DireDawa</v>
      </c>
      <c r="C51" s="2">
        <f>'Target Price'!C51+TargetConsumption!C51*DemSlope!C51</f>
        <v>40.799733319307002</v>
      </c>
      <c r="D51" s="2">
        <f>'Target Price'!D51+TargetConsumption!D51*DemSlope!D51</f>
        <v>41.360857898404873</v>
      </c>
      <c r="E51" s="2">
        <f t="shared" si="31"/>
        <v>41.207730652500075</v>
      </c>
      <c r="F51" s="2">
        <f t="shared" si="32"/>
        <v>41.77446647738892</v>
      </c>
      <c r="G51" s="2">
        <f t="shared" si="33"/>
        <v>41.619807959025074</v>
      </c>
      <c r="H51" s="2">
        <f t="shared" si="34"/>
        <v>42.192211142162812</v>
      </c>
      <c r="I51" s="2">
        <f t="shared" si="35"/>
        <v>42.036006038615326</v>
      </c>
      <c r="J51" s="2">
        <f t="shared" si="36"/>
        <v>42.614133253584441</v>
      </c>
      <c r="K51" s="2">
        <f t="shared" si="37"/>
        <v>42.456366099001478</v>
      </c>
      <c r="L51" s="2">
        <f t="shared" si="38"/>
        <v>43.040274586120283</v>
      </c>
      <c r="M51" s="2">
        <f t="shared" si="39"/>
        <v>42.880929759991496</v>
      </c>
      <c r="N51" s="2">
        <f t="shared" si="40"/>
        <v>43.470677331981484</v>
      </c>
      <c r="O51" s="2">
        <f t="shared" si="41"/>
        <v>43.309739057591408</v>
      </c>
      <c r="P51" s="2">
        <f t="shared" si="42"/>
        <v>43.905384105301302</v>
      </c>
      <c r="Q51" s="2">
        <f t="shared" si="43"/>
        <v>43.742836448167324</v>
      </c>
      <c r="R51" s="2">
        <f t="shared" si="44"/>
        <v>44.344437946354319</v>
      </c>
      <c r="S51" s="2">
        <f t="shared" si="45"/>
        <v>44.180264812649</v>
      </c>
      <c r="T51" s="2">
        <f t="shared" si="46"/>
        <v>44.787882325817861</v>
      </c>
      <c r="U51" s="2">
        <f t="shared" si="47"/>
        <v>44.62206746077549</v>
      </c>
      <c r="V51" s="2">
        <f t="shared" si="48"/>
        <v>45.235761149076041</v>
      </c>
      <c r="W51" s="2">
        <f t="shared" si="49"/>
        <v>45.068288135383249</v>
      </c>
      <c r="X51" s="2">
        <f t="shared" si="50"/>
        <v>45.688118760566802</v>
      </c>
      <c r="Y51" s="2">
        <f t="shared" si="51"/>
        <v>45.518971016737083</v>
      </c>
      <c r="Z51" s="2">
        <f t="shared" si="52"/>
        <v>46.144999948172469</v>
      </c>
      <c r="AA51" s="2">
        <f t="shared" si="53"/>
        <v>45.974160726904458</v>
      </c>
      <c r="AB51" s="2">
        <f t="shared" si="54"/>
        <v>46.606449947654191</v>
      </c>
      <c r="AC51" s="2">
        <f t="shared" si="55"/>
        <v>46.433902334173503</v>
      </c>
      <c r="AD51" s="2">
        <f t="shared" si="56"/>
        <v>47.072514447130736</v>
      </c>
      <c r="AE51" s="2">
        <f t="shared" si="57"/>
        <v>46.898241357515239</v>
      </c>
      <c r="AF51" s="2">
        <f t="shared" si="58"/>
        <v>47.543239591602045</v>
      </c>
      <c r="AG51" s="2">
        <f t="shared" si="59"/>
        <v>47.367223771090394</v>
      </c>
      <c r="AH51" s="2">
        <f t="shared" si="60"/>
        <v>48.018671987518069</v>
      </c>
    </row>
    <row r="52" spans="1:34">
      <c r="A52" t="str">
        <f t="shared" si="61"/>
        <v>Vegetables</v>
      </c>
      <c r="B52" t="str">
        <f t="shared" si="62"/>
        <v>Gambela</v>
      </c>
      <c r="C52" s="2">
        <f>'Target Price'!C52+TargetConsumption!C52*DemSlope!C52</f>
        <v>38.968182536383196</v>
      </c>
      <c r="D52" s="2">
        <f>'Target Price'!D52+TargetConsumption!D52*DemSlope!D52</f>
        <v>43.725553820477387</v>
      </c>
      <c r="E52" s="2">
        <f t="shared" si="31"/>
        <v>39.357864361747026</v>
      </c>
      <c r="F52" s="2">
        <f t="shared" si="32"/>
        <v>44.162809358682161</v>
      </c>
      <c r="G52" s="2">
        <f t="shared" si="33"/>
        <v>39.7514430053645</v>
      </c>
      <c r="H52" s="2">
        <f t="shared" si="34"/>
        <v>44.604437452268982</v>
      </c>
      <c r="I52" s="2">
        <f t="shared" si="35"/>
        <v>40.148957435418147</v>
      </c>
      <c r="J52" s="2">
        <f t="shared" si="36"/>
        <v>45.050481826791675</v>
      </c>
      <c r="K52" s="2">
        <f t="shared" si="37"/>
        <v>40.550447009772327</v>
      </c>
      <c r="L52" s="2">
        <f t="shared" si="38"/>
        <v>45.500986645059591</v>
      </c>
      <c r="M52" s="2">
        <f t="shared" si="39"/>
        <v>40.955951479870052</v>
      </c>
      <c r="N52" s="2">
        <f t="shared" si="40"/>
        <v>45.955996511510186</v>
      </c>
      <c r="O52" s="2">
        <f t="shared" si="41"/>
        <v>41.365510994668753</v>
      </c>
      <c r="P52" s="2">
        <f t="shared" si="42"/>
        <v>46.415556476625291</v>
      </c>
      <c r="Q52" s="2">
        <f t="shared" si="43"/>
        <v>41.779166104615442</v>
      </c>
      <c r="R52" s="2">
        <f t="shared" si="44"/>
        <v>46.879712041391542</v>
      </c>
      <c r="S52" s="2">
        <f t="shared" si="45"/>
        <v>42.196957765661594</v>
      </c>
      <c r="T52" s="2">
        <f t="shared" si="46"/>
        <v>47.34850916180546</v>
      </c>
      <c r="U52" s="2">
        <f t="shared" si="47"/>
        <v>42.618927343318212</v>
      </c>
      <c r="V52" s="2">
        <f t="shared" si="48"/>
        <v>47.821994253423512</v>
      </c>
      <c r="W52" s="2">
        <f t="shared" si="49"/>
        <v>43.045116616751393</v>
      </c>
      <c r="X52" s="2">
        <f t="shared" si="50"/>
        <v>48.30021419595775</v>
      </c>
      <c r="Y52" s="2">
        <f t="shared" si="51"/>
        <v>43.475567782918908</v>
      </c>
      <c r="Z52" s="2">
        <f t="shared" si="52"/>
        <v>48.783216337917331</v>
      </c>
      <c r="AA52" s="2">
        <f t="shared" si="53"/>
        <v>43.910323460748096</v>
      </c>
      <c r="AB52" s="2">
        <f t="shared" si="54"/>
        <v>49.271048501296505</v>
      </c>
      <c r="AC52" s="2">
        <f t="shared" si="55"/>
        <v>44.349426695355575</v>
      </c>
      <c r="AD52" s="2">
        <f t="shared" si="56"/>
        <v>49.763758986309469</v>
      </c>
      <c r="AE52" s="2">
        <f t="shared" si="57"/>
        <v>44.792920962309132</v>
      </c>
      <c r="AF52" s="2">
        <f t="shared" si="58"/>
        <v>50.261396576172565</v>
      </c>
      <c r="AG52" s="2">
        <f t="shared" si="59"/>
        <v>45.240850171932223</v>
      </c>
      <c r="AH52" s="2">
        <f t="shared" si="60"/>
        <v>50.76401054193429</v>
      </c>
    </row>
    <row r="53" spans="1:34">
      <c r="A53" t="str">
        <f t="shared" si="61"/>
        <v>Vegetables</v>
      </c>
      <c r="B53" t="str">
        <f t="shared" si="62"/>
        <v>Harari</v>
      </c>
      <c r="C53" s="2">
        <f>'Target Price'!C53+TargetConsumption!C53*DemSlope!C53</f>
        <v>38.118406580349514</v>
      </c>
      <c r="D53" s="2">
        <f>'Target Price'!D53+TargetConsumption!D53*DemSlope!D53</f>
        <v>46.073427245837166</v>
      </c>
      <c r="E53" s="2">
        <f t="shared" si="31"/>
        <v>38.49959064615301</v>
      </c>
      <c r="F53" s="2">
        <f t="shared" si="32"/>
        <v>46.534161518295541</v>
      </c>
      <c r="G53" s="2">
        <f t="shared" si="33"/>
        <v>38.884586552614543</v>
      </c>
      <c r="H53" s="2">
        <f t="shared" si="34"/>
        <v>46.999503133478498</v>
      </c>
      <c r="I53" s="2">
        <f t="shared" si="35"/>
        <v>39.273432418140686</v>
      </c>
      <c r="J53" s="2">
        <f t="shared" si="36"/>
        <v>47.469498164813281</v>
      </c>
      <c r="K53" s="2">
        <f t="shared" si="37"/>
        <v>39.66616674232209</v>
      </c>
      <c r="L53" s="2">
        <f t="shared" si="38"/>
        <v>47.944193146461416</v>
      </c>
      <c r="M53" s="2">
        <f t="shared" si="39"/>
        <v>40.062828409745315</v>
      </c>
      <c r="N53" s="2">
        <f t="shared" si="40"/>
        <v>48.423635077926029</v>
      </c>
      <c r="O53" s="2">
        <f t="shared" si="41"/>
        <v>40.463456693842765</v>
      </c>
      <c r="P53" s="2">
        <f t="shared" si="42"/>
        <v>48.907871428705292</v>
      </c>
      <c r="Q53" s="2">
        <f t="shared" si="43"/>
        <v>40.868091260781192</v>
      </c>
      <c r="R53" s="2">
        <f t="shared" si="44"/>
        <v>49.396950142992345</v>
      </c>
      <c r="S53" s="2">
        <f t="shared" si="45"/>
        <v>41.276772173389006</v>
      </c>
      <c r="T53" s="2">
        <f t="shared" si="46"/>
        <v>49.890919644422269</v>
      </c>
      <c r="U53" s="2">
        <f t="shared" si="47"/>
        <v>41.689539895122898</v>
      </c>
      <c r="V53" s="2">
        <f t="shared" si="48"/>
        <v>50.389828840866492</v>
      </c>
      <c r="W53" s="2">
        <f t="shared" si="49"/>
        <v>42.106435294074124</v>
      </c>
      <c r="X53" s="2">
        <f t="shared" si="50"/>
        <v>50.893727129275156</v>
      </c>
      <c r="Y53" s="2">
        <f t="shared" si="51"/>
        <v>42.527499647014864</v>
      </c>
      <c r="Z53" s="2">
        <f t="shared" si="52"/>
        <v>51.402664400567907</v>
      </c>
      <c r="AA53" s="2">
        <f t="shared" si="53"/>
        <v>42.952774643485014</v>
      </c>
      <c r="AB53" s="2">
        <f t="shared" si="54"/>
        <v>51.916691044573589</v>
      </c>
      <c r="AC53" s="2">
        <f t="shared" si="55"/>
        <v>43.382302389919865</v>
      </c>
      <c r="AD53" s="2">
        <f t="shared" si="56"/>
        <v>52.435857955019323</v>
      </c>
      <c r="AE53" s="2">
        <f t="shared" si="57"/>
        <v>43.816125413819066</v>
      </c>
      <c r="AF53" s="2">
        <f t="shared" si="58"/>
        <v>52.960216534569518</v>
      </c>
      <c r="AG53" s="2">
        <f t="shared" si="59"/>
        <v>44.25428666795726</v>
      </c>
      <c r="AH53" s="2">
        <f t="shared" si="60"/>
        <v>53.489818699915212</v>
      </c>
    </row>
    <row r="54" spans="1:34">
      <c r="A54" t="str">
        <f t="shared" si="61"/>
        <v>Vegetables</v>
      </c>
      <c r="B54" t="str">
        <f t="shared" si="62"/>
        <v>Oromia</v>
      </c>
      <c r="C54" s="2">
        <f>'Target Price'!C54+TargetConsumption!C54*DemSlope!C54</f>
        <v>38.560202500086646</v>
      </c>
      <c r="D54" s="2">
        <f>'Target Price'!D54+TargetConsumption!D54*DemSlope!D54</f>
        <v>46.707405014027984</v>
      </c>
      <c r="E54" s="2">
        <f t="shared" si="31"/>
        <v>38.94580452508751</v>
      </c>
      <c r="F54" s="2">
        <f t="shared" si="32"/>
        <v>47.174479064168267</v>
      </c>
      <c r="G54" s="2">
        <f t="shared" si="33"/>
        <v>39.335262570338386</v>
      </c>
      <c r="H54" s="2">
        <f t="shared" si="34"/>
        <v>47.646223854809953</v>
      </c>
      <c r="I54" s="2">
        <f t="shared" si="35"/>
        <v>39.728615196041773</v>
      </c>
      <c r="J54" s="2">
        <f t="shared" si="36"/>
        <v>48.122686093358055</v>
      </c>
      <c r="K54" s="2">
        <f t="shared" si="37"/>
        <v>40.125901348002188</v>
      </c>
      <c r="L54" s="2">
        <f t="shared" si="38"/>
        <v>48.603912954291637</v>
      </c>
      <c r="M54" s="2">
        <f t="shared" si="39"/>
        <v>40.52716036148221</v>
      </c>
      <c r="N54" s="2">
        <f t="shared" si="40"/>
        <v>49.089952083834554</v>
      </c>
      <c r="O54" s="2">
        <f t="shared" si="41"/>
        <v>40.932431965097031</v>
      </c>
      <c r="P54" s="2">
        <f t="shared" si="42"/>
        <v>49.580851604672901</v>
      </c>
      <c r="Q54" s="2">
        <f t="shared" si="43"/>
        <v>41.341756284748001</v>
      </c>
      <c r="R54" s="2">
        <f t="shared" si="44"/>
        <v>50.07666012071963</v>
      </c>
      <c r="S54" s="2">
        <f t="shared" si="45"/>
        <v>41.755173847595479</v>
      </c>
      <c r="T54" s="2">
        <f t="shared" si="46"/>
        <v>50.577426721926827</v>
      </c>
      <c r="U54" s="2">
        <f t="shared" si="47"/>
        <v>42.172725586071437</v>
      </c>
      <c r="V54" s="2">
        <f t="shared" si="48"/>
        <v>51.083200989146093</v>
      </c>
      <c r="W54" s="2">
        <f t="shared" si="49"/>
        <v>42.594452841932153</v>
      </c>
      <c r="X54" s="2">
        <f t="shared" si="50"/>
        <v>51.594032999037552</v>
      </c>
      <c r="Y54" s="2">
        <f t="shared" si="51"/>
        <v>43.020397370351475</v>
      </c>
      <c r="Z54" s="2">
        <f t="shared" si="52"/>
        <v>52.10997332902793</v>
      </c>
      <c r="AA54" s="2">
        <f t="shared" si="53"/>
        <v>43.450601344054988</v>
      </c>
      <c r="AB54" s="2">
        <f t="shared" si="54"/>
        <v>52.631073062318208</v>
      </c>
      <c r="AC54" s="2">
        <f t="shared" si="55"/>
        <v>43.885107357495535</v>
      </c>
      <c r="AD54" s="2">
        <f t="shared" si="56"/>
        <v>53.157383792941388</v>
      </c>
      <c r="AE54" s="2">
        <f t="shared" si="57"/>
        <v>44.323958431070494</v>
      </c>
      <c r="AF54" s="2">
        <f t="shared" si="58"/>
        <v>53.688957630870803</v>
      </c>
      <c r="AG54" s="2">
        <f t="shared" si="59"/>
        <v>44.767198015381197</v>
      </c>
      <c r="AH54" s="2">
        <f t="shared" si="60"/>
        <v>54.225847207179513</v>
      </c>
    </row>
    <row r="55" spans="1:34">
      <c r="A55" t="str">
        <f t="shared" si="61"/>
        <v>Vegetables</v>
      </c>
      <c r="B55" t="str">
        <f t="shared" si="62"/>
        <v>Somali</v>
      </c>
      <c r="C55" s="2">
        <f>'Target Price'!C55+TargetConsumption!C55*DemSlope!C55</f>
        <v>34.58129791207746</v>
      </c>
      <c r="D55" s="2">
        <f>'Target Price'!D55+TargetConsumption!D55*DemSlope!D55</f>
        <v>42.405486759685715</v>
      </c>
      <c r="E55" s="2">
        <f t="shared" si="31"/>
        <v>34.927110891198232</v>
      </c>
      <c r="F55" s="2">
        <f t="shared" si="32"/>
        <v>42.829541627282573</v>
      </c>
      <c r="G55" s="2">
        <f t="shared" si="33"/>
        <v>35.276382000110218</v>
      </c>
      <c r="H55" s="2">
        <f t="shared" si="34"/>
        <v>43.257837043555398</v>
      </c>
      <c r="I55" s="2">
        <f t="shared" si="35"/>
        <v>35.629145820111319</v>
      </c>
      <c r="J55" s="2">
        <f t="shared" si="36"/>
        <v>43.690415413990955</v>
      </c>
      <c r="K55" s="2">
        <f t="shared" si="37"/>
        <v>35.985437278312432</v>
      </c>
      <c r="L55" s="2">
        <f t="shared" si="38"/>
        <v>44.127319568130865</v>
      </c>
      <c r="M55" s="2">
        <f t="shared" si="39"/>
        <v>36.345291651095557</v>
      </c>
      <c r="N55" s="2">
        <f t="shared" si="40"/>
        <v>44.568592763812177</v>
      </c>
      <c r="O55" s="2">
        <f t="shared" si="41"/>
        <v>36.708744567606516</v>
      </c>
      <c r="P55" s="2">
        <f t="shared" si="42"/>
        <v>45.014278691450301</v>
      </c>
      <c r="Q55" s="2">
        <f t="shared" si="43"/>
        <v>37.075832013282579</v>
      </c>
      <c r="R55" s="2">
        <f t="shared" si="44"/>
        <v>45.464421478364805</v>
      </c>
      <c r="S55" s="2">
        <f t="shared" si="45"/>
        <v>37.446590333415408</v>
      </c>
      <c r="T55" s="2">
        <f t="shared" si="46"/>
        <v>45.919065693148454</v>
      </c>
      <c r="U55" s="2">
        <f t="shared" si="47"/>
        <v>37.821056236749563</v>
      </c>
      <c r="V55" s="2">
        <f t="shared" si="48"/>
        <v>46.378256350079937</v>
      </c>
      <c r="W55" s="2">
        <f t="shared" si="49"/>
        <v>38.199266799117062</v>
      </c>
      <c r="X55" s="2">
        <f t="shared" si="50"/>
        <v>46.842038913580737</v>
      </c>
      <c r="Y55" s="2">
        <f t="shared" si="51"/>
        <v>38.581259467108232</v>
      </c>
      <c r="Z55" s="2">
        <f t="shared" si="52"/>
        <v>47.310459302716545</v>
      </c>
      <c r="AA55" s="2">
        <f t="shared" si="53"/>
        <v>38.967072061779312</v>
      </c>
      <c r="AB55" s="2">
        <f t="shared" si="54"/>
        <v>47.783563895743711</v>
      </c>
      <c r="AC55" s="2">
        <f t="shared" si="55"/>
        <v>39.356742782397106</v>
      </c>
      <c r="AD55" s="2">
        <f t="shared" si="56"/>
        <v>48.261399534701148</v>
      </c>
      <c r="AE55" s="2">
        <f t="shared" si="57"/>
        <v>39.75031021022108</v>
      </c>
      <c r="AF55" s="2">
        <f t="shared" si="58"/>
        <v>48.744013530048157</v>
      </c>
      <c r="AG55" s="2">
        <f t="shared" si="59"/>
        <v>40.147813312323294</v>
      </c>
      <c r="AH55" s="2">
        <f t="shared" si="60"/>
        <v>49.231453665348639</v>
      </c>
    </row>
    <row r="56" spans="1:34">
      <c r="A56" t="str">
        <f t="shared" si="61"/>
        <v>Vegetables</v>
      </c>
      <c r="B56" t="str">
        <f t="shared" si="62"/>
        <v>SNNPR</v>
      </c>
      <c r="C56" s="2">
        <f>'Target Price'!C56+TargetConsumption!C56*DemSlope!C56</f>
        <v>35.485646409449771</v>
      </c>
      <c r="D56" s="2">
        <f>'Target Price'!D56+TargetConsumption!D56*DemSlope!D56</f>
        <v>43.105348145599265</v>
      </c>
      <c r="E56" s="2">
        <f t="shared" si="31"/>
        <v>35.840502873544267</v>
      </c>
      <c r="F56" s="2">
        <f t="shared" si="32"/>
        <v>43.536401627055255</v>
      </c>
      <c r="G56" s="2">
        <f t="shared" si="33"/>
        <v>36.198907902279707</v>
      </c>
      <c r="H56" s="2">
        <f t="shared" si="34"/>
        <v>43.97176564332581</v>
      </c>
      <c r="I56" s="2">
        <f t="shared" si="35"/>
        <v>36.560896981302506</v>
      </c>
      <c r="J56" s="2">
        <f t="shared" si="36"/>
        <v>44.41148329975907</v>
      </c>
      <c r="K56" s="2">
        <f t="shared" si="37"/>
        <v>36.92650595111553</v>
      </c>
      <c r="L56" s="2">
        <f t="shared" si="38"/>
        <v>44.855598132756661</v>
      </c>
      <c r="M56" s="2">
        <f t="shared" si="39"/>
        <v>37.295771010626687</v>
      </c>
      <c r="N56" s="2">
        <f t="shared" si="40"/>
        <v>45.304154114084227</v>
      </c>
      <c r="O56" s="2">
        <f t="shared" si="41"/>
        <v>37.668728720732958</v>
      </c>
      <c r="P56" s="2">
        <f t="shared" si="42"/>
        <v>45.757195655225068</v>
      </c>
      <c r="Q56" s="2">
        <f t="shared" si="43"/>
        <v>38.04541600794029</v>
      </c>
      <c r="R56" s="2">
        <f t="shared" si="44"/>
        <v>46.214767611777319</v>
      </c>
      <c r="S56" s="2">
        <f t="shared" si="45"/>
        <v>38.425870168019692</v>
      </c>
      <c r="T56" s="2">
        <f t="shared" si="46"/>
        <v>46.676915287895092</v>
      </c>
      <c r="U56" s="2">
        <f t="shared" si="47"/>
        <v>38.810128869699888</v>
      </c>
      <c r="V56" s="2">
        <f t="shared" si="48"/>
        <v>47.143684440774045</v>
      </c>
      <c r="W56" s="2">
        <f t="shared" si="49"/>
        <v>39.198230158396889</v>
      </c>
      <c r="X56" s="2">
        <f t="shared" si="50"/>
        <v>47.615121285181786</v>
      </c>
      <c r="Y56" s="2">
        <f t="shared" si="51"/>
        <v>39.590212459980862</v>
      </c>
      <c r="Z56" s="2">
        <f t="shared" si="52"/>
        <v>48.091272498033604</v>
      </c>
      <c r="AA56" s="2">
        <f t="shared" si="53"/>
        <v>39.986114584580669</v>
      </c>
      <c r="AB56" s="2">
        <f t="shared" si="54"/>
        <v>48.572185223013939</v>
      </c>
      <c r="AC56" s="2">
        <f t="shared" si="55"/>
        <v>40.385975730426473</v>
      </c>
      <c r="AD56" s="2">
        <f t="shared" si="56"/>
        <v>49.057907075244081</v>
      </c>
      <c r="AE56" s="2">
        <f t="shared" si="57"/>
        <v>40.789835487730741</v>
      </c>
      <c r="AF56" s="2">
        <f t="shared" si="58"/>
        <v>49.54848614599652</v>
      </c>
      <c r="AG56" s="2">
        <f t="shared" si="59"/>
        <v>41.197733842608052</v>
      </c>
      <c r="AH56" s="2">
        <f t="shared" si="60"/>
        <v>50.043971007456484</v>
      </c>
    </row>
    <row r="57" spans="1:34">
      <c r="A57" t="str">
        <f t="shared" si="61"/>
        <v>Vegetables</v>
      </c>
      <c r="B57" t="str">
        <f t="shared" si="62"/>
        <v>Tigray</v>
      </c>
      <c r="C57" s="2">
        <f>'Target Price'!C57+TargetConsumption!C57*DemSlope!C57</f>
        <v>39.694216575848827</v>
      </c>
      <c r="D57" s="2">
        <f>'Target Price'!D57+TargetConsumption!D57*DemSlope!D57</f>
        <v>41.732946001852788</v>
      </c>
      <c r="E57" s="2">
        <f t="shared" si="31"/>
        <v>40.091158741607316</v>
      </c>
      <c r="F57" s="2">
        <f t="shared" si="32"/>
        <v>42.150275461871317</v>
      </c>
      <c r="G57" s="2">
        <f t="shared" si="33"/>
        <v>40.492070329023392</v>
      </c>
      <c r="H57" s="2">
        <f t="shared" si="34"/>
        <v>42.571778216490031</v>
      </c>
      <c r="I57" s="2">
        <f t="shared" si="35"/>
        <v>40.896991032313629</v>
      </c>
      <c r="J57" s="2">
        <f t="shared" si="36"/>
        <v>42.997495998654934</v>
      </c>
      <c r="K57" s="2">
        <f t="shared" si="37"/>
        <v>41.305960942636766</v>
      </c>
      <c r="L57" s="2">
        <f t="shared" si="38"/>
        <v>43.427470958641486</v>
      </c>
      <c r="M57" s="2">
        <f t="shared" si="39"/>
        <v>41.719020552063135</v>
      </c>
      <c r="N57" s="2">
        <f t="shared" si="40"/>
        <v>43.861745668227904</v>
      </c>
      <c r="O57" s="2">
        <f t="shared" si="41"/>
        <v>42.136210757583768</v>
      </c>
      <c r="P57" s="2">
        <f t="shared" si="42"/>
        <v>44.300363124910184</v>
      </c>
      <c r="Q57" s="2">
        <f t="shared" si="43"/>
        <v>42.557572865159607</v>
      </c>
      <c r="R57" s="2">
        <f t="shared" si="44"/>
        <v>44.74336675615929</v>
      </c>
      <c r="S57" s="2">
        <f t="shared" si="45"/>
        <v>42.983148593811201</v>
      </c>
      <c r="T57" s="2">
        <f t="shared" si="46"/>
        <v>45.19080042372088</v>
      </c>
      <c r="U57" s="2">
        <f t="shared" si="47"/>
        <v>43.41298007974931</v>
      </c>
      <c r="V57" s="2">
        <f t="shared" si="48"/>
        <v>45.642708427958091</v>
      </c>
      <c r="W57" s="2">
        <f t="shared" si="49"/>
        <v>43.847109880546803</v>
      </c>
      <c r="X57" s="2">
        <f t="shared" si="50"/>
        <v>46.099135512237673</v>
      </c>
      <c r="Y57" s="2">
        <f t="shared" si="51"/>
        <v>44.285580979352268</v>
      </c>
      <c r="Z57" s="2">
        <f t="shared" si="52"/>
        <v>46.560126867360047</v>
      </c>
      <c r="AA57" s="2">
        <f t="shared" si="53"/>
        <v>44.728436789145789</v>
      </c>
      <c r="AB57" s="2">
        <f t="shared" si="54"/>
        <v>47.025728136033649</v>
      </c>
      <c r="AC57" s="2">
        <f t="shared" si="55"/>
        <v>45.175721157037245</v>
      </c>
      <c r="AD57" s="2">
        <f t="shared" si="56"/>
        <v>47.495985417393989</v>
      </c>
      <c r="AE57" s="2">
        <f t="shared" si="57"/>
        <v>45.627478368607619</v>
      </c>
      <c r="AF57" s="2">
        <f t="shared" si="58"/>
        <v>47.970945271567928</v>
      </c>
      <c r="AG57" s="2">
        <f t="shared" si="59"/>
        <v>46.083753152293696</v>
      </c>
      <c r="AH57" s="2">
        <f t="shared" si="60"/>
        <v>48.450654724283609</v>
      </c>
    </row>
    <row r="58" spans="1:34">
      <c r="A58" t="str">
        <f t="shared" si="61"/>
        <v>Coffee</v>
      </c>
      <c r="B58" t="str">
        <f t="shared" si="62"/>
        <v>AddisAbaba</v>
      </c>
      <c r="C58" s="2">
        <f>'Target Price'!C58+TargetConsumption!C58*DemSlope!C58</f>
        <v>398.69920984595956</v>
      </c>
      <c r="D58" s="2">
        <f>'Target Price'!D58+TargetConsumption!D58*DemSlope!D58</f>
        <v>451.72708603206024</v>
      </c>
      <c r="E58" s="2">
        <f t="shared" si="31"/>
        <v>402.68620194441917</v>
      </c>
      <c r="F58" s="2">
        <f t="shared" si="32"/>
        <v>456.24435689238084</v>
      </c>
      <c r="G58" s="2">
        <f t="shared" si="33"/>
        <v>406.71306396386336</v>
      </c>
      <c r="H58" s="2">
        <f t="shared" si="34"/>
        <v>460.80680046130465</v>
      </c>
      <c r="I58" s="2">
        <f t="shared" si="35"/>
        <v>410.78019460350203</v>
      </c>
      <c r="J58" s="2">
        <f t="shared" si="36"/>
        <v>465.41486846591772</v>
      </c>
      <c r="K58" s="2">
        <f t="shared" si="37"/>
        <v>414.88799654953704</v>
      </c>
      <c r="L58" s="2">
        <f t="shared" si="38"/>
        <v>470.06901715057688</v>
      </c>
      <c r="M58" s="2">
        <f t="shared" si="39"/>
        <v>419.03687651503242</v>
      </c>
      <c r="N58" s="2">
        <f t="shared" si="40"/>
        <v>474.76970732208264</v>
      </c>
      <c r="O58" s="2">
        <f t="shared" si="41"/>
        <v>423.22724528018273</v>
      </c>
      <c r="P58" s="2">
        <f t="shared" si="42"/>
        <v>479.51740439530346</v>
      </c>
      <c r="Q58" s="2">
        <f t="shared" si="43"/>
        <v>427.45951773298458</v>
      </c>
      <c r="R58" s="2">
        <f t="shared" si="44"/>
        <v>484.31257843925647</v>
      </c>
      <c r="S58" s="2">
        <f t="shared" si="45"/>
        <v>431.73411291031442</v>
      </c>
      <c r="T58" s="2">
        <f t="shared" si="46"/>
        <v>489.15570422364902</v>
      </c>
      <c r="U58" s="2">
        <f t="shared" si="47"/>
        <v>436.05145403941759</v>
      </c>
      <c r="V58" s="2">
        <f t="shared" si="48"/>
        <v>494.04726126588554</v>
      </c>
      <c r="W58" s="2">
        <f t="shared" si="49"/>
        <v>440.4119685798118</v>
      </c>
      <c r="X58" s="2">
        <f t="shared" si="50"/>
        <v>498.98773387854442</v>
      </c>
      <c r="Y58" s="2">
        <f t="shared" si="51"/>
        <v>444.81608826560989</v>
      </c>
      <c r="Z58" s="2">
        <f t="shared" si="52"/>
        <v>503.97761121732987</v>
      </c>
      <c r="AA58" s="2">
        <f t="shared" si="53"/>
        <v>449.264249148266</v>
      </c>
      <c r="AB58" s="2">
        <f t="shared" si="54"/>
        <v>509.01738732950315</v>
      </c>
      <c r="AC58" s="2">
        <f t="shared" si="55"/>
        <v>453.75689163974869</v>
      </c>
      <c r="AD58" s="2">
        <f t="shared" si="56"/>
        <v>514.10756120279814</v>
      </c>
      <c r="AE58" s="2">
        <f t="shared" si="57"/>
        <v>458.29446055614619</v>
      </c>
      <c r="AF58" s="2">
        <f t="shared" si="58"/>
        <v>519.24863681482611</v>
      </c>
      <c r="AG58" s="2">
        <f t="shared" si="59"/>
        <v>462.87740516170766</v>
      </c>
      <c r="AH58" s="2">
        <f t="shared" si="60"/>
        <v>524.44112318297437</v>
      </c>
    </row>
    <row r="59" spans="1:34">
      <c r="A59" t="str">
        <f t="shared" si="61"/>
        <v>Coffee</v>
      </c>
      <c r="B59" t="str">
        <f t="shared" si="62"/>
        <v>Afar</v>
      </c>
      <c r="C59" s="2">
        <f>'Target Price'!C59+TargetConsumption!C59*DemSlope!C59</f>
        <v>413.09368989661516</v>
      </c>
      <c r="D59" s="2">
        <f>'Target Price'!D59+TargetConsumption!D59*DemSlope!D59</f>
        <v>444.906015258965</v>
      </c>
      <c r="E59" s="2">
        <f t="shared" si="31"/>
        <v>417.22462679558134</v>
      </c>
      <c r="F59" s="2">
        <f t="shared" si="32"/>
        <v>449.35507541155465</v>
      </c>
      <c r="G59" s="2">
        <f t="shared" si="33"/>
        <v>421.39687306353716</v>
      </c>
      <c r="H59" s="2">
        <f t="shared" si="34"/>
        <v>453.84862616567023</v>
      </c>
      <c r="I59" s="2">
        <f t="shared" si="35"/>
        <v>425.61084179417253</v>
      </c>
      <c r="J59" s="2">
        <f t="shared" si="36"/>
        <v>458.38711242732694</v>
      </c>
      <c r="K59" s="2">
        <f t="shared" si="37"/>
        <v>429.86695021211426</v>
      </c>
      <c r="L59" s="2">
        <f t="shared" si="38"/>
        <v>462.97098355160023</v>
      </c>
      <c r="M59" s="2">
        <f t="shared" si="39"/>
        <v>434.16561971423539</v>
      </c>
      <c r="N59" s="2">
        <f t="shared" si="40"/>
        <v>467.60069338711622</v>
      </c>
      <c r="O59" s="2">
        <f t="shared" si="41"/>
        <v>438.50727591137775</v>
      </c>
      <c r="P59" s="2">
        <f t="shared" si="42"/>
        <v>472.2767003209874</v>
      </c>
      <c r="Q59" s="2">
        <f t="shared" si="43"/>
        <v>442.89234867049151</v>
      </c>
      <c r="R59" s="2">
        <f t="shared" si="44"/>
        <v>476.99946732419727</v>
      </c>
      <c r="S59" s="2">
        <f t="shared" si="45"/>
        <v>447.32127215719646</v>
      </c>
      <c r="T59" s="2">
        <f t="shared" si="46"/>
        <v>481.76946199743924</v>
      </c>
      <c r="U59" s="2">
        <f t="shared" si="47"/>
        <v>451.79448487876846</v>
      </c>
      <c r="V59" s="2">
        <f t="shared" si="48"/>
        <v>486.58715661741365</v>
      </c>
      <c r="W59" s="2">
        <f t="shared" si="49"/>
        <v>456.31242972755615</v>
      </c>
      <c r="X59" s="2">
        <f t="shared" si="50"/>
        <v>491.45302818358778</v>
      </c>
      <c r="Y59" s="2">
        <f t="shared" si="51"/>
        <v>460.87555402483173</v>
      </c>
      <c r="Z59" s="2">
        <f t="shared" si="52"/>
        <v>496.36755846542366</v>
      </c>
      <c r="AA59" s="2">
        <f t="shared" si="53"/>
        <v>465.48430956508003</v>
      </c>
      <c r="AB59" s="2">
        <f t="shared" si="54"/>
        <v>501.33123405007791</v>
      </c>
      <c r="AC59" s="2">
        <f t="shared" si="55"/>
        <v>470.13915266073082</v>
      </c>
      <c r="AD59" s="2">
        <f t="shared" si="56"/>
        <v>506.34454639057867</v>
      </c>
      <c r="AE59" s="2">
        <f t="shared" si="57"/>
        <v>474.84054418733814</v>
      </c>
      <c r="AF59" s="2">
        <f t="shared" si="58"/>
        <v>511.40799185448446</v>
      </c>
      <c r="AG59" s="2">
        <f t="shared" si="59"/>
        <v>479.58894962921153</v>
      </c>
      <c r="AH59" s="2">
        <f t="shared" si="60"/>
        <v>516.52207177302932</v>
      </c>
    </row>
    <row r="60" spans="1:34">
      <c r="A60" t="str">
        <f t="shared" si="61"/>
        <v>Coffee</v>
      </c>
      <c r="B60" t="str">
        <f t="shared" si="62"/>
        <v>Amhara</v>
      </c>
      <c r="C60" s="2">
        <f>'Target Price'!C60+TargetConsumption!C60*DemSlope!C60</f>
        <v>415.99022260121467</v>
      </c>
      <c r="D60" s="2">
        <f>'Target Price'!D60+TargetConsumption!D60*DemSlope!D60</f>
        <v>460.69156241736732</v>
      </c>
      <c r="E60" s="2">
        <f t="shared" si="31"/>
        <v>420.15012482722682</v>
      </c>
      <c r="F60" s="2">
        <f t="shared" si="32"/>
        <v>465.29847804154099</v>
      </c>
      <c r="G60" s="2">
        <f t="shared" si="33"/>
        <v>424.3516260754991</v>
      </c>
      <c r="H60" s="2">
        <f t="shared" si="34"/>
        <v>469.9514628219564</v>
      </c>
      <c r="I60" s="2">
        <f t="shared" si="35"/>
        <v>428.59514233625407</v>
      </c>
      <c r="J60" s="2">
        <f t="shared" si="36"/>
        <v>474.65097745017596</v>
      </c>
      <c r="K60" s="2">
        <f t="shared" si="37"/>
        <v>432.88109375961659</v>
      </c>
      <c r="L60" s="2">
        <f t="shared" si="38"/>
        <v>479.39748722467772</v>
      </c>
      <c r="M60" s="2">
        <f t="shared" si="39"/>
        <v>437.20990469721278</v>
      </c>
      <c r="N60" s="2">
        <f t="shared" si="40"/>
        <v>484.19146209692451</v>
      </c>
      <c r="O60" s="2">
        <f t="shared" si="41"/>
        <v>441.58200374418493</v>
      </c>
      <c r="P60" s="2">
        <f t="shared" si="42"/>
        <v>489.03337671789376</v>
      </c>
      <c r="Q60" s="2">
        <f t="shared" si="43"/>
        <v>445.99782378162678</v>
      </c>
      <c r="R60" s="2">
        <f t="shared" si="44"/>
        <v>493.92371048507272</v>
      </c>
      <c r="S60" s="2">
        <f t="shared" si="45"/>
        <v>450.45780201944302</v>
      </c>
      <c r="T60" s="2">
        <f t="shared" si="46"/>
        <v>498.86294758992346</v>
      </c>
      <c r="U60" s="2">
        <f t="shared" si="47"/>
        <v>454.96238003963748</v>
      </c>
      <c r="V60" s="2">
        <f t="shared" si="48"/>
        <v>503.85157706582271</v>
      </c>
      <c r="W60" s="2">
        <f t="shared" si="49"/>
        <v>459.51200384003386</v>
      </c>
      <c r="X60" s="2">
        <f t="shared" si="50"/>
        <v>508.89009283648096</v>
      </c>
      <c r="Y60" s="2">
        <f t="shared" si="51"/>
        <v>464.10712387843421</v>
      </c>
      <c r="Z60" s="2">
        <f t="shared" si="52"/>
        <v>513.97899376484577</v>
      </c>
      <c r="AA60" s="2">
        <f t="shared" si="53"/>
        <v>468.74819511721853</v>
      </c>
      <c r="AB60" s="2">
        <f t="shared" si="54"/>
        <v>519.11878370249428</v>
      </c>
      <c r="AC60" s="2">
        <f t="shared" si="55"/>
        <v>473.4356770683907</v>
      </c>
      <c r="AD60" s="2">
        <f t="shared" si="56"/>
        <v>524.30997153951921</v>
      </c>
      <c r="AE60" s="2">
        <f t="shared" si="57"/>
        <v>478.17003383907462</v>
      </c>
      <c r="AF60" s="2">
        <f t="shared" si="58"/>
        <v>529.55307125491436</v>
      </c>
      <c r="AG60" s="2">
        <f t="shared" si="59"/>
        <v>482.95173417746537</v>
      </c>
      <c r="AH60" s="2">
        <f t="shared" si="60"/>
        <v>534.84860196746354</v>
      </c>
    </row>
    <row r="61" spans="1:34">
      <c r="A61" t="str">
        <f t="shared" si="61"/>
        <v>Coffee</v>
      </c>
      <c r="B61" t="str">
        <f t="shared" si="62"/>
        <v>Gumuz</v>
      </c>
      <c r="C61" s="2">
        <f>'Target Price'!C61+TargetConsumption!C61*DemSlope!C61</f>
        <v>434.50912131605094</v>
      </c>
      <c r="D61" s="2">
        <f>'Target Price'!D61+TargetConsumption!D61*DemSlope!D61</f>
        <v>448.14550980179297</v>
      </c>
      <c r="E61" s="2">
        <f t="shared" si="31"/>
        <v>438.85421252921145</v>
      </c>
      <c r="F61" s="2">
        <f t="shared" si="32"/>
        <v>452.6269648998109</v>
      </c>
      <c r="G61" s="2">
        <f t="shared" si="33"/>
        <v>443.24275465450359</v>
      </c>
      <c r="H61" s="2">
        <f t="shared" si="34"/>
        <v>457.153234548809</v>
      </c>
      <c r="I61" s="2">
        <f t="shared" si="35"/>
        <v>447.67518220104864</v>
      </c>
      <c r="J61" s="2">
        <f t="shared" si="36"/>
        <v>461.72476689429709</v>
      </c>
      <c r="K61" s="2">
        <f t="shared" si="37"/>
        <v>452.15193402305914</v>
      </c>
      <c r="L61" s="2">
        <f t="shared" si="38"/>
        <v>466.34201456324007</v>
      </c>
      <c r="M61" s="2">
        <f t="shared" si="39"/>
        <v>456.67345336328975</v>
      </c>
      <c r="N61" s="2">
        <f t="shared" si="40"/>
        <v>471.00543470887249</v>
      </c>
      <c r="O61" s="2">
        <f t="shared" si="41"/>
        <v>461.24018789692263</v>
      </c>
      <c r="P61" s="2">
        <f t="shared" si="42"/>
        <v>475.7154890559612</v>
      </c>
      <c r="Q61" s="2">
        <f t="shared" si="43"/>
        <v>465.85258977589189</v>
      </c>
      <c r="R61" s="2">
        <f t="shared" si="44"/>
        <v>480.4726439465208</v>
      </c>
      <c r="S61" s="2">
        <f t="shared" si="45"/>
        <v>470.51111567365081</v>
      </c>
      <c r="T61" s="2">
        <f t="shared" si="46"/>
        <v>485.27737038598599</v>
      </c>
      <c r="U61" s="2">
        <f t="shared" si="47"/>
        <v>475.21622683038731</v>
      </c>
      <c r="V61" s="2">
        <f t="shared" si="48"/>
        <v>490.13014408984583</v>
      </c>
      <c r="W61" s="2">
        <f t="shared" si="49"/>
        <v>479.9683890986912</v>
      </c>
      <c r="X61" s="2">
        <f t="shared" si="50"/>
        <v>495.03144553074429</v>
      </c>
      <c r="Y61" s="2">
        <f t="shared" si="51"/>
        <v>484.7680729896781</v>
      </c>
      <c r="Z61" s="2">
        <f t="shared" si="52"/>
        <v>499.98175998605171</v>
      </c>
      <c r="AA61" s="2">
        <f t="shared" si="53"/>
        <v>489.61575371957491</v>
      </c>
      <c r="AB61" s="2">
        <f t="shared" si="54"/>
        <v>504.98157758591225</v>
      </c>
      <c r="AC61" s="2">
        <f t="shared" si="55"/>
        <v>494.51191125677065</v>
      </c>
      <c r="AD61" s="2">
        <f t="shared" si="56"/>
        <v>510.03139336177139</v>
      </c>
      <c r="AE61" s="2">
        <f t="shared" si="57"/>
        <v>499.45703036933838</v>
      </c>
      <c r="AF61" s="2">
        <f t="shared" si="58"/>
        <v>515.13170729538911</v>
      </c>
      <c r="AG61" s="2">
        <f t="shared" si="59"/>
        <v>504.45160067303175</v>
      </c>
      <c r="AH61" s="2">
        <f t="shared" si="60"/>
        <v>520.28302436834304</v>
      </c>
    </row>
    <row r="62" spans="1:34">
      <c r="A62" t="str">
        <f t="shared" si="61"/>
        <v>Coffee</v>
      </c>
      <c r="B62" t="str">
        <f t="shared" si="62"/>
        <v>DireDawa</v>
      </c>
      <c r="C62" s="2">
        <f>'Target Price'!C62+TargetConsumption!C62*DemSlope!C62</f>
        <v>434.52322682110548</v>
      </c>
      <c r="D62" s="2">
        <f>'Target Price'!D62+TargetConsumption!D62*DemSlope!D62</f>
        <v>470.94728357653412</v>
      </c>
      <c r="E62" s="2">
        <f t="shared" si="31"/>
        <v>438.86845908931656</v>
      </c>
      <c r="F62" s="2">
        <f t="shared" si="32"/>
        <v>475.65675641229944</v>
      </c>
      <c r="G62" s="2">
        <f t="shared" si="33"/>
        <v>443.25714368020971</v>
      </c>
      <c r="H62" s="2">
        <f t="shared" si="34"/>
        <v>480.41332397642242</v>
      </c>
      <c r="I62" s="2">
        <f t="shared" si="35"/>
        <v>447.68971511701181</v>
      </c>
      <c r="J62" s="2">
        <f t="shared" si="36"/>
        <v>485.21745721618663</v>
      </c>
      <c r="K62" s="2">
        <f t="shared" si="37"/>
        <v>452.16661226818195</v>
      </c>
      <c r="L62" s="2">
        <f t="shared" si="38"/>
        <v>490.06963178834849</v>
      </c>
      <c r="M62" s="2">
        <f t="shared" si="39"/>
        <v>456.68827839086379</v>
      </c>
      <c r="N62" s="2">
        <f t="shared" si="40"/>
        <v>494.97032810623199</v>
      </c>
      <c r="O62" s="2">
        <f t="shared" si="41"/>
        <v>461.25516117477241</v>
      </c>
      <c r="P62" s="2">
        <f t="shared" si="42"/>
        <v>499.92003138729433</v>
      </c>
      <c r="Q62" s="2">
        <f t="shared" si="43"/>
        <v>465.86771278652014</v>
      </c>
      <c r="R62" s="2">
        <f t="shared" si="44"/>
        <v>504.91923170116729</v>
      </c>
      <c r="S62" s="2">
        <f t="shared" si="45"/>
        <v>470.52638991438533</v>
      </c>
      <c r="T62" s="2">
        <f t="shared" si="46"/>
        <v>509.96842401817895</v>
      </c>
      <c r="U62" s="2">
        <f t="shared" si="47"/>
        <v>475.23165381352919</v>
      </c>
      <c r="V62" s="2">
        <f t="shared" si="48"/>
        <v>515.06810825836078</v>
      </c>
      <c r="W62" s="2">
        <f t="shared" si="49"/>
        <v>479.98397035166448</v>
      </c>
      <c r="X62" s="2">
        <f t="shared" si="50"/>
        <v>520.21878934094434</v>
      </c>
      <c r="Y62" s="2">
        <f t="shared" si="51"/>
        <v>484.78381005518111</v>
      </c>
      <c r="Z62" s="2">
        <f t="shared" si="52"/>
        <v>525.42097723435381</v>
      </c>
      <c r="AA62" s="2">
        <f t="shared" si="53"/>
        <v>489.63164815573293</v>
      </c>
      <c r="AB62" s="2">
        <f t="shared" si="54"/>
        <v>530.67518700669734</v>
      </c>
      <c r="AC62" s="2">
        <f t="shared" si="55"/>
        <v>494.52796463729027</v>
      </c>
      <c r="AD62" s="2">
        <f t="shared" si="56"/>
        <v>535.98193887676427</v>
      </c>
      <c r="AE62" s="2">
        <f t="shared" si="57"/>
        <v>499.47324428366318</v>
      </c>
      <c r="AF62" s="2">
        <f t="shared" si="58"/>
        <v>541.34175826553189</v>
      </c>
      <c r="AG62" s="2">
        <f t="shared" si="59"/>
        <v>504.46797672649984</v>
      </c>
      <c r="AH62" s="2">
        <f t="shared" si="60"/>
        <v>546.75517584818726</v>
      </c>
    </row>
    <row r="63" spans="1:34">
      <c r="A63" t="str">
        <f t="shared" si="61"/>
        <v>Coffee</v>
      </c>
      <c r="B63" t="str">
        <f t="shared" si="62"/>
        <v>Gambela</v>
      </c>
      <c r="C63" s="2">
        <f>'Target Price'!C63+TargetConsumption!C63*DemSlope!C63</f>
        <v>384.14526108901509</v>
      </c>
      <c r="D63" s="2">
        <f>'Target Price'!D63+TargetConsumption!D63*DemSlope!D63</f>
        <v>474.46539259045682</v>
      </c>
      <c r="E63" s="2">
        <f t="shared" si="31"/>
        <v>387.98671369990524</v>
      </c>
      <c r="F63" s="2">
        <f t="shared" si="32"/>
        <v>479.21004651636139</v>
      </c>
      <c r="G63" s="2">
        <f t="shared" si="33"/>
        <v>391.86658083690429</v>
      </c>
      <c r="H63" s="2">
        <f t="shared" si="34"/>
        <v>484.00214698152502</v>
      </c>
      <c r="I63" s="2">
        <f t="shared" si="35"/>
        <v>395.78524664527333</v>
      </c>
      <c r="J63" s="2">
        <f t="shared" si="36"/>
        <v>488.84216845134029</v>
      </c>
      <c r="K63" s="2">
        <f t="shared" si="37"/>
        <v>399.74309911172605</v>
      </c>
      <c r="L63" s="2">
        <f t="shared" si="38"/>
        <v>493.73059013585367</v>
      </c>
      <c r="M63" s="2">
        <f t="shared" si="39"/>
        <v>403.74053010284331</v>
      </c>
      <c r="N63" s="2">
        <f t="shared" si="40"/>
        <v>498.66789603721219</v>
      </c>
      <c r="O63" s="2">
        <f t="shared" si="41"/>
        <v>407.77793540387177</v>
      </c>
      <c r="P63" s="2">
        <f t="shared" si="42"/>
        <v>503.65457499758429</v>
      </c>
      <c r="Q63" s="2">
        <f t="shared" si="43"/>
        <v>411.8557147579105</v>
      </c>
      <c r="R63" s="2">
        <f t="shared" si="44"/>
        <v>508.69112074756015</v>
      </c>
      <c r="S63" s="2">
        <f t="shared" si="45"/>
        <v>415.97427190548962</v>
      </c>
      <c r="T63" s="2">
        <f t="shared" si="46"/>
        <v>513.77803195503577</v>
      </c>
      <c r="U63" s="2">
        <f t="shared" si="47"/>
        <v>420.13401462454453</v>
      </c>
      <c r="V63" s="2">
        <f t="shared" si="48"/>
        <v>518.91581227458619</v>
      </c>
      <c r="W63" s="2">
        <f t="shared" si="49"/>
        <v>424.33535477078999</v>
      </c>
      <c r="X63" s="2">
        <f t="shared" si="50"/>
        <v>524.10497039733207</v>
      </c>
      <c r="Y63" s="2">
        <f t="shared" si="51"/>
        <v>428.57870831849789</v>
      </c>
      <c r="Z63" s="2">
        <f t="shared" si="52"/>
        <v>529.34602010130538</v>
      </c>
      <c r="AA63" s="2">
        <f t="shared" si="53"/>
        <v>432.86449540168286</v>
      </c>
      <c r="AB63" s="2">
        <f t="shared" si="54"/>
        <v>534.63948030231847</v>
      </c>
      <c r="AC63" s="2">
        <f t="shared" si="55"/>
        <v>437.19314035569971</v>
      </c>
      <c r="AD63" s="2">
        <f t="shared" si="56"/>
        <v>539.98587510534162</v>
      </c>
      <c r="AE63" s="2">
        <f t="shared" si="57"/>
        <v>441.56507175925674</v>
      </c>
      <c r="AF63" s="2">
        <f t="shared" si="58"/>
        <v>545.38573385639506</v>
      </c>
      <c r="AG63" s="2">
        <f t="shared" si="59"/>
        <v>445.98072247684934</v>
      </c>
      <c r="AH63" s="2">
        <f t="shared" si="60"/>
        <v>550.83959119495898</v>
      </c>
    </row>
    <row r="64" spans="1:34">
      <c r="A64" t="str">
        <f t="shared" si="61"/>
        <v>Coffee</v>
      </c>
      <c r="B64" t="str">
        <f t="shared" si="62"/>
        <v>Harari</v>
      </c>
      <c r="C64" s="2">
        <f>'Target Price'!C64+TargetConsumption!C64*DemSlope!C64</f>
        <v>414.81468724544527</v>
      </c>
      <c r="D64" s="2">
        <f>'Target Price'!D64+TargetConsumption!D64*DemSlope!D64</f>
        <v>474.36079376345231</v>
      </c>
      <c r="E64" s="2">
        <f t="shared" si="31"/>
        <v>418.96283411789972</v>
      </c>
      <c r="F64" s="2">
        <f t="shared" si="32"/>
        <v>479.10440170108683</v>
      </c>
      <c r="G64" s="2">
        <f t="shared" si="33"/>
        <v>423.15246245907872</v>
      </c>
      <c r="H64" s="2">
        <f t="shared" si="34"/>
        <v>483.89544571809768</v>
      </c>
      <c r="I64" s="2">
        <f t="shared" si="35"/>
        <v>427.38398708366952</v>
      </c>
      <c r="J64" s="2">
        <f t="shared" si="36"/>
        <v>488.73440017527867</v>
      </c>
      <c r="K64" s="2">
        <f t="shared" si="37"/>
        <v>431.65782695450622</v>
      </c>
      <c r="L64" s="2">
        <f t="shared" si="38"/>
        <v>493.62174417703147</v>
      </c>
      <c r="M64" s="2">
        <f t="shared" si="39"/>
        <v>435.97440522405128</v>
      </c>
      <c r="N64" s="2">
        <f t="shared" si="40"/>
        <v>498.55796161880181</v>
      </c>
      <c r="O64" s="2">
        <f t="shared" si="41"/>
        <v>440.33414927629178</v>
      </c>
      <c r="P64" s="2">
        <f t="shared" si="42"/>
        <v>503.54354123498985</v>
      </c>
      <c r="Q64" s="2">
        <f t="shared" si="43"/>
        <v>444.73749076905472</v>
      </c>
      <c r="R64" s="2">
        <f t="shared" si="44"/>
        <v>508.57897664733974</v>
      </c>
      <c r="S64" s="2">
        <f t="shared" si="45"/>
        <v>449.18486567674529</v>
      </c>
      <c r="T64" s="2">
        <f t="shared" si="46"/>
        <v>513.66476641381314</v>
      </c>
      <c r="U64" s="2">
        <f t="shared" si="47"/>
        <v>453.67671433351273</v>
      </c>
      <c r="V64" s="2">
        <f t="shared" si="48"/>
        <v>518.80141407795122</v>
      </c>
      <c r="W64" s="2">
        <f t="shared" si="49"/>
        <v>458.21348147684785</v>
      </c>
      <c r="X64" s="2">
        <f t="shared" si="50"/>
        <v>523.98942821873072</v>
      </c>
      <c r="Y64" s="2">
        <f t="shared" si="51"/>
        <v>462.79561629161634</v>
      </c>
      <c r="Z64" s="2">
        <f t="shared" si="52"/>
        <v>529.22932250091799</v>
      </c>
      <c r="AA64" s="2">
        <f t="shared" si="53"/>
        <v>467.42357245453252</v>
      </c>
      <c r="AB64" s="2">
        <f t="shared" si="54"/>
        <v>534.52161572592718</v>
      </c>
      <c r="AC64" s="2">
        <f t="shared" si="55"/>
        <v>472.09780817907784</v>
      </c>
      <c r="AD64" s="2">
        <f t="shared" si="56"/>
        <v>539.86683188318648</v>
      </c>
      <c r="AE64" s="2">
        <f t="shared" si="57"/>
        <v>476.81878626086865</v>
      </c>
      <c r="AF64" s="2">
        <f t="shared" si="58"/>
        <v>545.2655002020183</v>
      </c>
      <c r="AG64" s="2">
        <f t="shared" si="59"/>
        <v>481.58697412347732</v>
      </c>
      <c r="AH64" s="2">
        <f t="shared" si="60"/>
        <v>550.71815520403845</v>
      </c>
    </row>
    <row r="65" spans="1:34">
      <c r="A65" t="str">
        <f t="shared" si="61"/>
        <v>Coffee</v>
      </c>
      <c r="B65" t="str">
        <f t="shared" si="62"/>
        <v>Oromia</v>
      </c>
      <c r="C65" s="2">
        <f>'Target Price'!C65+TargetConsumption!C65*DemSlope!C65</f>
        <v>361.24956684713209</v>
      </c>
      <c r="D65" s="2">
        <f>'Target Price'!D65+TargetConsumption!D65*DemSlope!D65</f>
        <v>443.11766719920558</v>
      </c>
      <c r="E65" s="2">
        <f t="shared" si="31"/>
        <v>364.86206251560338</v>
      </c>
      <c r="F65" s="2">
        <f t="shared" si="32"/>
        <v>447.54884387119762</v>
      </c>
      <c r="G65" s="2">
        <f t="shared" si="33"/>
        <v>368.5106831407594</v>
      </c>
      <c r="H65" s="2">
        <f t="shared" si="34"/>
        <v>452.0243323099096</v>
      </c>
      <c r="I65" s="2">
        <f t="shared" si="35"/>
        <v>372.19578997216701</v>
      </c>
      <c r="J65" s="2">
        <f t="shared" si="36"/>
        <v>456.54457563300872</v>
      </c>
      <c r="K65" s="2">
        <f t="shared" si="37"/>
        <v>375.91774787188871</v>
      </c>
      <c r="L65" s="2">
        <f t="shared" si="38"/>
        <v>461.11002138933878</v>
      </c>
      <c r="M65" s="2">
        <f t="shared" si="39"/>
        <v>379.67692535060758</v>
      </c>
      <c r="N65" s="2">
        <f t="shared" si="40"/>
        <v>465.72112160323218</v>
      </c>
      <c r="O65" s="2">
        <f t="shared" si="41"/>
        <v>383.47369460411363</v>
      </c>
      <c r="P65" s="2">
        <f t="shared" si="42"/>
        <v>470.37833281926453</v>
      </c>
      <c r="Q65" s="2">
        <f t="shared" si="43"/>
        <v>387.30843155015475</v>
      </c>
      <c r="R65" s="2">
        <f t="shared" si="44"/>
        <v>475.08211614745716</v>
      </c>
      <c r="S65" s="2">
        <f t="shared" si="45"/>
        <v>391.18151586565631</v>
      </c>
      <c r="T65" s="2">
        <f t="shared" si="46"/>
        <v>479.83293730893172</v>
      </c>
      <c r="U65" s="2">
        <f t="shared" si="47"/>
        <v>395.09333102431287</v>
      </c>
      <c r="V65" s="2">
        <f t="shared" si="48"/>
        <v>484.63126668202102</v>
      </c>
      <c r="W65" s="2">
        <f t="shared" si="49"/>
        <v>399.04426433455603</v>
      </c>
      <c r="X65" s="2">
        <f t="shared" si="50"/>
        <v>489.47757934884123</v>
      </c>
      <c r="Y65" s="2">
        <f t="shared" si="51"/>
        <v>403.03470697790158</v>
      </c>
      <c r="Z65" s="2">
        <f t="shared" si="52"/>
        <v>494.37235514232964</v>
      </c>
      <c r="AA65" s="2">
        <f t="shared" si="53"/>
        <v>407.06505404768058</v>
      </c>
      <c r="AB65" s="2">
        <f t="shared" si="54"/>
        <v>499.31607869375296</v>
      </c>
      <c r="AC65" s="2">
        <f t="shared" si="55"/>
        <v>411.13570458815741</v>
      </c>
      <c r="AD65" s="2">
        <f t="shared" si="56"/>
        <v>504.30923948069051</v>
      </c>
      <c r="AE65" s="2">
        <f t="shared" si="57"/>
        <v>415.24706163403897</v>
      </c>
      <c r="AF65" s="2">
        <f t="shared" si="58"/>
        <v>509.35233187549744</v>
      </c>
      <c r="AG65" s="2">
        <f t="shared" si="59"/>
        <v>419.39953225037937</v>
      </c>
      <c r="AH65" s="2">
        <f t="shared" si="60"/>
        <v>514.44585519425243</v>
      </c>
    </row>
    <row r="66" spans="1:34">
      <c r="A66" t="str">
        <f t="shared" si="61"/>
        <v>Coffee</v>
      </c>
      <c r="B66" t="str">
        <f t="shared" si="62"/>
        <v>Somali</v>
      </c>
      <c r="C66" s="2">
        <f>'Target Price'!C66+TargetConsumption!C66*DemSlope!C66</f>
        <v>359.57394874170063</v>
      </c>
      <c r="D66" s="2">
        <f>'Target Price'!D66+TargetConsumption!D66*DemSlope!D66</f>
        <v>439.23250242736293</v>
      </c>
      <c r="E66" s="2">
        <f t="shared" si="31"/>
        <v>363.16968822911764</v>
      </c>
      <c r="F66" s="2">
        <f t="shared" si="32"/>
        <v>443.62482745163658</v>
      </c>
      <c r="G66" s="2">
        <f t="shared" si="33"/>
        <v>366.80138511140882</v>
      </c>
      <c r="H66" s="2">
        <f t="shared" si="34"/>
        <v>448.06107572615292</v>
      </c>
      <c r="I66" s="2">
        <f t="shared" si="35"/>
        <v>370.46939896252292</v>
      </c>
      <c r="J66" s="2">
        <f t="shared" si="36"/>
        <v>452.54168648341448</v>
      </c>
      <c r="K66" s="2">
        <f t="shared" si="37"/>
        <v>374.17409295214816</v>
      </c>
      <c r="L66" s="2">
        <f t="shared" si="38"/>
        <v>457.06710334824862</v>
      </c>
      <c r="M66" s="2">
        <f t="shared" si="39"/>
        <v>377.91583388166964</v>
      </c>
      <c r="N66" s="2">
        <f t="shared" si="40"/>
        <v>461.63777438173111</v>
      </c>
      <c r="O66" s="2">
        <f t="shared" si="41"/>
        <v>381.69499222048631</v>
      </c>
      <c r="P66" s="2">
        <f t="shared" si="42"/>
        <v>466.25415212554844</v>
      </c>
      <c r="Q66" s="2">
        <f t="shared" si="43"/>
        <v>385.51194214269117</v>
      </c>
      <c r="R66" s="2">
        <f t="shared" si="44"/>
        <v>470.91669364680394</v>
      </c>
      <c r="S66" s="2">
        <f t="shared" si="45"/>
        <v>389.3670615641181</v>
      </c>
      <c r="T66" s="2">
        <f t="shared" si="46"/>
        <v>475.62586058327196</v>
      </c>
      <c r="U66" s="2">
        <f t="shared" si="47"/>
        <v>393.26073217975932</v>
      </c>
      <c r="V66" s="2">
        <f t="shared" si="48"/>
        <v>480.38211918910469</v>
      </c>
      <c r="W66" s="2">
        <f t="shared" si="49"/>
        <v>397.19333950155692</v>
      </c>
      <c r="X66" s="2">
        <f t="shared" si="50"/>
        <v>485.18594038099576</v>
      </c>
      <c r="Y66" s="2">
        <f t="shared" si="51"/>
        <v>401.1652728965725</v>
      </c>
      <c r="Z66" s="2">
        <f t="shared" si="52"/>
        <v>490.03779978480571</v>
      </c>
      <c r="AA66" s="2">
        <f t="shared" si="53"/>
        <v>405.17692562553822</v>
      </c>
      <c r="AB66" s="2">
        <f t="shared" si="54"/>
        <v>494.93817778265378</v>
      </c>
      <c r="AC66" s="2">
        <f t="shared" si="55"/>
        <v>409.22869488179361</v>
      </c>
      <c r="AD66" s="2">
        <f t="shared" si="56"/>
        <v>499.88755956048033</v>
      </c>
      <c r="AE66" s="2">
        <f t="shared" si="57"/>
        <v>413.32098183061157</v>
      </c>
      <c r="AF66" s="2">
        <f t="shared" si="58"/>
        <v>504.88643515608516</v>
      </c>
      <c r="AG66" s="2">
        <f t="shared" si="59"/>
        <v>417.45419164891769</v>
      </c>
      <c r="AH66" s="2">
        <f t="shared" si="60"/>
        <v>509.93529950764599</v>
      </c>
    </row>
    <row r="67" spans="1:34">
      <c r="A67" t="str">
        <f t="shared" si="61"/>
        <v>Coffee</v>
      </c>
      <c r="B67" t="str">
        <f t="shared" si="62"/>
        <v>SNNPR</v>
      </c>
      <c r="C67" s="2">
        <f>'Target Price'!C67+TargetConsumption!C67*DemSlope!C67</f>
        <v>405.17164299235117</v>
      </c>
      <c r="D67" s="2">
        <f>'Target Price'!D67+TargetConsumption!D67*DemSlope!D67</f>
        <v>451.35715306127321</v>
      </c>
      <c r="E67" s="2">
        <f t="shared" si="31"/>
        <v>409.22335942227465</v>
      </c>
      <c r="F67" s="2">
        <f t="shared" si="32"/>
        <v>455.87072459188596</v>
      </c>
      <c r="G67" s="2">
        <f t="shared" si="33"/>
        <v>413.31559301649742</v>
      </c>
      <c r="H67" s="2">
        <f t="shared" si="34"/>
        <v>460.42943183780483</v>
      </c>
      <c r="I67" s="2">
        <f t="shared" si="35"/>
        <v>417.44874894666242</v>
      </c>
      <c r="J67" s="2">
        <f t="shared" si="36"/>
        <v>465.03372615618287</v>
      </c>
      <c r="K67" s="2">
        <f t="shared" si="37"/>
        <v>421.62323643612905</v>
      </c>
      <c r="L67" s="2">
        <f t="shared" si="38"/>
        <v>469.68406341774471</v>
      </c>
      <c r="M67" s="2">
        <f t="shared" si="39"/>
        <v>425.83946880049035</v>
      </c>
      <c r="N67" s="2">
        <f t="shared" si="40"/>
        <v>474.38090405192219</v>
      </c>
      <c r="O67" s="2">
        <f t="shared" si="41"/>
        <v>430.09786348849525</v>
      </c>
      <c r="P67" s="2">
        <f t="shared" si="42"/>
        <v>479.12471309244143</v>
      </c>
      <c r="Q67" s="2">
        <f t="shared" si="43"/>
        <v>434.39884212338023</v>
      </c>
      <c r="R67" s="2">
        <f t="shared" si="44"/>
        <v>483.91596022336586</v>
      </c>
      <c r="S67" s="2">
        <f t="shared" si="45"/>
        <v>438.74283054461404</v>
      </c>
      <c r="T67" s="2">
        <f t="shared" si="46"/>
        <v>488.75511982559954</v>
      </c>
      <c r="U67" s="2">
        <f t="shared" si="47"/>
        <v>443.13025885006016</v>
      </c>
      <c r="V67" s="2">
        <f t="shared" si="48"/>
        <v>493.64267102385554</v>
      </c>
      <c r="W67" s="2">
        <f t="shared" si="49"/>
        <v>447.56156143856077</v>
      </c>
      <c r="X67" s="2">
        <f t="shared" si="50"/>
        <v>498.57909773409409</v>
      </c>
      <c r="Y67" s="2">
        <f t="shared" si="51"/>
        <v>452.03717705294639</v>
      </c>
      <c r="Z67" s="2">
        <f t="shared" si="52"/>
        <v>503.56488871143506</v>
      </c>
      <c r="AA67" s="2">
        <f t="shared" si="53"/>
        <v>456.55754882347588</v>
      </c>
      <c r="AB67" s="2">
        <f t="shared" si="54"/>
        <v>508.60053759854941</v>
      </c>
      <c r="AC67" s="2">
        <f t="shared" si="55"/>
        <v>461.12312431171063</v>
      </c>
      <c r="AD67" s="2">
        <f t="shared" si="56"/>
        <v>513.68654297453486</v>
      </c>
      <c r="AE67" s="2">
        <f t="shared" si="57"/>
        <v>465.73435555482774</v>
      </c>
      <c r="AF67" s="2">
        <f t="shared" si="58"/>
        <v>518.82340840428026</v>
      </c>
      <c r="AG67" s="2">
        <f t="shared" si="59"/>
        <v>470.39169911037601</v>
      </c>
      <c r="AH67" s="2">
        <f t="shared" si="60"/>
        <v>524.0116424883231</v>
      </c>
    </row>
    <row r="68" spans="1:34">
      <c r="A68" t="str">
        <f t="shared" si="61"/>
        <v>Coffee</v>
      </c>
      <c r="B68" t="str">
        <f t="shared" si="62"/>
        <v>Tigray</v>
      </c>
      <c r="C68" s="2">
        <f>'Target Price'!C68+TargetConsumption!C68*DemSlope!C68</f>
        <v>398.39843722363219</v>
      </c>
      <c r="D68" s="2">
        <f>'Target Price'!D68+TargetConsumption!D68*DemSlope!D68</f>
        <v>434.70034556481767</v>
      </c>
      <c r="E68" s="2">
        <f t="shared" ref="E68" si="63">C68*1.01</f>
        <v>402.38242159586849</v>
      </c>
      <c r="F68" s="2">
        <f t="shared" ref="F68" si="64">D68*1.01</f>
        <v>439.04734902046584</v>
      </c>
      <c r="G68" s="2">
        <f t="shared" ref="G68" si="65">E68*1.01</f>
        <v>406.4062458118272</v>
      </c>
      <c r="H68" s="2">
        <f t="shared" ref="H68" si="66">F68*1.01</f>
        <v>443.43782251067051</v>
      </c>
      <c r="I68" s="2">
        <f t="shared" ref="I68" si="67">G68*1.01</f>
        <v>410.47030826994546</v>
      </c>
      <c r="J68" s="2">
        <f t="shared" ref="J68" si="68">H68*1.01</f>
        <v>447.8722007357772</v>
      </c>
      <c r="K68" s="2">
        <f t="shared" ref="K68" si="69">I68*1.01</f>
        <v>414.57501135264494</v>
      </c>
      <c r="L68" s="2">
        <f t="shared" ref="L68" si="70">J68*1.01</f>
        <v>452.35092274313496</v>
      </c>
      <c r="M68" s="2">
        <f t="shared" ref="M68" si="71">K68*1.01</f>
        <v>418.72076146617138</v>
      </c>
      <c r="N68" s="2">
        <f t="shared" ref="N68" si="72">L68*1.01</f>
        <v>456.87443197056632</v>
      </c>
      <c r="O68" s="2">
        <f t="shared" ref="O68" si="73">M68*1.01</f>
        <v>422.90796908083308</v>
      </c>
      <c r="P68" s="2">
        <f t="shared" ref="P68" si="74">N68*1.01</f>
        <v>461.44317629027199</v>
      </c>
      <c r="Q68" s="2">
        <f t="shared" ref="Q68" si="75">O68*1.01</f>
        <v>427.13704877164145</v>
      </c>
      <c r="R68" s="2">
        <f t="shared" ref="R68" si="76">P68*1.01</f>
        <v>466.0576080531747</v>
      </c>
      <c r="S68" s="2">
        <f t="shared" ref="S68" si="77">Q68*1.01</f>
        <v>431.40841925935786</v>
      </c>
      <c r="T68" s="2">
        <f t="shared" ref="T68" si="78">R68*1.01</f>
        <v>470.71818413370647</v>
      </c>
      <c r="U68" s="2">
        <f t="shared" ref="U68" si="79">S68*1.01</f>
        <v>435.72250345195141</v>
      </c>
      <c r="V68" s="2">
        <f t="shared" ref="V68" si="80">T68*1.01</f>
        <v>475.42536597504352</v>
      </c>
      <c r="W68" s="2">
        <f t="shared" ref="W68" si="81">U68*1.01</f>
        <v>440.07972848647091</v>
      </c>
      <c r="X68" s="2">
        <f t="shared" ref="X68" si="82">V68*1.01</f>
        <v>480.17961963479394</v>
      </c>
      <c r="Y68" s="2">
        <f t="shared" ref="Y68" si="83">W68*1.01</f>
        <v>444.48052577133564</v>
      </c>
      <c r="Z68" s="2">
        <f t="shared" ref="Z68" si="84">X68*1.01</f>
        <v>484.98141583114187</v>
      </c>
      <c r="AA68" s="2">
        <f t="shared" ref="AA68" si="85">Y68*1.01</f>
        <v>448.925331029049</v>
      </c>
      <c r="AB68" s="2">
        <f t="shared" ref="AB68" si="86">Z68*1.01</f>
        <v>489.83122998945328</v>
      </c>
      <c r="AC68" s="2">
        <f t="shared" ref="AC68" si="87">AA68*1.01</f>
        <v>453.41458433933951</v>
      </c>
      <c r="AD68" s="2">
        <f t="shared" ref="AD68" si="88">AB68*1.01</f>
        <v>494.72954228934782</v>
      </c>
      <c r="AE68" s="2">
        <f t="shared" ref="AE68" si="89">AC68*1.01</f>
        <v>457.9487301827329</v>
      </c>
      <c r="AF68" s="2">
        <f t="shared" ref="AF68" si="90">AD68*1.01</f>
        <v>499.67683771224131</v>
      </c>
      <c r="AG68" s="2">
        <f t="shared" ref="AG68" si="91">AE68*1.01</f>
        <v>462.52821748456023</v>
      </c>
      <c r="AH68" s="2">
        <f t="shared" ref="AH68" si="92">AF68*1.01</f>
        <v>504.67360608936372</v>
      </c>
    </row>
    <row r="69" spans="1:34">
      <c r="A69" t="str">
        <f t="shared" si="61"/>
        <v>Beef</v>
      </c>
      <c r="B69" t="str">
        <f t="shared" si="62"/>
        <v>AddisAbaba</v>
      </c>
      <c r="C69" s="2">
        <f>'Target Price'!C69+TargetConsumption!C69*DemSlope!C69</f>
        <v>91.691905519216917</v>
      </c>
      <c r="D69" s="2">
        <f>'Target Price'!D69+TargetConsumption!D69*DemSlope!D69</f>
        <v>91.691905519216931</v>
      </c>
      <c r="E69" s="2">
        <f t="shared" ref="E69:E90" si="93">C69*1.01</f>
        <v>92.608824574409084</v>
      </c>
      <c r="F69" s="2">
        <f t="shared" ref="F69:F90" si="94">D69*1.01</f>
        <v>92.608824574409098</v>
      </c>
      <c r="G69" s="2">
        <f t="shared" ref="G69:G90" si="95">E69*1.01</f>
        <v>93.534912820153181</v>
      </c>
      <c r="H69" s="2">
        <f t="shared" ref="H69:H90" si="96">F69*1.01</f>
        <v>93.534912820153195</v>
      </c>
      <c r="I69" s="2">
        <f t="shared" ref="I69:I90" si="97">G69*1.01</f>
        <v>94.470261948354718</v>
      </c>
      <c r="J69" s="2">
        <f t="shared" ref="J69:J90" si="98">H69*1.01</f>
        <v>94.470261948354732</v>
      </c>
      <c r="K69" s="2">
        <f t="shared" ref="K69:K90" si="99">I69*1.01</f>
        <v>95.414964567838268</v>
      </c>
      <c r="L69" s="2">
        <f t="shared" ref="L69:L90" si="100">J69*1.01</f>
        <v>95.414964567838283</v>
      </c>
      <c r="M69" s="2">
        <f t="shared" ref="M69:M90" si="101">K69*1.01</f>
        <v>96.369114213516653</v>
      </c>
      <c r="N69" s="2">
        <f t="shared" ref="N69:N90" si="102">L69*1.01</f>
        <v>96.369114213516667</v>
      </c>
      <c r="O69" s="2">
        <f t="shared" ref="O69:O90" si="103">M69*1.01</f>
        <v>97.332805355651814</v>
      </c>
      <c r="P69" s="2">
        <f t="shared" ref="P69:P90" si="104">N69*1.01</f>
        <v>97.332805355651828</v>
      </c>
      <c r="Q69" s="2">
        <f t="shared" ref="Q69:Q90" si="105">O69*1.01</f>
        <v>98.306133409208329</v>
      </c>
      <c r="R69" s="2">
        <f t="shared" ref="R69:R90" si="106">P69*1.01</f>
        <v>98.306133409208343</v>
      </c>
      <c r="S69" s="2">
        <f t="shared" ref="S69:S90" si="107">Q69*1.01</f>
        <v>99.289194743300413</v>
      </c>
      <c r="T69" s="2">
        <f t="shared" ref="T69:T90" si="108">R69*1.01</f>
        <v>99.289194743300428</v>
      </c>
      <c r="U69" s="2">
        <f t="shared" ref="U69:U90" si="109">S69*1.01</f>
        <v>100.28208669073342</v>
      </c>
      <c r="V69" s="2">
        <f t="shared" ref="V69:V90" si="110">T69*1.01</f>
        <v>100.28208669073344</v>
      </c>
      <c r="W69" s="2">
        <f t="shared" ref="W69:W90" si="111">U69*1.01</f>
        <v>101.28490755764076</v>
      </c>
      <c r="X69" s="2">
        <f t="shared" ref="X69:X90" si="112">V69*1.01</f>
        <v>101.28490755764078</v>
      </c>
      <c r="Y69" s="2">
        <f t="shared" ref="Y69:Y90" si="113">W69*1.01</f>
        <v>102.29775663321718</v>
      </c>
      <c r="Z69" s="2">
        <f t="shared" ref="Z69:Z90" si="114">X69*1.01</f>
        <v>102.29775663321719</v>
      </c>
      <c r="AA69" s="2">
        <f t="shared" ref="AA69:AA90" si="115">Y69*1.01</f>
        <v>103.32073419954935</v>
      </c>
      <c r="AB69" s="2">
        <f t="shared" ref="AB69:AB90" si="116">Z69*1.01</f>
        <v>103.32073419954936</v>
      </c>
      <c r="AC69" s="2">
        <f t="shared" ref="AC69:AC90" si="117">AA69*1.01</f>
        <v>104.35394154154484</v>
      </c>
      <c r="AD69" s="2">
        <f t="shared" ref="AD69:AD90" si="118">AB69*1.01</f>
        <v>104.35394154154486</v>
      </c>
      <c r="AE69" s="2">
        <f t="shared" ref="AE69:AE90" si="119">AC69*1.01</f>
        <v>105.39748095696029</v>
      </c>
      <c r="AF69" s="2">
        <f t="shared" ref="AF69:AF90" si="120">AD69*1.01</f>
        <v>105.39748095696031</v>
      </c>
      <c r="AG69" s="2">
        <f t="shared" ref="AG69:AG90" si="121">AE69*1.01</f>
        <v>106.4514557665299</v>
      </c>
      <c r="AH69" s="2">
        <f t="shared" ref="AH69:AH90" si="122">AF69*1.01</f>
        <v>106.45145576652992</v>
      </c>
    </row>
    <row r="70" spans="1:34">
      <c r="A70" t="str">
        <f t="shared" si="61"/>
        <v>Beef</v>
      </c>
      <c r="B70" t="str">
        <f t="shared" si="62"/>
        <v>Afar</v>
      </c>
      <c r="C70" s="2">
        <f>'Target Price'!C70+TargetConsumption!C70*DemSlope!C70</f>
        <v>109.97613131212611</v>
      </c>
      <c r="D70" s="2">
        <f>'Target Price'!D70+TargetConsumption!D70*DemSlope!D70</f>
        <v>109.97613131212611</v>
      </c>
      <c r="E70" s="2">
        <f t="shared" si="93"/>
        <v>111.07589262524738</v>
      </c>
      <c r="F70" s="2">
        <f t="shared" si="94"/>
        <v>111.07589262524738</v>
      </c>
      <c r="G70" s="2">
        <f t="shared" si="95"/>
        <v>112.18665155149985</v>
      </c>
      <c r="H70" s="2">
        <f t="shared" si="96"/>
        <v>112.18665155149985</v>
      </c>
      <c r="I70" s="2">
        <f t="shared" si="97"/>
        <v>113.30851806701484</v>
      </c>
      <c r="J70" s="2">
        <f t="shared" si="98"/>
        <v>113.30851806701484</v>
      </c>
      <c r="K70" s="2">
        <f t="shared" si="99"/>
        <v>114.44160324768499</v>
      </c>
      <c r="L70" s="2">
        <f t="shared" si="100"/>
        <v>114.44160324768499</v>
      </c>
      <c r="M70" s="2">
        <f t="shared" si="101"/>
        <v>115.58601928016185</v>
      </c>
      <c r="N70" s="2">
        <f t="shared" si="102"/>
        <v>115.58601928016185</v>
      </c>
      <c r="O70" s="2">
        <f t="shared" si="103"/>
        <v>116.74187947296348</v>
      </c>
      <c r="P70" s="2">
        <f t="shared" si="104"/>
        <v>116.74187947296348</v>
      </c>
      <c r="Q70" s="2">
        <f t="shared" si="105"/>
        <v>117.90929826769312</v>
      </c>
      <c r="R70" s="2">
        <f t="shared" si="106"/>
        <v>117.90929826769312</v>
      </c>
      <c r="S70" s="2">
        <f t="shared" si="107"/>
        <v>119.08839125037005</v>
      </c>
      <c r="T70" s="2">
        <f t="shared" si="108"/>
        <v>119.08839125037005</v>
      </c>
      <c r="U70" s="2">
        <f t="shared" si="109"/>
        <v>120.27927516287376</v>
      </c>
      <c r="V70" s="2">
        <f t="shared" si="110"/>
        <v>120.27927516287376</v>
      </c>
      <c r="W70" s="2">
        <f t="shared" si="111"/>
        <v>121.48206791450249</v>
      </c>
      <c r="X70" s="2">
        <f t="shared" si="112"/>
        <v>121.48206791450249</v>
      </c>
      <c r="Y70" s="2">
        <f t="shared" si="113"/>
        <v>122.69688859364751</v>
      </c>
      <c r="Z70" s="2">
        <f t="shared" si="114"/>
        <v>122.69688859364751</v>
      </c>
      <c r="AA70" s="2">
        <f t="shared" si="115"/>
        <v>123.92385747958399</v>
      </c>
      <c r="AB70" s="2">
        <f t="shared" si="116"/>
        <v>123.92385747958399</v>
      </c>
      <c r="AC70" s="2">
        <f t="shared" si="117"/>
        <v>125.16309605437982</v>
      </c>
      <c r="AD70" s="2">
        <f t="shared" si="118"/>
        <v>125.16309605437982</v>
      </c>
      <c r="AE70" s="2">
        <f t="shared" si="119"/>
        <v>126.41472701492361</v>
      </c>
      <c r="AF70" s="2">
        <f t="shared" si="120"/>
        <v>126.41472701492361</v>
      </c>
      <c r="AG70" s="2">
        <f t="shared" si="121"/>
        <v>127.67887428507285</v>
      </c>
      <c r="AH70" s="2">
        <f t="shared" si="122"/>
        <v>127.67887428507285</v>
      </c>
    </row>
    <row r="71" spans="1:34">
      <c r="A71" t="str">
        <f t="shared" si="61"/>
        <v>Beef</v>
      </c>
      <c r="B71" t="str">
        <f t="shared" si="62"/>
        <v>Amhara</v>
      </c>
      <c r="C71" s="2">
        <f>'Target Price'!C71+TargetConsumption!C71*DemSlope!C71</f>
        <v>96.29198942625375</v>
      </c>
      <c r="D71" s="2">
        <f>'Target Price'!D71+TargetConsumption!D71*DemSlope!D71</f>
        <v>96.29198942625375</v>
      </c>
      <c r="E71" s="2">
        <f t="shared" si="93"/>
        <v>97.25490932051629</v>
      </c>
      <c r="F71" s="2">
        <f t="shared" si="94"/>
        <v>97.25490932051629</v>
      </c>
      <c r="G71" s="2">
        <f t="shared" si="95"/>
        <v>98.22745841372145</v>
      </c>
      <c r="H71" s="2">
        <f t="shared" si="96"/>
        <v>98.22745841372145</v>
      </c>
      <c r="I71" s="2">
        <f t="shared" si="97"/>
        <v>99.209732997858666</v>
      </c>
      <c r="J71" s="2">
        <f t="shared" si="98"/>
        <v>99.209732997858666</v>
      </c>
      <c r="K71" s="2">
        <f t="shared" si="99"/>
        <v>100.20183032783726</v>
      </c>
      <c r="L71" s="2">
        <f t="shared" si="100"/>
        <v>100.20183032783726</v>
      </c>
      <c r="M71" s="2">
        <f t="shared" si="101"/>
        <v>101.20384863111563</v>
      </c>
      <c r="N71" s="2">
        <f t="shared" si="102"/>
        <v>101.20384863111563</v>
      </c>
      <c r="O71" s="2">
        <f t="shared" si="103"/>
        <v>102.21588711742679</v>
      </c>
      <c r="P71" s="2">
        <f t="shared" si="104"/>
        <v>102.21588711742679</v>
      </c>
      <c r="Q71" s="2">
        <f t="shared" si="105"/>
        <v>103.23804598860106</v>
      </c>
      <c r="R71" s="2">
        <f t="shared" si="106"/>
        <v>103.23804598860106</v>
      </c>
      <c r="S71" s="2">
        <f t="shared" si="107"/>
        <v>104.27042644848707</v>
      </c>
      <c r="T71" s="2">
        <f t="shared" si="108"/>
        <v>104.27042644848707</v>
      </c>
      <c r="U71" s="2">
        <f t="shared" si="109"/>
        <v>105.31313071297194</v>
      </c>
      <c r="V71" s="2">
        <f t="shared" si="110"/>
        <v>105.31313071297194</v>
      </c>
      <c r="W71" s="2">
        <f t="shared" si="111"/>
        <v>106.36626202010166</v>
      </c>
      <c r="X71" s="2">
        <f t="shared" si="112"/>
        <v>106.36626202010166</v>
      </c>
      <c r="Y71" s="2">
        <f t="shared" si="113"/>
        <v>107.42992464030267</v>
      </c>
      <c r="Z71" s="2">
        <f t="shared" si="114"/>
        <v>107.42992464030267</v>
      </c>
      <c r="AA71" s="2">
        <f t="shared" si="115"/>
        <v>108.5042238867057</v>
      </c>
      <c r="AB71" s="2">
        <f t="shared" si="116"/>
        <v>108.5042238867057</v>
      </c>
      <c r="AC71" s="2">
        <f t="shared" si="117"/>
        <v>109.58926612557276</v>
      </c>
      <c r="AD71" s="2">
        <f t="shared" si="118"/>
        <v>109.58926612557276</v>
      </c>
      <c r="AE71" s="2">
        <f t="shared" si="119"/>
        <v>110.6851587868285</v>
      </c>
      <c r="AF71" s="2">
        <f t="shared" si="120"/>
        <v>110.6851587868285</v>
      </c>
      <c r="AG71" s="2">
        <f t="shared" si="121"/>
        <v>111.79201037469679</v>
      </c>
      <c r="AH71" s="2">
        <f t="shared" si="122"/>
        <v>111.79201037469679</v>
      </c>
    </row>
    <row r="72" spans="1:34">
      <c r="A72" t="str">
        <f t="shared" si="61"/>
        <v>Beef</v>
      </c>
      <c r="B72" t="str">
        <f t="shared" si="62"/>
        <v>Gumuz</v>
      </c>
      <c r="C72" s="2">
        <f>'Target Price'!C72+TargetConsumption!C72*DemSlope!C72</f>
        <v>101.90805489303409</v>
      </c>
      <c r="D72" s="2">
        <f>'Target Price'!D72+TargetConsumption!D72*DemSlope!D72</f>
        <v>101.90805489303409</v>
      </c>
      <c r="E72" s="2">
        <f t="shared" si="93"/>
        <v>102.92713544196444</v>
      </c>
      <c r="F72" s="2">
        <f t="shared" si="94"/>
        <v>102.92713544196444</v>
      </c>
      <c r="G72" s="2">
        <f t="shared" si="95"/>
        <v>103.95640679638409</v>
      </c>
      <c r="H72" s="2">
        <f t="shared" si="96"/>
        <v>103.95640679638409</v>
      </c>
      <c r="I72" s="2">
        <f t="shared" si="97"/>
        <v>104.99597086434792</v>
      </c>
      <c r="J72" s="2">
        <f t="shared" si="98"/>
        <v>104.99597086434792</v>
      </c>
      <c r="K72" s="2">
        <f t="shared" si="99"/>
        <v>106.04593057299141</v>
      </c>
      <c r="L72" s="2">
        <f t="shared" si="100"/>
        <v>106.04593057299141</v>
      </c>
      <c r="M72" s="2">
        <f t="shared" si="101"/>
        <v>107.10638987872133</v>
      </c>
      <c r="N72" s="2">
        <f t="shared" si="102"/>
        <v>107.10638987872133</v>
      </c>
      <c r="O72" s="2">
        <f t="shared" si="103"/>
        <v>108.17745377750855</v>
      </c>
      <c r="P72" s="2">
        <f t="shared" si="104"/>
        <v>108.17745377750855</v>
      </c>
      <c r="Q72" s="2">
        <f t="shared" si="105"/>
        <v>109.25922831528364</v>
      </c>
      <c r="R72" s="2">
        <f t="shared" si="106"/>
        <v>109.25922831528364</v>
      </c>
      <c r="S72" s="2">
        <f t="shared" si="107"/>
        <v>110.35182059843648</v>
      </c>
      <c r="T72" s="2">
        <f t="shared" si="108"/>
        <v>110.35182059843648</v>
      </c>
      <c r="U72" s="2">
        <f t="shared" si="109"/>
        <v>111.45533880442085</v>
      </c>
      <c r="V72" s="2">
        <f t="shared" si="110"/>
        <v>111.45533880442085</v>
      </c>
      <c r="W72" s="2">
        <f t="shared" si="111"/>
        <v>112.56989219246506</v>
      </c>
      <c r="X72" s="2">
        <f t="shared" si="112"/>
        <v>112.56989219246506</v>
      </c>
      <c r="Y72" s="2">
        <f t="shared" si="113"/>
        <v>113.69559111438971</v>
      </c>
      <c r="Z72" s="2">
        <f t="shared" si="114"/>
        <v>113.69559111438971</v>
      </c>
      <c r="AA72" s="2">
        <f t="shared" si="115"/>
        <v>114.83254702553361</v>
      </c>
      <c r="AB72" s="2">
        <f t="shared" si="116"/>
        <v>114.83254702553361</v>
      </c>
      <c r="AC72" s="2">
        <f t="shared" si="117"/>
        <v>115.98087249578896</v>
      </c>
      <c r="AD72" s="2">
        <f t="shared" si="118"/>
        <v>115.98087249578896</v>
      </c>
      <c r="AE72" s="2">
        <f t="shared" si="119"/>
        <v>117.14068122074684</v>
      </c>
      <c r="AF72" s="2">
        <f t="shared" si="120"/>
        <v>117.14068122074684</v>
      </c>
      <c r="AG72" s="2">
        <f t="shared" si="121"/>
        <v>118.31208803295431</v>
      </c>
      <c r="AH72" s="2">
        <f t="shared" si="122"/>
        <v>118.31208803295431</v>
      </c>
    </row>
    <row r="73" spans="1:34">
      <c r="A73" t="str">
        <f t="shared" si="61"/>
        <v>Beef</v>
      </c>
      <c r="B73" t="str">
        <f t="shared" si="62"/>
        <v>DireDawa</v>
      </c>
      <c r="C73" s="2">
        <f>'Target Price'!C73+TargetConsumption!C73*DemSlope!C73</f>
        <v>97.834768176606772</v>
      </c>
      <c r="D73" s="2">
        <f>'Target Price'!D73+TargetConsumption!D73*DemSlope!D73</f>
        <v>97.834768176606758</v>
      </c>
      <c r="E73" s="2">
        <f t="shared" si="93"/>
        <v>98.813115858372839</v>
      </c>
      <c r="F73" s="2">
        <f t="shared" si="94"/>
        <v>98.813115858372825</v>
      </c>
      <c r="G73" s="2">
        <f t="shared" si="95"/>
        <v>99.801247016956566</v>
      </c>
      <c r="H73" s="2">
        <f t="shared" si="96"/>
        <v>99.801247016956552</v>
      </c>
      <c r="I73" s="2">
        <f t="shared" si="97"/>
        <v>100.79925948712614</v>
      </c>
      <c r="J73" s="2">
        <f t="shared" si="98"/>
        <v>100.79925948712612</v>
      </c>
      <c r="K73" s="2">
        <f t="shared" si="99"/>
        <v>101.8072520819974</v>
      </c>
      <c r="L73" s="2">
        <f t="shared" si="100"/>
        <v>101.80725208199739</v>
      </c>
      <c r="M73" s="2">
        <f t="shared" si="101"/>
        <v>102.82532460281737</v>
      </c>
      <c r="N73" s="2">
        <f t="shared" si="102"/>
        <v>102.82532460281736</v>
      </c>
      <c r="O73" s="2">
        <f t="shared" si="103"/>
        <v>103.85357784884555</v>
      </c>
      <c r="P73" s="2">
        <f t="shared" si="104"/>
        <v>103.85357784884553</v>
      </c>
      <c r="Q73" s="2">
        <f t="shared" si="105"/>
        <v>104.892113627334</v>
      </c>
      <c r="R73" s="2">
        <f t="shared" si="106"/>
        <v>104.89211362733398</v>
      </c>
      <c r="S73" s="2">
        <f t="shared" si="107"/>
        <v>105.94103476360733</v>
      </c>
      <c r="T73" s="2">
        <f t="shared" si="108"/>
        <v>105.94103476360732</v>
      </c>
      <c r="U73" s="2">
        <f t="shared" si="109"/>
        <v>107.00044511124341</v>
      </c>
      <c r="V73" s="2">
        <f t="shared" si="110"/>
        <v>107.00044511124339</v>
      </c>
      <c r="W73" s="2">
        <f t="shared" si="111"/>
        <v>108.07044956235585</v>
      </c>
      <c r="X73" s="2">
        <f t="shared" si="112"/>
        <v>108.07044956235583</v>
      </c>
      <c r="Y73" s="2">
        <f t="shared" si="113"/>
        <v>109.15115405797941</v>
      </c>
      <c r="Z73" s="2">
        <f t="shared" si="114"/>
        <v>109.1511540579794</v>
      </c>
      <c r="AA73" s="2">
        <f t="shared" si="115"/>
        <v>110.24266559855921</v>
      </c>
      <c r="AB73" s="2">
        <f t="shared" si="116"/>
        <v>110.2426655985592</v>
      </c>
      <c r="AC73" s="2">
        <f t="shared" si="117"/>
        <v>111.34509225454481</v>
      </c>
      <c r="AD73" s="2">
        <f t="shared" si="118"/>
        <v>111.3450922545448</v>
      </c>
      <c r="AE73" s="2">
        <f t="shared" si="119"/>
        <v>112.45854317709026</v>
      </c>
      <c r="AF73" s="2">
        <f t="shared" si="120"/>
        <v>112.45854317709025</v>
      </c>
      <c r="AG73" s="2">
        <f t="shared" si="121"/>
        <v>113.58312860886117</v>
      </c>
      <c r="AH73" s="2">
        <f t="shared" si="122"/>
        <v>113.58312860886116</v>
      </c>
    </row>
    <row r="74" spans="1:34">
      <c r="A74" t="str">
        <f t="shared" si="61"/>
        <v>Beef</v>
      </c>
      <c r="B74" t="str">
        <f t="shared" si="62"/>
        <v>Gambela</v>
      </c>
      <c r="C74" s="2">
        <f>'Target Price'!C74+TargetConsumption!C74*DemSlope!C74</f>
        <v>103.40306518643862</v>
      </c>
      <c r="D74" s="2">
        <f>'Target Price'!D74+TargetConsumption!D74*DemSlope!D74</f>
        <v>103.40306518643862</v>
      </c>
      <c r="E74" s="2">
        <f t="shared" si="93"/>
        <v>104.43709583830301</v>
      </c>
      <c r="F74" s="2">
        <f t="shared" si="94"/>
        <v>104.43709583830301</v>
      </c>
      <c r="G74" s="2">
        <f t="shared" si="95"/>
        <v>105.48146679668604</v>
      </c>
      <c r="H74" s="2">
        <f t="shared" si="96"/>
        <v>105.48146679668604</v>
      </c>
      <c r="I74" s="2">
        <f t="shared" si="97"/>
        <v>106.5362814646529</v>
      </c>
      <c r="J74" s="2">
        <f t="shared" si="98"/>
        <v>106.5362814646529</v>
      </c>
      <c r="K74" s="2">
        <f t="shared" si="99"/>
        <v>107.60164427929944</v>
      </c>
      <c r="L74" s="2">
        <f t="shared" si="100"/>
        <v>107.60164427929944</v>
      </c>
      <c r="M74" s="2">
        <f t="shared" si="101"/>
        <v>108.67766072209243</v>
      </c>
      <c r="N74" s="2">
        <f t="shared" si="102"/>
        <v>108.67766072209243</v>
      </c>
      <c r="O74" s="2">
        <f t="shared" si="103"/>
        <v>109.76443732931335</v>
      </c>
      <c r="P74" s="2">
        <f t="shared" si="104"/>
        <v>109.76443732931335</v>
      </c>
      <c r="Q74" s="2">
        <f t="shared" si="105"/>
        <v>110.86208170260649</v>
      </c>
      <c r="R74" s="2">
        <f t="shared" si="106"/>
        <v>110.86208170260649</v>
      </c>
      <c r="S74" s="2">
        <f t="shared" si="107"/>
        <v>111.97070251963255</v>
      </c>
      <c r="T74" s="2">
        <f t="shared" si="108"/>
        <v>111.97070251963255</v>
      </c>
      <c r="U74" s="2">
        <f t="shared" si="109"/>
        <v>113.09040954482887</v>
      </c>
      <c r="V74" s="2">
        <f t="shared" si="110"/>
        <v>113.09040954482887</v>
      </c>
      <c r="W74" s="2">
        <f t="shared" si="111"/>
        <v>114.22131364027716</v>
      </c>
      <c r="X74" s="2">
        <f t="shared" si="112"/>
        <v>114.22131364027716</v>
      </c>
      <c r="Y74" s="2">
        <f t="shared" si="113"/>
        <v>115.36352677667993</v>
      </c>
      <c r="Z74" s="2">
        <f t="shared" si="114"/>
        <v>115.36352677667993</v>
      </c>
      <c r="AA74" s="2">
        <f t="shared" si="115"/>
        <v>116.51716204444674</v>
      </c>
      <c r="AB74" s="2">
        <f t="shared" si="116"/>
        <v>116.51716204444674</v>
      </c>
      <c r="AC74" s="2">
        <f t="shared" si="117"/>
        <v>117.6823336648912</v>
      </c>
      <c r="AD74" s="2">
        <f t="shared" si="118"/>
        <v>117.6823336648912</v>
      </c>
      <c r="AE74" s="2">
        <f t="shared" si="119"/>
        <v>118.85915700154011</v>
      </c>
      <c r="AF74" s="2">
        <f t="shared" si="120"/>
        <v>118.85915700154011</v>
      </c>
      <c r="AG74" s="2">
        <f t="shared" si="121"/>
        <v>120.04774857155552</v>
      </c>
      <c r="AH74" s="2">
        <f t="shared" si="122"/>
        <v>120.04774857155552</v>
      </c>
    </row>
    <row r="75" spans="1:34">
      <c r="A75" t="str">
        <f t="shared" si="61"/>
        <v>Beef</v>
      </c>
      <c r="B75" t="str">
        <f t="shared" si="62"/>
        <v>Harari</v>
      </c>
      <c r="C75" s="2">
        <f>'Target Price'!C75+TargetConsumption!C75*DemSlope!C75</f>
        <v>91.943447205115916</v>
      </c>
      <c r="D75" s="2">
        <f>'Target Price'!D75+TargetConsumption!D75*DemSlope!D75</f>
        <v>91.943447205115916</v>
      </c>
      <c r="E75" s="2">
        <f t="shared" si="93"/>
        <v>92.862881677167081</v>
      </c>
      <c r="F75" s="2">
        <f t="shared" si="94"/>
        <v>92.862881677167081</v>
      </c>
      <c r="G75" s="2">
        <f t="shared" si="95"/>
        <v>93.791510493938759</v>
      </c>
      <c r="H75" s="2">
        <f t="shared" si="96"/>
        <v>93.791510493938759</v>
      </c>
      <c r="I75" s="2">
        <f t="shared" si="97"/>
        <v>94.729425598878152</v>
      </c>
      <c r="J75" s="2">
        <f t="shared" si="98"/>
        <v>94.729425598878152</v>
      </c>
      <c r="K75" s="2">
        <f t="shared" si="99"/>
        <v>95.676719854866931</v>
      </c>
      <c r="L75" s="2">
        <f t="shared" si="100"/>
        <v>95.676719854866931</v>
      </c>
      <c r="M75" s="2">
        <f t="shared" si="101"/>
        <v>96.633487053415607</v>
      </c>
      <c r="N75" s="2">
        <f t="shared" si="102"/>
        <v>96.633487053415607</v>
      </c>
      <c r="O75" s="2">
        <f t="shared" si="103"/>
        <v>97.599821923949762</v>
      </c>
      <c r="P75" s="2">
        <f t="shared" si="104"/>
        <v>97.599821923949762</v>
      </c>
      <c r="Q75" s="2">
        <f t="shared" si="105"/>
        <v>98.575820143189262</v>
      </c>
      <c r="R75" s="2">
        <f t="shared" si="106"/>
        <v>98.575820143189262</v>
      </c>
      <c r="S75" s="2">
        <f t="shared" si="107"/>
        <v>99.561578344621154</v>
      </c>
      <c r="T75" s="2">
        <f t="shared" si="108"/>
        <v>99.561578344621154</v>
      </c>
      <c r="U75" s="2">
        <f t="shared" si="109"/>
        <v>100.55719412806737</v>
      </c>
      <c r="V75" s="2">
        <f t="shared" si="110"/>
        <v>100.55719412806737</v>
      </c>
      <c r="W75" s="2">
        <f t="shared" si="111"/>
        <v>101.56276606934804</v>
      </c>
      <c r="X75" s="2">
        <f t="shared" si="112"/>
        <v>101.56276606934804</v>
      </c>
      <c r="Y75" s="2">
        <f t="shared" si="113"/>
        <v>102.57839373004153</v>
      </c>
      <c r="Z75" s="2">
        <f t="shared" si="114"/>
        <v>102.57839373004153</v>
      </c>
      <c r="AA75" s="2">
        <f t="shared" si="115"/>
        <v>103.60417766734194</v>
      </c>
      <c r="AB75" s="2">
        <f t="shared" si="116"/>
        <v>103.60417766734194</v>
      </c>
      <c r="AC75" s="2">
        <f t="shared" si="117"/>
        <v>104.64021944401536</v>
      </c>
      <c r="AD75" s="2">
        <f t="shared" si="118"/>
        <v>104.64021944401536</v>
      </c>
      <c r="AE75" s="2">
        <f t="shared" si="119"/>
        <v>105.68662163845551</v>
      </c>
      <c r="AF75" s="2">
        <f t="shared" si="120"/>
        <v>105.68662163845551</v>
      </c>
      <c r="AG75" s="2">
        <f t="shared" si="121"/>
        <v>106.74348785484007</v>
      </c>
      <c r="AH75" s="2">
        <f t="shared" si="122"/>
        <v>106.74348785484007</v>
      </c>
    </row>
    <row r="76" spans="1:34">
      <c r="A76" t="str">
        <f t="shared" si="61"/>
        <v>Beef</v>
      </c>
      <c r="B76" t="str">
        <f t="shared" si="62"/>
        <v>Oromia</v>
      </c>
      <c r="C76" s="2">
        <f>'Target Price'!C76+TargetConsumption!C76*DemSlope!C76</f>
        <v>98.444483119521138</v>
      </c>
      <c r="D76" s="2">
        <f>'Target Price'!D76+TargetConsumption!D76*DemSlope!D76</f>
        <v>98.444483119521152</v>
      </c>
      <c r="E76" s="2">
        <f t="shared" si="93"/>
        <v>99.428927950716357</v>
      </c>
      <c r="F76" s="2">
        <f t="shared" si="94"/>
        <v>99.428927950716371</v>
      </c>
      <c r="G76" s="2">
        <f t="shared" si="95"/>
        <v>100.42321723022353</v>
      </c>
      <c r="H76" s="2">
        <f t="shared" si="96"/>
        <v>100.42321723022354</v>
      </c>
      <c r="I76" s="2">
        <f t="shared" si="97"/>
        <v>101.42744940252577</v>
      </c>
      <c r="J76" s="2">
        <f t="shared" si="98"/>
        <v>101.42744940252578</v>
      </c>
      <c r="K76" s="2">
        <f t="shared" si="99"/>
        <v>102.44172389655103</v>
      </c>
      <c r="L76" s="2">
        <f t="shared" si="100"/>
        <v>102.44172389655104</v>
      </c>
      <c r="M76" s="2">
        <f t="shared" si="101"/>
        <v>103.46614113551654</v>
      </c>
      <c r="N76" s="2">
        <f t="shared" si="102"/>
        <v>103.46614113551655</v>
      </c>
      <c r="O76" s="2">
        <f t="shared" si="103"/>
        <v>104.5008025468717</v>
      </c>
      <c r="P76" s="2">
        <f t="shared" si="104"/>
        <v>104.50080254687171</v>
      </c>
      <c r="Q76" s="2">
        <f t="shared" si="105"/>
        <v>105.54581057234041</v>
      </c>
      <c r="R76" s="2">
        <f t="shared" si="106"/>
        <v>105.54581057234043</v>
      </c>
      <c r="S76" s="2">
        <f t="shared" si="107"/>
        <v>106.60126867806382</v>
      </c>
      <c r="T76" s="2">
        <f t="shared" si="108"/>
        <v>106.60126867806383</v>
      </c>
      <c r="U76" s="2">
        <f t="shared" si="109"/>
        <v>107.66728136484446</v>
      </c>
      <c r="V76" s="2">
        <f t="shared" si="110"/>
        <v>107.66728136484447</v>
      </c>
      <c r="W76" s="2">
        <f t="shared" si="111"/>
        <v>108.7439541784929</v>
      </c>
      <c r="X76" s="2">
        <f t="shared" si="112"/>
        <v>108.74395417849291</v>
      </c>
      <c r="Y76" s="2">
        <f t="shared" si="113"/>
        <v>109.83139372027783</v>
      </c>
      <c r="Z76" s="2">
        <f t="shared" si="114"/>
        <v>109.83139372027784</v>
      </c>
      <c r="AA76" s="2">
        <f t="shared" si="115"/>
        <v>110.92970765748061</v>
      </c>
      <c r="AB76" s="2">
        <f t="shared" si="116"/>
        <v>110.92970765748062</v>
      </c>
      <c r="AC76" s="2">
        <f t="shared" si="117"/>
        <v>112.03900473405541</v>
      </c>
      <c r="AD76" s="2">
        <f t="shared" si="118"/>
        <v>112.03900473405542</v>
      </c>
      <c r="AE76" s="2">
        <f t="shared" si="119"/>
        <v>113.15939478139596</v>
      </c>
      <c r="AF76" s="2">
        <f t="shared" si="120"/>
        <v>113.15939478139597</v>
      </c>
      <c r="AG76" s="2">
        <f t="shared" si="121"/>
        <v>114.29098872920991</v>
      </c>
      <c r="AH76" s="2">
        <f t="shared" si="122"/>
        <v>114.29098872920993</v>
      </c>
    </row>
    <row r="77" spans="1:34">
      <c r="A77" t="str">
        <f t="shared" si="61"/>
        <v>Beef</v>
      </c>
      <c r="B77" t="str">
        <f t="shared" si="62"/>
        <v>Somali</v>
      </c>
      <c r="C77" s="2">
        <f>'Target Price'!C77+TargetConsumption!C77*DemSlope!C77</f>
        <v>95.618008802540032</v>
      </c>
      <c r="D77" s="2">
        <f>'Target Price'!D77+TargetConsumption!D77*DemSlope!D77</f>
        <v>95.618008802540032</v>
      </c>
      <c r="E77" s="2">
        <f t="shared" si="93"/>
        <v>96.574188890565438</v>
      </c>
      <c r="F77" s="2">
        <f t="shared" si="94"/>
        <v>96.574188890565438</v>
      </c>
      <c r="G77" s="2">
        <f t="shared" si="95"/>
        <v>97.539930779471092</v>
      </c>
      <c r="H77" s="2">
        <f t="shared" si="96"/>
        <v>97.539930779471092</v>
      </c>
      <c r="I77" s="2">
        <f t="shared" si="97"/>
        <v>98.515330087265809</v>
      </c>
      <c r="J77" s="2">
        <f t="shared" si="98"/>
        <v>98.515330087265809</v>
      </c>
      <c r="K77" s="2">
        <f t="shared" si="99"/>
        <v>99.500483388138463</v>
      </c>
      <c r="L77" s="2">
        <f t="shared" si="100"/>
        <v>99.500483388138463</v>
      </c>
      <c r="M77" s="2">
        <f t="shared" si="101"/>
        <v>100.49548822201984</v>
      </c>
      <c r="N77" s="2">
        <f t="shared" si="102"/>
        <v>100.49548822201984</v>
      </c>
      <c r="O77" s="2">
        <f t="shared" si="103"/>
        <v>101.50044310424005</v>
      </c>
      <c r="P77" s="2">
        <f t="shared" si="104"/>
        <v>101.50044310424005</v>
      </c>
      <c r="Q77" s="2">
        <f t="shared" si="105"/>
        <v>102.51544753528245</v>
      </c>
      <c r="R77" s="2">
        <f t="shared" si="106"/>
        <v>102.51544753528245</v>
      </c>
      <c r="S77" s="2">
        <f t="shared" si="107"/>
        <v>103.54060201063527</v>
      </c>
      <c r="T77" s="2">
        <f t="shared" si="108"/>
        <v>103.54060201063527</v>
      </c>
      <c r="U77" s="2">
        <f t="shared" si="109"/>
        <v>104.57600803074162</v>
      </c>
      <c r="V77" s="2">
        <f t="shared" si="110"/>
        <v>104.57600803074162</v>
      </c>
      <c r="W77" s="2">
        <f t="shared" si="111"/>
        <v>105.62176811104904</v>
      </c>
      <c r="X77" s="2">
        <f t="shared" si="112"/>
        <v>105.62176811104904</v>
      </c>
      <c r="Y77" s="2">
        <f t="shared" si="113"/>
        <v>106.67798579215953</v>
      </c>
      <c r="Z77" s="2">
        <f t="shared" si="114"/>
        <v>106.67798579215953</v>
      </c>
      <c r="AA77" s="2">
        <f t="shared" si="115"/>
        <v>107.74476565008113</v>
      </c>
      <c r="AB77" s="2">
        <f t="shared" si="116"/>
        <v>107.74476565008113</v>
      </c>
      <c r="AC77" s="2">
        <f t="shared" si="117"/>
        <v>108.82221330658194</v>
      </c>
      <c r="AD77" s="2">
        <f t="shared" si="118"/>
        <v>108.82221330658194</v>
      </c>
      <c r="AE77" s="2">
        <f t="shared" si="119"/>
        <v>109.91043543964777</v>
      </c>
      <c r="AF77" s="2">
        <f t="shared" si="120"/>
        <v>109.91043543964777</v>
      </c>
      <c r="AG77" s="2">
        <f t="shared" si="121"/>
        <v>111.00953979404424</v>
      </c>
      <c r="AH77" s="2">
        <f t="shared" si="122"/>
        <v>111.00953979404424</v>
      </c>
    </row>
    <row r="78" spans="1:34">
      <c r="A78" t="str">
        <f t="shared" ref="A78:A90" si="123">INDEX(Food,MATCH(A67,Food,0)+1)</f>
        <v>Beef</v>
      </c>
      <c r="B78" t="str">
        <f t="shared" si="62"/>
        <v>SNNPR</v>
      </c>
      <c r="C78" s="2">
        <f>'Target Price'!C78+TargetConsumption!C78*DemSlope!C78</f>
        <v>107.04537323618291</v>
      </c>
      <c r="D78" s="2">
        <f>'Target Price'!D78+TargetConsumption!D78*DemSlope!D78</f>
        <v>107.04537323618291</v>
      </c>
      <c r="E78" s="2">
        <f t="shared" si="93"/>
        <v>108.11582696854474</v>
      </c>
      <c r="F78" s="2">
        <f t="shared" si="94"/>
        <v>108.11582696854474</v>
      </c>
      <c r="G78" s="2">
        <f t="shared" si="95"/>
        <v>109.19698523823018</v>
      </c>
      <c r="H78" s="2">
        <f t="shared" si="96"/>
        <v>109.19698523823018</v>
      </c>
      <c r="I78" s="2">
        <f t="shared" si="97"/>
        <v>110.28895509061249</v>
      </c>
      <c r="J78" s="2">
        <f t="shared" si="98"/>
        <v>110.28895509061249</v>
      </c>
      <c r="K78" s="2">
        <f t="shared" si="99"/>
        <v>111.39184464151862</v>
      </c>
      <c r="L78" s="2">
        <f t="shared" si="100"/>
        <v>111.39184464151862</v>
      </c>
      <c r="M78" s="2">
        <f t="shared" si="101"/>
        <v>112.5057630879338</v>
      </c>
      <c r="N78" s="2">
        <f t="shared" si="102"/>
        <v>112.5057630879338</v>
      </c>
      <c r="O78" s="2">
        <f t="shared" si="103"/>
        <v>113.63082071881314</v>
      </c>
      <c r="P78" s="2">
        <f t="shared" si="104"/>
        <v>113.63082071881314</v>
      </c>
      <c r="Q78" s="2">
        <f t="shared" si="105"/>
        <v>114.76712892600128</v>
      </c>
      <c r="R78" s="2">
        <f t="shared" si="106"/>
        <v>114.76712892600128</v>
      </c>
      <c r="S78" s="2">
        <f t="shared" si="107"/>
        <v>115.91480021526129</v>
      </c>
      <c r="T78" s="2">
        <f t="shared" si="108"/>
        <v>115.91480021526129</v>
      </c>
      <c r="U78" s="2">
        <f t="shared" si="109"/>
        <v>117.07394821741391</v>
      </c>
      <c r="V78" s="2">
        <f t="shared" si="110"/>
        <v>117.07394821741391</v>
      </c>
      <c r="W78" s="2">
        <f t="shared" si="111"/>
        <v>118.24468769958806</v>
      </c>
      <c r="X78" s="2">
        <f t="shared" si="112"/>
        <v>118.24468769958806</v>
      </c>
      <c r="Y78" s="2">
        <f t="shared" si="113"/>
        <v>119.42713457658394</v>
      </c>
      <c r="Z78" s="2">
        <f t="shared" si="114"/>
        <v>119.42713457658394</v>
      </c>
      <c r="AA78" s="2">
        <f t="shared" si="115"/>
        <v>120.62140592234978</v>
      </c>
      <c r="AB78" s="2">
        <f t="shared" si="116"/>
        <v>120.62140592234978</v>
      </c>
      <c r="AC78" s="2">
        <f t="shared" si="117"/>
        <v>121.82761998157328</v>
      </c>
      <c r="AD78" s="2">
        <f t="shared" si="118"/>
        <v>121.82761998157328</v>
      </c>
      <c r="AE78" s="2">
        <f t="shared" si="119"/>
        <v>123.04589618138901</v>
      </c>
      <c r="AF78" s="2">
        <f t="shared" si="120"/>
        <v>123.04589618138901</v>
      </c>
      <c r="AG78" s="2">
        <f t="shared" si="121"/>
        <v>124.27635514320291</v>
      </c>
      <c r="AH78" s="2">
        <f t="shared" si="122"/>
        <v>124.27635514320291</v>
      </c>
    </row>
    <row r="79" spans="1:34">
      <c r="A79" t="str">
        <f t="shared" si="123"/>
        <v>Beef</v>
      </c>
      <c r="B79" t="str">
        <f t="shared" ref="B79:B90" si="124">B68</f>
        <v>Tigray</v>
      </c>
      <c r="C79" s="2">
        <f>'Target Price'!C79+TargetConsumption!C79*DemSlope!C79</f>
        <v>110.4227247323787</v>
      </c>
      <c r="D79" s="2">
        <f>'Target Price'!D79+TargetConsumption!D79*DemSlope!D79</f>
        <v>110.4227247323787</v>
      </c>
      <c r="E79" s="2">
        <f t="shared" si="93"/>
        <v>111.52695197970249</v>
      </c>
      <c r="F79" s="2">
        <f t="shared" si="94"/>
        <v>111.52695197970249</v>
      </c>
      <c r="G79" s="2">
        <f t="shared" si="95"/>
        <v>112.64222149949951</v>
      </c>
      <c r="H79" s="2">
        <f t="shared" si="96"/>
        <v>112.64222149949951</v>
      </c>
      <c r="I79" s="2">
        <f t="shared" si="97"/>
        <v>113.76864371449452</v>
      </c>
      <c r="J79" s="2">
        <f t="shared" si="98"/>
        <v>113.76864371449452</v>
      </c>
      <c r="K79" s="2">
        <f t="shared" si="99"/>
        <v>114.90633015163947</v>
      </c>
      <c r="L79" s="2">
        <f t="shared" si="100"/>
        <v>114.90633015163947</v>
      </c>
      <c r="M79" s="2">
        <f t="shared" si="101"/>
        <v>116.05539345315586</v>
      </c>
      <c r="N79" s="2">
        <f t="shared" si="102"/>
        <v>116.05539345315586</v>
      </c>
      <c r="O79" s="2">
        <f t="shared" si="103"/>
        <v>117.21594738768742</v>
      </c>
      <c r="P79" s="2">
        <f t="shared" si="104"/>
        <v>117.21594738768742</v>
      </c>
      <c r="Q79" s="2">
        <f t="shared" si="105"/>
        <v>118.3881068615643</v>
      </c>
      <c r="R79" s="2">
        <f t="shared" si="106"/>
        <v>118.3881068615643</v>
      </c>
      <c r="S79" s="2">
        <f t="shared" si="107"/>
        <v>119.57198793017994</v>
      </c>
      <c r="T79" s="2">
        <f t="shared" si="108"/>
        <v>119.57198793017994</v>
      </c>
      <c r="U79" s="2">
        <f t="shared" si="109"/>
        <v>120.76770780948175</v>
      </c>
      <c r="V79" s="2">
        <f t="shared" si="110"/>
        <v>120.76770780948175</v>
      </c>
      <c r="W79" s="2">
        <f t="shared" si="111"/>
        <v>121.97538488757657</v>
      </c>
      <c r="X79" s="2">
        <f t="shared" si="112"/>
        <v>121.97538488757657</v>
      </c>
      <c r="Y79" s="2">
        <f t="shared" si="113"/>
        <v>123.19513873645234</v>
      </c>
      <c r="Z79" s="2">
        <f t="shared" si="114"/>
        <v>123.19513873645234</v>
      </c>
      <c r="AA79" s="2">
        <f t="shared" si="115"/>
        <v>124.42709012381685</v>
      </c>
      <c r="AB79" s="2">
        <f t="shared" si="116"/>
        <v>124.42709012381685</v>
      </c>
      <c r="AC79" s="2">
        <f t="shared" si="117"/>
        <v>125.67136102505502</v>
      </c>
      <c r="AD79" s="2">
        <f t="shared" si="118"/>
        <v>125.67136102505502</v>
      </c>
      <c r="AE79" s="2">
        <f t="shared" si="119"/>
        <v>126.92807463530558</v>
      </c>
      <c r="AF79" s="2">
        <f t="shared" si="120"/>
        <v>126.92807463530558</v>
      </c>
      <c r="AG79" s="2">
        <f t="shared" si="121"/>
        <v>128.19735538165864</v>
      </c>
      <c r="AH79" s="2">
        <f t="shared" si="122"/>
        <v>128.19735538165864</v>
      </c>
    </row>
    <row r="80" spans="1:34">
      <c r="A80" t="str">
        <f t="shared" si="123"/>
        <v>Milk</v>
      </c>
      <c r="B80" t="str">
        <f t="shared" si="124"/>
        <v>AddisAbaba</v>
      </c>
      <c r="C80" s="2">
        <f>'Target Price'!C80+TargetConsumption!C80*DemSlope!C80</f>
        <v>84.363577653606555</v>
      </c>
      <c r="D80" s="2">
        <f>'Target Price'!D80+TargetConsumption!D80*DemSlope!D80</f>
        <v>84.363577653606555</v>
      </c>
      <c r="E80" s="2">
        <f t="shared" si="93"/>
        <v>85.207213430142616</v>
      </c>
      <c r="F80" s="2">
        <f t="shared" si="94"/>
        <v>85.207213430142616</v>
      </c>
      <c r="G80" s="2">
        <f t="shared" si="95"/>
        <v>86.059285564444039</v>
      </c>
      <c r="H80" s="2">
        <f t="shared" si="96"/>
        <v>86.059285564444039</v>
      </c>
      <c r="I80" s="2">
        <f t="shared" si="97"/>
        <v>86.91987842008848</v>
      </c>
      <c r="J80" s="2">
        <f t="shared" si="98"/>
        <v>86.91987842008848</v>
      </c>
      <c r="K80" s="2">
        <f t="shared" si="99"/>
        <v>87.78907720428937</v>
      </c>
      <c r="L80" s="2">
        <f t="shared" si="100"/>
        <v>87.78907720428937</v>
      </c>
      <c r="M80" s="2">
        <f t="shared" si="101"/>
        <v>88.666967976332259</v>
      </c>
      <c r="N80" s="2">
        <f t="shared" si="102"/>
        <v>88.666967976332259</v>
      </c>
      <c r="O80" s="2">
        <f t="shared" si="103"/>
        <v>89.553637656095589</v>
      </c>
      <c r="P80" s="2">
        <f t="shared" si="104"/>
        <v>89.553637656095589</v>
      </c>
      <c r="Q80" s="2">
        <f t="shared" si="105"/>
        <v>90.449174032656543</v>
      </c>
      <c r="R80" s="2">
        <f t="shared" si="106"/>
        <v>90.449174032656543</v>
      </c>
      <c r="S80" s="2">
        <f t="shared" si="107"/>
        <v>91.353665772983106</v>
      </c>
      <c r="T80" s="2">
        <f t="shared" si="108"/>
        <v>91.353665772983106</v>
      </c>
      <c r="U80" s="2">
        <f t="shared" si="109"/>
        <v>92.267202430712942</v>
      </c>
      <c r="V80" s="2">
        <f t="shared" si="110"/>
        <v>92.267202430712942</v>
      </c>
      <c r="W80" s="2">
        <f t="shared" si="111"/>
        <v>93.189874455020075</v>
      </c>
      <c r="X80" s="2">
        <f t="shared" si="112"/>
        <v>93.189874455020075</v>
      </c>
      <c r="Y80" s="2">
        <f t="shared" si="113"/>
        <v>94.121773199570271</v>
      </c>
      <c r="Z80" s="2">
        <f t="shared" si="114"/>
        <v>94.121773199570271</v>
      </c>
      <c r="AA80" s="2">
        <f t="shared" si="115"/>
        <v>95.062990931565977</v>
      </c>
      <c r="AB80" s="2">
        <f t="shared" si="116"/>
        <v>95.062990931565977</v>
      </c>
      <c r="AC80" s="2">
        <f t="shared" si="117"/>
        <v>96.013620840881643</v>
      </c>
      <c r="AD80" s="2">
        <f t="shared" si="118"/>
        <v>96.013620840881643</v>
      </c>
      <c r="AE80" s="2">
        <f t="shared" si="119"/>
        <v>96.973757049290455</v>
      </c>
      <c r="AF80" s="2">
        <f t="shared" si="120"/>
        <v>96.973757049290455</v>
      </c>
      <c r="AG80" s="2">
        <f t="shared" si="121"/>
        <v>97.943494619783365</v>
      </c>
      <c r="AH80" s="2">
        <f t="shared" si="122"/>
        <v>97.943494619783365</v>
      </c>
    </row>
    <row r="81" spans="1:34">
      <c r="A81" t="str">
        <f t="shared" si="123"/>
        <v>Milk</v>
      </c>
      <c r="B81" t="str">
        <f t="shared" si="124"/>
        <v>Afar</v>
      </c>
      <c r="C81" s="2">
        <f>'Target Price'!C81+TargetConsumption!C81*DemSlope!C81</f>
        <v>99.599108023393285</v>
      </c>
      <c r="D81" s="2">
        <f>'Target Price'!D81+TargetConsumption!D81*DemSlope!D81</f>
        <v>99.599108023393285</v>
      </c>
      <c r="E81" s="2">
        <f t="shared" si="93"/>
        <v>100.59509910362722</v>
      </c>
      <c r="F81" s="2">
        <f t="shared" si="94"/>
        <v>100.59509910362722</v>
      </c>
      <c r="G81" s="2">
        <f t="shared" si="95"/>
        <v>101.60105009466349</v>
      </c>
      <c r="H81" s="2">
        <f t="shared" si="96"/>
        <v>101.60105009466349</v>
      </c>
      <c r="I81" s="2">
        <f t="shared" si="97"/>
        <v>102.61706059561013</v>
      </c>
      <c r="J81" s="2">
        <f t="shared" si="98"/>
        <v>102.61706059561013</v>
      </c>
      <c r="K81" s="2">
        <f t="shared" si="99"/>
        <v>103.64323120156622</v>
      </c>
      <c r="L81" s="2">
        <f t="shared" si="100"/>
        <v>103.64323120156622</v>
      </c>
      <c r="M81" s="2">
        <f t="shared" si="101"/>
        <v>104.67966351358189</v>
      </c>
      <c r="N81" s="2">
        <f t="shared" si="102"/>
        <v>104.67966351358189</v>
      </c>
      <c r="O81" s="2">
        <f t="shared" si="103"/>
        <v>105.72646014871771</v>
      </c>
      <c r="P81" s="2">
        <f t="shared" si="104"/>
        <v>105.72646014871771</v>
      </c>
      <c r="Q81" s="2">
        <f t="shared" si="105"/>
        <v>106.78372475020488</v>
      </c>
      <c r="R81" s="2">
        <f t="shared" si="106"/>
        <v>106.78372475020488</v>
      </c>
      <c r="S81" s="2">
        <f t="shared" si="107"/>
        <v>107.85156199770694</v>
      </c>
      <c r="T81" s="2">
        <f t="shared" si="108"/>
        <v>107.85156199770694</v>
      </c>
      <c r="U81" s="2">
        <f t="shared" si="109"/>
        <v>108.93007761768401</v>
      </c>
      <c r="V81" s="2">
        <f t="shared" si="110"/>
        <v>108.93007761768401</v>
      </c>
      <c r="W81" s="2">
        <f t="shared" si="111"/>
        <v>110.01937839386085</v>
      </c>
      <c r="X81" s="2">
        <f t="shared" si="112"/>
        <v>110.01937839386085</v>
      </c>
      <c r="Y81" s="2">
        <f t="shared" si="113"/>
        <v>111.11957217779945</v>
      </c>
      <c r="Z81" s="2">
        <f t="shared" si="114"/>
        <v>111.11957217779945</v>
      </c>
      <c r="AA81" s="2">
        <f t="shared" si="115"/>
        <v>112.23076789957744</v>
      </c>
      <c r="AB81" s="2">
        <f t="shared" si="116"/>
        <v>112.23076789957744</v>
      </c>
      <c r="AC81" s="2">
        <f t="shared" si="117"/>
        <v>113.35307557857323</v>
      </c>
      <c r="AD81" s="2">
        <f t="shared" si="118"/>
        <v>113.35307557857323</v>
      </c>
      <c r="AE81" s="2">
        <f t="shared" si="119"/>
        <v>114.48660633435895</v>
      </c>
      <c r="AF81" s="2">
        <f t="shared" si="120"/>
        <v>114.48660633435895</v>
      </c>
      <c r="AG81" s="2">
        <f t="shared" si="121"/>
        <v>115.63147239770254</v>
      </c>
      <c r="AH81" s="2">
        <f t="shared" si="122"/>
        <v>115.63147239770254</v>
      </c>
    </row>
    <row r="82" spans="1:34">
      <c r="A82" t="str">
        <f t="shared" si="123"/>
        <v>Milk</v>
      </c>
      <c r="B82" t="str">
        <f t="shared" si="124"/>
        <v>Amhara</v>
      </c>
      <c r="C82" s="2">
        <f>'Target Price'!C82+TargetConsumption!C82*DemSlope!C82</f>
        <v>88.242185206883562</v>
      </c>
      <c r="D82" s="2">
        <f>'Target Price'!D82+TargetConsumption!D82*DemSlope!D82</f>
        <v>88.242185206883562</v>
      </c>
      <c r="E82" s="2">
        <f t="shared" si="93"/>
        <v>89.124607058952392</v>
      </c>
      <c r="F82" s="2">
        <f t="shared" si="94"/>
        <v>89.124607058952392</v>
      </c>
      <c r="G82" s="2">
        <f t="shared" si="95"/>
        <v>90.015853129541924</v>
      </c>
      <c r="H82" s="2">
        <f t="shared" si="96"/>
        <v>90.015853129541924</v>
      </c>
      <c r="I82" s="2">
        <f t="shared" si="97"/>
        <v>90.916011660837341</v>
      </c>
      <c r="J82" s="2">
        <f t="shared" si="98"/>
        <v>90.916011660837341</v>
      </c>
      <c r="K82" s="2">
        <f t="shared" si="99"/>
        <v>91.825171777445718</v>
      </c>
      <c r="L82" s="2">
        <f t="shared" si="100"/>
        <v>91.825171777445718</v>
      </c>
      <c r="M82" s="2">
        <f t="shared" si="101"/>
        <v>92.743423495220171</v>
      </c>
      <c r="N82" s="2">
        <f t="shared" si="102"/>
        <v>92.743423495220171</v>
      </c>
      <c r="O82" s="2">
        <f t="shared" si="103"/>
        <v>93.670857730172372</v>
      </c>
      <c r="P82" s="2">
        <f t="shared" si="104"/>
        <v>93.670857730172372</v>
      </c>
      <c r="Q82" s="2">
        <f t="shared" si="105"/>
        <v>94.607566307474102</v>
      </c>
      <c r="R82" s="2">
        <f t="shared" si="106"/>
        <v>94.607566307474102</v>
      </c>
      <c r="S82" s="2">
        <f t="shared" si="107"/>
        <v>95.553641970548838</v>
      </c>
      <c r="T82" s="2">
        <f t="shared" si="108"/>
        <v>95.553641970548838</v>
      </c>
      <c r="U82" s="2">
        <f t="shared" si="109"/>
        <v>96.509178390254334</v>
      </c>
      <c r="V82" s="2">
        <f t="shared" si="110"/>
        <v>96.509178390254334</v>
      </c>
      <c r="W82" s="2">
        <f t="shared" si="111"/>
        <v>97.474270174156885</v>
      </c>
      <c r="X82" s="2">
        <f t="shared" si="112"/>
        <v>97.474270174156885</v>
      </c>
      <c r="Y82" s="2">
        <f t="shared" si="113"/>
        <v>98.449012875898461</v>
      </c>
      <c r="Z82" s="2">
        <f t="shared" si="114"/>
        <v>98.449012875898461</v>
      </c>
      <c r="AA82" s="2">
        <f t="shared" si="115"/>
        <v>99.433503004657453</v>
      </c>
      <c r="AB82" s="2">
        <f t="shared" si="116"/>
        <v>99.433503004657453</v>
      </c>
      <c r="AC82" s="2">
        <f t="shared" si="117"/>
        <v>100.42783803470402</v>
      </c>
      <c r="AD82" s="2">
        <f t="shared" si="118"/>
        <v>100.42783803470402</v>
      </c>
      <c r="AE82" s="2">
        <f t="shared" si="119"/>
        <v>101.43211641505107</v>
      </c>
      <c r="AF82" s="2">
        <f t="shared" si="120"/>
        <v>101.43211641505107</v>
      </c>
      <c r="AG82" s="2">
        <f t="shared" si="121"/>
        <v>102.44643757920159</v>
      </c>
      <c r="AH82" s="2">
        <f t="shared" si="122"/>
        <v>102.44643757920159</v>
      </c>
    </row>
    <row r="83" spans="1:34">
      <c r="A83" t="str">
        <f t="shared" si="123"/>
        <v>Milk</v>
      </c>
      <c r="B83" t="str">
        <f t="shared" si="124"/>
        <v>Gumuz</v>
      </c>
      <c r="C83" s="2">
        <f>'Target Price'!C83+TargetConsumption!C83*DemSlope!C83</f>
        <v>92.935633161298881</v>
      </c>
      <c r="D83" s="2">
        <f>'Target Price'!D83+TargetConsumption!D83*DemSlope!D83</f>
        <v>92.935633161298881</v>
      </c>
      <c r="E83" s="2">
        <f t="shared" si="93"/>
        <v>93.864989492911874</v>
      </c>
      <c r="F83" s="2">
        <f t="shared" si="94"/>
        <v>93.864989492911874</v>
      </c>
      <c r="G83" s="2">
        <f t="shared" si="95"/>
        <v>94.803639387840988</v>
      </c>
      <c r="H83" s="2">
        <f t="shared" si="96"/>
        <v>94.803639387840988</v>
      </c>
      <c r="I83" s="2">
        <f t="shared" si="97"/>
        <v>95.751675781719399</v>
      </c>
      <c r="J83" s="2">
        <f t="shared" si="98"/>
        <v>95.751675781719399</v>
      </c>
      <c r="K83" s="2">
        <f t="shared" si="99"/>
        <v>96.709192539536588</v>
      </c>
      <c r="L83" s="2">
        <f t="shared" si="100"/>
        <v>96.709192539536588</v>
      </c>
      <c r="M83" s="2">
        <f t="shared" si="101"/>
        <v>97.676284464931953</v>
      </c>
      <c r="N83" s="2">
        <f t="shared" si="102"/>
        <v>97.676284464931953</v>
      </c>
      <c r="O83" s="2">
        <f t="shared" si="103"/>
        <v>98.653047309581268</v>
      </c>
      <c r="P83" s="2">
        <f t="shared" si="104"/>
        <v>98.653047309581268</v>
      </c>
      <c r="Q83" s="2">
        <f t="shared" si="105"/>
        <v>99.63957778267708</v>
      </c>
      <c r="R83" s="2">
        <f t="shared" si="106"/>
        <v>99.63957778267708</v>
      </c>
      <c r="S83" s="2">
        <f t="shared" si="107"/>
        <v>100.63597356050386</v>
      </c>
      <c r="T83" s="2">
        <f t="shared" si="108"/>
        <v>100.63597356050386</v>
      </c>
      <c r="U83" s="2">
        <f t="shared" si="109"/>
        <v>101.6423332961089</v>
      </c>
      <c r="V83" s="2">
        <f t="shared" si="110"/>
        <v>101.6423332961089</v>
      </c>
      <c r="W83" s="2">
        <f t="shared" si="111"/>
        <v>102.65875662907</v>
      </c>
      <c r="X83" s="2">
        <f t="shared" si="112"/>
        <v>102.65875662907</v>
      </c>
      <c r="Y83" s="2">
        <f t="shared" si="113"/>
        <v>103.6853441953607</v>
      </c>
      <c r="Z83" s="2">
        <f t="shared" si="114"/>
        <v>103.6853441953607</v>
      </c>
      <c r="AA83" s="2">
        <f t="shared" si="115"/>
        <v>104.72219763731431</v>
      </c>
      <c r="AB83" s="2">
        <f t="shared" si="116"/>
        <v>104.72219763731431</v>
      </c>
      <c r="AC83" s="2">
        <f t="shared" si="117"/>
        <v>105.76941961368745</v>
      </c>
      <c r="AD83" s="2">
        <f t="shared" si="118"/>
        <v>105.76941961368745</v>
      </c>
      <c r="AE83" s="2">
        <f t="shared" si="119"/>
        <v>106.82711380982433</v>
      </c>
      <c r="AF83" s="2">
        <f t="shared" si="120"/>
        <v>106.82711380982433</v>
      </c>
      <c r="AG83" s="2">
        <f t="shared" si="121"/>
        <v>107.89538494792257</v>
      </c>
      <c r="AH83" s="2">
        <f t="shared" si="122"/>
        <v>107.89538494792257</v>
      </c>
    </row>
    <row r="84" spans="1:34">
      <c r="A84" t="str">
        <f t="shared" si="123"/>
        <v>Milk</v>
      </c>
      <c r="B84" t="str">
        <f t="shared" si="124"/>
        <v>DireDawa</v>
      </c>
      <c r="C84" s="2">
        <f>'Target Price'!C84+TargetConsumption!C84*DemSlope!C84</f>
        <v>89.536066802731625</v>
      </c>
      <c r="D84" s="2">
        <f>'Target Price'!D84+TargetConsumption!D84*DemSlope!D84</f>
        <v>89.536066802731625</v>
      </c>
      <c r="E84" s="2">
        <f t="shared" si="93"/>
        <v>90.431427470758948</v>
      </c>
      <c r="F84" s="2">
        <f t="shared" si="94"/>
        <v>90.431427470758948</v>
      </c>
      <c r="G84" s="2">
        <f t="shared" si="95"/>
        <v>91.335741745466535</v>
      </c>
      <c r="H84" s="2">
        <f t="shared" si="96"/>
        <v>91.335741745466535</v>
      </c>
      <c r="I84" s="2">
        <f t="shared" si="97"/>
        <v>92.249099162921198</v>
      </c>
      <c r="J84" s="2">
        <f t="shared" si="98"/>
        <v>92.249099162921198</v>
      </c>
      <c r="K84" s="2">
        <f t="shared" si="99"/>
        <v>93.171590154550415</v>
      </c>
      <c r="L84" s="2">
        <f t="shared" si="100"/>
        <v>93.171590154550415</v>
      </c>
      <c r="M84" s="2">
        <f t="shared" si="101"/>
        <v>94.103306056095917</v>
      </c>
      <c r="N84" s="2">
        <f t="shared" si="102"/>
        <v>94.103306056095917</v>
      </c>
      <c r="O84" s="2">
        <f t="shared" si="103"/>
        <v>95.044339116656872</v>
      </c>
      <c r="P84" s="2">
        <f t="shared" si="104"/>
        <v>95.044339116656872</v>
      </c>
      <c r="Q84" s="2">
        <f t="shared" si="105"/>
        <v>95.994782507823444</v>
      </c>
      <c r="R84" s="2">
        <f t="shared" si="106"/>
        <v>95.994782507823444</v>
      </c>
      <c r="S84" s="2">
        <f t="shared" si="107"/>
        <v>96.954730332901676</v>
      </c>
      <c r="T84" s="2">
        <f t="shared" si="108"/>
        <v>96.954730332901676</v>
      </c>
      <c r="U84" s="2">
        <f t="shared" si="109"/>
        <v>97.924277636230698</v>
      </c>
      <c r="V84" s="2">
        <f t="shared" si="110"/>
        <v>97.924277636230698</v>
      </c>
      <c r="W84" s="2">
        <f t="shared" si="111"/>
        <v>98.903520412593011</v>
      </c>
      <c r="X84" s="2">
        <f t="shared" si="112"/>
        <v>98.903520412593011</v>
      </c>
      <c r="Y84" s="2">
        <f t="shared" si="113"/>
        <v>99.892555616718937</v>
      </c>
      <c r="Z84" s="2">
        <f t="shared" si="114"/>
        <v>99.892555616718937</v>
      </c>
      <c r="AA84" s="2">
        <f t="shared" si="115"/>
        <v>100.89148117288613</v>
      </c>
      <c r="AB84" s="2">
        <f t="shared" si="116"/>
        <v>100.89148117288613</v>
      </c>
      <c r="AC84" s="2">
        <f t="shared" si="117"/>
        <v>101.90039598461499</v>
      </c>
      <c r="AD84" s="2">
        <f t="shared" si="118"/>
        <v>101.90039598461499</v>
      </c>
      <c r="AE84" s="2">
        <f t="shared" si="119"/>
        <v>102.91939994446113</v>
      </c>
      <c r="AF84" s="2">
        <f t="shared" si="120"/>
        <v>102.91939994446113</v>
      </c>
      <c r="AG84" s="2">
        <f t="shared" si="121"/>
        <v>103.94859394390575</v>
      </c>
      <c r="AH84" s="2">
        <f t="shared" si="122"/>
        <v>103.94859394390575</v>
      </c>
    </row>
    <row r="85" spans="1:34">
      <c r="A85" t="str">
        <f t="shared" si="123"/>
        <v>Milk</v>
      </c>
      <c r="B85" t="str">
        <f t="shared" si="124"/>
        <v>Gambela</v>
      </c>
      <c r="C85" s="2">
        <f>'Target Price'!C85+TargetConsumption!C85*DemSlope!C85</f>
        <v>94.177374382132356</v>
      </c>
      <c r="D85" s="2">
        <f>'Target Price'!D85+TargetConsumption!D85*DemSlope!D85</f>
        <v>94.177374382132356</v>
      </c>
      <c r="E85" s="2">
        <f t="shared" si="93"/>
        <v>95.119148125953686</v>
      </c>
      <c r="F85" s="2">
        <f t="shared" si="94"/>
        <v>95.119148125953686</v>
      </c>
      <c r="G85" s="2">
        <f t="shared" si="95"/>
        <v>96.070339607213228</v>
      </c>
      <c r="H85" s="2">
        <f t="shared" si="96"/>
        <v>96.070339607213228</v>
      </c>
      <c r="I85" s="2">
        <f t="shared" si="97"/>
        <v>97.031043003285362</v>
      </c>
      <c r="J85" s="2">
        <f t="shared" si="98"/>
        <v>97.031043003285362</v>
      </c>
      <c r="K85" s="2">
        <f t="shared" si="99"/>
        <v>98.001353433318215</v>
      </c>
      <c r="L85" s="2">
        <f t="shared" si="100"/>
        <v>98.001353433318215</v>
      </c>
      <c r="M85" s="2">
        <f t="shared" si="101"/>
        <v>98.981366967651397</v>
      </c>
      <c r="N85" s="2">
        <f t="shared" si="102"/>
        <v>98.981366967651397</v>
      </c>
      <c r="O85" s="2">
        <f t="shared" si="103"/>
        <v>99.971180637327905</v>
      </c>
      <c r="P85" s="2">
        <f t="shared" si="104"/>
        <v>99.971180637327905</v>
      </c>
      <c r="Q85" s="2">
        <f t="shared" si="105"/>
        <v>100.97089244370119</v>
      </c>
      <c r="R85" s="2">
        <f t="shared" si="106"/>
        <v>100.97089244370119</v>
      </c>
      <c r="S85" s="2">
        <f t="shared" si="107"/>
        <v>101.9806013681382</v>
      </c>
      <c r="T85" s="2">
        <f t="shared" si="108"/>
        <v>101.9806013681382</v>
      </c>
      <c r="U85" s="2">
        <f t="shared" si="109"/>
        <v>103.00040738181958</v>
      </c>
      <c r="V85" s="2">
        <f t="shared" si="110"/>
        <v>103.00040738181958</v>
      </c>
      <c r="W85" s="2">
        <f t="shared" si="111"/>
        <v>104.03041145563778</v>
      </c>
      <c r="X85" s="2">
        <f t="shared" si="112"/>
        <v>104.03041145563778</v>
      </c>
      <c r="Y85" s="2">
        <f t="shared" si="113"/>
        <v>105.07071557019415</v>
      </c>
      <c r="Z85" s="2">
        <f t="shared" si="114"/>
        <v>105.07071557019415</v>
      </c>
      <c r="AA85" s="2">
        <f t="shared" si="115"/>
        <v>106.1214227258961</v>
      </c>
      <c r="AB85" s="2">
        <f t="shared" si="116"/>
        <v>106.1214227258961</v>
      </c>
      <c r="AC85" s="2">
        <f t="shared" si="117"/>
        <v>107.18263695315505</v>
      </c>
      <c r="AD85" s="2">
        <f t="shared" si="118"/>
        <v>107.18263695315505</v>
      </c>
      <c r="AE85" s="2">
        <f t="shared" si="119"/>
        <v>108.2544633226866</v>
      </c>
      <c r="AF85" s="2">
        <f t="shared" si="120"/>
        <v>108.2544633226866</v>
      </c>
      <c r="AG85" s="2">
        <f t="shared" si="121"/>
        <v>109.33700795591348</v>
      </c>
      <c r="AH85" s="2">
        <f t="shared" si="122"/>
        <v>109.33700795591348</v>
      </c>
    </row>
    <row r="86" spans="1:34">
      <c r="A86" t="str">
        <f t="shared" si="123"/>
        <v>Milk</v>
      </c>
      <c r="B86" t="str">
        <f t="shared" si="124"/>
        <v>Harari</v>
      </c>
      <c r="C86" s="2">
        <f>'Target Price'!C86+TargetConsumption!C86*DemSlope!C86</f>
        <v>84.57647131788454</v>
      </c>
      <c r="D86" s="2">
        <f>'Target Price'!D86+TargetConsumption!D86*DemSlope!D86</f>
        <v>84.57647131788454</v>
      </c>
      <c r="E86" s="2">
        <f t="shared" si="93"/>
        <v>85.422236031063392</v>
      </c>
      <c r="F86" s="2">
        <f t="shared" si="94"/>
        <v>85.422236031063392</v>
      </c>
      <c r="G86" s="2">
        <f t="shared" si="95"/>
        <v>86.276458391374021</v>
      </c>
      <c r="H86" s="2">
        <f t="shared" si="96"/>
        <v>86.276458391374021</v>
      </c>
      <c r="I86" s="2">
        <f t="shared" si="97"/>
        <v>87.139222975287765</v>
      </c>
      <c r="J86" s="2">
        <f t="shared" si="98"/>
        <v>87.139222975287765</v>
      </c>
      <c r="K86" s="2">
        <f t="shared" si="99"/>
        <v>88.010615205040651</v>
      </c>
      <c r="L86" s="2">
        <f t="shared" si="100"/>
        <v>88.010615205040651</v>
      </c>
      <c r="M86" s="2">
        <f t="shared" si="101"/>
        <v>88.890721357091053</v>
      </c>
      <c r="N86" s="2">
        <f t="shared" si="102"/>
        <v>88.890721357091053</v>
      </c>
      <c r="O86" s="2">
        <f t="shared" si="103"/>
        <v>89.77962857066197</v>
      </c>
      <c r="P86" s="2">
        <f t="shared" si="104"/>
        <v>89.77962857066197</v>
      </c>
      <c r="Q86" s="2">
        <f t="shared" si="105"/>
        <v>90.677424856368589</v>
      </c>
      <c r="R86" s="2">
        <f t="shared" si="106"/>
        <v>90.677424856368589</v>
      </c>
      <c r="S86" s="2">
        <f t="shared" si="107"/>
        <v>91.584199104932281</v>
      </c>
      <c r="T86" s="2">
        <f t="shared" si="108"/>
        <v>91.584199104932281</v>
      </c>
      <c r="U86" s="2">
        <f t="shared" si="109"/>
        <v>92.500041095981601</v>
      </c>
      <c r="V86" s="2">
        <f t="shared" si="110"/>
        <v>92.500041095981601</v>
      </c>
      <c r="W86" s="2">
        <f t="shared" si="111"/>
        <v>93.425041506941412</v>
      </c>
      <c r="X86" s="2">
        <f t="shared" si="112"/>
        <v>93.425041506941412</v>
      </c>
      <c r="Y86" s="2">
        <f t="shared" si="113"/>
        <v>94.359291922010826</v>
      </c>
      <c r="Z86" s="2">
        <f t="shared" si="114"/>
        <v>94.359291922010826</v>
      </c>
      <c r="AA86" s="2">
        <f t="shared" si="115"/>
        <v>95.302884841230934</v>
      </c>
      <c r="AB86" s="2">
        <f t="shared" si="116"/>
        <v>95.302884841230934</v>
      </c>
      <c r="AC86" s="2">
        <f t="shared" si="117"/>
        <v>96.255913689643251</v>
      </c>
      <c r="AD86" s="2">
        <f t="shared" si="118"/>
        <v>96.255913689643251</v>
      </c>
      <c r="AE86" s="2">
        <f t="shared" si="119"/>
        <v>97.218472826539681</v>
      </c>
      <c r="AF86" s="2">
        <f t="shared" si="120"/>
        <v>97.218472826539681</v>
      </c>
      <c r="AG86" s="2">
        <f t="shared" si="121"/>
        <v>98.190657554805085</v>
      </c>
      <c r="AH86" s="2">
        <f t="shared" si="122"/>
        <v>98.190657554805085</v>
      </c>
    </row>
    <row r="87" spans="1:34">
      <c r="A87" t="str">
        <f t="shared" si="123"/>
        <v>Milk</v>
      </c>
      <c r="B87" t="str">
        <f t="shared" si="124"/>
        <v>Oromia</v>
      </c>
      <c r="C87" s="2">
        <f>'Target Price'!C87+TargetConsumption!C87*DemSlope!C87</f>
        <v>90.046462381327387</v>
      </c>
      <c r="D87" s="2">
        <f>'Target Price'!D87+TargetConsumption!D87*DemSlope!D87</f>
        <v>90.046462381327387</v>
      </c>
      <c r="E87" s="2">
        <f t="shared" si="93"/>
        <v>90.946927005140665</v>
      </c>
      <c r="F87" s="2">
        <f t="shared" si="94"/>
        <v>90.946927005140665</v>
      </c>
      <c r="G87" s="2">
        <f t="shared" si="95"/>
        <v>91.856396275192068</v>
      </c>
      <c r="H87" s="2">
        <f t="shared" si="96"/>
        <v>91.856396275192068</v>
      </c>
      <c r="I87" s="2">
        <f t="shared" si="97"/>
        <v>92.774960237943986</v>
      </c>
      <c r="J87" s="2">
        <f t="shared" si="98"/>
        <v>92.774960237943986</v>
      </c>
      <c r="K87" s="2">
        <f t="shared" si="99"/>
        <v>93.702709840323422</v>
      </c>
      <c r="L87" s="2">
        <f t="shared" si="100"/>
        <v>93.702709840323422</v>
      </c>
      <c r="M87" s="2">
        <f t="shared" si="101"/>
        <v>94.639736938726656</v>
      </c>
      <c r="N87" s="2">
        <f t="shared" si="102"/>
        <v>94.639736938726656</v>
      </c>
      <c r="O87" s="2">
        <f t="shared" si="103"/>
        <v>95.586134308113927</v>
      </c>
      <c r="P87" s="2">
        <f t="shared" si="104"/>
        <v>95.586134308113927</v>
      </c>
      <c r="Q87" s="2">
        <f t="shared" si="105"/>
        <v>96.541995651195066</v>
      </c>
      <c r="R87" s="2">
        <f t="shared" si="106"/>
        <v>96.541995651195066</v>
      </c>
      <c r="S87" s="2">
        <f t="shared" si="107"/>
        <v>97.507415607707017</v>
      </c>
      <c r="T87" s="2">
        <f t="shared" si="108"/>
        <v>97.507415607707017</v>
      </c>
      <c r="U87" s="2">
        <f t="shared" si="109"/>
        <v>98.482489763784088</v>
      </c>
      <c r="V87" s="2">
        <f t="shared" si="110"/>
        <v>98.482489763784088</v>
      </c>
      <c r="W87" s="2">
        <f t="shared" si="111"/>
        <v>99.467314661421923</v>
      </c>
      <c r="X87" s="2">
        <f t="shared" si="112"/>
        <v>99.467314661421923</v>
      </c>
      <c r="Y87" s="2">
        <f t="shared" si="113"/>
        <v>100.46198780803614</v>
      </c>
      <c r="Z87" s="2">
        <f t="shared" si="114"/>
        <v>100.46198780803614</v>
      </c>
      <c r="AA87" s="2">
        <f t="shared" si="115"/>
        <v>101.4666076861165</v>
      </c>
      <c r="AB87" s="2">
        <f t="shared" si="116"/>
        <v>101.4666076861165</v>
      </c>
      <c r="AC87" s="2">
        <f t="shared" si="117"/>
        <v>102.48127376297766</v>
      </c>
      <c r="AD87" s="2">
        <f t="shared" si="118"/>
        <v>102.48127376297766</v>
      </c>
      <c r="AE87" s="2">
        <f t="shared" si="119"/>
        <v>103.50608650060744</v>
      </c>
      <c r="AF87" s="2">
        <f t="shared" si="120"/>
        <v>103.50608650060744</v>
      </c>
      <c r="AG87" s="2">
        <f t="shared" si="121"/>
        <v>104.54114736561351</v>
      </c>
      <c r="AH87" s="2">
        <f t="shared" si="122"/>
        <v>104.54114736561351</v>
      </c>
    </row>
    <row r="88" spans="1:34">
      <c r="A88" t="str">
        <f t="shared" si="123"/>
        <v>Milk</v>
      </c>
      <c r="B88" t="str">
        <f t="shared" si="124"/>
        <v>Somali</v>
      </c>
      <c r="C88" s="2">
        <f>'Target Price'!C88+TargetConsumption!C88*DemSlope!C88</f>
        <v>87.675849696010573</v>
      </c>
      <c r="D88" s="2">
        <f>'Target Price'!D88+TargetConsumption!D88*DemSlope!D88</f>
        <v>87.675849696010573</v>
      </c>
      <c r="E88" s="2">
        <f t="shared" si="93"/>
        <v>88.552608192970681</v>
      </c>
      <c r="F88" s="2">
        <f t="shared" si="94"/>
        <v>88.552608192970681</v>
      </c>
      <c r="G88" s="2">
        <f t="shared" si="95"/>
        <v>89.438134274900392</v>
      </c>
      <c r="H88" s="2">
        <f t="shared" si="96"/>
        <v>89.438134274900392</v>
      </c>
      <c r="I88" s="2">
        <f t="shared" si="97"/>
        <v>90.332515617649392</v>
      </c>
      <c r="J88" s="2">
        <f t="shared" si="98"/>
        <v>90.332515617649392</v>
      </c>
      <c r="K88" s="2">
        <f t="shared" si="99"/>
        <v>91.235840773825885</v>
      </c>
      <c r="L88" s="2">
        <f t="shared" si="100"/>
        <v>91.235840773825885</v>
      </c>
      <c r="M88" s="2">
        <f t="shared" si="101"/>
        <v>92.148199181564138</v>
      </c>
      <c r="N88" s="2">
        <f t="shared" si="102"/>
        <v>92.148199181564138</v>
      </c>
      <c r="O88" s="2">
        <f t="shared" si="103"/>
        <v>93.069681173379777</v>
      </c>
      <c r="P88" s="2">
        <f t="shared" si="104"/>
        <v>93.069681173379777</v>
      </c>
      <c r="Q88" s="2">
        <f t="shared" si="105"/>
        <v>94.000377985113573</v>
      </c>
      <c r="R88" s="2">
        <f t="shared" si="106"/>
        <v>94.000377985113573</v>
      </c>
      <c r="S88" s="2">
        <f t="shared" si="107"/>
        <v>94.940381764964712</v>
      </c>
      <c r="T88" s="2">
        <f t="shared" si="108"/>
        <v>94.940381764964712</v>
      </c>
      <c r="U88" s="2">
        <f t="shared" si="109"/>
        <v>95.889785582614365</v>
      </c>
      <c r="V88" s="2">
        <f t="shared" si="110"/>
        <v>95.889785582614365</v>
      </c>
      <c r="W88" s="2">
        <f t="shared" si="111"/>
        <v>96.848683438440503</v>
      </c>
      <c r="X88" s="2">
        <f t="shared" si="112"/>
        <v>96.848683438440503</v>
      </c>
      <c r="Y88" s="2">
        <f t="shared" si="113"/>
        <v>97.81717027282491</v>
      </c>
      <c r="Z88" s="2">
        <f t="shared" si="114"/>
        <v>97.81717027282491</v>
      </c>
      <c r="AA88" s="2">
        <f t="shared" si="115"/>
        <v>98.795341975553157</v>
      </c>
      <c r="AB88" s="2">
        <f t="shared" si="116"/>
        <v>98.795341975553157</v>
      </c>
      <c r="AC88" s="2">
        <f t="shared" si="117"/>
        <v>99.783295395308684</v>
      </c>
      <c r="AD88" s="2">
        <f t="shared" si="118"/>
        <v>99.783295395308684</v>
      </c>
      <c r="AE88" s="2">
        <f t="shared" si="119"/>
        <v>100.78112834926178</v>
      </c>
      <c r="AF88" s="2">
        <f t="shared" si="120"/>
        <v>100.78112834926178</v>
      </c>
      <c r="AG88" s="2">
        <f t="shared" si="121"/>
        <v>101.78893963275439</v>
      </c>
      <c r="AH88" s="2">
        <f t="shared" si="122"/>
        <v>101.78893963275439</v>
      </c>
    </row>
    <row r="89" spans="1:34">
      <c r="A89" t="str">
        <f t="shared" si="123"/>
        <v>Milk</v>
      </c>
      <c r="B89" t="str">
        <f t="shared" si="124"/>
        <v>SNNPR</v>
      </c>
      <c r="C89" s="2">
        <f>'Target Price'!C89+TargetConsumption!C89*DemSlope!C89</f>
        <v>97.189272447426063</v>
      </c>
      <c r="D89" s="2">
        <f>'Target Price'!D89+TargetConsumption!D89*DemSlope!D89</f>
        <v>97.189272447426063</v>
      </c>
      <c r="E89" s="2">
        <f t="shared" si="93"/>
        <v>98.161165171900322</v>
      </c>
      <c r="F89" s="2">
        <f t="shared" si="94"/>
        <v>98.161165171900322</v>
      </c>
      <c r="G89" s="2">
        <f t="shared" si="95"/>
        <v>99.142776823619329</v>
      </c>
      <c r="H89" s="2">
        <f t="shared" si="96"/>
        <v>99.142776823619329</v>
      </c>
      <c r="I89" s="2">
        <f t="shared" si="97"/>
        <v>100.13420459185552</v>
      </c>
      <c r="J89" s="2">
        <f t="shared" si="98"/>
        <v>100.13420459185552</v>
      </c>
      <c r="K89" s="2">
        <f t="shared" si="99"/>
        <v>101.13554663777408</v>
      </c>
      <c r="L89" s="2">
        <f t="shared" si="100"/>
        <v>101.13554663777408</v>
      </c>
      <c r="M89" s="2">
        <f t="shared" si="101"/>
        <v>102.14690210415182</v>
      </c>
      <c r="N89" s="2">
        <f t="shared" si="102"/>
        <v>102.14690210415182</v>
      </c>
      <c r="O89" s="2">
        <f t="shared" si="103"/>
        <v>103.16837112519335</v>
      </c>
      <c r="P89" s="2">
        <f t="shared" si="104"/>
        <v>103.16837112519335</v>
      </c>
      <c r="Q89" s="2">
        <f t="shared" si="105"/>
        <v>104.20005483644528</v>
      </c>
      <c r="R89" s="2">
        <f t="shared" si="106"/>
        <v>104.20005483644528</v>
      </c>
      <c r="S89" s="2">
        <f t="shared" si="107"/>
        <v>105.24205538480973</v>
      </c>
      <c r="T89" s="2">
        <f t="shared" si="108"/>
        <v>105.24205538480973</v>
      </c>
      <c r="U89" s="2">
        <f t="shared" si="109"/>
        <v>106.29447593865783</v>
      </c>
      <c r="V89" s="2">
        <f t="shared" si="110"/>
        <v>106.29447593865783</v>
      </c>
      <c r="W89" s="2">
        <f t="shared" si="111"/>
        <v>107.35742069804441</v>
      </c>
      <c r="X89" s="2">
        <f t="shared" si="112"/>
        <v>107.35742069804441</v>
      </c>
      <c r="Y89" s="2">
        <f t="shared" si="113"/>
        <v>108.43099490502485</v>
      </c>
      <c r="Z89" s="2">
        <f t="shared" si="114"/>
        <v>108.43099490502485</v>
      </c>
      <c r="AA89" s="2">
        <f t="shared" si="115"/>
        <v>109.5153048540751</v>
      </c>
      <c r="AB89" s="2">
        <f t="shared" si="116"/>
        <v>109.5153048540751</v>
      </c>
      <c r="AC89" s="2">
        <f t="shared" si="117"/>
        <v>110.61045790261585</v>
      </c>
      <c r="AD89" s="2">
        <f t="shared" si="118"/>
        <v>110.61045790261585</v>
      </c>
      <c r="AE89" s="2">
        <f t="shared" si="119"/>
        <v>111.71656248164201</v>
      </c>
      <c r="AF89" s="2">
        <f t="shared" si="120"/>
        <v>111.71656248164201</v>
      </c>
      <c r="AG89" s="2">
        <f t="shared" si="121"/>
        <v>112.83372810645844</v>
      </c>
      <c r="AH89" s="2">
        <f t="shared" si="122"/>
        <v>112.83372810645844</v>
      </c>
    </row>
    <row r="90" spans="1:34">
      <c r="A90" t="str">
        <f t="shared" si="123"/>
        <v>Milk</v>
      </c>
      <c r="B90" t="str">
        <f t="shared" si="124"/>
        <v>Tigray</v>
      </c>
      <c r="C90" s="2">
        <f>'Target Price'!C90+TargetConsumption!C90*DemSlope!C90</f>
        <v>99.965258805730741</v>
      </c>
      <c r="D90" s="2">
        <f>'Target Price'!D90+TargetConsumption!D90*DemSlope!D90</f>
        <v>99.965258805730741</v>
      </c>
      <c r="E90" s="2">
        <f t="shared" si="93"/>
        <v>100.96491139378804</v>
      </c>
      <c r="F90" s="2">
        <f t="shared" si="94"/>
        <v>100.96491139378804</v>
      </c>
      <c r="G90" s="2">
        <f t="shared" si="95"/>
        <v>101.97456050772593</v>
      </c>
      <c r="H90" s="2">
        <f t="shared" si="96"/>
        <v>101.97456050772593</v>
      </c>
      <c r="I90" s="2">
        <f t="shared" si="97"/>
        <v>102.99430611280319</v>
      </c>
      <c r="J90" s="2">
        <f t="shared" si="98"/>
        <v>102.99430611280319</v>
      </c>
      <c r="K90" s="2">
        <f t="shared" si="99"/>
        <v>104.02424917393122</v>
      </c>
      <c r="L90" s="2">
        <f t="shared" si="100"/>
        <v>104.02424917393122</v>
      </c>
      <c r="M90" s="2">
        <f t="shared" si="101"/>
        <v>105.06449166567053</v>
      </c>
      <c r="N90" s="2">
        <f t="shared" si="102"/>
        <v>105.06449166567053</v>
      </c>
      <c r="O90" s="2">
        <f t="shared" si="103"/>
        <v>106.11513658232724</v>
      </c>
      <c r="P90" s="2">
        <f t="shared" si="104"/>
        <v>106.11513658232724</v>
      </c>
      <c r="Q90" s="2">
        <f t="shared" si="105"/>
        <v>107.17628794815052</v>
      </c>
      <c r="R90" s="2">
        <f t="shared" si="106"/>
        <v>107.17628794815052</v>
      </c>
      <c r="S90" s="2">
        <f t="shared" si="107"/>
        <v>108.24805082763203</v>
      </c>
      <c r="T90" s="2">
        <f t="shared" si="108"/>
        <v>108.24805082763203</v>
      </c>
      <c r="U90" s="2">
        <f t="shared" si="109"/>
        <v>109.33053133590835</v>
      </c>
      <c r="V90" s="2">
        <f t="shared" si="110"/>
        <v>109.33053133590835</v>
      </c>
      <c r="W90" s="2">
        <f t="shared" si="111"/>
        <v>110.42383664926743</v>
      </c>
      <c r="X90" s="2">
        <f t="shared" si="112"/>
        <v>110.42383664926743</v>
      </c>
      <c r="Y90" s="2">
        <f t="shared" si="113"/>
        <v>111.52807501576011</v>
      </c>
      <c r="Z90" s="2">
        <f t="shared" si="114"/>
        <v>111.52807501576011</v>
      </c>
      <c r="AA90" s="2">
        <f t="shared" si="115"/>
        <v>112.6433557659177</v>
      </c>
      <c r="AB90" s="2">
        <f t="shared" si="116"/>
        <v>112.6433557659177</v>
      </c>
      <c r="AC90" s="2">
        <f t="shared" si="117"/>
        <v>113.76978932357689</v>
      </c>
      <c r="AD90" s="2">
        <f t="shared" si="118"/>
        <v>113.76978932357689</v>
      </c>
      <c r="AE90" s="2">
        <f t="shared" si="119"/>
        <v>114.90748721681265</v>
      </c>
      <c r="AF90" s="2">
        <f t="shared" si="120"/>
        <v>114.90748721681265</v>
      </c>
      <c r="AG90" s="2">
        <f t="shared" si="121"/>
        <v>116.05656208898078</v>
      </c>
      <c r="AH90" s="2">
        <f t="shared" si="122"/>
        <v>116.05656208898078</v>
      </c>
    </row>
    <row r="120" spans="1:13">
      <c r="C120">
        <v>3.27</v>
      </c>
      <c r="D120">
        <v>7</v>
      </c>
      <c r="E120">
        <v>20.401</v>
      </c>
      <c r="F120">
        <v>6</v>
      </c>
      <c r="G120">
        <v>7</v>
      </c>
      <c r="H120">
        <v>4</v>
      </c>
      <c r="I120">
        <v>0.23200000000000001</v>
      </c>
      <c r="J120">
        <v>33.692</v>
      </c>
      <c r="K120">
        <v>5.4530000000000003</v>
      </c>
      <c r="L120">
        <v>18.276</v>
      </c>
      <c r="M120">
        <v>5.056</v>
      </c>
    </row>
    <row r="121" spans="1:13">
      <c r="C121" t="s">
        <v>5</v>
      </c>
      <c r="D121" t="s">
        <v>6</v>
      </c>
      <c r="E121" t="s">
        <v>7</v>
      </c>
      <c r="F121" t="s">
        <v>8</v>
      </c>
      <c r="G121" t="s">
        <v>9</v>
      </c>
      <c r="H121" t="s">
        <v>10</v>
      </c>
      <c r="I121" t="s">
        <v>11</v>
      </c>
      <c r="J121" t="s">
        <v>12</v>
      </c>
      <c r="K121" t="s">
        <v>13</v>
      </c>
      <c r="L121" t="s">
        <v>19</v>
      </c>
      <c r="M121" t="s">
        <v>14</v>
      </c>
    </row>
    <row r="122" spans="1:13">
      <c r="A122">
        <f>34+17</f>
        <v>51</v>
      </c>
      <c r="B122" t="s">
        <v>16</v>
      </c>
      <c r="C122" s="2">
        <f>$A122*C$120</f>
        <v>166.77</v>
      </c>
      <c r="D122" s="2">
        <f t="shared" ref="D122:M127" si="125">$A122*D$120</f>
        <v>357</v>
      </c>
      <c r="E122" s="2">
        <f t="shared" si="125"/>
        <v>1040.451</v>
      </c>
      <c r="F122" s="2">
        <f t="shared" si="125"/>
        <v>306</v>
      </c>
      <c r="G122" s="2">
        <f t="shared" si="125"/>
        <v>357</v>
      </c>
      <c r="H122" s="2">
        <f t="shared" si="125"/>
        <v>204</v>
      </c>
      <c r="I122" s="2">
        <f t="shared" si="125"/>
        <v>11.832000000000001</v>
      </c>
      <c r="J122" s="2">
        <f t="shared" si="125"/>
        <v>1718.2919999999999</v>
      </c>
      <c r="K122" s="2">
        <f t="shared" si="125"/>
        <v>278.10300000000001</v>
      </c>
      <c r="L122" s="2">
        <f t="shared" si="125"/>
        <v>932.07600000000002</v>
      </c>
      <c r="M122" s="2">
        <f t="shared" si="125"/>
        <v>257.85599999999999</v>
      </c>
    </row>
    <row r="123" spans="1:13">
      <c r="A123">
        <f>39+28</f>
        <v>67</v>
      </c>
      <c r="B123" t="s">
        <v>20</v>
      </c>
      <c r="C123" s="2">
        <f t="shared" ref="C123:C127" si="126">$A123*C$120</f>
        <v>219.09</v>
      </c>
      <c r="D123" s="2">
        <f t="shared" si="125"/>
        <v>469</v>
      </c>
      <c r="E123" s="2">
        <f t="shared" si="125"/>
        <v>1366.867</v>
      </c>
      <c r="F123" s="2">
        <f t="shared" si="125"/>
        <v>402</v>
      </c>
      <c r="G123" s="2">
        <f t="shared" si="125"/>
        <v>469</v>
      </c>
      <c r="H123" s="2">
        <f t="shared" si="125"/>
        <v>268</v>
      </c>
      <c r="I123" s="2">
        <f t="shared" si="125"/>
        <v>15.544</v>
      </c>
      <c r="J123" s="2">
        <f t="shared" si="125"/>
        <v>2257.364</v>
      </c>
      <c r="K123" s="2">
        <f t="shared" si="125"/>
        <v>365.351</v>
      </c>
      <c r="L123" s="2">
        <f t="shared" si="125"/>
        <v>1224.492</v>
      </c>
      <c r="M123" s="2">
        <f t="shared" si="125"/>
        <v>338.75200000000001</v>
      </c>
    </row>
    <row r="124" spans="1:13">
      <c r="A124">
        <f>49+6+1</f>
        <v>56</v>
      </c>
      <c r="B124" t="s">
        <v>17</v>
      </c>
      <c r="C124" s="2">
        <f t="shared" si="126"/>
        <v>183.12</v>
      </c>
      <c r="D124" s="2">
        <f t="shared" si="125"/>
        <v>392</v>
      </c>
      <c r="E124" s="2">
        <f t="shared" si="125"/>
        <v>1142.4559999999999</v>
      </c>
      <c r="F124" s="2">
        <f t="shared" si="125"/>
        <v>336</v>
      </c>
      <c r="G124" s="2">
        <f t="shared" si="125"/>
        <v>392</v>
      </c>
      <c r="H124" s="2">
        <f t="shared" si="125"/>
        <v>224</v>
      </c>
      <c r="I124" s="2">
        <f t="shared" si="125"/>
        <v>12.992000000000001</v>
      </c>
      <c r="J124" s="2">
        <f t="shared" si="125"/>
        <v>1886.752</v>
      </c>
      <c r="K124" s="2">
        <f t="shared" si="125"/>
        <v>305.36799999999999</v>
      </c>
      <c r="L124" s="2">
        <f t="shared" si="125"/>
        <v>1023.456</v>
      </c>
      <c r="M124" s="2">
        <f t="shared" si="125"/>
        <v>283.13600000000002</v>
      </c>
    </row>
    <row r="125" spans="1:13">
      <c r="A125">
        <v>19</v>
      </c>
      <c r="B125" t="s">
        <v>24</v>
      </c>
      <c r="C125" s="2">
        <f t="shared" si="126"/>
        <v>62.13</v>
      </c>
      <c r="D125" s="2">
        <f t="shared" si="125"/>
        <v>133</v>
      </c>
      <c r="E125" s="2">
        <f t="shared" si="125"/>
        <v>387.61899999999997</v>
      </c>
      <c r="F125" s="2">
        <f t="shared" si="125"/>
        <v>114</v>
      </c>
      <c r="G125" s="2">
        <f t="shared" si="125"/>
        <v>133</v>
      </c>
      <c r="H125" s="2">
        <f t="shared" si="125"/>
        <v>76</v>
      </c>
      <c r="I125" s="2">
        <f t="shared" si="125"/>
        <v>4.4080000000000004</v>
      </c>
      <c r="J125" s="2">
        <f t="shared" si="125"/>
        <v>640.14800000000002</v>
      </c>
      <c r="K125" s="2">
        <f t="shared" si="125"/>
        <v>103.607</v>
      </c>
      <c r="L125" s="2">
        <f t="shared" si="125"/>
        <v>347.24399999999997</v>
      </c>
      <c r="M125" s="2">
        <f t="shared" si="125"/>
        <v>96.064000000000007</v>
      </c>
    </row>
    <row r="126" spans="1:13">
      <c r="A126">
        <v>29</v>
      </c>
      <c r="B126" t="s">
        <v>21</v>
      </c>
      <c r="C126" s="2">
        <f t="shared" si="126"/>
        <v>94.83</v>
      </c>
      <c r="D126" s="2">
        <f t="shared" si="125"/>
        <v>203</v>
      </c>
      <c r="E126" s="2">
        <f t="shared" si="125"/>
        <v>591.62900000000002</v>
      </c>
      <c r="F126" s="2">
        <f t="shared" si="125"/>
        <v>174</v>
      </c>
      <c r="G126" s="2">
        <f t="shared" si="125"/>
        <v>203</v>
      </c>
      <c r="H126" s="2">
        <f t="shared" si="125"/>
        <v>116</v>
      </c>
      <c r="I126" s="2">
        <f t="shared" si="125"/>
        <v>6.7280000000000006</v>
      </c>
      <c r="J126" s="2">
        <f t="shared" si="125"/>
        <v>977.06799999999998</v>
      </c>
      <c r="K126" s="2">
        <f t="shared" si="125"/>
        <v>158.137</v>
      </c>
      <c r="L126" s="2">
        <f t="shared" si="125"/>
        <v>530.00400000000002</v>
      </c>
      <c r="M126" s="2">
        <f t="shared" si="125"/>
        <v>146.624</v>
      </c>
    </row>
    <row r="127" spans="1:13">
      <c r="A127">
        <v>14</v>
      </c>
      <c r="B127" t="s">
        <v>18</v>
      </c>
      <c r="C127" s="2">
        <f t="shared" si="126"/>
        <v>45.78</v>
      </c>
      <c r="D127" s="2">
        <f t="shared" si="125"/>
        <v>98</v>
      </c>
      <c r="E127" s="2">
        <f t="shared" si="125"/>
        <v>285.61399999999998</v>
      </c>
      <c r="F127" s="2">
        <f t="shared" si="125"/>
        <v>84</v>
      </c>
      <c r="G127" s="2">
        <f t="shared" si="125"/>
        <v>98</v>
      </c>
      <c r="H127" s="2">
        <f t="shared" si="125"/>
        <v>56</v>
      </c>
      <c r="I127" s="2">
        <f t="shared" si="125"/>
        <v>3.2480000000000002</v>
      </c>
      <c r="J127" s="2">
        <f t="shared" si="125"/>
        <v>471.68799999999999</v>
      </c>
      <c r="K127" s="2">
        <f t="shared" si="125"/>
        <v>76.341999999999999</v>
      </c>
      <c r="L127" s="2">
        <f t="shared" si="125"/>
        <v>255.864</v>
      </c>
      <c r="M127" s="2">
        <f t="shared" si="125"/>
        <v>70.784000000000006</v>
      </c>
    </row>
    <row r="128" spans="1:13">
      <c r="A128">
        <v>20</v>
      </c>
      <c r="B128" t="s">
        <v>22</v>
      </c>
      <c r="C128">
        <v>400</v>
      </c>
      <c r="D128">
        <v>400</v>
      </c>
      <c r="E128">
        <v>400</v>
      </c>
      <c r="F128">
        <v>400</v>
      </c>
      <c r="G128">
        <v>400</v>
      </c>
      <c r="H128">
        <v>400</v>
      </c>
      <c r="I128">
        <v>400</v>
      </c>
      <c r="J128">
        <v>400</v>
      </c>
      <c r="K128">
        <v>400</v>
      </c>
      <c r="L128">
        <v>400</v>
      </c>
      <c r="M128">
        <v>400</v>
      </c>
    </row>
    <row r="129" spans="1:13">
      <c r="A129">
        <v>10</v>
      </c>
      <c r="B129" t="s">
        <v>23</v>
      </c>
      <c r="C129">
        <v>400</v>
      </c>
      <c r="D129">
        <v>400</v>
      </c>
      <c r="E129">
        <v>400</v>
      </c>
      <c r="F129">
        <v>400</v>
      </c>
      <c r="G129">
        <v>400</v>
      </c>
      <c r="H129">
        <v>400</v>
      </c>
      <c r="I129">
        <v>400</v>
      </c>
      <c r="J129">
        <v>400</v>
      </c>
      <c r="K129">
        <v>400</v>
      </c>
      <c r="L129">
        <v>400</v>
      </c>
      <c r="M129">
        <v>400</v>
      </c>
    </row>
  </sheetData>
  <pageMargins left="0.75" right="0.75" top="1" bottom="1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H90"/>
  <sheetViews>
    <sheetView zoomScale="85" zoomScaleNormal="85" workbookViewId="0">
      <selection activeCell="C3" sqref="C3"/>
    </sheetView>
  </sheetViews>
  <sheetFormatPr defaultColWidth="8.875" defaultRowHeight="15.75"/>
  <cols>
    <col min="1" max="1" width="10.125" customWidth="1"/>
    <col min="2" max="2" width="10.625" customWidth="1"/>
  </cols>
  <sheetData>
    <row r="1" spans="1:34">
      <c r="C1" t="str">
        <f t="array" ref="C1:D1">TRANSPOSE(Seasons)</f>
        <v>Kremt</v>
      </c>
      <c r="D1" t="str">
        <v>Belg</v>
      </c>
      <c r="E1" t="str">
        <f>C1</f>
        <v>Kremt</v>
      </c>
      <c r="F1" t="str">
        <f t="shared" ref="F1:AH1" si="0">D1</f>
        <v>Belg</v>
      </c>
      <c r="G1" t="str">
        <f t="shared" si="0"/>
        <v>Kremt</v>
      </c>
      <c r="H1" t="str">
        <f t="shared" si="0"/>
        <v>Belg</v>
      </c>
      <c r="I1" t="str">
        <f t="shared" si="0"/>
        <v>Kremt</v>
      </c>
      <c r="J1" t="str">
        <f t="shared" si="0"/>
        <v>Belg</v>
      </c>
      <c r="K1" t="str">
        <f t="shared" si="0"/>
        <v>Kremt</v>
      </c>
      <c r="L1" t="str">
        <f t="shared" si="0"/>
        <v>Belg</v>
      </c>
      <c r="M1" t="str">
        <f t="shared" si="0"/>
        <v>Kremt</v>
      </c>
      <c r="N1" t="str">
        <f t="shared" si="0"/>
        <v>Belg</v>
      </c>
      <c r="O1" t="str">
        <f t="shared" si="0"/>
        <v>Kremt</v>
      </c>
      <c r="P1" t="str">
        <f t="shared" si="0"/>
        <v>Belg</v>
      </c>
      <c r="Q1" t="str">
        <f t="shared" si="0"/>
        <v>Kremt</v>
      </c>
      <c r="R1" t="str">
        <f t="shared" si="0"/>
        <v>Belg</v>
      </c>
      <c r="S1" t="str">
        <f t="shared" si="0"/>
        <v>Kremt</v>
      </c>
      <c r="T1" t="str">
        <f t="shared" si="0"/>
        <v>Belg</v>
      </c>
      <c r="U1" t="str">
        <f t="shared" si="0"/>
        <v>Kremt</v>
      </c>
      <c r="V1" t="str">
        <f t="shared" si="0"/>
        <v>Belg</v>
      </c>
      <c r="W1" t="str">
        <f t="shared" si="0"/>
        <v>Kremt</v>
      </c>
      <c r="X1" t="str">
        <f t="shared" si="0"/>
        <v>Belg</v>
      </c>
      <c r="Y1" t="str">
        <f t="shared" si="0"/>
        <v>Kremt</v>
      </c>
      <c r="Z1" t="str">
        <f t="shared" si="0"/>
        <v>Belg</v>
      </c>
      <c r="AA1" t="str">
        <f t="shared" si="0"/>
        <v>Kremt</v>
      </c>
      <c r="AB1" t="str">
        <f t="shared" si="0"/>
        <v>Belg</v>
      </c>
      <c r="AC1" t="str">
        <f t="shared" si="0"/>
        <v>Kremt</v>
      </c>
      <c r="AD1" t="str">
        <f t="shared" si="0"/>
        <v>Belg</v>
      </c>
      <c r="AE1" t="str">
        <f t="shared" si="0"/>
        <v>Kremt</v>
      </c>
      <c r="AF1" t="str">
        <f t="shared" si="0"/>
        <v>Belg</v>
      </c>
      <c r="AG1" t="str">
        <f t="shared" si="0"/>
        <v>Kremt</v>
      </c>
      <c r="AH1" t="str">
        <f t="shared" si="0"/>
        <v>Belg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sets!$H$3</f>
        <v>Teff</v>
      </c>
      <c r="B3" t="str">
        <f t="array" ref="B3:B13">Nodes</f>
        <v>AddisAbaba</v>
      </c>
      <c r="C3" s="2">
        <f>-'Target Price'!C3/TargetConsumption!C3/VLOOKUP($A3,DemElas!$A$21:$B$28,2,0)</f>
        <v>64.841006788579392</v>
      </c>
      <c r="D3" s="2">
        <f>-'Target Price'!D3/TargetConsumption!D3/VLOOKUP($A3,DemElas!$A$21:$B$28,2,0)</f>
        <v>72.341113268350583</v>
      </c>
      <c r="E3" s="2">
        <f>-'Target Price'!E3/TargetConsumption!E3/VLOOKUP($A3,DemElas!$A$21:$B$28,2,0)</f>
        <v>64.199016622355842</v>
      </c>
      <c r="F3" s="2">
        <f>-'Target Price'!F3/TargetConsumption!F3/VLOOKUP($A3,DemElas!$A$21:$B$28,2,0)</f>
        <v>71.624864622129294</v>
      </c>
      <c r="G3" s="2">
        <f>-'Target Price'!G3/TargetConsumption!G3/VLOOKUP($A3,DemElas!$A$21:$B$28,2,0)</f>
        <v>63.563382794411709</v>
      </c>
      <c r="H3" s="2">
        <f>-'Target Price'!H3/TargetConsumption!H3/VLOOKUP($A3,DemElas!$A$21:$B$28,2,0)</f>
        <v>70.915707546662659</v>
      </c>
      <c r="I3" s="2">
        <f>-'Target Price'!I3/TargetConsumption!I3/VLOOKUP($A3,DemElas!$A$21:$B$28,2,0)</f>
        <v>62.934042370704674</v>
      </c>
      <c r="J3" s="2">
        <f>-'Target Price'!J3/TargetConsumption!J3/VLOOKUP($A3,DemElas!$A$21:$B$28,2,0)</f>
        <v>70.213571828378875</v>
      </c>
      <c r="K3" s="2">
        <f>-'Target Price'!K3/TargetConsumption!K3/VLOOKUP($A3,DemElas!$A$21:$B$28,2,0)</f>
        <v>62.310933040301649</v>
      </c>
      <c r="L3" s="2">
        <f>-'Target Price'!L3/TargetConsumption!L3/VLOOKUP($A3,DemElas!$A$21:$B$28,2,0)</f>
        <v>69.518387948889966</v>
      </c>
      <c r="M3" s="2">
        <f>-'Target Price'!M3/TargetConsumption!M3/VLOOKUP($A3,DemElas!$A$21:$B$28,2,0)</f>
        <v>61.693993109209543</v>
      </c>
      <c r="N3" s="2">
        <f>-'Target Price'!N3/TargetConsumption!N3/VLOOKUP($A3,DemElas!$A$21:$B$28,2,0)</f>
        <v>68.830087078108875</v>
      </c>
      <c r="O3" s="2">
        <f>-'Target Price'!O3/TargetConsumption!O3/VLOOKUP($A3,DemElas!$A$21:$B$28,2,0)</f>
        <v>61.083161494266875</v>
      </c>
      <c r="P3" s="2">
        <f>-'Target Price'!P3/TargetConsumption!P3/VLOOKUP($A3,DemElas!$A$21:$B$28,2,0)</f>
        <v>68.148601067434527</v>
      </c>
      <c r="Q3" s="2">
        <f>-'Target Price'!Q3/TargetConsumption!Q3/VLOOKUP($A3,DemElas!$A$21:$B$28,2,0)</f>
        <v>60.478377717095917</v>
      </c>
      <c r="R3" s="2">
        <f>-'Target Price'!R3/TargetConsumption!R3/VLOOKUP($A3,DemElas!$A$21:$B$28,2,0)</f>
        <v>67.473862443004492</v>
      </c>
      <c r="S3" s="2">
        <f>-'Target Price'!S3/TargetConsumption!S3/VLOOKUP($A3,DemElas!$A$21:$B$28,2,0)</f>
        <v>59.879581898114779</v>
      </c>
      <c r="T3" s="2">
        <f>-'Target Price'!T3/TargetConsumption!T3/VLOOKUP($A3,DemElas!$A$21:$B$28,2,0)</f>
        <v>66.805804399014335</v>
      </c>
      <c r="U3" s="2">
        <f>-'Target Price'!U3/TargetConsumption!U3/VLOOKUP($A3,DemElas!$A$21:$B$28,2,0)</f>
        <v>59.286714750608688</v>
      </c>
      <c r="V3" s="2">
        <f>-'Target Price'!V3/TargetConsumption!V3/VLOOKUP($A3,DemElas!$A$21:$B$28,2,0)</f>
        <v>66.14436079110331</v>
      </c>
      <c r="W3" s="2">
        <f>-'Target Price'!W3/TargetConsumption!W3/VLOOKUP($A3,DemElas!$A$21:$B$28,2,0)</f>
        <v>58.699717574860088</v>
      </c>
      <c r="X3" s="2">
        <f>-'Target Price'!X3/TargetConsumption!X3/VLOOKUP($A3,DemElas!$A$21:$B$28,2,0)</f>
        <v>65.489466129805265</v>
      </c>
      <c r="Y3" s="2">
        <f>-'Target Price'!Y3/TargetConsumption!Y3/VLOOKUP($A3,DemElas!$A$21:$B$28,2,0)</f>
        <v>58.11853225233672</v>
      </c>
      <c r="Z3" s="2">
        <f>-'Target Price'!Z3/TargetConsumption!Z3/VLOOKUP($A3,DemElas!$A$21:$B$28,2,0)</f>
        <v>64.841055574064612</v>
      </c>
      <c r="AA3" s="2">
        <f>-'Target Price'!AA3/TargetConsumption!AA3/VLOOKUP($A3,DemElas!$A$21:$B$28,2,0)</f>
        <v>57.543101239937343</v>
      </c>
      <c r="AB3" s="2">
        <f>-'Target Price'!AB3/TargetConsumption!AB3/VLOOKUP($A3,DemElas!$A$21:$B$28,2,0)</f>
        <v>64.19906492481644</v>
      </c>
      <c r="AC3" s="2">
        <f>-'Target Price'!AC3/TargetConsumption!AC3/VLOOKUP($A3,DemElas!$A$21:$B$28,2,0)</f>
        <v>56.973367564294399</v>
      </c>
      <c r="AD3" s="2">
        <f>-'Target Price'!AD3/TargetConsumption!AD3/VLOOKUP($A3,DemElas!$A$21:$B$28,2,0)</f>
        <v>63.563430618630143</v>
      </c>
      <c r="AE3" s="2">
        <f>-'Target Price'!AE3/TargetConsumption!AE3/VLOOKUP($A3,DemElas!$A$21:$B$28,2,0)</f>
        <v>56.409274816133063</v>
      </c>
      <c r="AF3" s="2">
        <f>-'Target Price'!AF3/TargetConsumption!AF3/VLOOKUP($A3,DemElas!$A$21:$B$28,2,0)</f>
        <v>62.93408972141598</v>
      </c>
      <c r="AG3" s="2">
        <f>-'Target Price'!AG3/TargetConsumption!AG3/VLOOKUP($A3,DemElas!$A$21:$B$28,2,0)</f>
        <v>55.850767144686202</v>
      </c>
      <c r="AH3" s="2">
        <f>-'Target Price'!AH3/TargetConsumption!AH3/VLOOKUP($A3,DemElas!$A$21:$B$28,2,0)</f>
        <v>62.310979922194043</v>
      </c>
    </row>
    <row r="4" spans="1:34">
      <c r="A4" t="str">
        <f>sets!$H$3</f>
        <v>Teff</v>
      </c>
      <c r="B4" t="str">
        <v>Afar</v>
      </c>
      <c r="C4" s="2">
        <f>-'Target Price'!C4/TargetConsumption!C4/VLOOKUP($A4,DemElas!$A$21:$B$28,2,0)</f>
        <v>126.4156058583151</v>
      </c>
      <c r="D4" s="2">
        <f>-'Target Price'!D4/TargetConsumption!D4/VLOOKUP($A4,DemElas!$A$21:$B$28,2,0)</f>
        <v>141.16071249854014</v>
      </c>
      <c r="E4" s="2">
        <f>-'Target Price'!E4/TargetConsumption!E4/VLOOKUP($A4,DemElas!$A$21:$B$28,2,0)</f>
        <v>125.16396619635159</v>
      </c>
      <c r="F4" s="2">
        <f>-'Target Price'!F4/TargetConsumption!F4/VLOOKUP($A4,DemElas!$A$21:$B$28,2,0)</f>
        <v>139.76308168172289</v>
      </c>
      <c r="G4" s="2">
        <f>-'Target Price'!G4/TargetConsumption!G4/VLOOKUP($A4,DemElas!$A$21:$B$28,2,0)</f>
        <v>123.9247190062887</v>
      </c>
      <c r="H4" s="2">
        <f>-'Target Price'!H4/TargetConsumption!H4/VLOOKUP($A4,DemElas!$A$21:$B$28,2,0)</f>
        <v>138.37928879378507</v>
      </c>
      <c r="I4" s="2">
        <f>-'Target Price'!I4/TargetConsumption!I4/VLOOKUP($A4,DemElas!$A$21:$B$28,2,0)</f>
        <v>122.69774159038485</v>
      </c>
      <c r="J4" s="2">
        <f>-'Target Price'!J4/TargetConsumption!J4/VLOOKUP($A4,DemElas!$A$21:$B$28,2,0)</f>
        <v>137.00919682552976</v>
      </c>
      <c r="K4" s="2">
        <f>-'Target Price'!K4/TargetConsumption!K4/VLOOKUP($A4,DemElas!$A$21:$B$28,2,0)</f>
        <v>121.48291246572758</v>
      </c>
      <c r="L4" s="2">
        <f>-'Target Price'!L4/TargetConsumption!L4/VLOOKUP($A4,DemElas!$A$21:$B$28,2,0)</f>
        <v>135.65267012428689</v>
      </c>
      <c r="M4" s="2">
        <f>-'Target Price'!M4/TargetConsumption!M4/VLOOKUP($A4,DemElas!$A$21:$B$28,2,0)</f>
        <v>120.28011135220551</v>
      </c>
      <c r="N4" s="2">
        <f>-'Target Price'!N4/TargetConsumption!N4/VLOOKUP($A4,DemElas!$A$21:$B$28,2,0)</f>
        <v>134.30957438048205</v>
      </c>
      <c r="O4" s="2">
        <f>-'Target Price'!O4/TargetConsumption!O4/VLOOKUP($A4,DemElas!$A$21:$B$28,2,0)</f>
        <v>119.08921916059953</v>
      </c>
      <c r="P4" s="2">
        <f>-'Target Price'!P4/TargetConsumption!P4/VLOOKUP($A4,DemElas!$A$21:$B$28,2,0)</f>
        <v>132.97977661433868</v>
      </c>
      <c r="Q4" s="2">
        <f>-'Target Price'!Q4/TargetConsumption!Q4/VLOOKUP($A4,DemElas!$A$21:$B$28,2,0)</f>
        <v>117.9101179807916</v>
      </c>
      <c r="R4" s="2">
        <f>-'Target Price'!R4/TargetConsumption!R4/VLOOKUP($A4,DemElas!$A$21:$B$28,2,0)</f>
        <v>131.66314516271154</v>
      </c>
      <c r="S4" s="2">
        <f>-'Target Price'!S4/TargetConsumption!S4/VLOOKUP($A4,DemElas!$A$21:$B$28,2,0)</f>
        <v>116.74269107009069</v>
      </c>
      <c r="T4" s="2">
        <f>-'Target Price'!T4/TargetConsumption!T4/VLOOKUP($A4,DemElas!$A$21:$B$28,2,0)</f>
        <v>130.35954966605104</v>
      </c>
      <c r="U4" s="2">
        <f>-'Target Price'!U4/TargetConsumption!U4/VLOOKUP($A4,DemElas!$A$21:$B$28,2,0)</f>
        <v>115.58682284167395</v>
      </c>
      <c r="V4" s="2">
        <f>-'Target Price'!V4/TargetConsumption!V4/VLOOKUP($A4,DemElas!$A$21:$B$28,2,0)</f>
        <v>129.06886105549609</v>
      </c>
      <c r="W4" s="2">
        <f>-'Target Price'!W4/TargetConsumption!W4/VLOOKUP($A4,DemElas!$A$21:$B$28,2,0)</f>
        <v>114.44239885314254</v>
      </c>
      <c r="X4" s="2">
        <f>-'Target Price'!X4/TargetConsumption!X4/VLOOKUP($A4,DemElas!$A$21:$B$28,2,0)</f>
        <v>127.79095154009514</v>
      </c>
      <c r="Y4" s="2">
        <f>-'Target Price'!Y4/TargetConsumption!Y4/VLOOKUP($A4,DemElas!$A$21:$B$28,2,0)</f>
        <v>113.30930579519064</v>
      </c>
      <c r="Z4" s="2">
        <f>-'Target Price'!Z4/TargetConsumption!Z4/VLOOKUP($A4,DemElas!$A$21:$B$28,2,0)</f>
        <v>126.52569459415361</v>
      </c>
      <c r="AA4" s="2">
        <f>-'Target Price'!AA4/TargetConsumption!AA4/VLOOKUP($A4,DemElas!$A$21:$B$28,2,0)</f>
        <v>112.18743148038676</v>
      </c>
      <c r="AB4" s="2">
        <f>-'Target Price'!AB4/TargetConsumption!AB4/VLOOKUP($A4,DemElas!$A$21:$B$28,2,0)</f>
        <v>125.27296494470653</v>
      </c>
      <c r="AC4" s="2">
        <f>-'Target Price'!AC4/TargetConsumption!AC4/VLOOKUP($A4,DemElas!$A$21:$B$28,2,0)</f>
        <v>111.07666483206611</v>
      </c>
      <c r="AD4" s="2">
        <f>-'Target Price'!AD4/TargetConsumption!AD4/VLOOKUP($A4,DemElas!$A$21:$B$28,2,0)</f>
        <v>124.03263855911538</v>
      </c>
      <c r="AE4" s="2">
        <f>-'Target Price'!AE4/TargetConsumption!AE4/VLOOKUP($A4,DemElas!$A$21:$B$28,2,0)</f>
        <v>109.97689587333277</v>
      </c>
      <c r="AF4" s="2">
        <f>-'Target Price'!AF4/TargetConsumption!AF4/VLOOKUP($A4,DemElas!$A$21:$B$28,2,0)</f>
        <v>122.8045926327875</v>
      </c>
      <c r="AG4" s="2">
        <f>-'Target Price'!AG4/TargetConsumption!AG4/VLOOKUP($A4,DemElas!$A$21:$B$28,2,0)</f>
        <v>108.88801571617107</v>
      </c>
      <c r="AH4" s="2">
        <f>-'Target Price'!AH4/TargetConsumption!AH4/VLOOKUP($A4,DemElas!$A$21:$B$28,2,0)</f>
        <v>121.58870557701732</v>
      </c>
    </row>
    <row r="5" spans="1:34">
      <c r="A5" t="str">
        <f>sets!$H$3</f>
        <v>Teff</v>
      </c>
      <c r="B5" t="str">
        <v>Amhara</v>
      </c>
      <c r="C5" s="2">
        <f>-'Target Price'!C5/TargetConsumption!C5/VLOOKUP($A5,DemElas!$A$21:$B$28,2,0)</f>
        <v>10.061442218409944</v>
      </c>
      <c r="D5" s="2">
        <f>-'Target Price'!D5/TargetConsumption!D5/VLOOKUP($A5,DemElas!$A$21:$B$28,2,0)</f>
        <v>10.88702817226244</v>
      </c>
      <c r="E5" s="2">
        <f>-'Target Price'!E5/TargetConsumption!E5/VLOOKUP($A5,DemElas!$A$21:$B$28,2,0)</f>
        <v>9.9618239786237055</v>
      </c>
      <c r="F5" s="2">
        <f>-'Target Price'!F5/TargetConsumption!F5/VLOOKUP($A5,DemElas!$A$21:$B$28,2,0)</f>
        <v>10.779235814121227</v>
      </c>
      <c r="G5" s="2">
        <f>-'Target Price'!G5/TargetConsumption!G5/VLOOKUP($A5,DemElas!$A$21:$B$28,2,0)</f>
        <v>9.8631920580432713</v>
      </c>
      <c r="H5" s="2">
        <f>-'Target Price'!H5/TargetConsumption!H5/VLOOKUP($A5,DemElas!$A$21:$B$28,2,0)</f>
        <v>10.672510707050717</v>
      </c>
      <c r="I5" s="2">
        <f>-'Target Price'!I5/TargetConsumption!I5/VLOOKUP($A5,DemElas!$A$21:$B$28,2,0)</f>
        <v>9.7655366911319508</v>
      </c>
      <c r="J5" s="2">
        <f>-'Target Price'!J5/TargetConsumption!J5/VLOOKUP($A5,DemElas!$A$21:$B$28,2,0)</f>
        <v>10.566842284208631</v>
      </c>
      <c r="K5" s="2">
        <f>-'Target Price'!K5/TargetConsumption!K5/VLOOKUP($A5,DemElas!$A$21:$B$28,2,0)</f>
        <v>9.6688482090415366</v>
      </c>
      <c r="L5" s="2">
        <f>-'Target Price'!L5/TargetConsumption!L5/VLOOKUP($A5,DemElas!$A$21:$B$28,2,0)</f>
        <v>10.462220083374882</v>
      </c>
      <c r="M5" s="2">
        <f>-'Target Price'!M5/TargetConsumption!M5/VLOOKUP($A5,DemElas!$A$21:$B$28,2,0)</f>
        <v>9.5731170386549866</v>
      </c>
      <c r="N5" s="2">
        <f>-'Target Price'!N5/TargetConsumption!N5/VLOOKUP($A5,DemElas!$A$21:$B$28,2,0)</f>
        <v>10.358633745915727</v>
      </c>
      <c r="O5" s="2">
        <f>-'Target Price'!O5/TargetConsumption!O5/VLOOKUP($A5,DemElas!$A$21:$B$28,2,0)</f>
        <v>9.4783337016386007</v>
      </c>
      <c r="P5" s="2">
        <f>-'Target Price'!P5/TargetConsumption!P5/VLOOKUP($A5,DemElas!$A$21:$B$28,2,0)</f>
        <v>10.256073015758144</v>
      </c>
      <c r="Q5" s="2">
        <f>-'Target Price'!Q5/TargetConsumption!Q5/VLOOKUP($A5,DemElas!$A$21:$B$28,2,0)</f>
        <v>9.3844888135035642</v>
      </c>
      <c r="R5" s="2">
        <f>-'Target Price'!R5/TargetConsumption!R5/VLOOKUP($A5,DemElas!$A$21:$B$28,2,0)</f>
        <v>10.1545277383744</v>
      </c>
      <c r="S5" s="2">
        <f>-'Target Price'!S5/TargetConsumption!S5/VLOOKUP($A5,DemElas!$A$21:$B$28,2,0)</f>
        <v>9.2915730826767966</v>
      </c>
      <c r="T5" s="2">
        <f>-'Target Price'!T5/TargetConsumption!T5/VLOOKUP($A5,DemElas!$A$21:$B$28,2,0)</f>
        <v>10.053987859776633</v>
      </c>
      <c r="U5" s="2">
        <f>-'Target Price'!U5/TargetConsumption!U5/VLOOKUP($A5,DemElas!$A$21:$B$28,2,0)</f>
        <v>9.1995773095809863</v>
      </c>
      <c r="V5" s="2">
        <f>-'Target Price'!V5/TargetConsumption!V5/VLOOKUP($A5,DemElas!$A$21:$B$28,2,0)</f>
        <v>9.9544434255214203</v>
      </c>
      <c r="W5" s="2">
        <f>-'Target Price'!W5/TargetConsumption!W5/VLOOKUP($A5,DemElas!$A$21:$B$28,2,0)</f>
        <v>9.1084923857237499</v>
      </c>
      <c r="X5" s="2">
        <f>-'Target Price'!X5/TargetConsumption!X5/VLOOKUP($A5,DemElas!$A$21:$B$28,2,0)</f>
        <v>9.8558845797241776</v>
      </c>
      <c r="Y5" s="2">
        <f>-'Target Price'!Y5/TargetConsumption!Y5/VLOOKUP($A5,DemElas!$A$21:$B$28,2,0)</f>
        <v>9.0183092927957933</v>
      </c>
      <c r="Z5" s="2">
        <f>-'Target Price'!Z5/TargetConsumption!Z5/VLOOKUP($A5,DemElas!$A$21:$B$28,2,0)</f>
        <v>9.7583015640833448</v>
      </c>
      <c r="AA5" s="2">
        <f>-'Target Price'!AA5/TargetConsumption!AA5/VLOOKUP($A5,DemElas!$A$21:$B$28,2,0)</f>
        <v>8.9290191017780121</v>
      </c>
      <c r="AB5" s="2">
        <f>-'Target Price'!AB5/TargetConsumption!AB5/VLOOKUP($A5,DemElas!$A$21:$B$28,2,0)</f>
        <v>9.6616847169142037</v>
      </c>
      <c r="AC5" s="2">
        <f>-'Target Price'!AC5/TargetConsumption!AC5/VLOOKUP($A5,DemElas!$A$21:$B$28,2,0)</f>
        <v>8.8406129720574373</v>
      </c>
      <c r="AD5" s="2">
        <f>-'Target Price'!AD5/TargetConsumption!AD5/VLOOKUP($A5,DemElas!$A$21:$B$28,2,0)</f>
        <v>9.5660244721922787</v>
      </c>
      <c r="AE5" s="2">
        <f>-'Target Price'!AE5/TargetConsumption!AE5/VLOOKUP($A5,DemElas!$A$21:$B$28,2,0)</f>
        <v>8.7530821505519185</v>
      </c>
      <c r="AF5" s="2">
        <f>-'Target Price'!AF5/TargetConsumption!AF5/VLOOKUP($A5,DemElas!$A$21:$B$28,2,0)</f>
        <v>9.4713113586062185</v>
      </c>
      <c r="AG5" s="2">
        <f>-'Target Price'!AG5/TargetConsumption!AG5/VLOOKUP($A5,DemElas!$A$21:$B$28,2,0)</f>
        <v>8.666417970843483</v>
      </c>
      <c r="AH5" s="2">
        <f>-'Target Price'!AH5/TargetConsumption!AH5/VLOOKUP($A5,DemElas!$A$21:$B$28,2,0)</f>
        <v>9.3775359986200169</v>
      </c>
    </row>
    <row r="6" spans="1:34">
      <c r="A6" t="str">
        <f>sets!$H$3</f>
        <v>Teff</v>
      </c>
      <c r="B6" t="str">
        <v>Gumuz</v>
      </c>
      <c r="C6" s="2">
        <f>-'Target Price'!C6/TargetConsumption!C6/VLOOKUP($A6,DemElas!$A$21:$B$28,2,0)</f>
        <v>186.47389606944196</v>
      </c>
      <c r="D6" s="2">
        <f>-'Target Price'!D6/TargetConsumption!D6/VLOOKUP($A6,DemElas!$A$21:$B$28,2,0)</f>
        <v>226.10060561669948</v>
      </c>
      <c r="E6" s="2">
        <f>-'Target Price'!E6/TargetConsumption!E6/VLOOKUP($A6,DemElas!$A$21:$B$28,2,0)</f>
        <v>184.62761987073463</v>
      </c>
      <c r="F6" s="2">
        <f>-'Target Price'!F6/TargetConsumption!F6/VLOOKUP($A6,DemElas!$A$21:$B$28,2,0)</f>
        <v>223.86198575910842</v>
      </c>
      <c r="G6" s="2">
        <f>-'Target Price'!G6/TargetConsumption!G6/VLOOKUP($A6,DemElas!$A$21:$B$28,2,0)</f>
        <v>182.79962363439071</v>
      </c>
      <c r="H6" s="2">
        <f>-'Target Price'!H6/TargetConsumption!H6/VLOOKUP($A6,DemElas!$A$21:$B$28,2,0)</f>
        <v>221.64553045456279</v>
      </c>
      <c r="I6" s="2">
        <f>-'Target Price'!I6/TargetConsumption!I6/VLOOKUP($A6,DemElas!$A$21:$B$28,2,0)</f>
        <v>180.98972637068385</v>
      </c>
      <c r="J6" s="2">
        <f>-'Target Price'!J6/TargetConsumption!J6/VLOOKUP($A6,DemElas!$A$21:$B$28,2,0)</f>
        <v>219.45102025204235</v>
      </c>
      <c r="K6" s="2">
        <f>-'Target Price'!K6/TargetConsumption!K6/VLOOKUP($A6,DemElas!$A$21:$B$28,2,0)</f>
        <v>179.19774888186521</v>
      </c>
      <c r="L6" s="2">
        <f>-'Target Price'!L6/TargetConsumption!L6/VLOOKUP($A6,DemElas!$A$21:$B$28,2,0)</f>
        <v>217.27823787330925</v>
      </c>
      <c r="M6" s="2">
        <f>-'Target Price'!M6/TargetConsumption!M6/VLOOKUP($A6,DemElas!$A$21:$B$28,2,0)</f>
        <v>177.423513744421</v>
      </c>
      <c r="N6" s="2">
        <f>-'Target Price'!N6/TargetConsumption!N6/VLOOKUP($A6,DemElas!$A$21:$B$28,2,0)</f>
        <v>215.12696819139529</v>
      </c>
      <c r="O6" s="2">
        <f>-'Target Price'!O6/TargetConsumption!O6/VLOOKUP($A6,DemElas!$A$21:$B$28,2,0)</f>
        <v>175.66684529150595</v>
      </c>
      <c r="P6" s="2">
        <f>-'Target Price'!P6/TargetConsumption!P6/VLOOKUP($A6,DemElas!$A$21:$B$28,2,0)</f>
        <v>212.99699820930226</v>
      </c>
      <c r="Q6" s="2">
        <f>-'Target Price'!Q6/TargetConsumption!Q6/VLOOKUP($A6,DemElas!$A$21:$B$28,2,0)</f>
        <v>173.92756959555044</v>
      </c>
      <c r="R6" s="2">
        <f>-'Target Price'!R6/TargetConsumption!R6/VLOOKUP($A6,DemElas!$A$21:$B$28,2,0)</f>
        <v>210.88811703891315</v>
      </c>
      <c r="S6" s="2">
        <f>-'Target Price'!S6/TargetConsumption!S6/VLOOKUP($A6,DemElas!$A$21:$B$28,2,0)</f>
        <v>172.20551445104005</v>
      </c>
      <c r="T6" s="2">
        <f>-'Target Price'!T6/TargetConsumption!T6/VLOOKUP($A6,DemElas!$A$21:$B$28,2,0)</f>
        <v>208.80011588011203</v>
      </c>
      <c r="U6" s="2">
        <f>-'Target Price'!U6/TargetConsumption!U6/VLOOKUP($A6,DemElas!$A$21:$B$28,2,0)</f>
        <v>170.50050935746538</v>
      </c>
      <c r="V6" s="2">
        <f>-'Target Price'!V6/TargetConsumption!V6/VLOOKUP($A6,DemElas!$A$21:$B$28,2,0)</f>
        <v>206.7327880001109</v>
      </c>
      <c r="W6" s="2">
        <f>-'Target Price'!W6/TargetConsumption!W6/VLOOKUP($A6,DemElas!$A$21:$B$28,2,0)</f>
        <v>168.81238550244095</v>
      </c>
      <c r="X6" s="2">
        <f>-'Target Price'!X6/TargetConsumption!X6/VLOOKUP($A6,DemElas!$A$21:$B$28,2,0)</f>
        <v>204.68592871298111</v>
      </c>
      <c r="Y6" s="2">
        <f>-'Target Price'!Y6/TargetConsumption!Y6/VLOOKUP($A6,DemElas!$A$21:$B$28,2,0)</f>
        <v>167.14097574499107</v>
      </c>
      <c r="Z6" s="2">
        <f>-'Target Price'!Z6/TargetConsumption!Z6/VLOOKUP($A6,DemElas!$A$21:$B$28,2,0)</f>
        <v>202.65933535938723</v>
      </c>
      <c r="AA6" s="2">
        <f>-'Target Price'!AA6/TargetConsumption!AA6/VLOOKUP($A6,DemElas!$A$21:$B$28,2,0)</f>
        <v>165.48611459900107</v>
      </c>
      <c r="AB6" s="2">
        <f>-'Target Price'!AB6/TargetConsumption!AB6/VLOOKUP($A6,DemElas!$A$21:$B$28,2,0)</f>
        <v>200.65280728652201</v>
      </c>
      <c r="AC6" s="2">
        <f>-'Target Price'!AC6/TargetConsumption!AC6/VLOOKUP($A6,DemElas!$A$21:$B$28,2,0)</f>
        <v>163.84763821683271</v>
      </c>
      <c r="AD6" s="2">
        <f>-'Target Price'!AD6/TargetConsumption!AD6/VLOOKUP($A6,DemElas!$A$21:$B$28,2,0)</f>
        <v>198.66614582823959</v>
      </c>
      <c r="AE6" s="2">
        <f>-'Target Price'!AE6/TargetConsumption!AE6/VLOOKUP($A6,DemElas!$A$21:$B$28,2,0)</f>
        <v>162.22538437310166</v>
      </c>
      <c r="AF6" s="2">
        <f>-'Target Price'!AF6/TargetConsumption!AF6/VLOOKUP($A6,DemElas!$A$21:$B$28,2,0)</f>
        <v>196.69915428538573</v>
      </c>
      <c r="AG6" s="2">
        <f>-'Target Price'!AG6/TargetConsumption!AG6/VLOOKUP($A6,DemElas!$A$21:$B$28,2,0)</f>
        <v>160.61919244861554</v>
      </c>
      <c r="AH6" s="2">
        <f>-'Target Price'!AH6/TargetConsumption!AH6/VLOOKUP($A6,DemElas!$A$21:$B$28,2,0)</f>
        <v>194.75163790632251</v>
      </c>
    </row>
    <row r="7" spans="1:34">
      <c r="A7" t="str">
        <f>sets!$H$3</f>
        <v>Teff</v>
      </c>
      <c r="B7" t="str">
        <v>DireDawa</v>
      </c>
      <c r="C7" s="2">
        <f>-'Target Price'!C7/TargetConsumption!C7/VLOOKUP($A7,DemElas!$A$21:$B$28,2,0)</f>
        <v>420.44949205647521</v>
      </c>
      <c r="D7" s="2">
        <f>-'Target Price'!D7/TargetConsumption!D7/VLOOKUP($A7,DemElas!$A$21:$B$28,2,0)</f>
        <v>530.40561011635964</v>
      </c>
      <c r="E7" s="2">
        <f>-'Target Price'!E7/TargetConsumption!E7/VLOOKUP($A7,DemElas!$A$21:$B$28,2,0)</f>
        <v>416.28662579849026</v>
      </c>
      <c r="F7" s="2">
        <f>-'Target Price'!F7/TargetConsumption!F7/VLOOKUP($A7,DemElas!$A$21:$B$28,2,0)</f>
        <v>525.15406942213826</v>
      </c>
      <c r="G7" s="2">
        <f>-'Target Price'!G7/TargetConsumption!G7/VLOOKUP($A7,DemElas!$A$21:$B$28,2,0)</f>
        <v>412.16497603810922</v>
      </c>
      <c r="H7" s="2">
        <f>-'Target Price'!H7/TargetConsumption!H7/VLOOKUP($A7,DemElas!$A$21:$B$28,2,0)</f>
        <v>519.95452418033483</v>
      </c>
      <c r="I7" s="2">
        <f>-'Target Price'!I7/TargetConsumption!I7/VLOOKUP($A7,DemElas!$A$21:$B$28,2,0)</f>
        <v>408.08413469119722</v>
      </c>
      <c r="J7" s="2">
        <f>-'Target Price'!J7/TargetConsumption!J7/VLOOKUP($A7,DemElas!$A$21:$B$28,2,0)</f>
        <v>514.80645958448997</v>
      </c>
      <c r="K7" s="2">
        <f>-'Target Price'!K7/TargetConsumption!K7/VLOOKUP($A7,DemElas!$A$21:$B$28,2,0)</f>
        <v>404.04369771405663</v>
      </c>
      <c r="L7" s="2">
        <f>-'Target Price'!L7/TargetConsumption!L7/VLOOKUP($A7,DemElas!$A$21:$B$28,2,0)</f>
        <v>509.70936592523759</v>
      </c>
      <c r="M7" s="2">
        <f>-'Target Price'!M7/TargetConsumption!M7/VLOOKUP($A7,DemElas!$A$21:$B$28,2,0)</f>
        <v>400.04326506342238</v>
      </c>
      <c r="N7" s="2">
        <f>-'Target Price'!N7/TargetConsumption!N7/VLOOKUP($A7,DemElas!$A$21:$B$28,2,0)</f>
        <v>504.66273853983915</v>
      </c>
      <c r="O7" s="2">
        <f>-'Target Price'!O7/TargetConsumption!O7/VLOOKUP($A7,DemElas!$A$21:$B$28,2,0)</f>
        <v>396.08244065685381</v>
      </c>
      <c r="P7" s="2">
        <f>-'Target Price'!P7/TargetConsumption!P7/VLOOKUP($A7,DemElas!$A$21:$B$28,2,0)</f>
        <v>499.66607776221696</v>
      </c>
      <c r="Q7" s="2">
        <f>-'Target Price'!Q7/TargetConsumption!Q7/VLOOKUP($A7,DemElas!$A$21:$B$28,2,0)</f>
        <v>392.16083233351867</v>
      </c>
      <c r="R7" s="2">
        <f>-'Target Price'!R7/TargetConsumption!R7/VLOOKUP($A7,DemElas!$A$21:$B$28,2,0)</f>
        <v>494.71888887348217</v>
      </c>
      <c r="S7" s="2">
        <f>-'Target Price'!S7/TargetConsumption!S7/VLOOKUP($A7,DemElas!$A$21:$B$28,2,0)</f>
        <v>388.27805181536496</v>
      </c>
      <c r="T7" s="2">
        <f>-'Target Price'!T7/TargetConsumption!T7/VLOOKUP($A7,DemElas!$A$21:$B$28,2,0)</f>
        <v>489.82068205295263</v>
      </c>
      <c r="U7" s="2">
        <f>-'Target Price'!U7/TargetConsumption!U7/VLOOKUP($A7,DemElas!$A$21:$B$28,2,0)</f>
        <v>384.43371466867819</v>
      </c>
      <c r="V7" s="2">
        <f>-'Target Price'!V7/TargetConsumption!V7/VLOOKUP($A7,DemElas!$A$21:$B$28,2,0)</f>
        <v>484.97097232965604</v>
      </c>
      <c r="W7" s="2">
        <f>-'Target Price'!W7/TargetConsumption!W7/VLOOKUP($A7,DemElas!$A$21:$B$28,2,0)</f>
        <v>380.62744026601808</v>
      </c>
      <c r="X7" s="2">
        <f>-'Target Price'!X7/TargetConsumption!X7/VLOOKUP($A7,DemElas!$A$21:$B$28,2,0)</f>
        <v>480.16927953431292</v>
      </c>
      <c r="Y7" s="2">
        <f>-'Target Price'!Y7/TargetConsumption!Y7/VLOOKUP($A7,DemElas!$A$21:$B$28,2,0)</f>
        <v>376.85885174853269</v>
      </c>
      <c r="Z7" s="2">
        <f>-'Target Price'!Z7/TargetConsumption!Z7/VLOOKUP($A7,DemElas!$A$21:$B$28,2,0)</f>
        <v>475.41512825179501</v>
      </c>
      <c r="AA7" s="2">
        <f>-'Target Price'!AA7/TargetConsumption!AA7/VLOOKUP($A7,DemElas!$A$21:$B$28,2,0)</f>
        <v>373.12757598864624</v>
      </c>
      <c r="AB7" s="2">
        <f>-'Target Price'!AB7/TargetConsumption!AB7/VLOOKUP($A7,DemElas!$A$21:$B$28,2,0)</f>
        <v>470.70804777405448</v>
      </c>
      <c r="AC7" s="2">
        <f>-'Target Price'!AC7/TargetConsumption!AC7/VLOOKUP($A7,DemElas!$A$21:$B$28,2,0)</f>
        <v>369.43324355311512</v>
      </c>
      <c r="AD7" s="2">
        <f>-'Target Price'!AD7/TargetConsumption!AD7/VLOOKUP($A7,DemElas!$A$21:$B$28,2,0)</f>
        <v>466.04757205351927</v>
      </c>
      <c r="AE7" s="2">
        <f>-'Target Price'!AE7/TargetConsumption!AE7/VLOOKUP($A7,DemElas!$A$21:$B$28,2,0)</f>
        <v>365.7754886664506</v>
      </c>
      <c r="AF7" s="2">
        <f>-'Target Price'!AF7/TargetConsumption!AF7/VLOOKUP($A7,DemElas!$A$21:$B$28,2,0)</f>
        <v>461.43323965694975</v>
      </c>
      <c r="AG7" s="2">
        <f>-'Target Price'!AG7/TargetConsumption!AG7/VLOOKUP($A7,DemElas!$A$21:$B$28,2,0)</f>
        <v>362.1539491747036</v>
      </c>
      <c r="AH7" s="2">
        <f>-'Target Price'!AH7/TargetConsumption!AH7/VLOOKUP($A7,DemElas!$A$21:$B$28,2,0)</f>
        <v>456.86459371975229</v>
      </c>
    </row>
    <row r="8" spans="1:34">
      <c r="A8" t="str">
        <f>sets!$H$3</f>
        <v>Teff</v>
      </c>
      <c r="B8" t="str">
        <v>Gambela</v>
      </c>
      <c r="C8" s="2">
        <f>-'Target Price'!C8/TargetConsumption!C8/VLOOKUP($A8,DemElas!$A$21:$B$28,2,0)</f>
        <v>431.38260499994061</v>
      </c>
      <c r="D8" s="2">
        <f>-'Target Price'!D8/TargetConsumption!D8/VLOOKUP($A8,DemElas!$A$21:$B$28,2,0)</f>
        <v>570.41033622032649</v>
      </c>
      <c r="E8" s="2">
        <f>-'Target Price'!E8/TargetConsumption!E8/VLOOKUP($A8,DemElas!$A$21:$B$28,2,0)</f>
        <v>427.11149009895109</v>
      </c>
      <c r="F8" s="2">
        <f>-'Target Price'!F8/TargetConsumption!F8/VLOOKUP($A8,DemElas!$A$21:$B$28,2,0)</f>
        <v>564.76270912903624</v>
      </c>
      <c r="G8" s="2">
        <f>-'Target Price'!G8/TargetConsumption!G8/VLOOKUP($A8,DemElas!$A$21:$B$28,2,0)</f>
        <v>422.88266346430805</v>
      </c>
      <c r="H8" s="2">
        <f>-'Target Price'!H8/TargetConsumption!H8/VLOOKUP($A8,DemElas!$A$21:$B$28,2,0)</f>
        <v>559.17099913765958</v>
      </c>
      <c r="I8" s="2">
        <f>-'Target Price'!I8/TargetConsumption!I8/VLOOKUP($A8,DemElas!$A$21:$B$28,2,0)</f>
        <v>418.69570640030497</v>
      </c>
      <c r="J8" s="2">
        <f>-'Target Price'!J8/TargetConsumption!J8/VLOOKUP($A8,DemElas!$A$21:$B$28,2,0)</f>
        <v>553.63465261154408</v>
      </c>
      <c r="K8" s="2">
        <f>-'Target Price'!K8/TargetConsumption!K8/VLOOKUP($A8,DemElas!$A$21:$B$28,2,0)</f>
        <v>414.55020435673759</v>
      </c>
      <c r="L8" s="2">
        <f>-'Target Price'!L8/TargetConsumption!L8/VLOOKUP($A8,DemElas!$A$21:$B$28,2,0)</f>
        <v>548.15312139756838</v>
      </c>
      <c r="M8" s="2">
        <f>-'Target Price'!M8/TargetConsumption!M8/VLOOKUP($A8,DemElas!$A$21:$B$28,2,0)</f>
        <v>410.44574688785895</v>
      </c>
      <c r="N8" s="2">
        <f>-'Target Price'!N8/TargetConsumption!N8/VLOOKUP($A8,DemElas!$A$21:$B$28,2,0)</f>
        <v>542.72586276986965</v>
      </c>
      <c r="O8" s="2">
        <f>-'Target Price'!O8/TargetConsumption!O8/VLOOKUP($A8,DemElas!$A$21:$B$28,2,0)</f>
        <v>406.38192761174156</v>
      </c>
      <c r="P8" s="2">
        <f>-'Target Price'!P8/TargetConsumption!P8/VLOOKUP($A8,DemElas!$A$21:$B$28,2,0)</f>
        <v>537.3523393761086</v>
      </c>
      <c r="Q8" s="2">
        <f>-'Target Price'!Q8/TargetConsumption!Q8/VLOOKUP($A8,DemElas!$A$21:$B$28,2,0)</f>
        <v>402.35834417004105</v>
      </c>
      <c r="R8" s="2">
        <f>-'Target Price'!R8/TargetConsumption!R8/VLOOKUP($A8,DemElas!$A$21:$B$28,2,0)</f>
        <v>532.03201918426589</v>
      </c>
      <c r="S8" s="2">
        <f>-'Target Price'!S8/TargetConsumption!S8/VLOOKUP($A8,DemElas!$A$21:$B$28,2,0)</f>
        <v>398.37459818815955</v>
      </c>
      <c r="T8" s="2">
        <f>-'Target Price'!T8/TargetConsumption!T8/VLOOKUP($A8,DemElas!$A$21:$B$28,2,0)</f>
        <v>526.76437542996632</v>
      </c>
      <c r="U8" s="2">
        <f>-'Target Price'!U8/TargetConsumption!U8/VLOOKUP($A8,DemElas!$A$21:$B$28,2,0)</f>
        <v>394.43029523580151</v>
      </c>
      <c r="V8" s="2">
        <f>-'Target Price'!V8/TargetConsumption!V8/VLOOKUP($A8,DemElas!$A$21:$B$28,2,0)</f>
        <v>521.54888656432297</v>
      </c>
      <c r="W8" s="2">
        <f>-'Target Price'!W8/TargetConsumption!W8/VLOOKUP($A8,DemElas!$A$21:$B$28,2,0)</f>
        <v>390.5250447879223</v>
      </c>
      <c r="X8" s="2">
        <f>-'Target Price'!X8/TargetConsumption!X8/VLOOKUP($A8,DemElas!$A$21:$B$28,2,0)</f>
        <v>516.38503620230006</v>
      </c>
      <c r="Y8" s="2">
        <f>-'Target Price'!Y8/TargetConsumption!Y8/VLOOKUP($A8,DemElas!$A$21:$B$28,2,0)</f>
        <v>386.65846018606169</v>
      </c>
      <c r="Z8" s="2">
        <f>-'Target Price'!Z8/TargetConsumption!Z8/VLOOKUP($A8,DemElas!$A$21:$B$28,2,0)</f>
        <v>511.27231307158416</v>
      </c>
      <c r="AA8" s="2">
        <f>-'Target Price'!AA8/TargetConsumption!AA8/VLOOKUP($A8,DemElas!$A$21:$B$28,2,0)</f>
        <v>382.83015860006105</v>
      </c>
      <c r="AB8" s="2">
        <f>-'Target Price'!AB8/TargetConsumption!AB8/VLOOKUP($A8,DemElas!$A$21:$B$28,2,0)</f>
        <v>506.21021096196449</v>
      </c>
      <c r="AC8" s="2">
        <f>-'Target Price'!AC8/TargetConsumption!AC8/VLOOKUP($A8,DemElas!$A$21:$B$28,2,0)</f>
        <v>379.03976099015949</v>
      </c>
      <c r="AD8" s="2">
        <f>-'Target Price'!AD8/TargetConsumption!AD8/VLOOKUP($A8,DemElas!$A$21:$B$28,2,0)</f>
        <v>501.19822867521242</v>
      </c>
      <c r="AE8" s="2">
        <f>-'Target Price'!AE8/TargetConsumption!AE8/VLOOKUP($A8,DemElas!$A$21:$B$28,2,0)</f>
        <v>375.28689206946484</v>
      </c>
      <c r="AF8" s="2">
        <f>-'Target Price'!AF8/TargetConsumption!AF8/VLOOKUP($A8,DemElas!$A$21:$B$28,2,0)</f>
        <v>496.23586997545783</v>
      </c>
      <c r="AG8" s="2">
        <f>-'Target Price'!AG8/TargetConsumption!AG8/VLOOKUP($A8,DemElas!$A$21:$B$28,2,0)</f>
        <v>371.57118026679683</v>
      </c>
      <c r="AH8" s="2">
        <f>-'Target Price'!AH8/TargetConsumption!AH8/VLOOKUP($A8,DemElas!$A$21:$B$28,2,0)</f>
        <v>491.32264354005724</v>
      </c>
    </row>
    <row r="9" spans="1:34">
      <c r="A9" t="str">
        <f>sets!$H$3</f>
        <v>Teff</v>
      </c>
      <c r="B9" t="str">
        <v>Harari</v>
      </c>
      <c r="C9" s="2">
        <f>-'Target Price'!C9/TargetConsumption!C9/VLOOKUP($A9,DemElas!$A$21:$B$28,2,0)</f>
        <v>825.88362649388046</v>
      </c>
      <c r="D9" s="2">
        <f>-'Target Price'!D9/TargetConsumption!D9/VLOOKUP($A9,DemElas!$A$21:$B$28,2,0)</f>
        <v>1021.7329839035511</v>
      </c>
      <c r="E9" s="2">
        <f>-'Target Price'!E9/TargetConsumption!E9/VLOOKUP($A9,DemElas!$A$21:$B$28,2,0)</f>
        <v>817.70656088503017</v>
      </c>
      <c r="F9" s="2">
        <f>-'Target Price'!F9/TargetConsumption!F9/VLOOKUP($A9,DemElas!$A$21:$B$28,2,0)</f>
        <v>1011.6168157460903</v>
      </c>
      <c r="G9" s="2">
        <f>-'Target Price'!G9/TargetConsumption!G9/VLOOKUP($A9,DemElas!$A$21:$B$28,2,0)</f>
        <v>809.61045632181197</v>
      </c>
      <c r="H9" s="2">
        <f>-'Target Price'!H9/TargetConsumption!H9/VLOOKUP($A9,DemElas!$A$21:$B$28,2,0)</f>
        <v>1001.6008076693963</v>
      </c>
      <c r="I9" s="2">
        <f>-'Target Price'!I9/TargetConsumption!I9/VLOOKUP($A9,DemElas!$A$21:$B$28,2,0)</f>
        <v>801.59451120971482</v>
      </c>
      <c r="J9" s="2">
        <f>-'Target Price'!J9/TargetConsumption!J9/VLOOKUP($A9,DemElas!$A$21:$B$28,2,0)</f>
        <v>991.6839679895013</v>
      </c>
      <c r="K9" s="2">
        <f>-'Target Price'!K9/TargetConsumption!K9/VLOOKUP($A9,DemElas!$A$21:$B$28,2,0)</f>
        <v>793.65793189080682</v>
      </c>
      <c r="L9" s="2">
        <f>-'Target Price'!L9/TargetConsumption!L9/VLOOKUP($A9,DemElas!$A$21:$B$28,2,0)</f>
        <v>981.86531484109037</v>
      </c>
      <c r="M9" s="2">
        <f>-'Target Price'!M9/TargetConsumption!M9/VLOOKUP($A9,DemElas!$A$21:$B$28,2,0)</f>
        <v>785.79993256515525</v>
      </c>
      <c r="N9" s="2">
        <f>-'Target Price'!N9/TargetConsumption!N9/VLOOKUP($A9,DemElas!$A$21:$B$28,2,0)</f>
        <v>972.14387608028744</v>
      </c>
      <c r="O9" s="2">
        <f>-'Target Price'!O9/TargetConsumption!O9/VLOOKUP($A9,DemElas!$A$21:$B$28,2,0)</f>
        <v>778.019735213025</v>
      </c>
      <c r="P9" s="2">
        <f>-'Target Price'!P9/TargetConsumption!P9/VLOOKUP($A9,DemElas!$A$21:$B$28,2,0)</f>
        <v>962.51868918840341</v>
      </c>
      <c r="Q9" s="2">
        <f>-'Target Price'!Q9/TargetConsumption!Q9/VLOOKUP($A9,DemElas!$A$21:$B$28,2,0)</f>
        <v>770.31656951784646</v>
      </c>
      <c r="R9" s="2">
        <f>-'Target Price'!R9/TargetConsumption!R9/VLOOKUP($A9,DemElas!$A$21:$B$28,2,0)</f>
        <v>952.98880117663714</v>
      </c>
      <c r="S9" s="2">
        <f>-'Target Price'!S9/TargetConsumption!S9/VLOOKUP($A9,DemElas!$A$21:$B$28,2,0)</f>
        <v>762.68967278994717</v>
      </c>
      <c r="T9" s="2">
        <f>-'Target Price'!T9/TargetConsumption!T9/VLOOKUP($A9,DemElas!$A$21:$B$28,2,0)</f>
        <v>943.55326849172002</v>
      </c>
      <c r="U9" s="2">
        <f>-'Target Price'!U9/TargetConsumption!U9/VLOOKUP($A9,DemElas!$A$21:$B$28,2,0)</f>
        <v>755.13828989103672</v>
      </c>
      <c r="V9" s="2">
        <f>-'Target Price'!V9/TargetConsumption!V9/VLOOKUP($A9,DemElas!$A$21:$B$28,2,0)</f>
        <v>934.21115692249498</v>
      </c>
      <c r="W9" s="2">
        <f>-'Target Price'!W9/TargetConsumption!W9/VLOOKUP($A9,DemElas!$A$21:$B$28,2,0)</f>
        <v>747.66167315944233</v>
      </c>
      <c r="X9" s="2">
        <f>-'Target Price'!X9/TargetConsumption!X9/VLOOKUP($A9,DemElas!$A$21:$B$28,2,0)</f>
        <v>924.96154150742086</v>
      </c>
      <c r="Y9" s="2">
        <f>-'Target Price'!Y9/TargetConsumption!Y9/VLOOKUP($A9,DemElas!$A$21:$B$28,2,0)</f>
        <v>740.25908233608141</v>
      </c>
      <c r="Z9" s="2">
        <f>-'Target Price'!Z9/TargetConsumption!Z9/VLOOKUP($A9,DemElas!$A$21:$B$28,2,0)</f>
        <v>915.80350644299085</v>
      </c>
      <c r="AA9" s="2">
        <f>-'Target Price'!AA9/TargetConsumption!AA9/VLOOKUP($A9,DemElas!$A$21:$B$28,2,0)</f>
        <v>732.9297844911697</v>
      </c>
      <c r="AB9" s="2">
        <f>-'Target Price'!AB9/TargetConsumption!AB9/VLOOKUP($A9,DemElas!$A$21:$B$28,2,0)</f>
        <v>906.73614499306029</v>
      </c>
      <c r="AC9" s="2">
        <f>-'Target Price'!AC9/TargetConsumption!AC9/VLOOKUP($A9,DemElas!$A$21:$B$28,2,0)</f>
        <v>725.67305395165306</v>
      </c>
      <c r="AD9" s="2">
        <f>-'Target Price'!AD9/TargetConsumption!AD9/VLOOKUP($A9,DemElas!$A$21:$B$28,2,0)</f>
        <v>897.75855939906955</v>
      </c>
      <c r="AE9" s="2">
        <f>-'Target Price'!AE9/TargetConsumption!AE9/VLOOKUP($A9,DemElas!$A$21:$B$28,2,0)</f>
        <v>718.48817222935963</v>
      </c>
      <c r="AF9" s="2">
        <f>-'Target Price'!AF9/TargetConsumption!AF9/VLOOKUP($A9,DemElas!$A$21:$B$28,2,0)</f>
        <v>888.86986079115798</v>
      </c>
      <c r="AG9" s="2">
        <f>-'Target Price'!AG9/TargetConsumption!AG9/VLOOKUP($A9,DemElas!$A$21:$B$28,2,0)</f>
        <v>711.374427949861</v>
      </c>
      <c r="AH9" s="2">
        <f>-'Target Price'!AH9/TargetConsumption!AH9/VLOOKUP($A9,DemElas!$A$21:$B$28,2,0)</f>
        <v>880.06916910015639</v>
      </c>
    </row>
    <row r="10" spans="1:34">
      <c r="A10" t="str">
        <f>sets!$H$3</f>
        <v>Teff</v>
      </c>
      <c r="B10" t="str">
        <v>Oromia</v>
      </c>
      <c r="C10" s="2">
        <f>-'Target Price'!C10/TargetConsumption!C10/VLOOKUP($A10,DemElas!$A$21:$B$28,2,0)</f>
        <v>5.2727147307826501</v>
      </c>
      <c r="D10" s="2">
        <f>-'Target Price'!D10/TargetConsumption!D10/VLOOKUP($A10,DemElas!$A$21:$B$28,2,0)</f>
        <v>6.5738964488074094</v>
      </c>
      <c r="E10" s="2">
        <f>-'Target Price'!E10/TargetConsumption!E10/VLOOKUP($A10,DemElas!$A$21:$B$28,2,0)</f>
        <v>5.2205096344382662</v>
      </c>
      <c r="F10" s="2">
        <f>-'Target Price'!F10/TargetConsumption!F10/VLOOKUP($A10,DemElas!$A$21:$B$28,2,0)</f>
        <v>6.5088083651558506</v>
      </c>
      <c r="G10" s="2">
        <f>-'Target Price'!G10/TargetConsumption!G10/VLOOKUP($A10,DemElas!$A$21:$B$28,2,0)</f>
        <v>5.1688214202359077</v>
      </c>
      <c r="H10" s="2">
        <f>-'Target Price'!H10/TargetConsumption!H10/VLOOKUP($A10,DemElas!$A$21:$B$28,2,0)</f>
        <v>6.4443647179760895</v>
      </c>
      <c r="I10" s="2">
        <f>-'Target Price'!I10/TargetConsumption!I10/VLOOKUP($A10,DemElas!$A$21:$B$28,2,0)</f>
        <v>5.117644970530602</v>
      </c>
      <c r="J10" s="2">
        <f>-'Target Price'!J10/TargetConsumption!J10/VLOOKUP($A10,DemElas!$A$21:$B$28,2,0)</f>
        <v>6.3805591267089987</v>
      </c>
      <c r="K10" s="2">
        <f>-'Target Price'!K10/TargetConsumption!K10/VLOOKUP($A10,DemElas!$A$21:$B$28,2,0)</f>
        <v>5.0669752183471299</v>
      </c>
      <c r="L10" s="2">
        <f>-'Target Price'!L10/TargetConsumption!L10/VLOOKUP($A10,DemElas!$A$21:$B$28,2,0)</f>
        <v>6.3173852739693057</v>
      </c>
      <c r="M10" s="2">
        <f>-'Target Price'!M10/TargetConsumption!M10/VLOOKUP($A10,DemElas!$A$21:$B$28,2,0)</f>
        <v>5.0168071468783459</v>
      </c>
      <c r="N10" s="2">
        <f>-'Target Price'!N10/TargetConsumption!N10/VLOOKUP($A10,DemElas!$A$21:$B$28,2,0)</f>
        <v>6.2548369049201051</v>
      </c>
      <c r="O10" s="2">
        <f>-'Target Price'!O10/TargetConsumption!O10/VLOOKUP($A10,DemElas!$A$21:$B$28,2,0)</f>
        <v>4.9671357889884611</v>
      </c>
      <c r="P10" s="2">
        <f>-'Target Price'!P10/TargetConsumption!P10/VLOOKUP($A10,DemElas!$A$21:$B$28,2,0)</f>
        <v>6.1929078266535686</v>
      </c>
      <c r="Q10" s="2">
        <f>-'Target Price'!Q10/TargetConsumption!Q10/VLOOKUP($A10,DemElas!$A$21:$B$28,2,0)</f>
        <v>4.9179562267212491</v>
      </c>
      <c r="R10" s="2">
        <f>-'Target Price'!R10/TargetConsumption!R10/VLOOKUP($A10,DemElas!$A$21:$B$28,2,0)</f>
        <v>6.1315919075777909</v>
      </c>
      <c r="S10" s="2">
        <f>-'Target Price'!S10/TargetConsumption!S10/VLOOKUP($A10,DemElas!$A$21:$B$28,2,0)</f>
        <v>4.8692635908131177</v>
      </c>
      <c r="T10" s="2">
        <f>-'Target Price'!T10/TargetConsumption!T10/VLOOKUP($A10,DemElas!$A$21:$B$28,2,0)</f>
        <v>6.0708830768096931</v>
      </c>
      <c r="U10" s="2">
        <f>-'Target Price'!U10/TargetConsumption!U10/VLOOKUP($A10,DemElas!$A$21:$B$28,2,0)</f>
        <v>4.8210530602110078</v>
      </c>
      <c r="V10" s="2">
        <f>-'Target Price'!V10/TargetConsumption!V10/VLOOKUP($A10,DemElas!$A$21:$B$28,2,0)</f>
        <v>6.0107753235739549</v>
      </c>
      <c r="W10" s="2">
        <f>-'Target Price'!W10/TargetConsumption!W10/VLOOKUP($A10,DemElas!$A$21:$B$28,2,0)</f>
        <v>4.7733198615950574</v>
      </c>
      <c r="X10" s="2">
        <f>-'Target Price'!X10/TargetConsumption!X10/VLOOKUP($A10,DemElas!$A$21:$B$28,2,0)</f>
        <v>5.9512626966078761</v>
      </c>
      <c r="Y10" s="2">
        <f>-'Target Price'!Y10/TargetConsumption!Y10/VLOOKUP($A10,DemElas!$A$21:$B$28,2,0)</f>
        <v>4.7260592689059973</v>
      </c>
      <c r="Z10" s="2">
        <f>-'Target Price'!Z10/TargetConsumption!Z10/VLOOKUP($A10,DemElas!$A$21:$B$28,2,0)</f>
        <v>5.8923393035721547</v>
      </c>
      <c r="AA10" s="2">
        <f>-'Target Price'!AA10/TargetConsumption!AA10/VLOOKUP($A10,DemElas!$A$21:$B$28,2,0)</f>
        <v>4.6792666028772247</v>
      </c>
      <c r="AB10" s="2">
        <f>-'Target Price'!AB10/TargetConsumption!AB10/VLOOKUP($A10,DemElas!$A$21:$B$28,2,0)</f>
        <v>5.8339993104674797</v>
      </c>
      <c r="AC10" s="2">
        <f>-'Target Price'!AC10/TargetConsumption!AC10/VLOOKUP($A10,DemElas!$A$21:$B$28,2,0)</f>
        <v>4.6329372305715104</v>
      </c>
      <c r="AD10" s="2">
        <f>-'Target Price'!AD10/TargetConsumption!AD10/VLOOKUP($A10,DemElas!$A$21:$B$28,2,0)</f>
        <v>5.7762369410569114</v>
      </c>
      <c r="AE10" s="2">
        <f>-'Target Price'!AE10/TargetConsumption!AE10/VLOOKUP($A10,DemElas!$A$21:$B$28,2,0)</f>
        <v>4.5870665649222877</v>
      </c>
      <c r="AF10" s="2">
        <f>-'Target Price'!AF10/TargetConsumption!AF10/VLOOKUP($A10,DemElas!$A$21:$B$28,2,0)</f>
        <v>5.7190464762939719</v>
      </c>
      <c r="AG10" s="2">
        <f>-'Target Price'!AG10/TargetConsumption!AG10/VLOOKUP($A10,DemElas!$A$21:$B$28,2,0)</f>
        <v>4.5416500642794935</v>
      </c>
      <c r="AH10" s="2">
        <f>-'Target Price'!AH10/TargetConsumption!AH10/VLOOKUP($A10,DemElas!$A$21:$B$28,2,0)</f>
        <v>5.6624222537564073</v>
      </c>
    </row>
    <row r="11" spans="1:34">
      <c r="A11" t="str">
        <f>sets!$H$3</f>
        <v>Teff</v>
      </c>
      <c r="B11" t="str">
        <v>Somali</v>
      </c>
      <c r="C11" s="2">
        <f>-'Target Price'!C11/TargetConsumption!C11/VLOOKUP($A11,DemElas!$A$21:$B$28,2,0)</f>
        <v>31.206305410257269</v>
      </c>
      <c r="D11" s="2">
        <f>-'Target Price'!D11/TargetConsumption!D11/VLOOKUP($A11,DemElas!$A$21:$B$28,2,0)</f>
        <v>40.634076011858689</v>
      </c>
      <c r="E11" s="2">
        <f>-'Target Price'!E11/TargetConsumption!E11/VLOOKUP($A11,DemElas!$A$21:$B$28,2,0)</f>
        <v>30.89733208936363</v>
      </c>
      <c r="F11" s="2">
        <f>-'Target Price'!F11/TargetConsumption!F11/VLOOKUP($A11,DemElas!$A$21:$B$28,2,0)</f>
        <v>40.231758427582861</v>
      </c>
      <c r="G11" s="2">
        <f>-'Target Price'!G11/TargetConsumption!G11/VLOOKUP($A11,DemElas!$A$21:$B$28,2,0)</f>
        <v>30.591417910261018</v>
      </c>
      <c r="H11" s="2">
        <f>-'Target Price'!H11/TargetConsumption!H11/VLOOKUP($A11,DemElas!$A$21:$B$28,2,0)</f>
        <v>39.833424185725605</v>
      </c>
      <c r="I11" s="2">
        <f>-'Target Price'!I11/TargetConsumption!I11/VLOOKUP($A11,DemElas!$A$21:$B$28,2,0)</f>
        <v>30.288532584416856</v>
      </c>
      <c r="J11" s="2">
        <f>-'Target Price'!J11/TargetConsumption!J11/VLOOKUP($A11,DemElas!$A$21:$B$28,2,0)</f>
        <v>39.439033847253079</v>
      </c>
      <c r="K11" s="2">
        <f>-'Target Price'!K11/TargetConsumption!K11/VLOOKUP($A11,DemElas!$A$21:$B$28,2,0)</f>
        <v>29.988646123185003</v>
      </c>
      <c r="L11" s="2">
        <f>-'Target Price'!L11/TargetConsumption!L11/VLOOKUP($A11,DemElas!$A$21:$B$28,2,0)</f>
        <v>39.048548363616909</v>
      </c>
      <c r="M11" s="2">
        <f>-'Target Price'!M11/TargetConsumption!M11/VLOOKUP($A11,DemElas!$A$21:$B$28,2,0)</f>
        <v>29.691728834836635</v>
      </c>
      <c r="N11" s="2">
        <f>-'Target Price'!N11/TargetConsumption!N11/VLOOKUP($A11,DemElas!$A$21:$B$28,2,0)</f>
        <v>38.661929072888022</v>
      </c>
      <c r="O11" s="2">
        <f>-'Target Price'!O11/TargetConsumption!O11/VLOOKUP($A11,DemElas!$A$21:$B$28,2,0)</f>
        <v>29.397751321620433</v>
      </c>
      <c r="P11" s="2">
        <f>-'Target Price'!P11/TargetConsumption!P11/VLOOKUP($A11,DemElas!$A$21:$B$28,2,0)</f>
        <v>38.279137695928739</v>
      </c>
      <c r="Q11" s="2">
        <f>-'Target Price'!Q11/TargetConsumption!Q11/VLOOKUP($A11,DemElas!$A$21:$B$28,2,0)</f>
        <v>29.10668447685191</v>
      </c>
      <c r="R11" s="2">
        <f>-'Target Price'!R11/TargetConsumption!R11/VLOOKUP($A11,DemElas!$A$21:$B$28,2,0)</f>
        <v>37.900136332602713</v>
      </c>
      <c r="S11" s="2">
        <f>-'Target Price'!S11/TargetConsumption!S11/VLOOKUP($A11,DemElas!$A$21:$B$28,2,0)</f>
        <v>28.818499482031591</v>
      </c>
      <c r="T11" s="2">
        <f>-'Target Price'!T11/TargetConsumption!T11/VLOOKUP($A11,DemElas!$A$21:$B$28,2,0)</f>
        <v>37.524887458022476</v>
      </c>
      <c r="U11" s="2">
        <f>-'Target Price'!U11/TargetConsumption!U11/VLOOKUP($A11,DemElas!$A$21:$B$28,2,0)</f>
        <v>28.533167803991674</v>
      </c>
      <c r="V11" s="2">
        <f>-'Target Price'!V11/TargetConsumption!V11/VLOOKUP($A11,DemElas!$A$21:$B$28,2,0)</f>
        <v>37.153353918834142</v>
      </c>
      <c r="W11" s="2">
        <f>-'Target Price'!W11/TargetConsumption!W11/VLOOKUP($A11,DemElas!$A$21:$B$28,2,0)</f>
        <v>28.250661192070964</v>
      </c>
      <c r="X11" s="2">
        <f>-'Target Price'!X11/TargetConsumption!X11/VLOOKUP($A11,DemElas!$A$21:$B$28,2,0)</f>
        <v>36.785498929538747</v>
      </c>
      <c r="Y11" s="2">
        <f>-'Target Price'!Y11/TargetConsumption!Y11/VLOOKUP($A11,DemElas!$A$21:$B$28,2,0)</f>
        <v>27.970951675317789</v>
      </c>
      <c r="Z11" s="2">
        <f>-'Target Price'!Z11/TargetConsumption!Z11/VLOOKUP($A11,DemElas!$A$21:$B$28,2,0)</f>
        <v>36.421286068850243</v>
      </c>
      <c r="AA11" s="2">
        <f>-'Target Price'!AA11/TargetConsumption!AA11/VLOOKUP($A11,DemElas!$A$21:$B$28,2,0)</f>
        <v>27.694011559720582</v>
      </c>
      <c r="AB11" s="2">
        <f>-'Target Price'!AB11/TargetConsumption!AB11/VLOOKUP($A11,DemElas!$A$21:$B$28,2,0)</f>
        <v>36.060679276089353</v>
      </c>
      <c r="AC11" s="2">
        <f>-'Target Price'!AC11/TargetConsumption!AC11/VLOOKUP($A11,DemElas!$A$21:$B$28,2,0)</f>
        <v>27.419813425465922</v>
      </c>
      <c r="AD11" s="2">
        <f>-'Target Price'!AD11/TargetConsumption!AD11/VLOOKUP($A11,DemElas!$A$21:$B$28,2,0)</f>
        <v>35.703642847613217</v>
      </c>
      <c r="AE11" s="2">
        <f>-'Target Price'!AE11/TargetConsumption!AE11/VLOOKUP($A11,DemElas!$A$21:$B$28,2,0)</f>
        <v>27.148330124223687</v>
      </c>
      <c r="AF11" s="2">
        <f>-'Target Price'!AF11/TargetConsumption!AF11/VLOOKUP($A11,DemElas!$A$21:$B$28,2,0)</f>
        <v>35.35014143328042</v>
      </c>
      <c r="AG11" s="2">
        <f>-'Target Price'!AG11/TargetConsumption!AG11/VLOOKUP($A11,DemElas!$A$21:$B$28,2,0)</f>
        <v>26.879534776459096</v>
      </c>
      <c r="AH11" s="2">
        <f>-'Target Price'!AH11/TargetConsumption!AH11/VLOOKUP($A11,DemElas!$A$21:$B$28,2,0)</f>
        <v>35.00014003295091</v>
      </c>
    </row>
    <row r="12" spans="1:34">
      <c r="A12" t="str">
        <f>sets!$H$3</f>
        <v>Teff</v>
      </c>
      <c r="B12" t="str">
        <v>SNNPR</v>
      </c>
      <c r="C12" s="2">
        <f>-'Target Price'!C12/TargetConsumption!C12/VLOOKUP($A12,DemElas!$A$21:$B$28,2,0)</f>
        <v>10.321480226655492</v>
      </c>
      <c r="D12" s="2">
        <f>-'Target Price'!D12/TargetConsumption!D12/VLOOKUP($A12,DemElas!$A$21:$B$28,2,0)</f>
        <v>12.815506865064547</v>
      </c>
      <c r="E12" s="2">
        <f>-'Target Price'!E12/TargetConsumption!E12/VLOOKUP($A12,DemElas!$A$21:$B$28,2,0)</f>
        <v>10.219287353124249</v>
      </c>
      <c r="F12" s="2">
        <f>-'Target Price'!F12/TargetConsumption!F12/VLOOKUP($A12,DemElas!$A$21:$B$28,2,0)</f>
        <v>12.688620658479747</v>
      </c>
      <c r="G12" s="2">
        <f>-'Target Price'!G12/TargetConsumption!G12/VLOOKUP($A12,DemElas!$A$21:$B$28,2,0)</f>
        <v>10.118106290222027</v>
      </c>
      <c r="H12" s="2">
        <f>-'Target Price'!H12/TargetConsumption!H12/VLOOKUP($A12,DemElas!$A$21:$B$28,2,0)</f>
        <v>12.562990750970046</v>
      </c>
      <c r="I12" s="2">
        <f>-'Target Price'!I12/TargetConsumption!I12/VLOOKUP($A12,DemElas!$A$21:$B$28,2,0)</f>
        <v>10.017927020021808</v>
      </c>
      <c r="J12" s="2">
        <f>-'Target Price'!J12/TargetConsumption!J12/VLOOKUP($A12,DemElas!$A$21:$B$28,2,0)</f>
        <v>12.438604703930739</v>
      </c>
      <c r="K12" s="2">
        <f>-'Target Price'!K12/TargetConsumption!K12/VLOOKUP($A12,DemElas!$A$21:$B$28,2,0)</f>
        <v>9.9187396237839707</v>
      </c>
      <c r="L12" s="2">
        <f>-'Target Price'!L12/TargetConsumption!L12/VLOOKUP($A12,DemElas!$A$21:$B$28,2,0)</f>
        <v>12.315450201911624</v>
      </c>
      <c r="M12" s="2">
        <f>-'Target Price'!M12/TargetConsumption!M12/VLOOKUP($A12,DemElas!$A$21:$B$28,2,0)</f>
        <v>9.8205342809742273</v>
      </c>
      <c r="N12" s="2">
        <f>-'Target Price'!N12/TargetConsumption!N12/VLOOKUP($A12,DemElas!$A$21:$B$28,2,0)</f>
        <v>12.193515051397647</v>
      </c>
      <c r="O12" s="2">
        <f>-'Target Price'!O12/TargetConsumption!O12/VLOOKUP($A12,DemElas!$A$21:$B$28,2,0)</f>
        <v>9.7233012682913138</v>
      </c>
      <c r="P12" s="2">
        <f>-'Target Price'!P12/TargetConsumption!P12/VLOOKUP($A12,DemElas!$A$21:$B$28,2,0)</f>
        <v>12.07278717960163</v>
      </c>
      <c r="Q12" s="2">
        <f>-'Target Price'!Q12/TargetConsumption!Q12/VLOOKUP($A12,DemElas!$A$21:$B$28,2,0)</f>
        <v>9.6270309587042711</v>
      </c>
      <c r="R12" s="2">
        <f>-'Target Price'!R12/TargetConsumption!R12/VLOOKUP($A12,DemElas!$A$21:$B$28,2,0)</f>
        <v>11.953254633268939</v>
      </c>
      <c r="S12" s="2">
        <f>-'Target Price'!S12/TargetConsumption!S12/VLOOKUP($A12,DemElas!$A$21:$B$28,2,0)</f>
        <v>9.5317138204992773</v>
      </c>
      <c r="T12" s="2">
        <f>-'Target Price'!T12/TargetConsumption!T12/VLOOKUP($A12,DemElas!$A$21:$B$28,2,0)</f>
        <v>11.834905577494</v>
      </c>
      <c r="U12" s="2">
        <f>-'Target Price'!U12/TargetConsumption!U12/VLOOKUP($A12,DemElas!$A$21:$B$28,2,0)</f>
        <v>9.4373404163359194</v>
      </c>
      <c r="V12" s="2">
        <f>-'Target Price'!V12/TargetConsumption!V12/VLOOKUP($A12,DemElas!$A$21:$B$28,2,0)</f>
        <v>11.717728294548516</v>
      </c>
      <c r="W12" s="2">
        <f>-'Target Price'!W12/TargetConsumption!W12/VLOOKUP($A12,DemElas!$A$21:$B$28,2,0)</f>
        <v>9.3439014023127918</v>
      </c>
      <c r="X12" s="2">
        <f>-'Target Price'!X12/TargetConsumption!X12/VLOOKUP($A12,DemElas!$A$21:$B$28,2,0)</f>
        <v>11.601711182721303</v>
      </c>
      <c r="Y12" s="2">
        <f>-'Target Price'!Y12/TargetConsumption!Y12/VLOOKUP($A12,DemElas!$A$21:$B$28,2,0)</f>
        <v>9.2513875270423682</v>
      </c>
      <c r="Z12" s="2">
        <f>-'Target Price'!Z12/TargetConsumption!Z12/VLOOKUP($A12,DemElas!$A$21:$B$28,2,0)</f>
        <v>11.486842755169604</v>
      </c>
      <c r="AA12" s="2">
        <f>-'Target Price'!AA12/TargetConsumption!AA12/VLOOKUP($A12,DemElas!$A$21:$B$28,2,0)</f>
        <v>9.1597896307350162</v>
      </c>
      <c r="AB12" s="2">
        <f>-'Target Price'!AB12/TargetConsumption!AB12/VLOOKUP($A12,DemElas!$A$21:$B$28,2,0)</f>
        <v>11.373111638781788</v>
      </c>
      <c r="AC12" s="2">
        <f>-'Target Price'!AC12/TargetConsumption!AC12/VLOOKUP($A12,DemElas!$A$21:$B$28,2,0)</f>
        <v>9.0690986442920973</v>
      </c>
      <c r="AD12" s="2">
        <f>-'Target Price'!AD12/TargetConsumption!AD12/VLOOKUP($A12,DemElas!$A$21:$B$28,2,0)</f>
        <v>11.260506573051275</v>
      </c>
      <c r="AE12" s="2">
        <f>-'Target Price'!AE12/TargetConsumption!AE12/VLOOKUP($A12,DemElas!$A$21:$B$28,2,0)</f>
        <v>8.9793055884080157</v>
      </c>
      <c r="AF12" s="2">
        <f>-'Target Price'!AF12/TargetConsumption!AF12/VLOOKUP($A12,DemElas!$A$21:$B$28,2,0)</f>
        <v>11.149016408961659</v>
      </c>
      <c r="AG12" s="2">
        <f>-'Target Price'!AG12/TargetConsumption!AG12/VLOOKUP($A12,DemElas!$A$21:$B$28,2,0)</f>
        <v>8.8904015726812045</v>
      </c>
      <c r="AH12" s="2">
        <f>-'Target Price'!AH12/TargetConsumption!AH12/VLOOKUP($A12,DemElas!$A$21:$B$28,2,0)</f>
        <v>11.038630107882831</v>
      </c>
    </row>
    <row r="13" spans="1:34">
      <c r="A13" t="str">
        <f>sets!$H$3</f>
        <v>Teff</v>
      </c>
      <c r="B13" t="str">
        <v>Tigray</v>
      </c>
      <c r="C13" s="2">
        <f>-'Target Price'!C13/TargetConsumption!C13/VLOOKUP($A13,DemElas!$A$21:$B$28,2,0)</f>
        <v>31.403217184251819</v>
      </c>
      <c r="D13" s="2">
        <f>-'Target Price'!D13/TargetConsumption!D13/VLOOKUP($A13,DemElas!$A$21:$B$28,2,0)</f>
        <v>44.582638352977334</v>
      </c>
      <c r="E13" s="2">
        <f>-'Target Price'!E13/TargetConsumption!E13/VLOOKUP($A13,DemElas!$A$21:$B$28,2,0)</f>
        <v>31.092294241833482</v>
      </c>
      <c r="F13" s="2">
        <f>-'Target Price'!F13/TargetConsumption!F13/VLOOKUP($A13,DemElas!$A$21:$B$28,2,0)</f>
        <v>44.141226092056762</v>
      </c>
      <c r="G13" s="2">
        <f>-'Target Price'!G13/TargetConsumption!G13/VLOOKUP($A13,DemElas!$A$21:$B$28,2,0)</f>
        <v>30.78444974438959</v>
      </c>
      <c r="H13" s="2">
        <f>-'Target Price'!H13/TargetConsumption!H13/VLOOKUP($A13,DemElas!$A$21:$B$28,2,0)</f>
        <v>43.704184249561152</v>
      </c>
      <c r="I13" s="2">
        <f>-'Target Price'!I13/TargetConsumption!I13/VLOOKUP($A13,DemElas!$A$21:$B$28,2,0)</f>
        <v>30.479653212266918</v>
      </c>
      <c r="J13" s="2">
        <f>-'Target Price'!J13/TargetConsumption!J13/VLOOKUP($A13,DemElas!$A$21:$B$28,2,0)</f>
        <v>43.271469554020939</v>
      </c>
      <c r="K13" s="2">
        <f>-'Target Price'!K13/TargetConsumption!K13/VLOOKUP($A13,DemElas!$A$21:$B$28,2,0)</f>
        <v>30.177874467591007</v>
      </c>
      <c r="L13" s="2">
        <f>-'Target Price'!L13/TargetConsumption!L13/VLOOKUP($A13,DemElas!$A$21:$B$28,2,0)</f>
        <v>42.843039162396963</v>
      </c>
      <c r="M13" s="2">
        <f>-'Target Price'!M13/TargetConsumption!M13/VLOOKUP($A13,DemElas!$A$21:$B$28,2,0)</f>
        <v>29.879083631278224</v>
      </c>
      <c r="N13" s="2">
        <f>-'Target Price'!N13/TargetConsumption!N13/VLOOKUP($A13,DemElas!$A$21:$B$28,2,0)</f>
        <v>42.418850655838582</v>
      </c>
      <c r="O13" s="2">
        <f>-'Target Price'!O13/TargetConsumption!O13/VLOOKUP($A13,DemElas!$A$21:$B$28,2,0)</f>
        <v>29.583251120077449</v>
      </c>
      <c r="P13" s="2">
        <f>-'Target Price'!P13/TargetConsumption!P13/VLOOKUP($A13,DemElas!$A$21:$B$28,2,0)</f>
        <v>41.998862035483747</v>
      </c>
      <c r="Q13" s="2">
        <f>-'Target Price'!Q13/TargetConsumption!Q13/VLOOKUP($A13,DemElas!$A$21:$B$28,2,0)</f>
        <v>29.290347643641038</v>
      </c>
      <c r="R13" s="2">
        <f>-'Target Price'!R13/TargetConsumption!R13/VLOOKUP($A13,DemElas!$A$21:$B$28,2,0)</f>
        <v>41.583031718300731</v>
      </c>
      <c r="S13" s="2">
        <f>-'Target Price'!S13/TargetConsumption!S13/VLOOKUP($A13,DemElas!$A$21:$B$28,2,0)</f>
        <v>29.000344201624788</v>
      </c>
      <c r="T13" s="2">
        <f>-'Target Price'!T13/TargetConsumption!T13/VLOOKUP($A13,DemElas!$A$21:$B$28,2,0)</f>
        <v>41.171318532971029</v>
      </c>
      <c r="U13" s="2">
        <f>-'Target Price'!U13/TargetConsumption!U13/VLOOKUP($A13,DemElas!$A$21:$B$28,2,0)</f>
        <v>28.713212080816625</v>
      </c>
      <c r="V13" s="2">
        <f>-'Target Price'!V13/TargetConsumption!V13/VLOOKUP($A13,DemElas!$A$21:$B$28,2,0)</f>
        <v>40.763681715812893</v>
      </c>
      <c r="W13" s="2">
        <f>-'Target Price'!W13/TargetConsumption!W13/VLOOKUP($A13,DemElas!$A$21:$B$28,2,0)</f>
        <v>28.428922852293685</v>
      </c>
      <c r="X13" s="2">
        <f>-'Target Price'!X13/TargetConsumption!X13/VLOOKUP($A13,DemElas!$A$21:$B$28,2,0)</f>
        <v>40.360080906745438</v>
      </c>
      <c r="Y13" s="2">
        <f>-'Target Price'!Y13/TargetConsumption!Y13/VLOOKUP($A13,DemElas!$A$21:$B$28,2,0)</f>
        <v>28.147448368607613</v>
      </c>
      <c r="Z13" s="2">
        <f>-'Target Price'!Z13/TargetConsumption!Z13/VLOOKUP($A13,DemElas!$A$21:$B$28,2,0)</f>
        <v>39.960476145292517</v>
      </c>
      <c r="AA13" s="2">
        <f>-'Target Price'!AA13/TargetConsumption!AA13/VLOOKUP($A13,DemElas!$A$21:$B$28,2,0)</f>
        <v>27.868760760997638</v>
      </c>
      <c r="AB13" s="2">
        <f>-'Target Price'!AB13/TargetConsumption!AB13/VLOOKUP($A13,DemElas!$A$21:$B$28,2,0)</f>
        <v>39.56482786662626</v>
      </c>
      <c r="AC13" s="2">
        <f>-'Target Price'!AC13/TargetConsumption!AC13/VLOOKUP($A13,DemElas!$A$21:$B$28,2,0)</f>
        <v>27.592832436631323</v>
      </c>
      <c r="AD13" s="2">
        <f>-'Target Price'!AD13/TargetConsumption!AD13/VLOOKUP($A13,DemElas!$A$21:$B$28,2,0)</f>
        <v>39.173096897649764</v>
      </c>
      <c r="AE13" s="2">
        <f>-'Target Price'!AE13/TargetConsumption!AE13/VLOOKUP($A13,DemElas!$A$21:$B$28,2,0)</f>
        <v>27.319636075872594</v>
      </c>
      <c r="AF13" s="2">
        <f>-'Target Price'!AF13/TargetConsumption!AF13/VLOOKUP($A13,DemElas!$A$21:$B$28,2,0)</f>
        <v>38.785244453118572</v>
      </c>
      <c r="AG13" s="2">
        <f>-'Target Price'!AG13/TargetConsumption!AG13/VLOOKUP($A13,DemElas!$A$21:$B$28,2,0)</f>
        <v>27.049144629576826</v>
      </c>
      <c r="AH13" s="2">
        <f>-'Target Price'!AH13/TargetConsumption!AH13/VLOOKUP($A13,DemElas!$A$21:$B$28,2,0)</f>
        <v>38.401232131800569</v>
      </c>
    </row>
    <row r="14" spans="1:34">
      <c r="A14" t="str">
        <f t="shared" ref="A14:A77" si="2">INDEX(Food,MATCH(A3,Food,0)+1)</f>
        <v>Sorghum</v>
      </c>
      <c r="B14" t="str">
        <f>B3</f>
        <v>AddisAbaba</v>
      </c>
      <c r="C14" s="2">
        <f>-'Target Price'!C14/TargetConsumption!C14/VLOOKUP($A14,DemElas!$A$21:$B$28,2,0)</f>
        <v>14.896353289812625</v>
      </c>
      <c r="D14" s="2">
        <f>-'Target Price'!D14/TargetConsumption!D14/VLOOKUP($A14,DemElas!$A$21:$B$28,2,0)</f>
        <v>18.75257156724879</v>
      </c>
      <c r="E14" s="2">
        <f>-'Target Price'!E14/TargetConsumption!E14/VLOOKUP($A14,DemElas!$A$21:$B$28,2,0)</f>
        <v>14.748864643378838</v>
      </c>
      <c r="F14" s="2">
        <f>-'Target Price'!F14/TargetConsumption!F14/VLOOKUP($A14,DemElas!$A$21:$B$28,2,0)</f>
        <v>18.566902541830483</v>
      </c>
      <c r="G14" s="2">
        <f>-'Target Price'!G14/TargetConsumption!G14/VLOOKUP($A14,DemElas!$A$21:$B$28,2,0)</f>
        <v>14.602836280573106</v>
      </c>
      <c r="H14" s="2">
        <f>-'Target Price'!H14/TargetConsumption!H14/VLOOKUP($A14,DemElas!$A$21:$B$28,2,0)</f>
        <v>18.383071823594538</v>
      </c>
      <c r="I14" s="2">
        <f>-'Target Price'!I14/TargetConsumption!I14/VLOOKUP($A14,DemElas!$A$21:$B$28,2,0)</f>
        <v>14.45825374314169</v>
      </c>
      <c r="J14" s="2">
        <f>-'Target Price'!J14/TargetConsumption!J14/VLOOKUP($A14,DemElas!$A$21:$B$28,2,0)</f>
        <v>18.20106121147974</v>
      </c>
      <c r="K14" s="2">
        <f>-'Target Price'!K14/TargetConsumption!K14/VLOOKUP($A14,DemElas!$A$21:$B$28,2,0)</f>
        <v>14.315102715981871</v>
      </c>
      <c r="L14" s="2">
        <f>-'Target Price'!L14/TargetConsumption!L14/VLOOKUP($A14,DemElas!$A$21:$B$28,2,0)</f>
        <v>18.020852684633404</v>
      </c>
      <c r="M14" s="2">
        <f>-'Target Price'!M14/TargetConsumption!M14/VLOOKUP($A14,DemElas!$A$21:$B$28,2,0)</f>
        <v>14.173369025724625</v>
      </c>
      <c r="N14" s="2">
        <f>-'Target Price'!N14/TargetConsumption!N14/VLOOKUP($A14,DemElas!$A$21:$B$28,2,0)</f>
        <v>17.842428400627135</v>
      </c>
      <c r="O14" s="2">
        <f>-'Target Price'!O14/TargetConsumption!O14/VLOOKUP($A14,DemElas!$A$21:$B$28,2,0)</f>
        <v>14.033038639331311</v>
      </c>
      <c r="P14" s="2">
        <f>-'Target Price'!P14/TargetConsumption!P14/VLOOKUP($A14,DemElas!$A$21:$B$28,2,0)</f>
        <v>17.665770693690231</v>
      </c>
      <c r="Q14" s="2">
        <f>-'Target Price'!Q14/TargetConsumption!Q14/VLOOKUP($A14,DemElas!$A$21:$B$28,2,0)</f>
        <v>13.894097662704269</v>
      </c>
      <c r="R14" s="2">
        <f>-'Target Price'!R14/TargetConsumption!R14/VLOOKUP($A14,DemElas!$A$21:$B$28,2,0)</f>
        <v>17.490862072960624</v>
      </c>
      <c r="S14" s="2">
        <f>-'Target Price'!S14/TargetConsumption!S14/VLOOKUP($A14,DemElas!$A$21:$B$28,2,0)</f>
        <v>13.756532339311157</v>
      </c>
      <c r="T14" s="2">
        <f>-'Target Price'!T14/TargetConsumption!T14/VLOOKUP($A14,DemElas!$A$21:$B$28,2,0)</f>
        <v>17.317685220753095</v>
      </c>
      <c r="U14" s="2">
        <f>-'Target Price'!U14/TargetConsumption!U14/VLOOKUP($A14,DemElas!$A$21:$B$28,2,0)</f>
        <v>13.62032904882293</v>
      </c>
      <c r="V14" s="2">
        <f>-'Target Price'!V14/TargetConsumption!V14/VLOOKUP($A14,DemElas!$A$21:$B$28,2,0)</f>
        <v>17.146222990844649</v>
      </c>
      <c r="W14" s="2">
        <f>-'Target Price'!W14/TargetConsumption!W14/VLOOKUP($A14,DemElas!$A$21:$B$28,2,0)</f>
        <v>13.485474305765274</v>
      </c>
      <c r="X14" s="2">
        <f>-'Target Price'!X14/TargetConsumption!X14/VLOOKUP($A14,DemElas!$A$21:$B$28,2,0)</f>
        <v>16.976458406776882</v>
      </c>
      <c r="Y14" s="2">
        <f>-'Target Price'!Y14/TargetConsumption!Y14/VLOOKUP($A14,DemElas!$A$21:$B$28,2,0)</f>
        <v>13.351954758183439</v>
      </c>
      <c r="Z14" s="2">
        <f>-'Target Price'!Z14/TargetConsumption!Z14/VLOOKUP($A14,DemElas!$A$21:$B$28,2,0)</f>
        <v>16.808374660175129</v>
      </c>
      <c r="AA14" s="2">
        <f>-'Target Price'!AA14/TargetConsumption!AA14/VLOOKUP($A14,DemElas!$A$21:$B$28,2,0)</f>
        <v>13.219757186320237</v>
      </c>
      <c r="AB14" s="2">
        <f>-'Target Price'!AB14/TargetConsumption!AB14/VLOOKUP($A14,DemElas!$A$21:$B$28,2,0)</f>
        <v>16.641955109084282</v>
      </c>
      <c r="AC14" s="2">
        <f>-'Target Price'!AC14/TargetConsumption!AC14/VLOOKUP($A14,DemElas!$A$21:$B$28,2,0)</f>
        <v>13.088868501307166</v>
      </c>
      <c r="AD14" s="2">
        <f>-'Target Price'!AD14/TargetConsumption!AD14/VLOOKUP($A14,DemElas!$A$21:$B$28,2,0)</f>
        <v>16.477183276321075</v>
      </c>
      <c r="AE14" s="2">
        <f>-'Target Price'!AE14/TargetConsumption!AE14/VLOOKUP($A14,DemElas!$A$21:$B$28,2,0)</f>
        <v>12.95927574386848</v>
      </c>
      <c r="AF14" s="2">
        <f>-'Target Price'!AF14/TargetConsumption!AF14/VLOOKUP($A14,DemElas!$A$21:$B$28,2,0)</f>
        <v>16.314042847842646</v>
      </c>
      <c r="AG14" s="2">
        <f>-'Target Price'!AG14/TargetConsumption!AG14/VLOOKUP($A14,DemElas!$A$21:$B$28,2,0)</f>
        <v>12.830966083038099</v>
      </c>
      <c r="AH14" s="2">
        <f>-'Target Price'!AH14/TargetConsumption!AH14/VLOOKUP($A14,DemElas!$A$21:$B$28,2,0)</f>
        <v>16.152517671131331</v>
      </c>
    </row>
    <row r="15" spans="1:34">
      <c r="A15" t="str">
        <f t="shared" si="2"/>
        <v>Sorghum</v>
      </c>
      <c r="B15" t="str">
        <f t="shared" ref="B15:B78" si="3">B4</f>
        <v>Afar</v>
      </c>
      <c r="C15" s="2">
        <f>-'Target Price'!C15/TargetConsumption!C15/VLOOKUP($A15,DemElas!$A$21:$B$28,2,0)</f>
        <v>27.764843468339308</v>
      </c>
      <c r="D15" s="2">
        <f>-'Target Price'!D15/TargetConsumption!D15/VLOOKUP($A15,DemElas!$A$21:$B$28,2,0)</f>
        <v>34.192006834327081</v>
      </c>
      <c r="E15" s="2">
        <f>-'Target Price'!E15/TargetConsumption!E15/VLOOKUP($A15,DemElas!$A$21:$B$28,2,0)</f>
        <v>27.489944028058719</v>
      </c>
      <c r="F15" s="2">
        <f>-'Target Price'!F15/TargetConsumption!F15/VLOOKUP($A15,DemElas!$A$21:$B$28,2,0)</f>
        <v>33.853472113195131</v>
      </c>
      <c r="G15" s="2">
        <f>-'Target Price'!G15/TargetConsumption!G15/VLOOKUP($A15,DemElas!$A$21:$B$28,2,0)</f>
        <v>27.217766364414576</v>
      </c>
      <c r="H15" s="2">
        <f>-'Target Price'!H15/TargetConsumption!H15/VLOOKUP($A15,DemElas!$A$21:$B$28,2,0)</f>
        <v>33.518289220985281</v>
      </c>
      <c r="I15" s="2">
        <f>-'Target Price'!I15/TargetConsumption!I15/VLOOKUP($A15,DemElas!$A$21:$B$28,2,0)</f>
        <v>26.948283529123341</v>
      </c>
      <c r="J15" s="2">
        <f>-'Target Price'!J15/TargetConsumption!J15/VLOOKUP($A15,DemElas!$A$21:$B$28,2,0)</f>
        <v>33.186424971272551</v>
      </c>
      <c r="K15" s="2">
        <f>-'Target Price'!K15/TargetConsumption!K15/VLOOKUP($A15,DemElas!$A$21:$B$28,2,0)</f>
        <v>26.681468840716178</v>
      </c>
      <c r="L15" s="2">
        <f>-'Target Price'!L15/TargetConsumption!L15/VLOOKUP($A15,DemElas!$A$21:$B$28,2,0)</f>
        <v>32.85784650621045</v>
      </c>
      <c r="M15" s="2">
        <f>-'Target Price'!M15/TargetConsumption!M15/VLOOKUP($A15,DemElas!$A$21:$B$28,2,0)</f>
        <v>26.417295881897207</v>
      </c>
      <c r="N15" s="2">
        <f>-'Target Price'!N15/TargetConsumption!N15/VLOOKUP($A15,DemElas!$A$21:$B$28,2,0)</f>
        <v>32.532521293277675</v>
      </c>
      <c r="O15" s="2">
        <f>-'Target Price'!O15/TargetConsumption!O15/VLOOKUP($A15,DemElas!$A$21:$B$28,2,0)</f>
        <v>26.155738496927924</v>
      </c>
      <c r="P15" s="2">
        <f>-'Target Price'!P15/TargetConsumption!P15/VLOOKUP($A15,DemElas!$A$21:$B$28,2,0)</f>
        <v>32.210417122057102</v>
      </c>
      <c r="Q15" s="2">
        <f>-'Target Price'!Q15/TargetConsumption!Q15/VLOOKUP($A15,DemElas!$A$21:$B$28,2,0)</f>
        <v>25.89677078903755</v>
      </c>
      <c r="R15" s="2">
        <f>-'Target Price'!R15/TargetConsumption!R15/VLOOKUP($A15,DemElas!$A$21:$B$28,2,0)</f>
        <v>31.891502101046637</v>
      </c>
      <c r="S15" s="2">
        <f>-'Target Price'!S15/TargetConsumption!S15/VLOOKUP($A15,DemElas!$A$21:$B$28,2,0)</f>
        <v>25.640367117858961</v>
      </c>
      <c r="T15" s="2">
        <f>-'Target Price'!T15/TargetConsumption!T15/VLOOKUP($A15,DemElas!$A$21:$B$28,2,0)</f>
        <v>31.575744654501619</v>
      </c>
      <c r="U15" s="2">
        <f>-'Target Price'!U15/TargetConsumption!U15/VLOOKUP($A15,DemElas!$A$21:$B$28,2,0)</f>
        <v>25.386502096890066</v>
      </c>
      <c r="V15" s="2">
        <f>-'Target Price'!V15/TargetConsumption!V15/VLOOKUP($A15,DemElas!$A$21:$B$28,2,0)</f>
        <v>31.263113519308533</v>
      </c>
      <c r="W15" s="2">
        <f>-'Target Price'!W15/TargetConsumption!W15/VLOOKUP($A15,DemElas!$A$21:$B$28,2,0)</f>
        <v>25.13515059098026</v>
      </c>
      <c r="X15" s="2">
        <f>-'Target Price'!X15/TargetConsumption!X15/VLOOKUP($A15,DemElas!$A$21:$B$28,2,0)</f>
        <v>30.953577741889642</v>
      </c>
      <c r="Y15" s="2">
        <f>-'Target Price'!Y15/TargetConsumption!Y15/VLOOKUP($A15,DemElas!$A$21:$B$28,2,0)</f>
        <v>24.886287713841842</v>
      </c>
      <c r="Z15" s="2">
        <f>-'Target Price'!Z15/TargetConsumption!Z15/VLOOKUP($A15,DemElas!$A$21:$B$28,2,0)</f>
        <v>30.647106675138257</v>
      </c>
      <c r="AA15" s="2">
        <f>-'Target Price'!AA15/TargetConsumption!AA15/VLOOKUP($A15,DemElas!$A$21:$B$28,2,0)</f>
        <v>24.639888825585981</v>
      </c>
      <c r="AB15" s="2">
        <f>-'Target Price'!AB15/TargetConsumption!AB15/VLOOKUP($A15,DemElas!$A$21:$B$28,2,0)</f>
        <v>30.343669975384412</v>
      </c>
      <c r="AC15" s="2">
        <f>-'Target Price'!AC15/TargetConsumption!AC15/VLOOKUP($A15,DemElas!$A$21:$B$28,2,0)</f>
        <v>24.395929530283151</v>
      </c>
      <c r="AD15" s="2">
        <f>-'Target Price'!AD15/TargetConsumption!AD15/VLOOKUP($A15,DemElas!$A$21:$B$28,2,0)</f>
        <v>30.043237599390505</v>
      </c>
      <c r="AE15" s="2">
        <f>-'Target Price'!AE15/TargetConsumption!AE15/VLOOKUP($A15,DemElas!$A$21:$B$28,2,0)</f>
        <v>24.154385673547669</v>
      </c>
      <c r="AF15" s="2">
        <f>-'Target Price'!AF15/TargetConsumption!AF15/VLOOKUP($A15,DemElas!$A$21:$B$28,2,0)</f>
        <v>29.745779801376731</v>
      </c>
      <c r="AG15" s="2">
        <f>-'Target Price'!AG15/TargetConsumption!AG15/VLOOKUP($A15,DemElas!$A$21:$B$28,2,0)</f>
        <v>23.915233340146205</v>
      </c>
      <c r="AH15" s="2">
        <f>-'Target Price'!AH15/TargetConsumption!AH15/VLOOKUP($A15,DemElas!$A$21:$B$28,2,0)</f>
        <v>29.451267130075973</v>
      </c>
    </row>
    <row r="16" spans="1:34">
      <c r="A16" t="str">
        <f t="shared" si="2"/>
        <v>Sorghum</v>
      </c>
      <c r="B16" t="str">
        <f t="shared" si="3"/>
        <v>Amhara</v>
      </c>
      <c r="C16" s="2">
        <f>-'Target Price'!C16/TargetConsumption!C16/VLOOKUP($A16,DemElas!$A$21:$B$28,2,0)</f>
        <v>2.8284233254971212</v>
      </c>
      <c r="D16" s="2">
        <f>-'Target Price'!D16/TargetConsumption!D16/VLOOKUP($A16,DemElas!$A$21:$B$28,2,0)</f>
        <v>2.8328289653337553</v>
      </c>
      <c r="E16" s="2">
        <f>-'Target Price'!E16/TargetConsumption!E16/VLOOKUP($A16,DemElas!$A$21:$B$28,2,0)</f>
        <v>2.8004191341555651</v>
      </c>
      <c r="F16" s="2">
        <f>-'Target Price'!F16/TargetConsumption!F16/VLOOKUP($A16,DemElas!$A$21:$B$28,2,0)</f>
        <v>2.8047811537957972</v>
      </c>
      <c r="G16" s="2">
        <f>-'Target Price'!G16/TargetConsumption!G16/VLOOKUP($A16,DemElas!$A$21:$B$28,2,0)</f>
        <v>2.7726922120352135</v>
      </c>
      <c r="H16" s="2">
        <f>-'Target Price'!H16/TargetConsumption!H16/VLOOKUP($A16,DemElas!$A$21:$B$28,2,0)</f>
        <v>2.7770110433621755</v>
      </c>
      <c r="I16" s="2">
        <f>-'Target Price'!I16/TargetConsumption!I16/VLOOKUP($A16,DemElas!$A$21:$B$28,2,0)</f>
        <v>2.7452398138962502</v>
      </c>
      <c r="J16" s="2">
        <f>-'Target Price'!J16/TargetConsumption!J16/VLOOKUP($A16,DemElas!$A$21:$B$28,2,0)</f>
        <v>2.7495158845170056</v>
      </c>
      <c r="K16" s="2">
        <f>-'Target Price'!K16/TargetConsumption!K16/VLOOKUP($A16,DemElas!$A$21:$B$28,2,0)</f>
        <v>2.7180592216794559</v>
      </c>
      <c r="L16" s="2">
        <f>-'Target Price'!L16/TargetConsumption!L16/VLOOKUP($A16,DemElas!$A$21:$B$28,2,0)</f>
        <v>2.7222929549673318</v>
      </c>
      <c r="M16" s="2">
        <f>-'Target Price'!M16/TargetConsumption!M16/VLOOKUP($A16,DemElas!$A$21:$B$28,2,0)</f>
        <v>2.6911477442370848</v>
      </c>
      <c r="N16" s="2">
        <f>-'Target Price'!N16/TargetConsumption!N16/VLOOKUP($A16,DemElas!$A$21:$B$28,2,0)</f>
        <v>2.6953395593735956</v>
      </c>
      <c r="O16" s="2">
        <f>-'Target Price'!O16/TargetConsumption!O16/VLOOKUP($A16,DemElas!$A$21:$B$28,2,0)</f>
        <v>2.6645027170664206</v>
      </c>
      <c r="P16" s="2">
        <f>-'Target Price'!P16/TargetConsumption!P16/VLOOKUP($A16,DemElas!$A$21:$B$28,2,0)</f>
        <v>2.6686530290827677</v>
      </c>
      <c r="Q16" s="2">
        <f>-'Target Price'!Q16/TargetConsumption!Q16/VLOOKUP($A16,DemElas!$A$21:$B$28,2,0)</f>
        <v>2.6381215020459612</v>
      </c>
      <c r="R16" s="2">
        <f>-'Target Price'!R16/TargetConsumption!R16/VLOOKUP($A16,DemElas!$A$21:$B$28,2,0)</f>
        <v>2.6422307218641268</v>
      </c>
      <c r="S16" s="2">
        <f>-'Target Price'!S16/TargetConsumption!S16/VLOOKUP($A16,DemElas!$A$21:$B$28,2,0)</f>
        <v>2.612001487174219</v>
      </c>
      <c r="T16" s="2">
        <f>-'Target Price'!T16/TargetConsumption!T16/VLOOKUP($A16,DemElas!$A$21:$B$28,2,0)</f>
        <v>2.6160700216476505</v>
      </c>
      <c r="U16" s="2">
        <f>-'Target Price'!U16/TargetConsumption!U16/VLOOKUP($A16,DemElas!$A$21:$B$28,2,0)</f>
        <v>2.5861400863111084</v>
      </c>
      <c r="V16" s="2">
        <f>-'Target Price'!V16/TargetConsumption!V16/VLOOKUP($A16,DemElas!$A$21:$B$28,2,0)</f>
        <v>2.5901683382650007</v>
      </c>
      <c r="W16" s="2">
        <f>-'Target Price'!W16/TargetConsumption!W16/VLOOKUP($A16,DemElas!$A$21:$B$28,2,0)</f>
        <v>2.5605347389218891</v>
      </c>
      <c r="X16" s="2">
        <f>-'Target Price'!X16/TargetConsumption!X16/VLOOKUP($A16,DemElas!$A$21:$B$28,2,0)</f>
        <v>2.5645231071930694</v>
      </c>
      <c r="Y16" s="2">
        <f>-'Target Price'!Y16/TargetConsumption!Y16/VLOOKUP($A16,DemElas!$A$21:$B$28,2,0)</f>
        <v>2.5351829098236522</v>
      </c>
      <c r="Z16" s="2">
        <f>-'Target Price'!Z16/TargetConsumption!Z16/VLOOKUP($A16,DemElas!$A$21:$B$28,2,0)</f>
        <v>2.5391317893000691</v>
      </c>
      <c r="AA16" s="2">
        <f>-'Target Price'!AA16/TargetConsumption!AA16/VLOOKUP($A16,DemElas!$A$21:$B$28,2,0)</f>
        <v>2.5100820889343098</v>
      </c>
      <c r="AB16" s="2">
        <f>-'Target Price'!AB16/TargetConsumption!AB16/VLOOKUP($A16,DemElas!$A$21:$B$28,2,0)</f>
        <v>2.5139918705941278</v>
      </c>
      <c r="AC16" s="2">
        <f>-'Target Price'!AC16/TargetConsumption!AC16/VLOOKUP($A16,DemElas!$A$21:$B$28,2,0)</f>
        <v>2.4852297910240693</v>
      </c>
      <c r="AD16" s="2">
        <f>-'Target Price'!AD16/TargetConsumption!AD16/VLOOKUP($A16,DemElas!$A$21:$B$28,2,0)</f>
        <v>2.4891008619743844</v>
      </c>
      <c r="AE16" s="2">
        <f>-'Target Price'!AE16/TargetConsumption!AE16/VLOOKUP($A16,DemElas!$A$21:$B$28,2,0)</f>
        <v>2.4606235554693754</v>
      </c>
      <c r="AF16" s="2">
        <f>-'Target Price'!AF16/TargetConsumption!AF16/VLOOKUP($A16,DemElas!$A$21:$B$28,2,0)</f>
        <v>2.4644562989845391</v>
      </c>
      <c r="AG16" s="2">
        <f>-'Target Price'!AG16/TargetConsumption!AG16/VLOOKUP($A16,DemElas!$A$21:$B$28,2,0)</f>
        <v>2.4362609460092828</v>
      </c>
      <c r="AH16" s="2">
        <f>-'Target Price'!AH16/TargetConsumption!AH16/VLOOKUP($A16,DemElas!$A$21:$B$28,2,0)</f>
        <v>2.4400557415688504</v>
      </c>
    </row>
    <row r="17" spans="1:34">
      <c r="A17" t="str">
        <f t="shared" si="2"/>
        <v>Sorghum</v>
      </c>
      <c r="B17" t="str">
        <f t="shared" si="3"/>
        <v>Gumuz</v>
      </c>
      <c r="C17" s="2">
        <f>-'Target Price'!C17/TargetConsumption!C17/VLOOKUP($A17,DemElas!$A$21:$B$28,2,0)</f>
        <v>54.263775668860688</v>
      </c>
      <c r="D17" s="2">
        <f>-'Target Price'!D17/TargetConsumption!D17/VLOOKUP($A17,DemElas!$A$21:$B$28,2,0)</f>
        <v>57.691456297642624</v>
      </c>
      <c r="E17" s="2">
        <f>-'Target Price'!E17/TargetConsumption!E17/VLOOKUP($A17,DemElas!$A$21:$B$28,2,0)</f>
        <v>53.726510563228409</v>
      </c>
      <c r="F17" s="2">
        <f>-'Target Price'!F17/TargetConsumption!F17/VLOOKUP($A17,DemElas!$A$21:$B$28,2,0)</f>
        <v>57.12025376004221</v>
      </c>
      <c r="G17" s="2">
        <f>-'Target Price'!G17/TargetConsumption!G17/VLOOKUP($A17,DemElas!$A$21:$B$28,2,0)</f>
        <v>53.194564914087529</v>
      </c>
      <c r="H17" s="2">
        <f>-'Target Price'!H17/TargetConsumption!H17/VLOOKUP($A17,DemElas!$A$21:$B$28,2,0)</f>
        <v>56.554706693111093</v>
      </c>
      <c r="I17" s="2">
        <f>-'Target Price'!I17/TargetConsumption!I17/VLOOKUP($A17,DemElas!$A$21:$B$28,2,0)</f>
        <v>52.667886053552003</v>
      </c>
      <c r="J17" s="2">
        <f>-'Target Price'!J17/TargetConsumption!J17/VLOOKUP($A17,DemElas!$A$21:$B$28,2,0)</f>
        <v>55.994759102090192</v>
      </c>
      <c r="K17" s="2">
        <f>-'Target Price'!K17/TargetConsumption!K17/VLOOKUP($A17,DemElas!$A$21:$B$28,2,0)</f>
        <v>52.146421835200009</v>
      </c>
      <c r="L17" s="2">
        <f>-'Target Price'!L17/TargetConsumption!L17/VLOOKUP($A17,DemElas!$A$21:$B$28,2,0)</f>
        <v>55.440355546623948</v>
      </c>
      <c r="M17" s="2">
        <f>-'Target Price'!M17/TargetConsumption!M17/VLOOKUP($A17,DemElas!$A$21:$B$28,2,0)</f>
        <v>51.630120628910895</v>
      </c>
      <c r="N17" s="2">
        <f>-'Target Price'!N17/TargetConsumption!N17/VLOOKUP($A17,DemElas!$A$21:$B$28,2,0)</f>
        <v>54.891441135271236</v>
      </c>
      <c r="O17" s="2">
        <f>-'Target Price'!O17/TargetConsumption!O17/VLOOKUP($A17,DemElas!$A$21:$B$28,2,0)</f>
        <v>51.118931315753365</v>
      </c>
      <c r="P17" s="2">
        <f>-'Target Price'!P17/TargetConsumption!P17/VLOOKUP($A17,DemElas!$A$21:$B$28,2,0)</f>
        <v>54.347961520070527</v>
      </c>
      <c r="Q17" s="2">
        <f>-'Target Price'!Q17/TargetConsumption!Q17/VLOOKUP($A17,DemElas!$A$21:$B$28,2,0)</f>
        <v>50.612803282924119</v>
      </c>
      <c r="R17" s="2">
        <f>-'Target Price'!R17/TargetConsumption!R17/VLOOKUP($A17,DemElas!$A$21:$B$28,2,0)</f>
        <v>53.809862891158936</v>
      </c>
      <c r="S17" s="2">
        <f>-'Target Price'!S17/TargetConsumption!S17/VLOOKUP($A17,DemElas!$A$21:$B$28,2,0)</f>
        <v>50.111686418736753</v>
      </c>
      <c r="T17" s="2">
        <f>-'Target Price'!T17/TargetConsumption!T17/VLOOKUP($A17,DemElas!$A$21:$B$28,2,0)</f>
        <v>53.277091971444491</v>
      </c>
      <c r="U17" s="2">
        <f>-'Target Price'!U17/TargetConsumption!U17/VLOOKUP($A17,DemElas!$A$21:$B$28,2,0)</f>
        <v>49.615531107660154</v>
      </c>
      <c r="V17" s="2">
        <f>-'Target Price'!V17/TargetConsumption!V17/VLOOKUP($A17,DemElas!$A$21:$B$28,2,0)</f>
        <v>52.749596011331185</v>
      </c>
      <c r="W17" s="2">
        <f>-'Target Price'!W17/TargetConsumption!W17/VLOOKUP($A17,DemElas!$A$21:$B$28,2,0)</f>
        <v>49.124288225406083</v>
      </c>
      <c r="X17" s="2">
        <f>-'Target Price'!X17/TargetConsumption!X17/VLOOKUP($A17,DemElas!$A$21:$B$28,2,0)</f>
        <v>52.227322783496213</v>
      </c>
      <c r="Y17" s="2">
        <f>-'Target Price'!Y17/TargetConsumption!Y17/VLOOKUP($A17,DemElas!$A$21:$B$28,2,0)</f>
        <v>48.637909134065438</v>
      </c>
      <c r="Z17" s="2">
        <f>-'Target Price'!Z17/TargetConsumption!Z17/VLOOKUP($A17,DemElas!$A$21:$B$28,2,0)</f>
        <v>51.710220577719021</v>
      </c>
      <c r="AA17" s="2">
        <f>-'Target Price'!AA17/TargetConsumption!AA17/VLOOKUP($A17,DemElas!$A$21:$B$28,2,0)</f>
        <v>48.156345677292506</v>
      </c>
      <c r="AB17" s="2">
        <f>-'Target Price'!AB17/TargetConsumption!AB17/VLOOKUP($A17,DemElas!$A$21:$B$28,2,0)</f>
        <v>51.198238195761405</v>
      </c>
      <c r="AC17" s="2">
        <f>-'Target Price'!AC17/TargetConsumption!AC17/VLOOKUP($A17,DemElas!$A$21:$B$28,2,0)</f>
        <v>47.679550175537138</v>
      </c>
      <c r="AD17" s="2">
        <f>-'Target Price'!AD17/TargetConsumption!AD17/VLOOKUP($A17,DemElas!$A$21:$B$28,2,0)</f>
        <v>50.69132494629843</v>
      </c>
      <c r="AE17" s="2">
        <f>-'Target Price'!AE17/TargetConsumption!AE17/VLOOKUP($A17,DemElas!$A$21:$B$28,2,0)</f>
        <v>47.207475421323892</v>
      </c>
      <c r="AF17" s="2">
        <f>-'Target Price'!AF17/TargetConsumption!AF17/VLOOKUP($A17,DemElas!$A$21:$B$28,2,0)</f>
        <v>50.189430639899427</v>
      </c>
      <c r="AG17" s="2">
        <f>-'Target Price'!AG17/TargetConsumption!AG17/VLOOKUP($A17,DemElas!$A$21:$B$28,2,0)</f>
        <v>46.740074674578118</v>
      </c>
      <c r="AH17" s="2">
        <f>-'Target Price'!AH17/TargetConsumption!AH17/VLOOKUP($A17,DemElas!$A$21:$B$28,2,0)</f>
        <v>49.692505584058843</v>
      </c>
    </row>
    <row r="18" spans="1:34">
      <c r="A18" t="str">
        <f t="shared" si="2"/>
        <v>Sorghum</v>
      </c>
      <c r="B18" t="str">
        <f t="shared" si="3"/>
        <v>DireDawa</v>
      </c>
      <c r="C18" s="2">
        <f>-'Target Price'!C18/TargetConsumption!C18/VLOOKUP($A18,DemElas!$A$21:$B$28,2,0)</f>
        <v>107.61471609345874</v>
      </c>
      <c r="D18" s="2">
        <f>-'Target Price'!D18/TargetConsumption!D18/VLOOKUP($A18,DemElas!$A$21:$B$28,2,0)</f>
        <v>142.50700170709794</v>
      </c>
      <c r="E18" s="2">
        <f>-'Target Price'!E18/TargetConsumption!E18/VLOOKUP($A18,DemElas!$A$21:$B$28,2,0)</f>
        <v>106.54922385490964</v>
      </c>
      <c r="F18" s="2">
        <f>-'Target Price'!F18/TargetConsumption!F18/VLOOKUP($A18,DemElas!$A$21:$B$28,2,0)</f>
        <v>141.09604129415638</v>
      </c>
      <c r="G18" s="2">
        <f>-'Target Price'!G18/TargetConsumption!G18/VLOOKUP($A18,DemElas!$A$21:$B$28,2,0)</f>
        <v>105.49428104446498</v>
      </c>
      <c r="H18" s="2">
        <f>-'Target Price'!H18/TargetConsumption!H18/VLOOKUP($A18,DemElas!$A$21:$B$28,2,0)</f>
        <v>139.69905078629344</v>
      </c>
      <c r="I18" s="2">
        <f>-'Target Price'!I18/TargetConsumption!I18/VLOOKUP($A18,DemElas!$A$21:$B$28,2,0)</f>
        <v>104.44978321234157</v>
      </c>
      <c r="J18" s="2">
        <f>-'Target Price'!J18/TargetConsumption!J18/VLOOKUP($A18,DemElas!$A$21:$B$28,2,0)</f>
        <v>138.31589186761727</v>
      </c>
      <c r="K18" s="2">
        <f>-'Target Price'!K18/TargetConsumption!K18/VLOOKUP($A18,DemElas!$A$21:$B$28,2,0)</f>
        <v>103.41562694291245</v>
      </c>
      <c r="L18" s="2">
        <f>-'Target Price'!L18/TargetConsumption!L18/VLOOKUP($A18,DemElas!$A$21:$B$28,2,0)</f>
        <v>136.94642759170026</v>
      </c>
      <c r="M18" s="2">
        <f>-'Target Price'!M18/TargetConsumption!M18/VLOOKUP($A18,DemElas!$A$21:$B$28,2,0)</f>
        <v>102.39170984446777</v>
      </c>
      <c r="N18" s="2">
        <f>-'Target Price'!N18/TargetConsumption!N18/VLOOKUP($A18,DemElas!$A$21:$B$28,2,0)</f>
        <v>135.59052236802006</v>
      </c>
      <c r="O18" s="2">
        <f>-'Target Price'!O18/TargetConsumption!O18/VLOOKUP($A18,DemElas!$A$21:$B$28,2,0)</f>
        <v>101.377930539077</v>
      </c>
      <c r="P18" s="2">
        <f>-'Target Price'!P18/TargetConsumption!P18/VLOOKUP($A18,DemElas!$A$21:$B$28,2,0)</f>
        <v>134.24804194853471</v>
      </c>
      <c r="Q18" s="2">
        <f>-'Target Price'!Q18/TargetConsumption!Q18/VLOOKUP($A18,DemElas!$A$21:$B$28,2,0)</f>
        <v>100.37418865255148</v>
      </c>
      <c r="R18" s="2">
        <f>-'Target Price'!R18/TargetConsumption!R18/VLOOKUP($A18,DemElas!$A$21:$B$28,2,0)</f>
        <v>132.91885341439081</v>
      </c>
      <c r="S18" s="2">
        <f>-'Target Price'!S18/TargetConsumption!S18/VLOOKUP($A18,DemElas!$A$21:$B$28,2,0)</f>
        <v>99.38038480450642</v>
      </c>
      <c r="T18" s="2">
        <f>-'Target Price'!T18/TargetConsumption!T18/VLOOKUP($A18,DemElas!$A$21:$B$28,2,0)</f>
        <v>131.6028251627632</v>
      </c>
      <c r="U18" s="2">
        <f>-'Target Price'!U18/TargetConsumption!U18/VLOOKUP($A18,DemElas!$A$21:$B$28,2,0)</f>
        <v>98.396420598521217</v>
      </c>
      <c r="V18" s="2">
        <f>-'Target Price'!V18/TargetConsumption!V18/VLOOKUP($A18,DemElas!$A$21:$B$28,2,0)</f>
        <v>130.29982689382493</v>
      </c>
      <c r="W18" s="2">
        <f>-'Target Price'!W18/TargetConsumption!W18/VLOOKUP($A18,DemElas!$A$21:$B$28,2,0)</f>
        <v>97.422198612397224</v>
      </c>
      <c r="X18" s="2">
        <f>-'Target Price'!X18/TargetConsumption!X18/VLOOKUP($A18,DemElas!$A$21:$B$28,2,0)</f>
        <v>129.00972959784647</v>
      </c>
      <c r="Y18" s="2">
        <f>-'Target Price'!Y18/TargetConsumption!Y18/VLOOKUP($A18,DemElas!$A$21:$B$28,2,0)</f>
        <v>96.457622388512107</v>
      </c>
      <c r="Z18" s="2">
        <f>-'Target Price'!Z18/TargetConsumption!Z18/VLOOKUP($A18,DemElas!$A$21:$B$28,2,0)</f>
        <v>127.73240554242221</v>
      </c>
      <c r="AA18" s="2">
        <f>-'Target Price'!AA18/TargetConsumption!AA18/VLOOKUP($A18,DemElas!$A$21:$B$28,2,0)</f>
        <v>95.502596424269413</v>
      </c>
      <c r="AB18" s="2">
        <f>-'Target Price'!AB18/TargetConsumption!AB18/VLOOKUP($A18,DemElas!$A$21:$B$28,2,0)</f>
        <v>126.46772825982397</v>
      </c>
      <c r="AC18" s="2">
        <f>-'Target Price'!AC18/TargetConsumption!AC18/VLOOKUP($A18,DemElas!$A$21:$B$28,2,0)</f>
        <v>94.55702616264297</v>
      </c>
      <c r="AD18" s="2">
        <f>-'Target Price'!AD18/TargetConsumption!AD18/VLOOKUP($A18,DemElas!$A$21:$B$28,2,0)</f>
        <v>125.21557253447918</v>
      </c>
      <c r="AE18" s="2">
        <f>-'Target Price'!AE18/TargetConsumption!AE18/VLOOKUP($A18,DemElas!$A$21:$B$28,2,0)</f>
        <v>93.620817982814813</v>
      </c>
      <c r="AF18" s="2">
        <f>-'Target Price'!AF18/TargetConsumption!AF18/VLOOKUP($A18,DemElas!$A$21:$B$28,2,0)</f>
        <v>123.97581439057343</v>
      </c>
      <c r="AG18" s="2">
        <f>-'Target Price'!AG18/TargetConsumption!AG18/VLOOKUP($A18,DemElas!$A$21:$B$28,2,0)</f>
        <v>92.693879190905761</v>
      </c>
      <c r="AH18" s="2">
        <f>-'Target Price'!AH18/TargetConsumption!AH18/VLOOKUP($A18,DemElas!$A$21:$B$28,2,0)</f>
        <v>122.7483310797757</v>
      </c>
    </row>
    <row r="19" spans="1:34">
      <c r="A19" t="str">
        <f t="shared" si="2"/>
        <v>Sorghum</v>
      </c>
      <c r="B19" t="str">
        <f t="shared" si="3"/>
        <v>Gambela</v>
      </c>
      <c r="C19" s="2">
        <f>-'Target Price'!C19/TargetConsumption!C19/VLOOKUP($A19,DemElas!$A$21:$B$28,2,0)</f>
        <v>145.23542552492259</v>
      </c>
      <c r="D19" s="2">
        <f>-'Target Price'!D19/TargetConsumption!D19/VLOOKUP($A19,DemElas!$A$21:$B$28,2,0)</f>
        <v>156.42348152318894</v>
      </c>
      <c r="E19" s="2">
        <f>-'Target Price'!E19/TargetConsumption!E19/VLOOKUP($A19,DemElas!$A$21:$B$28,2,0)</f>
        <v>143.79745101477485</v>
      </c>
      <c r="F19" s="2">
        <f>-'Target Price'!F19/TargetConsumption!F19/VLOOKUP($A19,DemElas!$A$21:$B$28,2,0)</f>
        <v>154.8747341813752</v>
      </c>
      <c r="G19" s="2">
        <f>-'Target Price'!G19/TargetConsumption!G19/VLOOKUP($A19,DemElas!$A$21:$B$28,2,0)</f>
        <v>142.3737138760147</v>
      </c>
      <c r="H19" s="2">
        <f>-'Target Price'!H19/TargetConsumption!H19/VLOOKUP($A19,DemElas!$A$21:$B$28,2,0)</f>
        <v>153.3413209716586</v>
      </c>
      <c r="I19" s="2">
        <f>-'Target Price'!I19/TargetConsumption!I19/VLOOKUP($A19,DemElas!$A$21:$B$28,2,0)</f>
        <v>140.964073144569</v>
      </c>
      <c r="J19" s="2">
        <f>-'Target Price'!J19/TargetConsumption!J19/VLOOKUP($A19,DemElas!$A$21:$B$28,2,0)</f>
        <v>151.82309007094912</v>
      </c>
      <c r="K19" s="2">
        <f>-'Target Price'!K19/TargetConsumption!K19/VLOOKUP($A19,DemElas!$A$21:$B$28,2,0)</f>
        <v>139.56838925204852</v>
      </c>
      <c r="L19" s="2">
        <f>-'Target Price'!L19/TargetConsumption!L19/VLOOKUP($A19,DemElas!$A$21:$B$28,2,0)</f>
        <v>150.31989115935554</v>
      </c>
      <c r="M19" s="2">
        <f>-'Target Price'!M19/TargetConsumption!M19/VLOOKUP($A19,DemElas!$A$21:$B$28,2,0)</f>
        <v>138.18652401192921</v>
      </c>
      <c r="N19" s="2">
        <f>-'Target Price'!N19/TargetConsumption!N19/VLOOKUP($A19,DemElas!$A$21:$B$28,2,0)</f>
        <v>148.83157540530252</v>
      </c>
      <c r="O19" s="2">
        <f>-'Target Price'!O19/TargetConsumption!O19/VLOOKUP($A19,DemElas!$A$21:$B$28,2,0)</f>
        <v>136.81834060587053</v>
      </c>
      <c r="P19" s="2">
        <f>-'Target Price'!P19/TargetConsumption!P19/VLOOKUP($A19,DemElas!$A$21:$B$28,2,0)</f>
        <v>147.35799545079456</v>
      </c>
      <c r="Q19" s="2">
        <f>-'Target Price'!Q19/TargetConsumption!Q19/VLOOKUP($A19,DemElas!$A$21:$B$28,2,0)</f>
        <v>135.46370357016883</v>
      </c>
      <c r="R19" s="2">
        <f>-'Target Price'!R19/TargetConsumption!R19/VLOOKUP($A19,DemElas!$A$21:$B$28,2,0)</f>
        <v>145.89900539682631</v>
      </c>
      <c r="S19" s="2">
        <f>-'Target Price'!S19/TargetConsumption!S19/VLOOKUP($A19,DemElas!$A$21:$B$28,2,0)</f>
        <v>134.12247878234538</v>
      </c>
      <c r="T19" s="2">
        <f>-'Target Price'!T19/TargetConsumption!T19/VLOOKUP($A19,DemElas!$A$21:$B$28,2,0)</f>
        <v>144.45446078893693</v>
      </c>
      <c r="U19" s="2">
        <f>-'Target Price'!U19/TargetConsumption!U19/VLOOKUP($A19,DemElas!$A$21:$B$28,2,0)</f>
        <v>132.79453344786671</v>
      </c>
      <c r="V19" s="2">
        <f>-'Target Price'!V19/TargetConsumption!V19/VLOOKUP($A19,DemElas!$A$21:$B$28,2,0)</f>
        <v>143.02421860290787</v>
      </c>
      <c r="W19" s="2">
        <f>-'Target Price'!W19/TargetConsumption!W19/VLOOKUP($A19,DemElas!$A$21:$B$28,2,0)</f>
        <v>131.47973608699672</v>
      </c>
      <c r="X19" s="2">
        <f>-'Target Price'!X19/TargetConsumption!X19/VLOOKUP($A19,DemElas!$A$21:$B$28,2,0)</f>
        <v>141.60813723060184</v>
      </c>
      <c r="Y19" s="2">
        <f>-'Target Price'!Y19/TargetConsumption!Y19/VLOOKUP($A19,DemElas!$A$21:$B$28,2,0)</f>
        <v>130.17795652177895</v>
      </c>
      <c r="Z19" s="2">
        <f>-'Target Price'!Z19/TargetConsumption!Z19/VLOOKUP($A19,DemElas!$A$21:$B$28,2,0)</f>
        <v>140.2060764659424</v>
      </c>
      <c r="AA19" s="2">
        <f>-'Target Price'!AA19/TargetConsumption!AA19/VLOOKUP($A19,DemElas!$A$21:$B$28,2,0)</f>
        <v>128.88906586314747</v>
      </c>
      <c r="AB19" s="2">
        <f>-'Target Price'!AB19/TargetConsumption!AB19/VLOOKUP($A19,DemElas!$A$21:$B$28,2,0)</f>
        <v>138.81789749103208</v>
      </c>
      <c r="AC19" s="2">
        <f>-'Target Price'!AC19/TargetConsumption!AC19/VLOOKUP($A19,DemElas!$A$21:$B$28,2,0)</f>
        <v>127.61293649816581</v>
      </c>
      <c r="AD19" s="2">
        <f>-'Target Price'!AD19/TargetConsumption!AD19/VLOOKUP($A19,DemElas!$A$21:$B$28,2,0)</f>
        <v>137.44346286240801</v>
      </c>
      <c r="AE19" s="2">
        <f>-'Target Price'!AE19/TargetConsumption!AE19/VLOOKUP($A19,DemElas!$A$21:$B$28,2,0)</f>
        <v>126.34944207739188</v>
      </c>
      <c r="AF19" s="2">
        <f>-'Target Price'!AF19/TargetConsumption!AF19/VLOOKUP($A19,DemElas!$A$21:$B$28,2,0)</f>
        <v>136.0826364974337</v>
      </c>
      <c r="AG19" s="2">
        <f>-'Target Price'!AG19/TargetConsumption!AG19/VLOOKUP($A19,DemElas!$A$21:$B$28,2,0)</f>
        <v>125.09845750236821</v>
      </c>
      <c r="AH19" s="2">
        <f>-'Target Price'!AH19/TargetConsumption!AH19/VLOOKUP($A19,DemElas!$A$21:$B$28,2,0)</f>
        <v>134.73528366082542</v>
      </c>
    </row>
    <row r="20" spans="1:34">
      <c r="A20" t="str">
        <f t="shared" si="2"/>
        <v>Sorghum</v>
      </c>
      <c r="B20" t="str">
        <f t="shared" si="3"/>
        <v>Harari</v>
      </c>
      <c r="C20" s="2">
        <f>-'Target Price'!C20/TargetConsumption!C20/VLOOKUP($A20,DemElas!$A$21:$B$28,2,0)</f>
        <v>251.35752444561183</v>
      </c>
      <c r="D20" s="2">
        <f>-'Target Price'!D20/TargetConsumption!D20/VLOOKUP($A20,DemElas!$A$21:$B$28,2,0)</f>
        <v>277.81911189806937</v>
      </c>
      <c r="E20" s="2">
        <f>-'Target Price'!E20/TargetConsumption!E20/VLOOKUP($A20,DemElas!$A$21:$B$28,2,0)</f>
        <v>248.86883608476421</v>
      </c>
      <c r="F20" s="2">
        <f>-'Target Price'!F20/TargetConsumption!F20/VLOOKUP($A20,DemElas!$A$21:$B$28,2,0)</f>
        <v>275.06842762185084</v>
      </c>
      <c r="G20" s="2">
        <f>-'Target Price'!G20/TargetConsumption!G20/VLOOKUP($A20,DemElas!$A$21:$B$28,2,0)</f>
        <v>246.4047882027368</v>
      </c>
      <c r="H20" s="2">
        <f>-'Target Price'!H20/TargetConsumption!H20/VLOOKUP($A20,DemElas!$A$21:$B$28,2,0)</f>
        <v>272.34497784341664</v>
      </c>
      <c r="I20" s="2">
        <f>-'Target Price'!I20/TargetConsumption!I20/VLOOKUP($A20,DemElas!$A$21:$B$28,2,0)</f>
        <v>243.96513683439289</v>
      </c>
      <c r="J20" s="2">
        <f>-'Target Price'!J20/TargetConsumption!J20/VLOOKUP($A20,DemElas!$A$21:$B$28,2,0)</f>
        <v>269.64849291427396</v>
      </c>
      <c r="K20" s="2">
        <f>-'Target Price'!K20/TargetConsumption!K20/VLOOKUP($A20,DemElas!$A$21:$B$28,2,0)</f>
        <v>241.54964043009201</v>
      </c>
      <c r="L20" s="2">
        <f>-'Target Price'!L20/TargetConsumption!L20/VLOOKUP($A20,DemElas!$A$21:$B$28,2,0)</f>
        <v>266.97870585571678</v>
      </c>
      <c r="M20" s="2">
        <f>-'Target Price'!M20/TargetConsumption!M20/VLOOKUP($A20,DemElas!$A$21:$B$28,2,0)</f>
        <v>239.15805983177424</v>
      </c>
      <c r="N20" s="2">
        <f>-'Target Price'!N20/TargetConsumption!N20/VLOOKUP($A20,DemElas!$A$21:$B$28,2,0)</f>
        <v>264.3353523323928</v>
      </c>
      <c r="O20" s="2">
        <f>-'Target Price'!O20/TargetConsumption!O20/VLOOKUP($A20,DemElas!$A$21:$B$28,2,0)</f>
        <v>236.79015824928138</v>
      </c>
      <c r="P20" s="2">
        <f>-'Target Price'!P20/TargetConsumption!P20/VLOOKUP($A20,DemElas!$A$21:$B$28,2,0)</f>
        <v>261.71817062613144</v>
      </c>
      <c r="Q20" s="2">
        <f>-'Target Price'!Q20/TargetConsumption!Q20/VLOOKUP($A20,DemElas!$A$21:$B$28,2,0)</f>
        <v>234.4457012369123</v>
      </c>
      <c r="R20" s="2">
        <f>-'Target Price'!R20/TargetConsumption!R20/VLOOKUP($A20,DemElas!$A$21:$B$28,2,0)</f>
        <v>259.12690161003115</v>
      </c>
      <c r="S20" s="2">
        <f>-'Target Price'!S20/TargetConsumption!S20/VLOOKUP($A20,DemElas!$A$21:$B$28,2,0)</f>
        <v>232.12445667021018</v>
      </c>
      <c r="T20" s="2">
        <f>-'Target Price'!T20/TargetConsumption!T20/VLOOKUP($A20,DemElas!$A$21:$B$28,2,0)</f>
        <v>256.56128872280317</v>
      </c>
      <c r="U20" s="2">
        <f>-'Target Price'!U20/TargetConsumption!U20/VLOOKUP($A20,DemElas!$A$21:$B$28,2,0)</f>
        <v>229.8261947229804</v>
      </c>
      <c r="V20" s="2">
        <f>-'Target Price'!V20/TargetConsumption!V20/VLOOKUP($A20,DemElas!$A$21:$B$28,2,0)</f>
        <v>254.02107794336948</v>
      </c>
      <c r="W20" s="2">
        <f>-'Target Price'!W20/TargetConsumption!W20/VLOOKUP($A20,DemElas!$A$21:$B$28,2,0)</f>
        <v>227.55068784453502</v>
      </c>
      <c r="X20" s="2">
        <f>-'Target Price'!X20/TargetConsumption!X20/VLOOKUP($A20,DemElas!$A$21:$B$28,2,0)</f>
        <v>251.50601776571236</v>
      </c>
      <c r="Y20" s="2">
        <f>-'Target Price'!Y20/TargetConsumption!Y20/VLOOKUP($A20,DemElas!$A$21:$B$28,2,0)</f>
        <v>225.29771073716338</v>
      </c>
      <c r="Z20" s="2">
        <f>-'Target Price'!Z20/TargetConsumption!Z20/VLOOKUP($A20,DemElas!$A$21:$B$28,2,0)</f>
        <v>249.01585917397259</v>
      </c>
      <c r="AA20" s="2">
        <f>-'Target Price'!AA20/TargetConsumption!AA20/VLOOKUP($A20,DemElas!$A$21:$B$28,2,0)</f>
        <v>223.06704033382513</v>
      </c>
      <c r="AB20" s="2">
        <f>-'Target Price'!AB20/TargetConsumption!AB20/VLOOKUP($A20,DemElas!$A$21:$B$28,2,0)</f>
        <v>246.55035561779468</v>
      </c>
      <c r="AC20" s="2">
        <f>-'Target Price'!AC20/TargetConsumption!AC20/VLOOKUP($A20,DemElas!$A$21:$B$28,2,0)</f>
        <v>220.85845577606449</v>
      </c>
      <c r="AD20" s="2">
        <f>-'Target Price'!AD20/TargetConsumption!AD20/VLOOKUP($A20,DemElas!$A$21:$B$28,2,0)</f>
        <v>244.10926298791549</v>
      </c>
      <c r="AE20" s="2">
        <f>-'Target Price'!AE20/TargetConsumption!AE20/VLOOKUP($A20,DemElas!$A$21:$B$28,2,0)</f>
        <v>218.67173839214306</v>
      </c>
      <c r="AF20" s="2">
        <f>-'Target Price'!AF20/TargetConsumption!AF20/VLOOKUP($A20,DemElas!$A$21:$B$28,2,0)</f>
        <v>241.69233959199553</v>
      </c>
      <c r="AG20" s="2">
        <f>-'Target Price'!AG20/TargetConsumption!AG20/VLOOKUP($A20,DemElas!$A$21:$B$28,2,0)</f>
        <v>216.50667167538916</v>
      </c>
      <c r="AH20" s="2">
        <f>-'Target Price'!AH20/TargetConsumption!AH20/VLOOKUP($A20,DemElas!$A$21:$B$28,2,0)</f>
        <v>239.29934613068869</v>
      </c>
    </row>
    <row r="21" spans="1:34">
      <c r="A21" t="str">
        <f t="shared" si="2"/>
        <v>Sorghum</v>
      </c>
      <c r="B21" t="str">
        <f t="shared" si="3"/>
        <v>Oromia</v>
      </c>
      <c r="C21" s="2">
        <f>-'Target Price'!C21/TargetConsumption!C21/VLOOKUP($A21,DemElas!$A$21:$B$28,2,0)</f>
        <v>1.4399773021526465</v>
      </c>
      <c r="D21" s="2">
        <f>-'Target Price'!D21/TargetConsumption!D21/VLOOKUP($A21,DemElas!$A$21:$B$28,2,0)</f>
        <v>1.7985298517582093</v>
      </c>
      <c r="E21" s="2">
        <f>-'Target Price'!E21/TargetConsumption!E21/VLOOKUP($A21,DemElas!$A$21:$B$28,2,0)</f>
        <v>1.4257201011412342</v>
      </c>
      <c r="F21" s="2">
        <f>-'Target Price'!F21/TargetConsumption!F21/VLOOKUP($A21,DemElas!$A$21:$B$28,2,0)</f>
        <v>1.7807226255031774</v>
      </c>
      <c r="G21" s="2">
        <f>-'Target Price'!G21/TargetConsumption!G21/VLOOKUP($A21,DemElas!$A$21:$B$28,2,0)</f>
        <v>1.4116040605358753</v>
      </c>
      <c r="H21" s="2">
        <f>-'Target Price'!H21/TargetConsumption!H21/VLOOKUP($A21,DemElas!$A$21:$B$28,2,0)</f>
        <v>1.7630917084189877</v>
      </c>
      <c r="I21" s="2">
        <f>-'Target Price'!I21/TargetConsumption!I21/VLOOKUP($A21,DemElas!$A$21:$B$28,2,0)</f>
        <v>1.3976277827087875</v>
      </c>
      <c r="J21" s="2">
        <f>-'Target Price'!J21/TargetConsumption!J21/VLOOKUP($A21,DemElas!$A$21:$B$28,2,0)</f>
        <v>1.7456353548702845</v>
      </c>
      <c r="K21" s="2">
        <f>-'Target Price'!K21/TargetConsumption!K21/VLOOKUP($A21,DemElas!$A$21:$B$28,2,0)</f>
        <v>1.3837898838700866</v>
      </c>
      <c r="L21" s="2">
        <f>-'Target Price'!L21/TargetConsumption!L21/VLOOKUP($A21,DemElas!$A$21:$B$28,2,0)</f>
        <v>1.7283518365052322</v>
      </c>
      <c r="M21" s="2">
        <f>-'Target Price'!M21/TargetConsumption!M21/VLOOKUP($A21,DemElas!$A$21:$B$28,2,0)</f>
        <v>1.3700889939307785</v>
      </c>
      <c r="N21" s="2">
        <f>-'Target Price'!N21/TargetConsumption!N21/VLOOKUP($A21,DemElas!$A$21:$B$28,2,0)</f>
        <v>1.7112394420843884</v>
      </c>
      <c r="O21" s="2">
        <f>-'Target Price'!O21/TargetConsumption!O21/VLOOKUP($A21,DemElas!$A$21:$B$28,2,0)</f>
        <v>1.3565237563671078</v>
      </c>
      <c r="P21" s="2">
        <f>-'Target Price'!P21/TargetConsumption!P21/VLOOKUP($A21,DemElas!$A$21:$B$28,2,0)</f>
        <v>1.6942964773112756</v>
      </c>
      <c r="Q21" s="2">
        <f>-'Target Price'!Q21/TargetConsumption!Q21/VLOOKUP($A21,DemElas!$A$21:$B$28,2,0)</f>
        <v>1.3430928280862451</v>
      </c>
      <c r="R21" s="2">
        <f>-'Target Price'!R21/TargetConsumption!R21/VLOOKUP($A21,DemElas!$A$21:$B$28,2,0)</f>
        <v>1.6775212646646291</v>
      </c>
      <c r="S21" s="2">
        <f>-'Target Price'!S21/TargetConsumption!S21/VLOOKUP($A21,DemElas!$A$21:$B$28,2,0)</f>
        <v>1.3297948792933119</v>
      </c>
      <c r="T21" s="2">
        <f>-'Target Price'!T21/TargetConsumption!T21/VLOOKUP($A21,DemElas!$A$21:$B$28,2,0)</f>
        <v>1.660912143232306</v>
      </c>
      <c r="U21" s="2">
        <f>-'Target Price'!U21/TargetConsumption!U21/VLOOKUP($A21,DemElas!$A$21:$B$28,2,0)</f>
        <v>1.3166285933597148</v>
      </c>
      <c r="V21" s="2">
        <f>-'Target Price'!V21/TargetConsumption!V21/VLOOKUP($A21,DemElas!$A$21:$B$28,2,0)</f>
        <v>1.6444674685468377</v>
      </c>
      <c r="W21" s="2">
        <f>-'Target Price'!W21/TargetConsumption!W21/VLOOKUP($A21,DemElas!$A$21:$B$28,2,0)</f>
        <v>1.3035926666927868</v>
      </c>
      <c r="X21" s="2">
        <f>-'Target Price'!X21/TargetConsumption!X21/VLOOKUP($A21,DemElas!$A$21:$B$28,2,0)</f>
        <v>1.6281856124226115</v>
      </c>
      <c r="Y21" s="2">
        <f>-'Target Price'!Y21/TargetConsumption!Y21/VLOOKUP($A21,DemElas!$A$21:$B$28,2,0)</f>
        <v>1.2906858086067197</v>
      </c>
      <c r="Z21" s="2">
        <f>-'Target Price'!Z21/TargetConsumption!Z21/VLOOKUP($A21,DemElas!$A$21:$B$28,2,0)</f>
        <v>1.6120649627946648</v>
      </c>
      <c r="AA21" s="2">
        <f>-'Target Price'!AA21/TargetConsumption!AA21/VLOOKUP($A21,DemElas!$A$21:$B$28,2,0)</f>
        <v>1.2779067411947718</v>
      </c>
      <c r="AB21" s="2">
        <f>-'Target Price'!AB21/TargetConsumption!AB21/VLOOKUP($A21,DemElas!$A$21:$B$28,2,0)</f>
        <v>1.5961039235590739</v>
      </c>
      <c r="AC21" s="2">
        <f>-'Target Price'!AC21/TargetConsumption!AC21/VLOOKUP($A21,DemElas!$A$21:$B$28,2,0)</f>
        <v>1.2652541992027444</v>
      </c>
      <c r="AD21" s="2">
        <f>-'Target Price'!AD21/TargetConsumption!AD21/VLOOKUP($A21,DemElas!$A$21:$B$28,2,0)</f>
        <v>1.5803009144149247</v>
      </c>
      <c r="AE21" s="2">
        <f>-'Target Price'!AE21/TargetConsumption!AE21/VLOOKUP($A21,DemElas!$A$21:$B$28,2,0)</f>
        <v>1.2527269299037072</v>
      </c>
      <c r="AF21" s="2">
        <f>-'Target Price'!AF21/TargetConsumption!AF21/VLOOKUP($A21,DemElas!$A$21:$B$28,2,0)</f>
        <v>1.5646543707078464</v>
      </c>
      <c r="AG21" s="2">
        <f>-'Target Price'!AG21/TargetConsumption!AG21/VLOOKUP($A21,DemElas!$A$21:$B$28,2,0)</f>
        <v>1.2403236929739676</v>
      </c>
      <c r="AH21" s="2">
        <f>-'Target Price'!AH21/TargetConsumption!AH21/VLOOKUP($A21,DemElas!$A$21:$B$28,2,0)</f>
        <v>1.5491627432750954</v>
      </c>
    </row>
    <row r="22" spans="1:34">
      <c r="A22" t="str">
        <f t="shared" si="2"/>
        <v>Sorghum</v>
      </c>
      <c r="B22" t="str">
        <f t="shared" si="3"/>
        <v>Somali</v>
      </c>
      <c r="C22" s="2">
        <f>-'Target Price'!C22/TargetConsumption!C22/VLOOKUP($A22,DemElas!$A$21:$B$28,2,0)</f>
        <v>10.240743158943861</v>
      </c>
      <c r="D22" s="2">
        <f>-'Target Price'!D22/TargetConsumption!D22/VLOOKUP($A22,DemElas!$A$21:$B$28,2,0)</f>
        <v>10.968405717124826</v>
      </c>
      <c r="E22" s="2">
        <f>-'Target Price'!E22/TargetConsumption!E22/VLOOKUP($A22,DemElas!$A$21:$B$28,2,0)</f>
        <v>10.139349662320653</v>
      </c>
      <c r="F22" s="2">
        <f>-'Target Price'!F22/TargetConsumption!F22/VLOOKUP($A22,DemElas!$A$21:$B$28,2,0)</f>
        <v>10.85980764071765</v>
      </c>
      <c r="G22" s="2">
        <f>-'Target Price'!G22/TargetConsumption!G22/VLOOKUP($A22,DemElas!$A$21:$B$28,2,0)</f>
        <v>10.038960061703618</v>
      </c>
      <c r="H22" s="2">
        <f>-'Target Price'!H22/TargetConsumption!H22/VLOOKUP($A22,DemElas!$A$21:$B$28,2,0)</f>
        <v>10.752284792789753</v>
      </c>
      <c r="I22" s="2">
        <f>-'Target Price'!I22/TargetConsumption!I22/VLOOKUP($A22,DemElas!$A$21:$B$28,2,0)</f>
        <v>9.9395644175283344</v>
      </c>
      <c r="J22" s="2">
        <f>-'Target Price'!J22/TargetConsumption!J22/VLOOKUP($A22,DemElas!$A$21:$B$28,2,0)</f>
        <v>10.645826527514608</v>
      </c>
      <c r="K22" s="2">
        <f>-'Target Price'!K22/TargetConsumption!K22/VLOOKUP($A22,DemElas!$A$21:$B$28,2,0)</f>
        <v>9.8411528886419148</v>
      </c>
      <c r="L22" s="2">
        <f>-'Target Price'!L22/TargetConsumption!L22/VLOOKUP($A22,DemElas!$A$21:$B$28,2,0)</f>
        <v>10.540422304469908</v>
      </c>
      <c r="M22" s="2">
        <f>-'Target Price'!M22/TargetConsumption!M22/VLOOKUP($A22,DemElas!$A$21:$B$28,2,0)</f>
        <v>9.7437157313286296</v>
      </c>
      <c r="N22" s="2">
        <f>-'Target Price'!N22/TargetConsumption!N22/VLOOKUP($A22,DemElas!$A$21:$B$28,2,0)</f>
        <v>10.436061687593968</v>
      </c>
      <c r="O22" s="2">
        <f>-'Target Price'!O22/TargetConsumption!O22/VLOOKUP($A22,DemElas!$A$21:$B$28,2,0)</f>
        <v>9.6472432983451775</v>
      </c>
      <c r="P22" s="2">
        <f>-'Target Price'!P22/TargetConsumption!P22/VLOOKUP($A22,DemElas!$A$21:$B$28,2,0)</f>
        <v>10.332734344152444</v>
      </c>
      <c r="Q22" s="2">
        <f>-'Target Price'!Q22/TargetConsumption!Q22/VLOOKUP($A22,DemElas!$A$21:$B$28,2,0)</f>
        <v>9.5517260379655209</v>
      </c>
      <c r="R22" s="2">
        <f>-'Target Price'!R22/TargetConsumption!R22/VLOOKUP($A22,DemElas!$A$21:$B$28,2,0)</f>
        <v>10.230430043715291</v>
      </c>
      <c r="S22" s="2">
        <f>-'Target Price'!S22/TargetConsumption!S22/VLOOKUP($A22,DemElas!$A$21:$B$28,2,0)</f>
        <v>9.457154493035171</v>
      </c>
      <c r="T22" s="2">
        <f>-'Target Price'!T22/TargetConsumption!T22/VLOOKUP($A22,DemElas!$A$21:$B$28,2,0)</f>
        <v>10.129138657143853</v>
      </c>
      <c r="U22" s="2">
        <f>-'Target Price'!U22/TargetConsumption!U22/VLOOKUP($A22,DemElas!$A$21:$B$28,2,0)</f>
        <v>9.363519300034822</v>
      </c>
      <c r="V22" s="2">
        <f>-'Target Price'!V22/TargetConsumption!V22/VLOOKUP($A22,DemElas!$A$21:$B$28,2,0)</f>
        <v>10.028850155587973</v>
      </c>
      <c r="W22" s="2">
        <f>-'Target Price'!W22/TargetConsumption!W22/VLOOKUP($A22,DemElas!$A$21:$B$28,2,0)</f>
        <v>9.2708111881532904</v>
      </c>
      <c r="X22" s="2">
        <f>-'Target Price'!X22/TargetConsumption!X22/VLOOKUP($A22,DemElas!$A$21:$B$28,2,0)</f>
        <v>9.929554609493044</v>
      </c>
      <c r="Y22" s="2">
        <f>-'Target Price'!Y22/TargetConsumption!Y22/VLOOKUP($A22,DemElas!$A$21:$B$28,2,0)</f>
        <v>9.1790209783695946</v>
      </c>
      <c r="Z22" s="2">
        <f>-'Target Price'!Z22/TargetConsumption!Z22/VLOOKUP($A22,DemElas!$A$21:$B$28,2,0)</f>
        <v>9.8312421876168745</v>
      </c>
      <c r="AA22" s="2">
        <f>-'Target Price'!AA22/TargetConsumption!AA22/VLOOKUP($A22,DemElas!$A$21:$B$28,2,0)</f>
        <v>9.0881395825441533</v>
      </c>
      <c r="AB22" s="2">
        <f>-'Target Price'!AB22/TargetConsumption!AB22/VLOOKUP($A22,DemElas!$A$21:$B$28,2,0)</f>
        <v>9.7339031560563107</v>
      </c>
      <c r="AC22" s="2">
        <f>-'Target Price'!AC22/TargetConsumption!AC22/VLOOKUP($A22,DemElas!$A$21:$B$28,2,0)</f>
        <v>8.9981580025189629</v>
      </c>
      <c r="AD22" s="2">
        <f>-'Target Price'!AD22/TargetConsumption!AD22/VLOOKUP($A22,DemElas!$A$21:$B$28,2,0)</f>
        <v>9.6375278772834765</v>
      </c>
      <c r="AE22" s="2">
        <f>-'Target Price'!AE22/TargetConsumption!AE22/VLOOKUP($A22,DemElas!$A$21:$B$28,2,0)</f>
        <v>8.909067329226696</v>
      </c>
      <c r="AF22" s="2">
        <f>-'Target Price'!AF22/TargetConsumption!AF22/VLOOKUP($A22,DemElas!$A$21:$B$28,2,0)</f>
        <v>9.5421068091915604</v>
      </c>
      <c r="AG22" s="2">
        <f>-'Target Price'!AG22/TargetConsumption!AG22/VLOOKUP($A22,DemElas!$A$21:$B$28,2,0)</f>
        <v>8.8208587418086086</v>
      </c>
      <c r="AH22" s="2">
        <f>-'Target Price'!AH22/TargetConsumption!AH22/VLOOKUP($A22,DemElas!$A$21:$B$28,2,0)</f>
        <v>9.4476305041500588</v>
      </c>
    </row>
    <row r="23" spans="1:34">
      <c r="A23" t="str">
        <f t="shared" si="2"/>
        <v>Sorghum</v>
      </c>
      <c r="B23" t="str">
        <f t="shared" si="3"/>
        <v>SNNPR</v>
      </c>
      <c r="C23" s="2">
        <f>-'Target Price'!C23/TargetConsumption!C23/VLOOKUP($A23,DemElas!$A$21:$B$28,2,0)</f>
        <v>3.1543383000511613</v>
      </c>
      <c r="D23" s="2">
        <f>-'Target Price'!D23/TargetConsumption!D23/VLOOKUP($A23,DemElas!$A$21:$B$28,2,0)</f>
        <v>3.2544198695252722</v>
      </c>
      <c r="E23" s="2">
        <f>-'Target Price'!E23/TargetConsumption!E23/VLOOKUP($A23,DemElas!$A$21:$B$28,2,0)</f>
        <v>3.1231072277734273</v>
      </c>
      <c r="F23" s="2">
        <f>-'Target Price'!F23/TargetConsumption!F23/VLOOKUP($A23,DemElas!$A$21:$B$28,2,0)</f>
        <v>3.2221978906190816</v>
      </c>
      <c r="G23" s="2">
        <f>-'Target Price'!G23/TargetConsumption!G23/VLOOKUP($A23,DemElas!$A$21:$B$28,2,0)</f>
        <v>3.0921853740330962</v>
      </c>
      <c r="H23" s="2">
        <f>-'Target Price'!H23/TargetConsumption!H23/VLOOKUP($A23,DemElas!$A$21:$B$28,2,0)</f>
        <v>3.1902949412070121</v>
      </c>
      <c r="I23" s="2">
        <f>-'Target Price'!I23/TargetConsumption!I23/VLOOKUP($A23,DemElas!$A$21:$B$28,2,0)</f>
        <v>3.0615696772604917</v>
      </c>
      <c r="J23" s="2">
        <f>-'Target Price'!J23/TargetConsumption!J23/VLOOKUP($A23,DemElas!$A$21:$B$28,2,0)</f>
        <v>3.1587078625811995</v>
      </c>
      <c r="K23" s="2">
        <f>-'Target Price'!K23/TargetConsumption!K23/VLOOKUP($A23,DemElas!$A$21:$B$28,2,0)</f>
        <v>3.0312571061985061</v>
      </c>
      <c r="L23" s="2">
        <f>-'Target Price'!L23/TargetConsumption!L23/VLOOKUP($A23,DemElas!$A$21:$B$28,2,0)</f>
        <v>3.1274335273081184</v>
      </c>
      <c r="M23" s="2">
        <f>-'Target Price'!M23/TargetConsumption!M23/VLOOKUP($A23,DemElas!$A$21:$B$28,2,0)</f>
        <v>3.0012446596024813</v>
      </c>
      <c r="N23" s="2">
        <f>-'Target Price'!N23/TargetConsumption!N23/VLOOKUP($A23,DemElas!$A$21:$B$28,2,0)</f>
        <v>3.0964688389189288</v>
      </c>
      <c r="O23" s="2">
        <f>-'Target Price'!O23/TargetConsumption!O23/VLOOKUP($A23,DemElas!$A$21:$B$28,2,0)</f>
        <v>2.9715293659430504</v>
      </c>
      <c r="P23" s="2">
        <f>-'Target Price'!P23/TargetConsumption!P23/VLOOKUP($A23,DemElas!$A$21:$B$28,2,0)</f>
        <v>3.0658107316029</v>
      </c>
      <c r="Q23" s="2">
        <f>-'Target Price'!Q23/TargetConsumption!Q23/VLOOKUP($A23,DemElas!$A$21:$B$28,2,0)</f>
        <v>2.942108283111931</v>
      </c>
      <c r="R23" s="2">
        <f>-'Target Price'!R23/TargetConsumption!R23/VLOOKUP($A23,DemElas!$A$21:$B$28,2,0)</f>
        <v>3.0354561699038611</v>
      </c>
      <c r="S23" s="2">
        <f>-'Target Price'!S23/TargetConsumption!S23/VLOOKUP($A23,DemElas!$A$21:$B$28,2,0)</f>
        <v>2.9129784981306241</v>
      </c>
      <c r="T23" s="2">
        <f>-'Target Price'!T23/TargetConsumption!T23/VLOOKUP($A23,DemElas!$A$21:$B$28,2,0)</f>
        <v>3.0054021484196642</v>
      </c>
      <c r="U23" s="2">
        <f>-'Target Price'!U23/TargetConsumption!U23/VLOOKUP($A23,DemElas!$A$21:$B$28,2,0)</f>
        <v>2.8841371268620044</v>
      </c>
      <c r="V23" s="2">
        <f>-'Target Price'!V23/TargetConsumption!V23/VLOOKUP($A23,DemElas!$A$21:$B$28,2,0)</f>
        <v>2.9756456915046177</v>
      </c>
      <c r="W23" s="2">
        <f>-'Target Price'!W23/TargetConsumption!W23/VLOOKUP($A23,DemElas!$A$21:$B$28,2,0)</f>
        <v>2.8555813137247568</v>
      </c>
      <c r="X23" s="2">
        <f>-'Target Price'!X23/TargetConsumption!X23/VLOOKUP($A23,DemElas!$A$21:$B$28,2,0)</f>
        <v>2.946183852974869</v>
      </c>
      <c r="Y23" s="2">
        <f>-'Target Price'!Y23/TargetConsumption!Y23/VLOOKUP($A23,DemElas!$A$21:$B$28,2,0)</f>
        <v>2.8273082314106506</v>
      </c>
      <c r="Z23" s="2">
        <f>-'Target Price'!Z23/TargetConsumption!Z23/VLOOKUP($A23,DemElas!$A$21:$B$28,2,0)</f>
        <v>2.9170137158167022</v>
      </c>
      <c r="AA23" s="2">
        <f>-'Target Price'!AA23/TargetConsumption!AA23/VLOOKUP($A23,DemElas!$A$21:$B$28,2,0)</f>
        <v>2.7993150806046043</v>
      </c>
      <c r="AB23" s="2">
        <f>-'Target Price'!AB23/TargetConsumption!AB23/VLOOKUP($A23,DemElas!$A$21:$B$28,2,0)</f>
        <v>2.8881323918977251</v>
      </c>
      <c r="AC23" s="2">
        <f>-'Target Price'!AC23/TargetConsumption!AC23/VLOOKUP($A23,DemElas!$A$21:$B$28,2,0)</f>
        <v>2.7715990897075291</v>
      </c>
      <c r="AD23" s="2">
        <f>-'Target Price'!AD23/TargetConsumption!AD23/VLOOKUP($A23,DemElas!$A$21:$B$28,2,0)</f>
        <v>2.8595370216809162</v>
      </c>
      <c r="AE23" s="2">
        <f>-'Target Price'!AE23/TargetConsumption!AE23/VLOOKUP($A23,DemElas!$A$21:$B$28,2,0)</f>
        <v>2.7441575145619104</v>
      </c>
      <c r="AF23" s="2">
        <f>-'Target Price'!AF23/TargetConsumption!AF23/VLOOKUP($A23,DemElas!$A$21:$B$28,2,0)</f>
        <v>2.8312247739415013</v>
      </c>
      <c r="AG23" s="2">
        <f>-'Target Price'!AG23/TargetConsumption!AG23/VLOOKUP($A23,DemElas!$A$21:$B$28,2,0)</f>
        <v>2.7169876381801088</v>
      </c>
      <c r="AH23" s="2">
        <f>-'Target Price'!AH23/TargetConsumption!AH23/VLOOKUP($A23,DemElas!$A$21:$B$28,2,0)</f>
        <v>2.8031928454866346</v>
      </c>
    </row>
    <row r="24" spans="1:34">
      <c r="A24" t="str">
        <f t="shared" si="2"/>
        <v>Sorghum</v>
      </c>
      <c r="B24" t="str">
        <f t="shared" si="3"/>
        <v>Tigray</v>
      </c>
      <c r="C24" s="2">
        <f>-'Target Price'!C24/TargetConsumption!C24/VLOOKUP($A24,DemElas!$A$21:$B$28,2,0)</f>
        <v>10.603248329842874</v>
      </c>
      <c r="D24" s="2">
        <f>-'Target Price'!D24/TargetConsumption!D24/VLOOKUP($A24,DemElas!$A$21:$B$28,2,0)</f>
        <v>12.135366085794525</v>
      </c>
      <c r="E24" s="2">
        <f>-'Target Price'!E24/TargetConsumption!E24/VLOOKUP($A24,DemElas!$A$21:$B$28,2,0)</f>
        <v>10.498265673111755</v>
      </c>
      <c r="F24" s="2">
        <f>-'Target Price'!F24/TargetConsumption!F24/VLOOKUP($A24,DemElas!$A$21:$B$28,2,0)</f>
        <v>12.015213946331214</v>
      </c>
      <c r="G24" s="2">
        <f>-'Target Price'!G24/TargetConsumption!G24/VLOOKUP($A24,DemElas!$A$21:$B$28,2,0)</f>
        <v>10.3943224486255</v>
      </c>
      <c r="H24" s="2">
        <f>-'Target Price'!H24/TargetConsumption!H24/VLOOKUP($A24,DemElas!$A$21:$B$28,2,0)</f>
        <v>11.8962514320111</v>
      </c>
      <c r="I24" s="2">
        <f>-'Target Price'!I24/TargetConsumption!I24/VLOOKUP($A24,DemElas!$A$21:$B$28,2,0)</f>
        <v>10.291408364975743</v>
      </c>
      <c r="J24" s="2">
        <f>-'Target Price'!J24/TargetConsumption!J24/VLOOKUP($A24,DemElas!$A$21:$B$28,2,0)</f>
        <v>11.778466764367428</v>
      </c>
      <c r="K24" s="2">
        <f>-'Target Price'!K24/TargetConsumption!K24/VLOOKUP($A24,DemElas!$A$21:$B$28,2,0)</f>
        <v>10.189513232649249</v>
      </c>
      <c r="L24" s="2">
        <f>-'Target Price'!L24/TargetConsumption!L24/VLOOKUP($A24,DemElas!$A$21:$B$28,2,0)</f>
        <v>11.661848281551906</v>
      </c>
      <c r="M24" s="2">
        <f>-'Target Price'!M24/TargetConsumption!M24/VLOOKUP($A24,DemElas!$A$21:$B$28,2,0)</f>
        <v>10.08862696301906</v>
      </c>
      <c r="N24" s="2">
        <f>-'Target Price'!N24/TargetConsumption!N24/VLOOKUP($A24,DemElas!$A$21:$B$28,2,0)</f>
        <v>11.546384437180107</v>
      </c>
      <c r="O24" s="2">
        <f>-'Target Price'!O24/TargetConsumption!O24/VLOOKUP($A24,DemElas!$A$21:$B$28,2,0)</f>
        <v>9.9887395673456041</v>
      </c>
      <c r="P24" s="2">
        <f>-'Target Price'!P24/TargetConsumption!P24/VLOOKUP($A24,DemElas!$A$21:$B$28,2,0)</f>
        <v>11.432063799188223</v>
      </c>
      <c r="Q24" s="2">
        <f>-'Target Price'!Q24/TargetConsumption!Q24/VLOOKUP($A24,DemElas!$A$21:$B$28,2,0)</f>
        <v>9.8898411557877264</v>
      </c>
      <c r="R24" s="2">
        <f>-'Target Price'!R24/TargetConsumption!R24/VLOOKUP($A24,DemElas!$A$21:$B$28,2,0)</f>
        <v>11.31887504870121</v>
      </c>
      <c r="S24" s="2">
        <f>-'Target Price'!S24/TargetConsumption!S24/VLOOKUP($A24,DemElas!$A$21:$B$28,2,0)</f>
        <v>9.791921936423492</v>
      </c>
      <c r="T24" s="2">
        <f>-'Target Price'!T24/TargetConsumption!T24/VLOOKUP($A24,DemElas!$A$21:$B$28,2,0)</f>
        <v>11.206806978912091</v>
      </c>
      <c r="U24" s="2">
        <f>-'Target Price'!U24/TargetConsumption!U24/VLOOKUP($A24,DemElas!$A$21:$B$28,2,0)</f>
        <v>9.6949722142806856</v>
      </c>
      <c r="V24" s="2">
        <f>-'Target Price'!V24/TargetConsumption!V24/VLOOKUP($A24,DemElas!$A$21:$B$28,2,0)</f>
        <v>11.095848493972369</v>
      </c>
      <c r="W24" s="2">
        <f>-'Target Price'!W24/TargetConsumption!W24/VLOOKUP($A24,DemElas!$A$21:$B$28,2,0)</f>
        <v>9.598982390376916</v>
      </c>
      <c r="X24" s="2">
        <f>-'Target Price'!X24/TargetConsumption!X24/VLOOKUP($A24,DemElas!$A$21:$B$28,2,0)</f>
        <v>10.985988607893434</v>
      </c>
      <c r="Y24" s="2">
        <f>-'Target Price'!Y24/TargetConsumption!Y24/VLOOKUP($A24,DemElas!$A$21:$B$28,2,0)</f>
        <v>9.5039429607692245</v>
      </c>
      <c r="Z24" s="2">
        <f>-'Target Price'!Z24/TargetConsumption!Z24/VLOOKUP($A24,DemElas!$A$21:$B$28,2,0)</f>
        <v>10.877216443458844</v>
      </c>
      <c r="AA24" s="2">
        <f>-'Target Price'!AA24/TargetConsumption!AA24/VLOOKUP($A24,DemElas!$A$21:$B$28,2,0)</f>
        <v>9.4098445156130932</v>
      </c>
      <c r="AB24" s="2">
        <f>-'Target Price'!AB24/TargetConsumption!AB24/VLOOKUP($A24,DemElas!$A$21:$B$28,2,0)</f>
        <v>10.769521231147372</v>
      </c>
      <c r="AC24" s="2">
        <f>-'Target Price'!AC24/TargetConsumption!AC24/VLOOKUP($A24,DemElas!$A$21:$B$28,2,0)</f>
        <v>9.3166777382307853</v>
      </c>
      <c r="AD24" s="2">
        <f>-'Target Price'!AD24/TargetConsumption!AD24/VLOOKUP($A24,DemElas!$A$21:$B$28,2,0)</f>
        <v>10.662892308066704</v>
      </c>
      <c r="AE24" s="2">
        <f>-'Target Price'!AE24/TargetConsumption!AE24/VLOOKUP($A24,DemElas!$A$21:$B$28,2,0)</f>
        <v>9.2244334041888969</v>
      </c>
      <c r="AF24" s="2">
        <f>-'Target Price'!AF24/TargetConsumption!AF24/VLOOKUP($A24,DemElas!$A$21:$B$28,2,0)</f>
        <v>10.557319116897729</v>
      </c>
      <c r="AG24" s="2">
        <f>-'Target Price'!AG24/TargetConsumption!AG24/VLOOKUP($A24,DemElas!$A$21:$B$28,2,0)</f>
        <v>9.1331023803850471</v>
      </c>
      <c r="AH24" s="2">
        <f>-'Target Price'!AH24/TargetConsumption!AH24/VLOOKUP($A24,DemElas!$A$21:$B$28,2,0)</f>
        <v>10.452791204849236</v>
      </c>
    </row>
    <row r="25" spans="1:34">
      <c r="A25" t="str">
        <f t="shared" si="2"/>
        <v>Maize</v>
      </c>
      <c r="B25" t="str">
        <f t="shared" si="3"/>
        <v>AddisAbaba</v>
      </c>
      <c r="C25" s="2">
        <f>-'Target Price'!C25/TargetConsumption!C25/VLOOKUP($A25,DemElas!$A$21:$B$28,2,0)</f>
        <v>15.472768891557964</v>
      </c>
      <c r="D25" s="2">
        <f>-'Target Price'!D25/TargetConsumption!D25/VLOOKUP($A25,DemElas!$A$21:$B$28,2,0)</f>
        <v>19.139026188738818</v>
      </c>
      <c r="E25" s="2">
        <f>-'Target Price'!E25/TargetConsumption!E25/VLOOKUP($A25,DemElas!$A$21:$B$28,2,0)</f>
        <v>15.319573159958379</v>
      </c>
      <c r="F25" s="2">
        <f>-'Target Price'!F25/TargetConsumption!F25/VLOOKUP($A25,DemElas!$A$21:$B$28,2,0)</f>
        <v>18.94953087993942</v>
      </c>
      <c r="G25" s="2">
        <f>-'Target Price'!G25/TargetConsumption!G25/VLOOKUP($A25,DemElas!$A$21:$B$28,2,0)</f>
        <v>15.167894217780574</v>
      </c>
      <c r="H25" s="2">
        <f>-'Target Price'!H25/TargetConsumption!H25/VLOOKUP($A25,DemElas!$A$21:$B$28,2,0)</f>
        <v>18.761911762316259</v>
      </c>
      <c r="I25" s="2">
        <f>-'Target Price'!I25/TargetConsumption!I25/VLOOKUP($A25,DemElas!$A$21:$B$28,2,0)</f>
        <v>15.017717047307499</v>
      </c>
      <c r="J25" s="2">
        <f>-'Target Price'!J25/TargetConsumption!J25/VLOOKUP($A25,DemElas!$A$21:$B$28,2,0)</f>
        <v>18.576150259719068</v>
      </c>
      <c r="K25" s="2">
        <f>-'Target Price'!K25/TargetConsumption!K25/VLOOKUP($A25,DemElas!$A$21:$B$28,2,0)</f>
        <v>14.869026779512375</v>
      </c>
      <c r="L25" s="2">
        <f>-'Target Price'!L25/TargetConsumption!L25/VLOOKUP($A25,DemElas!$A$21:$B$28,2,0)</f>
        <v>18.392227979919866</v>
      </c>
      <c r="M25" s="2">
        <f>-'Target Price'!M25/TargetConsumption!M25/VLOOKUP($A25,DemElas!$A$21:$B$28,2,0)</f>
        <v>14.721808692586508</v>
      </c>
      <c r="N25" s="2">
        <f>-'Target Price'!N25/TargetConsumption!N25/VLOOKUP($A25,DemElas!$A$21:$B$28,2,0)</f>
        <v>18.210126712791947</v>
      </c>
      <c r="O25" s="2">
        <f>-'Target Price'!O25/TargetConsumption!O25/VLOOKUP($A25,DemElas!$A$21:$B$28,2,0)</f>
        <v>14.576048210481691</v>
      </c>
      <c r="P25" s="2">
        <f>-'Target Price'!P25/TargetConsumption!P25/VLOOKUP($A25,DemElas!$A$21:$B$28,2,0)</f>
        <v>18.029828428506878</v>
      </c>
      <c r="Q25" s="2">
        <f>-'Target Price'!Q25/TargetConsumption!Q25/VLOOKUP($A25,DemElas!$A$21:$B$28,2,0)</f>
        <v>14.43173090146702</v>
      </c>
      <c r="R25" s="2">
        <f>-'Target Price'!R25/TargetConsumption!R25/VLOOKUP($A25,DemElas!$A$21:$B$28,2,0)</f>
        <v>17.851315275749386</v>
      </c>
      <c r="S25" s="2">
        <f>-'Target Price'!S25/TargetConsumption!S25/VLOOKUP($A25,DemElas!$A$21:$B$28,2,0)</f>
        <v>14.288842476700021</v>
      </c>
      <c r="T25" s="2">
        <f>-'Target Price'!T25/TargetConsumption!T25/VLOOKUP($A25,DemElas!$A$21:$B$28,2,0)</f>
        <v>17.674569579949885</v>
      </c>
      <c r="U25" s="2">
        <f>-'Target Price'!U25/TargetConsumption!U25/VLOOKUP($A25,DemElas!$A$21:$B$28,2,0)</f>
        <v>14.147368788811901</v>
      </c>
      <c r="V25" s="2">
        <f>-'Target Price'!V25/TargetConsumption!V25/VLOOKUP($A25,DemElas!$A$21:$B$28,2,0)</f>
        <v>17.499573841534541</v>
      </c>
      <c r="W25" s="2">
        <f>-'Target Price'!W25/TargetConsumption!W25/VLOOKUP($A25,DemElas!$A$21:$B$28,2,0)</f>
        <v>14.007295830506834</v>
      </c>
      <c r="X25" s="2">
        <f>-'Target Price'!X25/TargetConsumption!X25/VLOOKUP($A25,DemElas!$A$21:$B$28,2,0)</f>
        <v>17.326310734192614</v>
      </c>
      <c r="Y25" s="2">
        <f>-'Target Price'!Y25/TargetConsumption!Y25/VLOOKUP($A25,DemElas!$A$21:$B$28,2,0)</f>
        <v>13.868609733175083</v>
      </c>
      <c r="Z25" s="2">
        <f>-'Target Price'!Z25/TargetConsumption!Z25/VLOOKUP($A25,DemElas!$A$21:$B$28,2,0)</f>
        <v>17.154763103161006</v>
      </c>
      <c r="AA25" s="2">
        <f>-'Target Price'!AA25/TargetConsumption!AA25/VLOOKUP($A25,DemElas!$A$21:$B$28,2,0)</f>
        <v>13.731296765519886</v>
      </c>
      <c r="AB25" s="2">
        <f>-'Target Price'!AB25/TargetConsumption!AB25/VLOOKUP($A25,DemElas!$A$21:$B$28,2,0)</f>
        <v>16.984913963525752</v>
      </c>
      <c r="AC25" s="2">
        <f>-'Target Price'!AC25/TargetConsumption!AC25/VLOOKUP($A25,DemElas!$A$21:$B$28,2,0)</f>
        <v>13.595343332197906</v>
      </c>
      <c r="AD25" s="2">
        <f>-'Target Price'!AD25/TargetConsumption!AD25/VLOOKUP($A25,DemElas!$A$21:$B$28,2,0)</f>
        <v>16.816746498540347</v>
      </c>
      <c r="AE25" s="2">
        <f>-'Target Price'!AE25/TargetConsumption!AE25/VLOOKUP($A25,DemElas!$A$21:$B$28,2,0)</f>
        <v>13.460735972473174</v>
      </c>
      <c r="AF25" s="2">
        <f>-'Target Price'!AF25/TargetConsumption!AF25/VLOOKUP($A25,DemElas!$A$21:$B$28,2,0)</f>
        <v>16.650244057960737</v>
      </c>
      <c r="AG25" s="2">
        <f>-'Target Price'!AG25/TargetConsumption!AG25/VLOOKUP($A25,DemElas!$A$21:$B$28,2,0)</f>
        <v>13.327461358884332</v>
      </c>
      <c r="AH25" s="2">
        <f>-'Target Price'!AH25/TargetConsumption!AH25/VLOOKUP($A25,DemElas!$A$21:$B$28,2,0)</f>
        <v>16.485390156396768</v>
      </c>
    </row>
    <row r="26" spans="1:34">
      <c r="A26" t="str">
        <f t="shared" si="2"/>
        <v>Maize</v>
      </c>
      <c r="B26" t="str">
        <f t="shared" si="3"/>
        <v>Afar</v>
      </c>
      <c r="C26" s="2">
        <f>-'Target Price'!C26/TargetConsumption!C26/VLOOKUP($A26,DemElas!$A$21:$B$28,2,0)</f>
        <v>29.952708187658942</v>
      </c>
      <c r="D26" s="2">
        <f>-'Target Price'!D26/TargetConsumption!D26/VLOOKUP($A26,DemElas!$A$21:$B$28,2,0)</f>
        <v>37.231382062913823</v>
      </c>
      <c r="E26" s="2">
        <f>-'Target Price'!E26/TargetConsumption!E26/VLOOKUP($A26,DemElas!$A$21:$B$28,2,0)</f>
        <v>29.656146720454394</v>
      </c>
      <c r="F26" s="2">
        <f>-'Target Price'!F26/TargetConsumption!F26/VLOOKUP($A26,DemElas!$A$21:$B$28,2,0)</f>
        <v>36.862754517736462</v>
      </c>
      <c r="G26" s="2">
        <f>-'Target Price'!G26/TargetConsumption!G26/VLOOKUP($A26,DemElas!$A$21:$B$28,2,0)</f>
        <v>29.362521505400391</v>
      </c>
      <c r="H26" s="2">
        <f>-'Target Price'!H26/TargetConsumption!H26/VLOOKUP($A26,DemElas!$A$21:$B$28,2,0)</f>
        <v>36.497776750234117</v>
      </c>
      <c r="I26" s="2">
        <f>-'Target Price'!I26/TargetConsumption!I26/VLOOKUP($A26,DemElas!$A$21:$B$28,2,0)</f>
        <v>29.07180347069346</v>
      </c>
      <c r="J26" s="2">
        <f>-'Target Price'!J26/TargetConsumption!J26/VLOOKUP($A26,DemElas!$A$21:$B$28,2,0)</f>
        <v>36.136412623994175</v>
      </c>
      <c r="K26" s="2">
        <f>-'Target Price'!K26/TargetConsumption!K26/VLOOKUP($A26,DemElas!$A$21:$B$28,2,0)</f>
        <v>28.783963832369757</v>
      </c>
      <c r="L26" s="2">
        <f>-'Target Price'!L26/TargetConsumption!L26/VLOOKUP($A26,DemElas!$A$21:$B$28,2,0)</f>
        <v>35.77862636039027</v>
      </c>
      <c r="M26" s="2">
        <f>-'Target Price'!M26/TargetConsumption!M26/VLOOKUP($A26,DemElas!$A$21:$B$28,2,0)</f>
        <v>28.498974091455207</v>
      </c>
      <c r="N26" s="2">
        <f>-'Target Price'!N26/TargetConsumption!N26/VLOOKUP($A26,DemElas!$A$21:$B$28,2,0)</f>
        <v>35.424382535039875</v>
      </c>
      <c r="O26" s="2">
        <f>-'Target Price'!O26/TargetConsumption!O26/VLOOKUP($A26,DemElas!$A$21:$B$28,2,0)</f>
        <v>28.216806031143772</v>
      </c>
      <c r="P26" s="2">
        <f>-'Target Price'!P26/TargetConsumption!P26/VLOOKUP($A26,DemElas!$A$21:$B$28,2,0)</f>
        <v>35.07364607429691</v>
      </c>
      <c r="Q26" s="2">
        <f>-'Target Price'!Q26/TargetConsumption!Q26/VLOOKUP($A26,DemElas!$A$21:$B$28,2,0)</f>
        <v>27.937431714003733</v>
      </c>
      <c r="R26" s="2">
        <f>-'Target Price'!R26/TargetConsumption!R26/VLOOKUP($A26,DemElas!$A$21:$B$28,2,0)</f>
        <v>34.726382251779114</v>
      </c>
      <c r="S26" s="2">
        <f>-'Target Price'!S26/TargetConsumption!S26/VLOOKUP($A26,DemElas!$A$21:$B$28,2,0)</f>
        <v>27.660823479211619</v>
      </c>
      <c r="T26" s="2">
        <f>-'Target Price'!T26/TargetConsumption!T26/VLOOKUP($A26,DemElas!$A$21:$B$28,2,0)</f>
        <v>34.382556684929817</v>
      </c>
      <c r="U26" s="2">
        <f>-'Target Price'!U26/TargetConsumption!U26/VLOOKUP($A26,DemElas!$A$21:$B$28,2,0)</f>
        <v>27.38695393981348</v>
      </c>
      <c r="V26" s="2">
        <f>-'Target Price'!V26/TargetConsumption!V26/VLOOKUP($A26,DemElas!$A$21:$B$28,2,0)</f>
        <v>34.042135331613679</v>
      </c>
      <c r="W26" s="2">
        <f>-'Target Price'!W26/TargetConsumption!W26/VLOOKUP($A26,DemElas!$A$21:$B$28,2,0)</f>
        <v>27.115795980013349</v>
      </c>
      <c r="X26" s="2">
        <f>-'Target Price'!X26/TargetConsumption!X26/VLOOKUP($A26,DemElas!$A$21:$B$28,2,0)</f>
        <v>33.705084486746216</v>
      </c>
      <c r="Y26" s="2">
        <f>-'Target Price'!Y26/TargetConsumption!Y26/VLOOKUP($A26,DemElas!$A$21:$B$28,2,0)</f>
        <v>26.847322752488466</v>
      </c>
      <c r="Z26" s="2">
        <f>-'Target Price'!Z26/TargetConsumption!Z26/VLOOKUP($A26,DemElas!$A$21:$B$28,2,0)</f>
        <v>33.371370778956653</v>
      </c>
      <c r="AA26" s="2">
        <f>-'Target Price'!AA26/TargetConsumption!AA26/VLOOKUP($A26,DemElas!$A$21:$B$28,2,0)</f>
        <v>26.581507675731153</v>
      </c>
      <c r="AB26" s="2">
        <f>-'Target Price'!AB26/TargetConsumption!AB26/VLOOKUP($A26,DemElas!$A$21:$B$28,2,0)</f>
        <v>33.040961167283811</v>
      </c>
      <c r="AC26" s="2">
        <f>-'Target Price'!AC26/TargetConsumption!AC26/VLOOKUP($A26,DemElas!$A$21:$B$28,2,0)</f>
        <v>26.318324431416986</v>
      </c>
      <c r="AD26" s="2">
        <f>-'Target Price'!AD26/TargetConsumption!AD26/VLOOKUP($A26,DemElas!$A$21:$B$28,2,0)</f>
        <v>32.713822937904766</v>
      </c>
      <c r="AE26" s="2">
        <f>-'Target Price'!AE26/TargetConsumption!AE26/VLOOKUP($A26,DemElas!$A$21:$B$28,2,0)</f>
        <v>26.057746961798998</v>
      </c>
      <c r="AF26" s="2">
        <f>-'Target Price'!AF26/TargetConsumption!AF26/VLOOKUP($A26,DemElas!$A$21:$B$28,2,0)</f>
        <v>32.389923700895814</v>
      </c>
      <c r="AG26" s="2">
        <f>-'Target Price'!AG26/TargetConsumption!AG26/VLOOKUP($A26,DemElas!$A$21:$B$28,2,0)</f>
        <v>25.799749467127715</v>
      </c>
      <c r="AH26" s="2">
        <f>-'Target Price'!AH26/TargetConsumption!AH26/VLOOKUP($A26,DemElas!$A$21:$B$28,2,0)</f>
        <v>32.069231387025553</v>
      </c>
    </row>
    <row r="27" spans="1:34">
      <c r="A27" t="str">
        <f t="shared" si="2"/>
        <v>Maize</v>
      </c>
      <c r="B27" t="str">
        <f t="shared" si="3"/>
        <v>Amhara</v>
      </c>
      <c r="C27" s="2">
        <f>-'Target Price'!C27/TargetConsumption!C27/VLOOKUP($A27,DemElas!$A$21:$B$28,2,0)</f>
        <v>2.4867224289139735</v>
      </c>
      <c r="D27" s="2">
        <f>-'Target Price'!D27/TargetConsumption!D27/VLOOKUP($A27,DemElas!$A$21:$B$28,2,0)</f>
        <v>3.2337093145532356</v>
      </c>
      <c r="E27" s="2">
        <f>-'Target Price'!E27/TargetConsumption!E27/VLOOKUP($A27,DemElas!$A$21:$B$28,2,0)</f>
        <v>2.4621014147663103</v>
      </c>
      <c r="F27" s="2">
        <f>-'Target Price'!F27/TargetConsumption!F27/VLOOKUP($A27,DemElas!$A$21:$B$28,2,0)</f>
        <v>3.2016923906467678</v>
      </c>
      <c r="G27" s="2">
        <f>-'Target Price'!G27/TargetConsumption!G27/VLOOKUP($A27,DemElas!$A$21:$B$28,2,0)</f>
        <v>2.4377241730359507</v>
      </c>
      <c r="H27" s="2">
        <f>-'Target Price'!H27/TargetConsumption!H27/VLOOKUP($A27,DemElas!$A$21:$B$28,2,0)</f>
        <v>3.1699924659868985</v>
      </c>
      <c r="I27" s="2">
        <f>-'Target Price'!I27/TargetConsumption!I27/VLOOKUP($A27,DemElas!$A$21:$B$28,2,0)</f>
        <v>2.4135882901346046</v>
      </c>
      <c r="J27" s="2">
        <f>-'Target Price'!J27/TargetConsumption!J27/VLOOKUP($A27,DemElas!$A$21:$B$28,2,0)</f>
        <v>3.1386064019672264</v>
      </c>
      <c r="K27" s="2">
        <f>-'Target Price'!K27/TargetConsumption!K27/VLOOKUP($A27,DemElas!$A$21:$B$28,2,0)</f>
        <v>2.3896913763708958</v>
      </c>
      <c r="L27" s="2">
        <f>-'Target Price'!L27/TargetConsumption!L27/VLOOKUP($A27,DemElas!$A$21:$B$28,2,0)</f>
        <v>3.1075310910566598</v>
      </c>
      <c r="M27" s="2">
        <f>-'Target Price'!M27/TargetConsumption!M27/VLOOKUP($A27,DemElas!$A$21:$B$28,2,0)</f>
        <v>2.3660310657137584</v>
      </c>
      <c r="N27" s="2">
        <f>-'Target Price'!N27/TargetConsumption!N27/VLOOKUP($A27,DemElas!$A$21:$B$28,2,0)</f>
        <v>3.0767634564917428</v>
      </c>
      <c r="O27" s="2">
        <f>-'Target Price'!O27/TargetConsumption!O27/VLOOKUP($A27,DemElas!$A$21:$B$28,2,0)</f>
        <v>2.3426050155581768</v>
      </c>
      <c r="P27" s="2">
        <f>-'Target Price'!P27/TargetConsumption!P27/VLOOKUP($A27,DemElas!$A$21:$B$28,2,0)</f>
        <v>3.0463004519720225</v>
      </c>
      <c r="Q27" s="2">
        <f>-'Target Price'!Q27/TargetConsumption!Q27/VLOOKUP($A27,DemElas!$A$21:$B$28,2,0)</f>
        <v>2.3194109064932444</v>
      </c>
      <c r="R27" s="2">
        <f>-'Target Price'!R27/TargetConsumption!R27/VLOOKUP($A27,DemElas!$A$21:$B$28,2,0)</f>
        <v>3.0161390613584382</v>
      </c>
      <c r="S27" s="2">
        <f>-'Target Price'!S27/TargetConsumption!S27/VLOOKUP($A27,DemElas!$A$21:$B$28,2,0)</f>
        <v>2.296446442072519</v>
      </c>
      <c r="T27" s="2">
        <f>-'Target Price'!T27/TargetConsumption!T27/VLOOKUP($A27,DemElas!$A$21:$B$28,2,0)</f>
        <v>2.9862762983746913</v>
      </c>
      <c r="U27" s="2">
        <f>-'Target Price'!U27/TargetConsumption!U27/VLOOKUP($A27,DemElas!$A$21:$B$28,2,0)</f>
        <v>2.2737093485866522</v>
      </c>
      <c r="V27" s="2">
        <f>-'Target Price'!V27/TargetConsumption!V27/VLOOKUP($A27,DemElas!$A$21:$B$28,2,0)</f>
        <v>2.9567092063115754</v>
      </c>
      <c r="W27" s="2">
        <f>-'Target Price'!W27/TargetConsumption!W27/VLOOKUP($A27,DemElas!$A$21:$B$28,2,0)</f>
        <v>2.2511973748382696</v>
      </c>
      <c r="X27" s="2">
        <f>-'Target Price'!X27/TargetConsumption!X27/VLOOKUP($A27,DemElas!$A$21:$B$28,2,0)</f>
        <v>2.9274348577342333</v>
      </c>
      <c r="Y27" s="2">
        <f>-'Target Price'!Y27/TargetConsumption!Y27/VLOOKUP($A27,DemElas!$A$21:$B$28,2,0)</f>
        <v>2.2289082919190792</v>
      </c>
      <c r="Z27" s="2">
        <f>-'Target Price'!Z27/TargetConsumption!Z27/VLOOKUP($A27,DemElas!$A$21:$B$28,2,0)</f>
        <v>2.8984503541923106</v>
      </c>
      <c r="AA27" s="2">
        <f>-'Target Price'!AA27/TargetConsumption!AA27/VLOOKUP($A27,DemElas!$A$21:$B$28,2,0)</f>
        <v>2.2068398929891875</v>
      </c>
      <c r="AB27" s="2">
        <f>-'Target Price'!AB27/TargetConsumption!AB27/VLOOKUP($A27,DemElas!$A$21:$B$28,2,0)</f>
        <v>2.8697528259329808</v>
      </c>
      <c r="AC27" s="2">
        <f>-'Target Price'!AC27/TargetConsumption!AC27/VLOOKUP($A27,DemElas!$A$21:$B$28,2,0)</f>
        <v>2.1849899930586014</v>
      </c>
      <c r="AD27" s="2">
        <f>-'Target Price'!AD27/TargetConsumption!AD27/VLOOKUP($A27,DemElas!$A$21:$B$28,2,0)</f>
        <v>2.8413394316168126</v>
      </c>
      <c r="AE27" s="2">
        <f>-'Target Price'!AE27/TargetConsumption!AE27/VLOOKUP($A27,DemElas!$A$21:$B$28,2,0)</f>
        <v>2.1633564287708924</v>
      </c>
      <c r="AF27" s="2">
        <f>-'Target Price'!AF27/TargetConsumption!AF27/VLOOKUP($A27,DemElas!$A$21:$B$28,2,0)</f>
        <v>2.8132073580364478</v>
      </c>
      <c r="AG27" s="2">
        <f>-'Target Price'!AG27/TargetConsumption!AG27/VLOOKUP($A27,DemElas!$A$21:$B$28,2,0)</f>
        <v>2.1419370581890025</v>
      </c>
      <c r="AH27" s="2">
        <f>-'Target Price'!AH27/TargetConsumption!AH27/VLOOKUP($A27,DemElas!$A$21:$B$28,2,0)</f>
        <v>2.7853538198380678</v>
      </c>
    </row>
    <row r="28" spans="1:34">
      <c r="A28" t="str">
        <f t="shared" si="2"/>
        <v>Maize</v>
      </c>
      <c r="B28" t="str">
        <f t="shared" si="3"/>
        <v>Gumuz</v>
      </c>
      <c r="C28" s="2">
        <f>-'Target Price'!C28/TargetConsumption!C28/VLOOKUP($A28,DemElas!$A$21:$B$28,2,0)</f>
        <v>50.568353676218052</v>
      </c>
      <c r="D28" s="2">
        <f>-'Target Price'!D28/TargetConsumption!D28/VLOOKUP($A28,DemElas!$A$21:$B$28,2,0)</f>
        <v>66.23110782996946</v>
      </c>
      <c r="E28" s="2">
        <f>-'Target Price'!E28/TargetConsumption!E28/VLOOKUP($A28,DemElas!$A$21:$B$28,2,0)</f>
        <v>50.067676907146584</v>
      </c>
      <c r="F28" s="2">
        <f>-'Target Price'!F28/TargetConsumption!F28/VLOOKUP($A28,DemElas!$A$21:$B$28,2,0)</f>
        <v>65.575354287098463</v>
      </c>
      <c r="G28" s="2">
        <f>-'Target Price'!G28/TargetConsumption!G28/VLOOKUP($A28,DemElas!$A$21:$B$28,2,0)</f>
        <v>49.571957333808506</v>
      </c>
      <c r="H28" s="2">
        <f>-'Target Price'!H28/TargetConsumption!H28/VLOOKUP($A28,DemElas!$A$21:$B$28,2,0)</f>
        <v>64.926093353562848</v>
      </c>
      <c r="I28" s="2">
        <f>-'Target Price'!I28/TargetConsumption!I28/VLOOKUP($A28,DemElas!$A$21:$B$28,2,0)</f>
        <v>49.081145875057928</v>
      </c>
      <c r="J28" s="2">
        <f>-'Target Price'!J28/TargetConsumption!J28/VLOOKUP($A28,DemElas!$A$21:$B$28,2,0)</f>
        <v>64.283260746101817</v>
      </c>
      <c r="K28" s="2">
        <f>-'Target Price'!K28/TargetConsumption!K28/VLOOKUP($A28,DemElas!$A$21:$B$28,2,0)</f>
        <v>48.595193935700912</v>
      </c>
      <c r="L28" s="2">
        <f>-'Target Price'!L28/TargetConsumption!L28/VLOOKUP($A28,DemElas!$A$21:$B$28,2,0)</f>
        <v>63.646792817922595</v>
      </c>
      <c r="M28" s="2">
        <f>-'Target Price'!M28/TargetConsumption!M28/VLOOKUP($A28,DemElas!$A$21:$B$28,2,0)</f>
        <v>48.114053401684075</v>
      </c>
      <c r="N28" s="2">
        <f>-'Target Price'!N28/TargetConsumption!N28/VLOOKUP($A28,DemElas!$A$21:$B$28,2,0)</f>
        <v>63.016626552398606</v>
      </c>
      <c r="O28" s="2">
        <f>-'Target Price'!O28/TargetConsumption!O28/VLOOKUP($A28,DemElas!$A$21:$B$28,2,0)</f>
        <v>47.637676635330756</v>
      </c>
      <c r="P28" s="2">
        <f>-'Target Price'!P28/TargetConsumption!P28/VLOOKUP($A28,DemElas!$A$21:$B$28,2,0)</f>
        <v>62.392699556830301</v>
      </c>
      <c r="Q28" s="2">
        <f>-'Target Price'!Q28/TargetConsumption!Q28/VLOOKUP($A28,DemElas!$A$21:$B$28,2,0)</f>
        <v>47.166016470624513</v>
      </c>
      <c r="R28" s="2">
        <f>-'Target Price'!R28/TargetConsumption!R28/VLOOKUP($A28,DemElas!$A$21:$B$28,2,0)</f>
        <v>61.77495005626762</v>
      </c>
      <c r="S28" s="2">
        <f>-'Target Price'!S28/TargetConsumption!S28/VLOOKUP($A28,DemElas!$A$21:$B$28,2,0)</f>
        <v>46.699026208539124</v>
      </c>
      <c r="T28" s="2">
        <f>-'Target Price'!T28/TargetConsumption!T28/VLOOKUP($A28,DemElas!$A$21:$B$28,2,0)</f>
        <v>61.163316887393684</v>
      </c>
      <c r="U28" s="2">
        <f>-'Target Price'!U28/TargetConsumption!U28/VLOOKUP($A28,DemElas!$A$21:$B$28,2,0)</f>
        <v>46.236659612414968</v>
      </c>
      <c r="V28" s="2">
        <f>-'Target Price'!V28/TargetConsumption!V28/VLOOKUP($A28,DemElas!$A$21:$B$28,2,0)</f>
        <v>60.55773949246899</v>
      </c>
      <c r="W28" s="2">
        <f>-'Target Price'!W28/TargetConsumption!W28/VLOOKUP($A28,DemElas!$A$21:$B$28,2,0)</f>
        <v>45.778870903381161</v>
      </c>
      <c r="X28" s="2">
        <f>-'Target Price'!X28/TargetConsumption!X28/VLOOKUP($A28,DemElas!$A$21:$B$28,2,0)</f>
        <v>59.958157913335633</v>
      </c>
      <c r="Y28" s="2">
        <f>-'Target Price'!Y28/TargetConsumption!Y28/VLOOKUP($A28,DemElas!$A$21:$B$28,2,0)</f>
        <v>45.325614755822926</v>
      </c>
      <c r="Z28" s="2">
        <f>-'Target Price'!Z28/TargetConsumption!Z28/VLOOKUP($A28,DemElas!$A$21:$B$28,2,0)</f>
        <v>59.364512785480819</v>
      </c>
      <c r="AA28" s="2">
        <f>-'Target Price'!AA28/TargetConsumption!AA28/VLOOKUP($A28,DemElas!$A$21:$B$28,2,0)</f>
        <v>44.876846292893987</v>
      </c>
      <c r="AB28" s="2">
        <f>-'Target Price'!AB28/TargetConsumption!AB28/VLOOKUP($A28,DemElas!$A$21:$B$28,2,0)</f>
        <v>58.776745332159223</v>
      </c>
      <c r="AC28" s="2">
        <f>-'Target Price'!AC28/TargetConsumption!AC28/VLOOKUP($A28,DemElas!$A$21:$B$28,2,0)</f>
        <v>44.432521082073258</v>
      </c>
      <c r="AD28" s="2">
        <f>-'Target Price'!AD28/TargetConsumption!AD28/VLOOKUP($A28,DemElas!$A$21:$B$28,2,0)</f>
        <v>58.194797358573496</v>
      </c>
      <c r="AE28" s="2">
        <f>-'Target Price'!AE28/TargetConsumption!AE28/VLOOKUP($A28,DemElas!$A$21:$B$28,2,0)</f>
        <v>43.992595130765594</v>
      </c>
      <c r="AF28" s="2">
        <f>-'Target Price'!AF28/TargetConsumption!AF28/VLOOKUP($A28,DemElas!$A$21:$B$28,2,0)</f>
        <v>57.618611246112366</v>
      </c>
      <c r="AG28" s="2">
        <f>-'Target Price'!AG28/TargetConsumption!AG28/VLOOKUP($A28,DemElas!$A$21:$B$28,2,0)</f>
        <v>43.557024881946134</v>
      </c>
      <c r="AH28" s="2">
        <f>-'Target Price'!AH28/TargetConsumption!AH28/VLOOKUP($A28,DemElas!$A$21:$B$28,2,0)</f>
        <v>57.048129946645908</v>
      </c>
    </row>
    <row r="29" spans="1:34">
      <c r="A29" t="str">
        <f t="shared" si="2"/>
        <v>Maize</v>
      </c>
      <c r="B29" t="str">
        <f t="shared" si="3"/>
        <v>DireDawa</v>
      </c>
      <c r="C29" s="2">
        <f>-'Target Price'!C29/TargetConsumption!C29/VLOOKUP($A29,DemElas!$A$21:$B$28,2,0)</f>
        <v>139.5424096067749</v>
      </c>
      <c r="D29" s="2">
        <f>-'Target Price'!D29/TargetConsumption!D29/VLOOKUP($A29,DemElas!$A$21:$B$28,2,0)</f>
        <v>143.16964639265811</v>
      </c>
      <c r="E29" s="2">
        <f>-'Target Price'!E29/TargetConsumption!E29/VLOOKUP($A29,DemElas!$A$21:$B$28,2,0)</f>
        <v>138.16080159086624</v>
      </c>
      <c r="F29" s="2">
        <f>-'Target Price'!F29/TargetConsumption!F29/VLOOKUP($A29,DemElas!$A$21:$B$28,2,0)</f>
        <v>141.75212514124564</v>
      </c>
      <c r="G29" s="2">
        <f>-'Target Price'!G29/TargetConsumption!G29/VLOOKUP($A29,DemElas!$A$21:$B$28,2,0)</f>
        <v>136.7928728622438</v>
      </c>
      <c r="H29" s="2">
        <f>-'Target Price'!H29/TargetConsumption!H29/VLOOKUP($A29,DemElas!$A$21:$B$28,2,0)</f>
        <v>140.34863875370854</v>
      </c>
      <c r="I29" s="2">
        <f>-'Target Price'!I29/TargetConsumption!I29/VLOOKUP($A29,DemElas!$A$21:$B$28,2,0)</f>
        <v>135.43848798241959</v>
      </c>
      <c r="J29" s="2">
        <f>-'Target Price'!J29/TargetConsumption!J29/VLOOKUP($A29,DemElas!$A$21:$B$28,2,0)</f>
        <v>138.95904827099855</v>
      </c>
      <c r="K29" s="2">
        <f>-'Target Price'!K29/TargetConsumption!K29/VLOOKUP($A29,DemElas!$A$21:$B$28,2,0)</f>
        <v>134.09751285388077</v>
      </c>
      <c r="L29" s="2">
        <f>-'Target Price'!L29/TargetConsumption!L29/VLOOKUP($A29,DemElas!$A$21:$B$28,2,0)</f>
        <v>137.58321610989958</v>
      </c>
      <c r="M29" s="2">
        <f>-'Target Price'!M29/TargetConsumption!M29/VLOOKUP($A29,DemElas!$A$21:$B$28,2,0)</f>
        <v>132.76981470681264</v>
      </c>
      <c r="N29" s="2">
        <f>-'Target Price'!N29/TargetConsumption!N29/VLOOKUP($A29,DemElas!$A$21:$B$28,2,0)</f>
        <v>136.2210060494055</v>
      </c>
      <c r="O29" s="2">
        <f>-'Target Price'!O29/TargetConsumption!O29/VLOOKUP($A29,DemElas!$A$21:$B$28,2,0)</f>
        <v>131.45526208595311</v>
      </c>
      <c r="P29" s="2">
        <f>-'Target Price'!P29/TargetConsumption!P29/VLOOKUP($A29,DemElas!$A$21:$B$28,2,0)</f>
        <v>134.87228321723316</v>
      </c>
      <c r="Q29" s="2">
        <f>-'Target Price'!Q29/TargetConsumption!Q29/VLOOKUP($A29,DemElas!$A$21:$B$28,2,0)</f>
        <v>130.15372483757736</v>
      </c>
      <c r="R29" s="2">
        <f>-'Target Price'!R29/TargetConsumption!R29/VLOOKUP($A29,DemElas!$A$21:$B$28,2,0)</f>
        <v>133.53691407646849</v>
      </c>
      <c r="S29" s="2">
        <f>-'Target Price'!S29/TargetConsumption!S29/VLOOKUP($A29,DemElas!$A$21:$B$28,2,0)</f>
        <v>128.86507409661124</v>
      </c>
      <c r="T29" s="2">
        <f>-'Target Price'!T29/TargetConsumption!T29/VLOOKUP($A29,DemElas!$A$21:$B$28,2,0)</f>
        <v>132.21476641234503</v>
      </c>
      <c r="U29" s="2">
        <f>-'Target Price'!U29/TargetConsumption!U29/VLOOKUP($A29,DemElas!$A$21:$B$28,2,0)</f>
        <v>127.58918227387251</v>
      </c>
      <c r="V29" s="2">
        <f>-'Target Price'!V29/TargetConsumption!V29/VLOOKUP($A29,DemElas!$A$21:$B$28,2,0)</f>
        <v>130.90570931915352</v>
      </c>
      <c r="W29" s="2">
        <f>-'Target Price'!W29/TargetConsumption!W29/VLOOKUP($A29,DemElas!$A$21:$B$28,2,0)</f>
        <v>126.32592304343812</v>
      </c>
      <c r="X29" s="2">
        <f>-'Target Price'!X29/TargetConsumption!X29/VLOOKUP($A29,DemElas!$A$21:$B$28,2,0)</f>
        <v>129.6096131872807</v>
      </c>
      <c r="Y29" s="2">
        <f>-'Target Price'!Y29/TargetConsumption!Y29/VLOOKUP($A29,DemElas!$A$21:$B$28,2,0)</f>
        <v>125.07517133013675</v>
      </c>
      <c r="Z29" s="2">
        <f>-'Target Price'!Z29/TargetConsumption!Z29/VLOOKUP($A29,DemElas!$A$21:$B$28,2,0)</f>
        <v>128.32634969037693</v>
      </c>
      <c r="AA29" s="2">
        <f>-'Target Price'!AA29/TargetConsumption!AA29/VLOOKUP($A29,DemElas!$A$21:$B$28,2,0)</f>
        <v>123.83680329716509</v>
      </c>
      <c r="AB29" s="2">
        <f>-'Target Price'!AB29/TargetConsumption!AB29/VLOOKUP($A29,DemElas!$A$21:$B$28,2,0)</f>
        <v>127.05579177265041</v>
      </c>
      <c r="AC29" s="2">
        <f>-'Target Price'!AC29/TargetConsumption!AC29/VLOOKUP($A29,DemElas!$A$21:$B$28,2,0)</f>
        <v>122.61069633382684</v>
      </c>
      <c r="AD29" s="2">
        <f>-'Target Price'!AD29/TargetConsumption!AD29/VLOOKUP($A29,DemElas!$A$21:$B$28,2,0)</f>
        <v>125.79781363628754</v>
      </c>
      <c r="AE29" s="2">
        <f>-'Target Price'!AE29/TargetConsumption!AE29/VLOOKUP($A29,DemElas!$A$21:$B$28,2,0)</f>
        <v>121.3967290433929</v>
      </c>
      <c r="AF29" s="2">
        <f>-'Target Price'!AF29/TargetConsumption!AF29/VLOOKUP($A29,DemElas!$A$21:$B$28,2,0)</f>
        <v>124.55229072899756</v>
      </c>
      <c r="AG29" s="2">
        <f>-'Target Price'!AG29/TargetConsumption!AG29/VLOOKUP($A29,DemElas!$A$21:$B$28,2,0)</f>
        <v>120.19478123108209</v>
      </c>
      <c r="AH29" s="2">
        <f>-'Target Price'!AH29/TargetConsumption!AH29/VLOOKUP($A29,DemElas!$A$21:$B$28,2,0)</f>
        <v>123.31909973168077</v>
      </c>
    </row>
    <row r="30" spans="1:34">
      <c r="A30" t="str">
        <f t="shared" si="2"/>
        <v>Maize</v>
      </c>
      <c r="B30" t="str">
        <f t="shared" si="3"/>
        <v>Gambela</v>
      </c>
      <c r="C30" s="2">
        <f>-'Target Price'!C30/TargetConsumption!C30/VLOOKUP($A30,DemElas!$A$21:$B$28,2,0)</f>
        <v>149.44080074800854</v>
      </c>
      <c r="D30" s="2">
        <f>-'Target Price'!D30/TargetConsumption!D30/VLOOKUP($A30,DemElas!$A$21:$B$28,2,0)</f>
        <v>146.67306677215555</v>
      </c>
      <c r="E30" s="2">
        <f>-'Target Price'!E30/TargetConsumption!E30/VLOOKUP($A30,DemElas!$A$21:$B$28,2,0)</f>
        <v>147.96118885941439</v>
      </c>
      <c r="F30" s="2">
        <f>-'Target Price'!F30/TargetConsumption!F30/VLOOKUP($A30,DemElas!$A$21:$B$28,2,0)</f>
        <v>145.22085819025301</v>
      </c>
      <c r="G30" s="2">
        <f>-'Target Price'!G30/TargetConsumption!G30/VLOOKUP($A30,DemElas!$A$21:$B$28,2,0)</f>
        <v>146.49622659347961</v>
      </c>
      <c r="H30" s="2">
        <f>-'Target Price'!H30/TargetConsumption!H30/VLOOKUP($A30,DemElas!$A$21:$B$28,2,0)</f>
        <v>143.7830279111416</v>
      </c>
      <c r="I30" s="2">
        <f>-'Target Price'!I30/TargetConsumption!I30/VLOOKUP($A30,DemElas!$A$21:$B$28,2,0)</f>
        <v>145.04576890443525</v>
      </c>
      <c r="J30" s="2">
        <f>-'Target Price'!J30/TargetConsumption!J30/VLOOKUP($A30,DemElas!$A$21:$B$28,2,0)</f>
        <v>142.35943357538773</v>
      </c>
      <c r="K30" s="2">
        <f>-'Target Price'!K30/TargetConsumption!K30/VLOOKUP($A30,DemElas!$A$21:$B$28,2,0)</f>
        <v>143.60967218260916</v>
      </c>
      <c r="L30" s="2">
        <f>-'Target Price'!L30/TargetConsumption!L30/VLOOKUP($A30,DemElas!$A$21:$B$28,2,0)</f>
        <v>140.94993423305718</v>
      </c>
      <c r="M30" s="2">
        <f>-'Target Price'!M30/TargetConsumption!M30/VLOOKUP($A30,DemElas!$A$21:$B$28,2,0)</f>
        <v>142.1877942402071</v>
      </c>
      <c r="N30" s="2">
        <f>-'Target Price'!N30/TargetConsumption!N30/VLOOKUP($A30,DemElas!$A$21:$B$28,2,0)</f>
        <v>139.55439032975957</v>
      </c>
      <c r="O30" s="2">
        <f>-'Target Price'!O30/TargetConsumption!O30/VLOOKUP($A30,DemElas!$A$21:$B$28,2,0)</f>
        <v>140.77999429723474</v>
      </c>
      <c r="P30" s="2">
        <f>-'Target Price'!P30/TargetConsumption!P30/VLOOKUP($A30,DemElas!$A$21:$B$28,2,0)</f>
        <v>138.17266369283126</v>
      </c>
      <c r="Q30" s="2">
        <f>-'Target Price'!Q30/TargetConsumption!Q30/VLOOKUP($A30,DemElas!$A$21:$B$28,2,0)</f>
        <v>139.38613296755912</v>
      </c>
      <c r="R30" s="2">
        <f>-'Target Price'!R30/TargetConsumption!R30/VLOOKUP($A30,DemElas!$A$21:$B$28,2,0)</f>
        <v>136.80461751765469</v>
      </c>
      <c r="S30" s="2">
        <f>-'Target Price'!S30/TargetConsumption!S30/VLOOKUP($A30,DemElas!$A$21:$B$28,2,0)</f>
        <v>138.00607224510807</v>
      </c>
      <c r="T30" s="2">
        <f>-'Target Price'!T30/TargetConsumption!T30/VLOOKUP($A30,DemElas!$A$21:$B$28,2,0)</f>
        <v>135.45011635411356</v>
      </c>
      <c r="U30" s="2">
        <f>-'Target Price'!U30/TargetConsumption!U30/VLOOKUP($A30,DemElas!$A$21:$B$28,2,0)</f>
        <v>136.639675490206</v>
      </c>
      <c r="V30" s="2">
        <f>-'Target Price'!V30/TargetConsumption!V30/VLOOKUP($A30,DemElas!$A$21:$B$28,2,0)</f>
        <v>134.10902609318177</v>
      </c>
      <c r="W30" s="2">
        <f>-'Target Price'!W30/TargetConsumption!W30/VLOOKUP($A30,DemElas!$A$21:$B$28,2,0)</f>
        <v>135.28680741604555</v>
      </c>
      <c r="X30" s="2">
        <f>-'Target Price'!X30/TargetConsumption!X30/VLOOKUP($A30,DemElas!$A$21:$B$28,2,0)</f>
        <v>132.78121395364531</v>
      </c>
      <c r="Y30" s="2">
        <f>-'Target Price'!Y30/TargetConsumption!Y30/VLOOKUP($A30,DemElas!$A$21:$B$28,2,0)</f>
        <v>133.94733407529264</v>
      </c>
      <c r="Z30" s="2">
        <f>-'Target Price'!Z30/TargetConsumption!Z30/VLOOKUP($A30,DemElas!$A$21:$B$28,2,0)</f>
        <v>131.46654846895575</v>
      </c>
      <c r="AA30" s="2">
        <f>-'Target Price'!AA30/TargetConsumption!AA30/VLOOKUP($A30,DemElas!$A$21:$B$28,2,0)</f>
        <v>132.62112284682439</v>
      </c>
      <c r="AB30" s="2">
        <f>-'Target Price'!AB30/TargetConsumption!AB30/VLOOKUP($A30,DemElas!$A$21:$B$28,2,0)</f>
        <v>130.1648994742136</v>
      </c>
      <c r="AC30" s="2">
        <f>-'Target Price'!AC30/TargetConsumption!AC30/VLOOKUP($A30,DemElas!$A$21:$B$28,2,0)</f>
        <v>131.30804242259839</v>
      </c>
      <c r="AD30" s="2">
        <f>-'Target Price'!AD30/TargetConsumption!AD30/VLOOKUP($A30,DemElas!$A$21:$B$28,2,0)</f>
        <v>128.87613809328079</v>
      </c>
      <c r="AE30" s="2">
        <f>-'Target Price'!AE30/TargetConsumption!AE30/VLOOKUP($A30,DemElas!$A$21:$B$28,2,0)</f>
        <v>130.00796279465186</v>
      </c>
      <c r="AF30" s="2">
        <f>-'Target Price'!AF30/TargetConsumption!AF30/VLOOKUP($A30,DemElas!$A$21:$B$28,2,0)</f>
        <v>127.60013672602058</v>
      </c>
      <c r="AG30" s="2">
        <f>-'Target Price'!AG30/TargetConsumption!AG30/VLOOKUP($A30,DemElas!$A$21:$B$28,2,0)</f>
        <v>128.72075524222959</v>
      </c>
      <c r="AH30" s="2">
        <f>-'Target Price'!AH30/TargetConsumption!AH30/VLOOKUP($A30,DemElas!$A$21:$B$28,2,0)</f>
        <v>126.33676903566393</v>
      </c>
    </row>
    <row r="31" spans="1:34">
      <c r="A31" t="str">
        <f t="shared" si="2"/>
        <v>Maize</v>
      </c>
      <c r="B31" t="str">
        <f t="shared" si="3"/>
        <v>Harari</v>
      </c>
      <c r="C31" s="2">
        <f>-'Target Price'!C31/TargetConsumption!C31/VLOOKUP($A31,DemElas!$A$21:$B$28,2,0)</f>
        <v>259.81695684647269</v>
      </c>
      <c r="D31" s="2">
        <f>-'Target Price'!D31/TargetConsumption!D31/VLOOKUP($A31,DemElas!$A$21:$B$28,2,0)</f>
        <v>276.51307671779256</v>
      </c>
      <c r="E31" s="2">
        <f>-'Target Price'!E31/TargetConsumption!E31/VLOOKUP($A31,DemElas!$A$21:$B$28,2,0)</f>
        <v>257.24451172918083</v>
      </c>
      <c r="F31" s="2">
        <f>-'Target Price'!F31/TargetConsumption!F31/VLOOKUP($A31,DemElas!$A$21:$B$28,2,0)</f>
        <v>273.7753234829629</v>
      </c>
      <c r="G31" s="2">
        <f>-'Target Price'!G31/TargetConsumption!G31/VLOOKUP($A31,DemElas!$A$21:$B$28,2,0)</f>
        <v>254.69753636552559</v>
      </c>
      <c r="H31" s="2">
        <f>-'Target Price'!H31/TargetConsumption!H31/VLOOKUP($A31,DemElas!$A$21:$B$28,2,0)</f>
        <v>271.06467671580486</v>
      </c>
      <c r="I31" s="2">
        <f>-'Target Price'!I31/TargetConsumption!I31/VLOOKUP($A31,DemElas!$A$21:$B$28,2,0)</f>
        <v>252.17577857972833</v>
      </c>
      <c r="J31" s="2">
        <f>-'Target Price'!J31/TargetConsumption!J31/VLOOKUP($A31,DemElas!$A$21:$B$28,2,0)</f>
        <v>268.38086803545036</v>
      </c>
      <c r="K31" s="2">
        <f>-'Target Price'!K31/TargetConsumption!K31/VLOOKUP($A31,DemElas!$A$21:$B$28,2,0)</f>
        <v>249.67898869280035</v>
      </c>
      <c r="L31" s="2">
        <f>-'Target Price'!L31/TargetConsumption!L31/VLOOKUP($A31,DemElas!$A$21:$B$28,2,0)</f>
        <v>265.72363171826771</v>
      </c>
      <c r="M31" s="2">
        <f>-'Target Price'!M31/TargetConsumption!M31/VLOOKUP($A31,DemElas!$A$21:$B$28,2,0)</f>
        <v>247.20691949782213</v>
      </c>
      <c r="N31" s="2">
        <f>-'Target Price'!N31/TargetConsumption!N31/VLOOKUP($A31,DemElas!$A$21:$B$28,2,0)</f>
        <v>263.09270467155221</v>
      </c>
      <c r="O31" s="2">
        <f>-'Target Price'!O31/TargetConsumption!O31/VLOOKUP($A31,DemElas!$A$21:$B$28,2,0)</f>
        <v>244.75932623546746</v>
      </c>
      <c r="P31" s="2">
        <f>-'Target Price'!P31/TargetConsumption!P31/VLOOKUP($A31,DemElas!$A$21:$B$28,2,0)</f>
        <v>260.48782640747743</v>
      </c>
      <c r="Q31" s="2">
        <f>-'Target Price'!Q31/TargetConsumption!Q31/VLOOKUP($A31,DemElas!$A$21:$B$28,2,0)</f>
        <v>242.33596656976974</v>
      </c>
      <c r="R31" s="2">
        <f>-'Target Price'!R31/TargetConsumption!R31/VLOOKUP($A31,DemElas!$A$21:$B$28,2,0)</f>
        <v>257.90873901730436</v>
      </c>
      <c r="S31" s="2">
        <f>-'Target Price'!S31/TargetConsumption!S31/VLOOKUP($A31,DemElas!$A$21:$B$28,2,0)</f>
        <v>239.93660056412844</v>
      </c>
      <c r="T31" s="2">
        <f>-'Target Price'!T31/TargetConsumption!T31/VLOOKUP($A31,DemElas!$A$21:$B$28,2,0)</f>
        <v>255.35518714584589</v>
      </c>
      <c r="U31" s="2">
        <f>-'Target Price'!U31/TargetConsumption!U31/VLOOKUP($A31,DemElas!$A$21:$B$28,2,0)</f>
        <v>237.56099065755294</v>
      </c>
      <c r="V31" s="2">
        <f>-'Target Price'!V31/TargetConsumption!V31/VLOOKUP($A31,DemElas!$A$21:$B$28,2,0)</f>
        <v>252.82691796618408</v>
      </c>
      <c r="W31" s="2">
        <f>-'Target Price'!W31/TargetConsumption!W31/VLOOKUP($A31,DemElas!$A$21:$B$28,2,0)</f>
        <v>235.20890164114152</v>
      </c>
      <c r="X31" s="2">
        <f>-'Target Price'!X31/TargetConsumption!X31/VLOOKUP($A31,DemElas!$A$21:$B$28,2,0)</f>
        <v>250.32368115463768</v>
      </c>
      <c r="Y31" s="2">
        <f>-'Target Price'!Y31/TargetConsumption!Y31/VLOOKUP($A31,DemElas!$A$21:$B$28,2,0)</f>
        <v>232.88010063479356</v>
      </c>
      <c r="Z31" s="2">
        <f>-'Target Price'!Z31/TargetConsumption!Z31/VLOOKUP($A31,DemElas!$A$21:$B$28,2,0)</f>
        <v>247.8452288659779</v>
      </c>
      <c r="AA31" s="2">
        <f>-'Target Price'!AA31/TargetConsumption!AA31/VLOOKUP($A31,DemElas!$A$21:$B$28,2,0)</f>
        <v>230.57435706415208</v>
      </c>
      <c r="AB31" s="2">
        <f>-'Target Price'!AB31/TargetConsumption!AB31/VLOOKUP($A31,DemElas!$A$21:$B$28,2,0)</f>
        <v>245.39131570888904</v>
      </c>
      <c r="AC31" s="2">
        <f>-'Target Price'!AC31/TargetConsumption!AC31/VLOOKUP($A31,DemElas!$A$21:$B$28,2,0)</f>
        <v>228.29144263777431</v>
      </c>
      <c r="AD31" s="2">
        <f>-'Target Price'!AD31/TargetConsumption!AD31/VLOOKUP($A31,DemElas!$A$21:$B$28,2,0)</f>
        <v>242.96169872167232</v>
      </c>
      <c r="AE31" s="2">
        <f>-'Target Price'!AE31/TargetConsumption!AE31/VLOOKUP($A31,DemElas!$A$21:$B$28,2,0)</f>
        <v>226.03113132452904</v>
      </c>
      <c r="AF31" s="2">
        <f>-'Target Price'!AF31/TargetConsumption!AF31/VLOOKUP($A31,DemElas!$A$21:$B$28,2,0)</f>
        <v>240.55613734819039</v>
      </c>
      <c r="AG31" s="2">
        <f>-'Target Price'!AG31/TargetConsumption!AG31/VLOOKUP($A31,DemElas!$A$21:$B$28,2,0)</f>
        <v>223.79319933121687</v>
      </c>
      <c r="AH31" s="2">
        <f>-'Target Price'!AH31/TargetConsumption!AH31/VLOOKUP($A31,DemElas!$A$21:$B$28,2,0)</f>
        <v>238.17439341404992</v>
      </c>
    </row>
    <row r="32" spans="1:34">
      <c r="A32" t="str">
        <f t="shared" si="2"/>
        <v>Maize</v>
      </c>
      <c r="B32" t="str">
        <f t="shared" si="3"/>
        <v>Oromia</v>
      </c>
      <c r="C32" s="2">
        <f>-'Target Price'!C32/TargetConsumption!C32/VLOOKUP($A32,DemElas!$A$21:$B$28,2,0)</f>
        <v>1.6910206187028221</v>
      </c>
      <c r="D32" s="2">
        <f>-'Target Price'!D32/TargetConsumption!D32/VLOOKUP($A32,DemElas!$A$21:$B$28,2,0)</f>
        <v>1.8295780650931872</v>
      </c>
      <c r="E32" s="2">
        <f>-'Target Price'!E32/TargetConsumption!E32/VLOOKUP($A32,DemElas!$A$21:$B$28,2,0)</f>
        <v>1.6742778402998237</v>
      </c>
      <c r="F32" s="2">
        <f>-'Target Price'!F32/TargetConsumption!F32/VLOOKUP($A32,DemElas!$A$21:$B$28,2,0)</f>
        <v>1.8114634307853339</v>
      </c>
      <c r="G32" s="2">
        <f>-'Target Price'!G32/TargetConsumption!G32/VLOOKUP($A32,DemElas!$A$21:$B$28,2,0)</f>
        <v>1.6577008319800235</v>
      </c>
      <c r="H32" s="2">
        <f>-'Target Price'!H32/TargetConsumption!H32/VLOOKUP($A32,DemElas!$A$21:$B$28,2,0)</f>
        <v>1.7935281492924098</v>
      </c>
      <c r="I32" s="2">
        <f>-'Target Price'!I32/TargetConsumption!I32/VLOOKUP($A32,DemElas!$A$21:$B$28,2,0)</f>
        <v>1.6412879524554687</v>
      </c>
      <c r="J32" s="2">
        <f>-'Target Price'!J32/TargetConsumption!J32/VLOOKUP($A32,DemElas!$A$21:$B$28,2,0)</f>
        <v>1.77577044484397</v>
      </c>
      <c r="K32" s="2">
        <f>-'Target Price'!K32/TargetConsumption!K32/VLOOKUP($A32,DemElas!$A$21:$B$28,2,0)</f>
        <v>1.625037576688583</v>
      </c>
      <c r="L32" s="2">
        <f>-'Target Price'!L32/TargetConsumption!L32/VLOOKUP($A32,DemElas!$A$21:$B$28,2,0)</f>
        <v>1.7581885592514557</v>
      </c>
      <c r="M32" s="2">
        <f>-'Target Price'!M32/TargetConsumption!M32/VLOOKUP($A32,DemElas!$A$21:$B$28,2,0)</f>
        <v>1.6089480957312701</v>
      </c>
      <c r="N32" s="2">
        <f>-'Target Price'!N32/TargetConsumption!N32/VLOOKUP($A32,DemElas!$A$21:$B$28,2,0)</f>
        <v>1.7407807517341145</v>
      </c>
      <c r="O32" s="2">
        <f>-'Target Price'!O32/TargetConsumption!O32/VLOOKUP($A32,DemElas!$A$21:$B$28,2,0)</f>
        <v>1.593017916565614</v>
      </c>
      <c r="P32" s="2">
        <f>-'Target Price'!P32/TargetConsumption!P32/VLOOKUP($A32,DemElas!$A$21:$B$28,2,0)</f>
        <v>1.7235452987466477</v>
      </c>
      <c r="Q32" s="2">
        <f>-'Target Price'!Q32/TargetConsumption!Q32/VLOOKUP($A32,DemElas!$A$21:$B$28,2,0)</f>
        <v>1.5772454619461524</v>
      </c>
      <c r="R32" s="2">
        <f>-'Target Price'!R32/TargetConsumption!R32/VLOOKUP($A32,DemElas!$A$21:$B$28,2,0)</f>
        <v>1.7064804938085623</v>
      </c>
      <c r="S32" s="2">
        <f>-'Target Price'!S32/TargetConsumption!S32/VLOOKUP($A32,DemElas!$A$21:$B$28,2,0)</f>
        <v>1.5616291702437153</v>
      </c>
      <c r="T32" s="2">
        <f>-'Target Price'!T32/TargetConsumption!T32/VLOOKUP($A32,DemElas!$A$21:$B$28,2,0)</f>
        <v>1.6895846473352101</v>
      </c>
      <c r="U32" s="2">
        <f>-'Target Price'!U32/TargetConsumption!U32/VLOOKUP($A32,DemElas!$A$21:$B$28,2,0)</f>
        <v>1.5461674952908073</v>
      </c>
      <c r="V32" s="2">
        <f>-'Target Price'!V32/TargetConsumption!V32/VLOOKUP($A32,DemElas!$A$21:$B$28,2,0)</f>
        <v>1.6728560864705051</v>
      </c>
      <c r="W32" s="2">
        <f>-'Target Price'!W32/TargetConsumption!W32/VLOOKUP($A32,DemElas!$A$21:$B$28,2,0)</f>
        <v>1.5308589062285221</v>
      </c>
      <c r="X32" s="2">
        <f>-'Target Price'!X32/TargetConsumption!X32/VLOOKUP($A32,DemElas!$A$21:$B$28,2,0)</f>
        <v>1.6562931549212923</v>
      </c>
      <c r="Y32" s="2">
        <f>-'Target Price'!Y32/TargetConsumption!Y32/VLOOKUP($A32,DemElas!$A$21:$B$28,2,0)</f>
        <v>1.5157018873549726</v>
      </c>
      <c r="Z32" s="2">
        <f>-'Target Price'!Z32/TargetConsumption!Z32/VLOOKUP($A32,DemElas!$A$21:$B$28,2,0)</f>
        <v>1.6398942127933587</v>
      </c>
      <c r="AA32" s="2">
        <f>-'Target Price'!AA32/TargetConsumption!AA32/VLOOKUP($A32,DemElas!$A$21:$B$28,2,0)</f>
        <v>1.5006949379752204</v>
      </c>
      <c r="AB32" s="2">
        <f>-'Target Price'!AB32/TargetConsumption!AB32/VLOOKUP($A32,DemElas!$A$21:$B$28,2,0)</f>
        <v>1.6236576364290682</v>
      </c>
      <c r="AC32" s="2">
        <f>-'Target Price'!AC32/TargetConsumption!AC32/VLOOKUP($A32,DemElas!$A$21:$B$28,2,0)</f>
        <v>1.4858365722526934</v>
      </c>
      <c r="AD32" s="2">
        <f>-'Target Price'!AD32/TargetConsumption!AD32/VLOOKUP($A32,DemElas!$A$21:$B$28,2,0)</f>
        <v>1.607581818246602</v>
      </c>
      <c r="AE32" s="2">
        <f>-'Target Price'!AE32/TargetConsumption!AE32/VLOOKUP($A32,DemElas!$A$21:$B$28,2,0)</f>
        <v>1.4711253190620728</v>
      </c>
      <c r="AF32" s="2">
        <f>-'Target Price'!AF32/TargetConsumption!AF32/VLOOKUP($A32,DemElas!$A$21:$B$28,2,0)</f>
        <v>1.5916651665807942</v>
      </c>
      <c r="AG32" s="2">
        <f>-'Target Price'!AG32/TargetConsumption!AG32/VLOOKUP($A32,DemElas!$A$21:$B$28,2,0)</f>
        <v>1.4565597218436361</v>
      </c>
      <c r="AH32" s="2">
        <f>-'Target Price'!AH32/TargetConsumption!AH32/VLOOKUP($A32,DemElas!$A$21:$B$28,2,0)</f>
        <v>1.5759061055255388</v>
      </c>
    </row>
    <row r="33" spans="1:34">
      <c r="A33" t="str">
        <f t="shared" si="2"/>
        <v>Maize</v>
      </c>
      <c r="B33" t="str">
        <f t="shared" si="3"/>
        <v>Somali</v>
      </c>
      <c r="C33" s="2">
        <f>-'Target Price'!C33/TargetConsumption!C33/VLOOKUP($A33,DemElas!$A$21:$B$28,2,0)</f>
        <v>9.9132727049505167</v>
      </c>
      <c r="D33" s="2">
        <f>-'Target Price'!D33/TargetConsumption!D33/VLOOKUP($A33,DemElas!$A$21:$B$28,2,0)</f>
        <v>12.026858633347826</v>
      </c>
      <c r="E33" s="2">
        <f>-'Target Price'!E33/TargetConsumption!E33/VLOOKUP($A33,DemElas!$A$21:$B$28,2,0)</f>
        <v>9.8151214900500161</v>
      </c>
      <c r="F33" s="2">
        <f>-'Target Price'!F33/TargetConsumption!F33/VLOOKUP($A33,DemElas!$A$21:$B$28,2,0)</f>
        <v>11.907780825096857</v>
      </c>
      <c r="G33" s="2">
        <f>-'Target Price'!G33/TargetConsumption!G33/VLOOKUP($A33,DemElas!$A$21:$B$28,2,0)</f>
        <v>9.717942069356452</v>
      </c>
      <c r="H33" s="2">
        <f>-'Target Price'!H33/TargetConsumption!H33/VLOOKUP($A33,DemElas!$A$21:$B$28,2,0)</f>
        <v>11.789882005046394</v>
      </c>
      <c r="I33" s="2">
        <f>-'Target Price'!I33/TargetConsumption!I33/VLOOKUP($A33,DemElas!$A$21:$B$28,2,0)</f>
        <v>9.6217248211450013</v>
      </c>
      <c r="J33" s="2">
        <f>-'Target Price'!J33/TargetConsumption!J33/VLOOKUP($A33,DemElas!$A$21:$B$28,2,0)</f>
        <v>11.673150500045933</v>
      </c>
      <c r="K33" s="2">
        <f>-'Target Price'!K33/TargetConsumption!K33/VLOOKUP($A33,DemElas!$A$21:$B$28,2,0)</f>
        <v>9.5264602189554459</v>
      </c>
      <c r="L33" s="2">
        <f>-'Target Price'!L33/TargetConsumption!L33/VLOOKUP($A33,DemElas!$A$21:$B$28,2,0)</f>
        <v>11.557574752520727</v>
      </c>
      <c r="M33" s="2">
        <f>-'Target Price'!M33/TargetConsumption!M33/VLOOKUP($A33,DemElas!$A$21:$B$28,2,0)</f>
        <v>9.4321388306489578</v>
      </c>
      <c r="N33" s="2">
        <f>-'Target Price'!N33/TargetConsumption!N33/VLOOKUP($A33,DemElas!$A$21:$B$28,2,0)</f>
        <v>11.443143319327453</v>
      </c>
      <c r="O33" s="2">
        <f>-'Target Price'!O33/TargetConsumption!O33/VLOOKUP($A33,DemElas!$A$21:$B$28,2,0)</f>
        <v>9.3387513174742143</v>
      </c>
      <c r="P33" s="2">
        <f>-'Target Price'!P33/TargetConsumption!P33/VLOOKUP($A33,DemElas!$A$21:$B$28,2,0)</f>
        <v>11.329844870621239</v>
      </c>
      <c r="Q33" s="2">
        <f>-'Target Price'!Q33/TargetConsumption!Q33/VLOOKUP($A33,DemElas!$A$21:$B$28,2,0)</f>
        <v>9.2462884331427873</v>
      </c>
      <c r="R33" s="2">
        <f>-'Target Price'!R33/TargetConsumption!R33/VLOOKUP($A33,DemElas!$A$21:$B$28,2,0)</f>
        <v>11.217668188733899</v>
      </c>
      <c r="S33" s="2">
        <f>-'Target Price'!S33/TargetConsumption!S33/VLOOKUP($A33,DemElas!$A$21:$B$28,2,0)</f>
        <v>9.154741022913651</v>
      </c>
      <c r="T33" s="2">
        <f>-'Target Price'!T33/TargetConsumption!T33/VLOOKUP($A33,DemElas!$A$21:$B$28,2,0)</f>
        <v>11.106602167063269</v>
      </c>
      <c r="U33" s="2">
        <f>-'Target Price'!U33/TargetConsumption!U33/VLOOKUP($A33,DemElas!$A$21:$B$28,2,0)</f>
        <v>9.0641000226867821</v>
      </c>
      <c r="V33" s="2">
        <f>-'Target Price'!V33/TargetConsumption!V33/VLOOKUP($A33,DemElas!$A$21:$B$28,2,0)</f>
        <v>10.996635808973531</v>
      </c>
      <c r="W33" s="2">
        <f>-'Target Price'!W33/TargetConsumption!W33/VLOOKUP($A33,DemElas!$A$21:$B$28,2,0)</f>
        <v>8.9743564581057242</v>
      </c>
      <c r="X33" s="2">
        <f>-'Target Price'!X33/TargetConsumption!X33/VLOOKUP($A33,DemElas!$A$21:$B$28,2,0)</f>
        <v>10.887758226706467</v>
      </c>
      <c r="Y33" s="2">
        <f>-'Target Price'!Y33/TargetConsumption!Y33/VLOOKUP($A33,DemElas!$A$21:$B$28,2,0)</f>
        <v>8.8855014436690336</v>
      </c>
      <c r="Z33" s="2">
        <f>-'Target Price'!Z33/TargetConsumption!Z33/VLOOKUP($A33,DemElas!$A$21:$B$28,2,0)</f>
        <v>10.779958640303432</v>
      </c>
      <c r="AA33" s="2">
        <f>-'Target Price'!AA33/TargetConsumption!AA33/VLOOKUP($A33,DemElas!$A$21:$B$28,2,0)</f>
        <v>8.7975261818505288</v>
      </c>
      <c r="AB33" s="2">
        <f>-'Target Price'!AB33/TargetConsumption!AB33/VLOOKUP($A33,DemElas!$A$21:$B$28,2,0)</f>
        <v>10.673226376538052</v>
      </c>
      <c r="AC33" s="2">
        <f>-'Target Price'!AC33/TargetConsumption!AC33/VLOOKUP($A33,DemElas!$A$21:$B$28,2,0)</f>
        <v>8.7104219622282439</v>
      </c>
      <c r="AD33" s="2">
        <f>-'Target Price'!AD33/TargetConsumption!AD33/VLOOKUP($A33,DemElas!$A$21:$B$28,2,0)</f>
        <v>10.567550867859456</v>
      </c>
      <c r="AE33" s="2">
        <f>-'Target Price'!AE33/TargetConsumption!AE33/VLOOKUP($A33,DemElas!$A$21:$B$28,2,0)</f>
        <v>8.624180160622025</v>
      </c>
      <c r="AF33" s="2">
        <f>-'Target Price'!AF33/TargetConsumption!AF33/VLOOKUP($A33,DemElas!$A$21:$B$28,2,0)</f>
        <v>10.462921651345995</v>
      </c>
      <c r="AG33" s="2">
        <f>-'Target Price'!AG33/TargetConsumption!AG33/VLOOKUP($A33,DemElas!$A$21:$B$28,2,0)</f>
        <v>8.538792238239628</v>
      </c>
      <c r="AH33" s="2">
        <f>-'Target Price'!AH33/TargetConsumption!AH33/VLOOKUP($A33,DemElas!$A$21:$B$28,2,0)</f>
        <v>10.359328367669303</v>
      </c>
    </row>
    <row r="34" spans="1:34">
      <c r="A34" t="str">
        <f t="shared" si="2"/>
        <v>Maize</v>
      </c>
      <c r="B34" t="str">
        <f t="shared" si="3"/>
        <v>SNNPR</v>
      </c>
      <c r="C34" s="2">
        <f>-'Target Price'!C34/TargetConsumption!C34/VLOOKUP($A34,DemElas!$A$21:$B$28,2,0)</f>
        <v>3.0079441689749902</v>
      </c>
      <c r="D34" s="2">
        <f>-'Target Price'!D34/TargetConsumption!D34/VLOOKUP($A34,DemElas!$A$21:$B$28,2,0)</f>
        <v>3.6189418773774755</v>
      </c>
      <c r="E34" s="2">
        <f>-'Target Price'!E34/TargetConsumption!E34/VLOOKUP($A34,DemElas!$A$21:$B$28,2,0)</f>
        <v>2.9781625435395944</v>
      </c>
      <c r="F34" s="2">
        <f>-'Target Price'!F34/TargetConsumption!F34/VLOOKUP($A34,DemElas!$A$21:$B$28,2,0)</f>
        <v>3.583110769680669</v>
      </c>
      <c r="G34" s="2">
        <f>-'Target Price'!G34/TargetConsumption!G34/VLOOKUP($A34,DemElas!$A$21:$B$28,2,0)</f>
        <v>2.9486757856827666</v>
      </c>
      <c r="H34" s="2">
        <f>-'Target Price'!H34/TargetConsumption!H34/VLOOKUP($A34,DemElas!$A$21:$B$28,2,0)</f>
        <v>3.5476344254264047</v>
      </c>
      <c r="I34" s="2">
        <f>-'Target Price'!I34/TargetConsumption!I34/VLOOKUP($A34,DemElas!$A$21:$B$28,2,0)</f>
        <v>2.919480975923531</v>
      </c>
      <c r="J34" s="2">
        <f>-'Target Price'!J34/TargetConsumption!J34/VLOOKUP($A34,DemElas!$A$21:$B$28,2,0)</f>
        <v>3.5125093321053513</v>
      </c>
      <c r="K34" s="2">
        <f>-'Target Price'!K34/TargetConsumption!K34/VLOOKUP($A34,DemElas!$A$21:$B$28,2,0)</f>
        <v>2.8905752236866649</v>
      </c>
      <c r="L34" s="2">
        <f>-'Target Price'!L34/TargetConsumption!L34/VLOOKUP($A34,DemElas!$A$21:$B$28,2,0)</f>
        <v>3.4777320119854962</v>
      </c>
      <c r="M34" s="2">
        <f>-'Target Price'!M34/TargetConsumption!M34/VLOOKUP($A34,DemElas!$A$21:$B$28,2,0)</f>
        <v>2.8619556670164994</v>
      </c>
      <c r="N34" s="2">
        <f>-'Target Price'!N34/TargetConsumption!N34/VLOOKUP($A34,DemElas!$A$21:$B$28,2,0)</f>
        <v>3.4432990217678183</v>
      </c>
      <c r="O34" s="2">
        <f>-'Target Price'!O34/TargetConsumption!O34/VLOOKUP($A34,DemElas!$A$21:$B$28,2,0)</f>
        <v>2.8336194722935639</v>
      </c>
      <c r="P34" s="2">
        <f>-'Target Price'!P34/TargetConsumption!P34/VLOOKUP($A34,DemElas!$A$21:$B$28,2,0)</f>
        <v>3.409206952245365</v>
      </c>
      <c r="Q34" s="2">
        <f>-'Target Price'!Q34/TargetConsumption!Q34/VLOOKUP($A34,DemElas!$A$21:$B$28,2,0)</f>
        <v>2.8055638339540239</v>
      </c>
      <c r="R34" s="2">
        <f>-'Target Price'!R34/TargetConsumption!R34/VLOOKUP($A34,DemElas!$A$21:$B$28,2,0)</f>
        <v>3.3754524279657074</v>
      </c>
      <c r="S34" s="2">
        <f>-'Target Price'!S34/TargetConsumption!S34/VLOOKUP($A34,DemElas!$A$21:$B$28,2,0)</f>
        <v>2.7777859742119051</v>
      </c>
      <c r="T34" s="2">
        <f>-'Target Price'!T34/TargetConsumption!T34/VLOOKUP($A34,DemElas!$A$21:$B$28,2,0)</f>
        <v>3.34203210689674</v>
      </c>
      <c r="U34" s="2">
        <f>-'Target Price'!U34/TargetConsumption!U34/VLOOKUP($A34,DemElas!$A$21:$B$28,2,0)</f>
        <v>2.7502831427840646</v>
      </c>
      <c r="V34" s="2">
        <f>-'Target Price'!V34/TargetConsumption!V34/VLOOKUP($A34,DemElas!$A$21:$B$28,2,0)</f>
        <v>3.308942680095782</v>
      </c>
      <c r="W34" s="2">
        <f>-'Target Price'!W34/TargetConsumption!W34/VLOOKUP($A34,DemElas!$A$21:$B$28,2,0)</f>
        <v>2.7230526166178852</v>
      </c>
      <c r="X34" s="2">
        <f>-'Target Price'!X34/TargetConsumption!X34/VLOOKUP($A34,DemElas!$A$21:$B$28,2,0)</f>
        <v>3.2761808713819627</v>
      </c>
      <c r="Y34" s="2">
        <f>-'Target Price'!Y34/TargetConsumption!Y34/VLOOKUP($A34,DemElas!$A$21:$B$28,2,0)</f>
        <v>2.6960916996216686</v>
      </c>
      <c r="Z34" s="2">
        <f>-'Target Price'!Z34/TargetConsumption!Z34/VLOOKUP($A34,DemElas!$A$21:$B$28,2,0)</f>
        <v>3.2437434370118443</v>
      </c>
      <c r="AA34" s="2">
        <f>-'Target Price'!AA34/TargetConsumption!AA34/VLOOKUP($A34,DemElas!$A$21:$B$28,2,0)</f>
        <v>2.6693977223976915</v>
      </c>
      <c r="AB34" s="2">
        <f>-'Target Price'!AB34/TargetConsumption!AB34/VLOOKUP($A34,DemElas!$A$21:$B$28,2,0)</f>
        <v>3.2116271653582609</v>
      </c>
      <c r="AC34" s="2">
        <f>-'Target Price'!AC34/TargetConsumption!AC34/VLOOKUP($A34,DemElas!$A$21:$B$28,2,0)</f>
        <v>2.642968041977912</v>
      </c>
      <c r="AD34" s="2">
        <f>-'Target Price'!AD34/TargetConsumption!AD34/VLOOKUP($A34,DemElas!$A$21:$B$28,2,0)</f>
        <v>3.1798288765923375</v>
      </c>
      <c r="AE34" s="2">
        <f>-'Target Price'!AE34/TargetConsumption!AE34/VLOOKUP($A34,DemElas!$A$21:$B$28,2,0)</f>
        <v>2.6168000415622892</v>
      </c>
      <c r="AF34" s="2">
        <f>-'Target Price'!AF34/TargetConsumption!AF34/VLOOKUP($A34,DemElas!$A$21:$B$28,2,0)</f>
        <v>3.1483454223686507</v>
      </c>
      <c r="AG34" s="2">
        <f>-'Target Price'!AG34/TargetConsumption!AG34/VLOOKUP($A34,DemElas!$A$21:$B$28,2,0)</f>
        <v>2.590891130259692</v>
      </c>
      <c r="AH34" s="2">
        <f>-'Target Price'!AH34/TargetConsumption!AH34/VLOOKUP($A34,DemElas!$A$21:$B$28,2,0)</f>
        <v>3.117173685513515</v>
      </c>
    </row>
    <row r="35" spans="1:34">
      <c r="A35" t="str">
        <f t="shared" si="2"/>
        <v>Maize</v>
      </c>
      <c r="B35" t="str">
        <f t="shared" si="3"/>
        <v>Tigray</v>
      </c>
      <c r="C35" s="2">
        <f>-'Target Price'!C35/TargetConsumption!C35/VLOOKUP($A35,DemElas!$A$21:$B$28,2,0)</f>
        <v>10.728710911275504</v>
      </c>
      <c r="D35" s="2">
        <f>-'Target Price'!D35/TargetConsumption!D35/VLOOKUP($A35,DemElas!$A$21:$B$28,2,0)</f>
        <v>12.712067508503139</v>
      </c>
      <c r="E35" s="2">
        <f>-'Target Price'!E35/TargetConsumption!E35/VLOOKUP($A35,DemElas!$A$21:$B$28,2,0)</f>
        <v>10.622486050767828</v>
      </c>
      <c r="F35" s="2">
        <f>-'Target Price'!F35/TargetConsumption!F35/VLOOKUP($A35,DemElas!$A$21:$B$28,2,0)</f>
        <v>12.586205453963503</v>
      </c>
      <c r="G35" s="2">
        <f>-'Target Price'!G35/TargetConsumption!G35/VLOOKUP($A35,DemElas!$A$21:$B$28,2,0)</f>
        <v>10.517312921552303</v>
      </c>
      <c r="H35" s="2">
        <f>-'Target Price'!H35/TargetConsumption!H35/VLOOKUP($A35,DemElas!$A$21:$B$28,2,0)</f>
        <v>12.461589558379705</v>
      </c>
      <c r="I35" s="2">
        <f>-'Target Price'!I35/TargetConsumption!I35/VLOOKUP($A35,DemElas!$A$21:$B$28,2,0)</f>
        <v>10.413181110447823</v>
      </c>
      <c r="J35" s="2">
        <f>-'Target Price'!J35/TargetConsumption!J35/VLOOKUP($A35,DemElas!$A$21:$B$28,2,0)</f>
        <v>12.338207483544263</v>
      </c>
      <c r="K35" s="2">
        <f>-'Target Price'!K35/TargetConsumption!K35/VLOOKUP($A35,DemElas!$A$21:$B$28,2,0)</f>
        <v>10.310080307374085</v>
      </c>
      <c r="L35" s="2">
        <f>-'Target Price'!L35/TargetConsumption!L35/VLOOKUP($A35,DemElas!$A$21:$B$28,2,0)</f>
        <v>12.216047013410162</v>
      </c>
      <c r="M35" s="2">
        <f>-'Target Price'!M35/TargetConsumption!M35/VLOOKUP($A35,DemElas!$A$21:$B$28,2,0)</f>
        <v>10.208000304330778</v>
      </c>
      <c r="N35" s="2">
        <f>-'Target Price'!N35/TargetConsumption!N35/VLOOKUP($A35,DemElas!$A$21:$B$28,2,0)</f>
        <v>12.095096052881349</v>
      </c>
      <c r="O35" s="2">
        <f>-'Target Price'!O35/TargetConsumption!O35/VLOOKUP($A35,DemElas!$A$21:$B$28,2,0)</f>
        <v>10.106930994386905</v>
      </c>
      <c r="P35" s="2">
        <f>-'Target Price'!P35/TargetConsumption!P35/VLOOKUP($A35,DemElas!$A$21:$B$28,2,0)</f>
        <v>11.975342626615195</v>
      </c>
      <c r="Q35" s="2">
        <f>-'Target Price'!Q35/TargetConsumption!Q35/VLOOKUP($A35,DemElas!$A$21:$B$28,2,0)</f>
        <v>10.006862370680107</v>
      </c>
      <c r="R35" s="2">
        <f>-'Target Price'!R35/TargetConsumption!R35/VLOOKUP($A35,DemElas!$A$21:$B$28,2,0)</f>
        <v>11.856774877836829</v>
      </c>
      <c r="S35" s="2">
        <f>-'Target Price'!S35/TargetConsumption!S35/VLOOKUP($A35,DemElas!$A$21:$B$28,2,0)</f>
        <v>9.9077845254258481</v>
      </c>
      <c r="T35" s="2">
        <f>-'Target Price'!T35/TargetConsumption!T35/VLOOKUP($A35,DemElas!$A$21:$B$28,2,0)</f>
        <v>11.739381067165175</v>
      </c>
      <c r="U35" s="2">
        <f>-'Target Price'!U35/TargetConsumption!U35/VLOOKUP($A35,DemElas!$A$21:$B$28,2,0)</f>
        <v>9.8096876489364817</v>
      </c>
      <c r="V35" s="2">
        <f>-'Target Price'!V35/TargetConsumption!V35/VLOOKUP($A35,DemElas!$A$21:$B$28,2,0)</f>
        <v>11.62314957145067</v>
      </c>
      <c r="W35" s="2">
        <f>-'Target Price'!W35/TargetConsumption!W35/VLOOKUP($A35,DemElas!$A$21:$B$28,2,0)</f>
        <v>9.7125620286499821</v>
      </c>
      <c r="X35" s="2">
        <f>-'Target Price'!X35/TargetConsumption!X35/VLOOKUP($A35,DemElas!$A$21:$B$28,2,0)</f>
        <v>11.508068882624425</v>
      </c>
      <c r="Y35" s="2">
        <f>-'Target Price'!Y35/TargetConsumption!Y35/VLOOKUP($A35,DemElas!$A$21:$B$28,2,0)</f>
        <v>9.6163980481682998</v>
      </c>
      <c r="Z35" s="2">
        <f>-'Target Price'!Z35/TargetConsumption!Z35/VLOOKUP($A35,DemElas!$A$21:$B$28,2,0)</f>
        <v>11.394127606558836</v>
      </c>
      <c r="AA35" s="2">
        <f>-'Target Price'!AA35/TargetConsumption!AA35/VLOOKUP($A35,DemElas!$A$21:$B$28,2,0)</f>
        <v>9.5211861863052469</v>
      </c>
      <c r="AB35" s="2">
        <f>-'Target Price'!AB35/TargetConsumption!AB35/VLOOKUP($A35,DemElas!$A$21:$B$28,2,0)</f>
        <v>11.281314461939441</v>
      </c>
      <c r="AC35" s="2">
        <f>-'Target Price'!AC35/TargetConsumption!AC35/VLOOKUP($A35,DemElas!$A$21:$B$28,2,0)</f>
        <v>9.4269170161438076</v>
      </c>
      <c r="AD35" s="2">
        <f>-'Target Price'!AD35/TargetConsumption!AD35/VLOOKUP($A35,DemElas!$A$21:$B$28,2,0)</f>
        <v>11.169618279147961</v>
      </c>
      <c r="AE35" s="2">
        <f>-'Target Price'!AE35/TargetConsumption!AE35/VLOOKUP($A35,DemElas!$A$21:$B$28,2,0)</f>
        <v>9.3335812041027797</v>
      </c>
      <c r="AF35" s="2">
        <f>-'Target Price'!AF35/TargetConsumption!AF35/VLOOKUP($A35,DemElas!$A$21:$B$28,2,0)</f>
        <v>11.059027999156399</v>
      </c>
      <c r="AG35" s="2">
        <f>-'Target Price'!AG35/TargetConsumption!AG35/VLOOKUP($A35,DemElas!$A$21:$B$28,2,0)</f>
        <v>9.2411695090126535</v>
      </c>
      <c r="AH35" s="2">
        <f>-'Target Price'!AH35/TargetConsumption!AH35/VLOOKUP($A35,DemElas!$A$21:$B$28,2,0)</f>
        <v>10.949532672432078</v>
      </c>
    </row>
    <row r="36" spans="1:34">
      <c r="A36" t="str">
        <f t="shared" si="2"/>
        <v>Lentils</v>
      </c>
      <c r="B36" t="str">
        <f t="shared" si="3"/>
        <v>AddisAbaba</v>
      </c>
      <c r="C36" s="2">
        <f>-'Target Price'!C36/TargetConsumption!C36/VLOOKUP($A36,DemElas!$A$21:$B$28,2,0)</f>
        <v>59.096742978664437</v>
      </c>
      <c r="D36" s="2">
        <f>-'Target Price'!D36/TargetConsumption!D36/VLOOKUP($A36,DemElas!$A$21:$B$28,2,0)</f>
        <v>71.070766598908122</v>
      </c>
      <c r="E36" s="2">
        <f>-'Target Price'!E36/TargetConsumption!E36/VLOOKUP($A36,DemElas!$A$21:$B$28,2,0)</f>
        <v>58.511626711548942</v>
      </c>
      <c r="F36" s="2">
        <f>-'Target Price'!F36/TargetConsumption!F36/VLOOKUP($A36,DemElas!$A$21:$B$28,2,0)</f>
        <v>70.367095642483278</v>
      </c>
      <c r="G36" s="2">
        <f>-'Target Price'!G36/TargetConsumption!G36/VLOOKUP($A36,DemElas!$A$21:$B$28,2,0)</f>
        <v>57.932303674800927</v>
      </c>
      <c r="H36" s="2">
        <f>-'Target Price'!H36/TargetConsumption!H36/VLOOKUP($A36,DemElas!$A$21:$B$28,2,0)</f>
        <v>69.670391725230971</v>
      </c>
      <c r="I36" s="2">
        <f>-'Target Price'!I36/TargetConsumption!I36/VLOOKUP($A36,DemElas!$A$21:$B$28,2,0)</f>
        <v>57.358716509703882</v>
      </c>
      <c r="J36" s="2">
        <f>-'Target Price'!J36/TargetConsumption!J36/VLOOKUP($A36,DemElas!$A$21:$B$28,2,0)</f>
        <v>68.980585866565306</v>
      </c>
      <c r="K36" s="2">
        <f>-'Target Price'!K36/TargetConsumption!K36/VLOOKUP($A36,DemElas!$A$21:$B$28,2,0)</f>
        <v>56.790808425449384</v>
      </c>
      <c r="L36" s="2">
        <f>-'Target Price'!L36/TargetConsumption!L36/VLOOKUP($A36,DemElas!$A$21:$B$28,2,0)</f>
        <v>68.297609768876541</v>
      </c>
      <c r="M36" s="2">
        <f>-'Target Price'!M36/TargetConsumption!M36/VLOOKUP($A36,DemElas!$A$21:$B$28,2,0)</f>
        <v>56.228523193514242</v>
      </c>
      <c r="N36" s="2">
        <f>-'Target Price'!N36/TargetConsumption!N36/VLOOKUP($A36,DemElas!$A$21:$B$28,2,0)</f>
        <v>67.621395810768846</v>
      </c>
      <c r="O36" s="2">
        <f>-'Target Price'!O36/TargetConsumption!O36/VLOOKUP($A36,DemElas!$A$21:$B$28,2,0)</f>
        <v>55.671805142093305</v>
      </c>
      <c r="P36" s="2">
        <f>-'Target Price'!P36/TargetConsumption!P36/VLOOKUP($A36,DemElas!$A$21:$B$28,2,0)</f>
        <v>66.95187704036519</v>
      </c>
      <c r="Q36" s="2">
        <f>-'Target Price'!Q36/TargetConsumption!Q36/VLOOKUP($A36,DemElas!$A$21:$B$28,2,0)</f>
        <v>55.120599150587431</v>
      </c>
      <c r="R36" s="2">
        <f>-'Target Price'!R36/TargetConsumption!R36/VLOOKUP($A36,DemElas!$A$21:$B$28,2,0)</f>
        <v>66.288987168678403</v>
      </c>
      <c r="S36" s="2">
        <f>-'Target Price'!S36/TargetConsumption!S36/VLOOKUP($A36,DemElas!$A$21:$B$28,2,0)</f>
        <v>54.574850644145968</v>
      </c>
      <c r="T36" s="2">
        <f>-'Target Price'!T36/TargetConsumption!T36/VLOOKUP($A36,DemElas!$A$21:$B$28,2,0)</f>
        <v>65.632660563047921</v>
      </c>
      <c r="U36" s="2">
        <f>-'Target Price'!U36/TargetConsumption!U36/VLOOKUP($A36,DemElas!$A$21:$B$28,2,0)</f>
        <v>54.034505588263329</v>
      </c>
      <c r="V36" s="2">
        <f>-'Target Price'!V36/TargetConsumption!V36/VLOOKUP($A36,DemElas!$A$21:$B$28,2,0)</f>
        <v>64.9828322406415</v>
      </c>
      <c r="W36" s="2">
        <f>-'Target Price'!W36/TargetConsumption!W36/VLOOKUP($A36,DemElas!$A$21:$B$28,2,0)</f>
        <v>53.499510483429034</v>
      </c>
      <c r="X36" s="2">
        <f>-'Target Price'!X36/TargetConsumption!X36/VLOOKUP($A36,DemElas!$A$21:$B$28,2,0)</f>
        <v>64.339437862021285</v>
      </c>
      <c r="Y36" s="2">
        <f>-'Target Price'!Y36/TargetConsumption!Y36/VLOOKUP($A36,DemElas!$A$21:$B$28,2,0)</f>
        <v>52.969812359830726</v>
      </c>
      <c r="Z36" s="2">
        <f>-'Target Price'!Z36/TargetConsumption!Z36/VLOOKUP($A36,DemElas!$A$21:$B$28,2,0)</f>
        <v>63.70241372477355</v>
      </c>
      <c r="AA36" s="2">
        <f>-'Target Price'!AA36/TargetConsumption!AA36/VLOOKUP($A36,DemElas!$A$21:$B$28,2,0)</f>
        <v>52.445358772109643</v>
      </c>
      <c r="AB36" s="2">
        <f>-'Target Price'!AB36/TargetConsumption!AB36/VLOOKUP($A36,DemElas!$A$21:$B$28,2,0)</f>
        <v>63.071696757201543</v>
      </c>
      <c r="AC36" s="2">
        <f>-'Target Price'!AC36/TargetConsumption!AC36/VLOOKUP($A36,DemElas!$A$21:$B$28,2,0)</f>
        <v>51.926097794167958</v>
      </c>
      <c r="AD36" s="2">
        <f>-'Target Price'!AD36/TargetConsumption!AD36/VLOOKUP($A36,DemElas!$A$21:$B$28,2,0)</f>
        <v>62.447224512080737</v>
      </c>
      <c r="AE36" s="2">
        <f>-'Target Price'!AE36/TargetConsumption!AE36/VLOOKUP($A36,DemElas!$A$21:$B$28,2,0)</f>
        <v>51.411978014027682</v>
      </c>
      <c r="AF36" s="2">
        <f>-'Target Price'!AF36/TargetConsumption!AF36/VLOOKUP($A36,DemElas!$A$21:$B$28,2,0)</f>
        <v>61.828935160475979</v>
      </c>
      <c r="AG36" s="2">
        <f>-'Target Price'!AG36/TargetConsumption!AG36/VLOOKUP($A36,DemElas!$A$21:$B$28,2,0)</f>
        <v>50.902948528740275</v>
      </c>
      <c r="AH36" s="2">
        <f>-'Target Price'!AH36/TargetConsumption!AH36/VLOOKUP($A36,DemElas!$A$21:$B$28,2,0)</f>
        <v>61.216767485619769</v>
      </c>
    </row>
    <row r="37" spans="1:34">
      <c r="A37" t="str">
        <f t="shared" si="2"/>
        <v>Lentils</v>
      </c>
      <c r="B37" t="str">
        <f t="shared" si="3"/>
        <v>Afar</v>
      </c>
      <c r="C37" s="2">
        <f>-'Target Price'!C37/TargetConsumption!C37/VLOOKUP($A37,DemElas!$A$21:$B$28,2,0)</f>
        <v>122.22632828656602</v>
      </c>
      <c r="D37" s="2">
        <f>-'Target Price'!D37/TargetConsumption!D37/VLOOKUP($A37,DemElas!$A$21:$B$28,2,0)</f>
        <v>133.04549787743437</v>
      </c>
      <c r="E37" s="2">
        <f>-'Target Price'!E37/TargetConsumption!E37/VLOOKUP($A37,DemElas!$A$21:$B$28,2,0)</f>
        <v>121.01616662036238</v>
      </c>
      <c r="F37" s="2">
        <f>-'Target Price'!F37/TargetConsumption!F37/VLOOKUP($A37,DemElas!$A$21:$B$28,2,0)</f>
        <v>131.72821572023204</v>
      </c>
      <c r="G37" s="2">
        <f>-'Target Price'!G37/TargetConsumption!G37/VLOOKUP($A37,DemElas!$A$21:$B$28,2,0)</f>
        <v>119.81798675283405</v>
      </c>
      <c r="H37" s="2">
        <f>-'Target Price'!H37/TargetConsumption!H37/VLOOKUP($A37,DemElas!$A$21:$B$28,2,0)</f>
        <v>130.4239759606258</v>
      </c>
      <c r="I37" s="2">
        <f>-'Target Price'!I37/TargetConsumption!I37/VLOOKUP($A37,DemElas!$A$21:$B$28,2,0)</f>
        <v>118.63167005231094</v>
      </c>
      <c r="J37" s="2">
        <f>-'Target Price'!J37/TargetConsumption!J37/VLOOKUP($A37,DemElas!$A$21:$B$28,2,0)</f>
        <v>129.13264946596613</v>
      </c>
      <c r="K37" s="2">
        <f>-'Target Price'!K37/TargetConsumption!K37/VLOOKUP($A37,DemElas!$A$21:$B$28,2,0)</f>
        <v>117.457099061694</v>
      </c>
      <c r="L37" s="2">
        <f>-'Target Price'!L37/TargetConsumption!L37/VLOOKUP($A37,DemElas!$A$21:$B$28,2,0)</f>
        <v>127.85410838214467</v>
      </c>
      <c r="M37" s="2">
        <f>-'Target Price'!M37/TargetConsumption!M37/VLOOKUP($A37,DemElas!$A$21:$B$28,2,0)</f>
        <v>116.29415748682574</v>
      </c>
      <c r="N37" s="2">
        <f>-'Target Price'!N37/TargetConsumption!N37/VLOOKUP($A37,DemElas!$A$21:$B$28,2,0)</f>
        <v>126.58822612093532</v>
      </c>
      <c r="O37" s="2">
        <f>-'Target Price'!O37/TargetConsumption!O37/VLOOKUP($A37,DemElas!$A$21:$B$28,2,0)</f>
        <v>115.14273018497597</v>
      </c>
      <c r="P37" s="2">
        <f>-'Target Price'!P37/TargetConsumption!P37/VLOOKUP($A37,DemElas!$A$21:$B$28,2,0)</f>
        <v>125.33487734746072</v>
      </c>
      <c r="Q37" s="2">
        <f>-'Target Price'!Q37/TargetConsumption!Q37/VLOOKUP($A37,DemElas!$A$21:$B$28,2,0)</f>
        <v>114.00270315344156</v>
      </c>
      <c r="R37" s="2">
        <f>-'Target Price'!R37/TargetConsumption!R37/VLOOKUP($A37,DemElas!$A$21:$B$28,2,0)</f>
        <v>124.09393796778288</v>
      </c>
      <c r="S37" s="2">
        <f>-'Target Price'!S37/TargetConsumption!S37/VLOOKUP($A37,DemElas!$A$21:$B$28,2,0)</f>
        <v>112.87396351825896</v>
      </c>
      <c r="T37" s="2">
        <f>-'Target Price'!T37/TargetConsumption!T37/VLOOKUP($A37,DemElas!$A$21:$B$28,2,0)</f>
        <v>122.86528511661672</v>
      </c>
      <c r="U37" s="2">
        <f>-'Target Price'!U37/TargetConsumption!U37/VLOOKUP($A37,DemElas!$A$21:$B$28,2,0)</f>
        <v>111.75639952302868</v>
      </c>
      <c r="V37" s="2">
        <f>-'Target Price'!V37/TargetConsumption!V37/VLOOKUP($A37,DemElas!$A$21:$B$28,2,0)</f>
        <v>121.64879714516506</v>
      </c>
      <c r="W37" s="2">
        <f>-'Target Price'!W37/TargetConsumption!W37/VLOOKUP($A37,DemElas!$A$21:$B$28,2,0)</f>
        <v>110.64990051785017</v>
      </c>
      <c r="X37" s="2">
        <f>-'Target Price'!X37/TargetConsumption!X37/VLOOKUP($A37,DemElas!$A$21:$B$28,2,0)</f>
        <v>120.44435360907431</v>
      </c>
      <c r="Y37" s="2">
        <f>-'Target Price'!Y37/TargetConsumption!Y37/VLOOKUP($A37,DemElas!$A$21:$B$28,2,0)</f>
        <v>109.55435694836652</v>
      </c>
      <c r="Z37" s="2">
        <f>-'Target Price'!Z37/TargetConsumption!Z37/VLOOKUP($A37,DemElas!$A$21:$B$28,2,0)</f>
        <v>119.25183525650922</v>
      </c>
      <c r="AA37" s="2">
        <f>-'Target Price'!AA37/TargetConsumption!AA37/VLOOKUP($A37,DemElas!$A$21:$B$28,2,0)</f>
        <v>108.46966034491733</v>
      </c>
      <c r="AB37" s="2">
        <f>-'Target Price'!AB37/TargetConsumption!AB37/VLOOKUP($A37,DemElas!$A$21:$B$28,2,0)</f>
        <v>118.07112401634576</v>
      </c>
      <c r="AC37" s="2">
        <f>-'Target Price'!AC37/TargetConsumption!AC37/VLOOKUP($A37,DemElas!$A$21:$B$28,2,0)</f>
        <v>107.39570331179935</v>
      </c>
      <c r="AD37" s="2">
        <f>-'Target Price'!AD37/TargetConsumption!AD37/VLOOKUP($A37,DemElas!$A$21:$B$28,2,0)</f>
        <v>116.90210298648095</v>
      </c>
      <c r="AE37" s="2">
        <f>-'Target Price'!AE37/TargetConsumption!AE37/VLOOKUP($A37,DemElas!$A$21:$B$28,2,0)</f>
        <v>106.33237951663303</v>
      </c>
      <c r="AF37" s="2">
        <f>-'Target Price'!AF37/TargetConsumption!AF37/VLOOKUP($A37,DemElas!$A$21:$B$28,2,0)</f>
        <v>115.74465642225837</v>
      </c>
      <c r="AG37" s="2">
        <f>-'Target Price'!AG37/TargetConsumption!AG37/VLOOKUP($A37,DemElas!$A$21:$B$28,2,0)</f>
        <v>105.27958367983466</v>
      </c>
      <c r="AH37" s="2">
        <f>-'Target Price'!AH37/TargetConsumption!AH37/VLOOKUP($A37,DemElas!$A$21:$B$28,2,0)</f>
        <v>114.59866972500828</v>
      </c>
    </row>
    <row r="38" spans="1:34">
      <c r="A38" t="str">
        <f t="shared" si="2"/>
        <v>Lentils</v>
      </c>
      <c r="B38" t="str">
        <f t="shared" si="3"/>
        <v>Amhara</v>
      </c>
      <c r="C38" s="2">
        <f>-'Target Price'!C38/TargetConsumption!C38/VLOOKUP($A38,DemElas!$A$21:$B$28,2,0)</f>
        <v>9.3714815518904242</v>
      </c>
      <c r="D38" s="2">
        <f>-'Target Price'!D38/TargetConsumption!D38/VLOOKUP($A38,DemElas!$A$21:$B$28,2,0)</f>
        <v>11.557062681448302</v>
      </c>
      <c r="E38" s="2">
        <f>-'Target Price'!E38/TargetConsumption!E38/VLOOKUP($A38,DemElas!$A$21:$B$28,2,0)</f>
        <v>9.2786946058321025</v>
      </c>
      <c r="F38" s="2">
        <f>-'Target Price'!F38/TargetConsumption!F38/VLOOKUP($A38,DemElas!$A$21:$B$28,2,0)</f>
        <v>11.442636318265647</v>
      </c>
      <c r="G38" s="2">
        <f>-'Target Price'!G38/TargetConsumption!G38/VLOOKUP($A38,DemElas!$A$21:$B$28,2,0)</f>
        <v>9.1868263424080236</v>
      </c>
      <c r="H38" s="2">
        <f>-'Target Price'!H38/TargetConsumption!H38/VLOOKUP($A38,DemElas!$A$21:$B$28,2,0)</f>
        <v>11.329342889371928</v>
      </c>
      <c r="I38" s="2">
        <f>-'Target Price'!I38/TargetConsumption!I38/VLOOKUP($A38,DemElas!$A$21:$B$28,2,0)</f>
        <v>9.0958676657505162</v>
      </c>
      <c r="J38" s="2">
        <f>-'Target Price'!J38/TargetConsumption!J38/VLOOKUP($A38,DemElas!$A$21:$B$28,2,0)</f>
        <v>11.217171177595967</v>
      </c>
      <c r="K38" s="2">
        <f>-'Target Price'!K38/TargetConsumption!K38/VLOOKUP($A38,DemElas!$A$21:$B$28,2,0)</f>
        <v>9.0058095700500154</v>
      </c>
      <c r="L38" s="2">
        <f>-'Target Price'!L38/TargetConsumption!L38/VLOOKUP($A38,DemElas!$A$21:$B$28,2,0)</f>
        <v>11.10611007682769</v>
      </c>
      <c r="M38" s="2">
        <f>-'Target Price'!M38/TargetConsumption!M38/VLOOKUP($A38,DemElas!$A$21:$B$28,2,0)</f>
        <v>8.9166431386633818</v>
      </c>
      <c r="N38" s="2">
        <f>-'Target Price'!N38/TargetConsumption!N38/VLOOKUP($A38,DemElas!$A$21:$B$28,2,0)</f>
        <v>10.996148590918505</v>
      </c>
      <c r="O38" s="2">
        <f>-'Target Price'!O38/TargetConsumption!O38/VLOOKUP($A38,DemElas!$A$21:$B$28,2,0)</f>
        <v>8.8283595432310715</v>
      </c>
      <c r="P38" s="2">
        <f>-'Target Price'!P38/TargetConsumption!P38/VLOOKUP($A38,DemElas!$A$21:$B$28,2,0)</f>
        <v>10.887275832592579</v>
      </c>
      <c r="Q38" s="2">
        <f>-'Target Price'!Q38/TargetConsumption!Q38/VLOOKUP($A38,DemElas!$A$21:$B$28,2,0)</f>
        <v>8.7409500428030409</v>
      </c>
      <c r="R38" s="2">
        <f>-'Target Price'!R38/TargetConsumption!R38/VLOOKUP($A38,DemElas!$A$21:$B$28,2,0)</f>
        <v>10.779481022368889</v>
      </c>
      <c r="S38" s="2">
        <f>-'Target Price'!S38/TargetConsumption!S38/VLOOKUP($A38,DemElas!$A$21:$B$28,2,0)</f>
        <v>8.6544059829733087</v>
      </c>
      <c r="T38" s="2">
        <f>-'Target Price'!T38/TargetConsumption!T38/VLOOKUP($A38,DemElas!$A$21:$B$28,2,0)</f>
        <v>10.672753487493949</v>
      </c>
      <c r="U38" s="2">
        <f>-'Target Price'!U38/TargetConsumption!U38/VLOOKUP($A38,DemElas!$A$21:$B$28,2,0)</f>
        <v>8.5687187950230772</v>
      </c>
      <c r="V38" s="2">
        <f>-'Target Price'!V38/TargetConsumption!V38/VLOOKUP($A38,DemElas!$A$21:$B$28,2,0)</f>
        <v>10.567082660885099</v>
      </c>
      <c r="W38" s="2">
        <f>-'Target Price'!W38/TargetConsumption!W38/VLOOKUP($A38,DemElas!$A$21:$B$28,2,0)</f>
        <v>8.4838799950723534</v>
      </c>
      <c r="X38" s="2">
        <f>-'Target Price'!X38/TargetConsumption!X38/VLOOKUP($A38,DemElas!$A$21:$B$28,2,0)</f>
        <v>10.462458080084255</v>
      </c>
      <c r="Y38" s="2">
        <f>-'Target Price'!Y38/TargetConsumption!Y38/VLOOKUP($A38,DemElas!$A$21:$B$28,2,0)</f>
        <v>8.3998811832399536</v>
      </c>
      <c r="Z38" s="2">
        <f>-'Target Price'!Z38/TargetConsumption!Z38/VLOOKUP($A38,DemElas!$A$21:$B$28,2,0)</f>
        <v>10.358869386222036</v>
      </c>
      <c r="AA38" s="2">
        <f>-'Target Price'!AA38/TargetConsumption!AA38/VLOOKUP($A38,DemElas!$A$21:$B$28,2,0)</f>
        <v>8.3167140428118351</v>
      </c>
      <c r="AB38" s="2">
        <f>-'Target Price'!AB38/TargetConsumption!AB38/VLOOKUP($A38,DemElas!$A$21:$B$28,2,0)</f>
        <v>10.256306322992115</v>
      </c>
      <c r="AC38" s="2">
        <f>-'Target Price'!AC38/TargetConsumption!AC38/VLOOKUP($A38,DemElas!$A$21:$B$28,2,0)</f>
        <v>8.2343703394176586</v>
      </c>
      <c r="AD38" s="2">
        <f>-'Target Price'!AD38/TargetConsumption!AD38/VLOOKUP($A38,DemElas!$A$21:$B$28,2,0)</f>
        <v>10.154758735635758</v>
      </c>
      <c r="AE38" s="2">
        <f>-'Target Price'!AE38/TargetConsumption!AE38/VLOOKUP($A38,DemElas!$A$21:$B$28,2,0)</f>
        <v>8.1528419202155042</v>
      </c>
      <c r="AF38" s="2">
        <f>-'Target Price'!AF38/TargetConsumption!AF38/VLOOKUP($A38,DemElas!$A$21:$B$28,2,0)</f>
        <v>10.054216569936395</v>
      </c>
      <c r="AG38" s="2">
        <f>-'Target Price'!AG38/TargetConsumption!AG38/VLOOKUP($A38,DemElas!$A$21:$B$28,2,0)</f>
        <v>8.072120713084658</v>
      </c>
      <c r="AH38" s="2">
        <f>-'Target Price'!AH38/TargetConsumption!AH38/VLOOKUP($A38,DemElas!$A$21:$B$28,2,0)</f>
        <v>9.9546698712241533</v>
      </c>
    </row>
    <row r="39" spans="1:34">
      <c r="A39" t="str">
        <f t="shared" si="2"/>
        <v>Lentils</v>
      </c>
      <c r="B39" t="str">
        <f t="shared" si="3"/>
        <v>Gumuz</v>
      </c>
      <c r="C39" s="2">
        <f>-'Target Price'!C39/TargetConsumption!C39/VLOOKUP($A39,DemElas!$A$21:$B$28,2,0)</f>
        <v>220.56040074064711</v>
      </c>
      <c r="D39" s="2">
        <f>-'Target Price'!D39/TargetConsumption!D39/VLOOKUP($A39,DemElas!$A$21:$B$28,2,0)</f>
        <v>228.89444833019596</v>
      </c>
      <c r="E39" s="2">
        <f>-'Target Price'!E39/TargetConsumption!E39/VLOOKUP($A39,DemElas!$A$21:$B$28,2,0)</f>
        <v>218.37663439668032</v>
      </c>
      <c r="F39" s="2">
        <f>-'Target Price'!F39/TargetConsumption!F39/VLOOKUP($A39,DemElas!$A$21:$B$28,2,0)</f>
        <v>226.62816666356036</v>
      </c>
      <c r="G39" s="2">
        <f>-'Target Price'!G39/TargetConsumption!G39/VLOOKUP($A39,DemElas!$A$21:$B$28,2,0)</f>
        <v>216.21448950166368</v>
      </c>
      <c r="H39" s="2">
        <f>-'Target Price'!H39/TargetConsumption!H39/VLOOKUP($A39,DemElas!$A$21:$B$28,2,0)</f>
        <v>224.38432342926771</v>
      </c>
      <c r="I39" s="2">
        <f>-'Target Price'!I39/TargetConsumption!I39/VLOOKUP($A39,DemElas!$A$21:$B$28,2,0)</f>
        <v>214.07375198184522</v>
      </c>
      <c r="J39" s="2">
        <f>-'Target Price'!J39/TargetConsumption!J39/VLOOKUP($A39,DemElas!$A$21:$B$28,2,0)</f>
        <v>222.16269646462146</v>
      </c>
      <c r="K39" s="2">
        <f>-'Target Price'!K39/TargetConsumption!K39/VLOOKUP($A39,DemElas!$A$21:$B$28,2,0)</f>
        <v>211.95420988301504</v>
      </c>
      <c r="L39" s="2">
        <f>-'Target Price'!L39/TargetConsumption!L39/VLOOKUP($A39,DemElas!$A$21:$B$28,2,0)</f>
        <v>219.9630658065559</v>
      </c>
      <c r="M39" s="2">
        <f>-'Target Price'!M39/TargetConsumption!M39/VLOOKUP($A39,DemElas!$A$21:$B$28,2,0)</f>
        <v>209.85565334951986</v>
      </c>
      <c r="N39" s="2">
        <f>-'Target Price'!N39/TargetConsumption!N39/VLOOKUP($A39,DemElas!$A$21:$B$28,2,0)</f>
        <v>217.78521366985731</v>
      </c>
      <c r="O39" s="2">
        <f>-'Target Price'!O39/TargetConsumption!O39/VLOOKUP($A39,DemElas!$A$21:$B$28,2,0)</f>
        <v>207.777874603485</v>
      </c>
      <c r="P39" s="2">
        <f>-'Target Price'!P39/TargetConsumption!P39/VLOOKUP($A39,DemElas!$A$21:$B$28,2,0)</f>
        <v>215.6289244256013</v>
      </c>
      <c r="Q39" s="2">
        <f>-'Target Price'!Q39/TargetConsumption!Q39/VLOOKUP($A39,DemElas!$A$21:$B$28,2,0)</f>
        <v>205.72066792424255</v>
      </c>
      <c r="R39" s="2">
        <f>-'Target Price'!R39/TargetConsumption!R39/VLOOKUP($A39,DemElas!$A$21:$B$28,2,0)</f>
        <v>213.49398457980325</v>
      </c>
      <c r="S39" s="2">
        <f>-'Target Price'!S39/TargetConsumption!S39/VLOOKUP($A39,DemElas!$A$21:$B$28,2,0)</f>
        <v>203.68382962796295</v>
      </c>
      <c r="T39" s="2">
        <f>-'Target Price'!T39/TargetConsumption!T39/VLOOKUP($A39,DemElas!$A$21:$B$28,2,0)</f>
        <v>211.38018275228046</v>
      </c>
      <c r="U39" s="2">
        <f>-'Target Price'!U39/TargetConsumption!U39/VLOOKUP($A39,DemElas!$A$21:$B$28,2,0)</f>
        <v>201.66715804748807</v>
      </c>
      <c r="V39" s="2">
        <f>-'Target Price'!V39/TargetConsumption!V39/VLOOKUP($A39,DemElas!$A$21:$B$28,2,0)</f>
        <v>209.28730965572325</v>
      </c>
      <c r="W39" s="2">
        <f>-'Target Price'!W39/TargetConsumption!W39/VLOOKUP($A39,DemElas!$A$21:$B$28,2,0)</f>
        <v>199.67045351236442</v>
      </c>
      <c r="X39" s="2">
        <f>-'Target Price'!X39/TargetConsumption!X39/VLOOKUP($A39,DemElas!$A$21:$B$28,2,0)</f>
        <v>207.21515807497349</v>
      </c>
      <c r="Y39" s="2">
        <f>-'Target Price'!Y39/TargetConsumption!Y39/VLOOKUP($A39,DemElas!$A$21:$B$28,2,0)</f>
        <v>197.6935183290737</v>
      </c>
      <c r="Z39" s="2">
        <f>-'Target Price'!Z39/TargetConsumption!Z39/VLOOKUP($A39,DemElas!$A$21:$B$28,2,0)</f>
        <v>205.16352284650839</v>
      </c>
      <c r="AA39" s="2">
        <f>-'Target Price'!AA39/TargetConsumption!AA39/VLOOKUP($A39,DemElas!$A$21:$B$28,2,0)</f>
        <v>195.73615676145906</v>
      </c>
      <c r="AB39" s="2">
        <f>-'Target Price'!AB39/TargetConsumption!AB39/VLOOKUP($A39,DemElas!$A$21:$B$28,2,0)</f>
        <v>203.13220083812712</v>
      </c>
      <c r="AC39" s="2">
        <f>-'Target Price'!AC39/TargetConsumption!AC39/VLOOKUP($A39,DemElas!$A$21:$B$28,2,0)</f>
        <v>193.79817501134562</v>
      </c>
      <c r="AD39" s="2">
        <f>-'Target Price'!AD39/TargetConsumption!AD39/VLOOKUP($A39,DemElas!$A$21:$B$28,2,0)</f>
        <v>201.12099092883875</v>
      </c>
      <c r="AE39" s="2">
        <f>-'Target Price'!AE39/TargetConsumption!AE39/VLOOKUP($A39,DemElas!$A$21:$B$28,2,0)</f>
        <v>191.87938119935208</v>
      </c>
      <c r="AF39" s="2">
        <f>-'Target Price'!AF39/TargetConsumption!AF39/VLOOKUP($A39,DemElas!$A$21:$B$28,2,0)</f>
        <v>199.12969398894921</v>
      </c>
      <c r="AG39" s="2">
        <f>-'Target Price'!AG39/TargetConsumption!AG39/VLOOKUP($A39,DemElas!$A$21:$B$28,2,0)</f>
        <v>189.97958534589316</v>
      </c>
      <c r="AH39" s="2">
        <f>-'Target Price'!AH39/TargetConsumption!AH39/VLOOKUP($A39,DemElas!$A$21:$B$28,2,0)</f>
        <v>197.15811286034577</v>
      </c>
    </row>
    <row r="40" spans="1:34">
      <c r="A40" t="str">
        <f t="shared" si="2"/>
        <v>Lentils</v>
      </c>
      <c r="B40" t="str">
        <f t="shared" si="3"/>
        <v>DireDawa</v>
      </c>
      <c r="C40" s="2">
        <f>-'Target Price'!C40/TargetConsumption!C40/VLOOKUP($A40,DemElas!$A$21:$B$28,2,0)</f>
        <v>517.15162271304791</v>
      </c>
      <c r="D40" s="2">
        <f>-'Target Price'!D40/TargetConsumption!D40/VLOOKUP($A40,DemElas!$A$21:$B$28,2,0)</f>
        <v>535.4388788869054</v>
      </c>
      <c r="E40" s="2">
        <f>-'Target Price'!E40/TargetConsumption!E40/VLOOKUP($A40,DemElas!$A$21:$B$28,2,0)</f>
        <v>512.03130961687907</v>
      </c>
      <c r="F40" s="2">
        <f>-'Target Price'!F40/TargetConsumption!F40/VLOOKUP($A40,DemElas!$A$21:$B$28,2,0)</f>
        <v>530.13750384842115</v>
      </c>
      <c r="G40" s="2">
        <f>-'Target Price'!G40/TargetConsumption!G40/VLOOKUP($A40,DemElas!$A$21:$B$28,2,0)</f>
        <v>506.9616926899792</v>
      </c>
      <c r="H40" s="2">
        <f>-'Target Price'!H40/TargetConsumption!H40/VLOOKUP($A40,DemElas!$A$21:$B$28,2,0)</f>
        <v>524.88861767170408</v>
      </c>
      <c r="I40" s="2">
        <f>-'Target Price'!I40/TargetConsumption!I40/VLOOKUP($A40,DemElas!$A$21:$B$28,2,0)</f>
        <v>501.94226999007844</v>
      </c>
      <c r="J40" s="2">
        <f>-'Target Price'!J40/TargetConsumption!J40/VLOOKUP($A40,DemElas!$A$21:$B$28,2,0)</f>
        <v>519.69170066505365</v>
      </c>
      <c r="K40" s="2">
        <f>-'Target Price'!K40/TargetConsumption!K40/VLOOKUP($A40,DemElas!$A$21:$B$28,2,0)</f>
        <v>496.97254454463206</v>
      </c>
      <c r="L40" s="2">
        <f>-'Target Price'!L40/TargetConsumption!L40/VLOOKUP($A40,DemElas!$A$21:$B$28,2,0)</f>
        <v>514.54623828223123</v>
      </c>
      <c r="M40" s="2">
        <f>-'Target Price'!M40/TargetConsumption!M40/VLOOKUP($A40,DemElas!$A$21:$B$28,2,0)</f>
        <v>492.05202430161597</v>
      </c>
      <c r="N40" s="2">
        <f>-'Target Price'!N40/TargetConsumption!N40/VLOOKUP($A40,DemElas!$A$21:$B$28,2,0)</f>
        <v>509.45172107151615</v>
      </c>
      <c r="O40" s="2">
        <f>-'Target Price'!O40/TargetConsumption!O40/VLOOKUP($A40,DemElas!$A$21:$B$28,2,0)</f>
        <v>487.18022208080788</v>
      </c>
      <c r="P40" s="2">
        <f>-'Target Price'!P40/TargetConsumption!P40/VLOOKUP($A40,DemElas!$A$21:$B$28,2,0)</f>
        <v>504.40764462526346</v>
      </c>
      <c r="Q40" s="2">
        <f>-'Target Price'!Q40/TargetConsumption!Q40/VLOOKUP($A40,DemElas!$A$21:$B$28,2,0)</f>
        <v>482.35665552555241</v>
      </c>
      <c r="R40" s="2">
        <f>-'Target Price'!R40/TargetConsumption!R40/VLOOKUP($A40,DemElas!$A$21:$B$28,2,0)</f>
        <v>499.4135095299639</v>
      </c>
      <c r="S40" s="2">
        <f>-'Target Price'!S40/TargetConsumption!S40/VLOOKUP($A40,DemElas!$A$21:$B$28,2,0)</f>
        <v>477.58084705500232</v>
      </c>
      <c r="T40" s="2">
        <f>-'Target Price'!T40/TargetConsumption!T40/VLOOKUP($A40,DemElas!$A$21:$B$28,2,0)</f>
        <v>494.46882131679581</v>
      </c>
      <c r="U40" s="2">
        <f>-'Target Price'!U40/TargetConsumption!U40/VLOOKUP($A40,DemElas!$A$21:$B$28,2,0)</f>
        <v>472.85232381683403</v>
      </c>
      <c r="V40" s="2">
        <f>-'Target Price'!V40/TargetConsumption!V40/VLOOKUP($A40,DemElas!$A$21:$B$28,2,0)</f>
        <v>489.57309041266922</v>
      </c>
      <c r="W40" s="2">
        <f>-'Target Price'!W40/TargetConsumption!W40/VLOOKUP($A40,DemElas!$A$21:$B$28,2,0)</f>
        <v>468.17061764042967</v>
      </c>
      <c r="X40" s="2">
        <f>-'Target Price'!X40/TargetConsumption!X40/VLOOKUP($A40,DemElas!$A$21:$B$28,2,0)</f>
        <v>484.72583209175161</v>
      </c>
      <c r="Y40" s="2">
        <f>-'Target Price'!Y40/TargetConsumption!Y40/VLOOKUP($A40,DemElas!$A$21:$B$28,2,0)</f>
        <v>463.53526499052435</v>
      </c>
      <c r="Z40" s="2">
        <f>-'Target Price'!Z40/TargetConsumption!Z40/VLOOKUP($A40,DemElas!$A$21:$B$28,2,0)</f>
        <v>479.92656642747681</v>
      </c>
      <c r="AA40" s="2">
        <f>-'Target Price'!AA40/TargetConsumption!AA40/VLOOKUP($A40,DemElas!$A$21:$B$28,2,0)</f>
        <v>458.94580692131132</v>
      </c>
      <c r="AB40" s="2">
        <f>-'Target Price'!AB40/TargetConsumption!AB40/VLOOKUP($A40,DemElas!$A$21:$B$28,2,0)</f>
        <v>475.17481824502659</v>
      </c>
      <c r="AC40" s="2">
        <f>-'Target Price'!AC40/TargetConsumption!AC40/VLOOKUP($A40,DemElas!$A$21:$B$28,2,0)</f>
        <v>454.40178903100127</v>
      </c>
      <c r="AD40" s="2">
        <f>-'Target Price'!AD40/TargetConsumption!AD40/VLOOKUP($A40,DemElas!$A$21:$B$28,2,0)</f>
        <v>470.47011707428373</v>
      </c>
      <c r="AE40" s="2">
        <f>-'Target Price'!AE40/TargetConsumption!AE40/VLOOKUP($A40,DemElas!$A$21:$B$28,2,0)</f>
        <v>449.90276141683296</v>
      </c>
      <c r="AF40" s="2">
        <f>-'Target Price'!AF40/TargetConsumption!AF40/VLOOKUP($A40,DemElas!$A$21:$B$28,2,0)</f>
        <v>465.8119971032512</v>
      </c>
      <c r="AG40" s="2">
        <f>-'Target Price'!AG40/TargetConsumption!AG40/VLOOKUP($A40,DemElas!$A$21:$B$28,2,0)</f>
        <v>445.44827863052768</v>
      </c>
      <c r="AH40" s="2">
        <f>-'Target Price'!AH40/TargetConsumption!AH40/VLOOKUP($A40,DemElas!$A$21:$B$28,2,0)</f>
        <v>461.19999713193187</v>
      </c>
    </row>
    <row r="41" spans="1:34">
      <c r="A41" t="str">
        <f t="shared" si="2"/>
        <v>Lentils</v>
      </c>
      <c r="B41" t="str">
        <f t="shared" si="3"/>
        <v>Gambela</v>
      </c>
      <c r="C41" s="2">
        <f>-'Target Price'!C41/TargetConsumption!C41/VLOOKUP($A41,DemElas!$A$21:$B$28,2,0)</f>
        <v>519.98832656094896</v>
      </c>
      <c r="D41" s="2">
        <f>-'Target Price'!D41/TargetConsumption!D41/VLOOKUP($A41,DemElas!$A$21:$B$28,2,0)</f>
        <v>535.66844873119817</v>
      </c>
      <c r="E41" s="2">
        <f>-'Target Price'!E41/TargetConsumption!E41/VLOOKUP($A41,DemElas!$A$21:$B$28,2,0)</f>
        <v>514.83992728806834</v>
      </c>
      <c r="F41" s="2">
        <f>-'Target Price'!F41/TargetConsumption!F41/VLOOKUP($A41,DemElas!$A$21:$B$28,2,0)</f>
        <v>530.36480072395864</v>
      </c>
      <c r="G41" s="2">
        <f>-'Target Price'!G41/TargetConsumption!G41/VLOOKUP($A41,DemElas!$A$21:$B$28,2,0)</f>
        <v>509.74250226541415</v>
      </c>
      <c r="H41" s="2">
        <f>-'Target Price'!H41/TargetConsumption!H41/VLOOKUP($A41,DemElas!$A$21:$B$28,2,0)</f>
        <v>525.11366408312733</v>
      </c>
      <c r="I41" s="2">
        <f>-'Target Price'!I41/TargetConsumption!I41/VLOOKUP($A41,DemElas!$A$21:$B$28,2,0)</f>
        <v>504.69554679743976</v>
      </c>
      <c r="J41" s="2">
        <f>-'Target Price'!J41/TargetConsumption!J41/VLOOKUP($A41,DemElas!$A$21:$B$28,2,0)</f>
        <v>519.91451889418556</v>
      </c>
      <c r="K41" s="2">
        <f>-'Target Price'!K41/TargetConsumption!K41/VLOOKUP($A41,DemElas!$A$21:$B$28,2,0)</f>
        <v>499.69856118558391</v>
      </c>
      <c r="L41" s="2">
        <f>-'Target Price'!L41/TargetConsumption!L41/VLOOKUP($A41,DemElas!$A$21:$B$28,2,0)</f>
        <v>514.76685039028268</v>
      </c>
      <c r="M41" s="2">
        <f>-'Target Price'!M41/TargetConsumption!M41/VLOOKUP($A41,DemElas!$A$21:$B$28,2,0)</f>
        <v>494.75105067879599</v>
      </c>
      <c r="N41" s="2">
        <f>-'Target Price'!N41/TargetConsumption!N41/VLOOKUP($A41,DemElas!$A$21:$B$28,2,0)</f>
        <v>509.67014890126995</v>
      </c>
      <c r="O41" s="2">
        <f>-'Target Price'!O41/TargetConsumption!O41/VLOOKUP($A41,DemElas!$A$21:$B$28,2,0)</f>
        <v>489.85252542455044</v>
      </c>
      <c r="P41" s="2">
        <f>-'Target Price'!P41/TargetConsumption!P41/VLOOKUP($A41,DemElas!$A$21:$B$28,2,0)</f>
        <v>504.62390980323755</v>
      </c>
      <c r="Q41" s="2">
        <f>-'Target Price'!Q41/TargetConsumption!Q41/VLOOKUP($A41,DemElas!$A$21:$B$28,2,0)</f>
        <v>485.00250042034691</v>
      </c>
      <c r="R41" s="2">
        <f>-'Target Price'!R41/TargetConsumption!R41/VLOOKUP($A41,DemElas!$A$21:$B$28,2,0)</f>
        <v>499.62763346855201</v>
      </c>
      <c r="S41" s="2">
        <f>-'Target Price'!S41/TargetConsumption!S41/VLOOKUP($A41,DemElas!$A$21:$B$28,2,0)</f>
        <v>480.20049546568998</v>
      </c>
      <c r="T41" s="2">
        <f>-'Target Price'!T41/TargetConsumption!T41/VLOOKUP($A41,DemElas!$A$21:$B$28,2,0)</f>
        <v>494.68082521638809</v>
      </c>
      <c r="U41" s="2">
        <f>-'Target Price'!U41/TargetConsumption!U41/VLOOKUP($A41,DemElas!$A$21:$B$28,2,0)</f>
        <v>475.44603511454449</v>
      </c>
      <c r="V41" s="2">
        <f>-'Target Price'!V41/TargetConsumption!V41/VLOOKUP($A41,DemElas!$A$21:$B$28,2,0)</f>
        <v>489.78299526375059</v>
      </c>
      <c r="W41" s="2">
        <f>-'Target Price'!W41/TargetConsumption!W41/VLOOKUP($A41,DemElas!$A$21:$B$28,2,0)</f>
        <v>470.73864862826179</v>
      </c>
      <c r="X41" s="2">
        <f>-'Target Price'!X41/TargetConsumption!X41/VLOOKUP($A41,DemElas!$A$21:$B$28,2,0)</f>
        <v>484.93365867698071</v>
      </c>
      <c r="Y41" s="2">
        <f>-'Target Price'!Y41/TargetConsumption!Y41/VLOOKUP($A41,DemElas!$A$21:$B$28,2,0)</f>
        <v>466.07786992897212</v>
      </c>
      <c r="Z41" s="2">
        <f>-'Target Price'!Z41/TargetConsumption!Z41/VLOOKUP($A41,DemElas!$A$21:$B$28,2,0)</f>
        <v>480.13233532374329</v>
      </c>
      <c r="AA41" s="2">
        <f>-'Target Price'!AA41/TargetConsumption!AA41/VLOOKUP($A41,DemElas!$A$21:$B$28,2,0)</f>
        <v>461.46323755343775</v>
      </c>
      <c r="AB41" s="2">
        <f>-'Target Price'!AB41/TargetConsumption!AB41/VLOOKUP($A41,DemElas!$A$21:$B$28,2,0)</f>
        <v>475.37854982548845</v>
      </c>
      <c r="AC41" s="2">
        <f>-'Target Price'!AC41/TargetConsumption!AC41/VLOOKUP($A41,DemElas!$A$21:$B$28,2,0)</f>
        <v>456.89429460736415</v>
      </c>
      <c r="AD41" s="2">
        <f>-'Target Price'!AD41/TargetConsumption!AD41/VLOOKUP($A41,DemElas!$A$21:$B$28,2,0)</f>
        <v>470.67183151038455</v>
      </c>
      <c r="AE41" s="2">
        <f>-'Target Price'!AE41/TargetConsumption!AE41/VLOOKUP($A41,DemElas!$A$21:$B$28,2,0)</f>
        <v>452.37058872016252</v>
      </c>
      <c r="AF41" s="2">
        <f>-'Target Price'!AF41/TargetConsumption!AF41/VLOOKUP($A41,DemElas!$A$21:$B$28,2,0)</f>
        <v>466.01171436671746</v>
      </c>
      <c r="AG41" s="2">
        <f>-'Target Price'!AG41/TargetConsumption!AG41/VLOOKUP($A41,DemElas!$A$21:$B$28,2,0)</f>
        <v>447.8916720001609</v>
      </c>
      <c r="AH41" s="2">
        <f>-'Target Price'!AH41/TargetConsumption!AH41/VLOOKUP($A41,DemElas!$A$21:$B$28,2,0)</f>
        <v>461.39773699674993</v>
      </c>
    </row>
    <row r="42" spans="1:34">
      <c r="A42" t="str">
        <f t="shared" si="2"/>
        <v>Lentils</v>
      </c>
      <c r="B42" t="str">
        <f t="shared" si="3"/>
        <v>Harari</v>
      </c>
      <c r="C42" s="2">
        <f>-'Target Price'!C42/TargetConsumption!C42/VLOOKUP($A42,DemElas!$A$21:$B$28,2,0)</f>
        <v>943.14295036070814</v>
      </c>
      <c r="D42" s="2">
        <f>-'Target Price'!D42/TargetConsumption!D42/VLOOKUP($A42,DemElas!$A$21:$B$28,2,0)</f>
        <v>1051.5226028548325</v>
      </c>
      <c r="E42" s="2">
        <f>-'Target Price'!E42/TargetConsumption!E42/VLOOKUP($A42,DemElas!$A$21:$B$28,2,0)</f>
        <v>933.80490134723584</v>
      </c>
      <c r="F42" s="2">
        <f>-'Target Price'!F42/TargetConsumption!F42/VLOOKUP($A42,DemElas!$A$21:$B$28,2,0)</f>
        <v>1041.1114879750817</v>
      </c>
      <c r="G42" s="2">
        <f>-'Target Price'!G42/TargetConsumption!G42/VLOOKUP($A42,DemElas!$A$21:$B$28,2,0)</f>
        <v>924.55930826458996</v>
      </c>
      <c r="H42" s="2">
        <f>-'Target Price'!H42/TargetConsumption!H42/VLOOKUP($A42,DemElas!$A$21:$B$28,2,0)</f>
        <v>1030.803453440675</v>
      </c>
      <c r="I42" s="2">
        <f>-'Target Price'!I42/TargetConsumption!I42/VLOOKUP($A42,DemElas!$A$21:$B$28,2,0)</f>
        <v>915.40525570751481</v>
      </c>
      <c r="J42" s="2">
        <f>-'Target Price'!J42/TargetConsumption!J42/VLOOKUP($A42,DemElas!$A$21:$B$28,2,0)</f>
        <v>1020.5974786541335</v>
      </c>
      <c r="K42" s="2">
        <f>-'Target Price'!K42/TargetConsumption!K42/VLOOKUP($A42,DemElas!$A$21:$B$28,2,0)</f>
        <v>906.34183733417308</v>
      </c>
      <c r="L42" s="2">
        <f>-'Target Price'!L42/TargetConsumption!L42/VLOOKUP($A42,DemElas!$A$21:$B$28,2,0)</f>
        <v>1010.4925531229044</v>
      </c>
      <c r="M42" s="2">
        <f>-'Target Price'!M42/TargetConsumption!M42/VLOOKUP($A42,DemElas!$A$21:$B$28,2,0)</f>
        <v>897.36815577640891</v>
      </c>
      <c r="N42" s="2">
        <f>-'Target Price'!N42/TargetConsumption!N42/VLOOKUP($A42,DemElas!$A$21:$B$28,2,0)</f>
        <v>1000.4876763593113</v>
      </c>
      <c r="O42" s="2">
        <f>-'Target Price'!O42/TargetConsumption!O42/VLOOKUP($A42,DemElas!$A$21:$B$28,2,0)</f>
        <v>888.48332255089997</v>
      </c>
      <c r="P42" s="2">
        <f>-'Target Price'!P42/TargetConsumption!P42/VLOOKUP($A42,DemElas!$A$21:$B$28,2,0)</f>
        <v>990.58185778149641</v>
      </c>
      <c r="Q42" s="2">
        <f>-'Target Price'!Q42/TargetConsumption!Q42/VLOOKUP($A42,DemElas!$A$21:$B$28,2,0)</f>
        <v>879.68645797118802</v>
      </c>
      <c r="R42" s="2">
        <f>-'Target Price'!R42/TargetConsumption!R42/VLOOKUP($A42,DemElas!$A$21:$B$28,2,0)</f>
        <v>980.7741166153429</v>
      </c>
      <c r="S42" s="2">
        <f>-'Target Price'!S42/TargetConsumption!S42/VLOOKUP($A42,DemElas!$A$21:$B$28,2,0)</f>
        <v>870.9766910605822</v>
      </c>
      <c r="T42" s="2">
        <f>-'Target Price'!T42/TargetConsumption!T42/VLOOKUP($A42,DemElas!$A$21:$B$28,2,0)</f>
        <v>971.06348179736915</v>
      </c>
      <c r="U42" s="2">
        <f>-'Target Price'!U42/TargetConsumption!U42/VLOOKUP($A42,DemElas!$A$21:$B$28,2,0)</f>
        <v>862.353159465923</v>
      </c>
      <c r="V42" s="2">
        <f>-'Target Price'!V42/TargetConsumption!V42/VLOOKUP($A42,DemElas!$A$21:$B$28,2,0)</f>
        <v>961.44899187858334</v>
      </c>
      <c r="W42" s="2">
        <f>-'Target Price'!W42/TargetConsumption!W42/VLOOKUP($A42,DemElas!$A$21:$B$28,2,0)</f>
        <v>853.81500937220096</v>
      </c>
      <c r="X42" s="2">
        <f>-'Target Price'!X42/TargetConsumption!X42/VLOOKUP($A42,DemElas!$A$21:$B$28,2,0)</f>
        <v>951.92969492929058</v>
      </c>
      <c r="Y42" s="2">
        <f>-'Target Price'!Y42/TargetConsumption!Y42/VLOOKUP($A42,DemElas!$A$21:$B$28,2,0)</f>
        <v>845.36139541802083</v>
      </c>
      <c r="Z42" s="2">
        <f>-'Target Price'!Z42/TargetConsumption!Z42/VLOOKUP($A42,DemElas!$A$21:$B$28,2,0)</f>
        <v>942.50464844484213</v>
      </c>
      <c r="AA42" s="2">
        <f>-'Target Price'!AA42/TargetConsumption!AA42/VLOOKUP($A42,DemElas!$A$21:$B$28,2,0)</f>
        <v>836.99148061190181</v>
      </c>
      <c r="AB42" s="2">
        <f>-'Target Price'!AB42/TargetConsumption!AB42/VLOOKUP($A42,DemElas!$A$21:$B$28,2,0)</f>
        <v>933.17291925231905</v>
      </c>
      <c r="AC42" s="2">
        <f>-'Target Price'!AC42/TargetConsumption!AC42/VLOOKUP($A42,DemElas!$A$21:$B$28,2,0)</f>
        <v>828.70443624940788</v>
      </c>
      <c r="AD42" s="2">
        <f>-'Target Price'!AD42/TargetConsumption!AD42/VLOOKUP($A42,DemElas!$A$21:$B$28,2,0)</f>
        <v>923.93358341813769</v>
      </c>
      <c r="AE42" s="2">
        <f>-'Target Price'!AE42/TargetConsumption!AE42/VLOOKUP($A42,DemElas!$A$21:$B$28,2,0)</f>
        <v>820.49944183109687</v>
      </c>
      <c r="AF42" s="2">
        <f>-'Target Price'!AF42/TargetConsumption!AF42/VLOOKUP($A42,DemElas!$A$21:$B$28,2,0)</f>
        <v>914.78572615657197</v>
      </c>
      <c r="AG42" s="2">
        <f>-'Target Price'!AG42/TargetConsumption!AG42/VLOOKUP($A42,DemElas!$A$21:$B$28,2,0)</f>
        <v>812.37568498128394</v>
      </c>
      <c r="AH42" s="2">
        <f>-'Target Price'!AH42/TargetConsumption!AH42/VLOOKUP($A42,DemElas!$A$21:$B$28,2,0)</f>
        <v>905.7284417391802</v>
      </c>
    </row>
    <row r="43" spans="1:34">
      <c r="A43" t="str">
        <f t="shared" si="2"/>
        <v>Lentils</v>
      </c>
      <c r="B43" t="str">
        <f t="shared" si="3"/>
        <v>Oromia</v>
      </c>
      <c r="C43" s="2">
        <f>-'Target Price'!C43/TargetConsumption!C43/VLOOKUP($A43,DemElas!$A$21:$B$28,2,0)</f>
        <v>5.9967766200405599</v>
      </c>
      <c r="D43" s="2">
        <f>-'Target Price'!D43/TargetConsumption!D43/VLOOKUP($A43,DemElas!$A$21:$B$28,2,0)</f>
        <v>7.0276982638839876</v>
      </c>
      <c r="E43" s="2">
        <f>-'Target Price'!E43/TargetConsumption!E43/VLOOKUP($A43,DemElas!$A$21:$B$28,2,0)</f>
        <v>5.9374025940995647</v>
      </c>
      <c r="F43" s="2">
        <f>-'Target Price'!F43/TargetConsumption!F43/VLOOKUP($A43,DemElas!$A$21:$B$28,2,0)</f>
        <v>6.9581170929544438</v>
      </c>
      <c r="G43" s="2">
        <f>-'Target Price'!G43/TargetConsumption!G43/VLOOKUP($A43,DemElas!$A$21:$B$28,2,0)</f>
        <v>5.8786164298015491</v>
      </c>
      <c r="H43" s="2">
        <f>-'Target Price'!H43/TargetConsumption!H43/VLOOKUP($A43,DemElas!$A$21:$B$28,2,0)</f>
        <v>6.88922484450935</v>
      </c>
      <c r="I43" s="2">
        <f>-'Target Price'!I43/TargetConsumption!I43/VLOOKUP($A43,DemElas!$A$21:$B$28,2,0)</f>
        <v>5.8204123067342062</v>
      </c>
      <c r="J43" s="2">
        <f>-'Target Price'!J43/TargetConsumption!J43/VLOOKUP($A43,DemElas!$A$21:$B$28,2,0)</f>
        <v>6.82101469753401</v>
      </c>
      <c r="K43" s="2">
        <f>-'Target Price'!K43/TargetConsumption!K43/VLOOKUP($A43,DemElas!$A$21:$B$28,2,0)</f>
        <v>5.7627844621130766</v>
      </c>
      <c r="L43" s="2">
        <f>-'Target Price'!L43/TargetConsumption!L43/VLOOKUP($A43,DemElas!$A$21:$B$28,2,0)</f>
        <v>6.7534798985485249</v>
      </c>
      <c r="M43" s="2">
        <f>-'Target Price'!M43/TargetConsumption!M43/VLOOKUP($A43,DemElas!$A$21:$B$28,2,0)</f>
        <v>5.7057271902109665</v>
      </c>
      <c r="N43" s="2">
        <f>-'Target Price'!N43/TargetConsumption!N43/VLOOKUP($A43,DemElas!$A$21:$B$28,2,0)</f>
        <v>6.6866137609391334</v>
      </c>
      <c r="O43" s="2">
        <f>-'Target Price'!O43/TargetConsumption!O43/VLOOKUP($A43,DemElas!$A$21:$B$28,2,0)</f>
        <v>5.649234841793036</v>
      </c>
      <c r="P43" s="2">
        <f>-'Target Price'!P43/TargetConsumption!P43/VLOOKUP($A43,DemElas!$A$21:$B$28,2,0)</f>
        <v>6.6204096642961705</v>
      </c>
      <c r="Q43" s="2">
        <f>-'Target Price'!Q43/TargetConsumption!Q43/VLOOKUP($A43,DemElas!$A$21:$B$28,2,0)</f>
        <v>5.5933018235574608</v>
      </c>
      <c r="R43" s="2">
        <f>-'Target Price'!R43/TargetConsumption!R43/VLOOKUP($A43,DemElas!$A$21:$B$28,2,0)</f>
        <v>6.554861053758585</v>
      </c>
      <c r="S43" s="2">
        <f>-'Target Price'!S43/TargetConsumption!S43/VLOOKUP($A43,DemElas!$A$21:$B$28,2,0)</f>
        <v>5.5379225975816455</v>
      </c>
      <c r="T43" s="2">
        <f>-'Target Price'!T43/TargetConsumption!T43/VLOOKUP($A43,DemElas!$A$21:$B$28,2,0)</f>
        <v>6.4899614393649356</v>
      </c>
      <c r="U43" s="2">
        <f>-'Target Price'!U43/TargetConsumption!U43/VLOOKUP($A43,DemElas!$A$21:$B$28,2,0)</f>
        <v>5.4830916807739056</v>
      </c>
      <c r="V43" s="2">
        <f>-'Target Price'!V43/TargetConsumption!V43/VLOOKUP($A43,DemElas!$A$21:$B$28,2,0)</f>
        <v>6.4257043954108273</v>
      </c>
      <c r="W43" s="2">
        <f>-'Target Price'!W43/TargetConsumption!W43/VLOOKUP($A43,DemElas!$A$21:$B$28,2,0)</f>
        <v>5.4288036443305998</v>
      </c>
      <c r="X43" s="2">
        <f>-'Target Price'!X43/TargetConsumption!X43/VLOOKUP($A43,DemElas!$A$21:$B$28,2,0)</f>
        <v>6.3620835598127004</v>
      </c>
      <c r="Y43" s="2">
        <f>-'Target Price'!Y43/TargetConsumption!Y43/VLOOKUP($A43,DemElas!$A$21:$B$28,2,0)</f>
        <v>5.3750531131986135</v>
      </c>
      <c r="Z43" s="2">
        <f>-'Target Price'!Z43/TargetConsumption!Z43/VLOOKUP($A43,DemElas!$A$21:$B$28,2,0)</f>
        <v>6.2990926334779216</v>
      </c>
      <c r="AA43" s="2">
        <f>-'Target Price'!AA43/TargetConsumption!AA43/VLOOKUP($A43,DemElas!$A$21:$B$28,2,0)</f>
        <v>5.3218347655431826</v>
      </c>
      <c r="AB43" s="2">
        <f>-'Target Price'!AB43/TargetConsumption!AB43/VLOOKUP($A43,DemElas!$A$21:$B$28,2,0)</f>
        <v>6.2367253796811104</v>
      </c>
      <c r="AC43" s="2">
        <f>-'Target Price'!AC43/TargetConsumption!AC43/VLOOKUP($A43,DemElas!$A$21:$B$28,2,0)</f>
        <v>5.2691433322209731</v>
      </c>
      <c r="AD43" s="2">
        <f>-'Target Price'!AD43/TargetConsumption!AD43/VLOOKUP($A43,DemElas!$A$21:$B$28,2,0)</f>
        <v>6.1749756234466444</v>
      </c>
      <c r="AE43" s="2">
        <f>-'Target Price'!AE43/TargetConsumption!AE43/VLOOKUP($A43,DemElas!$A$21:$B$28,2,0)</f>
        <v>5.2169735962583887</v>
      </c>
      <c r="AF43" s="2">
        <f>-'Target Price'!AF43/TargetConsumption!AF43/VLOOKUP($A43,DemElas!$A$21:$B$28,2,0)</f>
        <v>6.1138372509372712</v>
      </c>
      <c r="AG43" s="2">
        <f>-'Target Price'!AG43/TargetConsumption!AG43/VLOOKUP($A43,DemElas!$A$21:$B$28,2,0)</f>
        <v>5.1653203923350377</v>
      </c>
      <c r="AH43" s="2">
        <f>-'Target Price'!AH43/TargetConsumption!AH43/VLOOKUP($A43,DemElas!$A$21:$B$28,2,0)</f>
        <v>6.0533042088487834</v>
      </c>
    </row>
    <row r="44" spans="1:34">
      <c r="A44" t="str">
        <f t="shared" si="2"/>
        <v>Lentils</v>
      </c>
      <c r="B44" t="str">
        <f t="shared" si="3"/>
        <v>Somali</v>
      </c>
      <c r="C44" s="2">
        <f>-'Target Price'!C44/TargetConsumption!C44/VLOOKUP($A44,DemElas!$A$21:$B$28,2,0)</f>
        <v>34.757489344924572</v>
      </c>
      <c r="D44" s="2">
        <f>-'Target Price'!D44/TargetConsumption!D44/VLOOKUP($A44,DemElas!$A$21:$B$28,2,0)</f>
        <v>44.093439934456818</v>
      </c>
      <c r="E44" s="2">
        <f>-'Target Price'!E44/TargetConsumption!E44/VLOOKUP($A44,DemElas!$A$21:$B$28,2,0)</f>
        <v>34.413355787054037</v>
      </c>
      <c r="F44" s="2">
        <f>-'Target Price'!F44/TargetConsumption!F44/VLOOKUP($A44,DemElas!$A$21:$B$28,2,0)</f>
        <v>43.656871222234471</v>
      </c>
      <c r="G44" s="2">
        <f>-'Target Price'!G44/TargetConsumption!G44/VLOOKUP($A44,DemElas!$A$21:$B$28,2,0)</f>
        <v>34.072629492132712</v>
      </c>
      <c r="H44" s="2">
        <f>-'Target Price'!H44/TargetConsumption!H44/VLOOKUP($A44,DemElas!$A$21:$B$28,2,0)</f>
        <v>43.224624972509382</v>
      </c>
      <c r="I44" s="2">
        <f>-'Target Price'!I44/TargetConsumption!I44/VLOOKUP($A44,DemElas!$A$21:$B$28,2,0)</f>
        <v>33.735276724883867</v>
      </c>
      <c r="J44" s="2">
        <f>-'Target Price'!J44/TargetConsumption!J44/VLOOKUP($A44,DemElas!$A$21:$B$28,2,0)</f>
        <v>42.796658388623143</v>
      </c>
      <c r="K44" s="2">
        <f>-'Target Price'!K44/TargetConsumption!K44/VLOOKUP($A44,DemElas!$A$21:$B$28,2,0)</f>
        <v>33.401264084043433</v>
      </c>
      <c r="L44" s="2">
        <f>-'Target Price'!L44/TargetConsumption!L44/VLOOKUP($A44,DemElas!$A$21:$B$28,2,0)</f>
        <v>42.372929097646683</v>
      </c>
      <c r="M44" s="2">
        <f>-'Target Price'!M44/TargetConsumption!M44/VLOOKUP($A44,DemElas!$A$21:$B$28,2,0)</f>
        <v>33.070558499052908</v>
      </c>
      <c r="N44" s="2">
        <f>-'Target Price'!N44/TargetConsumption!N44/VLOOKUP($A44,DemElas!$A$21:$B$28,2,0)</f>
        <v>41.953395146184825</v>
      </c>
      <c r="O44" s="2">
        <f>-'Target Price'!O44/TargetConsumption!O44/VLOOKUP($A44,DemElas!$A$21:$B$28,2,0)</f>
        <v>32.743127226785049</v>
      </c>
      <c r="P44" s="2">
        <f>-'Target Price'!P44/TargetConsumption!P44/VLOOKUP($A44,DemElas!$A$21:$B$28,2,0)</f>
        <v>41.5380149962226</v>
      </c>
      <c r="Q44" s="2">
        <f>-'Target Price'!Q44/TargetConsumption!Q44/VLOOKUP($A44,DemElas!$A$21:$B$28,2,0)</f>
        <v>32.418937848302029</v>
      </c>
      <c r="R44" s="2">
        <f>-'Target Price'!R44/TargetConsumption!R44/VLOOKUP($A44,DemElas!$A$21:$B$28,2,0)</f>
        <v>41.126747521012476</v>
      </c>
      <c r="S44" s="2">
        <f>-'Target Price'!S44/TargetConsumption!S44/VLOOKUP($A44,DemElas!$A$21:$B$28,2,0)</f>
        <v>32.097958265645573</v>
      </c>
      <c r="T44" s="2">
        <f>-'Target Price'!T44/TargetConsumption!T44/VLOOKUP($A44,DemElas!$A$21:$B$28,2,0)</f>
        <v>40.719552001002441</v>
      </c>
      <c r="U44" s="2">
        <f>-'Target Price'!U44/TargetConsumption!U44/VLOOKUP($A44,DemElas!$A$21:$B$28,2,0)</f>
        <v>31.780156698658981</v>
      </c>
      <c r="V44" s="2">
        <f>-'Target Price'!V44/TargetConsumption!V44/VLOOKUP($A44,DemElas!$A$21:$B$28,2,0)</f>
        <v>40.316388119804408</v>
      </c>
      <c r="W44" s="2">
        <f>-'Target Price'!W44/TargetConsumption!W44/VLOOKUP($A44,DemElas!$A$21:$B$28,2,0)</f>
        <v>31.465501681840578</v>
      </c>
      <c r="X44" s="2">
        <f>-'Target Price'!X44/TargetConsumption!X44/VLOOKUP($A44,DemElas!$A$21:$B$28,2,0)</f>
        <v>39.917215960202377</v>
      </c>
      <c r="Y44" s="2">
        <f>-'Target Price'!Y44/TargetConsumption!Y44/VLOOKUP($A44,DemElas!$A$21:$B$28,2,0)</f>
        <v>31.153962061228295</v>
      </c>
      <c r="Z44" s="2">
        <f>-'Target Price'!Z44/TargetConsumption!Z44/VLOOKUP($A44,DemElas!$A$21:$B$28,2,0)</f>
        <v>39.521996000200375</v>
      </c>
      <c r="AA44" s="2">
        <f>-'Target Price'!AA44/TargetConsumption!AA44/VLOOKUP($A44,DemElas!$A$21:$B$28,2,0)</f>
        <v>30.845506991315148</v>
      </c>
      <c r="AB44" s="2">
        <f>-'Target Price'!AB44/TargetConsumption!AB44/VLOOKUP($A44,DemElas!$A$21:$B$28,2,0)</f>
        <v>39.130689109109291</v>
      </c>
      <c r="AC44" s="2">
        <f>-'Target Price'!AC44/TargetConsumption!AC44/VLOOKUP($A44,DemElas!$A$21:$B$28,2,0)</f>
        <v>30.540105931995196</v>
      </c>
      <c r="AD44" s="2">
        <f>-'Target Price'!AD44/TargetConsumption!AD44/VLOOKUP($A44,DemElas!$A$21:$B$28,2,0)</f>
        <v>38.743256543672565</v>
      </c>
      <c r="AE44" s="2">
        <f>-'Target Price'!AE44/TargetConsumption!AE44/VLOOKUP($A44,DemElas!$A$21:$B$28,2,0)</f>
        <v>30.2377286455398</v>
      </c>
      <c r="AF44" s="2">
        <f>-'Target Price'!AF44/TargetConsumption!AF44/VLOOKUP($A44,DemElas!$A$21:$B$28,2,0)</f>
        <v>38.359659944230266</v>
      </c>
      <c r="AG44" s="2">
        <f>-'Target Price'!AG44/TargetConsumption!AG44/VLOOKUP($A44,DemElas!$A$21:$B$28,2,0)</f>
        <v>29.938345193603762</v>
      </c>
      <c r="AH44" s="2">
        <f>-'Target Price'!AH44/TargetConsumption!AH44/VLOOKUP($A44,DemElas!$A$21:$B$28,2,0)</f>
        <v>37.979861330921047</v>
      </c>
    </row>
    <row r="45" spans="1:34">
      <c r="A45" t="str">
        <f t="shared" si="2"/>
        <v>Lentils</v>
      </c>
      <c r="B45" t="str">
        <f t="shared" si="3"/>
        <v>SNNPR</v>
      </c>
      <c r="C45" s="2">
        <f>-'Target Price'!C45/TargetConsumption!C45/VLOOKUP($A45,DemElas!$A$21:$B$28,2,0)</f>
        <v>11.575279237454554</v>
      </c>
      <c r="D45" s="2">
        <f>-'Target Price'!D45/TargetConsumption!D45/VLOOKUP($A45,DemElas!$A$21:$B$28,2,0)</f>
        <v>13.327205483015653</v>
      </c>
      <c r="E45" s="2">
        <f>-'Target Price'!E45/TargetConsumption!E45/VLOOKUP($A45,DemElas!$A$21:$B$28,2,0)</f>
        <v>11.460672512331241</v>
      </c>
      <c r="F45" s="2">
        <f>-'Target Price'!F45/TargetConsumption!F45/VLOOKUP($A45,DemElas!$A$21:$B$28,2,0)</f>
        <v>13.195252953480846</v>
      </c>
      <c r="G45" s="2">
        <f>-'Target Price'!G45/TargetConsumption!G45/VLOOKUP($A45,DemElas!$A$21:$B$28,2,0)</f>
        <v>11.347200507258654</v>
      </c>
      <c r="H45" s="2">
        <f>-'Target Price'!H45/TargetConsumption!H45/VLOOKUP($A45,DemElas!$A$21:$B$28,2,0)</f>
        <v>13.0646068846345</v>
      </c>
      <c r="I45" s="2">
        <f>-'Target Price'!I45/TargetConsumption!I45/VLOOKUP($A45,DemElas!$A$21:$B$28,2,0)</f>
        <v>11.234851987384806</v>
      </c>
      <c r="J45" s="2">
        <f>-'Target Price'!J45/TargetConsumption!J45/VLOOKUP($A45,DemElas!$A$21:$B$28,2,0)</f>
        <v>12.935254341222278</v>
      </c>
      <c r="K45" s="2">
        <f>-'Target Price'!K45/TargetConsumption!K45/VLOOKUP($A45,DemElas!$A$21:$B$28,2,0)</f>
        <v>11.123615829093866</v>
      </c>
      <c r="L45" s="2">
        <f>-'Target Price'!L45/TargetConsumption!L45/VLOOKUP($A45,DemElas!$A$21:$B$28,2,0)</f>
        <v>12.807182516061662</v>
      </c>
      <c r="M45" s="2">
        <f>-'Target Price'!M45/TargetConsumption!M45/VLOOKUP($A45,DemElas!$A$21:$B$28,2,0)</f>
        <v>11.01348101890482</v>
      </c>
      <c r="N45" s="2">
        <f>-'Target Price'!N45/TargetConsumption!N45/VLOOKUP($A45,DemElas!$A$21:$B$28,2,0)</f>
        <v>12.680378728773922</v>
      </c>
      <c r="O45" s="2">
        <f>-'Target Price'!O45/TargetConsumption!O45/VLOOKUP($A45,DemElas!$A$21:$B$28,2,0)</f>
        <v>10.90443665238101</v>
      </c>
      <c r="P45" s="2">
        <f>-'Target Price'!P45/TargetConsumption!P45/VLOOKUP($A45,DemElas!$A$21:$B$28,2,0)</f>
        <v>12.554830424528635</v>
      </c>
      <c r="Q45" s="2">
        <f>-'Target Price'!Q45/TargetConsumption!Q45/VLOOKUP($A45,DemElas!$A$21:$B$28,2,0)</f>
        <v>10.796471933050503</v>
      </c>
      <c r="R45" s="2">
        <f>-'Target Price'!R45/TargetConsumption!R45/VLOOKUP($A45,DemElas!$A$21:$B$28,2,0)</f>
        <v>12.43052517280063</v>
      </c>
      <c r="S45" s="2">
        <f>-'Target Price'!S45/TargetConsumption!S45/VLOOKUP($A45,DemElas!$A$21:$B$28,2,0)</f>
        <v>10.689576171337132</v>
      </c>
      <c r="T45" s="2">
        <f>-'Target Price'!T45/TargetConsumption!T45/VLOOKUP($A45,DemElas!$A$21:$B$28,2,0)</f>
        <v>12.307450666139237</v>
      </c>
      <c r="U45" s="2">
        <f>-'Target Price'!U45/TargetConsumption!U45/VLOOKUP($A45,DemElas!$A$21:$B$28,2,0)</f>
        <v>10.583738783502112</v>
      </c>
      <c r="V45" s="2">
        <f>-'Target Price'!V45/TargetConsumption!V45/VLOOKUP($A45,DemElas!$A$21:$B$28,2,0)</f>
        <v>12.185594718949739</v>
      </c>
      <c r="W45" s="2">
        <f>-'Target Price'!W45/TargetConsumption!W45/VLOOKUP($A45,DemElas!$A$21:$B$28,2,0)</f>
        <v>10.47894929059615</v>
      </c>
      <c r="X45" s="2">
        <f>-'Target Price'!X45/TargetConsumption!X45/VLOOKUP($A45,DemElas!$A$21:$B$28,2,0)</f>
        <v>12.064945266286871</v>
      </c>
      <c r="Y45" s="2">
        <f>-'Target Price'!Y45/TargetConsumption!Y45/VLOOKUP($A45,DemElas!$A$21:$B$28,2,0)</f>
        <v>10.375197317421931</v>
      </c>
      <c r="Z45" s="2">
        <f>-'Target Price'!Z45/TargetConsumption!Z45/VLOOKUP($A45,DemElas!$A$21:$B$28,2,0)</f>
        <v>11.945490362660268</v>
      </c>
      <c r="AA45" s="2">
        <f>-'Target Price'!AA45/TargetConsumption!AA45/VLOOKUP($A45,DemElas!$A$21:$B$28,2,0)</f>
        <v>10.272472591506862</v>
      </c>
      <c r="AB45" s="2">
        <f>-'Target Price'!AB45/TargetConsumption!AB45/VLOOKUP($A45,DemElas!$A$21:$B$28,2,0)</f>
        <v>11.827218180851752</v>
      </c>
      <c r="AC45" s="2">
        <f>-'Target Price'!AC45/TargetConsumption!AC45/VLOOKUP($A45,DemElas!$A$21:$B$28,2,0)</f>
        <v>10.170764942086002</v>
      </c>
      <c r="AD45" s="2">
        <f>-'Target Price'!AD45/TargetConsumption!AD45/VLOOKUP($A45,DemElas!$A$21:$B$28,2,0)</f>
        <v>11.710117010744307</v>
      </c>
      <c r="AE45" s="2">
        <f>-'Target Price'!AE45/TargetConsumption!AE45/VLOOKUP($A45,DemElas!$A$21:$B$28,2,0)</f>
        <v>10.07006429909505</v>
      </c>
      <c r="AF45" s="2">
        <f>-'Target Price'!AF45/TargetConsumption!AF45/VLOOKUP($A45,DemElas!$A$21:$B$28,2,0)</f>
        <v>11.59417525816268</v>
      </c>
      <c r="AG45" s="2">
        <f>-'Target Price'!AG45/TargetConsumption!AG45/VLOOKUP($A45,DemElas!$A$21:$B$28,2,0)</f>
        <v>9.9703606921733172</v>
      </c>
      <c r="AH45" s="2">
        <f>-'Target Price'!AH45/TargetConsumption!AH45/VLOOKUP($A45,DemElas!$A$21:$B$28,2,0)</f>
        <v>11.479381443725426</v>
      </c>
    </row>
    <row r="46" spans="1:34">
      <c r="A46" t="str">
        <f t="shared" si="2"/>
        <v>Lentils</v>
      </c>
      <c r="B46" t="str">
        <f t="shared" si="3"/>
        <v>Tigray</v>
      </c>
      <c r="C46" s="2">
        <f>-'Target Price'!C46/TargetConsumption!C46/VLOOKUP($A46,DemElas!$A$21:$B$28,2,0)</f>
        <v>43.466217734008765</v>
      </c>
      <c r="D46" s="2">
        <f>-'Target Price'!D46/TargetConsumption!D46/VLOOKUP($A46,DemElas!$A$21:$B$28,2,0)</f>
        <v>43.753688388264386</v>
      </c>
      <c r="E46" s="2">
        <f>-'Target Price'!E46/TargetConsumption!E46/VLOOKUP($A46,DemElas!$A$21:$B$28,2,0)</f>
        <v>43.035859142582929</v>
      </c>
      <c r="F46" s="2">
        <f>-'Target Price'!F46/TargetConsumption!F46/VLOOKUP($A46,DemElas!$A$21:$B$28,2,0)</f>
        <v>43.320483552737009</v>
      </c>
      <c r="G46" s="2">
        <f>-'Target Price'!G46/TargetConsumption!G46/VLOOKUP($A46,DemElas!$A$21:$B$28,2,0)</f>
        <v>42.609761527309836</v>
      </c>
      <c r="H46" s="2">
        <f>-'Target Price'!H46/TargetConsumption!H46/VLOOKUP($A46,DemElas!$A$21:$B$28,2,0)</f>
        <v>42.891567873997047</v>
      </c>
      <c r="I46" s="2">
        <f>-'Target Price'!I46/TargetConsumption!I46/VLOOKUP($A46,DemElas!$A$21:$B$28,2,0)</f>
        <v>42.187882700306766</v>
      </c>
      <c r="J46" s="2">
        <f>-'Target Price'!J46/TargetConsumption!J46/VLOOKUP($A46,DemElas!$A$21:$B$28,2,0)</f>
        <v>42.466898885145589</v>
      </c>
      <c r="K46" s="2">
        <f>-'Target Price'!K46/TargetConsumption!K46/VLOOKUP($A46,DemElas!$A$21:$B$28,2,0)</f>
        <v>41.770180891392833</v>
      </c>
      <c r="L46" s="2">
        <f>-'Target Price'!L46/TargetConsumption!L46/VLOOKUP($A46,DemElas!$A$21:$B$28,2,0)</f>
        <v>42.046434539748105</v>
      </c>
      <c r="M46" s="2">
        <f>-'Target Price'!M46/TargetConsumption!M46/VLOOKUP($A46,DemElas!$A$21:$B$28,2,0)</f>
        <v>41.356614743953301</v>
      </c>
      <c r="N46" s="2">
        <f>-'Target Price'!N46/TargetConsumption!N46/VLOOKUP($A46,DemElas!$A$21:$B$28,2,0)</f>
        <v>41.630133207671385</v>
      </c>
      <c r="O46" s="2">
        <f>-'Target Price'!O46/TargetConsumption!O46/VLOOKUP($A46,DemElas!$A$21:$B$28,2,0)</f>
        <v>40.947143310844851</v>
      </c>
      <c r="P46" s="2">
        <f>-'Target Price'!P46/TargetConsumption!P46/VLOOKUP($A46,DemElas!$A$21:$B$28,2,0)</f>
        <v>41.217953670961769</v>
      </c>
      <c r="Q46" s="2">
        <f>-'Target Price'!Q46/TargetConsumption!Q46/VLOOKUP($A46,DemElas!$A$21:$B$28,2,0)</f>
        <v>40.541726050341431</v>
      </c>
      <c r="R46" s="2">
        <f>-'Target Price'!R46/TargetConsumption!R46/VLOOKUP($A46,DemElas!$A$21:$B$28,2,0)</f>
        <v>40.80985511976413</v>
      </c>
      <c r="S46" s="2">
        <f>-'Target Price'!S46/TargetConsumption!S46/VLOOKUP($A46,DemElas!$A$21:$B$28,2,0)</f>
        <v>40.140322822120233</v>
      </c>
      <c r="T46" s="2">
        <f>-'Target Price'!T46/TargetConsumption!T46/VLOOKUP($A46,DemElas!$A$21:$B$28,2,0)</f>
        <v>40.405797148281316</v>
      </c>
      <c r="U46" s="2">
        <f>-'Target Price'!U46/TargetConsumption!U46/VLOOKUP($A46,DemElas!$A$21:$B$28,2,0)</f>
        <v>39.742893883287358</v>
      </c>
      <c r="V46" s="2">
        <f>-'Target Price'!V46/TargetConsumption!V46/VLOOKUP($A46,DemElas!$A$21:$B$28,2,0)</f>
        <v>40.005739750773579</v>
      </c>
      <c r="W46" s="2">
        <f>-'Target Price'!W46/TargetConsumption!W46/VLOOKUP($A46,DemElas!$A$21:$B$28,2,0)</f>
        <v>39.349399884442924</v>
      </c>
      <c r="X46" s="2">
        <f>-'Target Price'!X46/TargetConsumption!X46/VLOOKUP($A46,DemElas!$A$21:$B$28,2,0)</f>
        <v>39.609643317597602</v>
      </c>
      <c r="Y46" s="2">
        <f>-'Target Price'!Y46/TargetConsumption!Y46/VLOOKUP($A46,DemElas!$A$21:$B$28,2,0)</f>
        <v>38.959801865785074</v>
      </c>
      <c r="Z46" s="2">
        <f>-'Target Price'!Z46/TargetConsumption!Z46/VLOOKUP($A46,DemElas!$A$21:$B$28,2,0)</f>
        <v>39.217468631284753</v>
      </c>
      <c r="AA46" s="2">
        <f>-'Target Price'!AA46/TargetConsumption!AA46/VLOOKUP($A46,DemElas!$A$21:$B$28,2,0)</f>
        <v>38.574061253252552</v>
      </c>
      <c r="AB46" s="2">
        <f>-'Target Price'!AB46/TargetConsumption!AB46/VLOOKUP($A46,DemElas!$A$21:$B$28,2,0)</f>
        <v>38.829176862658166</v>
      </c>
      <c r="AC46" s="2">
        <f>-'Target Price'!AC46/TargetConsumption!AC46/VLOOKUP($A46,DemElas!$A$21:$B$28,2,0)</f>
        <v>38.192139854705495</v>
      </c>
      <c r="AD46" s="2">
        <f>-'Target Price'!AD46/TargetConsumption!AD46/VLOOKUP($A46,DemElas!$A$21:$B$28,2,0)</f>
        <v>38.444729566988286</v>
      </c>
      <c r="AE46" s="2">
        <f>-'Target Price'!AE46/TargetConsumption!AE46/VLOOKUP($A46,DemElas!$A$21:$B$28,2,0)</f>
        <v>37.813999856144051</v>
      </c>
      <c r="AF46" s="2">
        <f>-'Target Price'!AF46/TargetConsumption!AF46/VLOOKUP($A46,DemElas!$A$21:$B$28,2,0)</f>
        <v>38.064088680186423</v>
      </c>
      <c r="AG46" s="2">
        <f>-'Target Price'!AG46/TargetConsumption!AG46/VLOOKUP($A46,DemElas!$A$21:$B$28,2,0)</f>
        <v>37.439603817964411</v>
      </c>
      <c r="AH46" s="2">
        <f>-'Target Price'!AH46/TargetConsumption!AH46/VLOOKUP($A46,DemElas!$A$21:$B$28,2,0)</f>
        <v>37.687216515036056</v>
      </c>
    </row>
    <row r="47" spans="1:34">
      <c r="A47" t="str">
        <f t="shared" si="2"/>
        <v>Vegetables</v>
      </c>
      <c r="B47" t="str">
        <f t="shared" si="3"/>
        <v>AddisAbaba</v>
      </c>
      <c r="C47" s="2">
        <f>-'Target Price'!C47/TargetConsumption!C47/VLOOKUP($A47,DemElas!$A$21:$B$28,2,0)</f>
        <v>6.6687673600510351</v>
      </c>
      <c r="D47" s="2">
        <f>-'Target Price'!D47/TargetConsumption!D47/VLOOKUP($A47,DemElas!$A$21:$B$28,2,0)</f>
        <v>7.7068683979659092</v>
      </c>
      <c r="E47" s="2">
        <f>-'Target Price'!E47/TargetConsumption!E47/VLOOKUP($A47,DemElas!$A$21:$B$28,2,0)</f>
        <v>6.60273996044657</v>
      </c>
      <c r="F47" s="2">
        <f>-'Target Price'!F47/TargetConsumption!F47/VLOOKUP($A47,DemElas!$A$21:$B$28,2,0)</f>
        <v>7.6305627702632766</v>
      </c>
      <c r="G47" s="2">
        <f>-'Target Price'!G47/TargetConsumption!G47/VLOOKUP($A47,DemElas!$A$21:$B$28,2,0)</f>
        <v>6.5373662974718512</v>
      </c>
      <c r="H47" s="2">
        <f>-'Target Price'!H47/TargetConsumption!H47/VLOOKUP($A47,DemElas!$A$21:$B$28,2,0)</f>
        <v>7.5550126438250267</v>
      </c>
      <c r="I47" s="2">
        <f>-'Target Price'!I47/TargetConsumption!I47/VLOOKUP($A47,DemElas!$A$21:$B$28,2,0)</f>
        <v>6.4726398984869808</v>
      </c>
      <c r="J47" s="2">
        <f>-'Target Price'!J47/TargetConsumption!J47/VLOOKUP($A47,DemElas!$A$21:$B$28,2,0)</f>
        <v>7.4802105384406206</v>
      </c>
      <c r="K47" s="2">
        <f>-'Target Price'!K47/TargetConsumption!K47/VLOOKUP($A47,DemElas!$A$21:$B$28,2,0)</f>
        <v>6.4085543549376052</v>
      </c>
      <c r="L47" s="2">
        <f>-'Target Price'!L47/TargetConsumption!L47/VLOOKUP($A47,DemElas!$A$21:$B$28,2,0)</f>
        <v>7.4061490479610104</v>
      </c>
      <c r="M47" s="2">
        <f>-'Target Price'!M47/TargetConsumption!M47/VLOOKUP($A47,DemElas!$A$21:$B$28,2,0)</f>
        <v>6.3451033217204005</v>
      </c>
      <c r="N47" s="2">
        <f>-'Target Price'!N47/TargetConsumption!N47/VLOOKUP($A47,DemElas!$A$21:$B$28,2,0)</f>
        <v>7.3328208395653567</v>
      </c>
      <c r="O47" s="2">
        <f>-'Target Price'!O47/TargetConsumption!O47/VLOOKUP($A47,DemElas!$A$21:$B$28,2,0)</f>
        <v>6.2822805165548514</v>
      </c>
      <c r="P47" s="2">
        <f>-'Target Price'!P47/TargetConsumption!P47/VLOOKUP($A47,DemElas!$A$21:$B$28,2,0)</f>
        <v>7.2602186530350057</v>
      </c>
      <c r="Q47" s="2">
        <f>-'Target Price'!Q47/TargetConsumption!Q47/VLOOKUP($A47,DemElas!$A$21:$B$28,2,0)</f>
        <v>6.2200797193612392</v>
      </c>
      <c r="R47" s="2">
        <f>-'Target Price'!R47/TargetConsumption!R47/VLOOKUP($A47,DemElas!$A$21:$B$28,2,0)</f>
        <v>7.1883353000346588</v>
      </c>
      <c r="S47" s="2">
        <f>-'Target Price'!S47/TargetConsumption!S47/VLOOKUP($A47,DemElas!$A$21:$B$28,2,0)</f>
        <v>6.1584947716447918</v>
      </c>
      <c r="T47" s="2">
        <f>-'Target Price'!T47/TargetConsumption!T47/VLOOKUP($A47,DemElas!$A$21:$B$28,2,0)</f>
        <v>7.1171636634006532</v>
      </c>
      <c r="U47" s="2">
        <f>-'Target Price'!U47/TargetConsumption!U47/VLOOKUP($A47,DemElas!$A$21:$B$28,2,0)</f>
        <v>6.0975195758859329</v>
      </c>
      <c r="V47" s="2">
        <f>-'Target Price'!V47/TargetConsumption!V47/VLOOKUP($A47,DemElas!$A$21:$B$28,2,0)</f>
        <v>7.0466966964362907</v>
      </c>
      <c r="W47" s="2">
        <f>-'Target Price'!W47/TargetConsumption!W47/VLOOKUP($A47,DemElas!$A$21:$B$28,2,0)</f>
        <v>6.0371480949365672</v>
      </c>
      <c r="X47" s="2">
        <f>-'Target Price'!X47/TargetConsumption!X47/VLOOKUP($A47,DemElas!$A$21:$B$28,2,0)</f>
        <v>6.976927422214148</v>
      </c>
      <c r="Y47" s="2">
        <f>-'Target Price'!Y47/TargetConsumption!Y47/VLOOKUP($A47,DemElas!$A$21:$B$28,2,0)</f>
        <v>5.9773743514223439</v>
      </c>
      <c r="Z47" s="2">
        <f>-'Target Price'!Z47/TargetConsumption!Z47/VLOOKUP($A47,DemElas!$A$21:$B$28,2,0)</f>
        <v>6.9078489328852957</v>
      </c>
      <c r="AA47" s="2">
        <f>-'Target Price'!AA47/TargetConsumption!AA47/VLOOKUP($A47,DemElas!$A$21:$B$28,2,0)</f>
        <v>5.9181924271508359</v>
      </c>
      <c r="AB47" s="2">
        <f>-'Target Price'!AB47/TargetConsumption!AB47/VLOOKUP($A47,DemElas!$A$21:$B$28,2,0)</f>
        <v>6.8394543889953425</v>
      </c>
      <c r="AC47" s="2">
        <f>-'Target Price'!AC47/TargetConsumption!AC47/VLOOKUP($A47,DemElas!$A$21:$B$28,2,0)</f>
        <v>5.8595964625255785</v>
      </c>
      <c r="AD47" s="2">
        <f>-'Target Price'!AD47/TargetConsumption!AD47/VLOOKUP($A47,DemElas!$A$21:$B$28,2,0)</f>
        <v>6.7717370188072694</v>
      </c>
      <c r="AE47" s="2">
        <f>-'Target Price'!AE47/TargetConsumption!AE47/VLOOKUP($A47,DemElas!$A$21:$B$28,2,0)</f>
        <v>5.8015806559659193</v>
      </c>
      <c r="AF47" s="2">
        <f>-'Target Price'!AF47/TargetConsumption!AF47/VLOOKUP($A47,DemElas!$A$21:$B$28,2,0)</f>
        <v>6.7046901176309595</v>
      </c>
      <c r="AG47" s="2">
        <f>-'Target Price'!AG47/TargetConsumption!AG47/VLOOKUP($A47,DemElas!$A$21:$B$28,2,0)</f>
        <v>5.7441392633325945</v>
      </c>
      <c r="AH47" s="2">
        <f>-'Target Price'!AH47/TargetConsumption!AH47/VLOOKUP($A47,DemElas!$A$21:$B$28,2,0)</f>
        <v>6.6383070471593664</v>
      </c>
    </row>
    <row r="48" spans="1:34">
      <c r="A48" t="str">
        <f t="shared" si="2"/>
        <v>Vegetables</v>
      </c>
      <c r="B48" t="str">
        <f t="shared" si="3"/>
        <v>Afar</v>
      </c>
      <c r="C48" s="2">
        <f>-'Target Price'!C48/TargetConsumption!C48/VLOOKUP($A48,DemElas!$A$21:$B$28,2,0)</f>
        <v>13.466517321293841</v>
      </c>
      <c r="D48" s="2">
        <f>-'Target Price'!D48/TargetConsumption!D48/VLOOKUP($A48,DemElas!$A$21:$B$28,2,0)</f>
        <v>13.56694142414714</v>
      </c>
      <c r="E48" s="2">
        <f>-'Target Price'!E48/TargetConsumption!E48/VLOOKUP($A48,DemElas!$A$21:$B$28,2,0)</f>
        <v>13.333185466627565</v>
      </c>
      <c r="F48" s="2">
        <f>-'Target Price'!F48/TargetConsumption!F48/VLOOKUP($A48,DemElas!$A$21:$B$28,2,0)</f>
        <v>13.432615271432814</v>
      </c>
      <c r="G48" s="2">
        <f>-'Target Price'!G48/TargetConsumption!G48/VLOOKUP($A48,DemElas!$A$21:$B$28,2,0)</f>
        <v>13.201173729334224</v>
      </c>
      <c r="H48" s="2">
        <f>-'Target Price'!H48/TargetConsumption!H48/VLOOKUP($A48,DemElas!$A$21:$B$28,2,0)</f>
        <v>13.299619080626547</v>
      </c>
      <c r="I48" s="2">
        <f>-'Target Price'!I48/TargetConsumption!I48/VLOOKUP($A48,DemElas!$A$21:$B$28,2,0)</f>
        <v>13.070469038944774</v>
      </c>
      <c r="J48" s="2">
        <f>-'Target Price'!J48/TargetConsumption!J48/VLOOKUP($A48,DemElas!$A$21:$B$28,2,0)</f>
        <v>13.16793968378866</v>
      </c>
      <c r="K48" s="2">
        <f>-'Target Price'!K48/TargetConsumption!K48/VLOOKUP($A48,DemElas!$A$21:$B$28,2,0)</f>
        <v>12.941058454400768</v>
      </c>
      <c r="L48" s="2">
        <f>-'Target Price'!L48/TargetConsumption!L48/VLOOKUP($A48,DemElas!$A$21:$B$28,2,0)</f>
        <v>13.037564043355109</v>
      </c>
      <c r="M48" s="2">
        <f>-'Target Price'!M48/TargetConsumption!M48/VLOOKUP($A48,DemElas!$A$21:$B$28,2,0)</f>
        <v>12.812929162773038</v>
      </c>
      <c r="N48" s="2">
        <f>-'Target Price'!N48/TargetConsumption!N48/VLOOKUP($A48,DemElas!$A$21:$B$28,2,0)</f>
        <v>12.908479250846643</v>
      </c>
      <c r="O48" s="2">
        <f>-'Target Price'!O48/TargetConsumption!O48/VLOOKUP($A48,DemElas!$A$21:$B$28,2,0)</f>
        <v>12.686068477993105</v>
      </c>
      <c r="P48" s="2">
        <f>-'Target Price'!P48/TargetConsumption!P48/VLOOKUP($A48,DemElas!$A$21:$B$28,2,0)</f>
        <v>12.780672525590735</v>
      </c>
      <c r="Q48" s="2">
        <f>-'Target Price'!Q48/TargetConsumption!Q48/VLOOKUP($A48,DemElas!$A$21:$B$28,2,0)</f>
        <v>12.560463839597134</v>
      </c>
      <c r="R48" s="2">
        <f>-'Target Price'!R48/TargetConsumption!R48/VLOOKUP($A48,DemElas!$A$21:$B$28,2,0)</f>
        <v>12.654131213456171</v>
      </c>
      <c r="S48" s="2">
        <f>-'Target Price'!S48/TargetConsumption!S48/VLOOKUP($A48,DemElas!$A$21:$B$28,2,0)</f>
        <v>12.436102811482311</v>
      </c>
      <c r="T48" s="2">
        <f>-'Target Price'!T48/TargetConsumption!T48/VLOOKUP($A48,DemElas!$A$21:$B$28,2,0)</f>
        <v>12.528842785600169</v>
      </c>
      <c r="U48" s="2">
        <f>-'Target Price'!U48/TargetConsumption!U48/VLOOKUP($A48,DemElas!$A$21:$B$28,2,0)</f>
        <v>12.312973080675555</v>
      </c>
      <c r="V48" s="2">
        <f>-'Target Price'!V48/TargetConsumption!V48/VLOOKUP($A48,DemElas!$A$21:$B$28,2,0)</f>
        <v>12.404794837227891</v>
      </c>
      <c r="W48" s="2">
        <f>-'Target Price'!W48/TargetConsumption!W48/VLOOKUP($A48,DemElas!$A$21:$B$28,2,0)</f>
        <v>12.191062456114411</v>
      </c>
      <c r="X48" s="2">
        <f>-'Target Price'!X48/TargetConsumption!X48/VLOOKUP($A48,DemElas!$A$21:$B$28,2,0)</f>
        <v>12.281975086364248</v>
      </c>
      <c r="Y48" s="2">
        <f>-'Target Price'!Y48/TargetConsumption!Y48/VLOOKUP($A48,DemElas!$A$21:$B$28,2,0)</f>
        <v>12.07035886744001</v>
      </c>
      <c r="Z48" s="2">
        <f>-'Target Price'!Z48/TargetConsumption!Z48/VLOOKUP($A48,DemElas!$A$21:$B$28,2,0)</f>
        <v>12.16037137263787</v>
      </c>
      <c r="AA48" s="2">
        <f>-'Target Price'!AA48/TargetConsumption!AA48/VLOOKUP($A48,DemElas!$A$21:$B$28,2,0)</f>
        <v>11.95085036380199</v>
      </c>
      <c r="AB48" s="2">
        <f>-'Target Price'!AB48/TargetConsumption!AB48/VLOOKUP($A48,DemElas!$A$21:$B$28,2,0)</f>
        <v>12.039971656077098</v>
      </c>
      <c r="AC48" s="2">
        <f>-'Target Price'!AC48/TargetConsumption!AC48/VLOOKUP($A48,DemElas!$A$21:$B$28,2,0)</f>
        <v>11.832525112675238</v>
      </c>
      <c r="AD48" s="2">
        <f>-'Target Price'!AD48/TargetConsumption!AD48/VLOOKUP($A48,DemElas!$A$21:$B$28,2,0)</f>
        <v>11.92076401591792</v>
      </c>
      <c r="AE48" s="2">
        <f>-'Target Price'!AE48/TargetConsumption!AE48/VLOOKUP($A48,DemElas!$A$21:$B$28,2,0)</f>
        <v>11.715371398688353</v>
      </c>
      <c r="AF48" s="2">
        <f>-'Target Price'!AF48/TargetConsumption!AF48/VLOOKUP($A48,DemElas!$A$21:$B$28,2,0)</f>
        <v>11.802736649423682</v>
      </c>
      <c r="AG48" s="2">
        <f>-'Target Price'!AG48/TargetConsumption!AG48/VLOOKUP($A48,DemElas!$A$21:$B$28,2,0)</f>
        <v>11.599377622463717</v>
      </c>
      <c r="AH48" s="2">
        <f>-'Target Price'!AH48/TargetConsumption!AH48/VLOOKUP($A48,DemElas!$A$21:$B$28,2,0)</f>
        <v>11.685877870716519</v>
      </c>
    </row>
    <row r="49" spans="1:34">
      <c r="A49" t="str">
        <f t="shared" si="2"/>
        <v>Vegetables</v>
      </c>
      <c r="B49" t="str">
        <f t="shared" si="3"/>
        <v>Amhara</v>
      </c>
      <c r="C49" s="2">
        <f>-'Target Price'!C49/TargetConsumption!C49/VLOOKUP($A49,DemElas!$A$21:$B$28,2,0)</f>
        <v>0.9641453207645132</v>
      </c>
      <c r="D49" s="2">
        <f>-'Target Price'!D49/TargetConsumption!D49/VLOOKUP($A49,DemElas!$A$21:$B$28,2,0)</f>
        <v>1.1977728821674314</v>
      </c>
      <c r="E49" s="2">
        <f>-'Target Price'!E49/TargetConsumption!E49/VLOOKUP($A49,DemElas!$A$21:$B$28,2,0)</f>
        <v>0.95459932748961707</v>
      </c>
      <c r="F49" s="2">
        <f>-'Target Price'!F49/TargetConsumption!F49/VLOOKUP($A49,DemElas!$A$21:$B$28,2,0)</f>
        <v>1.185913744720229</v>
      </c>
      <c r="G49" s="2">
        <f>-'Target Price'!G49/TargetConsumption!G49/VLOOKUP($A49,DemElas!$A$21:$B$28,2,0)</f>
        <v>0.94514784899962079</v>
      </c>
      <c r="H49" s="2">
        <f>-'Target Price'!H49/TargetConsumption!H49/VLOOKUP($A49,DemElas!$A$21:$B$28,2,0)</f>
        <v>1.1741720244754743</v>
      </c>
      <c r="I49" s="2">
        <f>-'Target Price'!I49/TargetConsumption!I49/VLOOKUP($A49,DemElas!$A$21:$B$28,2,0)</f>
        <v>0.93578994950457495</v>
      </c>
      <c r="J49" s="2">
        <f>-'Target Price'!J49/TargetConsumption!J49/VLOOKUP($A49,DemElas!$A$21:$B$28,2,0)</f>
        <v>1.162546558886608</v>
      </c>
      <c r="K49" s="2">
        <f>-'Target Price'!K49/TargetConsumption!K49/VLOOKUP($A49,DemElas!$A$21:$B$28,2,0)</f>
        <v>0.92652470247977725</v>
      </c>
      <c r="L49" s="2">
        <f>-'Target Price'!L49/TargetConsumption!L49/VLOOKUP($A49,DemElas!$A$21:$B$28,2,0)</f>
        <v>1.1510361969174339</v>
      </c>
      <c r="M49" s="2">
        <f>-'Target Price'!M49/TargetConsumption!M49/VLOOKUP($A49,DemElas!$A$21:$B$28,2,0)</f>
        <v>0.91735119057403691</v>
      </c>
      <c r="N49" s="2">
        <f>-'Target Price'!N49/TargetConsumption!N49/VLOOKUP($A49,DemElas!$A$21:$B$28,2,0)</f>
        <v>1.1396397989281524</v>
      </c>
      <c r="O49" s="2">
        <f>-'Target Price'!O49/TargetConsumption!O49/VLOOKUP($A49,DemElas!$A$21:$B$28,2,0)</f>
        <v>0.90826850551884841</v>
      </c>
      <c r="P49" s="2">
        <f>-'Target Price'!P49/TargetConsumption!P49/VLOOKUP($A49,DemElas!$A$21:$B$28,2,0)</f>
        <v>1.128356236562527</v>
      </c>
      <c r="Q49" s="2">
        <f>-'Target Price'!Q49/TargetConsumption!Q49/VLOOKUP($A49,DemElas!$A$21:$B$28,2,0)</f>
        <v>0.89927574803846377</v>
      </c>
      <c r="R49" s="2">
        <f>-'Target Price'!R49/TargetConsumption!R49/VLOOKUP($A49,DemElas!$A$21:$B$28,2,0)</f>
        <v>1.1171843926361655</v>
      </c>
      <c r="S49" s="2">
        <f>-'Target Price'!S49/TargetConsumption!S49/VLOOKUP($A49,DemElas!$A$21:$B$28,2,0)</f>
        <v>0.89037202776085511</v>
      </c>
      <c r="T49" s="2">
        <f>-'Target Price'!T49/TargetConsumption!T49/VLOOKUP($A49,DemElas!$A$21:$B$28,2,0)</f>
        <v>1.1061231610259064</v>
      </c>
      <c r="U49" s="2">
        <f>-'Target Price'!U49/TargetConsumption!U49/VLOOKUP($A49,DemElas!$A$21:$B$28,2,0)</f>
        <v>0.88155646312955949</v>
      </c>
      <c r="V49" s="2">
        <f>-'Target Price'!V49/TargetConsumption!V49/VLOOKUP($A49,DemElas!$A$21:$B$28,2,0)</f>
        <v>1.0951714465603033</v>
      </c>
      <c r="W49" s="2">
        <f>-'Target Price'!W49/TargetConsumption!W49/VLOOKUP($A49,DemElas!$A$21:$B$28,2,0)</f>
        <v>0.8728281813163955</v>
      </c>
      <c r="X49" s="2">
        <f>-'Target Price'!X49/TargetConsumption!X49/VLOOKUP($A49,DemElas!$A$21:$B$28,2,0)</f>
        <v>1.0843281649111911</v>
      </c>
      <c r="Y49" s="2">
        <f>-'Target Price'!Y49/TargetConsumption!Y49/VLOOKUP($A49,DemElas!$A$21:$B$28,2,0)</f>
        <v>0.86418631813504498</v>
      </c>
      <c r="Z49" s="2">
        <f>-'Target Price'!Z49/TargetConsumption!Z49/VLOOKUP($A49,DemElas!$A$21:$B$28,2,0)</f>
        <v>1.0735922424863278</v>
      </c>
      <c r="AA49" s="2">
        <f>-'Target Price'!AA49/TargetConsumption!AA49/VLOOKUP($A49,DemElas!$A$21:$B$28,2,0)</f>
        <v>0.8556300179554901</v>
      </c>
      <c r="AB49" s="2">
        <f>-'Target Price'!AB49/TargetConsumption!AB49/VLOOKUP($A49,DemElas!$A$21:$B$28,2,0)</f>
        <v>1.062962616323097</v>
      </c>
      <c r="AC49" s="2">
        <f>-'Target Price'!AC49/TargetConsumption!AC49/VLOOKUP($A49,DemElas!$A$21:$B$28,2,0)</f>
        <v>0.84715843361929699</v>
      </c>
      <c r="AD49" s="2">
        <f>-'Target Price'!AD49/TargetConsumption!AD49/VLOOKUP($A49,DemElas!$A$21:$B$28,2,0)</f>
        <v>1.0524382339832641</v>
      </c>
      <c r="AE49" s="2">
        <f>-'Target Price'!AE49/TargetConsumption!AE49/VLOOKUP($A49,DemElas!$A$21:$B$28,2,0)</f>
        <v>0.83877072635573957</v>
      </c>
      <c r="AF49" s="2">
        <f>-'Target Price'!AF49/TargetConsumption!AF49/VLOOKUP($A49,DemElas!$A$21:$B$28,2,0)</f>
        <v>1.0420180534487764</v>
      </c>
      <c r="AG49" s="2">
        <f>-'Target Price'!AG49/TargetConsumption!AG49/VLOOKUP($A49,DemElas!$A$21:$B$28,2,0)</f>
        <v>0.83046606569875214</v>
      </c>
      <c r="AH49" s="2">
        <f>-'Target Price'!AH49/TargetConsumption!AH49/VLOOKUP($A49,DemElas!$A$21:$B$28,2,0)</f>
        <v>1.0317010430185904</v>
      </c>
    </row>
    <row r="50" spans="1:34">
      <c r="A50" t="str">
        <f t="shared" si="2"/>
        <v>Vegetables</v>
      </c>
      <c r="B50" t="str">
        <f t="shared" si="3"/>
        <v>Gumuz</v>
      </c>
      <c r="C50" s="2">
        <f>-'Target Price'!C50/TargetConsumption!C50/VLOOKUP($A50,DemElas!$A$21:$B$28,2,0)</f>
        <v>21.265400440345712</v>
      </c>
      <c r="D50" s="2">
        <f>-'Target Price'!D50/TargetConsumption!D50/VLOOKUP($A50,DemElas!$A$21:$B$28,2,0)</f>
        <v>24.151261351388762</v>
      </c>
      <c r="E50" s="2">
        <f>-'Target Price'!E50/TargetConsumption!E50/VLOOKUP($A50,DemElas!$A$21:$B$28,2,0)</f>
        <v>21.054851921134372</v>
      </c>
      <c r="F50" s="2">
        <f>-'Target Price'!F50/TargetConsumption!F50/VLOOKUP($A50,DemElas!$A$21:$B$28,2,0)</f>
        <v>23.912139951870063</v>
      </c>
      <c r="G50" s="2">
        <f>-'Target Price'!G50/TargetConsumption!G50/VLOOKUP($A50,DemElas!$A$21:$B$28,2,0)</f>
        <v>20.846388040727099</v>
      </c>
      <c r="H50" s="2">
        <f>-'Target Price'!H50/TargetConsumption!H50/VLOOKUP($A50,DemElas!$A$21:$B$28,2,0)</f>
        <v>23.675386090960455</v>
      </c>
      <c r="I50" s="2">
        <f>-'Target Price'!I50/TargetConsumption!I50/VLOOKUP($A50,DemElas!$A$21:$B$28,2,0)</f>
        <v>20.639988159135743</v>
      </c>
      <c r="J50" s="2">
        <f>-'Target Price'!J50/TargetConsumption!J50/VLOOKUP($A50,DemElas!$A$21:$B$28,2,0)</f>
        <v>23.440976327683622</v>
      </c>
      <c r="K50" s="2">
        <f>-'Target Price'!K50/TargetConsumption!K50/VLOOKUP($A50,DemElas!$A$21:$B$28,2,0)</f>
        <v>20.435631840728455</v>
      </c>
      <c r="L50" s="2">
        <f>-'Target Price'!L50/TargetConsumption!L50/VLOOKUP($A50,DemElas!$A$21:$B$28,2,0)</f>
        <v>23.208887453152098</v>
      </c>
      <c r="M50" s="2">
        <f>-'Target Price'!M50/TargetConsumption!M50/VLOOKUP($A50,DemElas!$A$21:$B$28,2,0)</f>
        <v>20.233298852206392</v>
      </c>
      <c r="N50" s="2">
        <f>-'Target Price'!N50/TargetConsumption!N50/VLOOKUP($A50,DemElas!$A$21:$B$28,2,0)</f>
        <v>22.979096488269406</v>
      </c>
      <c r="O50" s="2">
        <f>-'Target Price'!O50/TargetConsumption!O50/VLOOKUP($A50,DemElas!$A$21:$B$28,2,0)</f>
        <v>20.032969160600388</v>
      </c>
      <c r="P50" s="2">
        <f>-'Target Price'!P50/TargetConsumption!P50/VLOOKUP($A50,DemElas!$A$21:$B$28,2,0)</f>
        <v>22.751580681454854</v>
      </c>
      <c r="Q50" s="2">
        <f>-'Target Price'!Q50/TargetConsumption!Q50/VLOOKUP($A50,DemElas!$A$21:$B$28,2,0)</f>
        <v>19.834622931287512</v>
      </c>
      <c r="R50" s="2">
        <f>-'Target Price'!R50/TargetConsumption!R50/VLOOKUP($A50,DemElas!$A$21:$B$28,2,0)</f>
        <v>22.526317506390946</v>
      </c>
      <c r="S50" s="2">
        <f>-'Target Price'!S50/TargetConsumption!S50/VLOOKUP($A50,DemElas!$A$21:$B$28,2,0)</f>
        <v>19.638240526027239</v>
      </c>
      <c r="T50" s="2">
        <f>-'Target Price'!T50/TargetConsumption!T50/VLOOKUP($A50,DemElas!$A$21:$B$28,2,0)</f>
        <v>22.303284659793018</v>
      </c>
      <c r="U50" s="2">
        <f>-'Target Price'!U50/TargetConsumption!U50/VLOOKUP($A50,DemElas!$A$21:$B$28,2,0)</f>
        <v>19.443802501017071</v>
      </c>
      <c r="V50" s="2">
        <f>-'Target Price'!V50/TargetConsumption!V50/VLOOKUP($A50,DemElas!$A$21:$B$28,2,0)</f>
        <v>22.082460059201008</v>
      </c>
      <c r="W50" s="2">
        <f>-'Target Price'!W50/TargetConsumption!W50/VLOOKUP($A50,DemElas!$A$21:$B$28,2,0)</f>
        <v>19.251289604967397</v>
      </c>
      <c r="X50" s="2">
        <f>-'Target Price'!X50/TargetConsumption!X50/VLOOKUP($A50,DemElas!$A$21:$B$28,2,0)</f>
        <v>21.863821840793076</v>
      </c>
      <c r="Y50" s="2">
        <f>-'Target Price'!Y50/TargetConsumption!Y50/VLOOKUP($A50,DemElas!$A$21:$B$28,2,0)</f>
        <v>19.060682777195442</v>
      </c>
      <c r="Z50" s="2">
        <f>-'Target Price'!Z50/TargetConsumption!Z50/VLOOKUP($A50,DemElas!$A$21:$B$28,2,0)</f>
        <v>21.647348357220867</v>
      </c>
      <c r="AA50" s="2">
        <f>-'Target Price'!AA50/TargetConsumption!AA50/VLOOKUP($A50,DemElas!$A$21:$B$28,2,0)</f>
        <v>18.871963145738064</v>
      </c>
      <c r="AB50" s="2">
        <f>-'Target Price'!AB50/TargetConsumption!AB50/VLOOKUP($A50,DemElas!$A$21:$B$28,2,0)</f>
        <v>21.433018175466209</v>
      </c>
      <c r="AC50" s="2">
        <f>-'Target Price'!AC50/TargetConsumption!AC50/VLOOKUP($A50,DemElas!$A$21:$B$28,2,0)</f>
        <v>18.685112025483232</v>
      </c>
      <c r="AD50" s="2">
        <f>-'Target Price'!AD50/TargetConsumption!AD50/VLOOKUP($A50,DemElas!$A$21:$B$28,2,0)</f>
        <v>21.220810074719019</v>
      </c>
      <c r="AE50" s="2">
        <f>-'Target Price'!AE50/TargetConsumption!AE50/VLOOKUP($A50,DemElas!$A$21:$B$28,2,0)</f>
        <v>18.500110916320029</v>
      </c>
      <c r="AF50" s="2">
        <f>-'Target Price'!AF50/TargetConsumption!AF50/VLOOKUP($A50,DemElas!$A$21:$B$28,2,0)</f>
        <v>21.010703044276255</v>
      </c>
      <c r="AG50" s="2">
        <f>-'Target Price'!AG50/TargetConsumption!AG50/VLOOKUP($A50,DemElas!$A$21:$B$28,2,0)</f>
        <v>18.316941501306957</v>
      </c>
      <c r="AH50" s="2">
        <f>-'Target Price'!AH50/TargetConsumption!AH50/VLOOKUP($A50,DemElas!$A$21:$B$28,2,0)</f>
        <v>20.802676281461636</v>
      </c>
    </row>
    <row r="51" spans="1:34">
      <c r="A51" t="str">
        <f t="shared" si="2"/>
        <v>Vegetables</v>
      </c>
      <c r="B51" t="str">
        <f t="shared" si="3"/>
        <v>DireDawa</v>
      </c>
      <c r="C51" s="2">
        <f>-'Target Price'!C51/TargetConsumption!C51/VLOOKUP($A51,DemElas!$A$21:$B$28,2,0)</f>
        <v>51.160712921483139</v>
      </c>
      <c r="D51" s="2">
        <f>-'Target Price'!D51/TargetConsumption!D51/VLOOKUP($A51,DemElas!$A$21:$B$28,2,0)</f>
        <v>51.86433353781765</v>
      </c>
      <c r="E51" s="2">
        <f>-'Target Price'!E51/TargetConsumption!E51/VLOOKUP($A51,DemElas!$A$21:$B$28,2,0)</f>
        <v>50.654171209389247</v>
      </c>
      <c r="F51" s="2">
        <f>-'Target Price'!F51/TargetConsumption!F51/VLOOKUP($A51,DemElas!$A$21:$B$28,2,0)</f>
        <v>51.350825284967968</v>
      </c>
      <c r="G51" s="2">
        <f>-'Target Price'!G51/TargetConsumption!G51/VLOOKUP($A51,DemElas!$A$21:$B$28,2,0)</f>
        <v>50.152644761771533</v>
      </c>
      <c r="H51" s="2">
        <f>-'Target Price'!H51/TargetConsumption!H51/VLOOKUP($A51,DemElas!$A$21:$B$28,2,0)</f>
        <v>50.842401272245525</v>
      </c>
      <c r="I51" s="2">
        <f>-'Target Price'!I51/TargetConsumption!I51/VLOOKUP($A51,DemElas!$A$21:$B$28,2,0)</f>
        <v>49.656083922546074</v>
      </c>
      <c r="J51" s="2">
        <f>-'Target Price'!J51/TargetConsumption!J51/VLOOKUP($A51,DemElas!$A$21:$B$28,2,0)</f>
        <v>50.339011160639124</v>
      </c>
      <c r="K51" s="2">
        <f>-'Target Price'!K51/TargetConsumption!K51/VLOOKUP($A51,DemElas!$A$21:$B$28,2,0)</f>
        <v>49.164439527273338</v>
      </c>
      <c r="L51" s="2">
        <f>-'Target Price'!L51/TargetConsumption!L51/VLOOKUP($A51,DemElas!$A$21:$B$28,2,0)</f>
        <v>49.840605109543695</v>
      </c>
      <c r="M51" s="2">
        <f>-'Target Price'!M51/TargetConsumption!M51/VLOOKUP($A51,DemElas!$A$21:$B$28,2,0)</f>
        <v>48.677662898290436</v>
      </c>
      <c r="N51" s="2">
        <f>-'Target Price'!N51/TargetConsumption!N51/VLOOKUP($A51,DemElas!$A$21:$B$28,2,0)</f>
        <v>49.347133771825433</v>
      </c>
      <c r="O51" s="2">
        <f>-'Target Price'!O51/TargetConsumption!O51/VLOOKUP($A51,DemElas!$A$21:$B$28,2,0)</f>
        <v>48.195705839891517</v>
      </c>
      <c r="P51" s="2">
        <f>-'Target Price'!P51/TargetConsumption!P51/VLOOKUP($A51,DemElas!$A$21:$B$28,2,0)</f>
        <v>48.85854828893607</v>
      </c>
      <c r="Q51" s="2">
        <f>-'Target Price'!Q51/TargetConsumption!Q51/VLOOKUP($A51,DemElas!$A$21:$B$28,2,0)</f>
        <v>47.718520633555954</v>
      </c>
      <c r="R51" s="2">
        <f>-'Target Price'!R51/TargetConsumption!R51/VLOOKUP($A51,DemElas!$A$21:$B$28,2,0)</f>
        <v>48.374800286075313</v>
      </c>
      <c r="S51" s="2">
        <f>-'Target Price'!S51/TargetConsumption!S51/VLOOKUP($A51,DemElas!$A$21:$B$28,2,0)</f>
        <v>47.246060033223721</v>
      </c>
      <c r="T51" s="2">
        <f>-'Target Price'!T51/TargetConsumption!T51/VLOOKUP($A51,DemElas!$A$21:$B$28,2,0)</f>
        <v>47.895841867401302</v>
      </c>
      <c r="U51" s="2">
        <f>-'Target Price'!U51/TargetConsumption!U51/VLOOKUP($A51,DemElas!$A$21:$B$28,2,0)</f>
        <v>46.77827726061755</v>
      </c>
      <c r="V51" s="2">
        <f>-'Target Price'!V51/TargetConsumption!V51/VLOOKUP($A51,DemElas!$A$21:$B$28,2,0)</f>
        <v>47.42162561128842</v>
      </c>
      <c r="W51" s="2">
        <f>-'Target Price'!W51/TargetConsumption!W51/VLOOKUP($A51,DemElas!$A$21:$B$28,2,0)</f>
        <v>46.315126000611428</v>
      </c>
      <c r="X51" s="2">
        <f>-'Target Price'!X51/TargetConsumption!X51/VLOOKUP($A51,DemElas!$A$21:$B$28,2,0)</f>
        <v>46.952104565632098</v>
      </c>
      <c r="Y51" s="2">
        <f>-'Target Price'!Y51/TargetConsumption!Y51/VLOOKUP($A51,DemElas!$A$21:$B$28,2,0)</f>
        <v>45.85656039664498</v>
      </c>
      <c r="Z51" s="2">
        <f>-'Target Price'!Z51/TargetConsumption!Z51/VLOOKUP($A51,DemElas!$A$21:$B$28,2,0)</f>
        <v>46.487232243200097</v>
      </c>
      <c r="AA51" s="2">
        <f>-'Target Price'!AA51/TargetConsumption!AA51/VLOOKUP($A51,DemElas!$A$21:$B$28,2,0)</f>
        <v>45.402535046183147</v>
      </c>
      <c r="AB51" s="2">
        <f>-'Target Price'!AB51/TargetConsumption!AB51/VLOOKUP($A51,DemElas!$A$21:$B$28,2,0)</f>
        <v>46.026962617029803</v>
      </c>
      <c r="AC51" s="2">
        <f>-'Target Price'!AC51/TargetConsumption!AC51/VLOOKUP($A51,DemElas!$A$21:$B$28,2,0)</f>
        <v>44.95300499622094</v>
      </c>
      <c r="AD51" s="2">
        <f>-'Target Price'!AD51/TargetConsumption!AD51/VLOOKUP($A51,DemElas!$A$21:$B$28,2,0)</f>
        <v>45.571250115871095</v>
      </c>
      <c r="AE51" s="2">
        <f>-'Target Price'!AE51/TargetConsumption!AE51/VLOOKUP($A51,DemElas!$A$21:$B$28,2,0)</f>
        <v>44.507925738832611</v>
      </c>
      <c r="AF51" s="2">
        <f>-'Target Price'!AF51/TargetConsumption!AF51/VLOOKUP($A51,DemElas!$A$21:$B$28,2,0)</f>
        <v>45.120049619674347</v>
      </c>
      <c r="AG51" s="2">
        <f>-'Target Price'!AG51/TargetConsumption!AG51/VLOOKUP($A51,DemElas!$A$21:$B$28,2,0)</f>
        <v>44.067253206764967</v>
      </c>
      <c r="AH51" s="2">
        <f>-'Target Price'!AH51/TargetConsumption!AH51/VLOOKUP($A51,DemElas!$A$21:$B$28,2,0)</f>
        <v>44.673316455123121</v>
      </c>
    </row>
    <row r="52" spans="1:34">
      <c r="A52" t="str">
        <f t="shared" si="2"/>
        <v>Vegetables</v>
      </c>
      <c r="B52" t="str">
        <f t="shared" si="3"/>
        <v>Gambela</v>
      </c>
      <c r="C52" s="2">
        <f>-'Target Price'!C52/TargetConsumption!C52/VLOOKUP($A52,DemElas!$A$21:$B$28,2,0)</f>
        <v>52.567676638489949</v>
      </c>
      <c r="D52" s="2">
        <f>-'Target Price'!D52/TargetConsumption!D52/VLOOKUP($A52,DemElas!$A$21:$B$28,2,0)</f>
        <v>58.985321471630598</v>
      </c>
      <c r="E52" s="2">
        <f>-'Target Price'!E52/TargetConsumption!E52/VLOOKUP($A52,DemElas!$A$21:$B$28,2,0)</f>
        <v>52.047204592564306</v>
      </c>
      <c r="F52" s="2">
        <f>-'Target Price'!F52/TargetConsumption!F52/VLOOKUP($A52,DemElas!$A$21:$B$28,2,0)</f>
        <v>58.401308387753062</v>
      </c>
      <c r="G52" s="2">
        <f>-'Target Price'!G52/TargetConsumption!G52/VLOOKUP($A52,DemElas!$A$21:$B$28,2,0)</f>
        <v>51.531885735212185</v>
      </c>
      <c r="H52" s="2">
        <f>-'Target Price'!H52/TargetConsumption!H52/VLOOKUP($A52,DemElas!$A$21:$B$28,2,0)</f>
        <v>57.823077611636698</v>
      </c>
      <c r="I52" s="2">
        <f>-'Target Price'!I52/TargetConsumption!I52/VLOOKUP($A52,DemElas!$A$21:$B$28,2,0)</f>
        <v>51.021669044764536</v>
      </c>
      <c r="J52" s="2">
        <f>-'Target Price'!J52/TargetConsumption!J52/VLOOKUP($A52,DemElas!$A$21:$B$28,2,0)</f>
        <v>57.250571892709601</v>
      </c>
      <c r="K52" s="2">
        <f>-'Target Price'!K52/TargetConsumption!K52/VLOOKUP($A52,DemElas!$A$21:$B$28,2,0)</f>
        <v>50.516504004717362</v>
      </c>
      <c r="L52" s="2">
        <f>-'Target Price'!L52/TargetConsumption!L52/VLOOKUP($A52,DemElas!$A$21:$B$28,2,0)</f>
        <v>56.683734547237222</v>
      </c>
      <c r="M52" s="2">
        <f>-'Target Price'!M52/TargetConsumption!M52/VLOOKUP($A52,DemElas!$A$21:$B$28,2,0)</f>
        <v>50.016340598730061</v>
      </c>
      <c r="N52" s="2">
        <f>-'Target Price'!N52/TargetConsumption!N52/VLOOKUP($A52,DemElas!$A$21:$B$28,2,0)</f>
        <v>56.122509452710126</v>
      </c>
      <c r="O52" s="2">
        <f>-'Target Price'!O52/TargetConsumption!O52/VLOOKUP($A52,DemElas!$A$21:$B$28,2,0)</f>
        <v>49.521129305673327</v>
      </c>
      <c r="P52" s="2">
        <f>-'Target Price'!P52/TargetConsumption!P52/VLOOKUP($A52,DemElas!$A$21:$B$28,2,0)</f>
        <v>55.566841042287251</v>
      </c>
      <c r="Q52" s="2">
        <f>-'Target Price'!Q52/TargetConsumption!Q52/VLOOKUP($A52,DemElas!$A$21:$B$28,2,0)</f>
        <v>49.030821094726058</v>
      </c>
      <c r="R52" s="2">
        <f>-'Target Price'!R52/TargetConsumption!R52/VLOOKUP($A52,DemElas!$A$21:$B$28,2,0)</f>
        <v>55.016674299294309</v>
      </c>
      <c r="S52" s="2">
        <f>-'Target Price'!S52/TargetConsumption!S52/VLOOKUP($A52,DemElas!$A$21:$B$28,2,0)</f>
        <v>48.545367420520854</v>
      </c>
      <c r="T52" s="2">
        <f>-'Target Price'!T52/TargetConsumption!T52/VLOOKUP($A52,DemElas!$A$21:$B$28,2,0)</f>
        <v>54.471954751776536</v>
      </c>
      <c r="U52" s="2">
        <f>-'Target Price'!U52/TargetConsumption!U52/VLOOKUP($A52,DemElas!$A$21:$B$28,2,0)</f>
        <v>48.064720218337477</v>
      </c>
      <c r="V52" s="2">
        <f>-'Target Price'!V52/TargetConsumption!V52/VLOOKUP($A52,DemElas!$A$21:$B$28,2,0)</f>
        <v>53.932628467105481</v>
      </c>
      <c r="W52" s="2">
        <f>-'Target Price'!W52/TargetConsumption!W52/VLOOKUP($A52,DemElas!$A$21:$B$28,2,0)</f>
        <v>47.588831899344036</v>
      </c>
      <c r="X52" s="2">
        <f>-'Target Price'!X52/TargetConsumption!X52/VLOOKUP($A52,DemElas!$A$21:$B$28,2,0)</f>
        <v>53.398642046639083</v>
      </c>
      <c r="Y52" s="2">
        <f>-'Target Price'!Y52/TargetConsumption!Y52/VLOOKUP($A52,DemElas!$A$21:$B$28,2,0)</f>
        <v>47.117655345885183</v>
      </c>
      <c r="Z52" s="2">
        <f>-'Target Price'!Z52/TargetConsumption!Z52/VLOOKUP($A52,DemElas!$A$21:$B$28,2,0)</f>
        <v>52.869942620434742</v>
      </c>
      <c r="AA52" s="2">
        <f>-'Target Price'!AA52/TargetConsumption!AA52/VLOOKUP($A52,DemElas!$A$21:$B$28,2,0)</f>
        <v>46.651143906817012</v>
      </c>
      <c r="AB52" s="2">
        <f>-'Target Price'!AB52/TargetConsumption!AB52/VLOOKUP($A52,DemElas!$A$21:$B$28,2,0)</f>
        <v>52.3464778420146</v>
      </c>
      <c r="AC52" s="2">
        <f>-'Target Price'!AC52/TargetConsumption!AC52/VLOOKUP($A52,DemElas!$A$21:$B$28,2,0)</f>
        <v>46.189251392888131</v>
      </c>
      <c r="AD52" s="2">
        <f>-'Target Price'!AD52/TargetConsumption!AD52/VLOOKUP($A52,DemElas!$A$21:$B$28,2,0)</f>
        <v>51.828195883182772</v>
      </c>
      <c r="AE52" s="2">
        <f>-'Target Price'!AE52/TargetConsumption!AE52/VLOOKUP($A52,DemElas!$A$21:$B$28,2,0)</f>
        <v>45.731932072166472</v>
      </c>
      <c r="AF52" s="2">
        <f>-'Target Price'!AF52/TargetConsumption!AF52/VLOOKUP($A52,DemElas!$A$21:$B$28,2,0)</f>
        <v>51.315045428893832</v>
      </c>
      <c r="AG52" s="2">
        <f>-'Target Price'!AG52/TargetConsumption!AG52/VLOOKUP($A52,DemElas!$A$21:$B$28,2,0)</f>
        <v>45.279140665511349</v>
      </c>
      <c r="AH52" s="2">
        <f>-'Target Price'!AH52/TargetConsumption!AH52/VLOOKUP($A52,DemElas!$A$21:$B$28,2,0)</f>
        <v>50.806975672172108</v>
      </c>
    </row>
    <row r="53" spans="1:34">
      <c r="A53" t="str">
        <f t="shared" si="2"/>
        <v>Vegetables</v>
      </c>
      <c r="B53" t="str">
        <f t="shared" si="3"/>
        <v>Harari</v>
      </c>
      <c r="C53" s="2">
        <f>-'Target Price'!C53/TargetConsumption!C53/VLOOKUP($A53,DemElas!$A$21:$B$28,2,0)</f>
        <v>90.652271945233579</v>
      </c>
      <c r="D53" s="2">
        <f>-'Target Price'!D53/TargetConsumption!D53/VLOOKUP($A53,DemElas!$A$21:$B$28,2,0)</f>
        <v>109.57070955562142</v>
      </c>
      <c r="E53" s="2">
        <f>-'Target Price'!E53/TargetConsumption!E53/VLOOKUP($A53,DemElas!$A$21:$B$28,2,0)</f>
        <v>89.754724698251053</v>
      </c>
      <c r="F53" s="2">
        <f>-'Target Price'!F53/TargetConsumption!F53/VLOOKUP($A53,DemElas!$A$21:$B$28,2,0)</f>
        <v>108.48585104516972</v>
      </c>
      <c r="G53" s="2">
        <f>-'Target Price'!G53/TargetConsumption!G53/VLOOKUP($A53,DemElas!$A$21:$B$28,2,0)</f>
        <v>88.866064057674308</v>
      </c>
      <c r="H53" s="2">
        <f>-'Target Price'!H53/TargetConsumption!H53/VLOOKUP($A53,DemElas!$A$21:$B$28,2,0)</f>
        <v>107.41173370808883</v>
      </c>
      <c r="I53" s="2">
        <f>-'Target Price'!I53/TargetConsumption!I53/VLOOKUP($A53,DemElas!$A$21:$B$28,2,0)</f>
        <v>87.986202037301297</v>
      </c>
      <c r="J53" s="2">
        <f>-'Target Price'!J53/TargetConsumption!J53/VLOOKUP($A53,DemElas!$A$21:$B$28,2,0)</f>
        <v>106.34825119612755</v>
      </c>
      <c r="K53" s="2">
        <f>-'Target Price'!K53/TargetConsumption!K53/VLOOKUP($A53,DemElas!$A$21:$B$28,2,0)</f>
        <v>87.115051522080478</v>
      </c>
      <c r="L53" s="2">
        <f>-'Target Price'!L53/TargetConsumption!L53/VLOOKUP($A53,DemElas!$A$21:$B$28,2,0)</f>
        <v>105.29529821398766</v>
      </c>
      <c r="M53" s="2">
        <f>-'Target Price'!M53/TargetConsumption!M53/VLOOKUP($A53,DemElas!$A$21:$B$28,2,0)</f>
        <v>86.252526259485634</v>
      </c>
      <c r="N53" s="2">
        <f>-'Target Price'!N53/TargetConsumption!N53/VLOOKUP($A53,DemElas!$A$21:$B$28,2,0)</f>
        <v>104.25277050889868</v>
      </c>
      <c r="O53" s="2">
        <f>-'Target Price'!O53/TargetConsumption!O53/VLOOKUP($A53,DemElas!$A$21:$B$28,2,0)</f>
        <v>85.398540850975863</v>
      </c>
      <c r="P53" s="2">
        <f>-'Target Price'!P53/TargetConsumption!P53/VLOOKUP($A53,DemElas!$A$21:$B$28,2,0)</f>
        <v>103.22056486029571</v>
      </c>
      <c r="Q53" s="2">
        <f>-'Target Price'!Q53/TargetConsumption!Q53/VLOOKUP($A53,DemElas!$A$21:$B$28,2,0)</f>
        <v>84.553010743540455</v>
      </c>
      <c r="R53" s="2">
        <f>-'Target Price'!R53/TargetConsumption!R53/VLOOKUP($A53,DemElas!$A$21:$B$28,2,0)</f>
        <v>102.19857906959972</v>
      </c>
      <c r="S53" s="2">
        <f>-'Target Price'!S53/TargetConsumption!S53/VLOOKUP($A53,DemElas!$A$21:$B$28,2,0)</f>
        <v>83.715852221327182</v>
      </c>
      <c r="T53" s="2">
        <f>-'Target Price'!T53/TargetConsumption!T53/VLOOKUP($A53,DemElas!$A$21:$B$28,2,0)</f>
        <v>101.18671195009873</v>
      </c>
      <c r="U53" s="2">
        <f>-'Target Price'!U53/TargetConsumption!U53/VLOOKUP($A53,DemElas!$A$21:$B$28,2,0)</f>
        <v>82.886982397353648</v>
      </c>
      <c r="V53" s="2">
        <f>-'Target Price'!V53/TargetConsumption!V53/VLOOKUP($A53,DemElas!$A$21:$B$28,2,0)</f>
        <v>100.18486331692942</v>
      </c>
      <c r="W53" s="2">
        <f>-'Target Price'!W53/TargetConsumption!W53/VLOOKUP($A53,DemElas!$A$21:$B$28,2,0)</f>
        <v>82.066319205300644</v>
      </c>
      <c r="X53" s="2">
        <f>-'Target Price'!X53/TargetConsumption!X53/VLOOKUP($A53,DemElas!$A$21:$B$28,2,0)</f>
        <v>99.19293397715785</v>
      </c>
      <c r="Y53" s="2">
        <f>-'Target Price'!Y53/TargetConsumption!Y53/VLOOKUP($A53,DemElas!$A$21:$B$28,2,0)</f>
        <v>81.253781391386781</v>
      </c>
      <c r="Z53" s="2">
        <f>-'Target Price'!Z53/TargetConsumption!Z53/VLOOKUP($A53,DemElas!$A$21:$B$28,2,0)</f>
        <v>98.210825719958279</v>
      </c>
      <c r="AA53" s="2">
        <f>-'Target Price'!AA53/TargetConsumption!AA53/VLOOKUP($A53,DemElas!$A$21:$B$28,2,0)</f>
        <v>80.449288506323541</v>
      </c>
      <c r="AB53" s="2">
        <f>-'Target Price'!AB53/TargetConsumption!AB53/VLOOKUP($A53,DemElas!$A$21:$B$28,2,0)</f>
        <v>97.238441306889371</v>
      </c>
      <c r="AC53" s="2">
        <f>-'Target Price'!AC53/TargetConsumption!AC53/VLOOKUP($A53,DemElas!$A$21:$B$28,2,0)</f>
        <v>79.652760897350035</v>
      </c>
      <c r="AD53" s="2">
        <f>-'Target Price'!AD53/TargetConsumption!AD53/VLOOKUP($A53,DemElas!$A$21:$B$28,2,0)</f>
        <v>96.27568446226671</v>
      </c>
      <c r="AE53" s="2">
        <f>-'Target Price'!AE53/TargetConsumption!AE53/VLOOKUP($A53,DemElas!$A$21:$B$28,2,0)</f>
        <v>78.864119700346563</v>
      </c>
      <c r="AF53" s="2">
        <f>-'Target Price'!AF53/TargetConsumption!AF53/VLOOKUP($A53,DemElas!$A$21:$B$28,2,0)</f>
        <v>95.322459863630399</v>
      </c>
      <c r="AG53" s="2">
        <f>-'Target Price'!AG53/TargetConsumption!AG53/VLOOKUP($A53,DemElas!$A$21:$B$28,2,0)</f>
        <v>78.083286832026289</v>
      </c>
      <c r="AH53" s="2">
        <f>-'Target Price'!AH53/TargetConsumption!AH53/VLOOKUP($A53,DemElas!$A$21:$B$28,2,0)</f>
        <v>94.378673132307327</v>
      </c>
    </row>
    <row r="54" spans="1:34">
      <c r="A54" t="str">
        <f t="shared" si="2"/>
        <v>Vegetables</v>
      </c>
      <c r="B54" t="str">
        <f t="shared" si="3"/>
        <v>Oromia</v>
      </c>
      <c r="C54" s="2">
        <f>-'Target Price'!C54/TargetConsumption!C54/VLOOKUP($A54,DemElas!$A$21:$B$28,2,0)</f>
        <v>0.63145797671916004</v>
      </c>
      <c r="D54" s="2">
        <f>-'Target Price'!D54/TargetConsumption!D54/VLOOKUP($A54,DemElas!$A$21:$B$28,2,0)</f>
        <v>0.76487574119700719</v>
      </c>
      <c r="E54" s="2">
        <f>-'Target Price'!E54/TargetConsumption!E54/VLOOKUP($A54,DemElas!$A$21:$B$28,2,0)</f>
        <v>0.62520591754372279</v>
      </c>
      <c r="F54" s="2">
        <f>-'Target Price'!F54/TargetConsumption!F54/VLOOKUP($A54,DemElas!$A$21:$B$28,2,0)</f>
        <v>0.75730271405644267</v>
      </c>
      <c r="G54" s="2">
        <f>-'Target Price'!G54/TargetConsumption!G54/VLOOKUP($A54,DemElas!$A$21:$B$28,2,0)</f>
        <v>0.61901575994428004</v>
      </c>
      <c r="H54" s="2">
        <f>-'Target Price'!H54/TargetConsumption!H54/VLOOKUP($A54,DemElas!$A$21:$B$28,2,0)</f>
        <v>0.74980466738261653</v>
      </c>
      <c r="I54" s="2">
        <f>-'Target Price'!I54/TargetConsumption!I54/VLOOKUP($A54,DemElas!$A$21:$B$28,2,0)</f>
        <v>0.61288689103394056</v>
      </c>
      <c r="J54" s="2">
        <f>-'Target Price'!J54/TargetConsumption!J54/VLOOKUP($A54,DemElas!$A$21:$B$28,2,0)</f>
        <v>0.74238085879466986</v>
      </c>
      <c r="K54" s="2">
        <f>-'Target Price'!K54/TargetConsumption!K54/VLOOKUP($A54,DemElas!$A$21:$B$28,2,0)</f>
        <v>0.60681870399400051</v>
      </c>
      <c r="L54" s="2">
        <f>-'Target Price'!L54/TargetConsumption!L54/VLOOKUP($A54,DemElas!$A$21:$B$28,2,0)</f>
        <v>0.73503055326204936</v>
      </c>
      <c r="M54" s="2">
        <f>-'Target Price'!M54/TargetConsumption!M54/VLOOKUP($A54,DemElas!$A$21:$B$28,2,0)</f>
        <v>0.60081059801386194</v>
      </c>
      <c r="N54" s="2">
        <f>-'Target Price'!N54/TargetConsumption!N54/VLOOKUP($A54,DemElas!$A$21:$B$28,2,0)</f>
        <v>0.72775302303173195</v>
      </c>
      <c r="O54" s="2">
        <f>-'Target Price'!O54/TargetConsumption!O54/VLOOKUP($A54,DemElas!$A$21:$B$28,2,0)</f>
        <v>0.59486197823154641</v>
      </c>
      <c r="P54" s="2">
        <f>-'Target Price'!P54/TargetConsumption!P54/VLOOKUP($A54,DemElas!$A$21:$B$28,2,0)</f>
        <v>0.72054754755617034</v>
      </c>
      <c r="Q54" s="2">
        <f>-'Target Price'!Q54/TargetConsumption!Q54/VLOOKUP($A54,DemElas!$A$21:$B$28,2,0)</f>
        <v>0.58897225567479849</v>
      </c>
      <c r="R54" s="2">
        <f>-'Target Price'!R54/TargetConsumption!R54/VLOOKUP($A54,DemElas!$A$21:$B$28,2,0)</f>
        <v>0.71341341342195064</v>
      </c>
      <c r="S54" s="2">
        <f>-'Target Price'!S54/TargetConsumption!S54/VLOOKUP($A54,DemElas!$A$21:$B$28,2,0)</f>
        <v>0.58314084720277082</v>
      </c>
      <c r="T54" s="2">
        <f>-'Target Price'!T54/TargetConsumption!T54/VLOOKUP($A54,DemElas!$A$21:$B$28,2,0)</f>
        <v>0.70634991427915916</v>
      </c>
      <c r="U54" s="2">
        <f>-'Target Price'!U54/TargetConsumption!U54/VLOOKUP($A54,DemElas!$A$21:$B$28,2,0)</f>
        <v>0.57736717544828786</v>
      </c>
      <c r="V54" s="2">
        <f>-'Target Price'!V54/TargetConsumption!V54/VLOOKUP($A54,DemElas!$A$21:$B$28,2,0)</f>
        <v>0.69935635077144465</v>
      </c>
      <c r="W54" s="2">
        <f>-'Target Price'!W54/TargetConsumption!W54/VLOOKUP($A54,DemElas!$A$21:$B$28,2,0)</f>
        <v>0.57165066876068094</v>
      </c>
      <c r="X54" s="2">
        <f>-'Target Price'!X54/TargetConsumption!X54/VLOOKUP($A54,DemElas!$A$21:$B$28,2,0)</f>
        <v>0.69243203046677693</v>
      </c>
      <c r="Y54" s="2">
        <f>-'Target Price'!Y54/TargetConsumption!Y54/VLOOKUP($A54,DemElas!$A$21:$B$28,2,0)</f>
        <v>0.565990761149189</v>
      </c>
      <c r="Z54" s="2">
        <f>-'Target Price'!Z54/TargetConsumption!Z54/VLOOKUP($A54,DemElas!$A$21:$B$28,2,0)</f>
        <v>0.68557626778888792</v>
      </c>
      <c r="AA54" s="2">
        <f>-'Target Price'!AA54/TargetConsumption!AA54/VLOOKUP($A54,DemElas!$A$21:$B$28,2,0)</f>
        <v>0.56038689222691984</v>
      </c>
      <c r="AB54" s="2">
        <f>-'Target Price'!AB54/TargetConsumption!AB54/VLOOKUP($A54,DemElas!$A$21:$B$28,2,0)</f>
        <v>0.67878838394939389</v>
      </c>
      <c r="AC54" s="2">
        <f>-'Target Price'!AC54/TargetConsumption!AC54/VLOOKUP($A54,DemElas!$A$21:$B$28,2,0)</f>
        <v>0.55483850715536609</v>
      </c>
      <c r="AD54" s="2">
        <f>-'Target Price'!AD54/TargetConsumption!AD54/VLOOKUP($A54,DemElas!$A$21:$B$28,2,0)</f>
        <v>0.67206770688058803</v>
      </c>
      <c r="AE54" s="2">
        <f>-'Target Price'!AE54/TargetConsumption!AE54/VLOOKUP($A54,DemElas!$A$21:$B$28,2,0)</f>
        <v>0.54934505658947141</v>
      </c>
      <c r="AF54" s="2">
        <f>-'Target Price'!AF54/TargetConsumption!AF54/VLOOKUP($A54,DemElas!$A$21:$B$28,2,0)</f>
        <v>0.6654135711688991</v>
      </c>
      <c r="AG54" s="2">
        <f>-'Target Price'!AG54/TargetConsumption!AG54/VLOOKUP($A54,DemElas!$A$21:$B$28,2,0)</f>
        <v>0.54390599662323913</v>
      </c>
      <c r="AH54" s="2">
        <f>-'Target Price'!AH54/TargetConsumption!AH54/VLOOKUP($A54,DemElas!$A$21:$B$28,2,0)</f>
        <v>0.65882531798900901</v>
      </c>
    </row>
    <row r="55" spans="1:34">
      <c r="A55" t="str">
        <f t="shared" si="2"/>
        <v>Vegetables</v>
      </c>
      <c r="B55" t="str">
        <f t="shared" si="3"/>
        <v>Somali</v>
      </c>
      <c r="C55" s="2">
        <f>-'Target Price'!C55/TargetConsumption!C55/VLOOKUP($A55,DemElas!$A$21:$B$28,2,0)</f>
        <v>3.4989499590866573</v>
      </c>
      <c r="D55" s="2">
        <f>-'Target Price'!D55/TargetConsumption!D55/VLOOKUP($A55,DemElas!$A$21:$B$28,2,0)</f>
        <v>4.2906046077302529</v>
      </c>
      <c r="E55" s="2">
        <f>-'Target Price'!E55/TargetConsumption!E55/VLOOKUP($A55,DemElas!$A$21:$B$28,2,0)</f>
        <v>3.4643068901848095</v>
      </c>
      <c r="F55" s="2">
        <f>-'Target Price'!F55/TargetConsumption!F55/VLOOKUP($A55,DemElas!$A$21:$B$28,2,0)</f>
        <v>4.2481233739903503</v>
      </c>
      <c r="G55" s="2">
        <f>-'Target Price'!G55/TargetConsumption!G55/VLOOKUP($A55,DemElas!$A$21:$B$28,2,0)</f>
        <v>3.4300068219651583</v>
      </c>
      <c r="H55" s="2">
        <f>-'Target Price'!H55/TargetConsumption!H55/VLOOKUP($A55,DemElas!$A$21:$B$28,2,0)</f>
        <v>4.2060627465250997</v>
      </c>
      <c r="I55" s="2">
        <f>-'Target Price'!I55/TargetConsumption!I55/VLOOKUP($A55,DemElas!$A$21:$B$28,2,0)</f>
        <v>3.3960463583813443</v>
      </c>
      <c r="J55" s="2">
        <f>-'Target Price'!J55/TargetConsumption!J55/VLOOKUP($A55,DemElas!$A$21:$B$28,2,0)</f>
        <v>4.1644185609159399</v>
      </c>
      <c r="K55" s="2">
        <f>-'Target Price'!K55/TargetConsumption!K55/VLOOKUP($A55,DemElas!$A$21:$B$28,2,0)</f>
        <v>3.3624221370112322</v>
      </c>
      <c r="L55" s="2">
        <f>-'Target Price'!L55/TargetConsumption!L55/VLOOKUP($A55,DemElas!$A$21:$B$28,2,0)</f>
        <v>4.1231866939761774</v>
      </c>
      <c r="M55" s="2">
        <f>-'Target Price'!M55/TargetConsumption!M55/VLOOKUP($A55,DemElas!$A$21:$B$28,2,0)</f>
        <v>3.3291308287239918</v>
      </c>
      <c r="N55" s="2">
        <f>-'Target Price'!N55/TargetConsumption!N55/VLOOKUP($A55,DemElas!$A$21:$B$28,2,0)</f>
        <v>4.0823630633427506</v>
      </c>
      <c r="O55" s="2">
        <f>-'Target Price'!O55/TargetConsumption!O55/VLOOKUP($A55,DemElas!$A$21:$B$28,2,0)</f>
        <v>3.2961691373504869</v>
      </c>
      <c r="P55" s="2">
        <f>-'Target Price'!P55/TargetConsumption!P55/VLOOKUP($A55,DemElas!$A$21:$B$28,2,0)</f>
        <v>4.0419436270720297</v>
      </c>
      <c r="Q55" s="2">
        <f>-'Target Price'!Q55/TargetConsumption!Q55/VLOOKUP($A55,DemElas!$A$21:$B$28,2,0)</f>
        <v>3.2635337993569173</v>
      </c>
      <c r="R55" s="2">
        <f>-'Target Price'!R55/TargetConsumption!R55/VLOOKUP($A55,DemElas!$A$21:$B$28,2,0)</f>
        <v>4.0019243832396336</v>
      </c>
      <c r="S55" s="2">
        <f>-'Target Price'!S55/TargetConsumption!S55/VLOOKUP($A55,DemElas!$A$21:$B$28,2,0)</f>
        <v>3.2312215835217004</v>
      </c>
      <c r="T55" s="2">
        <f>-'Target Price'!T55/TargetConsumption!T55/VLOOKUP($A55,DemElas!$A$21:$B$28,2,0)</f>
        <v>3.9623013695441909</v>
      </c>
      <c r="U55" s="2">
        <f>-'Target Price'!U55/TargetConsumption!U55/VLOOKUP($A55,DemElas!$A$21:$B$28,2,0)</f>
        <v>3.1992292906155448</v>
      </c>
      <c r="V55" s="2">
        <f>-'Target Price'!V55/TargetConsumption!V55/VLOOKUP($A55,DemElas!$A$21:$B$28,2,0)</f>
        <v>3.9230706629150407</v>
      </c>
      <c r="W55" s="2">
        <f>-'Target Price'!W55/TargetConsumption!W55/VLOOKUP($A55,DemElas!$A$21:$B$28,2,0)</f>
        <v>3.167553753084698</v>
      </c>
      <c r="X55" s="2">
        <f>-'Target Price'!X55/TargetConsumption!X55/VLOOKUP($A55,DemElas!$A$21:$B$28,2,0)</f>
        <v>3.8842283791238024</v>
      </c>
      <c r="Y55" s="2">
        <f>-'Target Price'!Y55/TargetConsumption!Y55/VLOOKUP($A55,DemElas!$A$21:$B$28,2,0)</f>
        <v>3.1361918347373243</v>
      </c>
      <c r="Z55" s="2">
        <f>-'Target Price'!Z55/TargetConsumption!Z55/VLOOKUP($A55,DemElas!$A$21:$B$28,2,0)</f>
        <v>3.8457706723998046</v>
      </c>
      <c r="AA55" s="2">
        <f>-'Target Price'!AA55/TargetConsumption!AA55/VLOOKUP($A55,DemElas!$A$21:$B$28,2,0)</f>
        <v>3.1051404304329946</v>
      </c>
      <c r="AB55" s="2">
        <f>-'Target Price'!AB55/TargetConsumption!AB55/VLOOKUP($A55,DemElas!$A$21:$B$28,2,0)</f>
        <v>3.8076937350493112</v>
      </c>
      <c r="AC55" s="2">
        <f>-'Target Price'!AC55/TargetConsumption!AC55/VLOOKUP($A55,DemElas!$A$21:$B$28,2,0)</f>
        <v>3.0743964657752421</v>
      </c>
      <c r="AD55" s="2">
        <f>-'Target Price'!AD55/TargetConsumption!AD55/VLOOKUP($A55,DemElas!$A$21:$B$28,2,0)</f>
        <v>3.7699937970785258</v>
      </c>
      <c r="AE55" s="2">
        <f>-'Target Price'!AE55/TargetConsumption!AE55/VLOOKUP($A55,DemElas!$A$21:$B$28,2,0)</f>
        <v>3.0439568968071704</v>
      </c>
      <c r="AF55" s="2">
        <f>-'Target Price'!AF55/TargetConsumption!AF55/VLOOKUP($A55,DemElas!$A$21:$B$28,2,0)</f>
        <v>3.7326671258203228</v>
      </c>
      <c r="AG55" s="2">
        <f>-'Target Price'!AG55/TargetConsumption!AG55/VLOOKUP($A55,DemElas!$A$21:$B$28,2,0)</f>
        <v>3.0138187097100695</v>
      </c>
      <c r="AH55" s="2">
        <f>-'Target Price'!AH55/TargetConsumption!AH55/VLOOKUP($A55,DemElas!$A$21:$B$28,2,0)</f>
        <v>3.6957100255646753</v>
      </c>
    </row>
    <row r="56" spans="1:34">
      <c r="A56" t="str">
        <f t="shared" si="2"/>
        <v>Vegetables</v>
      </c>
      <c r="B56" t="str">
        <f t="shared" si="3"/>
        <v>SNNPR</v>
      </c>
      <c r="C56" s="2">
        <f>-'Target Price'!C56/TargetConsumption!C56/VLOOKUP($A56,DemElas!$A$21:$B$28,2,0)</f>
        <v>1.0712812682889314</v>
      </c>
      <c r="D56" s="2">
        <f>-'Target Price'!D56/TargetConsumption!D56/VLOOKUP($A56,DemElas!$A$21:$B$28,2,0)</f>
        <v>1.3013135367080817</v>
      </c>
      <c r="E56" s="2">
        <f>-'Target Price'!E56/TargetConsumption!E56/VLOOKUP($A56,DemElas!$A$21:$B$28,2,0)</f>
        <v>1.0606745230583481</v>
      </c>
      <c r="F56" s="2">
        <f>-'Target Price'!F56/TargetConsumption!F56/VLOOKUP($A56,DemElas!$A$21:$B$28,2,0)</f>
        <v>1.2884292442654275</v>
      </c>
      <c r="G56" s="2">
        <f>-'Target Price'!G56/TargetConsumption!G56/VLOOKUP($A56,DemElas!$A$21:$B$28,2,0)</f>
        <v>1.0501727951072752</v>
      </c>
      <c r="H56" s="2">
        <f>-'Target Price'!H56/TargetConsumption!H56/VLOOKUP($A56,DemElas!$A$21:$B$28,2,0)</f>
        <v>1.2756725190746805</v>
      </c>
      <c r="I56" s="2">
        <f>-'Target Price'!I56/TargetConsumption!I56/VLOOKUP($A56,DemElas!$A$21:$B$28,2,0)</f>
        <v>1.0397750446606684</v>
      </c>
      <c r="J56" s="2">
        <f>-'Target Price'!J56/TargetConsumption!J56/VLOOKUP($A56,DemElas!$A$21:$B$28,2,0)</f>
        <v>1.2630420980937429</v>
      </c>
      <c r="K56" s="2">
        <f>-'Target Price'!K56/TargetConsumption!K56/VLOOKUP($A56,DemElas!$A$21:$B$28,2,0)</f>
        <v>1.0294802422382856</v>
      </c>
      <c r="L56" s="2">
        <f>-'Target Price'!L56/TargetConsumption!L56/VLOOKUP($A56,DemElas!$A$21:$B$28,2,0)</f>
        <v>1.2505367307858841</v>
      </c>
      <c r="M56" s="2">
        <f>-'Target Price'!M56/TargetConsumption!M56/VLOOKUP($A56,DemElas!$A$21:$B$28,2,0)</f>
        <v>1.0192873685527579</v>
      </c>
      <c r="N56" s="2">
        <f>-'Target Price'!N56/TargetConsumption!N56/VLOOKUP($A56,DemElas!$A$21:$B$28,2,0)</f>
        <v>1.2381551789959246</v>
      </c>
      <c r="O56" s="2">
        <f>-'Target Price'!O56/TargetConsumption!O56/VLOOKUP($A56,DemElas!$A$21:$B$28,2,0)</f>
        <v>1.0091954144086712</v>
      </c>
      <c r="P56" s="2">
        <f>-'Target Price'!P56/TargetConsumption!P56/VLOOKUP($A56,DemElas!$A$21:$B$28,2,0)</f>
        <v>1.2258962168276482</v>
      </c>
      <c r="Q56" s="2">
        <f>-'Target Price'!Q56/TargetConsumption!Q56/VLOOKUP($A56,DemElas!$A$21:$B$28,2,0)</f>
        <v>0.99920338060264491</v>
      </c>
      <c r="R56" s="2">
        <f>-'Target Price'!R56/TargetConsumption!R56/VLOOKUP($A56,DemElas!$A$21:$B$28,2,0)</f>
        <v>1.2137586305224239</v>
      </c>
      <c r="S56" s="2">
        <f>-'Target Price'!S56/TargetConsumption!S56/VLOOKUP($A56,DemElas!$A$21:$B$28,2,0)</f>
        <v>0.98931027782440073</v>
      </c>
      <c r="T56" s="2">
        <f>-'Target Price'!T56/TargetConsumption!T56/VLOOKUP($A56,DemElas!$A$21:$B$28,2,0)</f>
        <v>1.2017412183390335</v>
      </c>
      <c r="U56" s="2">
        <f>-'Target Price'!U56/TargetConsumption!U56/VLOOKUP($A56,DemElas!$A$21:$B$28,2,0)</f>
        <v>0.97951512655881257</v>
      </c>
      <c r="V56" s="2">
        <f>-'Target Price'!V56/TargetConsumption!V56/VLOOKUP($A56,DemElas!$A$21:$B$28,2,0)</f>
        <v>1.1898427904346867</v>
      </c>
      <c r="W56" s="2">
        <f>-'Target Price'!W56/TargetConsumption!W56/VLOOKUP($A56,DemElas!$A$21:$B$28,2,0)</f>
        <v>0.96981695698892334</v>
      </c>
      <c r="X56" s="2">
        <f>-'Target Price'!X56/TargetConsumption!X56/VLOOKUP($A56,DemElas!$A$21:$B$28,2,0)</f>
        <v>1.1780621687472144</v>
      </c>
      <c r="Y56" s="2">
        <f>-'Target Price'!Y56/TargetConsumption!Y56/VLOOKUP($A56,DemElas!$A$21:$B$28,2,0)</f>
        <v>0.96021480889992394</v>
      </c>
      <c r="Z56" s="2">
        <f>-'Target Price'!Z56/TargetConsumption!Z56/VLOOKUP($A56,DemElas!$A$21:$B$28,2,0)</f>
        <v>1.1663981868784301</v>
      </c>
      <c r="AA56" s="2">
        <f>-'Target Price'!AA56/TargetConsumption!AA56/VLOOKUP($A56,DemElas!$A$21:$B$28,2,0)</f>
        <v>0.95070773158408306</v>
      </c>
      <c r="AB56" s="2">
        <f>-'Target Price'!AB56/TargetConsumption!AB56/VLOOKUP($A56,DemElas!$A$21:$B$28,2,0)</f>
        <v>1.1548496899786436</v>
      </c>
      <c r="AC56" s="2">
        <f>-'Target Price'!AC56/TargetConsumption!AC56/VLOOKUP($A56,DemElas!$A$21:$B$28,2,0)</f>
        <v>0.9412947837466169</v>
      </c>
      <c r="AD56" s="2">
        <f>-'Target Price'!AD56/TargetConsumption!AD56/VLOOKUP($A56,DemElas!$A$21:$B$28,2,0)</f>
        <v>1.1434155346323205</v>
      </c>
      <c r="AE56" s="2">
        <f>-'Target Price'!AE56/TargetConsumption!AE56/VLOOKUP($A56,DemElas!$A$21:$B$28,2,0)</f>
        <v>0.9319750334124921</v>
      </c>
      <c r="AF56" s="2">
        <f>-'Target Price'!AF56/TargetConsumption!AF56/VLOOKUP($A56,DemElas!$A$21:$B$28,2,0)</f>
        <v>1.1320945887448717</v>
      </c>
      <c r="AG56" s="2">
        <f>-'Target Price'!AG56/TargetConsumption!AG56/VLOOKUP($A56,DemElas!$A$21:$B$28,2,0)</f>
        <v>0.92274755783415063</v>
      </c>
      <c r="AH56" s="2">
        <f>-'Target Price'!AH56/TargetConsumption!AH56/VLOOKUP($A56,DemElas!$A$21:$B$28,2,0)</f>
        <v>1.120885731430566</v>
      </c>
    </row>
    <row r="57" spans="1:34">
      <c r="A57" t="str">
        <f t="shared" si="2"/>
        <v>Vegetables</v>
      </c>
      <c r="B57" t="str">
        <f t="shared" si="3"/>
        <v>Tigray</v>
      </c>
      <c r="C57" s="2">
        <f>-'Target Price'!C57/TargetConsumption!C57/VLOOKUP($A57,DemElas!$A$21:$B$28,2,0)</f>
        <v>4.3316375458442957</v>
      </c>
      <c r="D57" s="2">
        <f>-'Target Price'!D57/TargetConsumption!D57/VLOOKUP($A57,DemElas!$A$21:$B$28,2,0)</f>
        <v>4.5541142109428936</v>
      </c>
      <c r="E57" s="2">
        <f>-'Target Price'!E57/TargetConsumption!E57/VLOOKUP($A57,DemElas!$A$21:$B$28,2,0)</f>
        <v>4.2887500453903913</v>
      </c>
      <c r="F57" s="2">
        <f>-'Target Price'!F57/TargetConsumption!F57/VLOOKUP($A57,DemElas!$A$21:$B$28,2,0)</f>
        <v>4.5090239712305875</v>
      </c>
      <c r="G57" s="2">
        <f>-'Target Price'!G57/TargetConsumption!G57/VLOOKUP($A57,DemElas!$A$21:$B$28,2,0)</f>
        <v>4.2462871736538528</v>
      </c>
      <c r="H57" s="2">
        <f>-'Target Price'!H57/TargetConsumption!H57/VLOOKUP($A57,DemElas!$A$21:$B$28,2,0)</f>
        <v>4.464380169535235</v>
      </c>
      <c r="I57" s="2">
        <f>-'Target Price'!I57/TargetConsumption!I57/VLOOKUP($A57,DemElas!$A$21:$B$28,2,0)</f>
        <v>4.2042447263899536</v>
      </c>
      <c r="J57" s="2">
        <f>-'Target Price'!J57/TargetConsumption!J57/VLOOKUP($A57,DemElas!$A$21:$B$28,2,0)</f>
        <v>4.4201783856784518</v>
      </c>
      <c r="K57" s="2">
        <f>-'Target Price'!K57/TargetConsumption!K57/VLOOKUP($A57,DemElas!$A$21:$B$28,2,0)</f>
        <v>4.1626185409801524</v>
      </c>
      <c r="L57" s="2">
        <f>-'Target Price'!L57/TargetConsumption!L57/VLOOKUP($A57,DemElas!$A$21:$B$28,2,0)</f>
        <v>4.3764142432459909</v>
      </c>
      <c r="M57" s="2">
        <f>-'Target Price'!M57/TargetConsumption!M57/VLOOKUP($A57,DemElas!$A$21:$B$28,2,0)</f>
        <v>4.1214044960199532</v>
      </c>
      <c r="N57" s="2">
        <f>-'Target Price'!N57/TargetConsumption!N57/VLOOKUP($A57,DemElas!$A$21:$B$28,2,0)</f>
        <v>4.3330834091544466</v>
      </c>
      <c r="O57" s="2">
        <f>-'Target Price'!O57/TargetConsumption!O57/VLOOKUP($A57,DemElas!$A$21:$B$28,2,0)</f>
        <v>4.0805985109108445</v>
      </c>
      <c r="P57" s="2">
        <f>-'Target Price'!P57/TargetConsumption!P57/VLOOKUP($A57,DemElas!$A$21:$B$28,2,0)</f>
        <v>4.2901815932222238</v>
      </c>
      <c r="Q57" s="2">
        <f>-'Target Price'!Q57/TargetConsumption!Q57/VLOOKUP($A57,DemElas!$A$21:$B$28,2,0)</f>
        <v>4.0401965454562818</v>
      </c>
      <c r="R57" s="2">
        <f>-'Target Price'!R57/TargetConsumption!R57/VLOOKUP($A57,DemElas!$A$21:$B$28,2,0)</f>
        <v>4.2477045477447763</v>
      </c>
      <c r="S57" s="2">
        <f>-'Target Price'!S57/TargetConsumption!S57/VLOOKUP($A57,DemElas!$A$21:$B$28,2,0)</f>
        <v>4.0001945994616648</v>
      </c>
      <c r="T57" s="2">
        <f>-'Target Price'!T57/TargetConsumption!T57/VLOOKUP($A57,DemElas!$A$21:$B$28,2,0)</f>
        <v>4.2056480670740362</v>
      </c>
      <c r="U57" s="2">
        <f>-'Target Price'!U57/TargetConsumption!U57/VLOOKUP($A57,DemElas!$A$21:$B$28,2,0)</f>
        <v>3.9605887123382817</v>
      </c>
      <c r="V57" s="2">
        <f>-'Target Price'!V57/TargetConsumption!V57/VLOOKUP($A57,DemElas!$A$21:$B$28,2,0)</f>
        <v>4.1640079872020159</v>
      </c>
      <c r="W57" s="2">
        <f>-'Target Price'!W57/TargetConsumption!W57/VLOOKUP($A57,DemElas!$A$21:$B$28,2,0)</f>
        <v>3.9213749627111696</v>
      </c>
      <c r="X57" s="2">
        <f>-'Target Price'!X57/TargetConsumption!X57/VLOOKUP($A57,DemElas!$A$21:$B$28,2,0)</f>
        <v>4.12278018534853</v>
      </c>
      <c r="Y57" s="2">
        <f>-'Target Price'!Y57/TargetConsumption!Y57/VLOOKUP($A57,DemElas!$A$21:$B$28,2,0)</f>
        <v>3.8825494680308608</v>
      </c>
      <c r="Z57" s="2">
        <f>-'Target Price'!Z57/TargetConsumption!Z57/VLOOKUP($A57,DemElas!$A$21:$B$28,2,0)</f>
        <v>4.0819605795529998</v>
      </c>
      <c r="AA57" s="2">
        <f>-'Target Price'!AA57/TargetConsumption!AA57/VLOOKUP($A57,DemElas!$A$21:$B$28,2,0)</f>
        <v>3.8441083841889712</v>
      </c>
      <c r="AB57" s="2">
        <f>-'Target Price'!AB57/TargetConsumption!AB57/VLOOKUP($A57,DemElas!$A$21:$B$28,2,0)</f>
        <v>4.0415451282702968</v>
      </c>
      <c r="AC57" s="2">
        <f>-'Target Price'!AC57/TargetConsumption!AC57/VLOOKUP($A57,DemElas!$A$21:$B$28,2,0)</f>
        <v>3.8060479051375951</v>
      </c>
      <c r="AD57" s="2">
        <f>-'Target Price'!AD57/TargetConsumption!AD57/VLOOKUP($A57,DemElas!$A$21:$B$28,2,0)</f>
        <v>4.0015298299705906</v>
      </c>
      <c r="AE57" s="2">
        <f>-'Target Price'!AE57/TargetConsumption!AE57/VLOOKUP($A57,DemElas!$A$21:$B$28,2,0)</f>
        <v>3.7683642625124705</v>
      </c>
      <c r="AF57" s="2">
        <f>-'Target Price'!AF57/TargetConsumption!AF57/VLOOKUP($A57,DemElas!$A$21:$B$28,2,0)</f>
        <v>3.9619107227431591</v>
      </c>
      <c r="AG57" s="2">
        <f>-'Target Price'!AG57/TargetConsumption!AG57/VLOOKUP($A57,DemElas!$A$21:$B$28,2,0)</f>
        <v>3.7310537252598714</v>
      </c>
      <c r="AH57" s="2">
        <f>-'Target Price'!AH57/TargetConsumption!AH57/VLOOKUP($A57,DemElas!$A$21:$B$28,2,0)</f>
        <v>3.9226838839041176</v>
      </c>
    </row>
    <row r="58" spans="1:34">
      <c r="A58" t="str">
        <f t="shared" si="2"/>
        <v>Coffee</v>
      </c>
      <c r="B58" t="str">
        <f t="shared" si="3"/>
        <v>AddisAbaba</v>
      </c>
      <c r="C58" s="2">
        <f>-'Target Price'!C58/TargetConsumption!C58/VLOOKUP($A58,DemElas!$A$21:$B$28,2,0)</f>
        <v>233.96179986140146</v>
      </c>
      <c r="D58" s="2">
        <f>-'Target Price'!D58/TargetConsumption!D58/VLOOKUP($A58,DemElas!$A$21:$B$28,2,0)</f>
        <v>265.07923638735048</v>
      </c>
      <c r="E58" s="2">
        <f>-'Target Price'!E58/TargetConsumption!E58/VLOOKUP($A58,DemElas!$A$21:$B$28,2,0)</f>
        <v>231.64534639742718</v>
      </c>
      <c r="F58" s="2">
        <f>-'Target Price'!F58/TargetConsumption!F58/VLOOKUP($A58,DemElas!$A$21:$B$28,2,0)</f>
        <v>262.45468949242621</v>
      </c>
      <c r="G58" s="2">
        <f>-'Target Price'!G58/TargetConsumption!G58/VLOOKUP($A58,DemElas!$A$21:$B$28,2,0)</f>
        <v>229.35182811626456</v>
      </c>
      <c r="H58" s="2">
        <f>-'Target Price'!H58/TargetConsumption!H58/VLOOKUP($A58,DemElas!$A$21:$B$28,2,0)</f>
        <v>259.85612821032299</v>
      </c>
      <c r="I58" s="2">
        <f>-'Target Price'!I58/TargetConsumption!I58/VLOOKUP($A58,DemElas!$A$21:$B$28,2,0)</f>
        <v>227.08101793689559</v>
      </c>
      <c r="J58" s="2">
        <f>-'Target Price'!J58/TargetConsumption!J58/VLOOKUP($A58,DemElas!$A$21:$B$28,2,0)</f>
        <v>257.28329525774552</v>
      </c>
      <c r="K58" s="2">
        <f>-'Target Price'!K58/TargetConsumption!K58/VLOOKUP($A58,DemElas!$A$21:$B$28,2,0)</f>
        <v>224.83269102662931</v>
      </c>
      <c r="L58" s="2">
        <f>-'Target Price'!L58/TargetConsumption!L58/VLOOKUP($A58,DemElas!$A$21:$B$28,2,0)</f>
        <v>254.73593589875796</v>
      </c>
      <c r="M58" s="2">
        <f>-'Target Price'!M58/TargetConsumption!M58/VLOOKUP($A58,DemElas!$A$21:$B$28,2,0)</f>
        <v>222.60662477884091</v>
      </c>
      <c r="N58" s="2">
        <f>-'Target Price'!N58/TargetConsumption!N58/VLOOKUP($A58,DemElas!$A$21:$B$28,2,0)</f>
        <v>252.21379791956238</v>
      </c>
      <c r="O58" s="2">
        <f>-'Target Price'!O58/TargetConsumption!O58/VLOOKUP($A58,DemElas!$A$21:$B$28,2,0)</f>
        <v>220.40259879093159</v>
      </c>
      <c r="P58" s="2">
        <f>-'Target Price'!P58/TargetConsumption!P58/VLOOKUP($A58,DemElas!$A$21:$B$28,2,0)</f>
        <v>249.71663160352708</v>
      </c>
      <c r="Q58" s="2">
        <f>-'Target Price'!Q58/TargetConsumption!Q58/VLOOKUP($A58,DemElas!$A$21:$B$28,2,0)</f>
        <v>218.22039484250652</v>
      </c>
      <c r="R58" s="2">
        <f>-'Target Price'!R58/TargetConsumption!R58/VLOOKUP($A58,DemElas!$A$21:$B$28,2,0)</f>
        <v>247.24418970646244</v>
      </c>
      <c r="S58" s="2">
        <f>-'Target Price'!S58/TargetConsumption!S58/VLOOKUP($A58,DemElas!$A$21:$B$28,2,0)</f>
        <v>216.05979687376885</v>
      </c>
      <c r="T58" s="2">
        <f>-'Target Price'!T58/TargetConsumption!T58/VLOOKUP($A58,DemElas!$A$21:$B$28,2,0)</f>
        <v>244.79622743214105</v>
      </c>
      <c r="U58" s="2">
        <f>-'Target Price'!U58/TargetConsumption!U58/VLOOKUP($A58,DemElas!$A$21:$B$28,2,0)</f>
        <v>213.92059096412754</v>
      </c>
      <c r="V58" s="2">
        <f>-'Target Price'!V58/TargetConsumption!V58/VLOOKUP($A58,DemElas!$A$21:$B$28,2,0)</f>
        <v>242.37250240806043</v>
      </c>
      <c r="W58" s="2">
        <f>-'Target Price'!W58/TargetConsumption!W58/VLOOKUP($A58,DemElas!$A$21:$B$28,2,0)</f>
        <v>211.80256531101736</v>
      </c>
      <c r="X58" s="2">
        <f>-'Target Price'!X58/TargetConsumption!X58/VLOOKUP($A58,DemElas!$A$21:$B$28,2,0)</f>
        <v>239.97277466144598</v>
      </c>
      <c r="Y58" s="2">
        <f>-'Target Price'!Y58/TargetConsumption!Y58/VLOOKUP($A58,DemElas!$A$21:$B$28,2,0)</f>
        <v>209.7055102089281</v>
      </c>
      <c r="Z58" s="2">
        <f>-'Target Price'!Z58/TargetConsumption!Z58/VLOOKUP($A58,DemElas!$A$21:$B$28,2,0)</f>
        <v>237.59680659549107</v>
      </c>
      <c r="AA58" s="2">
        <f>-'Target Price'!AA58/TargetConsumption!AA58/VLOOKUP($A58,DemElas!$A$21:$B$28,2,0)</f>
        <v>207.62921802864167</v>
      </c>
      <c r="AB58" s="2">
        <f>-'Target Price'!AB58/TargetConsumption!AB58/VLOOKUP($A58,DemElas!$A$21:$B$28,2,0)</f>
        <v>235.24436296583275</v>
      </c>
      <c r="AC58" s="2">
        <f>-'Target Price'!AC58/TargetConsumption!AC58/VLOOKUP($A58,DemElas!$A$21:$B$28,2,0)</f>
        <v>205.57348319667491</v>
      </c>
      <c r="AD58" s="2">
        <f>-'Target Price'!AD58/TargetConsumption!AD58/VLOOKUP($A58,DemElas!$A$21:$B$28,2,0)</f>
        <v>232.91521085726015</v>
      </c>
      <c r="AE58" s="2">
        <f>-'Target Price'!AE58/TargetConsumption!AE58/VLOOKUP($A58,DemElas!$A$21:$B$28,2,0)</f>
        <v>203.53810217492568</v>
      </c>
      <c r="AF58" s="2">
        <f>-'Target Price'!AF58/TargetConsumption!AF58/VLOOKUP($A58,DemElas!$A$21:$B$28,2,0)</f>
        <v>230.60911966065359</v>
      </c>
      <c r="AG58" s="2">
        <f>-'Target Price'!AG58/TargetConsumption!AG58/VLOOKUP($A58,DemElas!$A$21:$B$28,2,0)</f>
        <v>201.52287344052047</v>
      </c>
      <c r="AH58" s="2">
        <f>-'Target Price'!AH58/TargetConsumption!AH58/VLOOKUP($A58,DemElas!$A$21:$B$28,2,0)</f>
        <v>228.32586105015207</v>
      </c>
    </row>
    <row r="59" spans="1:34">
      <c r="A59" t="str">
        <f t="shared" si="2"/>
        <v>Coffee</v>
      </c>
      <c r="B59" t="str">
        <f t="shared" si="3"/>
        <v>Afar</v>
      </c>
      <c r="C59" s="2">
        <f>-'Target Price'!C59/TargetConsumption!C59/VLOOKUP($A59,DemElas!$A$21:$B$28,2,0)</f>
        <v>460.47798060370462</v>
      </c>
      <c r="D59" s="2">
        <f>-'Target Price'!D59/TargetConsumption!D59/VLOOKUP($A59,DemElas!$A$21:$B$28,2,0)</f>
        <v>495.93936793409216</v>
      </c>
      <c r="E59" s="2">
        <f>-'Target Price'!E59/TargetConsumption!E59/VLOOKUP($A59,DemElas!$A$21:$B$28,2,0)</f>
        <v>455.91879267693525</v>
      </c>
      <c r="F59" s="2">
        <f>-'Target Price'!F59/TargetConsumption!F59/VLOOKUP($A59,DemElas!$A$21:$B$28,2,0)</f>
        <v>491.0290771624675</v>
      </c>
      <c r="G59" s="2">
        <f>-'Target Price'!G59/TargetConsumption!G59/VLOOKUP($A59,DemElas!$A$21:$B$28,2,0)</f>
        <v>451.40474522468833</v>
      </c>
      <c r="H59" s="2">
        <f>-'Target Price'!H59/TargetConsumption!H59/VLOOKUP($A59,DemElas!$A$21:$B$28,2,0)</f>
        <v>486.16740313115594</v>
      </c>
      <c r="I59" s="2">
        <f>-'Target Price'!I59/TargetConsumption!I59/VLOOKUP($A59,DemElas!$A$21:$B$28,2,0)</f>
        <v>446.93539131157269</v>
      </c>
      <c r="J59" s="2">
        <f>-'Target Price'!J59/TargetConsumption!J59/VLOOKUP($A59,DemElas!$A$21:$B$28,2,0)</f>
        <v>481.35386448629299</v>
      </c>
      <c r="K59" s="2">
        <f>-'Target Price'!K59/TargetConsumption!K59/VLOOKUP($A59,DemElas!$A$21:$B$28,2,0)</f>
        <v>442.51028842729966</v>
      </c>
      <c r="L59" s="2">
        <f>-'Target Price'!L59/TargetConsumption!L59/VLOOKUP($A59,DemElas!$A$21:$B$28,2,0)</f>
        <v>476.58798463989405</v>
      </c>
      <c r="M59" s="2">
        <f>-'Target Price'!M59/TargetConsumption!M59/VLOOKUP($A59,DemElas!$A$21:$B$28,2,0)</f>
        <v>438.12899844287097</v>
      </c>
      <c r="N59" s="2">
        <f>-'Target Price'!N59/TargetConsumption!N59/VLOOKUP($A59,DemElas!$A$21:$B$28,2,0)</f>
        <v>471.86929172266741</v>
      </c>
      <c r="O59" s="2">
        <f>-'Target Price'!O59/TargetConsumption!O59/VLOOKUP($A59,DemElas!$A$21:$B$28,2,0)</f>
        <v>433.79108756719899</v>
      </c>
      <c r="P59" s="2">
        <f>-'Target Price'!P59/TargetConsumption!P59/VLOOKUP($A59,DemElas!$A$21:$B$28,2,0)</f>
        <v>467.19731853729445</v>
      </c>
      <c r="Q59" s="2">
        <f>-'Target Price'!Q59/TargetConsumption!Q59/VLOOKUP($A59,DemElas!$A$21:$B$28,2,0)</f>
        <v>429.49612630415737</v>
      </c>
      <c r="R59" s="2">
        <f>-'Target Price'!R59/TargetConsumption!R59/VLOOKUP($A59,DemElas!$A$21:$B$28,2,0)</f>
        <v>462.57160251217272</v>
      </c>
      <c r="S59" s="2">
        <f>-'Target Price'!S59/TargetConsumption!S59/VLOOKUP($A59,DemElas!$A$21:$B$28,2,0)</f>
        <v>425.24368941005679</v>
      </c>
      <c r="T59" s="2">
        <f>-'Target Price'!T59/TargetConsumption!T59/VLOOKUP($A59,DemElas!$A$21:$B$28,2,0)</f>
        <v>457.99168565561649</v>
      </c>
      <c r="U59" s="2">
        <f>-'Target Price'!U59/TargetConsumption!U59/VLOOKUP($A59,DemElas!$A$21:$B$28,2,0)</f>
        <v>421.03335585154139</v>
      </c>
      <c r="V59" s="2">
        <f>-'Target Price'!V59/TargetConsumption!V59/VLOOKUP($A59,DemElas!$A$21:$B$28,2,0)</f>
        <v>453.45711451051142</v>
      </c>
      <c r="W59" s="2">
        <f>-'Target Price'!W59/TargetConsumption!W59/VLOOKUP($A59,DemElas!$A$21:$B$28,2,0)</f>
        <v>416.8647087639024</v>
      </c>
      <c r="X59" s="2">
        <f>-'Target Price'!X59/TargetConsumption!X59/VLOOKUP($A59,DemElas!$A$21:$B$28,2,0)</f>
        <v>448.96744010941723</v>
      </c>
      <c r="Y59" s="2">
        <f>-'Target Price'!Y59/TargetConsumption!Y59/VLOOKUP($A59,DemElas!$A$21:$B$28,2,0)</f>
        <v>412.7373354098043</v>
      </c>
      <c r="Z59" s="2">
        <f>-'Target Price'!Z59/TargetConsumption!Z59/VLOOKUP($A59,DemElas!$A$21:$B$28,2,0)</f>
        <v>444.52221793011603</v>
      </c>
      <c r="AA59" s="2">
        <f>-'Target Price'!AA59/TargetConsumption!AA59/VLOOKUP($A59,DemElas!$A$21:$B$28,2,0)</f>
        <v>408.65082713842014</v>
      </c>
      <c r="AB59" s="2">
        <f>-'Target Price'!AB59/TargetConsumption!AB59/VLOOKUP($A59,DemElas!$A$21:$B$28,2,0)</f>
        <v>440.1210078516001</v>
      </c>
      <c r="AC59" s="2">
        <f>-'Target Price'!AC59/TargetConsumption!AC59/VLOOKUP($A59,DemElas!$A$21:$B$28,2,0)</f>
        <v>404.60477934497032</v>
      </c>
      <c r="AD59" s="2">
        <f>-'Target Price'!AD59/TargetConsumption!AD59/VLOOKUP($A59,DemElas!$A$21:$B$28,2,0)</f>
        <v>435.76337411049502</v>
      </c>
      <c r="AE59" s="2">
        <f>-'Target Price'!AE59/TargetConsumption!AE59/VLOOKUP($A59,DemElas!$A$21:$B$28,2,0)</f>
        <v>400.59879143066371</v>
      </c>
      <c r="AF59" s="2">
        <f>-'Target Price'!AF59/TargetConsumption!AF59/VLOOKUP($A59,DemElas!$A$21:$B$28,2,0)</f>
        <v>431.44888525791589</v>
      </c>
      <c r="AG59" s="2">
        <f>-'Target Price'!AG59/TargetConsumption!AG59/VLOOKUP($A59,DemElas!$A$21:$B$28,2,0)</f>
        <v>396.63246676303339</v>
      </c>
      <c r="AH59" s="2">
        <f>-'Target Price'!AH59/TargetConsumption!AH59/VLOOKUP($A59,DemElas!$A$21:$B$28,2,0)</f>
        <v>427.17711411674833</v>
      </c>
    </row>
    <row r="60" spans="1:34">
      <c r="A60" t="str">
        <f t="shared" si="2"/>
        <v>Coffee</v>
      </c>
      <c r="B60" t="str">
        <f t="shared" si="3"/>
        <v>Amhara</v>
      </c>
      <c r="C60" s="2">
        <f>-'Target Price'!C60/TargetConsumption!C60/VLOOKUP($A60,DemElas!$A$21:$B$28,2,0)</f>
        <v>39.16311711277654</v>
      </c>
      <c r="D60" s="2">
        <f>-'Target Price'!D60/TargetConsumption!D60/VLOOKUP($A60,DemElas!$A$21:$B$28,2,0)</f>
        <v>43.371494404365542</v>
      </c>
      <c r="E60" s="2">
        <f>-'Target Price'!E60/TargetConsumption!E60/VLOOKUP($A60,DemElas!$A$21:$B$28,2,0)</f>
        <v>38.775363477996571</v>
      </c>
      <c r="F60" s="2">
        <f>-'Target Price'!F60/TargetConsumption!F60/VLOOKUP($A60,DemElas!$A$21:$B$28,2,0)</f>
        <v>42.942073667688661</v>
      </c>
      <c r="G60" s="2">
        <f>-'Target Price'!G60/TargetConsumption!G60/VLOOKUP($A60,DemElas!$A$21:$B$28,2,0)</f>
        <v>38.391448988115414</v>
      </c>
      <c r="H60" s="2">
        <f>-'Target Price'!H60/TargetConsumption!H60/VLOOKUP($A60,DemElas!$A$21:$B$28,2,0)</f>
        <v>42.51690462147392</v>
      </c>
      <c r="I60" s="2">
        <f>-'Target Price'!I60/TargetConsumption!I60/VLOOKUP($A60,DemElas!$A$21:$B$28,2,0)</f>
        <v>38.011335631797436</v>
      </c>
      <c r="J60" s="2">
        <f>-'Target Price'!J60/TargetConsumption!J60/VLOOKUP($A60,DemElas!$A$21:$B$28,2,0)</f>
        <v>42.095945169776151</v>
      </c>
      <c r="K60" s="2">
        <f>-'Target Price'!K60/TargetConsumption!K60/VLOOKUP($A60,DemElas!$A$21:$B$28,2,0)</f>
        <v>37.634985774056865</v>
      </c>
      <c r="L60" s="2">
        <f>-'Target Price'!L60/TargetConsumption!L60/VLOOKUP($A60,DemElas!$A$21:$B$28,2,0)</f>
        <v>41.679153633441736</v>
      </c>
      <c r="M60" s="2">
        <f>-'Target Price'!M60/TargetConsumption!M60/VLOOKUP($A60,DemElas!$A$21:$B$28,2,0)</f>
        <v>37.262362152531551</v>
      </c>
      <c r="N60" s="2">
        <f>-'Target Price'!N60/TargetConsumption!N60/VLOOKUP($A60,DemElas!$A$21:$B$28,2,0)</f>
        <v>41.266488745981917</v>
      </c>
      <c r="O60" s="2">
        <f>-'Target Price'!O60/TargetConsumption!O60/VLOOKUP($A60,DemElas!$A$21:$B$28,2,0)</f>
        <v>36.89342787379362</v>
      </c>
      <c r="P60" s="2">
        <f>-'Target Price'!P60/TargetConsumption!P60/VLOOKUP($A60,DemElas!$A$21:$B$28,2,0)</f>
        <v>40.857909649487056</v>
      </c>
      <c r="Q60" s="2">
        <f>-'Target Price'!Q60/TargetConsumption!Q60/VLOOKUP($A60,DemElas!$A$21:$B$28,2,0)</f>
        <v>36.528146409696653</v>
      </c>
      <c r="R60" s="2">
        <f>-'Target Price'!R60/TargetConsumption!R60/VLOOKUP($A60,DemElas!$A$21:$B$28,2,0)</f>
        <v>40.453375890581235</v>
      </c>
      <c r="S60" s="2">
        <f>-'Target Price'!S60/TargetConsumption!S60/VLOOKUP($A60,DemElas!$A$21:$B$28,2,0)</f>
        <v>36.166481593759059</v>
      </c>
      <c r="T60" s="2">
        <f>-'Target Price'!T60/TargetConsumption!T60/VLOOKUP($A60,DemElas!$A$21:$B$28,2,0)</f>
        <v>40.052847416417066</v>
      </c>
      <c r="U60" s="2">
        <f>-'Target Price'!U60/TargetConsumption!U60/VLOOKUP($A60,DemElas!$A$21:$B$28,2,0)</f>
        <v>35.808397617583232</v>
      </c>
      <c r="V60" s="2">
        <f>-'Target Price'!V60/TargetConsumption!V60/VLOOKUP($A60,DemElas!$A$21:$B$28,2,0)</f>
        <v>39.656284570709964</v>
      </c>
      <c r="W60" s="2">
        <f>-'Target Price'!W60/TargetConsumption!W60/VLOOKUP($A60,DemElas!$A$21:$B$28,2,0)</f>
        <v>35.453859027310124</v>
      </c>
      <c r="X60" s="2">
        <f>-'Target Price'!X60/TargetConsumption!X60/VLOOKUP($A60,DemElas!$A$21:$B$28,2,0)</f>
        <v>39.263648089811845</v>
      </c>
      <c r="Y60" s="2">
        <f>-'Target Price'!Y60/TargetConsumption!Y60/VLOOKUP($A60,DemElas!$A$21:$B$28,2,0)</f>
        <v>35.102830720109033</v>
      </c>
      <c r="Z60" s="2">
        <f>-'Target Price'!Z60/TargetConsumption!Z60/VLOOKUP($A60,DemElas!$A$21:$B$28,2,0)</f>
        <v>38.874899098823605</v>
      </c>
      <c r="AA60" s="2">
        <f>-'Target Price'!AA60/TargetConsumption!AA60/VLOOKUP($A60,DemElas!$A$21:$B$28,2,0)</f>
        <v>34.755277940702015</v>
      </c>
      <c r="AB60" s="2">
        <f>-'Target Price'!AB60/TargetConsumption!AB60/VLOOKUP($A60,DemElas!$A$21:$B$28,2,0)</f>
        <v>38.489999107746151</v>
      </c>
      <c r="AC60" s="2">
        <f>-'Target Price'!AC60/TargetConsumption!AC60/VLOOKUP($A60,DemElas!$A$21:$B$28,2,0)</f>
        <v>34.411166277922788</v>
      </c>
      <c r="AD60" s="2">
        <f>-'Target Price'!AD60/TargetConsumption!AD60/VLOOKUP($A60,DemElas!$A$21:$B$28,2,0)</f>
        <v>38.108910007669451</v>
      </c>
      <c r="AE60" s="2">
        <f>-'Target Price'!AE60/TargetConsumption!AE60/VLOOKUP($A60,DemElas!$A$21:$B$28,2,0)</f>
        <v>34.070461661309686</v>
      </c>
      <c r="AF60" s="2">
        <f>-'Target Price'!AF60/TargetConsumption!AF60/VLOOKUP($A60,DemElas!$A$21:$B$28,2,0)</f>
        <v>37.731594066999456</v>
      </c>
      <c r="AG60" s="2">
        <f>-'Target Price'!AG60/TargetConsumption!AG60/VLOOKUP($A60,DemElas!$A$21:$B$28,2,0)</f>
        <v>33.733130357732364</v>
      </c>
      <c r="AH60" s="2">
        <f>-'Target Price'!AH60/TargetConsumption!AH60/VLOOKUP($A60,DemElas!$A$21:$B$28,2,0)</f>
        <v>37.358013927722233</v>
      </c>
    </row>
    <row r="61" spans="1:34">
      <c r="A61" t="str">
        <f t="shared" si="2"/>
        <v>Coffee</v>
      </c>
      <c r="B61" t="str">
        <f t="shared" si="3"/>
        <v>Gumuz</v>
      </c>
      <c r="C61" s="2">
        <f>-'Target Price'!C61/TargetConsumption!C61/VLOOKUP($A61,DemElas!$A$21:$B$28,2,0)</f>
        <v>830.38294356818108</v>
      </c>
      <c r="D61" s="2">
        <f>-'Target Price'!D61/TargetConsumption!D61/VLOOKUP($A61,DemElas!$A$21:$B$28,2,0)</f>
        <v>856.44321216768265</v>
      </c>
      <c r="E61" s="2">
        <f>-'Target Price'!E61/TargetConsumption!E61/VLOOKUP($A61,DemElas!$A$21:$B$28,2,0)</f>
        <v>822.16133026552586</v>
      </c>
      <c r="F61" s="2">
        <f>-'Target Price'!F61/TargetConsumption!F61/VLOOKUP($A61,DemElas!$A$21:$B$28,2,0)</f>
        <v>847.96357640364624</v>
      </c>
      <c r="G61" s="2">
        <f>-'Target Price'!G61/TargetConsumption!G61/VLOOKUP($A61,DemElas!$A$21:$B$28,2,0)</f>
        <v>814.02111907477797</v>
      </c>
      <c r="H61" s="2">
        <f>-'Target Price'!H61/TargetConsumption!H61/VLOOKUP($A61,DemElas!$A$21:$B$28,2,0)</f>
        <v>839.56789742935268</v>
      </c>
      <c r="I61" s="2">
        <f>-'Target Price'!I61/TargetConsumption!I61/VLOOKUP($A61,DemElas!$A$21:$B$28,2,0)</f>
        <v>805.96150403443369</v>
      </c>
      <c r="J61" s="2">
        <f>-'Target Price'!J61/TargetConsumption!J61/VLOOKUP($A61,DemElas!$A$21:$B$28,2,0)</f>
        <v>831.25534398945808</v>
      </c>
      <c r="K61" s="2">
        <f>-'Target Price'!K61/TargetConsumption!K61/VLOOKUP($A61,DemElas!$A$21:$B$28,2,0)</f>
        <v>797.98168716280566</v>
      </c>
      <c r="L61" s="2">
        <f>-'Target Price'!L61/TargetConsumption!L61/VLOOKUP($A61,DemElas!$A$21:$B$28,2,0)</f>
        <v>823.0250930588694</v>
      </c>
      <c r="M61" s="2">
        <f>-'Target Price'!M61/TargetConsumption!M61/VLOOKUP($A61,DemElas!$A$21:$B$28,2,0)</f>
        <v>790.08087837901553</v>
      </c>
      <c r="N61" s="2">
        <f>-'Target Price'!N61/TargetConsumption!N61/VLOOKUP($A61,DemElas!$A$21:$B$28,2,0)</f>
        <v>814.8763297612569</v>
      </c>
      <c r="O61" s="2">
        <f>-'Target Price'!O61/TargetConsumption!O61/VLOOKUP($A61,DemElas!$A$21:$B$28,2,0)</f>
        <v>782.25829542476788</v>
      </c>
      <c r="P61" s="2">
        <f>-'Target Price'!P61/TargetConsumption!P61/VLOOKUP($A61,DemElas!$A$21:$B$28,2,0)</f>
        <v>806.8082472883732</v>
      </c>
      <c r="Q61" s="2">
        <f>-'Target Price'!Q61/TargetConsumption!Q61/VLOOKUP($A61,DemElas!$A$21:$B$28,2,0)</f>
        <v>774.51316378689887</v>
      </c>
      <c r="R61" s="2">
        <f>-'Target Price'!R61/TargetConsumption!R61/VLOOKUP($A61,DemElas!$A$21:$B$28,2,0)</f>
        <v>798.82004682017146</v>
      </c>
      <c r="S61" s="2">
        <f>-'Target Price'!S61/TargetConsumption!S61/VLOOKUP($A61,DemElas!$A$21:$B$28,2,0)</f>
        <v>766.84471662069188</v>
      </c>
      <c r="T61" s="2">
        <f>-'Target Price'!T61/TargetConsumption!T61/VLOOKUP($A61,DemElas!$A$21:$B$28,2,0)</f>
        <v>790.91093744571435</v>
      </c>
      <c r="U61" s="2">
        <f>-'Target Price'!U61/TargetConsumption!U61/VLOOKUP($A61,DemElas!$A$21:$B$28,2,0)</f>
        <v>759.25219467395232</v>
      </c>
      <c r="V61" s="2">
        <f>-'Target Price'!V61/TargetConsumption!V61/VLOOKUP($A61,DemElas!$A$21:$B$28,2,0)</f>
        <v>783.08013608486556</v>
      </c>
      <c r="W61" s="2">
        <f>-'Target Price'!W61/TargetConsumption!W61/VLOOKUP($A61,DemElas!$A$21:$B$28,2,0)</f>
        <v>751.734846211834</v>
      </c>
      <c r="X61" s="2">
        <f>-'Target Price'!X61/TargetConsumption!X61/VLOOKUP($A61,DemElas!$A$21:$B$28,2,0)</f>
        <v>775.32686741075804</v>
      </c>
      <c r="Y61" s="2">
        <f>-'Target Price'!Y61/TargetConsumption!Y61/VLOOKUP($A61,DemElas!$A$21:$B$28,2,0)</f>
        <v>744.29192694240999</v>
      </c>
      <c r="Z61" s="2">
        <f>-'Target Price'!Z61/TargetConsumption!Z61/VLOOKUP($A61,DemElas!$A$21:$B$28,2,0)</f>
        <v>767.65036377302772</v>
      </c>
      <c r="AA61" s="2">
        <f>-'Target Price'!AA61/TargetConsumption!AA61/VLOOKUP($A61,DemElas!$A$21:$B$28,2,0)</f>
        <v>736.92269994298022</v>
      </c>
      <c r="AB61" s="2">
        <f>-'Target Price'!AB61/TargetConsumption!AB61/VLOOKUP($A61,DemElas!$A$21:$B$28,2,0)</f>
        <v>760.0498651218096</v>
      </c>
      <c r="AC61" s="2">
        <f>-'Target Price'!AC61/TargetConsumption!AC61/VLOOKUP($A61,DemElas!$A$21:$B$28,2,0)</f>
        <v>729.6264355871092</v>
      </c>
      <c r="AD61" s="2">
        <f>-'Target Price'!AD61/TargetConsumption!AD61/VLOOKUP($A61,DemElas!$A$21:$B$28,2,0)</f>
        <v>752.52461893248494</v>
      </c>
      <c r="AE61" s="2">
        <f>-'Target Price'!AE61/TargetConsumption!AE61/VLOOKUP($A61,DemElas!$A$21:$B$28,2,0)</f>
        <v>722.40241147238521</v>
      </c>
      <c r="AF61" s="2">
        <f>-'Target Price'!AF61/TargetConsumption!AF61/VLOOKUP($A61,DemElas!$A$21:$B$28,2,0)</f>
        <v>745.07388013117304</v>
      </c>
      <c r="AG61" s="2">
        <f>-'Target Price'!AG61/TargetConsumption!AG61/VLOOKUP($A61,DemElas!$A$21:$B$28,2,0)</f>
        <v>715.24991234889626</v>
      </c>
      <c r="AH61" s="2">
        <f>-'Target Price'!AH61/TargetConsumption!AH61/VLOOKUP($A61,DemElas!$A$21:$B$28,2,0)</f>
        <v>737.6969110209634</v>
      </c>
    </row>
    <row r="62" spans="1:34">
      <c r="A62" t="str">
        <f t="shared" si="2"/>
        <v>Coffee</v>
      </c>
      <c r="B62" t="str">
        <f t="shared" si="3"/>
        <v>DireDawa</v>
      </c>
      <c r="C62" s="2">
        <f>-'Target Price'!C62/TargetConsumption!C62/VLOOKUP($A62,DemElas!$A$21:$B$28,2,0)</f>
        <v>1896.7317042254806</v>
      </c>
      <c r="D62" s="2">
        <f>-'Target Price'!D62/TargetConsumption!D62/VLOOKUP($A62,DemElas!$A$21:$B$28,2,0)</f>
        <v>2055.7258821661067</v>
      </c>
      <c r="E62" s="2">
        <f>-'Target Price'!E62/TargetConsumption!E62/VLOOKUP($A62,DemElas!$A$21:$B$28,2,0)</f>
        <v>1877.952182401466</v>
      </c>
      <c r="F62" s="2">
        <f>-'Target Price'!F62/TargetConsumption!F62/VLOOKUP($A62,DemElas!$A$21:$B$28,2,0)</f>
        <v>2035.3721605605017</v>
      </c>
      <c r="G62" s="2">
        <f>-'Target Price'!G62/TargetConsumption!G62/VLOOKUP($A62,DemElas!$A$21:$B$28,2,0)</f>
        <v>1859.358596437095</v>
      </c>
      <c r="H62" s="2">
        <f>-'Target Price'!H62/TargetConsumption!H62/VLOOKUP($A62,DemElas!$A$21:$B$28,2,0)</f>
        <v>2015.2199609509919</v>
      </c>
      <c r="I62" s="2">
        <f>-'Target Price'!I62/TargetConsumption!I62/VLOOKUP($A62,DemElas!$A$21:$B$28,2,0)</f>
        <v>1840.9491053832626</v>
      </c>
      <c r="J62" s="2">
        <f>-'Target Price'!J62/TargetConsumption!J62/VLOOKUP($A62,DemElas!$A$21:$B$28,2,0)</f>
        <v>1995.2672880702889</v>
      </c>
      <c r="K62" s="2">
        <f>-'Target Price'!K62/TargetConsumption!K62/VLOOKUP($A62,DemElas!$A$21:$B$28,2,0)</f>
        <v>1822.7218865180816</v>
      </c>
      <c r="L62" s="2">
        <f>-'Target Price'!L62/TargetConsumption!L62/VLOOKUP($A62,DemElas!$A$21:$B$28,2,0)</f>
        <v>1975.5121664062267</v>
      </c>
      <c r="M62" s="2">
        <f>-'Target Price'!M62/TargetConsumption!M62/VLOOKUP($A62,DemElas!$A$21:$B$28,2,0)</f>
        <v>1804.6751351664175</v>
      </c>
      <c r="N62" s="2">
        <f>-'Target Price'!N62/TargetConsumption!N62/VLOOKUP($A62,DemElas!$A$21:$B$28,2,0)</f>
        <v>1955.952640006165</v>
      </c>
      <c r="O62" s="2">
        <f>-'Target Price'!O62/TargetConsumption!O62/VLOOKUP($A62,DemElas!$A$21:$B$28,2,0)</f>
        <v>1786.8070645212056</v>
      </c>
      <c r="P62" s="2">
        <f>-'Target Price'!P62/TargetConsumption!P62/VLOOKUP($A62,DemElas!$A$21:$B$28,2,0)</f>
        <v>1936.5867722833318</v>
      </c>
      <c r="Q62" s="2">
        <f>-'Target Price'!Q62/TargetConsumption!Q62/VLOOKUP($A62,DemElas!$A$21:$B$28,2,0)</f>
        <v>1769.11590546654</v>
      </c>
      <c r="R62" s="2">
        <f>-'Target Price'!R62/TargetConsumption!R62/VLOOKUP($A62,DemElas!$A$21:$B$28,2,0)</f>
        <v>1917.4126458250807</v>
      </c>
      <c r="S62" s="2">
        <f>-'Target Price'!S62/TargetConsumption!S62/VLOOKUP($A62,DemElas!$A$21:$B$28,2,0)</f>
        <v>1751.5999064025148</v>
      </c>
      <c r="T62" s="2">
        <f>-'Target Price'!T62/TargetConsumption!T62/VLOOKUP($A62,DemElas!$A$21:$B$28,2,0)</f>
        <v>1898.4283622030503</v>
      </c>
      <c r="U62" s="2">
        <f>-'Target Price'!U62/TargetConsumption!U62/VLOOKUP($A62,DemElas!$A$21:$B$28,2,0)</f>
        <v>1734.2573330717964</v>
      </c>
      <c r="V62" s="2">
        <f>-'Target Price'!V62/TargetConsumption!V62/VLOOKUP($A62,DemElas!$A$21:$B$28,2,0)</f>
        <v>1879.632041785198</v>
      </c>
      <c r="W62" s="2">
        <f>-'Target Price'!W62/TargetConsumption!W62/VLOOKUP($A62,DemElas!$A$21:$B$28,2,0)</f>
        <v>1717.0864683879174</v>
      </c>
      <c r="X62" s="2">
        <f>-'Target Price'!X62/TargetConsumption!X62/VLOOKUP($A62,DemElas!$A$21:$B$28,2,0)</f>
        <v>1861.0218235497011</v>
      </c>
      <c r="Y62" s="2">
        <f>-'Target Price'!Y62/TargetConsumption!Y62/VLOOKUP($A62,DemElas!$A$21:$B$28,2,0)</f>
        <v>1700.0856122652647</v>
      </c>
      <c r="Z62" s="2">
        <f>-'Target Price'!Z62/TargetConsumption!Z62/VLOOKUP($A62,DemElas!$A$21:$B$28,2,0)</f>
        <v>1842.5958649006941</v>
      </c>
      <c r="AA62" s="2">
        <f>-'Target Price'!AA62/TargetConsumption!AA62/VLOOKUP($A62,DemElas!$A$21:$B$28,2,0)</f>
        <v>1683.2530814507572</v>
      </c>
      <c r="AB62" s="2">
        <f>-'Target Price'!AB62/TargetConsumption!AB62/VLOOKUP($A62,DemElas!$A$21:$B$28,2,0)</f>
        <v>1824.3523414858357</v>
      </c>
      <c r="AC62" s="2">
        <f>-'Target Price'!AC62/TargetConsumption!AC62/VLOOKUP($A62,DemElas!$A$21:$B$28,2,0)</f>
        <v>1666.5872093571852</v>
      </c>
      <c r="AD62" s="2">
        <f>-'Target Price'!AD62/TargetConsumption!AD62/VLOOKUP($A62,DemElas!$A$21:$B$28,2,0)</f>
        <v>1806.2894470156789</v>
      </c>
      <c r="AE62" s="2">
        <f>-'Target Price'!AE62/TargetConsumption!AE62/VLOOKUP($A62,DemElas!$A$21:$B$28,2,0)</f>
        <v>1650.0863458982033</v>
      </c>
      <c r="AF62" s="2">
        <f>-'Target Price'!AF62/TargetConsumption!AF62/VLOOKUP($A62,DemElas!$A$21:$B$28,2,0)</f>
        <v>1788.4053930848306</v>
      </c>
      <c r="AG62" s="2">
        <f>-'Target Price'!AG62/TargetConsumption!AG62/VLOOKUP($A62,DemElas!$A$21:$B$28,2,0)</f>
        <v>1633.7488573249539</v>
      </c>
      <c r="AH62" s="2">
        <f>-'Target Price'!AH62/TargetConsumption!AH62/VLOOKUP($A62,DemElas!$A$21:$B$28,2,0)</f>
        <v>1770.6984089948819</v>
      </c>
    </row>
    <row r="63" spans="1:34">
      <c r="A63" t="str">
        <f t="shared" si="2"/>
        <v>Coffee</v>
      </c>
      <c r="B63" t="str">
        <f t="shared" si="3"/>
        <v>Gambela</v>
      </c>
      <c r="C63" s="2">
        <f>-'Target Price'!C63/TargetConsumption!C63/VLOOKUP($A63,DemElas!$A$21:$B$28,2,0)</f>
        <v>1803.922003932192</v>
      </c>
      <c r="D63" s="2">
        <f>-'Target Price'!D63/TargetConsumption!D63/VLOOKUP($A63,DemElas!$A$21:$B$28,2,0)</f>
        <v>2228.0596651690053</v>
      </c>
      <c r="E63" s="2">
        <f>-'Target Price'!E63/TargetConsumption!E63/VLOOKUP($A63,DemElas!$A$21:$B$28,2,0)</f>
        <v>1786.0613900318731</v>
      </c>
      <c r="F63" s="2">
        <f>-'Target Price'!F63/TargetConsumption!F63/VLOOKUP($A63,DemElas!$A$21:$B$28,2,0)</f>
        <v>2205.9996684841635</v>
      </c>
      <c r="G63" s="2">
        <f>-'Target Price'!G63/TargetConsumption!G63/VLOOKUP($A63,DemElas!$A$21:$B$28,2,0)</f>
        <v>1768.3776138929436</v>
      </c>
      <c r="H63" s="2">
        <f>-'Target Price'!H63/TargetConsumption!H63/VLOOKUP($A63,DemElas!$A$21:$B$28,2,0)</f>
        <v>2184.158087608083</v>
      </c>
      <c r="I63" s="2">
        <f>-'Target Price'!I63/TargetConsumption!I63/VLOOKUP($A63,DemElas!$A$21:$B$28,2,0)</f>
        <v>1750.8689246464789</v>
      </c>
      <c r="J63" s="2">
        <f>-'Target Price'!J63/TargetConsumption!J63/VLOOKUP($A63,DemElas!$A$21:$B$28,2,0)</f>
        <v>2162.5327600080032</v>
      </c>
      <c r="K63" s="2">
        <f>-'Target Price'!K63/TargetConsumption!K63/VLOOKUP($A63,DemElas!$A$21:$B$28,2,0)</f>
        <v>1733.5335887588901</v>
      </c>
      <c r="L63" s="2">
        <f>-'Target Price'!L63/TargetConsumption!L63/VLOOKUP($A63,DemElas!$A$21:$B$28,2,0)</f>
        <v>2141.1215445623789</v>
      </c>
      <c r="M63" s="2">
        <f>-'Target Price'!M63/TargetConsumption!M63/VLOOKUP($A63,DemElas!$A$21:$B$28,2,0)</f>
        <v>1716.369889860287</v>
      </c>
      <c r="N63" s="2">
        <f>-'Target Price'!N63/TargetConsumption!N63/VLOOKUP($A63,DemElas!$A$21:$B$28,2,0)</f>
        <v>2119.9223213488899</v>
      </c>
      <c r="O63" s="2">
        <f>-'Target Price'!O63/TargetConsumption!O63/VLOOKUP($A63,DemElas!$A$21:$B$28,2,0)</f>
        <v>1699.3761285745418</v>
      </c>
      <c r="P63" s="2">
        <f>-'Target Price'!P63/TargetConsumption!P63/VLOOKUP($A63,DemElas!$A$21:$B$28,2,0)</f>
        <v>2098.9329914345444</v>
      </c>
      <c r="Q63" s="2">
        <f>-'Target Price'!Q63/TargetConsumption!Q63/VLOOKUP($A63,DemElas!$A$21:$B$28,2,0)</f>
        <v>1682.5506223510311</v>
      </c>
      <c r="R63" s="2">
        <f>-'Target Price'!R63/TargetConsumption!R63/VLOOKUP($A63,DemElas!$A$21:$B$28,2,0)</f>
        <v>2078.1514766678656</v>
      </c>
      <c r="S63" s="2">
        <f>-'Target Price'!S63/TargetConsumption!S63/VLOOKUP($A63,DemElas!$A$21:$B$28,2,0)</f>
        <v>1665.8917052980507</v>
      </c>
      <c r="T63" s="2">
        <f>-'Target Price'!T63/TargetConsumption!T63/VLOOKUP($A63,DemElas!$A$21:$B$28,2,0)</f>
        <v>2057.5757194731345</v>
      </c>
      <c r="U63" s="2">
        <f>-'Target Price'!U63/TargetConsumption!U63/VLOOKUP($A63,DemElas!$A$21:$B$28,2,0)</f>
        <v>1649.3977280178722</v>
      </c>
      <c r="V63" s="2">
        <f>-'Target Price'!V63/TargetConsumption!V63/VLOOKUP($A63,DemElas!$A$21:$B$28,2,0)</f>
        <v>2037.2036826466679</v>
      </c>
      <c r="W63" s="2">
        <f>-'Target Price'!W63/TargetConsumption!W63/VLOOKUP($A63,DemElas!$A$21:$B$28,2,0)</f>
        <v>1633.0670574434378</v>
      </c>
      <c r="X63" s="2">
        <f>-'Target Price'!X63/TargetConsumption!X63/VLOOKUP($A63,DemElas!$A$21:$B$28,2,0)</f>
        <v>2017.0333491551166</v>
      </c>
      <c r="Y63" s="2">
        <f>-'Target Price'!Y63/TargetConsumption!Y63/VLOOKUP($A63,DemElas!$A$21:$B$28,2,0)</f>
        <v>1616.8980766766708</v>
      </c>
      <c r="Z63" s="2">
        <f>-'Target Price'!Z63/TargetConsumption!Z63/VLOOKUP($A63,DemElas!$A$21:$B$28,2,0)</f>
        <v>1997.0627219357593</v>
      </c>
      <c r="AA63" s="2">
        <f>-'Target Price'!AA63/TargetConsumption!AA63/VLOOKUP($A63,DemElas!$A$21:$B$28,2,0)</f>
        <v>1600.8891848283872</v>
      </c>
      <c r="AB63" s="2">
        <f>-'Target Price'!AB63/TargetConsumption!AB63/VLOOKUP($A63,DemElas!$A$21:$B$28,2,0)</f>
        <v>1977.2898236987714</v>
      </c>
      <c r="AC63" s="2">
        <f>-'Target Price'!AC63/TargetConsumption!AC63/VLOOKUP($A63,DemElas!$A$21:$B$28,2,0)</f>
        <v>1585.0387968597893</v>
      </c>
      <c r="AD63" s="2">
        <f>-'Target Price'!AD63/TargetConsumption!AD63/VLOOKUP($A63,DemElas!$A$21:$B$28,2,0)</f>
        <v>1957.7126967314568</v>
      </c>
      <c r="AE63" s="2">
        <f>-'Target Price'!AE63/TargetConsumption!AE63/VLOOKUP($A63,DemElas!$A$21:$B$28,2,0)</f>
        <v>1569.3453434255337</v>
      </c>
      <c r="AF63" s="2">
        <f>-'Target Price'!AF63/TargetConsumption!AF63/VLOOKUP($A63,DemElas!$A$21:$B$28,2,0)</f>
        <v>1938.3294027044124</v>
      </c>
      <c r="AG63" s="2">
        <f>-'Target Price'!AG63/TargetConsumption!AG63/VLOOKUP($A63,DemElas!$A$21:$B$28,2,0)</f>
        <v>1553.8072707183503</v>
      </c>
      <c r="AH63" s="2">
        <f>-'Target Price'!AH63/TargetConsumption!AH63/VLOOKUP($A63,DemElas!$A$21:$B$28,2,0)</f>
        <v>1919.1380224796164</v>
      </c>
    </row>
    <row r="64" spans="1:34">
      <c r="A64" t="str">
        <f t="shared" si="2"/>
        <v>Coffee</v>
      </c>
      <c r="B64" t="str">
        <f t="shared" si="3"/>
        <v>Harari</v>
      </c>
      <c r="C64" s="2">
        <f>-'Target Price'!C64/TargetConsumption!C64/VLOOKUP($A64,DemElas!$A$21:$B$28,2,0)</f>
        <v>3434.0904051524308</v>
      </c>
      <c r="D64" s="2">
        <f>-'Target Price'!D64/TargetConsumption!D64/VLOOKUP($A64,DemElas!$A$21:$B$28,2,0)</f>
        <v>3927.0495971606883</v>
      </c>
      <c r="E64" s="2">
        <f>-'Target Price'!E64/TargetConsumption!E64/VLOOKUP($A64,DemElas!$A$21:$B$28,2,0)</f>
        <v>3400.089510051911</v>
      </c>
      <c r="F64" s="2">
        <f>-'Target Price'!F64/TargetConsumption!F64/VLOOKUP($A64,DemElas!$A$21:$B$28,2,0)</f>
        <v>3888.1679179808793</v>
      </c>
      <c r="G64" s="2">
        <f>-'Target Price'!G64/TargetConsumption!G64/VLOOKUP($A64,DemElas!$A$21:$B$28,2,0)</f>
        <v>3366.4252574771394</v>
      </c>
      <c r="H64" s="2">
        <f>-'Target Price'!H64/TargetConsumption!H64/VLOOKUP($A64,DemElas!$A$21:$B$28,2,0)</f>
        <v>3849.6712059216625</v>
      </c>
      <c r="I64" s="2">
        <f>-'Target Price'!I64/TargetConsumption!I64/VLOOKUP($A64,DemElas!$A$21:$B$28,2,0)</f>
        <v>3333.0943143338013</v>
      </c>
      <c r="J64" s="2">
        <f>-'Target Price'!J64/TargetConsumption!J64/VLOOKUP($A64,DemElas!$A$21:$B$28,2,0)</f>
        <v>3811.5556494273883</v>
      </c>
      <c r="K64" s="2">
        <f>-'Target Price'!K64/TargetConsumption!K64/VLOOKUP($A64,DemElas!$A$21:$B$28,2,0)</f>
        <v>3300.0933805285163</v>
      </c>
      <c r="L64" s="2">
        <f>-'Target Price'!L64/TargetConsumption!L64/VLOOKUP($A64,DemElas!$A$21:$B$28,2,0)</f>
        <v>3773.8174746805826</v>
      </c>
      <c r="M64" s="2">
        <f>-'Target Price'!M64/TargetConsumption!M64/VLOOKUP($A64,DemElas!$A$21:$B$28,2,0)</f>
        <v>3267.4191886420954</v>
      </c>
      <c r="N64" s="2">
        <f>-'Target Price'!N64/TargetConsumption!N64/VLOOKUP($A64,DemElas!$A$21:$B$28,2,0)</f>
        <v>3736.4529452282995</v>
      </c>
      <c r="O64" s="2">
        <f>-'Target Price'!O64/TargetConsumption!O64/VLOOKUP($A64,DemElas!$A$21:$B$28,2,0)</f>
        <v>3235.0685036060354</v>
      </c>
      <c r="P64" s="2">
        <f>-'Target Price'!P64/TargetConsumption!P64/VLOOKUP($A64,DemElas!$A$21:$B$28,2,0)</f>
        <v>3699.4583616121781</v>
      </c>
      <c r="Q64" s="2">
        <f>-'Target Price'!Q64/TargetConsumption!Q64/VLOOKUP($A64,DemElas!$A$21:$B$28,2,0)</f>
        <v>3203.0381223822128</v>
      </c>
      <c r="R64" s="2">
        <f>-'Target Price'!R64/TargetConsumption!R64/VLOOKUP($A64,DemElas!$A$21:$B$28,2,0)</f>
        <v>3662.8300610021565</v>
      </c>
      <c r="S64" s="2">
        <f>-'Target Price'!S64/TargetConsumption!S64/VLOOKUP($A64,DemElas!$A$21:$B$28,2,0)</f>
        <v>3171.3248736457558</v>
      </c>
      <c r="T64" s="2">
        <f>-'Target Price'!T64/TargetConsumption!T64/VLOOKUP($A64,DemElas!$A$21:$B$28,2,0)</f>
        <v>3626.5644168338185</v>
      </c>
      <c r="U64" s="2">
        <f>-'Target Price'!U64/TargetConsumption!U64/VLOOKUP($A64,DemElas!$A$21:$B$28,2,0)</f>
        <v>3139.9256174710454</v>
      </c>
      <c r="V64" s="2">
        <f>-'Target Price'!V64/TargetConsumption!V64/VLOOKUP($A64,DemElas!$A$21:$B$28,2,0)</f>
        <v>3590.6578384493259</v>
      </c>
      <c r="W64" s="2">
        <f>-'Target Price'!W64/TargetConsumption!W64/VLOOKUP($A64,DemElas!$A$21:$B$28,2,0)</f>
        <v>3108.8372450208376</v>
      </c>
      <c r="X64" s="2">
        <f>-'Target Price'!X64/TargetConsumption!X64/VLOOKUP($A64,DemElas!$A$21:$B$28,2,0)</f>
        <v>3555.106770741907</v>
      </c>
      <c r="Y64" s="2">
        <f>-'Target Price'!Y64/TargetConsumption!Y64/VLOOKUP($A64,DemElas!$A$21:$B$28,2,0)</f>
        <v>3078.0566782384531</v>
      </c>
      <c r="Z64" s="2">
        <f>-'Target Price'!Z64/TargetConsumption!Z64/VLOOKUP($A64,DemElas!$A$21:$B$28,2,0)</f>
        <v>3519.9076938038679</v>
      </c>
      <c r="AA64" s="2">
        <f>-'Target Price'!AA64/TargetConsumption!AA64/VLOOKUP($A64,DemElas!$A$21:$B$28,2,0)</f>
        <v>3047.5808695430228</v>
      </c>
      <c r="AB64" s="2">
        <f>-'Target Price'!AB64/TargetConsumption!AB64/VLOOKUP($A64,DemElas!$A$21:$B$28,2,0)</f>
        <v>3485.0571225780873</v>
      </c>
      <c r="AC64" s="2">
        <f>-'Target Price'!AC64/TargetConsumption!AC64/VLOOKUP($A64,DemElas!$A$21:$B$28,2,0)</f>
        <v>3017.4068015277453</v>
      </c>
      <c r="AD64" s="2">
        <f>-'Target Price'!AD64/TargetConsumption!AD64/VLOOKUP($A64,DemElas!$A$21:$B$28,2,0)</f>
        <v>3450.5516065129577</v>
      </c>
      <c r="AE64" s="2">
        <f>-'Target Price'!AE64/TargetConsumption!AE64/VLOOKUP($A64,DemElas!$A$21:$B$28,2,0)</f>
        <v>2987.5314866611338</v>
      </c>
      <c r="AF64" s="2">
        <f>-'Target Price'!AF64/TargetConsumption!AF64/VLOOKUP($A64,DemElas!$A$21:$B$28,2,0)</f>
        <v>3416.3877292207499</v>
      </c>
      <c r="AG64" s="2">
        <f>-'Target Price'!AG64/TargetConsumption!AG64/VLOOKUP($A64,DemElas!$A$21:$B$28,2,0)</f>
        <v>2957.951966991222</v>
      </c>
      <c r="AH64" s="2">
        <f>-'Target Price'!AH64/TargetConsumption!AH64/VLOOKUP($A64,DemElas!$A$21:$B$28,2,0)</f>
        <v>3382.562108139357</v>
      </c>
    </row>
    <row r="65" spans="1:34">
      <c r="A65" t="str">
        <f t="shared" si="2"/>
        <v>Coffee</v>
      </c>
      <c r="B65" t="str">
        <f t="shared" si="3"/>
        <v>Oromia</v>
      </c>
      <c r="C65" s="2">
        <f>-'Target Price'!C65/TargetConsumption!C65/VLOOKUP($A65,DemElas!$A$21:$B$28,2,0)</f>
        <v>20.593308572888102</v>
      </c>
      <c r="D65" s="2">
        <f>-'Target Price'!D65/TargetConsumption!D65/VLOOKUP($A65,DemElas!$A$21:$B$28,2,0)</f>
        <v>25.260262411866254</v>
      </c>
      <c r="E65" s="2">
        <f>-'Target Price'!E65/TargetConsumption!E65/VLOOKUP($A65,DemElas!$A$21:$B$28,2,0)</f>
        <v>20.38941442860208</v>
      </c>
      <c r="F65" s="2">
        <f>-'Target Price'!F65/TargetConsumption!F65/VLOOKUP($A65,DemElas!$A$21:$B$28,2,0)</f>
        <v>25.010160803827976</v>
      </c>
      <c r="G65" s="2">
        <f>-'Target Price'!G65/TargetConsumption!G65/VLOOKUP($A65,DemElas!$A$21:$B$28,2,0)</f>
        <v>20.187539038219885</v>
      </c>
      <c r="H65" s="2">
        <f>-'Target Price'!H65/TargetConsumption!H65/VLOOKUP($A65,DemElas!$A$21:$B$28,2,0)</f>
        <v>24.762535449334631</v>
      </c>
      <c r="I65" s="2">
        <f>-'Target Price'!I65/TargetConsumption!I65/VLOOKUP($A65,DemElas!$A$21:$B$28,2,0)</f>
        <v>19.987662414079097</v>
      </c>
      <c r="J65" s="2">
        <f>-'Target Price'!J65/TargetConsumption!J65/VLOOKUP($A65,DemElas!$A$21:$B$28,2,0)</f>
        <v>24.517361831024388</v>
      </c>
      <c r="K65" s="2">
        <f>-'Target Price'!K65/TargetConsumption!K65/VLOOKUP($A65,DemElas!$A$21:$B$28,2,0)</f>
        <v>19.789764766414947</v>
      </c>
      <c r="L65" s="2">
        <f>-'Target Price'!L65/TargetConsumption!L65/VLOOKUP($A65,DemElas!$A$21:$B$28,2,0)</f>
        <v>24.274615674281574</v>
      </c>
      <c r="M65" s="2">
        <f>-'Target Price'!M65/TargetConsumption!M65/VLOOKUP($A65,DemElas!$A$21:$B$28,2,0)</f>
        <v>19.593826501400933</v>
      </c>
      <c r="N65" s="2">
        <f>-'Target Price'!N65/TargetConsumption!N65/VLOOKUP($A65,DemElas!$A$21:$B$28,2,0)</f>
        <v>24.034272944833244</v>
      </c>
      <c r="O65" s="2">
        <f>-'Target Price'!O65/TargetConsumption!O65/VLOOKUP($A65,DemElas!$A$21:$B$28,2,0)</f>
        <v>19.399828219208846</v>
      </c>
      <c r="P65" s="2">
        <f>-'Target Price'!P65/TargetConsumption!P65/VLOOKUP($A65,DemElas!$A$21:$B$28,2,0)</f>
        <v>23.796309846369542</v>
      </c>
      <c r="Q65" s="2">
        <f>-'Target Price'!Q65/TargetConsumption!Q65/VLOOKUP($A65,DemElas!$A$21:$B$28,2,0)</f>
        <v>19.207750712087968</v>
      </c>
      <c r="R65" s="2">
        <f>-'Target Price'!R65/TargetConsumption!R65/VLOOKUP($A65,DemElas!$A$21:$B$28,2,0)</f>
        <v>23.560702818187668</v>
      </c>
      <c r="S65" s="2">
        <f>-'Target Price'!S65/TargetConsumption!S65/VLOOKUP($A65,DemElas!$A$21:$B$28,2,0)</f>
        <v>19.017574962463332</v>
      </c>
      <c r="T65" s="2">
        <f>-'Target Price'!T65/TargetConsumption!T65/VLOOKUP($A65,DemElas!$A$21:$B$28,2,0)</f>
        <v>23.327428532859077</v>
      </c>
      <c r="U65" s="2">
        <f>-'Target Price'!U65/TargetConsumption!U65/VLOOKUP($A65,DemElas!$A$21:$B$28,2,0)</f>
        <v>18.829282141052808</v>
      </c>
      <c r="V65" s="2">
        <f>-'Target Price'!V65/TargetConsumption!V65/VLOOKUP($A65,DemElas!$A$21:$B$28,2,0)</f>
        <v>23.096463893919882</v>
      </c>
      <c r="W65" s="2">
        <f>-'Target Price'!W65/TargetConsumption!W65/VLOOKUP($A65,DemElas!$A$21:$B$28,2,0)</f>
        <v>18.642853605002781</v>
      </c>
      <c r="X65" s="2">
        <f>-'Target Price'!X65/TargetConsumption!X65/VLOOKUP($A65,DemElas!$A$21:$B$28,2,0)</f>
        <v>22.867786033584039</v>
      </c>
      <c r="Y65" s="2">
        <f>-'Target Price'!Y65/TargetConsumption!Y65/VLOOKUP($A65,DemElas!$A$21:$B$28,2,0)</f>
        <v>18.458270896042354</v>
      </c>
      <c r="Z65" s="2">
        <f>-'Target Price'!Z65/TargetConsumption!Z65/VLOOKUP($A65,DemElas!$A$21:$B$28,2,0)</f>
        <v>22.641372310479245</v>
      </c>
      <c r="AA65" s="2">
        <f>-'Target Price'!AA65/TargetConsumption!AA65/VLOOKUP($A65,DemElas!$A$21:$B$28,2,0)</f>
        <v>18.275515738655795</v>
      </c>
      <c r="AB65" s="2">
        <f>-'Target Price'!AB65/TargetConsumption!AB65/VLOOKUP($A65,DemElas!$A$21:$B$28,2,0)</f>
        <v>22.417200307405192</v>
      </c>
      <c r="AC65" s="2">
        <f>-'Target Price'!AC65/TargetConsumption!AC65/VLOOKUP($A65,DemElas!$A$21:$B$28,2,0)</f>
        <v>18.094570038273062</v>
      </c>
      <c r="AD65" s="2">
        <f>-'Target Price'!AD65/TargetConsumption!AD65/VLOOKUP($A65,DemElas!$A$21:$B$28,2,0)</f>
        <v>22.195247829114052</v>
      </c>
      <c r="AE65" s="2">
        <f>-'Target Price'!AE65/TargetConsumption!AE65/VLOOKUP($A65,DemElas!$A$21:$B$28,2,0)</f>
        <v>17.915415879478285</v>
      </c>
      <c r="AF65" s="2">
        <f>-'Target Price'!AF65/TargetConsumption!AF65/VLOOKUP($A65,DemElas!$A$21:$B$28,2,0)</f>
        <v>21.975492900112926</v>
      </c>
      <c r="AG65" s="2">
        <f>-'Target Price'!AG65/TargetConsumption!AG65/VLOOKUP($A65,DemElas!$A$21:$B$28,2,0)</f>
        <v>17.738035524235926</v>
      </c>
      <c r="AH65" s="2">
        <f>-'Target Price'!AH65/TargetConsumption!AH65/VLOOKUP($A65,DemElas!$A$21:$B$28,2,0)</f>
        <v>21.757913762488045</v>
      </c>
    </row>
    <row r="66" spans="1:34">
      <c r="A66" t="str">
        <f t="shared" si="2"/>
        <v>Coffee</v>
      </c>
      <c r="B66" t="str">
        <f t="shared" si="3"/>
        <v>Somali</v>
      </c>
      <c r="C66" s="2">
        <f>-'Target Price'!C66/TargetConsumption!C66/VLOOKUP($A66,DemElas!$A$21:$B$28,2,0)</f>
        <v>126.64799122231285</v>
      </c>
      <c r="D66" s="2">
        <f>-'Target Price'!D66/TargetConsumption!D66/VLOOKUP($A66,DemElas!$A$21:$B$28,2,0)</f>
        <v>154.70507334204959</v>
      </c>
      <c r="E66" s="2">
        <f>-'Target Price'!E66/TargetConsumption!E66/VLOOKUP($A66,DemElas!$A$21:$B$28,2,0)</f>
        <v>125.39405071516124</v>
      </c>
      <c r="F66" s="2">
        <f>-'Target Price'!F66/TargetConsumption!F66/VLOOKUP($A66,DemElas!$A$21:$B$28,2,0)</f>
        <v>153.17333994262336</v>
      </c>
      <c r="G66" s="2">
        <f>-'Target Price'!G66/TargetConsumption!G66/VLOOKUP($A66,DemElas!$A$21:$B$28,2,0)</f>
        <v>124.15252546055568</v>
      </c>
      <c r="H66" s="2">
        <f>-'Target Price'!H66/TargetConsumption!H66/VLOOKUP($A66,DemElas!$A$21:$B$28,2,0)</f>
        <v>151.65677222041916</v>
      </c>
      <c r="I66" s="2">
        <f>-'Target Price'!I66/TargetConsumption!I66/VLOOKUP($A66,DemElas!$A$21:$B$28,2,0)</f>
        <v>122.92329253520364</v>
      </c>
      <c r="J66" s="2">
        <f>-'Target Price'!J66/TargetConsumption!J66/VLOOKUP($A66,DemElas!$A$21:$B$28,2,0)</f>
        <v>150.155220020217</v>
      </c>
      <c r="K66" s="2">
        <f>-'Target Price'!K66/TargetConsumption!K66/VLOOKUP($A66,DemElas!$A$21:$B$28,2,0)</f>
        <v>121.7062302328749</v>
      </c>
      <c r="L66" s="2">
        <f>-'Target Price'!L66/TargetConsumption!L66/VLOOKUP($A66,DemElas!$A$21:$B$28,2,0)</f>
        <v>148.66853467348216</v>
      </c>
      <c r="M66" s="2">
        <f>-'Target Price'!M66/TargetConsumption!M66/VLOOKUP($A66,DemElas!$A$21:$B$28,2,0)</f>
        <v>120.50121805235136</v>
      </c>
      <c r="N66" s="2">
        <f>-'Target Price'!N66/TargetConsumption!N66/VLOOKUP($A66,DemElas!$A$21:$B$28,2,0)</f>
        <v>147.1965689836457</v>
      </c>
      <c r="O66" s="2">
        <f>-'Target Price'!O66/TargetConsumption!O66/VLOOKUP($A66,DemElas!$A$21:$B$28,2,0)</f>
        <v>119.30813668549642</v>
      </c>
      <c r="P66" s="2">
        <f>-'Target Price'!P66/TargetConsumption!P66/VLOOKUP($A66,DemElas!$A$21:$B$28,2,0)</f>
        <v>145.7391772115304</v>
      </c>
      <c r="Q66" s="2">
        <f>-'Target Price'!Q66/TargetConsumption!Q66/VLOOKUP($A66,DemElas!$A$21:$B$28,2,0)</f>
        <v>118.12686800544199</v>
      </c>
      <c r="R66" s="2">
        <f>-'Target Price'!R66/TargetConsumption!R66/VLOOKUP($A66,DemElas!$A$21:$B$28,2,0)</f>
        <v>144.29621506092118</v>
      </c>
      <c r="S66" s="2">
        <f>-'Target Price'!S66/TargetConsumption!S66/VLOOKUP($A66,DemElas!$A$21:$B$28,2,0)</f>
        <v>116.95729505489307</v>
      </c>
      <c r="T66" s="2">
        <f>-'Target Price'!T66/TargetConsumption!T66/VLOOKUP($A66,DemElas!$A$21:$B$28,2,0)</f>
        <v>142.86753966427841</v>
      </c>
      <c r="U66" s="2">
        <f>-'Target Price'!U66/TargetConsumption!U66/VLOOKUP($A66,DemElas!$A$21:$B$28,2,0)</f>
        <v>115.79930203454759</v>
      </c>
      <c r="V66" s="2">
        <f>-'Target Price'!V66/TargetConsumption!V66/VLOOKUP($A66,DemElas!$A$21:$B$28,2,0)</f>
        <v>141.45300956859248</v>
      </c>
      <c r="W66" s="2">
        <f>-'Target Price'!W66/TargetConsumption!W66/VLOOKUP($A66,DemElas!$A$21:$B$28,2,0)</f>
        <v>114.65277429163127</v>
      </c>
      <c r="X66" s="2">
        <f>-'Target Price'!X66/TargetConsumption!X66/VLOOKUP($A66,DemElas!$A$21:$B$28,2,0)</f>
        <v>140.0524847213787</v>
      </c>
      <c r="Y66" s="2">
        <f>-'Target Price'!Y66/TargetConsumption!Y66/VLOOKUP($A66,DemElas!$A$21:$B$28,2,0)</f>
        <v>113.51759830854583</v>
      </c>
      <c r="Z66" s="2">
        <f>-'Target Price'!Z66/TargetConsumption!Z66/VLOOKUP($A66,DemElas!$A$21:$B$28,2,0)</f>
        <v>138.66582645681061</v>
      </c>
      <c r="AA66" s="2">
        <f>-'Target Price'!AA66/TargetConsumption!AA66/VLOOKUP($A66,DemElas!$A$21:$B$28,2,0)</f>
        <v>112.39366169162953</v>
      </c>
      <c r="AB66" s="2">
        <f>-'Target Price'!AB66/TargetConsumption!AB66/VLOOKUP($A66,DemElas!$A$21:$B$28,2,0)</f>
        <v>137.29289748199071</v>
      </c>
      <c r="AC66" s="2">
        <f>-'Target Price'!AC66/TargetConsumption!AC66/VLOOKUP($A66,DemElas!$A$21:$B$28,2,0)</f>
        <v>111.28085316002924</v>
      </c>
      <c r="AD66" s="2">
        <f>-'Target Price'!AD66/TargetConsumption!AD66/VLOOKUP($A66,DemElas!$A$21:$B$28,2,0)</f>
        <v>135.93356186335711</v>
      </c>
      <c r="AE66" s="2">
        <f>-'Target Price'!AE66/TargetConsumption!AE66/VLOOKUP($A66,DemElas!$A$21:$B$28,2,0)</f>
        <v>110.17906253468242</v>
      </c>
      <c r="AF66" s="2">
        <f>-'Target Price'!AF66/TargetConsumption!AF66/VLOOKUP($A66,DemElas!$A$21:$B$28,2,0)</f>
        <v>134.58768501322487</v>
      </c>
      <c r="AG66" s="2">
        <f>-'Target Price'!AG66/TargetConsumption!AG66/VLOOKUP($A66,DemElas!$A$21:$B$28,2,0)</f>
        <v>109.08818072740833</v>
      </c>
      <c r="AH66" s="2">
        <f>-'Target Price'!AH66/TargetConsumption!AH66/VLOOKUP($A66,DemElas!$A$21:$B$28,2,0)</f>
        <v>133.25513367646025</v>
      </c>
    </row>
    <row r="67" spans="1:34">
      <c r="A67" t="str">
        <f t="shared" si="2"/>
        <v>Coffee</v>
      </c>
      <c r="B67" t="str">
        <f t="shared" si="3"/>
        <v>SNNPR</v>
      </c>
      <c r="C67" s="2">
        <f>-'Target Price'!C67/TargetConsumption!C67/VLOOKUP($A67,DemElas!$A$21:$B$28,2,0)</f>
        <v>42.579786272407034</v>
      </c>
      <c r="D67" s="2">
        <f>-'Target Price'!D67/TargetConsumption!D67/VLOOKUP($A67,DemElas!$A$21:$B$28,2,0)</f>
        <v>47.433455529941746</v>
      </c>
      <c r="E67" s="2">
        <f>-'Target Price'!E67/TargetConsumption!E67/VLOOKUP($A67,DemElas!$A$21:$B$28,2,0)</f>
        <v>42.158204230105973</v>
      </c>
      <c r="F67" s="2">
        <f>-'Target Price'!F67/TargetConsumption!F67/VLOOKUP($A67,DemElas!$A$21:$B$28,2,0)</f>
        <v>46.963817356377959</v>
      </c>
      <c r="G67" s="2">
        <f>-'Target Price'!G67/TargetConsumption!G67/VLOOKUP($A67,DemElas!$A$21:$B$28,2,0)</f>
        <v>41.740796267431662</v>
      </c>
      <c r="H67" s="2">
        <f>-'Target Price'!H67/TargetConsumption!H67/VLOOKUP($A67,DemElas!$A$21:$B$28,2,0)</f>
        <v>46.498829065720749</v>
      </c>
      <c r="I67" s="2">
        <f>-'Target Price'!I67/TargetConsumption!I67/VLOOKUP($A67,DemElas!$A$21:$B$28,2,0)</f>
        <v>41.327521056863034</v>
      </c>
      <c r="J67" s="2">
        <f>-'Target Price'!J67/TargetConsumption!J67/VLOOKUP($A67,DemElas!$A$21:$B$28,2,0)</f>
        <v>46.038444619525499</v>
      </c>
      <c r="K67" s="2">
        <f>-'Target Price'!K67/TargetConsumption!K67/VLOOKUP($A67,DemElas!$A$21:$B$28,2,0)</f>
        <v>40.9183376800624</v>
      </c>
      <c r="L67" s="2">
        <f>-'Target Price'!L67/TargetConsumption!L67/VLOOKUP($A67,DemElas!$A$21:$B$28,2,0)</f>
        <v>45.582618435173764</v>
      </c>
      <c r="M67" s="2">
        <f>-'Target Price'!M67/TargetConsumption!M67/VLOOKUP($A67,DemElas!$A$21:$B$28,2,0)</f>
        <v>40.513205623824163</v>
      </c>
      <c r="N67" s="2">
        <f>-'Target Price'!N67/TargetConsumption!N67/VLOOKUP($A67,DemElas!$A$21:$B$28,2,0)</f>
        <v>45.131305381360164</v>
      </c>
      <c r="O67" s="2">
        <f>-'Target Price'!O67/TargetConsumption!O67/VLOOKUP($A67,DemElas!$A$21:$B$28,2,0)</f>
        <v>40.112084776063533</v>
      </c>
      <c r="P67" s="2">
        <f>-'Target Price'!P67/TargetConsumption!P67/VLOOKUP($A67,DemElas!$A$21:$B$28,2,0)</f>
        <v>44.684460773623918</v>
      </c>
      <c r="Q67" s="2">
        <f>-'Target Price'!Q67/TargetConsumption!Q67/VLOOKUP($A67,DemElas!$A$21:$B$28,2,0)</f>
        <v>39.714935421845084</v>
      </c>
      <c r="R67" s="2">
        <f>-'Target Price'!R67/TargetConsumption!R67/VLOOKUP($A67,DemElas!$A$21:$B$28,2,0)</f>
        <v>44.24204036992468</v>
      </c>
      <c r="S67" s="2">
        <f>-'Target Price'!S67/TargetConsumption!S67/VLOOKUP($A67,DemElas!$A$21:$B$28,2,0)</f>
        <v>39.321718239450576</v>
      </c>
      <c r="T67" s="2">
        <f>-'Target Price'!T67/TargetConsumption!T67/VLOOKUP($A67,DemElas!$A$21:$B$28,2,0)</f>
        <v>43.804000366262059</v>
      </c>
      <c r="U67" s="2">
        <f>-'Target Price'!U67/TargetConsumption!U67/VLOOKUP($A67,DemElas!$A$21:$B$28,2,0)</f>
        <v>38.932394296485718</v>
      </c>
      <c r="V67" s="2">
        <f>-'Target Price'!V67/TargetConsumption!V67/VLOOKUP($A67,DemElas!$A$21:$B$28,2,0)</f>
        <v>43.370297392338664</v>
      </c>
      <c r="W67" s="2">
        <f>-'Target Price'!W67/TargetConsumption!W67/VLOOKUP($A67,DemElas!$A$21:$B$28,2,0)</f>
        <v>38.546925046025464</v>
      </c>
      <c r="X67" s="2">
        <f>-'Target Price'!X67/TargetConsumption!X67/VLOOKUP($A67,DemElas!$A$21:$B$28,2,0)</f>
        <v>42.940888507266003</v>
      </c>
      <c r="Y67" s="2">
        <f>-'Target Price'!Y67/TargetConsumption!Y67/VLOOKUP($A67,DemElas!$A$21:$B$28,2,0)</f>
        <v>38.165272322797485</v>
      </c>
      <c r="Z67" s="2">
        <f>-'Target Price'!Z67/TargetConsumption!Z67/VLOOKUP($A67,DemElas!$A$21:$B$28,2,0)</f>
        <v>42.515731195312867</v>
      </c>
      <c r="AA67" s="2">
        <f>-'Target Price'!AA67/TargetConsumption!AA67/VLOOKUP($A67,DemElas!$A$21:$B$28,2,0)</f>
        <v>37.787398339403452</v>
      </c>
      <c r="AB67" s="2">
        <f>-'Target Price'!AB67/TargetConsumption!AB67/VLOOKUP($A67,DemElas!$A$21:$B$28,2,0)</f>
        <v>42.09478336169591</v>
      </c>
      <c r="AC67" s="2">
        <f>-'Target Price'!AC67/TargetConsumption!AC67/VLOOKUP($A67,DemElas!$A$21:$B$28,2,0)</f>
        <v>37.413265682577673</v>
      </c>
      <c r="AD67" s="2">
        <f>-'Target Price'!AD67/TargetConsumption!AD67/VLOOKUP($A67,DemElas!$A$21:$B$28,2,0)</f>
        <v>41.678003328411798</v>
      </c>
      <c r="AE67" s="2">
        <f>-'Target Price'!AE67/TargetConsumption!AE67/VLOOKUP($A67,DemElas!$A$21:$B$28,2,0)</f>
        <v>37.042837309482849</v>
      </c>
      <c r="AF67" s="2">
        <f>-'Target Price'!AF67/TargetConsumption!AF67/VLOOKUP($A67,DemElas!$A$21:$B$28,2,0)</f>
        <v>41.265349830110686</v>
      </c>
      <c r="AG67" s="2">
        <f>-'Target Price'!AG67/TargetConsumption!AG67/VLOOKUP($A67,DemElas!$A$21:$B$28,2,0)</f>
        <v>36.676076544042417</v>
      </c>
      <c r="AH67" s="2">
        <f>-'Target Price'!AH67/TargetConsumption!AH67/VLOOKUP($A67,DemElas!$A$21:$B$28,2,0)</f>
        <v>40.856782010010576</v>
      </c>
    </row>
    <row r="68" spans="1:34">
      <c r="A68" t="str">
        <f t="shared" si="2"/>
        <v>Coffee</v>
      </c>
      <c r="B68" t="str">
        <f t="shared" si="3"/>
        <v>Tigray</v>
      </c>
      <c r="C68" s="2">
        <f>-'Target Price'!C68/TargetConsumption!C68/VLOOKUP($A68,DemElas!$A$21:$B$28,2,0)</f>
        <v>151.34084167911169</v>
      </c>
      <c r="D68" s="2">
        <f>-'Target Price'!D68/TargetConsumption!D68/VLOOKUP($A68,DemElas!$A$21:$B$28,2,0)</f>
        <v>165.1309594345914</v>
      </c>
      <c r="E68" s="2">
        <f>-'Target Price'!E68/TargetConsumption!E68/VLOOKUP($A68,DemElas!$A$21:$B$28,2,0)</f>
        <v>149.84241750407097</v>
      </c>
      <c r="F68" s="2">
        <f>-'Target Price'!F68/TargetConsumption!F68/VLOOKUP($A68,DemElas!$A$21:$B$28,2,0)</f>
        <v>163.49599944018948</v>
      </c>
      <c r="G68" s="2">
        <f>-'Target Price'!G68/TargetConsumption!G68/VLOOKUP($A68,DemElas!$A$21:$B$28,2,0)</f>
        <v>148.35882921195144</v>
      </c>
      <c r="H68" s="2">
        <f>-'Target Price'!H68/TargetConsumption!H68/VLOOKUP($A68,DemElas!$A$21:$B$28,2,0)</f>
        <v>161.87722716850442</v>
      </c>
      <c r="I68" s="2">
        <f>-'Target Price'!I68/TargetConsumption!I68/VLOOKUP($A68,DemElas!$A$21:$B$28,2,0)</f>
        <v>146.88992991282322</v>
      </c>
      <c r="J68" s="2">
        <f>-'Target Price'!J68/TargetConsumption!J68/VLOOKUP($A68,DemElas!$A$21:$B$28,2,0)</f>
        <v>160.27448234505388</v>
      </c>
      <c r="K68" s="2">
        <f>-'Target Price'!K68/TargetConsumption!K68/VLOOKUP($A68,DemElas!$A$21:$B$28,2,0)</f>
        <v>145.43557417111208</v>
      </c>
      <c r="L68" s="2">
        <f>-'Target Price'!L68/TargetConsumption!L68/VLOOKUP($A68,DemElas!$A$21:$B$28,2,0)</f>
        <v>158.68760628223154</v>
      </c>
      <c r="M68" s="2">
        <f>-'Target Price'!M68/TargetConsumption!M68/VLOOKUP($A68,DemElas!$A$21:$B$28,2,0)</f>
        <v>143.99561799120008</v>
      </c>
      <c r="N68" s="2">
        <f>-'Target Price'!N68/TargetConsumption!N68/VLOOKUP($A68,DemElas!$A$21:$B$28,2,0)</f>
        <v>157.11644186359561</v>
      </c>
      <c r="O68" s="2">
        <f>-'Target Price'!O68/TargetConsumption!O68/VLOOKUP($A68,DemElas!$A$21:$B$28,2,0)</f>
        <v>142.56991880316838</v>
      </c>
      <c r="P68" s="2">
        <f>-'Target Price'!P68/TargetConsumption!P68/VLOOKUP($A68,DemElas!$A$21:$B$28,2,0)</f>
        <v>155.56083352831246</v>
      </c>
      <c r="Q68" s="2">
        <f>-'Target Price'!Q68/TargetConsumption!Q68/VLOOKUP($A68,DemElas!$A$21:$B$28,2,0)</f>
        <v>141.15833544868156</v>
      </c>
      <c r="R68" s="2">
        <f>-'Target Price'!R68/TargetConsumption!R68/VLOOKUP($A68,DemElas!$A$21:$B$28,2,0)</f>
        <v>154.0206272557549</v>
      </c>
      <c r="S68" s="2">
        <f>-'Target Price'!S68/TargetConsumption!S68/VLOOKUP($A68,DemElas!$A$21:$B$28,2,0)</f>
        <v>139.76072816701145</v>
      </c>
      <c r="T68" s="2">
        <f>-'Target Price'!T68/TargetConsumption!T68/VLOOKUP($A68,DemElas!$A$21:$B$28,2,0)</f>
        <v>152.49567055025238</v>
      </c>
      <c r="U68" s="2">
        <f>-'Target Price'!U68/TargetConsumption!U68/VLOOKUP($A68,DemElas!$A$21:$B$28,2,0)</f>
        <v>138.37695858119946</v>
      </c>
      <c r="V68" s="2">
        <f>-'Target Price'!V68/TargetConsumption!V68/VLOOKUP($A68,DemElas!$A$21:$B$28,2,0)</f>
        <v>150.98581242599246</v>
      </c>
      <c r="W68" s="2">
        <f>-'Target Price'!W68/TargetConsumption!W68/VLOOKUP($A68,DemElas!$A$21:$B$28,2,0)</f>
        <v>137.00688968435588</v>
      </c>
      <c r="X68" s="2">
        <f>-'Target Price'!X68/TargetConsumption!X68/VLOOKUP($A68,DemElas!$A$21:$B$28,2,0)</f>
        <v>149.49090339207174</v>
      </c>
      <c r="Y68" s="2">
        <f>-'Target Price'!Y68/TargetConsumption!Y68/VLOOKUP($A68,DemElas!$A$21:$B$28,2,0)</f>
        <v>135.65038582609495</v>
      </c>
      <c r="Z68" s="2">
        <f>-'Target Price'!Z68/TargetConsumption!Z68/VLOOKUP($A68,DemElas!$A$21:$B$28,2,0)</f>
        <v>148.01079543769478</v>
      </c>
      <c r="AA68" s="2">
        <f>-'Target Price'!AA68/TargetConsumption!AA68/VLOOKUP($A68,DemElas!$A$21:$B$28,2,0)</f>
        <v>134.30731269910387</v>
      </c>
      <c r="AB68" s="2">
        <f>-'Target Price'!AB68/TargetConsumption!AB68/VLOOKUP($A68,DemElas!$A$21:$B$28,2,0)</f>
        <v>146.54534201751957</v>
      </c>
      <c r="AC68" s="2">
        <f>-'Target Price'!AC68/TargetConsumption!AC68/VLOOKUP($A68,DemElas!$A$21:$B$28,2,0)</f>
        <v>132.97753732584545</v>
      </c>
      <c r="AD68" s="2">
        <f>-'Target Price'!AD68/TargetConsumption!AD68/VLOOKUP($A68,DemElas!$A$21:$B$28,2,0)</f>
        <v>145.0943980371481</v>
      </c>
      <c r="AE68" s="2">
        <f>-'Target Price'!AE68/TargetConsumption!AE68/VLOOKUP($A68,DemElas!$A$21:$B$28,2,0)</f>
        <v>131.6609280453915</v>
      </c>
      <c r="AF68" s="2">
        <f>-'Target Price'!AF68/TargetConsumption!AF68/VLOOKUP($A68,DemElas!$A$21:$B$28,2,0)</f>
        <v>143.65781983876047</v>
      </c>
      <c r="AG68" s="2">
        <f>-'Target Price'!AG68/TargetConsumption!AG68/VLOOKUP($A68,DemElas!$A$21:$B$28,2,0)</f>
        <v>130.35735450038763</v>
      </c>
      <c r="AH68" s="2">
        <f>-'Target Price'!AH68/TargetConsumption!AH68/VLOOKUP($A68,DemElas!$A$21:$B$28,2,0)</f>
        <v>142.23546518689156</v>
      </c>
    </row>
    <row r="69" spans="1:34">
      <c r="A69" t="str">
        <f t="shared" si="2"/>
        <v>Beef</v>
      </c>
      <c r="B69" t="str">
        <f t="shared" si="3"/>
        <v>AddisAbaba</v>
      </c>
      <c r="C69" s="2">
        <f>-'Target Price'!C69/TargetConsumption!C69/VLOOKUP($A69,DemElas!$A$21:$B$28,2,0)</f>
        <v>16.603087346512861</v>
      </c>
      <c r="D69" s="2">
        <f>-'Target Price'!D69/TargetConsumption!D69/VLOOKUP($A69,DemElas!$A$21:$B$28,2,0)</f>
        <v>15.345368758488217</v>
      </c>
      <c r="E69" s="2">
        <f>-'Target Price'!E69/TargetConsumption!E69/VLOOKUP($A69,DemElas!$A$21:$B$28,2,0)</f>
        <v>16.944970003580345</v>
      </c>
      <c r="F69" s="2">
        <f>-'Target Price'!F69/TargetConsumption!F69/VLOOKUP($A69,DemElas!$A$21:$B$28,2,0)</f>
        <v>15.66135308931414</v>
      </c>
      <c r="G69" s="2">
        <f>-'Target Price'!G69/TargetConsumption!G69/VLOOKUP($A69,DemElas!$A$21:$B$28,2,0)</f>
        <v>16.22444528362098</v>
      </c>
      <c r="H69" s="2">
        <f>-'Target Price'!H69/TargetConsumption!H69/VLOOKUP($A69,DemElas!$A$21:$B$28,2,0)</f>
        <v>14.995409623702901</v>
      </c>
      <c r="I69" s="2">
        <f>-'Target Price'!I69/TargetConsumption!I69/VLOOKUP($A69,DemElas!$A$21:$B$28,2,0)</f>
        <v>14.152634476718479</v>
      </c>
      <c r="J69" s="2">
        <f>-'Target Price'!J69/TargetConsumption!J69/VLOOKUP($A69,DemElas!$A$21:$B$28,2,0)</f>
        <v>13.080542818137529</v>
      </c>
      <c r="K69" s="2">
        <f>-'Target Price'!K69/TargetConsumption!K69/VLOOKUP($A69,DemElas!$A$21:$B$28,2,0)</f>
        <v>13.622583969790982</v>
      </c>
      <c r="L69" s="2">
        <f>-'Target Price'!L69/TargetConsumption!L69/VLOOKUP($A69,DemElas!$A$21:$B$28,2,0)</f>
        <v>12.590644745588126</v>
      </c>
      <c r="M69" s="2">
        <f>-'Target Price'!M69/TargetConsumption!M69/VLOOKUP($A69,DemElas!$A$21:$B$28,2,0)</f>
        <v>12.982533854907155</v>
      </c>
      <c r="N69" s="2">
        <f>-'Target Price'!N69/TargetConsumption!N69/VLOOKUP($A69,DemElas!$A$21:$B$28,2,0)</f>
        <v>11.999079765423881</v>
      </c>
      <c r="O69" s="2">
        <f>-'Target Price'!O69/TargetConsumption!O69/VLOOKUP($A69,DemElas!$A$21:$B$28,2,0)</f>
        <v>12.63402381633936</v>
      </c>
      <c r="P69" s="2">
        <f>-'Target Price'!P69/TargetConsumption!P69/VLOOKUP($A69,DemElas!$A$21:$B$28,2,0)</f>
        <v>11.676970091105931</v>
      </c>
      <c r="Q69" s="2">
        <f>-'Target Price'!Q69/TargetConsumption!Q69/VLOOKUP($A69,DemElas!$A$21:$B$28,2,0)</f>
        <v>11.65634111881525</v>
      </c>
      <c r="R69" s="2">
        <f>-'Target Price'!R69/TargetConsumption!R69/VLOOKUP($A69,DemElas!$A$21:$B$28,2,0)</f>
        <v>10.773348902517048</v>
      </c>
      <c r="S69" s="2">
        <f>-'Target Price'!S69/TargetConsumption!S69/VLOOKUP($A69,DemElas!$A$21:$B$28,2,0)</f>
        <v>11.065133596514338</v>
      </c>
      <c r="T69" s="2">
        <f>-'Target Price'!T69/TargetConsumption!T69/VLOOKUP($A69,DemElas!$A$21:$B$28,2,0)</f>
        <v>10.226926586404552</v>
      </c>
      <c r="U69" s="2">
        <f>-'Target Price'!U69/TargetConsumption!U69/VLOOKUP($A69,DemElas!$A$21:$B$28,2,0)</f>
        <v>11.903274524730724</v>
      </c>
      <c r="V69" s="2">
        <f>-'Target Price'!V69/TargetConsumption!V69/VLOOKUP($A69,DemElas!$A$21:$B$28,2,0)</f>
        <v>11.001576586530181</v>
      </c>
      <c r="W69" s="2">
        <f>-'Target Price'!W69/TargetConsumption!W69/VLOOKUP($A69,DemElas!$A$21:$B$28,2,0)</f>
        <v>11.309572783184896</v>
      </c>
      <c r="X69" s="2">
        <f>-'Target Price'!X69/TargetConsumption!X69/VLOOKUP($A69,DemElas!$A$21:$B$28,2,0)</f>
        <v>10.452848993496657</v>
      </c>
      <c r="Y69" s="2">
        <f>-'Target Price'!Y69/TargetConsumption!Y69/VLOOKUP($A69,DemElas!$A$21:$B$28,2,0)</f>
        <v>9.7542969671116069</v>
      </c>
      <c r="Z69" s="2">
        <f>-'Target Price'!Z69/TargetConsumption!Z69/VLOOKUP($A69,DemElas!$A$21:$B$28,2,0)</f>
        <v>9.0153885729914371</v>
      </c>
      <c r="AA69" s="2">
        <f>-'Target Price'!AA69/TargetConsumption!AA69/VLOOKUP($A69,DemElas!$A$21:$B$28,2,0)</f>
        <v>9.7165538100981728</v>
      </c>
      <c r="AB69" s="2">
        <f>-'Target Price'!AB69/TargetConsumption!AB69/VLOOKUP($A69,DemElas!$A$21:$B$28,2,0)</f>
        <v>8.980504539052875</v>
      </c>
      <c r="AC69" s="2">
        <f>-'Target Price'!AC69/TargetConsumption!AC69/VLOOKUP($A69,DemElas!$A$21:$B$28,2,0)</f>
        <v>9.6488185466035699</v>
      </c>
      <c r="AD69" s="2">
        <f>-'Target Price'!AD69/TargetConsumption!AD69/VLOOKUP($A69,DemElas!$A$21:$B$28,2,0)</f>
        <v>8.9179003634206619</v>
      </c>
      <c r="AE69" s="2">
        <f>-'Target Price'!AE69/TargetConsumption!AE69/VLOOKUP($A69,DemElas!$A$21:$B$28,2,0)</f>
        <v>9.5787164314350619</v>
      </c>
      <c r="AF69" s="2">
        <f>-'Target Price'!AF69/TargetConsumption!AF69/VLOOKUP($A69,DemElas!$A$21:$B$28,2,0)</f>
        <v>8.8531086300785677</v>
      </c>
      <c r="AG69" s="2">
        <f>-'Target Price'!AG69/TargetConsumption!AG69/VLOOKUP($A69,DemElas!$A$21:$B$28,2,0)</f>
        <v>8.3968953399286281</v>
      </c>
      <c r="AH69" s="2">
        <f>-'Target Price'!AH69/TargetConsumption!AH69/VLOOKUP($A69,DemElas!$A$21:$B$28,2,0)</f>
        <v>7.7608129577598728</v>
      </c>
    </row>
    <row r="70" spans="1:34">
      <c r="A70" t="str">
        <f t="shared" si="2"/>
        <v>Beef</v>
      </c>
      <c r="B70" t="str">
        <f t="shared" si="3"/>
        <v>Afar</v>
      </c>
      <c r="C70" s="2">
        <f>-'Target Price'!C70/TargetConsumption!C70/VLOOKUP($A70,DemElas!$A$21:$B$28,2,0)</f>
        <v>37.828317066412112</v>
      </c>
      <c r="D70" s="2">
        <f>-'Target Price'!D70/TargetConsumption!D70/VLOOKUP($A70,DemElas!$A$21:$B$28,2,0)</f>
        <v>34.962742939434506</v>
      </c>
      <c r="E70" s="2">
        <f>-'Target Price'!E70/TargetConsumption!E70/VLOOKUP($A70,DemElas!$A$21:$B$28,2,0)</f>
        <v>31.653110957426055</v>
      </c>
      <c r="F70" s="2">
        <f>-'Target Price'!F70/TargetConsumption!F70/VLOOKUP($A70,DemElas!$A$21:$B$28,2,0)</f>
        <v>29.255321607222889</v>
      </c>
      <c r="G70" s="2">
        <f>-'Target Price'!G70/TargetConsumption!G70/VLOOKUP($A70,DemElas!$A$21:$B$28,2,0)</f>
        <v>30.767733866844253</v>
      </c>
      <c r="H70" s="2">
        <f>-'Target Price'!H70/TargetConsumption!H70/VLOOKUP($A70,DemElas!$A$21:$B$28,2,0)</f>
        <v>28.437013682814559</v>
      </c>
      <c r="I70" s="2">
        <f>-'Target Price'!I70/TargetConsumption!I70/VLOOKUP($A70,DemElas!$A$21:$B$28,2,0)</f>
        <v>29.276194201619262</v>
      </c>
      <c r="J70" s="2">
        <f>-'Target Price'!J70/TargetConsumption!J70/VLOOKUP($A70,DemElas!$A$21:$B$28,2,0)</f>
        <v>27.058461266441427</v>
      </c>
      <c r="K70" s="2">
        <f>-'Target Price'!K70/TargetConsumption!K70/VLOOKUP($A70,DemElas!$A$21:$B$28,2,0)</f>
        <v>25.855143825840209</v>
      </c>
      <c r="L70" s="2">
        <f>-'Target Price'!L70/TargetConsumption!L70/VLOOKUP($A70,DemElas!$A$21:$B$28,2,0)</f>
        <v>23.896562610965148</v>
      </c>
      <c r="M70" s="2">
        <f>-'Target Price'!M70/TargetConsumption!M70/VLOOKUP($A70,DemElas!$A$21:$B$28,2,0)</f>
        <v>25.020236546590379</v>
      </c>
      <c r="N70" s="2">
        <f>-'Target Price'!N70/TargetConsumption!N70/VLOOKUP($A70,DemElas!$A$21:$B$28,2,0)</f>
        <v>23.124901304134422</v>
      </c>
      <c r="O70" s="2">
        <f>-'Target Price'!O70/TargetConsumption!O70/VLOOKUP($A70,DemElas!$A$21:$B$28,2,0)</f>
        <v>24.524290134132457</v>
      </c>
      <c r="P70" s="2">
        <f>-'Target Price'!P70/TargetConsumption!P70/VLOOKUP($A70,DemElas!$A$21:$B$28,2,0)</f>
        <v>22.666523869577688</v>
      </c>
      <c r="Q70" s="2">
        <f>-'Target Price'!Q70/TargetConsumption!Q70/VLOOKUP($A70,DemElas!$A$21:$B$28,2,0)</f>
        <v>25.393751827348364</v>
      </c>
      <c r="R70" s="2">
        <f>-'Target Price'!R70/TargetConsumption!R70/VLOOKUP($A70,DemElas!$A$21:$B$28,2,0)</f>
        <v>23.470122021253967</v>
      </c>
      <c r="S70" s="2">
        <f>-'Target Price'!S70/TargetConsumption!S70/VLOOKUP($A70,DemElas!$A$21:$B$28,2,0)</f>
        <v>23.972641844117504</v>
      </c>
      <c r="T70" s="2">
        <f>-'Target Price'!T70/TargetConsumption!T70/VLOOKUP($A70,DemElas!$A$21:$B$28,2,0)</f>
        <v>22.156664091176484</v>
      </c>
      <c r="U70" s="2">
        <f>-'Target Price'!U70/TargetConsumption!U70/VLOOKUP($A70,DemElas!$A$21:$B$28,2,0)</f>
        <v>21.887313824263657</v>
      </c>
      <c r="V70" s="2">
        <f>-'Target Price'!V70/TargetConsumption!V70/VLOOKUP($A70,DemElas!$A$21:$B$28,2,0)</f>
        <v>20.229304029808961</v>
      </c>
      <c r="W70" s="2">
        <f>-'Target Price'!W70/TargetConsumption!W70/VLOOKUP($A70,DemElas!$A$21:$B$28,2,0)</f>
        <v>21.724538677801988</v>
      </c>
      <c r="X70" s="2">
        <f>-'Target Price'!X70/TargetConsumption!X70/VLOOKUP($A70,DemElas!$A$21:$B$28,2,0)</f>
        <v>20.078859441098423</v>
      </c>
      <c r="Y70" s="2">
        <f>-'Target Price'!Y70/TargetConsumption!Y70/VLOOKUP($A70,DemElas!$A$21:$B$28,2,0)</f>
        <v>19.589398214099205</v>
      </c>
      <c r="Z70" s="2">
        <f>-'Target Price'!Z70/TargetConsumption!Z70/VLOOKUP($A70,DemElas!$A$21:$B$28,2,0)</f>
        <v>18.105460332674756</v>
      </c>
      <c r="AA70" s="2">
        <f>-'Target Price'!AA70/TargetConsumption!AA70/VLOOKUP($A70,DemElas!$A$21:$B$28,2,0)</f>
        <v>18.662863161555599</v>
      </c>
      <c r="AB70" s="2">
        <f>-'Target Price'!AB70/TargetConsumption!AB70/VLOOKUP($A70,DemElas!$A$21:$B$28,2,0)</f>
        <v>17.249112247995608</v>
      </c>
      <c r="AC70" s="2">
        <f>-'Target Price'!AC70/TargetConsumption!AC70/VLOOKUP($A70,DemElas!$A$21:$B$28,2,0)</f>
        <v>18.528412356195584</v>
      </c>
      <c r="AD70" s="2">
        <f>-'Target Price'!AD70/TargetConsumption!AD70/VLOOKUP($A70,DemElas!$A$21:$B$28,2,0)</f>
        <v>17.124846372314455</v>
      </c>
      <c r="AE70" s="2">
        <f>-'Target Price'!AE70/TargetConsumption!AE70/VLOOKUP($A70,DemElas!$A$21:$B$28,2,0)</f>
        <v>16.853635497197367</v>
      </c>
      <c r="AF70" s="2">
        <f>-'Target Price'!AF70/TargetConsumption!AF70/VLOOKUP($A70,DemElas!$A$21:$B$28,2,0)</f>
        <v>15.576937362794721</v>
      </c>
      <c r="AG70" s="2">
        <f>-'Target Price'!AG70/TargetConsumption!AG70/VLOOKUP($A70,DemElas!$A$21:$B$28,2,0)</f>
        <v>15.996160536774068</v>
      </c>
      <c r="AH70" s="2">
        <f>-'Target Price'!AH70/TargetConsumption!AH70/VLOOKUP($A70,DemElas!$A$21:$B$28,2,0)</f>
        <v>14.784417923834519</v>
      </c>
    </row>
    <row r="71" spans="1:34">
      <c r="A71" t="str">
        <f t="shared" si="2"/>
        <v>Beef</v>
      </c>
      <c r="B71" t="str">
        <f t="shared" si="3"/>
        <v>Amhara</v>
      </c>
      <c r="C71" s="2">
        <f>-'Target Price'!C71/TargetConsumption!C71/VLOOKUP($A71,DemElas!$A$21:$B$28,2,0)</f>
        <v>2.7973226598868437</v>
      </c>
      <c r="D71" s="2">
        <f>-'Target Price'!D71/TargetConsumption!D71/VLOOKUP($A71,DemElas!$A$21:$B$28,2,0)</f>
        <v>2.5854196184455076</v>
      </c>
      <c r="E71" s="2">
        <f>-'Target Price'!E71/TargetConsumption!E71/VLOOKUP($A71,DemElas!$A$21:$B$28,2,0)</f>
        <v>2.8172812023012868</v>
      </c>
      <c r="F71" s="2">
        <f>-'Target Price'!F71/TargetConsumption!F71/VLOOKUP($A71,DemElas!$A$21:$B$28,2,0)</f>
        <v>2.6038662595333704</v>
      </c>
      <c r="G71" s="2">
        <f>-'Target Price'!G71/TargetConsumption!G71/VLOOKUP($A71,DemElas!$A$21:$B$28,2,0)</f>
        <v>2.3925404445656735</v>
      </c>
      <c r="H71" s="2">
        <f>-'Target Price'!H71/TargetConsumption!H71/VLOOKUP($A71,DemElas!$A$21:$B$28,2,0)</f>
        <v>2.2113005024435224</v>
      </c>
      <c r="I71" s="2">
        <f>-'Target Price'!I71/TargetConsumption!I71/VLOOKUP($A71,DemElas!$A$21:$B$28,2,0)</f>
        <v>2.602194143841511</v>
      </c>
      <c r="J71" s="2">
        <f>-'Target Price'!J71/TargetConsumption!J71/VLOOKUP($A71,DemElas!$A$21:$B$28,2,0)</f>
        <v>2.4050724955568774</v>
      </c>
      <c r="K71" s="2">
        <f>-'Target Price'!K71/TargetConsumption!K71/VLOOKUP($A71,DemElas!$A$21:$B$28,2,0)</f>
        <v>2.4196259729182672</v>
      </c>
      <c r="L71" s="2">
        <f>-'Target Price'!L71/TargetConsumption!L71/VLOOKUP($A71,DemElas!$A$21:$B$28,2,0)</f>
        <v>2.2363342453802737</v>
      </c>
      <c r="M71" s="2">
        <f>-'Target Price'!M71/TargetConsumption!M71/VLOOKUP($A71,DemElas!$A$21:$B$28,2,0)</f>
        <v>2.2454510577571316</v>
      </c>
      <c r="N71" s="2">
        <f>-'Target Price'!N71/TargetConsumption!N71/VLOOKUP($A71,DemElas!$A$21:$B$28,2,0)</f>
        <v>2.0753534442892416</v>
      </c>
      <c r="O71" s="2">
        <f>-'Target Price'!O71/TargetConsumption!O71/VLOOKUP($A71,DemElas!$A$21:$B$28,2,0)</f>
        <v>2.1022030714665503</v>
      </c>
      <c r="P71" s="2">
        <f>-'Target Price'!P71/TargetConsumption!P71/VLOOKUP($A71,DemElas!$A$21:$B$28,2,0)</f>
        <v>1.9429567925302829</v>
      </c>
      <c r="Q71" s="2">
        <f>-'Target Price'!Q71/TargetConsumption!Q71/VLOOKUP($A71,DemElas!$A$21:$B$28,2,0)</f>
        <v>1.9631446548910465</v>
      </c>
      <c r="R71" s="2">
        <f>-'Target Price'!R71/TargetConsumption!R71/VLOOKUP($A71,DemElas!$A$21:$B$28,2,0)</f>
        <v>1.8144323418189665</v>
      </c>
      <c r="S71" s="2">
        <f>-'Target Price'!S71/TargetConsumption!S71/VLOOKUP($A71,DemElas!$A$21:$B$28,2,0)</f>
        <v>1.778990497203865</v>
      </c>
      <c r="T71" s="2">
        <f>-'Target Price'!T71/TargetConsumption!T71/VLOOKUP($A71,DemElas!$A$21:$B$28,2,0)</f>
        <v>1.6442282466925195</v>
      </c>
      <c r="U71" s="2">
        <f>-'Target Price'!U71/TargetConsumption!U71/VLOOKUP($A71,DemElas!$A$21:$B$28,2,0)</f>
        <v>1.7127115562553543</v>
      </c>
      <c r="V71" s="2">
        <f>-'Target Price'!V71/TargetConsumption!V71/VLOOKUP($A71,DemElas!$A$21:$B$28,2,0)</f>
        <v>1.5829700741279709</v>
      </c>
      <c r="W71" s="2">
        <f>-'Target Price'!W71/TargetConsumption!W71/VLOOKUP($A71,DemElas!$A$21:$B$28,2,0)</f>
        <v>1.8196102161858461</v>
      </c>
      <c r="X71" s="2">
        <f>-'Target Price'!X71/TargetConsumption!X71/VLOOKUP($A71,DemElas!$A$21:$B$28,2,0)</f>
        <v>1.6817709370148459</v>
      </c>
      <c r="Y71" s="2">
        <f>-'Target Price'!Y71/TargetConsumption!Y71/VLOOKUP($A71,DemElas!$A$21:$B$28,2,0)</f>
        <v>1.7015199303130784</v>
      </c>
      <c r="Z71" s="2">
        <f>-'Target Price'!Z71/TargetConsumption!Z71/VLOOKUP($A71,DemElas!$A$21:$B$28,2,0)</f>
        <v>1.5726262372555257</v>
      </c>
      <c r="AA71" s="2">
        <f>-'Target Price'!AA71/TargetConsumption!AA71/VLOOKUP($A71,DemElas!$A$21:$B$28,2,0)</f>
        <v>1.6142741283388506</v>
      </c>
      <c r="AB71" s="2">
        <f>-'Target Price'!AB71/TargetConsumption!AB71/VLOOKUP($A71,DemElas!$A$21:$B$28,2,0)</f>
        <v>1.4919894872353101</v>
      </c>
      <c r="AC71" s="2">
        <f>-'Target Price'!AC71/TargetConsumption!AC71/VLOOKUP($A71,DemElas!$A$21:$B$28,2,0)</f>
        <v>1.6057795642684949</v>
      </c>
      <c r="AD71" s="2">
        <f>-'Target Price'!AD71/TargetConsumption!AD71/VLOOKUP($A71,DemElas!$A$21:$B$28,2,0)</f>
        <v>1.4841384041577046</v>
      </c>
      <c r="AE71" s="2">
        <f>-'Target Price'!AE71/TargetConsumption!AE71/VLOOKUP($A71,DemElas!$A$21:$B$28,2,0)</f>
        <v>1.4436715791428816</v>
      </c>
      <c r="AF71" s="2">
        <f>-'Target Price'!AF71/TargetConsumption!AF71/VLOOKUP($A71,DemElas!$A$21:$B$28,2,0)</f>
        <v>1.3343104379168036</v>
      </c>
      <c r="AG71" s="2">
        <f>-'Target Price'!AG71/TargetConsumption!AG71/VLOOKUP($A71,DemElas!$A$21:$B$28,2,0)</f>
        <v>1.37209408465117</v>
      </c>
      <c r="AH71" s="2">
        <f>-'Target Price'!AH71/TargetConsumption!AH71/VLOOKUP($A71,DemElas!$A$21:$B$28,2,0)</f>
        <v>1.2681550883206534</v>
      </c>
    </row>
    <row r="72" spans="1:34">
      <c r="A72" t="str">
        <f t="shared" si="2"/>
        <v>Beef</v>
      </c>
      <c r="B72" t="str">
        <f t="shared" si="3"/>
        <v>Gumuz</v>
      </c>
      <c r="C72" s="2">
        <f>-'Target Price'!C72/TargetConsumption!C72/VLOOKUP($A72,DemElas!$A$21:$B$28,2,0)</f>
        <v>60.096102964033413</v>
      </c>
      <c r="D72" s="2">
        <f>-'Target Price'!D72/TargetConsumption!D72/VLOOKUP($A72,DemElas!$A$21:$B$28,2,0)</f>
        <v>55.543697487374708</v>
      </c>
      <c r="E72" s="2">
        <f>-'Target Price'!E72/TargetConsumption!E72/VLOOKUP($A72,DemElas!$A$21:$B$28,2,0)</f>
        <v>53.816195314251154</v>
      </c>
      <c r="F72" s="2">
        <f>-'Target Price'!F72/TargetConsumption!F72/VLOOKUP($A72,DemElas!$A$21:$B$28,2,0)</f>
        <v>49.739505975041311</v>
      </c>
      <c r="G72" s="2">
        <f>-'Target Price'!G72/TargetConsumption!G72/VLOOKUP($A72,DemElas!$A$21:$B$28,2,0)</f>
        <v>52.889872049641546</v>
      </c>
      <c r="H72" s="2">
        <f>-'Target Price'!H72/TargetConsumption!H72/VLOOKUP($A72,DemElas!$A$21:$B$28,2,0)</f>
        <v>48.88335363491727</v>
      </c>
      <c r="I72" s="2">
        <f>-'Target Price'!I72/TargetConsumption!I72/VLOOKUP($A72,DemElas!$A$21:$B$28,2,0)</f>
        <v>53.175807943144989</v>
      </c>
      <c r="J72" s="2">
        <f>-'Target Price'!J72/TargetConsumption!J72/VLOOKUP($A72,DemElas!$A$21:$B$28,2,0)</f>
        <v>49.147629286518878</v>
      </c>
      <c r="K72" s="2">
        <f>-'Target Price'!K72/TargetConsumption!K72/VLOOKUP($A72,DemElas!$A$21:$B$28,2,0)</f>
        <v>45.863023128876449</v>
      </c>
      <c r="L72" s="2">
        <f>-'Target Price'!L72/TargetConsumption!L72/VLOOKUP($A72,DemElas!$A$21:$B$28,2,0)</f>
        <v>42.388803214933311</v>
      </c>
      <c r="M72" s="2">
        <f>-'Target Price'!M72/TargetConsumption!M72/VLOOKUP($A72,DemElas!$A$21:$B$28,2,0)</f>
        <v>46.281001125685833</v>
      </c>
      <c r="N72" s="2">
        <f>-'Target Price'!N72/TargetConsumption!N72/VLOOKUP($A72,DemElas!$A$21:$B$28,2,0)</f>
        <v>42.775118504379847</v>
      </c>
      <c r="O72" s="2">
        <f>-'Target Price'!O72/TargetConsumption!O72/VLOOKUP($A72,DemElas!$A$21:$B$28,2,0)</f>
        <v>41.133794377717173</v>
      </c>
      <c r="P72" s="2">
        <f>-'Target Price'!P72/TargetConsumption!P72/VLOOKUP($A72,DemElas!$A$21:$B$28,2,0)</f>
        <v>38.01782343176508</v>
      </c>
      <c r="Q72" s="2">
        <f>-'Target Price'!Q72/TargetConsumption!Q72/VLOOKUP($A72,DemElas!$A$21:$B$28,2,0)</f>
        <v>41.629107477377069</v>
      </c>
      <c r="R72" s="2">
        <f>-'Target Price'!R72/TargetConsumption!R72/VLOOKUP($A72,DemElas!$A$21:$B$28,2,0)</f>
        <v>38.475615528292678</v>
      </c>
      <c r="S72" s="2">
        <f>-'Target Price'!S72/TargetConsumption!S72/VLOOKUP($A72,DemElas!$A$21:$B$28,2,0)</f>
        <v>36.483146221825265</v>
      </c>
      <c r="T72" s="2">
        <f>-'Target Price'!T72/TargetConsumption!T72/VLOOKUP($A72,DemElas!$A$21:$B$28,2,0)</f>
        <v>33.719471599439558</v>
      </c>
      <c r="U72" s="2">
        <f>-'Target Price'!U72/TargetConsumption!U72/VLOOKUP($A72,DemElas!$A$21:$B$28,2,0)</f>
        <v>37.385058326230713</v>
      </c>
      <c r="V72" s="2">
        <f>-'Target Price'!V72/TargetConsumption!V72/VLOOKUP($A72,DemElas!$A$21:$B$28,2,0)</f>
        <v>34.553061975795224</v>
      </c>
      <c r="W72" s="2">
        <f>-'Target Price'!W72/TargetConsumption!W72/VLOOKUP($A72,DemElas!$A$21:$B$28,2,0)</f>
        <v>34.926725540394955</v>
      </c>
      <c r="X72" s="2">
        <f>-'Target Price'!X72/TargetConsumption!X72/VLOOKUP($A72,DemElas!$A$21:$B$28,2,0)</f>
        <v>32.280953039522331</v>
      </c>
      <c r="Y72" s="2">
        <f>-'Target Price'!Y72/TargetConsumption!Y72/VLOOKUP($A72,DemElas!$A$21:$B$28,2,0)</f>
        <v>35.364703231003169</v>
      </c>
      <c r="Z72" s="2">
        <f>-'Target Price'!Z72/TargetConsumption!Z72/VLOOKUP($A72,DemElas!$A$21:$B$28,2,0)</f>
        <v>32.68575300413768</v>
      </c>
      <c r="AA72" s="2">
        <f>-'Target Price'!AA72/TargetConsumption!AA72/VLOOKUP($A72,DemElas!$A$21:$B$28,2,0)</f>
        <v>33.273449127194283</v>
      </c>
      <c r="AB72" s="2">
        <f>-'Target Price'!AB72/TargetConsumption!AB72/VLOOKUP($A72,DemElas!$A$21:$B$28,2,0)</f>
        <v>30.752915772067759</v>
      </c>
      <c r="AC72" s="2">
        <f>-'Target Price'!AC72/TargetConsumption!AC72/VLOOKUP($A72,DemElas!$A$21:$B$28,2,0)</f>
        <v>31.851374901921101</v>
      </c>
      <c r="AD72" s="2">
        <f>-'Target Price'!AD72/TargetConsumption!AD72/VLOOKUP($A72,DemElas!$A$21:$B$28,2,0)</f>
        <v>29.438566643299144</v>
      </c>
      <c r="AE72" s="2">
        <f>-'Target Price'!AE72/TargetConsumption!AE72/VLOOKUP($A72,DemElas!$A$21:$B$28,2,0)</f>
        <v>30.064099809703144</v>
      </c>
      <c r="AF72" s="2">
        <f>-'Target Price'!AF72/TargetConsumption!AF72/VLOOKUP($A72,DemElas!$A$21:$B$28,2,0)</f>
        <v>27.786681376990167</v>
      </c>
      <c r="AG72" s="2">
        <f>-'Target Price'!AG72/TargetConsumption!AG72/VLOOKUP($A72,DemElas!$A$21:$B$28,2,0)</f>
        <v>27.872107870617995</v>
      </c>
      <c r="AH72" s="2">
        <f>-'Target Price'!AH72/TargetConsumption!AH72/VLOOKUP($A72,DemElas!$A$21:$B$28,2,0)</f>
        <v>25.760737411336095</v>
      </c>
    </row>
    <row r="73" spans="1:34">
      <c r="A73" t="str">
        <f t="shared" si="2"/>
        <v>Beef</v>
      </c>
      <c r="B73" t="str">
        <f t="shared" si="3"/>
        <v>DireDawa</v>
      </c>
      <c r="C73" s="2">
        <f>-'Target Price'!C73/TargetConsumption!C73/VLOOKUP($A73,DemElas!$A$21:$B$28,2,0)</f>
        <v>131.77845258995453</v>
      </c>
      <c r="D73" s="2">
        <f>-'Target Price'!D73/TargetConsumption!D73/VLOOKUP($A73,DemElas!$A$21:$B$28,2,0)</f>
        <v>121.79595922203754</v>
      </c>
      <c r="E73" s="2">
        <f>-'Target Price'!E73/TargetConsumption!E73/VLOOKUP($A73,DemElas!$A$21:$B$28,2,0)</f>
        <v>121.05896583505682</v>
      </c>
      <c r="F73" s="2">
        <f>-'Target Price'!F73/TargetConsumption!F73/VLOOKUP($A73,DemElas!$A$21:$B$28,2,0)</f>
        <v>111.88849600615657</v>
      </c>
      <c r="G73" s="2">
        <f>-'Target Price'!G73/TargetConsumption!G73/VLOOKUP($A73,DemElas!$A$21:$B$28,2,0)</f>
        <v>111.84679677131433</v>
      </c>
      <c r="H73" s="2">
        <f>-'Target Price'!H73/TargetConsumption!H73/VLOOKUP($A73,DemElas!$A$21:$B$28,2,0)</f>
        <v>103.37416801411861</v>
      </c>
      <c r="I73" s="2">
        <f>-'Target Price'!I73/TargetConsumption!I73/VLOOKUP($A73,DemElas!$A$21:$B$28,2,0)</f>
        <v>117.59099195334679</v>
      </c>
      <c r="J73" s="2">
        <f>-'Target Price'!J73/TargetConsumption!J73/VLOOKUP($A73,DemElas!$A$21:$B$28,2,0)</f>
        <v>108.68322839845325</v>
      </c>
      <c r="K73" s="2">
        <f>-'Target Price'!K73/TargetConsumption!K73/VLOOKUP($A73,DemElas!$A$21:$B$28,2,0)</f>
        <v>115.63956936118859</v>
      </c>
      <c r="L73" s="2">
        <f>-'Target Price'!L73/TargetConsumption!L73/VLOOKUP($A73,DemElas!$A$21:$B$28,2,0)</f>
        <v>106.87963014860114</v>
      </c>
      <c r="M73" s="2">
        <f>-'Target Price'!M73/TargetConsumption!M73/VLOOKUP($A73,DemElas!$A$21:$B$28,2,0)</f>
        <v>108.02010591596469</v>
      </c>
      <c r="N73" s="2">
        <f>-'Target Price'!N73/TargetConsumption!N73/VLOOKUP($A73,DemElas!$A$21:$B$28,2,0)</f>
        <v>99.837356993702642</v>
      </c>
      <c r="O73" s="2">
        <f>-'Target Price'!O73/TargetConsumption!O73/VLOOKUP($A73,DemElas!$A$21:$B$28,2,0)</f>
        <v>96.155449247382506</v>
      </c>
      <c r="P73" s="2">
        <f>-'Target Price'!P73/TargetConsumption!P73/VLOOKUP($A73,DemElas!$A$21:$B$28,2,0)</f>
        <v>88.871472879957437</v>
      </c>
      <c r="Q73" s="2">
        <f>-'Target Price'!Q73/TargetConsumption!Q73/VLOOKUP($A73,DemElas!$A$21:$B$28,2,0)</f>
        <v>91.166873172122749</v>
      </c>
      <c r="R73" s="2">
        <f>-'Target Price'!R73/TargetConsumption!R73/VLOOKUP($A73,DemElas!$A$21:$B$28,2,0)</f>
        <v>84.260791874854434</v>
      </c>
      <c r="S73" s="2">
        <f>-'Target Price'!S73/TargetConsumption!S73/VLOOKUP($A73,DemElas!$A$21:$B$28,2,0)</f>
        <v>82.526083004248321</v>
      </c>
      <c r="T73" s="2">
        <f>-'Target Price'!T73/TargetConsumption!T73/VLOOKUP($A73,DemElas!$A$21:$B$28,2,0)</f>
        <v>76.274559632415418</v>
      </c>
      <c r="U73" s="2">
        <f>-'Target Price'!U73/TargetConsumption!U73/VLOOKUP($A73,DemElas!$A$21:$B$28,2,0)</f>
        <v>82.076784294698925</v>
      </c>
      <c r="V73" s="2">
        <f>-'Target Price'!V73/TargetConsumption!V73/VLOOKUP($A73,DemElas!$A$21:$B$28,2,0)</f>
        <v>75.859296239718958</v>
      </c>
      <c r="W73" s="2">
        <f>-'Target Price'!W73/TargetConsumption!W73/VLOOKUP($A73,DemElas!$A$21:$B$28,2,0)</f>
        <v>82.049579192307988</v>
      </c>
      <c r="X73" s="2">
        <f>-'Target Price'!X73/TargetConsumption!X73/VLOOKUP($A73,DemElas!$A$21:$B$28,2,0)</f>
        <v>75.834151980727341</v>
      </c>
      <c r="Y73" s="2">
        <f>-'Target Price'!Y73/TargetConsumption!Y73/VLOOKUP($A73,DemElas!$A$21:$B$28,2,0)</f>
        <v>78.648138266812055</v>
      </c>
      <c r="Z73" s="2">
        <f>-'Target Price'!Z73/TargetConsumption!Z73/VLOOKUP($A73,DemElas!$A$21:$B$28,2,0)</f>
        <v>72.690377318666592</v>
      </c>
      <c r="AA73" s="2">
        <f>-'Target Price'!AA73/TargetConsumption!AA73/VLOOKUP($A73,DemElas!$A$21:$B$28,2,0)</f>
        <v>72.444242809494213</v>
      </c>
      <c r="AB73" s="2">
        <f>-'Target Price'!AB73/TargetConsumption!AB73/VLOOKUP($A73,DemElas!$A$21:$B$28,2,0)</f>
        <v>66.956439916256471</v>
      </c>
      <c r="AC73" s="2">
        <f>-'Target Price'!AC73/TargetConsumption!AC73/VLOOKUP($A73,DemElas!$A$21:$B$28,2,0)</f>
        <v>73.319431007645335</v>
      </c>
      <c r="AD73" s="2">
        <f>-'Target Price'!AD73/TargetConsumption!AD73/VLOOKUP($A73,DemElas!$A$21:$B$28,2,0)</f>
        <v>67.765330778143465</v>
      </c>
      <c r="AE73" s="2">
        <f>-'Target Price'!AE73/TargetConsumption!AE73/VLOOKUP($A73,DemElas!$A$21:$B$28,2,0)</f>
        <v>65.59892739063163</v>
      </c>
      <c r="AF73" s="2">
        <f>-'Target Price'!AF73/TargetConsumption!AF73/VLOOKUP($A73,DemElas!$A$21:$B$28,2,0)</f>
        <v>60.629671455770492</v>
      </c>
      <c r="AG73" s="2">
        <f>-'Target Price'!AG73/TargetConsumption!AG73/VLOOKUP($A73,DemElas!$A$21:$B$28,2,0)</f>
        <v>62.227555343357679</v>
      </c>
      <c r="AH73" s="2">
        <f>-'Target Price'!AH73/TargetConsumption!AH73/VLOOKUP($A73,DemElas!$A$21:$B$28,2,0)</f>
        <v>57.513687891524299</v>
      </c>
    </row>
    <row r="74" spans="1:34">
      <c r="A74" t="str">
        <f t="shared" si="2"/>
        <v>Beef</v>
      </c>
      <c r="B74" t="str">
        <f t="shared" si="3"/>
        <v>Gambela</v>
      </c>
      <c r="C74" s="2">
        <f>-'Target Price'!C74/TargetConsumption!C74/VLOOKUP($A74,DemElas!$A$21:$B$28,2,0)</f>
        <v>149.83523886287603</v>
      </c>
      <c r="D74" s="2">
        <f>-'Target Price'!D74/TargetConsumption!D74/VLOOKUP($A74,DemElas!$A$21:$B$28,2,0)</f>
        <v>138.48490617318305</v>
      </c>
      <c r="E74" s="2">
        <f>-'Target Price'!E74/TargetConsumption!E74/VLOOKUP($A74,DemElas!$A$21:$B$28,2,0)</f>
        <v>127.33832162769906</v>
      </c>
      <c r="F74" s="2">
        <f>-'Target Price'!F74/TargetConsumption!F74/VLOOKUP($A74,DemElas!$A$21:$B$28,2,0)</f>
        <v>117.69217746568235</v>
      </c>
      <c r="G74" s="2">
        <f>-'Target Price'!G74/TargetConsumption!G74/VLOOKUP($A74,DemElas!$A$21:$B$28,2,0)</f>
        <v>123.44260743435285</v>
      </c>
      <c r="H74" s="2">
        <f>-'Target Price'!H74/TargetConsumption!H74/VLOOKUP($A74,DemElas!$A$21:$B$28,2,0)</f>
        <v>114.09157176946948</v>
      </c>
      <c r="I74" s="2">
        <f>-'Target Price'!I74/TargetConsumption!I74/VLOOKUP($A74,DemElas!$A$21:$B$28,2,0)</f>
        <v>119.89012326488377</v>
      </c>
      <c r="J74" s="2">
        <f>-'Target Price'!J74/TargetConsumption!J74/VLOOKUP($A74,DemElas!$A$21:$B$28,2,0)</f>
        <v>110.80819570503863</v>
      </c>
      <c r="K74" s="2">
        <f>-'Target Price'!K74/TargetConsumption!K74/VLOOKUP($A74,DemElas!$A$21:$B$28,2,0)</f>
        <v>125.37089427820196</v>
      </c>
      <c r="L74" s="2">
        <f>-'Target Price'!L74/TargetConsumption!L74/VLOOKUP($A74,DemElas!$A$21:$B$28,2,0)</f>
        <v>115.87378685233</v>
      </c>
      <c r="M74" s="2">
        <f>-'Target Price'!M74/TargetConsumption!M74/VLOOKUP($A74,DemElas!$A$21:$B$28,2,0)</f>
        <v>114.53790227516949</v>
      </c>
      <c r="N74" s="2">
        <f>-'Target Price'!N74/TargetConsumption!N74/VLOOKUP($A74,DemElas!$A$21:$B$28,2,0)</f>
        <v>105.86141664823047</v>
      </c>
      <c r="O74" s="2">
        <f>-'Target Price'!O74/TargetConsumption!O74/VLOOKUP($A74,DemElas!$A$21:$B$28,2,0)</f>
        <v>98.588920600662789</v>
      </c>
      <c r="P74" s="2">
        <f>-'Target Price'!P74/TargetConsumption!P74/VLOOKUP($A74,DemElas!$A$21:$B$28,2,0)</f>
        <v>91.120603689182886</v>
      </c>
      <c r="Q74" s="2">
        <f>-'Target Price'!Q74/TargetConsumption!Q74/VLOOKUP($A74,DemElas!$A$21:$B$28,2,0)</f>
        <v>100.52900343324549</v>
      </c>
      <c r="R74" s="2">
        <f>-'Target Price'!R74/TargetConsumption!R74/VLOOKUP($A74,DemElas!$A$21:$B$28,2,0)</f>
        <v>92.913721189961834</v>
      </c>
      <c r="S74" s="2">
        <f>-'Target Price'!S74/TargetConsumption!S74/VLOOKUP($A74,DemElas!$A$21:$B$28,2,0)</f>
        <v>94.963810371628327</v>
      </c>
      <c r="T74" s="2">
        <f>-'Target Price'!T74/TargetConsumption!T74/VLOOKUP($A74,DemElas!$A$21:$B$28,2,0)</f>
        <v>87.770103141079389</v>
      </c>
      <c r="U74" s="2">
        <f>-'Target Price'!U74/TargetConsumption!U74/VLOOKUP($A74,DemElas!$A$21:$B$28,2,0)</f>
        <v>92.741524325274185</v>
      </c>
      <c r="V74" s="2">
        <f>-'Target Price'!V74/TargetConsumption!V74/VLOOKUP($A74,DemElas!$A$21:$B$28,2,0)</f>
        <v>85.71615991013509</v>
      </c>
      <c r="W74" s="2">
        <f>-'Target Price'!W74/TargetConsumption!W74/VLOOKUP($A74,DemElas!$A$21:$B$28,2,0)</f>
        <v>90.503853830977974</v>
      </c>
      <c r="X74" s="2">
        <f>-'Target Price'!X74/TargetConsumption!X74/VLOOKUP($A74,DemElas!$A$21:$B$28,2,0)</f>
        <v>83.647997635353363</v>
      </c>
      <c r="Y74" s="2">
        <f>-'Target Price'!Y74/TargetConsumption!Y74/VLOOKUP($A74,DemElas!$A$21:$B$28,2,0)</f>
        <v>83.234855357895654</v>
      </c>
      <c r="Z74" s="2">
        <f>-'Target Price'!Z74/TargetConsumption!Z74/VLOOKUP($A74,DemElas!$A$21:$B$28,2,0)</f>
        <v>76.929640998040142</v>
      </c>
      <c r="AA74" s="2">
        <f>-'Target Price'!AA74/TargetConsumption!AA74/VLOOKUP($A74,DemElas!$A$21:$B$28,2,0)</f>
        <v>82.811183891076496</v>
      </c>
      <c r="AB74" s="2">
        <f>-'Target Price'!AB74/TargetConsumption!AB74/VLOOKUP($A74,DemElas!$A$21:$B$28,2,0)</f>
        <v>76.538063530843644</v>
      </c>
      <c r="AC74" s="2">
        <f>-'Target Price'!AC74/TargetConsumption!AC74/VLOOKUP($A74,DemElas!$A$21:$B$28,2,0)</f>
        <v>77.134488575872567</v>
      </c>
      <c r="AD74" s="2">
        <f>-'Target Price'!AD74/TargetConsumption!AD74/VLOOKUP($A74,DemElas!$A$21:$B$28,2,0)</f>
        <v>71.291389757264866</v>
      </c>
      <c r="AE74" s="2">
        <f>-'Target Price'!AE74/TargetConsumption!AE74/VLOOKUP($A74,DemElas!$A$21:$B$28,2,0)</f>
        <v>76.881749557215457</v>
      </c>
      <c r="AF74" s="2">
        <f>-'Target Price'!AF74/TargetConsumption!AF74/VLOOKUP($A74,DemElas!$A$21:$B$28,2,0)</f>
        <v>71.05779624781637</v>
      </c>
      <c r="AG74" s="2">
        <f>-'Target Price'!AG74/TargetConsumption!AG74/VLOOKUP($A74,DemElas!$A$21:$B$28,2,0)</f>
        <v>67.824991522712082</v>
      </c>
      <c r="AH74" s="2">
        <f>-'Target Price'!AH74/TargetConsumption!AH74/VLOOKUP($A74,DemElas!$A$21:$B$28,2,0)</f>
        <v>62.687106574546355</v>
      </c>
    </row>
    <row r="75" spans="1:34">
      <c r="A75" t="str">
        <f t="shared" si="2"/>
        <v>Beef</v>
      </c>
      <c r="B75" t="str">
        <f t="shared" si="3"/>
        <v>Harari</v>
      </c>
      <c r="C75" s="2">
        <f>-'Target Price'!C75/TargetConsumption!C75/VLOOKUP($A75,DemElas!$A$21:$B$28,2,0)</f>
        <v>234.87492662761591</v>
      </c>
      <c r="D75" s="2">
        <f>-'Target Price'!D75/TargetConsumption!D75/VLOOKUP($A75,DemElas!$A$21:$B$28,2,0)</f>
        <v>217.08265974885845</v>
      </c>
      <c r="E75" s="2">
        <f>-'Target Price'!E75/TargetConsumption!E75/VLOOKUP($A75,DemElas!$A$21:$B$28,2,0)</f>
        <v>221.9750424616303</v>
      </c>
      <c r="F75" s="2">
        <f>-'Target Price'!F75/TargetConsumption!F75/VLOOKUP($A75,DemElas!$A$21:$B$28,2,0)</f>
        <v>205.15996878557755</v>
      </c>
      <c r="G75" s="2">
        <f>-'Target Price'!G75/TargetConsumption!G75/VLOOKUP($A75,DemElas!$A$21:$B$28,2,0)</f>
        <v>217.40717536951303</v>
      </c>
      <c r="H75" s="2">
        <f>-'Target Price'!H75/TargetConsumption!H75/VLOOKUP($A75,DemElas!$A$21:$B$28,2,0)</f>
        <v>200.93812717832819</v>
      </c>
      <c r="I75" s="2">
        <f>-'Target Price'!I75/TargetConsumption!I75/VLOOKUP($A75,DemElas!$A$21:$B$28,2,0)</f>
        <v>207.72566265652793</v>
      </c>
      <c r="J75" s="2">
        <f>-'Target Price'!J75/TargetConsumption!J75/VLOOKUP($A75,DemElas!$A$21:$B$28,2,0)</f>
        <v>191.99000930000176</v>
      </c>
      <c r="K75" s="2">
        <f>-'Target Price'!K75/TargetConsumption!K75/VLOOKUP($A75,DemElas!$A$21:$B$28,2,0)</f>
        <v>193.10731197070095</v>
      </c>
      <c r="L75" s="2">
        <f>-'Target Price'!L75/TargetConsumption!L75/VLOOKUP($A75,DemElas!$A$21:$B$28,2,0)</f>
        <v>178.47902924953365</v>
      </c>
      <c r="M75" s="2">
        <f>-'Target Price'!M75/TargetConsumption!M75/VLOOKUP($A75,DemElas!$A$21:$B$28,2,0)</f>
        <v>194.75848317190255</v>
      </c>
      <c r="N75" s="2">
        <f>-'Target Price'!N75/TargetConsumption!N75/VLOOKUP($A75,DemElas!$A$21:$B$28,2,0)</f>
        <v>180.00512077920067</v>
      </c>
      <c r="O75" s="2">
        <f>-'Target Price'!O75/TargetConsumption!O75/VLOOKUP($A75,DemElas!$A$21:$B$28,2,0)</f>
        <v>185.22639339283592</v>
      </c>
      <c r="P75" s="2">
        <f>-'Target Price'!P75/TargetConsumption!P75/VLOOKUP($A75,DemElas!$A$21:$B$28,2,0)</f>
        <v>171.19510673506468</v>
      </c>
      <c r="Q75" s="2">
        <f>-'Target Price'!Q75/TargetConsumption!Q75/VLOOKUP($A75,DemElas!$A$21:$B$28,2,0)</f>
        <v>187.20083957592473</v>
      </c>
      <c r="R75" s="2">
        <f>-'Target Price'!R75/TargetConsumption!R75/VLOOKUP($A75,DemElas!$A$21:$B$28,2,0)</f>
        <v>173.01998449068591</v>
      </c>
      <c r="S75" s="2">
        <f>-'Target Price'!S75/TargetConsumption!S75/VLOOKUP($A75,DemElas!$A$21:$B$28,2,0)</f>
        <v>165.534904111629</v>
      </c>
      <c r="T75" s="2">
        <f>-'Target Price'!T75/TargetConsumption!T75/VLOOKUP($A75,DemElas!$A$21:$B$28,2,0)</f>
        <v>152.99528894711557</v>
      </c>
      <c r="U75" s="2">
        <f>-'Target Price'!U75/TargetConsumption!U75/VLOOKUP($A75,DemElas!$A$21:$B$28,2,0)</f>
        <v>157.73528561260474</v>
      </c>
      <c r="V75" s="2">
        <f>-'Target Price'!V75/TargetConsumption!V75/VLOOKUP($A75,DemElas!$A$21:$B$28,2,0)</f>
        <v>145.78650786049485</v>
      </c>
      <c r="W75" s="2">
        <f>-'Target Price'!W75/TargetConsumption!W75/VLOOKUP($A75,DemElas!$A$21:$B$28,2,0)</f>
        <v>155.9148655960015</v>
      </c>
      <c r="X75" s="2">
        <f>-'Target Price'!X75/TargetConsumption!X75/VLOOKUP($A75,DemElas!$A$21:$B$28,2,0)</f>
        <v>144.10398846713773</v>
      </c>
      <c r="Y75" s="2">
        <f>-'Target Price'!Y75/TargetConsumption!Y75/VLOOKUP($A75,DemElas!$A$21:$B$28,2,0)</f>
        <v>143.11000425423359</v>
      </c>
      <c r="Z75" s="2">
        <f>-'Target Price'!Z75/TargetConsumption!Z75/VLOOKUP($A75,DemElas!$A$21:$B$28,2,0)</f>
        <v>132.26912215042174</v>
      </c>
      <c r="AA75" s="2">
        <f>-'Target Price'!AA75/TargetConsumption!AA75/VLOOKUP($A75,DemElas!$A$21:$B$28,2,0)</f>
        <v>146.84026160106109</v>
      </c>
      <c r="AB75" s="2">
        <f>-'Target Price'!AB75/TargetConsumption!AB75/VLOOKUP($A75,DemElas!$A$21:$B$28,2,0)</f>
        <v>135.71680470225451</v>
      </c>
      <c r="AC75" s="2">
        <f>-'Target Price'!AC75/TargetConsumption!AC75/VLOOKUP($A75,DemElas!$A$21:$B$28,2,0)</f>
        <v>141.65850506909652</v>
      </c>
      <c r="AD75" s="2">
        <f>-'Target Price'!AD75/TargetConsumption!AD75/VLOOKUP($A75,DemElas!$A$21:$B$28,2,0)</f>
        <v>130.92757706403444</v>
      </c>
      <c r="AE75" s="2">
        <f>-'Target Price'!AE75/TargetConsumption!AE75/VLOOKUP($A75,DemElas!$A$21:$B$28,2,0)</f>
        <v>127.68460628905829</v>
      </c>
      <c r="AF75" s="2">
        <f>-'Target Price'!AF75/TargetConsumption!AF75/VLOOKUP($A75,DemElas!$A$21:$B$28,2,0)</f>
        <v>118.01223033976916</v>
      </c>
      <c r="AG75" s="2">
        <f>-'Target Price'!AG75/TargetConsumption!AG75/VLOOKUP($A75,DemElas!$A$21:$B$28,2,0)</f>
        <v>125.37255412733251</v>
      </c>
      <c r="AH75" s="2">
        <f>-'Target Price'!AH75/TargetConsumption!AH75/VLOOKUP($A75,DemElas!$A$21:$B$28,2,0)</f>
        <v>115.87532096441771</v>
      </c>
    </row>
    <row r="76" spans="1:34">
      <c r="A76" t="str">
        <f t="shared" si="2"/>
        <v>Beef</v>
      </c>
      <c r="B76" t="str">
        <f t="shared" si="3"/>
        <v>Oromia</v>
      </c>
      <c r="C76" s="2">
        <f>-'Target Price'!C76/TargetConsumption!C76/VLOOKUP($A76,DemElas!$A$21:$B$28,2,0)</f>
        <v>1.7316832285349419</v>
      </c>
      <c r="D76" s="2">
        <f>-'Target Price'!D76/TargetConsumption!D76/VLOOKUP($A76,DemElas!$A$21:$B$28,2,0)</f>
        <v>1.6005046025575047</v>
      </c>
      <c r="E76" s="2">
        <f>-'Target Price'!E76/TargetConsumption!E76/VLOOKUP($A76,DemElas!$A$21:$B$28,2,0)</f>
        <v>1.734786634725187</v>
      </c>
      <c r="F76" s="2">
        <f>-'Target Price'!F76/TargetConsumption!F76/VLOOKUP($A76,DemElas!$A$21:$B$28,2,0)</f>
        <v>1.6033729192387804</v>
      </c>
      <c r="G76" s="2">
        <f>-'Target Price'!G76/TargetConsumption!G76/VLOOKUP($A76,DemElas!$A$21:$B$28,2,0)</f>
        <v>1.54782139967793</v>
      </c>
      <c r="H76" s="2">
        <f>-'Target Price'!H76/TargetConsumption!H76/VLOOKUP($A76,DemElas!$A$21:$B$28,2,0)</f>
        <v>1.430570691741003</v>
      </c>
      <c r="I76" s="2">
        <f>-'Target Price'!I76/TargetConsumption!I76/VLOOKUP($A76,DemElas!$A$21:$B$28,2,0)</f>
        <v>1.4495574100971049</v>
      </c>
      <c r="J76" s="2">
        <f>-'Target Price'!J76/TargetConsumption!J76/VLOOKUP($A76,DemElas!$A$21:$B$28,2,0)</f>
        <v>1.3397504048673869</v>
      </c>
      <c r="K76" s="2">
        <f>-'Target Price'!K76/TargetConsumption!K76/VLOOKUP($A76,DemElas!$A$21:$B$28,2,0)</f>
        <v>1.3700292920287072</v>
      </c>
      <c r="L76" s="2">
        <f>-'Target Price'!L76/TargetConsumption!L76/VLOOKUP($A76,DemElas!$A$21:$B$28,2,0)</f>
        <v>1.2662467080573794</v>
      </c>
      <c r="M76" s="2">
        <f>-'Target Price'!M76/TargetConsumption!M76/VLOOKUP($A76,DemElas!$A$21:$B$28,2,0)</f>
        <v>1.3599772040719</v>
      </c>
      <c r="N76" s="2">
        <f>-'Target Price'!N76/TargetConsumption!N76/VLOOKUP($A76,DemElas!$A$21:$B$28,2,0)</f>
        <v>1.2569560867849232</v>
      </c>
      <c r="O76" s="2">
        <f>-'Target Price'!O76/TargetConsumption!O76/VLOOKUP($A76,DemElas!$A$21:$B$28,2,0)</f>
        <v>1.2214554023949797</v>
      </c>
      <c r="P76" s="2">
        <f>-'Target Price'!P76/TargetConsumption!P76/VLOOKUP($A76,DemElas!$A$21:$B$28,2,0)</f>
        <v>1.1289276012714162</v>
      </c>
      <c r="Q76" s="2">
        <f>-'Target Price'!Q76/TargetConsumption!Q76/VLOOKUP($A76,DemElas!$A$21:$B$28,2,0)</f>
        <v>1.1376183422211124</v>
      </c>
      <c r="R76" s="2">
        <f>-'Target Price'!R76/TargetConsumption!R76/VLOOKUP($A76,DemElas!$A$21:$B$28,2,0)</f>
        <v>1.0514413737315869</v>
      </c>
      <c r="S76" s="2">
        <f>-'Target Price'!S76/TargetConsumption!S76/VLOOKUP($A76,DemElas!$A$21:$B$28,2,0)</f>
        <v>1.214569695789147</v>
      </c>
      <c r="T76" s="2">
        <f>-'Target Price'!T76/TargetConsumption!T76/VLOOKUP($A76,DemElas!$A$21:$B$28,2,0)</f>
        <v>1.1225635013408417</v>
      </c>
      <c r="U76" s="2">
        <f>-'Target Price'!U76/TargetConsumption!U76/VLOOKUP($A76,DemElas!$A$21:$B$28,2,0)</f>
        <v>1.0503836723219431</v>
      </c>
      <c r="V76" s="2">
        <f>-'Target Price'!V76/TargetConsumption!V76/VLOOKUP($A76,DemElas!$A$21:$B$28,2,0)</f>
        <v>0.97081491250846352</v>
      </c>
      <c r="W76" s="2">
        <f>-'Target Price'!W76/TargetConsumption!W76/VLOOKUP($A76,DemElas!$A$21:$B$28,2,0)</f>
        <v>0.98397175053840846</v>
      </c>
      <c r="X76" s="2">
        <f>-'Target Price'!X76/TargetConsumption!X76/VLOOKUP($A76,DemElas!$A$21:$B$28,2,0)</f>
        <v>0.90943383268524247</v>
      </c>
      <c r="Y76" s="2">
        <f>-'Target Price'!Y76/TargetConsumption!Y76/VLOOKUP($A76,DemElas!$A$21:$B$28,2,0)</f>
        <v>0.95022300008004612</v>
      </c>
      <c r="Z76" s="2">
        <f>-'Target Price'!Z76/TargetConsumption!Z76/VLOOKUP($A76,DemElas!$A$21:$B$28,2,0)</f>
        <v>0.87824162065182565</v>
      </c>
      <c r="AA76" s="2">
        <f>-'Target Price'!AA76/TargetConsumption!AA76/VLOOKUP($A76,DemElas!$A$21:$B$28,2,0)</f>
        <v>0.92453677654741095</v>
      </c>
      <c r="AB76" s="2">
        <f>-'Target Price'!AB76/TargetConsumption!AB76/VLOOKUP($A76,DemElas!$A$21:$B$28,2,0)</f>
        <v>0.8545011822685975</v>
      </c>
      <c r="AC76" s="2">
        <f>-'Target Price'!AC76/TargetConsumption!AC76/VLOOKUP($A76,DemElas!$A$21:$B$28,2,0)</f>
        <v>0.90926107755833563</v>
      </c>
      <c r="AD76" s="2">
        <f>-'Target Price'!AD76/TargetConsumption!AD76/VLOOKUP($A76,DemElas!$A$21:$B$28,2,0)</f>
        <v>0.84038264942354446</v>
      </c>
      <c r="AE76" s="2">
        <f>-'Target Price'!AE76/TargetConsumption!AE76/VLOOKUP($A76,DemElas!$A$21:$B$28,2,0)</f>
        <v>0.89208871501792597</v>
      </c>
      <c r="AF76" s="2">
        <f>-'Target Price'!AF76/TargetConsumption!AF76/VLOOKUP($A76,DemElas!$A$21:$B$28,2,0)</f>
        <v>0.82451112925760472</v>
      </c>
      <c r="AG76" s="2">
        <f>-'Target Price'!AG76/TargetConsumption!AG76/VLOOKUP($A76,DemElas!$A$21:$B$28,2,0)</f>
        <v>0.84339795781610827</v>
      </c>
      <c r="AH76" s="2">
        <f>-'Target Price'!AH76/TargetConsumption!AH76/VLOOKUP($A76,DemElas!$A$21:$B$28,2,0)</f>
        <v>0.77950879873930889</v>
      </c>
    </row>
    <row r="77" spans="1:34">
      <c r="A77" t="str">
        <f t="shared" si="2"/>
        <v>Beef</v>
      </c>
      <c r="B77" t="str">
        <f t="shared" si="3"/>
        <v>Somali</v>
      </c>
      <c r="C77" s="2">
        <f>-'Target Price'!C77/TargetConsumption!C77/VLOOKUP($A77,DemElas!$A$21:$B$28,2,0)</f>
        <v>10.392213431841672</v>
      </c>
      <c r="D77" s="2">
        <f>-'Target Price'!D77/TargetConsumption!D77/VLOOKUP($A77,DemElas!$A$21:$B$28,2,0)</f>
        <v>9.6049815314631015</v>
      </c>
      <c r="E77" s="2">
        <f>-'Target Price'!E77/TargetConsumption!E77/VLOOKUP($A77,DemElas!$A$21:$B$28,2,0)</f>
        <v>9.5645550260215426</v>
      </c>
      <c r="F77" s="2">
        <f>-'Target Price'!F77/TargetConsumption!F77/VLOOKUP($A77,DemElas!$A$21:$B$28,2,0)</f>
        <v>8.8400199807404345</v>
      </c>
      <c r="G77" s="2">
        <f>-'Target Price'!G77/TargetConsumption!G77/VLOOKUP($A77,DemElas!$A$21:$B$28,2,0)</f>
        <v>9.0197033420605823</v>
      </c>
      <c r="H77" s="2">
        <f>-'Target Price'!H77/TargetConsumption!H77/VLOOKUP($A77,DemElas!$A$21:$B$28,2,0)</f>
        <v>8.3364419512710981</v>
      </c>
      <c r="I77" s="2">
        <f>-'Target Price'!I77/TargetConsumption!I77/VLOOKUP($A77,DemElas!$A$21:$B$28,2,0)</f>
        <v>9.1279096358778045</v>
      </c>
      <c r="J77" s="2">
        <f>-'Target Price'!J77/TargetConsumption!J77/VLOOKUP($A77,DemElas!$A$21:$B$28,2,0)</f>
        <v>8.4364513920431694</v>
      </c>
      <c r="K77" s="2">
        <f>-'Target Price'!K77/TargetConsumption!K77/VLOOKUP($A77,DemElas!$A$21:$B$28,2,0)</f>
        <v>8.0327396932943564</v>
      </c>
      <c r="L77" s="2">
        <f>-'Target Price'!L77/TargetConsumption!L77/VLOOKUP($A77,DemElas!$A$21:$B$28,2,0)</f>
        <v>7.4242428629056603</v>
      </c>
      <c r="M77" s="2">
        <f>-'Target Price'!M77/TargetConsumption!M77/VLOOKUP($A77,DemElas!$A$21:$B$28,2,0)</f>
        <v>7.9726709424554105</v>
      </c>
      <c r="N77" s="2">
        <f>-'Target Price'!N77/TargetConsumption!N77/VLOOKUP($A77,DemElas!$A$21:$B$28,2,0)</f>
        <v>7.3687244455626963</v>
      </c>
      <c r="O77" s="2">
        <f>-'Target Price'!O77/TargetConsumption!O77/VLOOKUP($A77,DemElas!$A$21:$B$28,2,0)</f>
        <v>7.7993534687413169</v>
      </c>
      <c r="P77" s="2">
        <f>-'Target Price'!P77/TargetConsumption!P77/VLOOKUP($A77,DemElas!$A$21:$B$28,2,0)</f>
        <v>7.2085361329359534</v>
      </c>
      <c r="Q77" s="2">
        <f>-'Target Price'!Q77/TargetConsumption!Q77/VLOOKUP($A77,DemElas!$A$21:$B$28,2,0)</f>
        <v>7.0652230404420067</v>
      </c>
      <c r="R77" s="2">
        <f>-'Target Price'!R77/TargetConsumption!R77/VLOOKUP($A77,DemElas!$A$21:$B$28,2,0)</f>
        <v>6.5300176198447177</v>
      </c>
      <c r="S77" s="2">
        <f>-'Target Price'!S77/TargetConsumption!S77/VLOOKUP($A77,DemElas!$A$21:$B$28,2,0)</f>
        <v>7.3853524265058272</v>
      </c>
      <c r="T77" s="2">
        <f>-'Target Price'!T77/TargetConsumption!T77/VLOOKUP($A77,DemElas!$A$21:$B$28,2,0)</f>
        <v>6.8258965354374572</v>
      </c>
      <c r="U77" s="2">
        <f>-'Target Price'!U77/TargetConsumption!U77/VLOOKUP($A77,DemElas!$A$21:$B$28,2,0)</f>
        <v>6.6594729574933398</v>
      </c>
      <c r="V77" s="2">
        <f>-'Target Price'!V77/TargetConsumption!V77/VLOOKUP($A77,DemElas!$A$21:$B$28,2,0)</f>
        <v>6.1550039542120905</v>
      </c>
      <c r="W77" s="2">
        <f>-'Target Price'!W77/TargetConsumption!W77/VLOOKUP($A77,DemElas!$A$21:$B$28,2,0)</f>
        <v>6.7793982058783078</v>
      </c>
      <c r="X77" s="2">
        <f>-'Target Price'!X77/TargetConsumption!X77/VLOOKUP($A77,DemElas!$A$21:$B$28,2,0)</f>
        <v>6.2658446142359105</v>
      </c>
      <c r="Y77" s="2">
        <f>-'Target Price'!Y77/TargetConsumption!Y77/VLOOKUP($A77,DemElas!$A$21:$B$28,2,0)</f>
        <v>6.4567623523214621</v>
      </c>
      <c r="Z77" s="2">
        <f>-'Target Price'!Z77/TargetConsumption!Z77/VLOOKUP($A77,DemElas!$A$21:$B$28,2,0)</f>
        <v>5.9676491013044428</v>
      </c>
      <c r="AA77" s="2">
        <f>-'Target Price'!AA77/TargetConsumption!AA77/VLOOKUP($A77,DemElas!$A$21:$B$28,2,0)</f>
        <v>5.6082898746371583</v>
      </c>
      <c r="AB77" s="2">
        <f>-'Target Price'!AB77/TargetConsumption!AB77/VLOOKUP($A77,DemElas!$A$21:$B$28,2,0)</f>
        <v>5.1834501881891386</v>
      </c>
      <c r="AC77" s="2">
        <f>-'Target Price'!AC77/TargetConsumption!AC77/VLOOKUP($A77,DemElas!$A$21:$B$28,2,0)</f>
        <v>5.9422861285899993</v>
      </c>
      <c r="AD77" s="2">
        <f>-'Target Price'!AD77/TargetConsumption!AD77/VLOOKUP($A77,DemElas!$A$21:$B$28,2,0)</f>
        <v>5.492145527428951</v>
      </c>
      <c r="AE77" s="2">
        <f>-'Target Price'!AE77/TargetConsumption!AE77/VLOOKUP($A77,DemElas!$A$21:$B$28,2,0)</f>
        <v>5.3773813316415664</v>
      </c>
      <c r="AF77" s="2">
        <f>-'Target Price'!AF77/TargetConsumption!AF77/VLOOKUP($A77,DemElas!$A$21:$B$28,2,0)</f>
        <v>4.9700334502174028</v>
      </c>
      <c r="AG77" s="2">
        <f>-'Target Price'!AG77/TargetConsumption!AG77/VLOOKUP($A77,DemElas!$A$21:$B$28,2,0)</f>
        <v>5.5201585094498169</v>
      </c>
      <c r="AH77" s="2">
        <f>-'Target Price'!AH77/TargetConsumption!AH77/VLOOKUP($A77,DemElas!$A$21:$B$28,2,0)</f>
        <v>5.1019949582211535</v>
      </c>
    </row>
    <row r="78" spans="1:34">
      <c r="A78" t="str">
        <f t="shared" ref="A78:A90" si="4">INDEX(Food,MATCH(A67,Food,0)+1)</f>
        <v>Beef</v>
      </c>
      <c r="B78" t="str">
        <f t="shared" si="3"/>
        <v>SNNPR</v>
      </c>
      <c r="C78" s="2">
        <f>-'Target Price'!C78/TargetConsumption!C78/VLOOKUP($A78,DemElas!$A$21:$B$28,2,0)</f>
        <v>3.4712877134441338</v>
      </c>
      <c r="D78" s="2">
        <f>-'Target Price'!D78/TargetConsumption!D78/VLOOKUP($A78,DemElas!$A$21:$B$28,2,0)</f>
        <v>3.2083304097534304</v>
      </c>
      <c r="E78" s="2">
        <f>-'Target Price'!E78/TargetConsumption!E78/VLOOKUP($A78,DemElas!$A$21:$B$28,2,0)</f>
        <v>3.2311157923058302</v>
      </c>
      <c r="F78" s="2">
        <f>-'Target Price'!F78/TargetConsumption!F78/VLOOKUP($A78,DemElas!$A$21:$B$28,2,0)</f>
        <v>2.9863520139055106</v>
      </c>
      <c r="G78" s="2">
        <f>-'Target Price'!G78/TargetConsumption!G78/VLOOKUP($A78,DemElas!$A$21:$B$28,2,0)</f>
        <v>2.6739545171573864</v>
      </c>
      <c r="H78" s="2">
        <f>-'Target Price'!H78/TargetConsumption!H78/VLOOKUP($A78,DemElas!$A$21:$B$28,2,0)</f>
        <v>2.4713968705238121</v>
      </c>
      <c r="I78" s="2">
        <f>-'Target Price'!I78/TargetConsumption!I78/VLOOKUP($A78,DemElas!$A$21:$B$28,2,0)</f>
        <v>2.9517168394040203</v>
      </c>
      <c r="J78" s="2">
        <f>-'Target Price'!J78/TargetConsumption!J78/VLOOKUP($A78,DemElas!$A$21:$B$28,2,0)</f>
        <v>2.7281181159844561</v>
      </c>
      <c r="K78" s="2">
        <f>-'Target Price'!K78/TargetConsumption!K78/VLOOKUP($A78,DemElas!$A$21:$B$28,2,0)</f>
        <v>2.4273823612786463</v>
      </c>
      <c r="L78" s="2">
        <f>-'Target Price'!L78/TargetConsumption!L78/VLOOKUP($A78,DemElas!$A$21:$B$28,2,0)</f>
        <v>2.2435030711016593</v>
      </c>
      <c r="M78" s="2">
        <f>-'Target Price'!M78/TargetConsumption!M78/VLOOKUP($A78,DemElas!$A$21:$B$28,2,0)</f>
        <v>2.4468411962881098</v>
      </c>
      <c r="N78" s="2">
        <f>-'Target Price'!N78/TargetConsumption!N78/VLOOKUP($A78,DemElas!$A$21:$B$28,2,0)</f>
        <v>2.2614878586654914</v>
      </c>
      <c r="O78" s="2">
        <f>-'Target Price'!O78/TargetConsumption!O78/VLOOKUP($A78,DemElas!$A$21:$B$28,2,0)</f>
        <v>2.1924121859899977</v>
      </c>
      <c r="P78" s="2">
        <f>-'Target Price'!P78/TargetConsumption!P78/VLOOKUP($A78,DemElas!$A$21:$B$28,2,0)</f>
        <v>2.0263323779770315</v>
      </c>
      <c r="Q78" s="2">
        <f>-'Target Price'!Q78/TargetConsumption!Q78/VLOOKUP($A78,DemElas!$A$21:$B$28,2,0)</f>
        <v>2.210627426355058</v>
      </c>
      <c r="R78" s="2">
        <f>-'Target Price'!R78/TargetConsumption!R78/VLOOKUP($A78,DemElas!$A$21:$B$28,2,0)</f>
        <v>2.0431677757914661</v>
      </c>
      <c r="S78" s="2">
        <f>-'Target Price'!S78/TargetConsumption!S78/VLOOKUP($A78,DemElas!$A$21:$B$28,2,0)</f>
        <v>2.1293101328676292</v>
      </c>
      <c r="T78" s="2">
        <f>-'Target Price'!T78/TargetConsumption!T78/VLOOKUP($A78,DemElas!$A$21:$B$28,2,0)</f>
        <v>1.9680104373420662</v>
      </c>
      <c r="U78" s="2">
        <f>-'Target Price'!U78/TargetConsumption!U78/VLOOKUP($A78,DemElas!$A$21:$B$28,2,0)</f>
        <v>2.1371391013617669</v>
      </c>
      <c r="V78" s="2">
        <f>-'Target Price'!V78/TargetConsumption!V78/VLOOKUP($A78,DemElas!$A$21:$B$28,2,0)</f>
        <v>1.9752463451002922</v>
      </c>
      <c r="W78" s="2">
        <f>-'Target Price'!W78/TargetConsumption!W78/VLOOKUP($A78,DemElas!$A$21:$B$28,2,0)</f>
        <v>1.8595294814311716</v>
      </c>
      <c r="X78" s="2">
        <f>-'Target Price'!X78/TargetConsumption!X78/VLOOKUP($A78,DemElas!$A$21:$B$28,2,0)</f>
        <v>1.7186662344359058</v>
      </c>
      <c r="Y78" s="2">
        <f>-'Target Price'!Y78/TargetConsumption!Y78/VLOOKUP($A78,DemElas!$A$21:$B$28,2,0)</f>
        <v>1.8546890105419591</v>
      </c>
      <c r="Z78" s="2">
        <f>-'Target Price'!Z78/TargetConsumption!Z78/VLOOKUP($A78,DemElas!$A$21:$B$28,2,0)</f>
        <v>1.7141924393392791</v>
      </c>
      <c r="AA78" s="2">
        <f>-'Target Price'!AA78/TargetConsumption!AA78/VLOOKUP($A78,DemElas!$A$21:$B$28,2,0)</f>
        <v>1.823256094885084</v>
      </c>
      <c r="AB78" s="2">
        <f>-'Target Price'!AB78/TargetConsumption!AB78/VLOOKUP($A78,DemElas!$A$21:$B$28,2,0)</f>
        <v>1.6851406327781024</v>
      </c>
      <c r="AC78" s="2">
        <f>-'Target Price'!AC78/TargetConsumption!AC78/VLOOKUP($A78,DemElas!$A$21:$B$28,2,0)</f>
        <v>1.6087564297421661</v>
      </c>
      <c r="AD78" s="2">
        <f>-'Target Price'!AD78/TargetConsumption!AD78/VLOOKUP($A78,DemElas!$A$21:$B$28,2,0)</f>
        <v>1.4868897658463183</v>
      </c>
      <c r="AE78" s="2">
        <f>-'Target Price'!AE78/TargetConsumption!AE78/VLOOKUP($A78,DemElas!$A$21:$B$28,2,0)</f>
        <v>1.5442102971392415</v>
      </c>
      <c r="AF78" s="2">
        <f>-'Target Price'!AF78/TargetConsumption!AF78/VLOOKUP($A78,DemElas!$A$21:$B$28,2,0)</f>
        <v>1.4272331377714087</v>
      </c>
      <c r="AG78" s="2">
        <f>-'Target Price'!AG78/TargetConsumption!AG78/VLOOKUP($A78,DemElas!$A$21:$B$28,2,0)</f>
        <v>1.5189406577259876</v>
      </c>
      <c r="AH78" s="2">
        <f>-'Target Price'!AH78/TargetConsumption!AH78/VLOOKUP($A78,DemElas!$A$21:$B$28,2,0)</f>
        <v>1.4038777263893287</v>
      </c>
    </row>
    <row r="79" spans="1:34">
      <c r="A79" t="str">
        <f t="shared" si="4"/>
        <v>Beef</v>
      </c>
      <c r="B79" t="str">
        <f t="shared" ref="B79:B90" si="5">B68</f>
        <v>Tigray</v>
      </c>
      <c r="C79" s="2">
        <f>-'Target Price'!C79/TargetConsumption!C79/VLOOKUP($A79,DemElas!$A$21:$B$28,2,0)</f>
        <v>12.943605081314411</v>
      </c>
      <c r="D79" s="2">
        <f>-'Target Price'!D79/TargetConsumption!D79/VLOOKUP($A79,DemElas!$A$21:$B$28,2,0)</f>
        <v>11.963099927841338</v>
      </c>
      <c r="E79" s="2">
        <f>-'Target Price'!E79/TargetConsumption!E79/VLOOKUP($A79,DemElas!$A$21:$B$28,2,0)</f>
        <v>10.284917256516339</v>
      </c>
      <c r="F79" s="2">
        <f>-'Target Price'!F79/TargetConsumption!F79/VLOOKUP($A79,DemElas!$A$21:$B$28,2,0)</f>
        <v>9.505813265803857</v>
      </c>
      <c r="G79" s="2">
        <f>-'Target Price'!G79/TargetConsumption!G79/VLOOKUP($A79,DemElas!$A$21:$B$28,2,0)</f>
        <v>10.471579296392378</v>
      </c>
      <c r="H79" s="2">
        <f>-'Target Price'!H79/TargetConsumption!H79/VLOOKUP($A79,DemElas!$A$21:$B$28,2,0)</f>
        <v>9.6783352657986992</v>
      </c>
      <c r="I79" s="2">
        <f>-'Target Price'!I79/TargetConsumption!I79/VLOOKUP($A79,DemElas!$A$21:$B$28,2,0)</f>
        <v>9.4403371348927756</v>
      </c>
      <c r="J79" s="2">
        <f>-'Target Price'!J79/TargetConsumption!J79/VLOOKUP($A79,DemElas!$A$21:$B$28,2,0)</f>
        <v>8.7252118546377311</v>
      </c>
      <c r="K79" s="2">
        <f>-'Target Price'!K79/TargetConsumption!K79/VLOOKUP($A79,DemElas!$A$21:$B$28,2,0)</f>
        <v>9.5884290290895233</v>
      </c>
      <c r="L79" s="2">
        <f>-'Target Price'!L79/TargetConsumption!L79/VLOOKUP($A79,DemElas!$A$21:$B$28,2,0)</f>
        <v>8.8620854781490497</v>
      </c>
      <c r="M79" s="2">
        <f>-'Target Price'!M79/TargetConsumption!M79/VLOOKUP($A79,DemElas!$A$21:$B$28,2,0)</f>
        <v>8.900331682801724</v>
      </c>
      <c r="N79" s="2">
        <f>-'Target Price'!N79/TargetConsumption!N79/VLOOKUP($A79,DemElas!$A$21:$B$28,2,0)</f>
        <v>8.2261129448393824</v>
      </c>
      <c r="O79" s="2">
        <f>-'Target Price'!O79/TargetConsumption!O79/VLOOKUP($A79,DemElas!$A$21:$B$28,2,0)</f>
        <v>8.8573583374157465</v>
      </c>
      <c r="P79" s="2">
        <f>-'Target Price'!P79/TargetConsumption!P79/VLOOKUP($A79,DemElas!$A$21:$B$28,2,0)</f>
        <v>8.1863949202352302</v>
      </c>
      <c r="Q79" s="2">
        <f>-'Target Price'!Q79/TargetConsumption!Q79/VLOOKUP($A79,DemElas!$A$21:$B$28,2,0)</f>
        <v>8.0963749900693571</v>
      </c>
      <c r="R79" s="2">
        <f>-'Target Price'!R79/TargetConsumption!R79/VLOOKUP($A79,DemElas!$A$21:$B$28,2,0)</f>
        <v>7.4830576528714179</v>
      </c>
      <c r="S79" s="2">
        <f>-'Target Price'!S79/TargetConsumption!S79/VLOOKUP($A79,DemElas!$A$21:$B$28,2,0)</f>
        <v>7.6876998041886848</v>
      </c>
      <c r="T79" s="2">
        <f>-'Target Price'!T79/TargetConsumption!T79/VLOOKUP($A79,DemElas!$A$21:$B$28,2,0)</f>
        <v>7.1053404669710618</v>
      </c>
      <c r="U79" s="2">
        <f>-'Target Price'!U79/TargetConsumption!U79/VLOOKUP($A79,DemElas!$A$21:$B$28,2,0)</f>
        <v>7.4281603150210822</v>
      </c>
      <c r="V79" s="2">
        <f>-'Target Price'!V79/TargetConsumption!V79/VLOOKUP($A79,DemElas!$A$21:$B$28,2,0)</f>
        <v>6.8654616368748638</v>
      </c>
      <c r="W79" s="2">
        <f>-'Target Price'!W79/TargetConsumption!W79/VLOOKUP($A79,DemElas!$A$21:$B$28,2,0)</f>
        <v>6.6017910995977118</v>
      </c>
      <c r="X79" s="2">
        <f>-'Target Price'!X79/TargetConsumption!X79/VLOOKUP($A79,DemElas!$A$21:$B$28,2,0)</f>
        <v>6.1016916176803555</v>
      </c>
      <c r="Y79" s="2">
        <f>-'Target Price'!Y79/TargetConsumption!Y79/VLOOKUP($A79,DemElas!$A$21:$B$28,2,0)</f>
        <v>6.8510331391346382</v>
      </c>
      <c r="Z79" s="2">
        <f>-'Target Price'!Z79/TargetConsumption!Z79/VLOOKUP($A79,DemElas!$A$21:$B$28,2,0)</f>
        <v>6.3320530514901421</v>
      </c>
      <c r="AA79" s="2">
        <f>-'Target Price'!AA79/TargetConsumption!AA79/VLOOKUP($A79,DemElas!$A$21:$B$28,2,0)</f>
        <v>6.3097574777348377</v>
      </c>
      <c r="AB79" s="2">
        <f>-'Target Price'!AB79/TargetConsumption!AB79/VLOOKUP($A79,DemElas!$A$21:$B$28,2,0)</f>
        <v>5.8317801533945337</v>
      </c>
      <c r="AC79" s="2">
        <f>-'Target Price'!AC79/TargetConsumption!AC79/VLOOKUP($A79,DemElas!$A$21:$B$28,2,0)</f>
        <v>6.4978284038772971</v>
      </c>
      <c r="AD79" s="2">
        <f>-'Target Price'!AD79/TargetConsumption!AD79/VLOOKUP($A79,DemElas!$A$21:$B$28,2,0)</f>
        <v>6.0056043135747537</v>
      </c>
      <c r="AE79" s="2">
        <f>-'Target Price'!AE79/TargetConsumption!AE79/VLOOKUP($A79,DemElas!$A$21:$B$28,2,0)</f>
        <v>5.7198078890116077</v>
      </c>
      <c r="AF79" s="2">
        <f>-'Target Price'!AF79/TargetConsumption!AF79/VLOOKUP($A79,DemElas!$A$21:$B$28,2,0)</f>
        <v>5.286520479760533</v>
      </c>
      <c r="AG79" s="2">
        <f>-'Target Price'!AG79/TargetConsumption!AG79/VLOOKUP($A79,DemElas!$A$21:$B$28,2,0)</f>
        <v>5.5214617459040944</v>
      </c>
      <c r="AH79" s="2">
        <f>-'Target Price'!AH79/TargetConsumption!AH79/VLOOKUP($A79,DemElas!$A$21:$B$28,2,0)</f>
        <v>5.1031994717886064</v>
      </c>
    </row>
    <row r="80" spans="1:34">
      <c r="A80" t="str">
        <f t="shared" si="4"/>
        <v>Milk</v>
      </c>
      <c r="B80" t="str">
        <f t="shared" si="5"/>
        <v>AddisAbaba</v>
      </c>
      <c r="C80" s="2">
        <f>-'Target Price'!C80/TargetConsumption!C80/VLOOKUP($A80,DemElas!$A$21:$B$28,2,0)</f>
        <v>13.950714541854859</v>
      </c>
      <c r="D80" s="2">
        <f>-'Target Price'!D80/TargetConsumption!D80/VLOOKUP($A80,DemElas!$A$21:$B$28,2,0)</f>
        <v>13.338112063399103</v>
      </c>
      <c r="E80" s="2">
        <f>-'Target Price'!E80/TargetConsumption!E80/VLOOKUP($A80,DemElas!$A$21:$B$28,2,0)</f>
        <v>14.603059862623455</v>
      </c>
      <c r="F80" s="2">
        <f>-'Target Price'!F80/TargetConsumption!F80/VLOOKUP($A80,DemElas!$A$21:$B$28,2,0)</f>
        <v>13.961811657161178</v>
      </c>
      <c r="G80" s="2">
        <f>-'Target Price'!G80/TargetConsumption!G80/VLOOKUP($A80,DemElas!$A$21:$B$28,2,0)</f>
        <v>14.401098144439253</v>
      </c>
      <c r="H80" s="2">
        <f>-'Target Price'!H80/TargetConsumption!H80/VLOOKUP($A80,DemElas!$A$21:$B$28,2,0)</f>
        <v>13.768718463147664</v>
      </c>
      <c r="I80" s="2">
        <f>-'Target Price'!I80/TargetConsumption!I80/VLOOKUP($A80,DemElas!$A$21:$B$28,2,0)</f>
        <v>12.924712735075731</v>
      </c>
      <c r="J80" s="2">
        <f>-'Target Price'!J80/TargetConsumption!J80/VLOOKUP($A80,DemElas!$A$21:$B$28,2,0)</f>
        <v>12.357163952460946</v>
      </c>
      <c r="K80" s="2">
        <f>-'Target Price'!K80/TargetConsumption!K80/VLOOKUP($A80,DemElas!$A$21:$B$28,2,0)</f>
        <v>12.756005708433246</v>
      </c>
      <c r="L80" s="2">
        <f>-'Target Price'!L80/TargetConsumption!L80/VLOOKUP($A80,DemElas!$A$21:$B$28,2,0)</f>
        <v>12.195865173069457</v>
      </c>
      <c r="M80" s="2">
        <f>-'Target Price'!M80/TargetConsumption!M80/VLOOKUP($A80,DemElas!$A$21:$B$28,2,0)</f>
        <v>12.448589510814411</v>
      </c>
      <c r="N80" s="2">
        <f>-'Target Price'!N80/TargetConsumption!N80/VLOOKUP($A80,DemElas!$A$21:$B$28,2,0)</f>
        <v>11.901948206906741</v>
      </c>
      <c r="O80" s="2">
        <f>-'Target Price'!O80/TargetConsumption!O80/VLOOKUP($A80,DemElas!$A$21:$B$28,2,0)</f>
        <v>12.408526133162072</v>
      </c>
      <c r="P80" s="2">
        <f>-'Target Price'!P80/TargetConsumption!P80/VLOOKUP($A80,DemElas!$A$21:$B$28,2,0)</f>
        <v>11.863644088564847</v>
      </c>
      <c r="Q80" s="2">
        <f>-'Target Price'!Q80/TargetConsumption!Q80/VLOOKUP($A80,DemElas!$A$21:$B$28,2,0)</f>
        <v>11.661655632257016</v>
      </c>
      <c r="R80" s="2">
        <f>-'Target Price'!R80/TargetConsumption!R80/VLOOKUP($A80,DemElas!$A$21:$B$28,2,0)</f>
        <v>11.149570095578238</v>
      </c>
      <c r="S80" s="2">
        <f>-'Target Price'!S80/TargetConsumption!S80/VLOOKUP($A80,DemElas!$A$21:$B$28,2,0)</f>
        <v>11.284062462557065</v>
      </c>
      <c r="T80" s="2">
        <f>-'Target Price'!T80/TargetConsumption!T80/VLOOKUP($A80,DemElas!$A$21:$B$28,2,0)</f>
        <v>10.788557762000494</v>
      </c>
      <c r="U80" s="2">
        <f>-'Target Price'!U80/TargetConsumption!U80/VLOOKUP($A80,DemElas!$A$21:$B$28,2,0)</f>
        <v>12.584858342708449</v>
      </c>
      <c r="V80" s="2">
        <f>-'Target Price'!V80/TargetConsumption!V80/VLOOKUP($A80,DemElas!$A$21:$B$28,2,0)</f>
        <v>12.032233214538294</v>
      </c>
      <c r="W80" s="2">
        <f>-'Target Price'!W80/TargetConsumption!W80/VLOOKUP($A80,DemElas!$A$21:$B$28,2,0)</f>
        <v>12.186952762507982</v>
      </c>
      <c r="X80" s="2">
        <f>-'Target Price'!X80/TargetConsumption!X80/VLOOKUP($A80,DemElas!$A$21:$B$28,2,0)</f>
        <v>11.651800427139287</v>
      </c>
      <c r="Y80" s="2">
        <f>-'Target Price'!Y80/TargetConsumption!Y80/VLOOKUP($A80,DemElas!$A$21:$B$28,2,0)</f>
        <v>10.502610546644636</v>
      </c>
      <c r="Z80" s="2">
        <f>-'Target Price'!Z80/TargetConsumption!Z80/VLOOKUP($A80,DemElas!$A$21:$B$28,2,0)</f>
        <v>10.041420889883542</v>
      </c>
      <c r="AA80" s="2">
        <f>-'Target Price'!AA80/TargetConsumption!AA80/VLOOKUP($A80,DemElas!$A$21:$B$28,2,0)</f>
        <v>10.714876680652271</v>
      </c>
      <c r="AB80" s="2">
        <f>-'Target Price'!AB80/TargetConsumption!AB80/VLOOKUP($A80,DemElas!$A$21:$B$28,2,0)</f>
        <v>10.244366013171964</v>
      </c>
      <c r="AC80" s="2">
        <f>-'Target Price'!AC80/TargetConsumption!AC80/VLOOKUP($A80,DemElas!$A$21:$B$28,2,0)</f>
        <v>10.898912740853715</v>
      </c>
      <c r="AD80" s="2">
        <f>-'Target Price'!AD80/TargetConsumption!AD80/VLOOKUP($A80,DemElas!$A$21:$B$28,2,0)</f>
        <v>10.42032069902757</v>
      </c>
      <c r="AE80" s="2">
        <f>-'Target Price'!AE80/TargetConsumption!AE80/VLOOKUP($A80,DemElas!$A$21:$B$28,2,0)</f>
        <v>11.090116393045584</v>
      </c>
      <c r="AF80" s="2">
        <f>-'Target Price'!AF80/TargetConsumption!AF80/VLOOKUP($A80,DemElas!$A$21:$B$28,2,0)</f>
        <v>10.603128234241264</v>
      </c>
      <c r="AG80" s="2">
        <f>-'Target Price'!AG80/TargetConsumption!AG80/VLOOKUP($A80,DemElas!$A$21:$B$28,2,0)</f>
        <v>9.633786705594396</v>
      </c>
      <c r="AH80" s="2">
        <f>-'Target Price'!AH80/TargetConsumption!AH80/VLOOKUP($A80,DemElas!$A$21:$B$28,2,0)</f>
        <v>9.2107487604730167</v>
      </c>
    </row>
    <row r="81" spans="1:34">
      <c r="A81" t="str">
        <f t="shared" si="4"/>
        <v>Milk</v>
      </c>
      <c r="B81" t="str">
        <f t="shared" si="5"/>
        <v>Afar</v>
      </c>
      <c r="C81" s="2">
        <f>-'Target Price'!C81/TargetConsumption!C81/VLOOKUP($A81,DemElas!$A$21:$B$28,2,0)</f>
        <v>31.28654745717764</v>
      </c>
      <c r="D81" s="2">
        <f>-'Target Price'!D81/TargetConsumption!D81/VLOOKUP($A81,DemElas!$A$21:$B$28,2,0)</f>
        <v>29.91269549733083</v>
      </c>
      <c r="E81" s="2">
        <f>-'Target Price'!E81/TargetConsumption!E81/VLOOKUP($A81,DemElas!$A$21:$B$28,2,0)</f>
        <v>27.304021155043937</v>
      </c>
      <c r="F81" s="2">
        <f>-'Target Price'!F81/TargetConsumption!F81/VLOOKUP($A81,DemElas!$A$21:$B$28,2,0)</f>
        <v>26.105049519490397</v>
      </c>
      <c r="G81" s="2">
        <f>-'Target Price'!G81/TargetConsumption!G81/VLOOKUP($A81,DemElas!$A$21:$B$28,2,0)</f>
        <v>27.311268269992929</v>
      </c>
      <c r="H81" s="2">
        <f>-'Target Price'!H81/TargetConsumption!H81/VLOOKUP($A81,DemElas!$A$21:$B$28,2,0)</f>
        <v>26.11197839980229</v>
      </c>
      <c r="I81" s="2">
        <f>-'Target Price'!I81/TargetConsumption!I81/VLOOKUP($A81,DemElas!$A$21:$B$28,2,0)</f>
        <v>26.736110556283787</v>
      </c>
      <c r="J81" s="2">
        <f>-'Target Price'!J81/TargetConsumption!J81/VLOOKUP($A81,DemElas!$A$21:$B$28,2,0)</f>
        <v>25.562076958082951</v>
      </c>
      <c r="K81" s="2">
        <f>-'Target Price'!K81/TargetConsumption!K81/VLOOKUP($A81,DemElas!$A$21:$B$28,2,0)</f>
        <v>24.209884177503156</v>
      </c>
      <c r="L81" s="2">
        <f>-'Target Price'!L81/TargetConsumption!L81/VLOOKUP($A81,DemElas!$A$21:$B$28,2,0)</f>
        <v>23.146781996910949</v>
      </c>
      <c r="M81" s="2">
        <f>-'Target Price'!M81/TargetConsumption!M81/VLOOKUP($A81,DemElas!$A$21:$B$28,2,0)</f>
        <v>24.008656486224748</v>
      </c>
      <c r="N81" s="2">
        <f>-'Target Price'!N81/TargetConsumption!N81/VLOOKUP($A81,DemElas!$A$21:$B$28,2,0)</f>
        <v>22.954390597282067</v>
      </c>
      <c r="O81" s="2">
        <f>-'Target Price'!O81/TargetConsumption!O81/VLOOKUP($A81,DemElas!$A$21:$B$28,2,0)</f>
        <v>24.126379572945524</v>
      </c>
      <c r="P81" s="2">
        <f>-'Target Price'!P81/TargetConsumption!P81/VLOOKUP($A81,DemElas!$A$21:$B$28,2,0)</f>
        <v>23.066944238776202</v>
      </c>
      <c r="Q81" s="2">
        <f>-'Target Price'!Q81/TargetConsumption!Q81/VLOOKUP($A81,DemElas!$A$21:$B$28,2,0)</f>
        <v>25.766687345946011</v>
      </c>
      <c r="R81" s="2">
        <f>-'Target Price'!R81/TargetConsumption!R81/VLOOKUP($A81,DemElas!$A$21:$B$28,2,0)</f>
        <v>24.635222969525437</v>
      </c>
      <c r="S81" s="2">
        <f>-'Target Price'!S81/TargetConsumption!S81/VLOOKUP($A81,DemElas!$A$21:$B$28,2,0)</f>
        <v>24.854396195019369</v>
      </c>
      <c r="T81" s="2">
        <f>-'Target Price'!T81/TargetConsumption!T81/VLOOKUP($A81,DemElas!$A$21:$B$28,2,0)</f>
        <v>23.76299226270395</v>
      </c>
      <c r="U81" s="2">
        <f>-'Target Price'!U81/TargetConsumption!U81/VLOOKUP($A81,DemElas!$A$21:$B$28,2,0)</f>
        <v>23.024309902921814</v>
      </c>
      <c r="V81" s="2">
        <f>-'Target Price'!V81/TargetConsumption!V81/VLOOKUP($A81,DemElas!$A$21:$B$28,2,0)</f>
        <v>22.01326854952401</v>
      </c>
      <c r="W81" s="2">
        <f>-'Target Price'!W81/TargetConsumption!W81/VLOOKUP($A81,DemElas!$A$21:$B$28,2,0)</f>
        <v>23.457238851112756</v>
      </c>
      <c r="X81" s="2">
        <f>-'Target Price'!X81/TargetConsumption!X81/VLOOKUP($A81,DemElas!$A$21:$B$28,2,0)</f>
        <v>22.427186762038197</v>
      </c>
      <c r="Y81" s="2">
        <f>-'Target Price'!Y81/TargetConsumption!Y81/VLOOKUP($A81,DemElas!$A$21:$B$28,2,0)</f>
        <v>21.310498352206725</v>
      </c>
      <c r="Z81" s="2">
        <f>-'Target Price'!Z81/TargetConsumption!Z81/VLOOKUP($A81,DemElas!$A$21:$B$28,2,0)</f>
        <v>20.37471373210558</v>
      </c>
      <c r="AA81" s="2">
        <f>-'Target Price'!AA81/TargetConsumption!AA81/VLOOKUP($A81,DemElas!$A$21:$B$28,2,0)</f>
        <v>20.627995926429517</v>
      </c>
      <c r="AB81" s="2">
        <f>-'Target Price'!AB81/TargetConsumption!AB81/VLOOKUP($A81,DemElas!$A$21:$B$28,2,0)</f>
        <v>19.722181289323061</v>
      </c>
      <c r="AC81" s="2">
        <f>-'Target Price'!AC81/TargetConsumption!AC81/VLOOKUP($A81,DemElas!$A$21:$B$28,2,0)</f>
        <v>20.983061044760412</v>
      </c>
      <c r="AD81" s="2">
        <f>-'Target Price'!AD81/TargetConsumption!AD81/VLOOKUP($A81,DemElas!$A$21:$B$28,2,0)</f>
        <v>20.0616548212266</v>
      </c>
      <c r="AE81" s="2">
        <f>-'Target Price'!AE81/TargetConsumption!AE81/VLOOKUP($A81,DemElas!$A$21:$B$28,2,0)</f>
        <v>19.134998197583755</v>
      </c>
      <c r="AF81" s="2">
        <f>-'Target Price'!AF81/TargetConsumption!AF81/VLOOKUP($A81,DemElas!$A$21:$B$28,2,0)</f>
        <v>18.294743937780968</v>
      </c>
      <c r="AG81" s="2">
        <f>-'Target Price'!AG81/TargetConsumption!AG81/VLOOKUP($A81,DemElas!$A$21:$B$28,2,0)</f>
        <v>18.365868603094309</v>
      </c>
      <c r="AH81" s="2">
        <f>-'Target Price'!AH81/TargetConsumption!AH81/VLOOKUP($A81,DemElas!$A$21:$B$28,2,0)</f>
        <v>17.559388290455608</v>
      </c>
    </row>
    <row r="82" spans="1:34">
      <c r="A82" t="str">
        <f t="shared" si="4"/>
        <v>Milk</v>
      </c>
      <c r="B82" t="str">
        <f t="shared" si="5"/>
        <v>Amhara</v>
      </c>
      <c r="C82" s="2">
        <f>-'Target Price'!C82/TargetConsumption!C82/VLOOKUP($A82,DemElas!$A$21:$B$28,2,0)</f>
        <v>2.3410585052992481</v>
      </c>
      <c r="D82" s="2">
        <f>-'Target Price'!D82/TargetConsumption!D82/VLOOKUP($A82,DemElas!$A$21:$B$28,2,0)</f>
        <v>2.2382581621158537</v>
      </c>
      <c r="E82" s="2">
        <f>-'Target Price'!E82/TargetConsumption!E82/VLOOKUP($A82,DemElas!$A$21:$B$28,2,0)</f>
        <v>2.4229561857473287</v>
      </c>
      <c r="F82" s="2">
        <f>-'Target Price'!F82/TargetConsumption!F82/VLOOKUP($A82,DemElas!$A$21:$B$28,2,0)</f>
        <v>2.3165595592429802</v>
      </c>
      <c r="G82" s="2">
        <f>-'Target Price'!G82/TargetConsumption!G82/VLOOKUP($A82,DemElas!$A$21:$B$28,2,0)</f>
        <v>2.1284869499652843</v>
      </c>
      <c r="H82" s="2">
        <f>-'Target Price'!H82/TargetConsumption!H82/VLOOKUP($A82,DemElas!$A$21:$B$28,2,0)</f>
        <v>2.0350210291339561</v>
      </c>
      <c r="I82" s="2">
        <f>-'Target Price'!I82/TargetConsumption!I82/VLOOKUP($A82,DemElas!$A$21:$B$28,2,0)</f>
        <v>2.3764205770575466</v>
      </c>
      <c r="J82" s="2">
        <f>-'Target Price'!J82/TargetConsumption!J82/VLOOKUP($A82,DemElas!$A$21:$B$28,2,0)</f>
        <v>2.2720674178705376</v>
      </c>
      <c r="K82" s="2">
        <f>-'Target Price'!K82/TargetConsumption!K82/VLOOKUP($A82,DemElas!$A$21:$B$28,2,0)</f>
        <v>2.2718743248835556</v>
      </c>
      <c r="L82" s="2">
        <f>-'Target Price'!L82/TargetConsumption!L82/VLOOKUP($A82,DemElas!$A$21:$B$28,2,0)</f>
        <v>2.1721119909910427</v>
      </c>
      <c r="M82" s="2">
        <f>-'Target Price'!M82/TargetConsumption!M82/VLOOKUP($A82,DemElas!$A$21:$B$28,2,0)</f>
        <v>2.1615336339875499</v>
      </c>
      <c r="N82" s="2">
        <f>-'Target Price'!N82/TargetConsumption!N82/VLOOKUP($A82,DemElas!$A$21:$B$28,2,0)</f>
        <v>2.066616570243359</v>
      </c>
      <c r="O82" s="2">
        <f>-'Target Price'!O82/TargetConsumption!O82/VLOOKUP($A82,DemElas!$A$21:$B$28,2,0)</f>
        <v>2.0704852344093783</v>
      </c>
      <c r="P82" s="2">
        <f>-'Target Price'!P82/TargetConsumption!P82/VLOOKUP($A82,DemElas!$A$21:$B$28,2,0)</f>
        <v>1.9795662795128512</v>
      </c>
      <c r="Q82" s="2">
        <f>-'Target Price'!Q82/TargetConsumption!Q82/VLOOKUP($A82,DemElas!$A$21:$B$28,2,0)</f>
        <v>1.9734205570952079</v>
      </c>
      <c r="R82" s="2">
        <f>-'Target Price'!R82/TargetConsumption!R82/VLOOKUP($A82,DemElas!$A$21:$B$28,2,0)</f>
        <v>1.8867638972743042</v>
      </c>
      <c r="S82" s="2">
        <f>-'Target Price'!S82/TargetConsumption!S82/VLOOKUP($A82,DemElas!$A$21:$B$28,2,0)</f>
        <v>1.8146388097241657</v>
      </c>
      <c r="T82" s="2">
        <f>-'Target Price'!T82/TargetConsumption!T82/VLOOKUP($A82,DemElas!$A$21:$B$28,2,0)</f>
        <v>1.7349545592147138</v>
      </c>
      <c r="U82" s="2">
        <f>-'Target Price'!U82/TargetConsumption!U82/VLOOKUP($A82,DemElas!$A$21:$B$28,2,0)</f>
        <v>1.7817985583331089</v>
      </c>
      <c r="V82" s="2">
        <f>-'Target Price'!V82/TargetConsumption!V82/VLOOKUP($A82,DemElas!$A$21:$B$28,2,0)</f>
        <v>1.7035563858860321</v>
      </c>
      <c r="W82" s="2">
        <f>-'Target Price'!W82/TargetConsumption!W82/VLOOKUP($A82,DemElas!$A$21:$B$28,2,0)</f>
        <v>1.9617803689574898</v>
      </c>
      <c r="X82" s="2">
        <f>-'Target Price'!X82/TargetConsumption!X82/VLOOKUP($A82,DemElas!$A$21:$B$28,2,0)</f>
        <v>1.8756348519946426</v>
      </c>
      <c r="Y82" s="2">
        <f>-'Target Price'!Y82/TargetConsumption!Y82/VLOOKUP($A82,DemElas!$A$21:$B$28,2,0)</f>
        <v>1.8611369888065965</v>
      </c>
      <c r="Z82" s="2">
        <f>-'Target Price'!Z82/TargetConsumption!Z82/VLOOKUP($A82,DemElas!$A$21:$B$28,2,0)</f>
        <v>1.7794109145852397</v>
      </c>
      <c r="AA82" s="2">
        <f>-'Target Price'!AA82/TargetConsumption!AA82/VLOOKUP($A82,DemElas!$A$21:$B$28,2,0)</f>
        <v>1.7933611468375712</v>
      </c>
      <c r="AB82" s="2">
        <f>-'Target Price'!AB82/TargetConsumption!AB82/VLOOKUP($A82,DemElas!$A$21:$B$28,2,0)</f>
        <v>1.7146112390803105</v>
      </c>
      <c r="AC82" s="2">
        <f>-'Target Price'!AC82/TargetConsumption!AC82/VLOOKUP($A82,DemElas!$A$21:$B$28,2,0)</f>
        <v>1.8300053818606863</v>
      </c>
      <c r="AD82" s="2">
        <f>-'Target Price'!AD82/TargetConsumption!AD82/VLOOKUP($A82,DemElas!$A$21:$B$28,2,0)</f>
        <v>1.7496463558658666</v>
      </c>
      <c r="AE82" s="2">
        <f>-'Target Price'!AE82/TargetConsumption!AE82/VLOOKUP($A82,DemElas!$A$21:$B$28,2,0)</f>
        <v>1.6447887430449808</v>
      </c>
      <c r="AF82" s="2">
        <f>-'Target Price'!AF82/TargetConsumption!AF82/VLOOKUP($A82,DemElas!$A$21:$B$28,2,0)</f>
        <v>1.5725629328542212</v>
      </c>
      <c r="AG82" s="2">
        <f>-'Target Price'!AG82/TargetConsumption!AG82/VLOOKUP($A82,DemElas!$A$21:$B$28,2,0)</f>
        <v>1.5817172308061673</v>
      </c>
      <c r="AH82" s="2">
        <f>-'Target Price'!AH82/TargetConsumption!AH82/VLOOKUP($A82,DemElas!$A$21:$B$28,2,0)</f>
        <v>1.5122610109902612</v>
      </c>
    </row>
    <row r="83" spans="1:34">
      <c r="A83" t="str">
        <f t="shared" si="4"/>
        <v>Milk</v>
      </c>
      <c r="B83" t="str">
        <f t="shared" si="5"/>
        <v>Gumuz</v>
      </c>
      <c r="C83" s="2">
        <f>-'Target Price'!C83/TargetConsumption!C83/VLOOKUP($A83,DemElas!$A$21:$B$28,2,0)</f>
        <v>50.049952440224146</v>
      </c>
      <c r="D83" s="2">
        <f>-'Target Price'!D83/TargetConsumption!D83/VLOOKUP($A83,DemElas!$A$21:$B$28,2,0)</f>
        <v>47.852163587224119</v>
      </c>
      <c r="E83" s="2">
        <f>-'Target Price'!E83/TargetConsumption!E83/VLOOKUP($A83,DemElas!$A$21:$B$28,2,0)</f>
        <v>46.443321816294336</v>
      </c>
      <c r="F83" s="2">
        <f>-'Target Price'!F83/TargetConsumption!F83/VLOOKUP($A83,DemElas!$A$21:$B$28,2,0)</f>
        <v>44.403906991553946</v>
      </c>
      <c r="G83" s="2">
        <f>-'Target Price'!G83/TargetConsumption!G83/VLOOKUP($A83,DemElas!$A$21:$B$28,2,0)</f>
        <v>46.94468236757389</v>
      </c>
      <c r="H83" s="2">
        <f>-'Target Price'!H83/TargetConsumption!H83/VLOOKUP($A83,DemElas!$A$21:$B$28,2,0)</f>
        <v>44.883251844971412</v>
      </c>
      <c r="I83" s="2">
        <f>-'Target Price'!I83/TargetConsumption!I83/VLOOKUP($A83,DemElas!$A$21:$B$28,2,0)</f>
        <v>48.56212765554762</v>
      </c>
      <c r="J83" s="2">
        <f>-'Target Price'!J83/TargetConsumption!J83/VLOOKUP($A83,DemElas!$A$21:$B$28,2,0)</f>
        <v>46.42967202600839</v>
      </c>
      <c r="K83" s="2">
        <f>-'Target Price'!K83/TargetConsumption!K83/VLOOKUP($A83,DemElas!$A$21:$B$28,2,0)</f>
        <v>42.982314634601487</v>
      </c>
      <c r="L83" s="2">
        <f>-'Target Price'!L83/TargetConsumption!L83/VLOOKUP($A83,DemElas!$A$21:$B$28,2,0)</f>
        <v>41.094879235079581</v>
      </c>
      <c r="M83" s="2">
        <f>-'Target Price'!M83/TargetConsumption!M83/VLOOKUP($A83,DemElas!$A$21:$B$28,2,0)</f>
        <v>44.58838348367464</v>
      </c>
      <c r="N83" s="2">
        <f>-'Target Price'!N83/TargetConsumption!N83/VLOOKUP($A83,DemElas!$A$21:$B$28,2,0)</f>
        <v>42.630422538342089</v>
      </c>
      <c r="O83" s="2">
        <f>-'Target Price'!O83/TargetConsumption!O83/VLOOKUP($A83,DemElas!$A$21:$B$28,2,0)</f>
        <v>40.39875778333785</v>
      </c>
      <c r="P83" s="2">
        <f>-'Target Price'!P83/TargetConsumption!P83/VLOOKUP($A83,DemElas!$A$21:$B$28,2,0)</f>
        <v>38.62477129179603</v>
      </c>
      <c r="Q83" s="2">
        <f>-'Target Price'!Q83/TargetConsumption!Q83/VLOOKUP($A83,DemElas!$A$21:$B$28,2,0)</f>
        <v>42.035969791848409</v>
      </c>
      <c r="R83" s="2">
        <f>-'Target Price'!R83/TargetConsumption!R83/VLOOKUP($A83,DemElas!$A$21:$B$28,2,0)</f>
        <v>40.190090198977494</v>
      </c>
      <c r="S83" s="2">
        <f>-'Target Price'!S83/TargetConsumption!S83/VLOOKUP($A83,DemElas!$A$21:$B$28,2,0)</f>
        <v>37.258921510318416</v>
      </c>
      <c r="T83" s="2">
        <f>-'Target Price'!T83/TargetConsumption!T83/VLOOKUP($A83,DemElas!$A$21:$B$28,2,0)</f>
        <v>35.622811216947397</v>
      </c>
      <c r="U83" s="2">
        <f>-'Target Price'!U83/TargetConsumption!U83/VLOOKUP($A83,DemElas!$A$21:$B$28,2,0)</f>
        <v>39.304986630793607</v>
      </c>
      <c r="V83" s="2">
        <f>-'Target Price'!V83/TargetConsumption!V83/VLOOKUP($A83,DemElas!$A$21:$B$28,2,0)</f>
        <v>37.579029716296155</v>
      </c>
      <c r="W83" s="2">
        <f>-'Target Price'!W83/TargetConsumption!W83/VLOOKUP($A83,DemElas!$A$21:$B$28,2,0)</f>
        <v>37.289158450101489</v>
      </c>
      <c r="X83" s="2">
        <f>-'Target Price'!X83/TargetConsumption!X83/VLOOKUP($A83,DemElas!$A$21:$B$28,2,0)</f>
        <v>35.651720395045118</v>
      </c>
      <c r="Y83" s="2">
        <f>-'Target Price'!Y83/TargetConsumption!Y83/VLOOKUP($A83,DemElas!$A$21:$B$28,2,0)</f>
        <v>38.865699387914084</v>
      </c>
      <c r="Z83" s="2">
        <f>-'Target Price'!Z83/TargetConsumption!Z83/VLOOKUP($A83,DemElas!$A$21:$B$28,2,0)</f>
        <v>37.159032413937943</v>
      </c>
      <c r="AA83" s="2">
        <f>-'Target Price'!AA83/TargetConsumption!AA83/VLOOKUP($A83,DemElas!$A$21:$B$28,2,0)</f>
        <v>37.088404342680597</v>
      </c>
      <c r="AB83" s="2">
        <f>-'Target Price'!AB83/TargetConsumption!AB83/VLOOKUP($A83,DemElas!$A$21:$B$28,2,0)</f>
        <v>35.45978178330347</v>
      </c>
      <c r="AC83" s="2">
        <f>-'Target Price'!AC83/TargetConsumption!AC83/VLOOKUP($A83,DemElas!$A$21:$B$28,2,0)</f>
        <v>36.09444415521471</v>
      </c>
      <c r="AD83" s="2">
        <f>-'Target Price'!AD83/TargetConsumption!AD83/VLOOKUP($A83,DemElas!$A$21:$B$28,2,0)</f>
        <v>34.509468283073652</v>
      </c>
      <c r="AE83" s="2">
        <f>-'Target Price'!AE83/TargetConsumption!AE83/VLOOKUP($A83,DemElas!$A$21:$B$28,2,0)</f>
        <v>34.473126657444105</v>
      </c>
      <c r="AF83" s="2">
        <f>-'Target Price'!AF83/TargetConsumption!AF83/VLOOKUP($A83,DemElas!$A$21:$B$28,2,0)</f>
        <v>32.95934592835598</v>
      </c>
      <c r="AG83" s="2">
        <f>-'Target Price'!AG83/TargetConsumption!AG83/VLOOKUP($A83,DemElas!$A$21:$B$28,2,0)</f>
        <v>32.136134006588634</v>
      </c>
      <c r="AH83" s="2">
        <f>-'Target Price'!AH83/TargetConsumption!AH83/VLOOKUP($A83,DemElas!$A$21:$B$28,2,0)</f>
        <v>30.724975081262009</v>
      </c>
    </row>
    <row r="84" spans="1:34">
      <c r="A84" t="str">
        <f t="shared" si="4"/>
        <v>Milk</v>
      </c>
      <c r="B84" t="str">
        <f t="shared" si="5"/>
        <v>DireDawa</v>
      </c>
      <c r="C84" s="2">
        <f>-'Target Price'!C84/TargetConsumption!C84/VLOOKUP($A84,DemElas!$A$21:$B$28,2,0)</f>
        <v>110.13688896551258</v>
      </c>
      <c r="D84" s="2">
        <f>-'Target Price'!D84/TargetConsumption!D84/VLOOKUP($A84,DemElas!$A$21:$B$28,2,0)</f>
        <v>105.30056814859269</v>
      </c>
      <c r="E84" s="2">
        <f>-'Target Price'!E84/TargetConsumption!E84/VLOOKUP($A84,DemElas!$A$21:$B$28,2,0)</f>
        <v>104.56090099870812</v>
      </c>
      <c r="F84" s="2">
        <f>-'Target Price'!F84/TargetConsumption!F84/VLOOKUP($A84,DemElas!$A$21:$B$28,2,0)</f>
        <v>99.969432446384133</v>
      </c>
      <c r="G84" s="2">
        <f>-'Target Price'!G84/TargetConsumption!G84/VLOOKUP($A84,DemElas!$A$21:$B$28,2,0)</f>
        <v>99.481593988747335</v>
      </c>
      <c r="H84" s="2">
        <f>-'Target Price'!H84/TargetConsumption!H84/VLOOKUP($A84,DemElas!$A$21:$B$28,2,0)</f>
        <v>95.113167493072439</v>
      </c>
      <c r="I84" s="2">
        <f>-'Target Price'!I84/TargetConsumption!I84/VLOOKUP($A84,DemElas!$A$21:$B$28,2,0)</f>
        <v>107.38847200002061</v>
      </c>
      <c r="J84" s="2">
        <f>-'Target Price'!J84/TargetConsumption!J84/VLOOKUP($A84,DemElas!$A$21:$B$28,2,0)</f>
        <v>102.67283941307198</v>
      </c>
      <c r="K84" s="2">
        <f>-'Target Price'!K84/TargetConsumption!K84/VLOOKUP($A84,DemElas!$A$21:$B$28,2,0)</f>
        <v>108.67225399657912</v>
      </c>
      <c r="L84" s="2">
        <f>-'Target Price'!L84/TargetConsumption!L84/VLOOKUP($A84,DemElas!$A$21:$B$28,2,0)</f>
        <v>103.90024809408959</v>
      </c>
      <c r="M84" s="2">
        <f>-'Target Price'!M84/TargetConsumption!M84/VLOOKUP($A84,DemElas!$A$21:$B$28,2,0)</f>
        <v>104.1946664487587</v>
      </c>
      <c r="N84" s="2">
        <f>-'Target Price'!N84/TargetConsumption!N84/VLOOKUP($A84,DemElas!$A$21:$B$28,2,0)</f>
        <v>99.619279953903657</v>
      </c>
      <c r="O84" s="2">
        <f>-'Target Price'!O84/TargetConsumption!O84/VLOOKUP($A84,DemElas!$A$21:$B$28,2,0)</f>
        <v>94.604484717771712</v>
      </c>
      <c r="P84" s="2">
        <f>-'Target Price'!P84/TargetConsumption!P84/VLOOKUP($A84,DemElas!$A$21:$B$28,2,0)</f>
        <v>90.450221390451759</v>
      </c>
      <c r="Q84" s="2">
        <f>-'Target Price'!Q84/TargetConsumption!Q84/VLOOKUP($A84,DemElas!$A$21:$B$28,2,0)</f>
        <v>91.658673873636175</v>
      </c>
      <c r="R84" s="2">
        <f>-'Target Price'!R84/TargetConsumption!R84/VLOOKUP($A84,DemElas!$A$21:$B$28,2,0)</f>
        <v>87.633766717913403</v>
      </c>
      <c r="S84" s="2">
        <f>-'Target Price'!S84/TargetConsumption!S84/VLOOKUP($A84,DemElas!$A$21:$B$28,2,0)</f>
        <v>84.18474434707737</v>
      </c>
      <c r="T84" s="2">
        <f>-'Target Price'!T84/TargetConsumption!T84/VLOOKUP($A84,DemElas!$A$21:$B$28,2,0)</f>
        <v>80.488031689065593</v>
      </c>
      <c r="U84" s="2">
        <f>-'Target Price'!U84/TargetConsumption!U84/VLOOKUP($A84,DemElas!$A$21:$B$28,2,0)</f>
        <v>85.788321953670376</v>
      </c>
      <c r="V84" s="2">
        <f>-'Target Price'!V84/TargetConsumption!V84/VLOOKUP($A84,DemElas!$A$21:$B$28,2,0)</f>
        <v>82.021193145055861</v>
      </c>
      <c r="W84" s="2">
        <f>-'Target Price'!W84/TargetConsumption!W84/VLOOKUP($A84,DemElas!$A$21:$B$28,2,0)</f>
        <v>88.023560767777553</v>
      </c>
      <c r="X84" s="2">
        <f>-'Target Price'!X84/TargetConsumption!X84/VLOOKUP($A84,DemElas!$A$21:$B$28,2,0)</f>
        <v>84.158278360409767</v>
      </c>
      <c r="Y84" s="2">
        <f>-'Target Price'!Y84/TargetConsumption!Y84/VLOOKUP($A84,DemElas!$A$21:$B$28,2,0)</f>
        <v>85.973346003232933</v>
      </c>
      <c r="Z84" s="2">
        <f>-'Target Price'!Z84/TargetConsumption!Z84/VLOOKUP($A84,DemElas!$A$21:$B$28,2,0)</f>
        <v>82.19809243577572</v>
      </c>
      <c r="AA84" s="2">
        <f>-'Target Price'!AA84/TargetConsumption!AA84/VLOOKUP($A84,DemElas!$A$21:$B$28,2,0)</f>
        <v>79.925661373137771</v>
      </c>
      <c r="AB84" s="2">
        <f>-'Target Price'!AB84/TargetConsumption!AB84/VLOOKUP($A84,DemElas!$A$21:$B$28,2,0)</f>
        <v>76.415973170250226</v>
      </c>
      <c r="AC84" s="2">
        <f>-'Target Price'!AC84/TargetConsumption!AC84/VLOOKUP($A84,DemElas!$A$21:$B$28,2,0)</f>
        <v>83.243199735631833</v>
      </c>
      <c r="AD84" s="2">
        <f>-'Target Price'!AD84/TargetConsumption!AD84/VLOOKUP($A84,DemElas!$A$21:$B$28,2,0)</f>
        <v>79.587832096960668</v>
      </c>
      <c r="AE84" s="2">
        <f>-'Target Price'!AE84/TargetConsumption!AE84/VLOOKUP($A84,DemElas!$A$21:$B$28,2,0)</f>
        <v>74.369421856205307</v>
      </c>
      <c r="AF84" s="2">
        <f>-'Target Price'!AF84/TargetConsumption!AF84/VLOOKUP($A84,DemElas!$A$21:$B$28,2,0)</f>
        <v>71.103718725821025</v>
      </c>
      <c r="AG84" s="2">
        <f>-'Target Price'!AG84/TargetConsumption!AG84/VLOOKUP($A84,DemElas!$A$21:$B$28,2,0)</f>
        <v>71.325431106061231</v>
      </c>
      <c r="AH84" s="2">
        <f>-'Target Price'!AH84/TargetConsumption!AH84/VLOOKUP($A84,DemElas!$A$21:$B$28,2,0)</f>
        <v>68.193395414168336</v>
      </c>
    </row>
    <row r="85" spans="1:34">
      <c r="A85" t="str">
        <f t="shared" si="4"/>
        <v>Milk</v>
      </c>
      <c r="B85" t="str">
        <f t="shared" si="5"/>
        <v>Gambela</v>
      </c>
      <c r="C85" s="2">
        <f>-'Target Price'!C85/TargetConsumption!C85/VLOOKUP($A85,DemElas!$A$21:$B$28,2,0)</f>
        <v>124.62659775329242</v>
      </c>
      <c r="D85" s="2">
        <f>-'Target Price'!D85/TargetConsumption!D85/VLOOKUP($A85,DemElas!$A$21:$B$28,2,0)</f>
        <v>119.15400619275829</v>
      </c>
      <c r="E85" s="2">
        <f>-'Target Price'!E85/TargetConsumption!E85/VLOOKUP($A85,DemElas!$A$21:$B$28,2,0)</f>
        <v>110.11728395548617</v>
      </c>
      <c r="F85" s="2">
        <f>-'Target Price'!F85/TargetConsumption!F85/VLOOKUP($A85,DemElas!$A$21:$B$28,2,0)</f>
        <v>105.28182403194178</v>
      </c>
      <c r="G85" s="2">
        <f>-'Target Price'!G85/TargetConsumption!G85/VLOOKUP($A85,DemElas!$A$21:$B$28,2,0)</f>
        <v>109.72134829538903</v>
      </c>
      <c r="H85" s="2">
        <f>-'Target Price'!H85/TargetConsumption!H85/VLOOKUP($A85,DemElas!$A$21:$B$28,2,0)</f>
        <v>104.90327466169788</v>
      </c>
      <c r="I85" s="2">
        <f>-'Target Price'!I85/TargetConsumption!I85/VLOOKUP($A85,DemElas!$A$21:$B$28,2,0)</f>
        <v>109.48812431498125</v>
      </c>
      <c r="J85" s="2">
        <f>-'Target Price'!J85/TargetConsumption!J85/VLOOKUP($A85,DemElas!$A$21:$B$28,2,0)</f>
        <v>104.68029199100971</v>
      </c>
      <c r="K85" s="2">
        <f>-'Target Price'!K85/TargetConsumption!K85/VLOOKUP($A85,DemElas!$A$21:$B$28,2,0)</f>
        <v>117.84384214101266</v>
      </c>
      <c r="L85" s="2">
        <f>-'Target Price'!L85/TargetConsumption!L85/VLOOKUP($A85,DemElas!$A$21:$B$28,2,0)</f>
        <v>112.66909431359886</v>
      </c>
      <c r="M85" s="2">
        <f>-'Target Price'!M85/TargetConsumption!M85/VLOOKUP($A85,DemElas!$A$21:$B$28,2,0)</f>
        <v>110.39246438220671</v>
      </c>
      <c r="N85" s="2">
        <f>-'Target Price'!N85/TargetConsumption!N85/VLOOKUP($A85,DemElas!$A$21:$B$28,2,0)</f>
        <v>105.54492076137743</v>
      </c>
      <c r="O85" s="2">
        <f>-'Target Price'!O85/TargetConsumption!O85/VLOOKUP($A85,DemElas!$A$21:$B$28,2,0)</f>
        <v>96.647899424066196</v>
      </c>
      <c r="P85" s="2">
        <f>-'Target Price'!P85/TargetConsumption!P85/VLOOKUP($A85,DemElas!$A$21:$B$28,2,0)</f>
        <v>92.403905860360624</v>
      </c>
      <c r="Q85" s="2">
        <f>-'Target Price'!Q85/TargetConsumption!Q85/VLOOKUP($A85,DemElas!$A$21:$B$28,2,0)</f>
        <v>101.32696396440218</v>
      </c>
      <c r="R85" s="2">
        <f>-'Target Price'!R85/TargetConsumption!R85/VLOOKUP($A85,DemElas!$A$21:$B$28,2,0)</f>
        <v>96.877503754119871</v>
      </c>
      <c r="S85" s="2">
        <f>-'Target Price'!S85/TargetConsumption!S85/VLOOKUP($A85,DemElas!$A$21:$B$28,2,0)</f>
        <v>97.668334119240328</v>
      </c>
      <c r="T85" s="2">
        <f>-'Target Price'!T85/TargetConsumption!T85/VLOOKUP($A85,DemElas!$A$21:$B$28,2,0)</f>
        <v>93.379531322180398</v>
      </c>
      <c r="U85" s="2">
        <f>-'Target Price'!U85/TargetConsumption!U85/VLOOKUP($A85,DemElas!$A$21:$B$28,2,0)</f>
        <v>97.6455369275496</v>
      </c>
      <c r="V85" s="2">
        <f>-'Target Price'!V85/TargetConsumption!V85/VLOOKUP($A85,DemElas!$A$21:$B$28,2,0)</f>
        <v>93.357735198649266</v>
      </c>
      <c r="W85" s="2">
        <f>-'Target Price'!W85/TargetConsumption!W85/VLOOKUP($A85,DemElas!$A$21:$B$28,2,0)</f>
        <v>97.524935626848176</v>
      </c>
      <c r="X85" s="2">
        <f>-'Target Price'!X85/TargetConsumption!X85/VLOOKUP($A85,DemElas!$A$21:$B$28,2,0)</f>
        <v>93.242429731038897</v>
      </c>
      <c r="Y85" s="2">
        <f>-'Target Price'!Y85/TargetConsumption!Y85/VLOOKUP($A85,DemElas!$A$21:$B$28,2,0)</f>
        <v>90.697039031298786</v>
      </c>
      <c r="Z85" s="2">
        <f>-'Target Price'!Z85/TargetConsumption!Z85/VLOOKUP($A85,DemElas!$A$21:$B$28,2,0)</f>
        <v>86.714359095265536</v>
      </c>
      <c r="AA85" s="2">
        <f>-'Target Price'!AA85/TargetConsumption!AA85/VLOOKUP($A85,DemElas!$A$21:$B$28,2,0)</f>
        <v>92.568375342913143</v>
      </c>
      <c r="AB85" s="2">
        <f>-'Target Price'!AB85/TargetConsumption!AB85/VLOOKUP($A85,DemElas!$A$21:$B$28,2,0)</f>
        <v>88.503521460944768</v>
      </c>
      <c r="AC85" s="2">
        <f>-'Target Price'!AC85/TargetConsumption!AC85/VLOOKUP($A85,DemElas!$A$21:$B$28,2,0)</f>
        <v>87.106694565732354</v>
      </c>
      <c r="AD85" s="2">
        <f>-'Target Price'!AD85/TargetConsumption!AD85/VLOOKUP($A85,DemElas!$A$21:$B$28,2,0)</f>
        <v>83.281673501688601</v>
      </c>
      <c r="AE85" s="2">
        <f>-'Target Price'!AE85/TargetConsumption!AE85/VLOOKUP($A85,DemElas!$A$21:$B$28,2,0)</f>
        <v>89.083856519973068</v>
      </c>
      <c r="AF85" s="2">
        <f>-'Target Price'!AF85/TargetConsumption!AF85/VLOOKUP($A85,DemElas!$A$21:$B$28,2,0)</f>
        <v>85.172014504225189</v>
      </c>
      <c r="AG85" s="2">
        <f>-'Target Price'!AG85/TargetConsumption!AG85/VLOOKUP($A85,DemElas!$A$21:$B$28,2,0)</f>
        <v>78.003077305082002</v>
      </c>
      <c r="AH85" s="2">
        <f>-'Target Price'!AH85/TargetConsumption!AH85/VLOOKUP($A85,DemElas!$A$21:$B$28,2,0)</f>
        <v>74.577813434840408</v>
      </c>
    </row>
    <row r="86" spans="1:34">
      <c r="A86" t="str">
        <f t="shared" si="4"/>
        <v>Milk</v>
      </c>
      <c r="B86" t="str">
        <f t="shared" si="5"/>
        <v>Harari</v>
      </c>
      <c r="C86" s="2">
        <f>-'Target Price'!C86/TargetConsumption!C86/VLOOKUP($A86,DemElas!$A$21:$B$28,2,0)</f>
        <v>197.30997681544446</v>
      </c>
      <c r="D86" s="2">
        <f>-'Target Price'!D86/TargetConsumption!D86/VLOOKUP($A86,DemElas!$A$21:$B$28,2,0)</f>
        <v>188.64571947876482</v>
      </c>
      <c r="E86" s="2">
        <f>-'Target Price'!E86/TargetConsumption!E86/VLOOKUP($A86,DemElas!$A$21:$B$28,2,0)</f>
        <v>192.06963923317801</v>
      </c>
      <c r="F86" s="2">
        <f>-'Target Price'!F86/TargetConsumption!F86/VLOOKUP($A86,DemElas!$A$21:$B$28,2,0)</f>
        <v>183.63549511265012</v>
      </c>
      <c r="G86" s="2">
        <f>-'Target Price'!G86/TargetConsumption!G86/VLOOKUP($A86,DemElas!$A$21:$B$28,2,0)</f>
        <v>193.24635448043909</v>
      </c>
      <c r="H86" s="2">
        <f>-'Target Price'!H86/TargetConsumption!H86/VLOOKUP($A86,DemElas!$A$21:$B$28,2,0)</f>
        <v>184.7605385494999</v>
      </c>
      <c r="I86" s="2">
        <f>-'Target Price'!I86/TargetConsumption!I86/VLOOKUP($A86,DemElas!$A$21:$B$28,2,0)</f>
        <v>189.70280918054107</v>
      </c>
      <c r="J86" s="2">
        <f>-'Target Price'!J86/TargetConsumption!J86/VLOOKUP($A86,DemElas!$A$21:$B$28,2,0)</f>
        <v>181.37259708098449</v>
      </c>
      <c r="K86" s="2">
        <f>-'Target Price'!K86/TargetConsumption!K86/VLOOKUP($A86,DemElas!$A$21:$B$28,2,0)</f>
        <v>180.84512898538776</v>
      </c>
      <c r="L86" s="2">
        <f>-'Target Price'!L86/TargetConsumption!L86/VLOOKUP($A86,DemElas!$A$21:$B$28,2,0)</f>
        <v>172.90387451410459</v>
      </c>
      <c r="M86" s="2">
        <f>-'Target Price'!M86/TargetConsumption!M86/VLOOKUP($A86,DemElas!$A$21:$B$28,2,0)</f>
        <v>187.34159066186484</v>
      </c>
      <c r="N86" s="2">
        <f>-'Target Price'!N86/TargetConsumption!N86/VLOOKUP($A86,DemElas!$A$21:$B$28,2,0)</f>
        <v>179.11506417012259</v>
      </c>
      <c r="O86" s="2">
        <f>-'Target Price'!O86/TargetConsumption!O86/VLOOKUP($A86,DemElas!$A$21:$B$28,2,0)</f>
        <v>182.46025727781765</v>
      </c>
      <c r="P86" s="2">
        <f>-'Target Price'!P86/TargetConsumption!P86/VLOOKUP($A86,DemElas!$A$21:$B$28,2,0)</f>
        <v>174.4480794432904</v>
      </c>
      <c r="Q86" s="2">
        <f>-'Target Price'!Q86/TargetConsumption!Q86/VLOOKUP($A86,DemElas!$A$21:$B$28,2,0)</f>
        <v>189.79452370929053</v>
      </c>
      <c r="R86" s="2">
        <f>-'Target Price'!R86/TargetConsumption!R86/VLOOKUP($A86,DemElas!$A$21:$B$28,2,0)</f>
        <v>181.46028424988413</v>
      </c>
      <c r="S86" s="2">
        <f>-'Target Price'!S86/TargetConsumption!S86/VLOOKUP($A86,DemElas!$A$21:$B$28,2,0)</f>
        <v>170.00837698240971</v>
      </c>
      <c r="T86" s="2">
        <f>-'Target Price'!T86/TargetConsumption!T86/VLOOKUP($A86,DemElas!$A$21:$B$28,2,0)</f>
        <v>162.54298495641692</v>
      </c>
      <c r="U86" s="2">
        <f>-'Target Price'!U86/TargetConsumption!U86/VLOOKUP($A86,DemElas!$A$21:$B$28,2,0)</f>
        <v>165.18595812852223</v>
      </c>
      <c r="V86" s="2">
        <f>-'Target Price'!V86/TargetConsumption!V86/VLOOKUP($A86,DemElas!$A$21:$B$28,2,0)</f>
        <v>157.93232771037967</v>
      </c>
      <c r="W86" s="2">
        <f>-'Target Price'!W86/TargetConsumption!W86/VLOOKUP($A86,DemElas!$A$21:$B$28,2,0)</f>
        <v>167.32397591235303</v>
      </c>
      <c r="X86" s="2">
        <f>-'Target Price'!X86/TargetConsumption!X86/VLOOKUP($A86,DemElas!$A$21:$B$28,2,0)</f>
        <v>159.97646105628957</v>
      </c>
      <c r="Y86" s="2">
        <f>-'Target Price'!Y86/TargetConsumption!Y86/VLOOKUP($A86,DemElas!$A$21:$B$28,2,0)</f>
        <v>155.19901107763326</v>
      </c>
      <c r="Z86" s="2">
        <f>-'Target Price'!Z86/TargetConsumption!Z86/VLOOKUP($A86,DemElas!$A$21:$B$28,2,0)</f>
        <v>148.38392654882318</v>
      </c>
      <c r="AA86" s="2">
        <f>-'Target Price'!AA86/TargetConsumption!AA86/VLOOKUP($A86,DemElas!$A$21:$B$28,2,0)</f>
        <v>164.35599019501956</v>
      </c>
      <c r="AB86" s="2">
        <f>-'Target Price'!AB86/TargetConsumption!AB86/VLOOKUP($A86,DemElas!$A$21:$B$28,2,0)</f>
        <v>157.13880525152112</v>
      </c>
      <c r="AC86" s="2">
        <f>-'Target Price'!AC86/TargetConsumption!AC86/VLOOKUP($A86,DemElas!$A$21:$B$28,2,0)</f>
        <v>161.56793999367508</v>
      </c>
      <c r="AD86" s="2">
        <f>-'Target Price'!AD86/TargetConsumption!AD86/VLOOKUP($A86,DemElas!$A$21:$B$28,2,0)</f>
        <v>154.47318365111167</v>
      </c>
      <c r="AE86" s="2">
        <f>-'Target Price'!AE86/TargetConsumption!AE86/VLOOKUP($A86,DemElas!$A$21:$B$28,2,0)</f>
        <v>145.681037638334</v>
      </c>
      <c r="AF86" s="2">
        <f>-'Target Price'!AF86/TargetConsumption!AF86/VLOOKUP($A86,DemElas!$A$21:$B$28,2,0)</f>
        <v>139.28390547327544</v>
      </c>
      <c r="AG86" s="2">
        <f>-'Target Price'!AG86/TargetConsumption!AG86/VLOOKUP($A86,DemElas!$A$21:$B$28,2,0)</f>
        <v>146.02386587986871</v>
      </c>
      <c r="AH86" s="2">
        <f>-'Target Price'!AH86/TargetConsumption!AH86/VLOOKUP($A86,DemElas!$A$21:$B$28,2,0)</f>
        <v>139.61167947297764</v>
      </c>
    </row>
    <row r="87" spans="1:34">
      <c r="A87" t="str">
        <f t="shared" si="4"/>
        <v>Milk</v>
      </c>
      <c r="B87" t="str">
        <f t="shared" si="5"/>
        <v>Oromia</v>
      </c>
      <c r="C87" s="2">
        <f>-'Target Price'!C87/TargetConsumption!C87/VLOOKUP($A87,DemElas!$A$21:$B$28,2,0)</f>
        <v>1.4465296245592658</v>
      </c>
      <c r="D87" s="2">
        <f>-'Target Price'!D87/TargetConsumption!D87/VLOOKUP($A87,DemElas!$A$21:$B$28,2,0)</f>
        <v>1.3830097503258658</v>
      </c>
      <c r="E87" s="2">
        <f>-'Target Price'!E87/TargetConsumption!E87/VLOOKUP($A87,DemElas!$A$21:$B$28,2,0)</f>
        <v>1.4905044681277801</v>
      </c>
      <c r="F87" s="2">
        <f>-'Target Price'!F87/TargetConsumption!F87/VLOOKUP($A87,DemElas!$A$21:$B$28,2,0)</f>
        <v>1.425053574656695</v>
      </c>
      <c r="G87" s="2">
        <f>-'Target Price'!G87/TargetConsumption!G87/VLOOKUP($A87,DemElas!$A$21:$B$28,2,0)</f>
        <v>1.3745653827827182</v>
      </c>
      <c r="H87" s="2">
        <f>-'Target Price'!H87/TargetConsumption!H87/VLOOKUP($A87,DemElas!$A$21:$B$28,2,0)</f>
        <v>1.3142055956359144</v>
      </c>
      <c r="I87" s="2">
        <f>-'Target Price'!I87/TargetConsumption!I87/VLOOKUP($A87,DemElas!$A$21:$B$28,2,0)</f>
        <v>1.323789796827247</v>
      </c>
      <c r="J87" s="2">
        <f>-'Target Price'!J87/TargetConsumption!J87/VLOOKUP($A87,DemElas!$A$21:$B$28,2,0)</f>
        <v>1.2656596624848242</v>
      </c>
      <c r="K87" s="2">
        <f>-'Target Price'!K87/TargetConsumption!K87/VLOOKUP($A87,DemElas!$A$21:$B$28,2,0)</f>
        <v>1.2840249230942276</v>
      </c>
      <c r="L87" s="2">
        <f>-'Target Price'!L87/TargetConsumption!L87/VLOOKUP($A87,DemElas!$A$21:$B$28,2,0)</f>
        <v>1.2276409401859301</v>
      </c>
      <c r="M87" s="2">
        <f>-'Target Price'!M87/TargetConsumption!M87/VLOOKUP($A87,DemElas!$A$21:$B$28,2,0)</f>
        <v>1.3091687322965877</v>
      </c>
      <c r="N87" s="2">
        <f>-'Target Price'!N87/TargetConsumption!N87/VLOOKUP($A87,DemElas!$A$21:$B$28,2,0)</f>
        <v>1.2516806367789342</v>
      </c>
      <c r="O87" s="2">
        <f>-'Target Price'!O87/TargetConsumption!O87/VLOOKUP($A87,DemElas!$A$21:$B$28,2,0)</f>
        <v>1.1992212611602415</v>
      </c>
      <c r="P87" s="2">
        <f>-'Target Price'!P87/TargetConsumption!P87/VLOOKUP($A87,DemElas!$A$21:$B$28,2,0)</f>
        <v>1.1465611687614243</v>
      </c>
      <c r="Q87" s="2">
        <f>-'Target Price'!Q87/TargetConsumption!Q87/VLOOKUP($A87,DemElas!$A$21:$B$28,2,0)</f>
        <v>1.1386427737696598</v>
      </c>
      <c r="R87" s="2">
        <f>-'Target Price'!R87/TargetConsumption!R87/VLOOKUP($A87,DemElas!$A$21:$B$28,2,0)</f>
        <v>1.0886427982706064</v>
      </c>
      <c r="S87" s="2">
        <f>-'Target Price'!S87/TargetConsumption!S87/VLOOKUP($A87,DemElas!$A$21:$B$28,2,0)</f>
        <v>1.2576636198104707</v>
      </c>
      <c r="T87" s="2">
        <f>-'Target Price'!T87/TargetConsumption!T87/VLOOKUP($A87,DemElas!$A$21:$B$28,2,0)</f>
        <v>1.2024372119983091</v>
      </c>
      <c r="U87" s="2">
        <f>-'Target Price'!U87/TargetConsumption!U87/VLOOKUP($A87,DemElas!$A$21:$B$28,2,0)</f>
        <v>1.0947094650337936</v>
      </c>
      <c r="V87" s="2">
        <f>-'Target Price'!V87/TargetConsumption!V87/VLOOKUP($A87,DemElas!$A$21:$B$28,2,0)</f>
        <v>1.0466386848987201</v>
      </c>
      <c r="W87" s="2">
        <f>-'Target Price'!W87/TargetConsumption!W87/VLOOKUP($A87,DemElas!$A$21:$B$28,2,0)</f>
        <v>1.0407550946203323</v>
      </c>
      <c r="X87" s="2">
        <f>-'Target Price'!X87/TargetConsumption!X87/VLOOKUP($A87,DemElas!$A$21:$B$28,2,0)</f>
        <v>0.99505355377688365</v>
      </c>
      <c r="Y87" s="2">
        <f>-'Target Price'!Y87/TargetConsumption!Y87/VLOOKUP($A87,DemElas!$A$21:$B$28,2,0)</f>
        <v>1.0236319866903736</v>
      </c>
      <c r="Z87" s="2">
        <f>-'Target Price'!Z87/TargetConsumption!Z87/VLOOKUP($A87,DemElas!$A$21:$B$28,2,0)</f>
        <v>0.97868235416855887</v>
      </c>
      <c r="AA87" s="2">
        <f>-'Target Price'!AA87/TargetConsumption!AA87/VLOOKUP($A87,DemElas!$A$21:$B$28,2,0)</f>
        <v>1.0152036508102225</v>
      </c>
      <c r="AB87" s="2">
        <f>-'Target Price'!AB87/TargetConsumption!AB87/VLOOKUP($A87,DemElas!$A$21:$B$28,2,0)</f>
        <v>0.97062412258908326</v>
      </c>
      <c r="AC87" s="2">
        <f>-'Target Price'!AC87/TargetConsumption!AC87/VLOOKUP($A87,DemElas!$A$21:$B$28,2,0)</f>
        <v>1.0198298627941473</v>
      </c>
      <c r="AD87" s="2">
        <f>-'Target Price'!AD87/TargetConsumption!AD87/VLOOKUP($A87,DemElas!$A$21:$B$28,2,0)</f>
        <v>0.97504718878296914</v>
      </c>
      <c r="AE87" s="2">
        <f>-'Target Price'!AE87/TargetConsumption!AE87/VLOOKUP($A87,DemElas!$A$21:$B$28,2,0)</f>
        <v>1.0215504625096279</v>
      </c>
      <c r="AF87" s="2">
        <f>-'Target Price'!AF87/TargetConsumption!AF87/VLOOKUP($A87,DemElas!$A$21:$B$28,2,0)</f>
        <v>0.9766922336838938</v>
      </c>
      <c r="AG87" s="2">
        <f>-'Target Price'!AG87/TargetConsumption!AG87/VLOOKUP($A87,DemElas!$A$21:$B$28,2,0)</f>
        <v>0.97612417054270939</v>
      </c>
      <c r="AH87" s="2">
        <f>-'Target Price'!AH87/TargetConsumption!AH87/VLOOKUP($A87,DemElas!$A$21:$B$28,2,0)</f>
        <v>0.93326069682163304</v>
      </c>
    </row>
    <row r="88" spans="1:34">
      <c r="A88" t="str">
        <f t="shared" si="4"/>
        <v>Milk</v>
      </c>
      <c r="B88" t="str">
        <f t="shared" si="5"/>
        <v>Somali</v>
      </c>
      <c r="C88" s="2">
        <f>-'Target Price'!C88/TargetConsumption!C88/VLOOKUP($A88,DemElas!$A$21:$B$28,2,0)</f>
        <v>8.7022579938218616</v>
      </c>
      <c r="D88" s="2">
        <f>-'Target Price'!D88/TargetConsumption!D88/VLOOKUP($A88,DemElas!$A$21:$B$28,2,0)</f>
        <v>8.3201252507869015</v>
      </c>
      <c r="E88" s="2">
        <f>-'Target Price'!E88/TargetConsumption!E88/VLOOKUP($A88,DemElas!$A$21:$B$28,2,0)</f>
        <v>8.2704344141287418</v>
      </c>
      <c r="F88" s="2">
        <f>-'Target Price'!F88/TargetConsumption!F88/VLOOKUP($A88,DemElas!$A$21:$B$28,2,0)</f>
        <v>7.9072638679319427</v>
      </c>
      <c r="G88" s="2">
        <f>-'Target Price'!G88/TargetConsumption!G88/VLOOKUP($A88,DemElas!$A$21:$B$28,2,0)</f>
        <v>8.022651186375084</v>
      </c>
      <c r="H88" s="2">
        <f>-'Target Price'!H88/TargetConsumption!H88/VLOOKUP($A88,DemElas!$A$21:$B$28,2,0)</f>
        <v>7.6703612742122083</v>
      </c>
      <c r="I88" s="2">
        <f>-'Target Price'!I88/TargetConsumption!I88/VLOOKUP($A88,DemElas!$A$21:$B$28,2,0)</f>
        <v>8.3359469298471502</v>
      </c>
      <c r="J88" s="2">
        <f>-'Target Price'!J88/TargetConsumption!J88/VLOOKUP($A88,DemElas!$A$21:$B$28,2,0)</f>
        <v>7.9698996041579067</v>
      </c>
      <c r="K88" s="2">
        <f>-'Target Price'!K88/TargetConsumption!K88/VLOOKUP($A88,DemElas!$A$21:$B$28,2,0)</f>
        <v>7.5183982363217918</v>
      </c>
      <c r="L88" s="2">
        <f>-'Target Price'!L88/TargetConsumption!L88/VLOOKUP($A88,DemElas!$A$21:$B$28,2,0)</f>
        <v>7.188251032766745</v>
      </c>
      <c r="M88" s="2">
        <f>-'Target Price'!M88/TargetConsumption!M88/VLOOKUP($A88,DemElas!$A$21:$B$28,2,0)</f>
        <v>7.6536206625271781</v>
      </c>
      <c r="N88" s="2">
        <f>-'Target Price'!N88/TargetConsumption!N88/VLOOKUP($A88,DemElas!$A$21:$B$28,2,0)</f>
        <v>7.3175355843788488</v>
      </c>
      <c r="O88" s="2">
        <f>-'Target Price'!O88/TargetConsumption!O88/VLOOKUP($A88,DemElas!$A$21:$B$28,2,0)</f>
        <v>7.6766598738809861</v>
      </c>
      <c r="P88" s="2">
        <f>-'Target Price'!P88/TargetConsumption!P88/VLOOKUP($A88,DemElas!$A$21:$B$28,2,0)</f>
        <v>7.3395631000281334</v>
      </c>
      <c r="Q88" s="2">
        <f>-'Target Price'!Q88/TargetConsumption!Q88/VLOOKUP($A88,DemElas!$A$21:$B$28,2,0)</f>
        <v>7.0750941306765114</v>
      </c>
      <c r="R88" s="2">
        <f>-'Target Price'!R88/TargetConsumption!R88/VLOOKUP($A88,DemElas!$A$21:$B$28,2,0)</f>
        <v>6.7644132557466499</v>
      </c>
      <c r="S88" s="2">
        <f>-'Target Price'!S88/TargetConsumption!S88/VLOOKUP($A88,DemElas!$A$21:$B$28,2,0)</f>
        <v>7.6311913018410795</v>
      </c>
      <c r="T88" s="2">
        <f>-'Target Price'!T88/TargetConsumption!T88/VLOOKUP($A88,DemElas!$A$21:$B$28,2,0)</f>
        <v>7.2960911396915149</v>
      </c>
      <c r="U88" s="2">
        <f>-'Target Price'!U88/TargetConsumption!U88/VLOOKUP($A88,DemElas!$A$21:$B$28,2,0)</f>
        <v>6.9662008875931054</v>
      </c>
      <c r="V88" s="2">
        <f>-'Target Price'!V88/TargetConsumption!V88/VLOOKUP($A88,DemElas!$A$21:$B$28,2,0)</f>
        <v>6.6603017226179455</v>
      </c>
      <c r="W88" s="2">
        <f>-'Target Price'!W88/TargetConsumption!W88/VLOOKUP($A88,DemElas!$A$21:$B$28,2,0)</f>
        <v>7.3036234508574847</v>
      </c>
      <c r="X88" s="2">
        <f>-'Target Price'!X88/TargetConsumption!X88/VLOOKUP($A88,DemElas!$A$21:$B$28,2,0)</f>
        <v>6.9829074176909147</v>
      </c>
      <c r="Y88" s="2">
        <f>-'Target Price'!Y88/TargetConsumption!Y88/VLOOKUP($A88,DemElas!$A$21:$B$28,2,0)</f>
        <v>7.0824721463646867</v>
      </c>
      <c r="Z88" s="2">
        <f>-'Target Price'!Z88/TargetConsumption!Z88/VLOOKUP($A88,DemElas!$A$21:$B$28,2,0)</f>
        <v>6.771467288696658</v>
      </c>
      <c r="AA88" s="2">
        <f>-'Target Price'!AA88/TargetConsumption!AA88/VLOOKUP($A88,DemElas!$A$21:$B$28,2,0)</f>
        <v>6.1356567043638774</v>
      </c>
      <c r="AB88" s="2">
        <f>-'Target Price'!AB88/TargetConsumption!AB88/VLOOKUP($A88,DemElas!$A$21:$B$28,2,0)</f>
        <v>5.8662283182571953</v>
      </c>
      <c r="AC88" s="2">
        <f>-'Target Price'!AC88/TargetConsumption!AC88/VLOOKUP($A88,DemElas!$A$21:$B$28,2,0)</f>
        <v>6.7538410548205041</v>
      </c>
      <c r="AD88" s="2">
        <f>-'Target Price'!AD88/TargetConsumption!AD88/VLOOKUP($A88,DemElas!$A$21:$B$28,2,0)</f>
        <v>6.4572670150560034</v>
      </c>
      <c r="AE88" s="2">
        <f>-'Target Price'!AE88/TargetConsumption!AE88/VLOOKUP($A88,DemElas!$A$21:$B$28,2,0)</f>
        <v>6.1198412590381084</v>
      </c>
      <c r="AF88" s="2">
        <f>-'Target Price'!AF88/TargetConsumption!AF88/VLOOKUP($A88,DemElas!$A$21:$B$28,2,0)</f>
        <v>5.8511073592944998</v>
      </c>
      <c r="AG88" s="2">
        <f>-'Target Price'!AG88/TargetConsumption!AG88/VLOOKUP($A88,DemElas!$A$21:$B$28,2,0)</f>
        <v>6.4918190185201121</v>
      </c>
      <c r="AH88" s="2">
        <f>-'Target Price'!AH88/TargetConsumption!AH88/VLOOKUP($A88,DemElas!$A$21:$B$28,2,0)</f>
        <v>6.2067508660251178</v>
      </c>
    </row>
    <row r="89" spans="1:34">
      <c r="A89" t="str">
        <f t="shared" si="4"/>
        <v>Milk</v>
      </c>
      <c r="B89" t="str">
        <f t="shared" si="5"/>
        <v>SNNPR</v>
      </c>
      <c r="C89" s="2">
        <f>-'Target Price'!C89/TargetConsumption!C89/VLOOKUP($A89,DemElas!$A$21:$B$28,2,0)</f>
        <v>2.878224399166502</v>
      </c>
      <c r="D89" s="2">
        <f>-'Target Price'!D89/TargetConsumption!D89/VLOOKUP($A89,DemElas!$A$21:$B$28,2,0)</f>
        <v>2.7518360772499957</v>
      </c>
      <c r="E89" s="2">
        <f>-'Target Price'!E89/TargetConsumption!E89/VLOOKUP($A89,DemElas!$A$21:$B$28,2,0)</f>
        <v>2.7744342549955849</v>
      </c>
      <c r="F89" s="2">
        <f>-'Target Price'!F89/TargetConsumption!F89/VLOOKUP($A89,DemElas!$A$21:$B$28,2,0)</f>
        <v>2.6526035562293209</v>
      </c>
      <c r="G89" s="2">
        <f>-'Target Price'!G89/TargetConsumption!G89/VLOOKUP($A89,DemElas!$A$21:$B$28,2,0)</f>
        <v>2.3787683856700945</v>
      </c>
      <c r="H89" s="2">
        <f>-'Target Price'!H89/TargetConsumption!H89/VLOOKUP($A89,DemElas!$A$21:$B$28,2,0)</f>
        <v>2.2743121297298194</v>
      </c>
      <c r="I89" s="2">
        <f>-'Target Price'!I89/TargetConsumption!I89/VLOOKUP($A89,DemElas!$A$21:$B$28,2,0)</f>
        <v>2.6956177160754575</v>
      </c>
      <c r="J89" s="2">
        <f>-'Target Price'!J89/TargetConsumption!J89/VLOOKUP($A89,DemElas!$A$21:$B$28,2,0)</f>
        <v>2.5772480018301591</v>
      </c>
      <c r="K89" s="2">
        <f>-'Target Price'!K89/TargetConsumption!K89/VLOOKUP($A89,DemElas!$A$21:$B$28,2,0)</f>
        <v>2.2726791598438219</v>
      </c>
      <c r="L89" s="2">
        <f>-'Target Price'!L89/TargetConsumption!L89/VLOOKUP($A89,DemElas!$A$21:$B$28,2,0)</f>
        <v>2.1728814841134447</v>
      </c>
      <c r="M89" s="2">
        <f>-'Target Price'!M89/TargetConsumption!M89/VLOOKUP($A89,DemElas!$A$21:$B$28,2,0)</f>
        <v>2.3523674955928366</v>
      </c>
      <c r="N89" s="2">
        <f>-'Target Price'!N89/TargetConsumption!N89/VLOOKUP($A89,DemElas!$A$21:$B$28,2,0)</f>
        <v>2.2490705530802884</v>
      </c>
      <c r="O89" s="2">
        <f>-'Target Price'!O89/TargetConsumption!O89/VLOOKUP($A89,DemElas!$A$21:$B$28,2,0)</f>
        <v>2.1482526744710917</v>
      </c>
      <c r="P89" s="2">
        <f>-'Target Price'!P89/TargetConsumption!P89/VLOOKUP($A89,DemElas!$A$21:$B$28,2,0)</f>
        <v>2.0539188029850193</v>
      </c>
      <c r="Q89" s="2">
        <f>-'Target Price'!Q89/TargetConsumption!Q89/VLOOKUP($A89,DemElas!$A$21:$B$28,2,0)</f>
        <v>2.2241641406690165</v>
      </c>
      <c r="R89" s="2">
        <f>-'Target Price'!R89/TargetConsumption!R89/VLOOKUP($A89,DemElas!$A$21:$B$28,2,0)</f>
        <v>2.1264968519449567</v>
      </c>
      <c r="S89" s="2">
        <f>-'Target Price'!S89/TargetConsumption!S89/VLOOKUP($A89,DemElas!$A$21:$B$28,2,0)</f>
        <v>2.1904861502068154</v>
      </c>
      <c r="T89" s="2">
        <f>-'Target Price'!T89/TargetConsumption!T89/VLOOKUP($A89,DemElas!$A$21:$B$28,2,0)</f>
        <v>2.0942977262652476</v>
      </c>
      <c r="U89" s="2">
        <f>-'Target Price'!U89/TargetConsumption!U89/VLOOKUP($A89,DemElas!$A$21:$B$28,2,0)</f>
        <v>2.2604173800994736</v>
      </c>
      <c r="V89" s="2">
        <f>-'Target Price'!V89/TargetConsumption!V89/VLOOKUP($A89,DemElas!$A$21:$B$28,2,0)</f>
        <v>2.1611581424999269</v>
      </c>
      <c r="W89" s="2">
        <f>-'Target Price'!W89/TargetConsumption!W89/VLOOKUP($A89,DemElas!$A$21:$B$28,2,0)</f>
        <v>1.9746870542723731</v>
      </c>
      <c r="X89" s="2">
        <f>-'Target Price'!X89/TargetConsumption!X89/VLOOKUP($A89,DemElas!$A$21:$B$28,2,0)</f>
        <v>1.8879747801453064</v>
      </c>
      <c r="Y89" s="2">
        <f>-'Target Price'!Y89/TargetConsumption!Y89/VLOOKUP($A89,DemElas!$A$21:$B$28,2,0)</f>
        <v>2.0192842506218356</v>
      </c>
      <c r="Z89" s="2">
        <f>-'Target Price'!Z89/TargetConsumption!Z89/VLOOKUP($A89,DemElas!$A$21:$B$28,2,0)</f>
        <v>1.9306136285596942</v>
      </c>
      <c r="AA89" s="2">
        <f>-'Target Price'!AA89/TargetConsumption!AA89/VLOOKUP($A89,DemElas!$A$21:$B$28,2,0)</f>
        <v>2.0307205673505897</v>
      </c>
      <c r="AB89" s="2">
        <f>-'Target Price'!AB89/TargetConsumption!AB89/VLOOKUP($A89,DemElas!$A$21:$B$28,2,0)</f>
        <v>1.941547754812726</v>
      </c>
      <c r="AC89" s="2">
        <f>-'Target Price'!AC89/TargetConsumption!AC89/VLOOKUP($A89,DemElas!$A$21:$B$28,2,0)</f>
        <v>1.78796423699941</v>
      </c>
      <c r="AD89" s="2">
        <f>-'Target Price'!AD89/TargetConsumption!AD89/VLOOKUP($A89,DemElas!$A$21:$B$28,2,0)</f>
        <v>1.7094513178446269</v>
      </c>
      <c r="AE89" s="2">
        <f>-'Target Price'!AE89/TargetConsumption!AE89/VLOOKUP($A89,DemElas!$A$21:$B$28,2,0)</f>
        <v>1.7413259005735635</v>
      </c>
      <c r="AF89" s="2">
        <f>-'Target Price'!AF89/TargetConsumption!AF89/VLOOKUP($A89,DemElas!$A$21:$B$28,2,0)</f>
        <v>1.664860959706904</v>
      </c>
      <c r="AG89" s="2">
        <f>-'Target Price'!AG89/TargetConsumption!AG89/VLOOKUP($A89,DemElas!$A$21:$B$28,2,0)</f>
        <v>1.7472012724447668</v>
      </c>
      <c r="AH89" s="2">
        <f>-'Target Price'!AH89/TargetConsumption!AH89/VLOOKUP($A89,DemElas!$A$21:$B$28,2,0)</f>
        <v>1.6704783327953669</v>
      </c>
    </row>
    <row r="90" spans="1:34">
      <c r="A90" t="str">
        <f t="shared" si="4"/>
        <v>Milk</v>
      </c>
      <c r="B90" t="str">
        <f t="shared" si="5"/>
        <v>Tigray</v>
      </c>
      <c r="C90" s="2">
        <f>-'Target Price'!C90/TargetConsumption!C90/VLOOKUP($A90,DemElas!$A$21:$B$28,2,0)</f>
        <v>10.701126506216498</v>
      </c>
      <c r="D90" s="2">
        <f>-'Target Price'!D90/TargetConsumption!D90/VLOOKUP($A90,DemElas!$A$21:$B$28,2,0)</f>
        <v>10.231219635116172</v>
      </c>
      <c r="E90" s="2">
        <f>-'Target Price'!E90/TargetConsumption!E90/VLOOKUP($A90,DemElas!$A$21:$B$28,2,0)</f>
        <v>8.894733733719578</v>
      </c>
      <c r="F90" s="2">
        <f>-'Target Price'!F90/TargetConsumption!F90/VLOOKUP($A90,DemElas!$A$21:$B$28,2,0)</f>
        <v>8.5041490139095082</v>
      </c>
      <c r="G90" s="2">
        <f>-'Target Price'!G90/TargetConsumption!G90/VLOOKUP($A90,DemElas!$A$21:$B$28,2,0)</f>
        <v>9.2955322335920147</v>
      </c>
      <c r="H90" s="2">
        <f>-'Target Price'!H90/TargetConsumption!H90/VLOOKUP($A90,DemElas!$A$21:$B$28,2,0)</f>
        <v>8.8873476873611139</v>
      </c>
      <c r="I90" s="2">
        <f>-'Target Price'!I90/TargetConsumption!I90/VLOOKUP($A90,DemElas!$A$21:$B$28,2,0)</f>
        <v>8.6212673542493601</v>
      </c>
      <c r="J90" s="2">
        <f>-'Target Price'!J90/TargetConsumption!J90/VLOOKUP($A90,DemElas!$A$21:$B$28,2,0)</f>
        <v>8.2426910646408533</v>
      </c>
      <c r="K90" s="2">
        <f>-'Target Price'!K90/TargetConsumption!K90/VLOOKUP($A90,DemElas!$A$21:$B$28,2,0)</f>
        <v>8.9983896296616166</v>
      </c>
      <c r="L90" s="2">
        <f>-'Target Price'!L90/TargetConsumption!L90/VLOOKUP($A90,DemElas!$A$21:$B$28,2,0)</f>
        <v>8.6032531817970348</v>
      </c>
      <c r="M90" s="2">
        <f>-'Target Price'!M90/TargetConsumption!M90/VLOOKUP($A90,DemElas!$A$21:$B$28,2,0)</f>
        <v>8.5595277544063073</v>
      </c>
      <c r="N90" s="2">
        <f>-'Target Price'!N90/TargetConsumption!N90/VLOOKUP($A90,DemElas!$A$21:$B$28,2,0)</f>
        <v>8.1836625683595035</v>
      </c>
      <c r="O90" s="2">
        <f>-'Target Price'!O90/TargetConsumption!O90/VLOOKUP($A90,DemElas!$A$21:$B$28,2,0)</f>
        <v>8.7540898212483373</v>
      </c>
      <c r="P90" s="2">
        <f>-'Target Price'!P90/TargetConsumption!P90/VLOOKUP($A90,DemElas!$A$21:$B$28,2,0)</f>
        <v>8.3696810438318359</v>
      </c>
      <c r="Q90" s="2">
        <f>-'Target Price'!Q90/TargetConsumption!Q90/VLOOKUP($A90,DemElas!$A$21:$B$28,2,0)</f>
        <v>8.1569154804835708</v>
      </c>
      <c r="R90" s="2">
        <f>-'Target Price'!R90/TargetConsumption!R90/VLOOKUP($A90,DemElas!$A$21:$B$28,2,0)</f>
        <v>7.798729767134871</v>
      </c>
      <c r="S90" s="2">
        <f>-'Target Price'!S90/TargetConsumption!S90/VLOOKUP($A90,DemElas!$A$21:$B$28,2,0)</f>
        <v>7.9073820060281106</v>
      </c>
      <c r="T90" s="2">
        <f>-'Target Price'!T90/TargetConsumption!T90/VLOOKUP($A90,DemElas!$A$21:$B$28,2,0)</f>
        <v>7.5601537833835932</v>
      </c>
      <c r="U90" s="2">
        <f>-'Target Price'!U90/TargetConsumption!U90/VLOOKUP($A90,DemElas!$A$21:$B$28,2,0)</f>
        <v>7.8091592256561295</v>
      </c>
      <c r="V90" s="2">
        <f>-'Target Price'!V90/TargetConsumption!V90/VLOOKUP($A90,DemElas!$A$21:$B$28,2,0)</f>
        <v>7.4662441526009138</v>
      </c>
      <c r="W90" s="2">
        <f>-'Target Price'!W90/TargetConsumption!W90/VLOOKUP($A90,DemElas!$A$21:$B$28,2,0)</f>
        <v>6.9903306151010627</v>
      </c>
      <c r="X90" s="2">
        <f>-'Target Price'!X90/TargetConsumption!X90/VLOOKUP($A90,DemElas!$A$21:$B$28,2,0)</f>
        <v>6.6833718677775202</v>
      </c>
      <c r="Y90" s="2">
        <f>-'Target Price'!Y90/TargetConsumption!Y90/VLOOKUP($A90,DemElas!$A$21:$B$28,2,0)</f>
        <v>7.4905659610420425</v>
      </c>
      <c r="Z90" s="2">
        <f>-'Target Price'!Z90/TargetConsumption!Z90/VLOOKUP($A90,DemElas!$A$21:$B$28,2,0)</f>
        <v>7.1616409257685012</v>
      </c>
      <c r="AA90" s="2">
        <f>-'Target Price'!AA90/TargetConsumption!AA90/VLOOKUP($A90,DemElas!$A$21:$B$28,2,0)</f>
        <v>6.96258707518089</v>
      </c>
      <c r="AB90" s="2">
        <f>-'Target Price'!AB90/TargetConsumption!AB90/VLOOKUP($A90,DemElas!$A$21:$B$28,2,0)</f>
        <v>6.6568465996000059</v>
      </c>
      <c r="AC90" s="2">
        <f>-'Target Price'!AC90/TargetConsumption!AC90/VLOOKUP($A90,DemElas!$A$21:$B$28,2,0)</f>
        <v>7.4104079435677184</v>
      </c>
      <c r="AD90" s="2">
        <f>-'Target Price'!AD90/TargetConsumption!AD90/VLOOKUP($A90,DemElas!$A$21:$B$28,2,0)</f>
        <v>7.0850027996965528</v>
      </c>
      <c r="AE90" s="2">
        <f>-'Target Price'!AE90/TargetConsumption!AE90/VLOOKUP($A90,DemElas!$A$21:$B$28,2,0)</f>
        <v>6.4875678837062223</v>
      </c>
      <c r="AF90" s="2">
        <f>-'Target Price'!AF90/TargetConsumption!AF90/VLOOKUP($A90,DemElas!$A$21:$B$28,2,0)</f>
        <v>6.2026864066474836</v>
      </c>
      <c r="AG90" s="2">
        <f>-'Target Price'!AG90/TargetConsumption!AG90/VLOOKUP($A90,DemElas!$A$21:$B$28,2,0)</f>
        <v>6.3605043477789662</v>
      </c>
      <c r="AH90" s="2">
        <f>-'Target Price'!AH90/TargetConsumption!AH90/VLOOKUP($A90,DemElas!$A$21:$B$28,2,0)</f>
        <v>6.0812024728830307</v>
      </c>
    </row>
  </sheetData>
  <pageMargins left="0.75" right="0.75" top="1" bottom="1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49"/>
  <sheetViews>
    <sheetView topLeftCell="A16" zoomScale="85" zoomScaleNormal="85" workbookViewId="0">
      <selection activeCell="A21" sqref="A21:B28"/>
    </sheetView>
  </sheetViews>
  <sheetFormatPr defaultRowHeight="15.75"/>
  <cols>
    <col min="1" max="1" width="10" bestFit="1" customWidth="1"/>
    <col min="6" max="6" width="10" bestFit="1" customWidth="1"/>
  </cols>
  <sheetData>
    <row r="1" spans="1:9">
      <c r="B1" t="s">
        <v>16</v>
      </c>
      <c r="C1" t="s">
        <v>20</v>
      </c>
      <c r="D1" t="s">
        <v>17</v>
      </c>
      <c r="E1" t="s">
        <v>24</v>
      </c>
      <c r="F1" t="s">
        <v>21</v>
      </c>
      <c r="G1" t="s">
        <v>18</v>
      </c>
      <c r="H1" t="s">
        <v>22</v>
      </c>
      <c r="I1" t="s">
        <v>23</v>
      </c>
    </row>
    <row r="2" spans="1:9">
      <c r="A2" t="s">
        <v>16</v>
      </c>
      <c r="B2">
        <v>0</v>
      </c>
      <c r="C2">
        <v>0.03</v>
      </c>
      <c r="D2">
        <v>0.03</v>
      </c>
      <c r="E2">
        <v>0.03</v>
      </c>
      <c r="F2">
        <v>0</v>
      </c>
      <c r="G2">
        <v>0</v>
      </c>
      <c r="H2">
        <v>0.03</v>
      </c>
      <c r="I2">
        <v>0.01</v>
      </c>
    </row>
    <row r="3" spans="1:9">
      <c r="A3" t="s">
        <v>20</v>
      </c>
      <c r="B3">
        <v>0.01</v>
      </c>
      <c r="C3">
        <v>0</v>
      </c>
      <c r="D3">
        <v>0.03</v>
      </c>
      <c r="E3">
        <v>0.03</v>
      </c>
      <c r="F3">
        <v>0</v>
      </c>
      <c r="G3">
        <v>0</v>
      </c>
      <c r="H3">
        <v>0.03</v>
      </c>
      <c r="I3">
        <v>0.01</v>
      </c>
    </row>
    <row r="4" spans="1:9">
      <c r="A4" t="s">
        <v>17</v>
      </c>
      <c r="B4">
        <v>0.03</v>
      </c>
      <c r="C4">
        <v>0.03</v>
      </c>
      <c r="D4">
        <v>0</v>
      </c>
      <c r="E4">
        <v>0.03</v>
      </c>
      <c r="F4">
        <v>0</v>
      </c>
      <c r="G4">
        <v>0</v>
      </c>
      <c r="H4">
        <v>0.03</v>
      </c>
      <c r="I4">
        <v>0.01</v>
      </c>
    </row>
    <row r="5" spans="1:9">
      <c r="A5" t="s">
        <v>24</v>
      </c>
      <c r="B5">
        <v>0.03</v>
      </c>
      <c r="C5">
        <v>0.03</v>
      </c>
      <c r="D5">
        <v>0.03</v>
      </c>
      <c r="E5">
        <v>0</v>
      </c>
      <c r="F5">
        <v>0</v>
      </c>
      <c r="G5">
        <v>0</v>
      </c>
      <c r="H5">
        <v>0.03</v>
      </c>
      <c r="I5">
        <v>0.01</v>
      </c>
    </row>
    <row r="6" spans="1:9">
      <c r="A6" t="s">
        <v>21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1:9">
      <c r="A7" t="s">
        <v>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>
      <c r="A8" t="s">
        <v>22</v>
      </c>
      <c r="B8">
        <v>0.03</v>
      </c>
      <c r="C8">
        <v>0.03</v>
      </c>
      <c r="D8">
        <v>0.03</v>
      </c>
      <c r="E8">
        <v>0.03</v>
      </c>
      <c r="F8">
        <v>0</v>
      </c>
      <c r="G8">
        <v>0</v>
      </c>
      <c r="H8">
        <v>0</v>
      </c>
      <c r="I8">
        <v>0.01</v>
      </c>
    </row>
    <row r="9" spans="1:9">
      <c r="A9" t="s">
        <v>23</v>
      </c>
      <c r="B9">
        <v>0.01</v>
      </c>
      <c r="C9">
        <v>0.01</v>
      </c>
      <c r="D9">
        <v>0.01</v>
      </c>
      <c r="E9">
        <v>0.01</v>
      </c>
      <c r="F9">
        <v>0</v>
      </c>
      <c r="G9">
        <v>0</v>
      </c>
      <c r="H9">
        <v>0.01</v>
      </c>
      <c r="I9">
        <v>0</v>
      </c>
    </row>
    <row r="21" spans="1:12">
      <c r="A21" t="s">
        <v>16</v>
      </c>
      <c r="B21">
        <v>-0.9</v>
      </c>
    </row>
    <row r="22" spans="1:12">
      <c r="A22" t="s">
        <v>20</v>
      </c>
      <c r="B22">
        <v>-0.75</v>
      </c>
    </row>
    <row r="23" spans="1:12">
      <c r="A23" t="s">
        <v>17</v>
      </c>
      <c r="B23">
        <v>-0.8</v>
      </c>
    </row>
    <row r="24" spans="1:12">
      <c r="A24" t="s">
        <v>24</v>
      </c>
      <c r="B24">
        <v>-0.9</v>
      </c>
    </row>
    <row r="25" spans="1:12">
      <c r="A25" t="s">
        <v>21</v>
      </c>
      <c r="B25">
        <v>-0.95</v>
      </c>
    </row>
    <row r="26" spans="1:12">
      <c r="A26" t="s">
        <v>18</v>
      </c>
      <c r="B26">
        <v>-0.95</v>
      </c>
    </row>
    <row r="27" spans="1:12">
      <c r="A27" t="s">
        <v>22</v>
      </c>
      <c r="B27">
        <v>-0.9</v>
      </c>
    </row>
    <row r="28" spans="1:12">
      <c r="A28" t="s">
        <v>23</v>
      </c>
      <c r="B28">
        <v>-0.9</v>
      </c>
    </row>
    <row r="29" spans="1:12">
      <c r="L29" t="s">
        <v>86</v>
      </c>
    </row>
    <row r="41" spans="1:9">
      <c r="B41" t="s">
        <v>16</v>
      </c>
      <c r="C41" t="s">
        <v>20</v>
      </c>
      <c r="D41" t="s">
        <v>17</v>
      </c>
      <c r="E41" t="s">
        <v>24</v>
      </c>
      <c r="F41" t="s">
        <v>21</v>
      </c>
      <c r="G41" t="s">
        <v>18</v>
      </c>
      <c r="H41" t="s">
        <v>22</v>
      </c>
      <c r="I41" t="s">
        <v>23</v>
      </c>
    </row>
    <row r="42" spans="1:9">
      <c r="A42" t="s">
        <v>16</v>
      </c>
      <c r="B42">
        <v>0</v>
      </c>
      <c r="C42">
        <v>0.03</v>
      </c>
      <c r="D42">
        <v>0.03</v>
      </c>
      <c r="E42">
        <v>0.03</v>
      </c>
      <c r="F42">
        <v>0</v>
      </c>
      <c r="G42">
        <v>0</v>
      </c>
      <c r="H42">
        <v>0.03</v>
      </c>
      <c r="I42">
        <v>0.01</v>
      </c>
    </row>
    <row r="43" spans="1:9">
      <c r="A43" t="s">
        <v>20</v>
      </c>
      <c r="B43">
        <v>0.01</v>
      </c>
      <c r="C43">
        <v>0</v>
      </c>
      <c r="D43">
        <v>0.03</v>
      </c>
      <c r="E43">
        <v>0.03</v>
      </c>
      <c r="F43">
        <v>0</v>
      </c>
      <c r="G43">
        <v>0</v>
      </c>
      <c r="H43">
        <v>0.03</v>
      </c>
      <c r="I43">
        <v>0.01</v>
      </c>
    </row>
    <row r="44" spans="1:9">
      <c r="A44" t="s">
        <v>17</v>
      </c>
      <c r="B44">
        <v>0.03</v>
      </c>
      <c r="C44">
        <v>0.03</v>
      </c>
      <c r="D44">
        <v>0</v>
      </c>
      <c r="E44">
        <v>0.03</v>
      </c>
      <c r="F44">
        <v>0</v>
      </c>
      <c r="G44">
        <v>0</v>
      </c>
      <c r="H44">
        <v>0.03</v>
      </c>
      <c r="I44">
        <v>0.01</v>
      </c>
    </row>
    <row r="45" spans="1:9">
      <c r="A45" t="s">
        <v>24</v>
      </c>
      <c r="B45">
        <v>0.03</v>
      </c>
      <c r="C45">
        <v>0.03</v>
      </c>
      <c r="D45">
        <v>0.03</v>
      </c>
      <c r="E45">
        <v>0</v>
      </c>
      <c r="F45">
        <v>0</v>
      </c>
      <c r="G45">
        <v>0</v>
      </c>
      <c r="H45">
        <v>0.03</v>
      </c>
      <c r="I45">
        <v>0.01</v>
      </c>
    </row>
    <row r="46" spans="1:9">
      <c r="A46" t="s">
        <v>21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</row>
    <row r="47" spans="1:9">
      <c r="A47" t="s">
        <v>18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</row>
    <row r="48" spans="1:9">
      <c r="A48" t="s">
        <v>22</v>
      </c>
      <c r="B48">
        <v>0.03</v>
      </c>
      <c r="C48">
        <v>0.03</v>
      </c>
      <c r="D48">
        <v>0.03</v>
      </c>
      <c r="E48">
        <v>0.03</v>
      </c>
      <c r="F48">
        <v>0</v>
      </c>
      <c r="G48">
        <v>0</v>
      </c>
      <c r="H48">
        <v>0</v>
      </c>
      <c r="I48">
        <v>0.01</v>
      </c>
    </row>
    <row r="49" spans="1:9">
      <c r="A49" t="s">
        <v>23</v>
      </c>
      <c r="B49">
        <v>0.01</v>
      </c>
      <c r="C49">
        <v>0.01</v>
      </c>
      <c r="D49">
        <v>0.01</v>
      </c>
      <c r="E49">
        <v>0.01</v>
      </c>
      <c r="F49">
        <v>0</v>
      </c>
      <c r="G49">
        <v>0</v>
      </c>
      <c r="H49">
        <v>0.01</v>
      </c>
      <c r="I49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H90"/>
  <sheetViews>
    <sheetView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5.75"/>
  <cols>
    <col min="2" max="2" width="10.75" bestFit="1" customWidth="1"/>
  </cols>
  <sheetData>
    <row r="1" spans="1:34">
      <c r="C1" t="str">
        <f t="array" ref="C1:D1">TRANSPOSE(Seasons)</f>
        <v>Kremt</v>
      </c>
      <c r="D1" t="str">
        <v>Belg</v>
      </c>
      <c r="E1" t="str">
        <f>C1</f>
        <v>Kremt</v>
      </c>
      <c r="F1" t="str">
        <f t="shared" ref="F1:AH1" si="0">D1</f>
        <v>Belg</v>
      </c>
      <c r="G1" t="str">
        <f t="shared" si="0"/>
        <v>Kremt</v>
      </c>
      <c r="H1" t="str">
        <f t="shared" si="0"/>
        <v>Belg</v>
      </c>
      <c r="I1" t="str">
        <f t="shared" si="0"/>
        <v>Kremt</v>
      </c>
      <c r="J1" t="str">
        <f t="shared" si="0"/>
        <v>Belg</v>
      </c>
      <c r="K1" t="str">
        <f t="shared" si="0"/>
        <v>Kremt</v>
      </c>
      <c r="L1" t="str">
        <f t="shared" si="0"/>
        <v>Belg</v>
      </c>
      <c r="M1" t="str">
        <f t="shared" si="0"/>
        <v>Kremt</v>
      </c>
      <c r="N1" t="str">
        <f t="shared" si="0"/>
        <v>Belg</v>
      </c>
      <c r="O1" t="str">
        <f t="shared" si="0"/>
        <v>Kremt</v>
      </c>
      <c r="P1" t="str">
        <f t="shared" si="0"/>
        <v>Belg</v>
      </c>
      <c r="Q1" t="str">
        <f t="shared" si="0"/>
        <v>Kremt</v>
      </c>
      <c r="R1" t="str">
        <f t="shared" si="0"/>
        <v>Belg</v>
      </c>
      <c r="S1" t="str">
        <f t="shared" si="0"/>
        <v>Kremt</v>
      </c>
      <c r="T1" t="str">
        <f t="shared" si="0"/>
        <v>Belg</v>
      </c>
      <c r="U1" t="str">
        <f t="shared" si="0"/>
        <v>Kremt</v>
      </c>
      <c r="V1" t="str">
        <f t="shared" si="0"/>
        <v>Belg</v>
      </c>
      <c r="W1" t="str">
        <f t="shared" si="0"/>
        <v>Kremt</v>
      </c>
      <c r="X1" t="str">
        <f t="shared" si="0"/>
        <v>Belg</v>
      </c>
      <c r="Y1" t="str">
        <f t="shared" si="0"/>
        <v>Kremt</v>
      </c>
      <c r="Z1" t="str">
        <f t="shared" si="0"/>
        <v>Belg</v>
      </c>
      <c r="AA1" t="str">
        <f t="shared" si="0"/>
        <v>Kremt</v>
      </c>
      <c r="AB1" t="str">
        <f t="shared" si="0"/>
        <v>Belg</v>
      </c>
      <c r="AC1" t="str">
        <f t="shared" si="0"/>
        <v>Kremt</v>
      </c>
      <c r="AD1" t="str">
        <f t="shared" si="0"/>
        <v>Belg</v>
      </c>
      <c r="AE1" t="str">
        <f t="shared" si="0"/>
        <v>Kremt</v>
      </c>
      <c r="AF1" t="str">
        <f t="shared" si="0"/>
        <v>Belg</v>
      </c>
      <c r="AG1" t="str">
        <f t="shared" si="0"/>
        <v>Kremt</v>
      </c>
      <c r="AH1" t="str">
        <f t="shared" si="0"/>
        <v>Belg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CYF!A3</f>
        <v>Teff</v>
      </c>
      <c r="B3" t="str">
        <f>CYF!B3</f>
        <v>AddisAbaba</v>
      </c>
      <c r="C3" s="2">
        <f>VLOOKUP($B3,Elec!$R$41:$S$51,2,0)/SUM(Elec!$S$41:$S$51)/2*VLOOKUP($A3,'Basic Feasibility'!$AB$14:$AC$19,2,0)</f>
        <v>2.9722907601156079</v>
      </c>
      <c r="D3" s="2">
        <f>VLOOKUP($B3,Elec!$R$41:$S$51,2,0)/SUM(Elec!$S$41:$S$51)/2*VLOOKUP($A3,'Basic Feasibility'!$AB$14:$AC$19,2,0)</f>
        <v>2.9722907601156079</v>
      </c>
      <c r="E3" s="2">
        <f>C3*1.01</f>
        <v>3.0020136677167639</v>
      </c>
      <c r="F3" s="2">
        <f t="shared" ref="F3:AH11" si="2">D3*1.01</f>
        <v>3.0020136677167639</v>
      </c>
      <c r="G3" s="2">
        <f t="shared" si="2"/>
        <v>3.0320338043939317</v>
      </c>
      <c r="H3" s="2">
        <f t="shared" si="2"/>
        <v>3.0320338043939317</v>
      </c>
      <c r="I3" s="2">
        <f t="shared" si="2"/>
        <v>3.0623541424378709</v>
      </c>
      <c r="J3" s="2">
        <f t="shared" si="2"/>
        <v>3.0623541424378709</v>
      </c>
      <c r="K3" s="2">
        <f t="shared" si="2"/>
        <v>3.0929776838622498</v>
      </c>
      <c r="L3" s="2">
        <f t="shared" si="2"/>
        <v>3.0929776838622498</v>
      </c>
      <c r="M3" s="2">
        <f t="shared" si="2"/>
        <v>3.1239074607008726</v>
      </c>
      <c r="N3" s="2">
        <f t="shared" si="2"/>
        <v>3.1239074607008726</v>
      </c>
      <c r="O3" s="2">
        <f t="shared" si="2"/>
        <v>3.1551465353078814</v>
      </c>
      <c r="P3" s="2">
        <f t="shared" si="2"/>
        <v>3.1551465353078814</v>
      </c>
      <c r="Q3" s="2">
        <f t="shared" si="2"/>
        <v>3.18669800066096</v>
      </c>
      <c r="R3" s="2">
        <f t="shared" si="2"/>
        <v>3.18669800066096</v>
      </c>
      <c r="S3" s="2">
        <f t="shared" si="2"/>
        <v>3.2185649806675696</v>
      </c>
      <c r="T3" s="2">
        <f t="shared" si="2"/>
        <v>3.2185649806675696</v>
      </c>
      <c r="U3" s="2">
        <f t="shared" si="2"/>
        <v>3.2507506304742453</v>
      </c>
      <c r="V3" s="2">
        <f t="shared" si="2"/>
        <v>3.2507506304742453</v>
      </c>
      <c r="W3" s="2">
        <f t="shared" si="2"/>
        <v>3.2832581367789877</v>
      </c>
      <c r="X3" s="2">
        <f t="shared" si="2"/>
        <v>3.2832581367789877</v>
      </c>
      <c r="Y3" s="2">
        <f t="shared" si="2"/>
        <v>3.3160907181467776</v>
      </c>
      <c r="Z3" s="2">
        <f t="shared" si="2"/>
        <v>3.3160907181467776</v>
      </c>
      <c r="AA3" s="2">
        <f t="shared" si="2"/>
        <v>3.3492516253282454</v>
      </c>
      <c r="AB3" s="2">
        <f t="shared" si="2"/>
        <v>3.3492516253282454</v>
      </c>
      <c r="AC3" s="2">
        <f t="shared" si="2"/>
        <v>3.382744141581528</v>
      </c>
      <c r="AD3" s="2">
        <f t="shared" si="2"/>
        <v>3.382744141581528</v>
      </c>
      <c r="AE3" s="2">
        <f t="shared" si="2"/>
        <v>3.4165715829973435</v>
      </c>
      <c r="AF3" s="2">
        <f t="shared" si="2"/>
        <v>3.4165715829973435</v>
      </c>
      <c r="AG3" s="2">
        <f t="shared" si="2"/>
        <v>3.4507372988273168</v>
      </c>
      <c r="AH3" s="2">
        <f t="shared" si="2"/>
        <v>3.4507372988273168</v>
      </c>
    </row>
    <row r="4" spans="1:34">
      <c r="A4" t="str">
        <f>CYF!A4</f>
        <v>Teff</v>
      </c>
      <c r="B4" t="str">
        <f>CYF!B4</f>
        <v>Afar</v>
      </c>
      <c r="C4" s="2">
        <f>VLOOKUP($B4,Elec!$R$41:$S$51,2,0)/SUM(Elec!$S$41:$S$51)/2*VLOOKUP($A4,'Basic Feasibility'!$AB$14:$AC$19,2,0)</f>
        <v>1.564698130057804</v>
      </c>
      <c r="D4" s="2">
        <f>VLOOKUP($B4,Elec!$R$41:$S$51,2,0)/SUM(Elec!$S$41:$S$51)/2*VLOOKUP($A4,'Basic Feasibility'!$AB$14:$AC$19,2,0)</f>
        <v>1.564698130057804</v>
      </c>
      <c r="E4" s="2">
        <f t="shared" ref="E4:E67" si="3">C4*1.01</f>
        <v>1.580345111358382</v>
      </c>
      <c r="F4" s="2">
        <f t="shared" si="2"/>
        <v>1.580345111358382</v>
      </c>
      <c r="G4" s="2">
        <f t="shared" si="2"/>
        <v>1.5961485624719658</v>
      </c>
      <c r="H4" s="2">
        <f t="shared" si="2"/>
        <v>1.5961485624719658</v>
      </c>
      <c r="I4" s="2">
        <f t="shared" si="2"/>
        <v>1.6121100480966855</v>
      </c>
      <c r="J4" s="2">
        <f t="shared" si="2"/>
        <v>1.6121100480966855</v>
      </c>
      <c r="K4" s="2">
        <f t="shared" si="2"/>
        <v>1.6282311485776524</v>
      </c>
      <c r="L4" s="2">
        <f t="shared" si="2"/>
        <v>1.6282311485776524</v>
      </c>
      <c r="M4" s="2">
        <f t="shared" si="2"/>
        <v>1.644513460063429</v>
      </c>
      <c r="N4" s="2">
        <f t="shared" si="2"/>
        <v>1.644513460063429</v>
      </c>
      <c r="O4" s="2">
        <f t="shared" si="2"/>
        <v>1.6609585946640633</v>
      </c>
      <c r="P4" s="2">
        <f t="shared" si="2"/>
        <v>1.6609585946640633</v>
      </c>
      <c r="Q4" s="2">
        <f t="shared" si="2"/>
        <v>1.6775681806107039</v>
      </c>
      <c r="R4" s="2">
        <f t="shared" si="2"/>
        <v>1.6775681806107039</v>
      </c>
      <c r="S4" s="2">
        <f t="shared" si="2"/>
        <v>1.694343862416811</v>
      </c>
      <c r="T4" s="2">
        <f t="shared" si="2"/>
        <v>1.694343862416811</v>
      </c>
      <c r="U4" s="2">
        <f t="shared" si="2"/>
        <v>1.711287301040979</v>
      </c>
      <c r="V4" s="2">
        <f t="shared" si="2"/>
        <v>1.711287301040979</v>
      </c>
      <c r="W4" s="2">
        <f t="shared" si="2"/>
        <v>1.7284001740513888</v>
      </c>
      <c r="X4" s="2">
        <f t="shared" si="2"/>
        <v>1.7284001740513888</v>
      </c>
      <c r="Y4" s="2">
        <f t="shared" si="2"/>
        <v>1.7456841757919026</v>
      </c>
      <c r="Z4" s="2">
        <f t="shared" si="2"/>
        <v>1.7456841757919026</v>
      </c>
      <c r="AA4" s="2">
        <f t="shared" si="2"/>
        <v>1.7631410175498217</v>
      </c>
      <c r="AB4" s="2">
        <f t="shared" si="2"/>
        <v>1.7631410175498217</v>
      </c>
      <c r="AC4" s="2">
        <f t="shared" si="2"/>
        <v>1.7807724277253199</v>
      </c>
      <c r="AD4" s="2">
        <f t="shared" si="2"/>
        <v>1.7807724277253199</v>
      </c>
      <c r="AE4" s="2">
        <f t="shared" si="2"/>
        <v>1.798580152002573</v>
      </c>
      <c r="AF4" s="2">
        <f t="shared" si="2"/>
        <v>1.798580152002573</v>
      </c>
      <c r="AG4" s="2">
        <f t="shared" si="2"/>
        <v>1.8165659535225989</v>
      </c>
      <c r="AH4" s="2">
        <f t="shared" si="2"/>
        <v>1.8165659535225989</v>
      </c>
    </row>
    <row r="5" spans="1:34">
      <c r="A5" t="str">
        <f>CYF!A5</f>
        <v>Teff</v>
      </c>
      <c r="B5" t="str">
        <f>CYF!B5</f>
        <v>Amhara</v>
      </c>
      <c r="C5" s="2">
        <f>VLOOKUP($B5,Elec!$R$41:$S$51,2,0)/SUM(Elec!$S$41:$S$51)/2*VLOOKUP($A5,'Basic Feasibility'!$AB$14:$AC$19,2,0)</f>
        <v>18.526643384393068</v>
      </c>
      <c r="D5" s="2">
        <f>VLOOKUP($B5,Elec!$R$41:$S$51,2,0)/SUM(Elec!$S$41:$S$51)/2*VLOOKUP($A5,'Basic Feasibility'!$AB$14:$AC$19,2,0)</f>
        <v>18.526643384393068</v>
      </c>
      <c r="E5" s="2">
        <f t="shared" si="3"/>
        <v>18.711909818237</v>
      </c>
      <c r="F5" s="2">
        <f t="shared" si="2"/>
        <v>18.711909818237</v>
      </c>
      <c r="G5" s="2">
        <f t="shared" si="2"/>
        <v>18.899028916419372</v>
      </c>
      <c r="H5" s="2">
        <f t="shared" si="2"/>
        <v>18.899028916419372</v>
      </c>
      <c r="I5" s="2">
        <f t="shared" si="2"/>
        <v>19.088019205583567</v>
      </c>
      <c r="J5" s="2">
        <f t="shared" si="2"/>
        <v>19.088019205583567</v>
      </c>
      <c r="K5" s="2">
        <f t="shared" si="2"/>
        <v>19.278899397639403</v>
      </c>
      <c r="L5" s="2">
        <f t="shared" si="2"/>
        <v>19.278899397639403</v>
      </c>
      <c r="M5" s="2">
        <f t="shared" si="2"/>
        <v>19.471688391615796</v>
      </c>
      <c r="N5" s="2">
        <f t="shared" si="2"/>
        <v>19.471688391615796</v>
      </c>
      <c r="O5" s="2">
        <f t="shared" si="2"/>
        <v>19.666405275531954</v>
      </c>
      <c r="P5" s="2">
        <f t="shared" si="2"/>
        <v>19.666405275531954</v>
      </c>
      <c r="Q5" s="2">
        <f t="shared" si="2"/>
        <v>19.863069328287274</v>
      </c>
      <c r="R5" s="2">
        <f t="shared" si="2"/>
        <v>19.863069328287274</v>
      </c>
      <c r="S5" s="2">
        <f t="shared" si="2"/>
        <v>20.061700021570147</v>
      </c>
      <c r="T5" s="2">
        <f t="shared" si="2"/>
        <v>20.061700021570147</v>
      </c>
      <c r="U5" s="2">
        <f t="shared" si="2"/>
        <v>20.262317021785847</v>
      </c>
      <c r="V5" s="2">
        <f t="shared" si="2"/>
        <v>20.262317021785847</v>
      </c>
      <c r="W5" s="2">
        <f t="shared" si="2"/>
        <v>20.464940192003706</v>
      </c>
      <c r="X5" s="2">
        <f t="shared" si="2"/>
        <v>20.464940192003706</v>
      </c>
      <c r="Y5" s="2">
        <f t="shared" si="2"/>
        <v>20.669589593923742</v>
      </c>
      <c r="Z5" s="2">
        <f t="shared" si="2"/>
        <v>20.669589593923742</v>
      </c>
      <c r="AA5" s="2">
        <f t="shared" si="2"/>
        <v>20.87628548986298</v>
      </c>
      <c r="AB5" s="2">
        <f t="shared" si="2"/>
        <v>20.87628548986298</v>
      </c>
      <c r="AC5" s="2">
        <f t="shared" si="2"/>
        <v>21.08504834476161</v>
      </c>
      <c r="AD5" s="2">
        <f t="shared" si="2"/>
        <v>21.08504834476161</v>
      </c>
      <c r="AE5" s="2">
        <f t="shared" si="2"/>
        <v>21.295898828209225</v>
      </c>
      <c r="AF5" s="2">
        <f t="shared" si="2"/>
        <v>21.295898828209225</v>
      </c>
      <c r="AG5" s="2">
        <f t="shared" si="2"/>
        <v>21.508857816491318</v>
      </c>
      <c r="AH5" s="2">
        <f t="shared" si="2"/>
        <v>21.508857816491318</v>
      </c>
    </row>
    <row r="6" spans="1:34">
      <c r="A6" t="str">
        <f>CYF!A6</f>
        <v>Teff</v>
      </c>
      <c r="B6" t="str">
        <f>CYF!B6</f>
        <v>Gumuz</v>
      </c>
      <c r="C6" s="2">
        <f>VLOOKUP($B6,Elec!$R$41:$S$51,2,0)/SUM(Elec!$S$41:$S$51)/2*VLOOKUP($A6,'Basic Feasibility'!$AB$14:$AC$19,2,0)</f>
        <v>0.91266489884393076</v>
      </c>
      <c r="D6" s="2">
        <f>VLOOKUP($B6,Elec!$R$41:$S$51,2,0)/SUM(Elec!$S$41:$S$51)/2*VLOOKUP($A6,'Basic Feasibility'!$AB$14:$AC$19,2,0)</f>
        <v>0.91266489884393076</v>
      </c>
      <c r="E6" s="2">
        <f t="shared" si="3"/>
        <v>0.92179154783237005</v>
      </c>
      <c r="F6" s="2">
        <f t="shared" si="2"/>
        <v>0.92179154783237005</v>
      </c>
      <c r="G6" s="2">
        <f t="shared" si="2"/>
        <v>0.93100946331069379</v>
      </c>
      <c r="H6" s="2">
        <f t="shared" si="2"/>
        <v>0.93100946331069379</v>
      </c>
      <c r="I6" s="2">
        <f t="shared" si="2"/>
        <v>0.94031955794380073</v>
      </c>
      <c r="J6" s="2">
        <f t="shared" si="2"/>
        <v>0.94031955794380073</v>
      </c>
      <c r="K6" s="2">
        <f t="shared" si="2"/>
        <v>0.94972275352323876</v>
      </c>
      <c r="L6" s="2">
        <f t="shared" si="2"/>
        <v>0.94972275352323876</v>
      </c>
      <c r="M6" s="2">
        <f t="shared" si="2"/>
        <v>0.95921998105847117</v>
      </c>
      <c r="N6" s="2">
        <f t="shared" si="2"/>
        <v>0.95921998105847117</v>
      </c>
      <c r="O6" s="2">
        <f t="shared" si="2"/>
        <v>0.96881218086905585</v>
      </c>
      <c r="P6" s="2">
        <f t="shared" si="2"/>
        <v>0.96881218086905585</v>
      </c>
      <c r="Q6" s="2">
        <f t="shared" si="2"/>
        <v>0.97850030267774646</v>
      </c>
      <c r="R6" s="2">
        <f t="shared" si="2"/>
        <v>0.97850030267774646</v>
      </c>
      <c r="S6" s="2">
        <f t="shared" si="2"/>
        <v>0.98828530570452389</v>
      </c>
      <c r="T6" s="2">
        <f t="shared" si="2"/>
        <v>0.98828530570452389</v>
      </c>
      <c r="U6" s="2">
        <f t="shared" si="2"/>
        <v>0.99816815876156917</v>
      </c>
      <c r="V6" s="2">
        <f t="shared" si="2"/>
        <v>0.99816815876156917</v>
      </c>
      <c r="W6" s="2">
        <f t="shared" si="2"/>
        <v>1.0081498403491849</v>
      </c>
      <c r="X6" s="2">
        <f t="shared" si="2"/>
        <v>1.0081498403491849</v>
      </c>
      <c r="Y6" s="2">
        <f t="shared" si="2"/>
        <v>1.0182313387526767</v>
      </c>
      <c r="Z6" s="2">
        <f t="shared" si="2"/>
        <v>1.0182313387526767</v>
      </c>
      <c r="AA6" s="2">
        <f t="shared" si="2"/>
        <v>1.0284136521402034</v>
      </c>
      <c r="AB6" s="2">
        <f t="shared" si="2"/>
        <v>1.0284136521402034</v>
      </c>
      <c r="AC6" s="2">
        <f t="shared" si="2"/>
        <v>1.0386977886616056</v>
      </c>
      <c r="AD6" s="2">
        <f t="shared" si="2"/>
        <v>1.0386977886616056</v>
      </c>
      <c r="AE6" s="2">
        <f t="shared" si="2"/>
        <v>1.0490847665482217</v>
      </c>
      <c r="AF6" s="2">
        <f t="shared" si="2"/>
        <v>1.0490847665482217</v>
      </c>
      <c r="AG6" s="2">
        <f t="shared" si="2"/>
        <v>1.0595756142137038</v>
      </c>
      <c r="AH6" s="2">
        <f t="shared" si="2"/>
        <v>1.0595756142137038</v>
      </c>
    </row>
    <row r="7" spans="1:34">
      <c r="A7" t="str">
        <f>CYF!A7</f>
        <v>Teff</v>
      </c>
      <c r="B7" t="str">
        <f>CYF!B7</f>
        <v>DireDawa</v>
      </c>
      <c r="C7" s="2">
        <f>VLOOKUP($B7,Elec!$R$41:$S$51,2,0)/SUM(Elec!$S$41:$S$51)/2*VLOOKUP($A7,'Basic Feasibility'!$AB$14:$AC$19,2,0)</f>
        <v>0.399574682080925</v>
      </c>
      <c r="D7" s="2">
        <f>VLOOKUP($B7,Elec!$R$41:$S$51,2,0)/SUM(Elec!$S$41:$S$51)/2*VLOOKUP($A7,'Basic Feasibility'!$AB$14:$AC$19,2,0)</f>
        <v>0.399574682080925</v>
      </c>
      <c r="E7" s="2">
        <f t="shared" si="3"/>
        <v>0.40357042890173428</v>
      </c>
      <c r="F7" s="2">
        <f t="shared" si="2"/>
        <v>0.40357042890173428</v>
      </c>
      <c r="G7" s="2">
        <f t="shared" si="2"/>
        <v>0.40760613319075162</v>
      </c>
      <c r="H7" s="2">
        <f t="shared" si="2"/>
        <v>0.40760613319075162</v>
      </c>
      <c r="I7" s="2">
        <f t="shared" si="2"/>
        <v>0.41168219452265914</v>
      </c>
      <c r="J7" s="2">
        <f t="shared" si="2"/>
        <v>0.41168219452265914</v>
      </c>
      <c r="K7" s="2">
        <f t="shared" si="2"/>
        <v>0.41579901646788575</v>
      </c>
      <c r="L7" s="2">
        <f t="shared" si="2"/>
        <v>0.41579901646788575</v>
      </c>
      <c r="M7" s="2">
        <f t="shared" si="2"/>
        <v>0.41995700663256463</v>
      </c>
      <c r="N7" s="2">
        <f t="shared" si="2"/>
        <v>0.41995700663256463</v>
      </c>
      <c r="O7" s="2">
        <f t="shared" si="2"/>
        <v>0.42415657669889029</v>
      </c>
      <c r="P7" s="2">
        <f t="shared" si="2"/>
        <v>0.42415657669889029</v>
      </c>
      <c r="Q7" s="2">
        <f t="shared" si="2"/>
        <v>0.42839814246587921</v>
      </c>
      <c r="R7" s="2">
        <f t="shared" si="2"/>
        <v>0.42839814246587921</v>
      </c>
      <c r="S7" s="2">
        <f t="shared" si="2"/>
        <v>0.43268212389053801</v>
      </c>
      <c r="T7" s="2">
        <f t="shared" si="2"/>
        <v>0.43268212389053801</v>
      </c>
      <c r="U7" s="2">
        <f t="shared" si="2"/>
        <v>0.43700894512944338</v>
      </c>
      <c r="V7" s="2">
        <f t="shared" si="2"/>
        <v>0.43700894512944338</v>
      </c>
      <c r="W7" s="2">
        <f t="shared" si="2"/>
        <v>0.44137903458073779</v>
      </c>
      <c r="X7" s="2">
        <f t="shared" si="2"/>
        <v>0.44137903458073779</v>
      </c>
      <c r="Y7" s="2">
        <f t="shared" si="2"/>
        <v>0.44579282492654515</v>
      </c>
      <c r="Z7" s="2">
        <f t="shared" si="2"/>
        <v>0.44579282492654515</v>
      </c>
      <c r="AA7" s="2">
        <f t="shared" si="2"/>
        <v>0.45025075317581059</v>
      </c>
      <c r="AB7" s="2">
        <f t="shared" si="2"/>
        <v>0.45025075317581059</v>
      </c>
      <c r="AC7" s="2">
        <f t="shared" si="2"/>
        <v>0.45475326070756872</v>
      </c>
      <c r="AD7" s="2">
        <f t="shared" si="2"/>
        <v>0.45475326070756872</v>
      </c>
      <c r="AE7" s="2">
        <f t="shared" si="2"/>
        <v>0.45930079331464441</v>
      </c>
      <c r="AF7" s="2">
        <f t="shared" si="2"/>
        <v>0.45930079331464441</v>
      </c>
      <c r="AG7" s="2">
        <f t="shared" si="2"/>
        <v>0.46389380124779084</v>
      </c>
      <c r="AH7" s="2">
        <f t="shared" si="2"/>
        <v>0.46389380124779084</v>
      </c>
    </row>
    <row r="8" spans="1:34">
      <c r="A8" t="str">
        <f>CYF!A8</f>
        <v>Teff</v>
      </c>
      <c r="B8" t="str">
        <f>CYF!B8</f>
        <v>Gambela</v>
      </c>
      <c r="C8" s="2">
        <f>VLOOKUP($B8,Elec!$R$41:$S$51,2,0)/SUM(Elec!$S$41:$S$51)/2*VLOOKUP($A8,'Basic Feasibility'!$AB$14:$AC$19,2,0)</f>
        <v>0.3714228294797689</v>
      </c>
      <c r="D8" s="2">
        <f>VLOOKUP($B8,Elec!$R$41:$S$51,2,0)/SUM(Elec!$S$41:$S$51)/2*VLOOKUP($A8,'Basic Feasibility'!$AB$14:$AC$19,2,0)</f>
        <v>0.3714228294797689</v>
      </c>
      <c r="E8" s="2">
        <f t="shared" si="3"/>
        <v>0.37513705777456657</v>
      </c>
      <c r="F8" s="2">
        <f t="shared" si="2"/>
        <v>0.37513705777456657</v>
      </c>
      <c r="G8" s="2">
        <f t="shared" si="2"/>
        <v>0.37888842835231223</v>
      </c>
      <c r="H8" s="2">
        <f t="shared" si="2"/>
        <v>0.37888842835231223</v>
      </c>
      <c r="I8" s="2">
        <f t="shared" si="2"/>
        <v>0.38267731263583538</v>
      </c>
      <c r="J8" s="2">
        <f t="shared" si="2"/>
        <v>0.38267731263583538</v>
      </c>
      <c r="K8" s="2">
        <f t="shared" si="2"/>
        <v>0.38650408576219375</v>
      </c>
      <c r="L8" s="2">
        <f t="shared" si="2"/>
        <v>0.38650408576219375</v>
      </c>
      <c r="M8" s="2">
        <f t="shared" si="2"/>
        <v>0.39036912661981571</v>
      </c>
      <c r="N8" s="2">
        <f t="shared" si="2"/>
        <v>0.39036912661981571</v>
      </c>
      <c r="O8" s="2">
        <f t="shared" si="2"/>
        <v>0.39427281788601387</v>
      </c>
      <c r="P8" s="2">
        <f t="shared" si="2"/>
        <v>0.39427281788601387</v>
      </c>
      <c r="Q8" s="2">
        <f t="shared" si="2"/>
        <v>0.39821554606487403</v>
      </c>
      <c r="R8" s="2">
        <f t="shared" si="2"/>
        <v>0.39821554606487403</v>
      </c>
      <c r="S8" s="2">
        <f t="shared" si="2"/>
        <v>0.40219770152552275</v>
      </c>
      <c r="T8" s="2">
        <f t="shared" si="2"/>
        <v>0.40219770152552275</v>
      </c>
      <c r="U8" s="2">
        <f t="shared" si="2"/>
        <v>0.40621967854077801</v>
      </c>
      <c r="V8" s="2">
        <f t="shared" si="2"/>
        <v>0.40621967854077801</v>
      </c>
      <c r="W8" s="2">
        <f t="shared" si="2"/>
        <v>0.41028187532618576</v>
      </c>
      <c r="X8" s="2">
        <f t="shared" si="2"/>
        <v>0.41028187532618576</v>
      </c>
      <c r="Y8" s="2">
        <f t="shared" si="2"/>
        <v>0.41438469407944761</v>
      </c>
      <c r="Z8" s="2">
        <f t="shared" si="2"/>
        <v>0.41438469407944761</v>
      </c>
      <c r="AA8" s="2">
        <f t="shared" si="2"/>
        <v>0.41852854102024212</v>
      </c>
      <c r="AB8" s="2">
        <f t="shared" si="2"/>
        <v>0.41852854102024212</v>
      </c>
      <c r="AC8" s="2">
        <f t="shared" si="2"/>
        <v>0.42271382643044453</v>
      </c>
      <c r="AD8" s="2">
        <f t="shared" si="2"/>
        <v>0.42271382643044453</v>
      </c>
      <c r="AE8" s="2">
        <f t="shared" si="2"/>
        <v>0.42694096469474896</v>
      </c>
      <c r="AF8" s="2">
        <f t="shared" si="2"/>
        <v>0.42694096469474896</v>
      </c>
      <c r="AG8" s="2">
        <f t="shared" si="2"/>
        <v>0.43121037434169646</v>
      </c>
      <c r="AH8" s="2">
        <f t="shared" si="2"/>
        <v>0.43121037434169646</v>
      </c>
    </row>
    <row r="9" spans="1:34">
      <c r="A9" t="str">
        <f>CYF!A9</f>
        <v>Teff</v>
      </c>
      <c r="B9" t="str">
        <f>CYF!B9</f>
        <v>Harari</v>
      </c>
      <c r="C9" s="2">
        <f>VLOOKUP($B9,Elec!$R$41:$S$51,2,0)/SUM(Elec!$S$41:$S$51)/2*VLOOKUP($A9,'Basic Feasibility'!$AB$14:$AC$19,2,0)</f>
        <v>0.21068483236994229</v>
      </c>
      <c r="D9" s="2">
        <f>VLOOKUP($B9,Elec!$R$41:$S$51,2,0)/SUM(Elec!$S$41:$S$51)/2*VLOOKUP($A9,'Basic Feasibility'!$AB$14:$AC$19,2,0)</f>
        <v>0.21068483236994229</v>
      </c>
      <c r="E9" s="2">
        <f t="shared" si="3"/>
        <v>0.21279168069364171</v>
      </c>
      <c r="F9" s="2">
        <f t="shared" si="2"/>
        <v>0.21279168069364171</v>
      </c>
      <c r="G9" s="2">
        <f t="shared" si="2"/>
        <v>0.21491959750057812</v>
      </c>
      <c r="H9" s="2">
        <f t="shared" si="2"/>
        <v>0.21491959750057812</v>
      </c>
      <c r="I9" s="2">
        <f t="shared" si="2"/>
        <v>0.21706879347558392</v>
      </c>
      <c r="J9" s="2">
        <f t="shared" si="2"/>
        <v>0.21706879347558392</v>
      </c>
      <c r="K9" s="2">
        <f t="shared" si="2"/>
        <v>0.21923948141033975</v>
      </c>
      <c r="L9" s="2">
        <f t="shared" si="2"/>
        <v>0.21923948141033975</v>
      </c>
      <c r="M9" s="2">
        <f t="shared" si="2"/>
        <v>0.22143187622444316</v>
      </c>
      <c r="N9" s="2">
        <f t="shared" si="2"/>
        <v>0.22143187622444316</v>
      </c>
      <c r="O9" s="2">
        <f t="shared" si="2"/>
        <v>0.22364619498668759</v>
      </c>
      <c r="P9" s="2">
        <f t="shared" si="2"/>
        <v>0.22364619498668759</v>
      </c>
      <c r="Q9" s="2">
        <f t="shared" si="2"/>
        <v>0.22588265693655446</v>
      </c>
      <c r="R9" s="2">
        <f t="shared" si="2"/>
        <v>0.22588265693655446</v>
      </c>
      <c r="S9" s="2">
        <f t="shared" si="2"/>
        <v>0.22814148350592001</v>
      </c>
      <c r="T9" s="2">
        <f t="shared" si="2"/>
        <v>0.22814148350592001</v>
      </c>
      <c r="U9" s="2">
        <f t="shared" si="2"/>
        <v>0.2304228983409792</v>
      </c>
      <c r="V9" s="2">
        <f t="shared" si="2"/>
        <v>0.2304228983409792</v>
      </c>
      <c r="W9" s="2">
        <f t="shared" si="2"/>
        <v>0.23272712732438899</v>
      </c>
      <c r="X9" s="2">
        <f t="shared" si="2"/>
        <v>0.23272712732438899</v>
      </c>
      <c r="Y9" s="2">
        <f t="shared" si="2"/>
        <v>0.23505439859763289</v>
      </c>
      <c r="Z9" s="2">
        <f t="shared" si="2"/>
        <v>0.23505439859763289</v>
      </c>
      <c r="AA9" s="2">
        <f t="shared" si="2"/>
        <v>0.23740494258360922</v>
      </c>
      <c r="AB9" s="2">
        <f t="shared" si="2"/>
        <v>0.23740494258360922</v>
      </c>
      <c r="AC9" s="2">
        <f t="shared" si="2"/>
        <v>0.23977899200944533</v>
      </c>
      <c r="AD9" s="2">
        <f t="shared" si="2"/>
        <v>0.23977899200944533</v>
      </c>
      <c r="AE9" s="2">
        <f t="shared" si="2"/>
        <v>0.24217678192953979</v>
      </c>
      <c r="AF9" s="2">
        <f t="shared" si="2"/>
        <v>0.24217678192953979</v>
      </c>
      <c r="AG9" s="2">
        <f t="shared" si="2"/>
        <v>0.24459854974883519</v>
      </c>
      <c r="AH9" s="2">
        <f t="shared" si="2"/>
        <v>0.24459854974883519</v>
      </c>
    </row>
    <row r="10" spans="1:34">
      <c r="A10" t="str">
        <f>CYF!A10</f>
        <v>Teff</v>
      </c>
      <c r="B10" t="str">
        <f>CYF!B10</f>
        <v>Oromia</v>
      </c>
      <c r="C10" s="2">
        <f>VLOOKUP($B10,Elec!$R$41:$S$51,2,0)/SUM(Elec!$S$41:$S$51)/2*VLOOKUP($A10,'Basic Feasibility'!$AB$14:$AC$19,2,0)</f>
        <v>30.596523156069374</v>
      </c>
      <c r="D10" s="2">
        <f>VLOOKUP($B10,Elec!$R$41:$S$51,2,0)/SUM(Elec!$S$41:$S$51)/2*VLOOKUP($A10,'Basic Feasibility'!$AB$14:$AC$19,2,0)</f>
        <v>30.596523156069374</v>
      </c>
      <c r="E10" s="2">
        <f t="shared" si="3"/>
        <v>30.902488387630068</v>
      </c>
      <c r="F10" s="2">
        <f t="shared" si="2"/>
        <v>30.902488387630068</v>
      </c>
      <c r="G10" s="2">
        <f t="shared" si="2"/>
        <v>31.211513271506369</v>
      </c>
      <c r="H10" s="2">
        <f t="shared" si="2"/>
        <v>31.211513271506369</v>
      </c>
      <c r="I10" s="2">
        <f t="shared" si="2"/>
        <v>31.523628404221434</v>
      </c>
      <c r="J10" s="2">
        <f t="shared" si="2"/>
        <v>31.523628404221434</v>
      </c>
      <c r="K10" s="2">
        <f t="shared" si="2"/>
        <v>31.838864688263648</v>
      </c>
      <c r="L10" s="2">
        <f t="shared" si="2"/>
        <v>31.838864688263648</v>
      </c>
      <c r="M10" s="2">
        <f t="shared" si="2"/>
        <v>32.157253335146287</v>
      </c>
      <c r="N10" s="2">
        <f t="shared" si="2"/>
        <v>32.157253335146287</v>
      </c>
      <c r="O10" s="2">
        <f t="shared" si="2"/>
        <v>32.478825868497751</v>
      </c>
      <c r="P10" s="2">
        <f t="shared" si="2"/>
        <v>32.478825868497751</v>
      </c>
      <c r="Q10" s="2">
        <f t="shared" si="2"/>
        <v>32.803614127182726</v>
      </c>
      <c r="R10" s="2">
        <f t="shared" si="2"/>
        <v>32.803614127182726</v>
      </c>
      <c r="S10" s="2">
        <f t="shared" si="2"/>
        <v>33.131650268454557</v>
      </c>
      <c r="T10" s="2">
        <f t="shared" si="2"/>
        <v>33.131650268454557</v>
      </c>
      <c r="U10" s="2">
        <f t="shared" si="2"/>
        <v>33.462966771139101</v>
      </c>
      <c r="V10" s="2">
        <f t="shared" si="2"/>
        <v>33.462966771139101</v>
      </c>
      <c r="W10" s="2">
        <f t="shared" si="2"/>
        <v>33.797596438850491</v>
      </c>
      <c r="X10" s="2">
        <f t="shared" si="2"/>
        <v>33.797596438850491</v>
      </c>
      <c r="Y10" s="2">
        <f t="shared" si="2"/>
        <v>34.135572403238996</v>
      </c>
      <c r="Z10" s="2">
        <f t="shared" si="2"/>
        <v>34.135572403238996</v>
      </c>
      <c r="AA10" s="2">
        <f t="shared" si="2"/>
        <v>34.476928127271385</v>
      </c>
      <c r="AB10" s="2">
        <f t="shared" si="2"/>
        <v>34.476928127271385</v>
      </c>
      <c r="AC10" s="2">
        <f t="shared" si="2"/>
        <v>34.821697408544097</v>
      </c>
      <c r="AD10" s="2">
        <f t="shared" si="2"/>
        <v>34.821697408544097</v>
      </c>
      <c r="AE10" s="2">
        <f t="shared" si="2"/>
        <v>35.169914382629536</v>
      </c>
      <c r="AF10" s="2">
        <f t="shared" si="2"/>
        <v>35.169914382629536</v>
      </c>
      <c r="AG10" s="2">
        <f t="shared" si="2"/>
        <v>35.52161352645583</v>
      </c>
      <c r="AH10" s="2">
        <f t="shared" si="2"/>
        <v>35.52161352645583</v>
      </c>
    </row>
    <row r="11" spans="1:34">
      <c r="A11" t="str">
        <f>CYF!A11</f>
        <v>Teff</v>
      </c>
      <c r="B11" t="str">
        <f>CYF!B11</f>
        <v>Somali</v>
      </c>
      <c r="C11" s="2">
        <f>VLOOKUP($B11,Elec!$R$41:$S$51,2,0)/SUM(Elec!$S$41:$S$51)/2*VLOOKUP($A11,'Basic Feasibility'!$AB$14:$AC$19,2,0)</f>
        <v>4.9520016849711004</v>
      </c>
      <c r="D11" s="2">
        <f>VLOOKUP($B11,Elec!$R$41:$S$51,2,0)/SUM(Elec!$S$41:$S$51)/2*VLOOKUP($A11,'Basic Feasibility'!$AB$14:$AC$19,2,0)</f>
        <v>4.9520016849711004</v>
      </c>
      <c r="E11" s="2">
        <f t="shared" si="3"/>
        <v>5.0015217018208116</v>
      </c>
      <c r="F11" s="2">
        <f t="shared" si="2"/>
        <v>5.0015217018208116</v>
      </c>
      <c r="G11" s="2">
        <f t="shared" si="2"/>
        <v>5.0515369188390196</v>
      </c>
      <c r="H11" s="2">
        <f t="shared" si="2"/>
        <v>5.0515369188390196</v>
      </c>
      <c r="I11" s="2">
        <f t="shared" si="2"/>
        <v>5.1020522880274095</v>
      </c>
      <c r="J11" s="2">
        <f t="shared" si="2"/>
        <v>5.1020522880274095</v>
      </c>
      <c r="K11" s="2">
        <f t="shared" si="2"/>
        <v>5.153072810907684</v>
      </c>
      <c r="L11" s="2">
        <f t="shared" si="2"/>
        <v>5.153072810907684</v>
      </c>
      <c r="M11" s="2">
        <f t="shared" si="2"/>
        <v>5.2046035390167606</v>
      </c>
      <c r="N11" s="2">
        <f t="shared" si="2"/>
        <v>5.2046035390167606</v>
      </c>
      <c r="O11" s="2">
        <f t="shared" si="2"/>
        <v>5.2566495744069286</v>
      </c>
      <c r="P11" s="2">
        <f t="shared" si="2"/>
        <v>5.2566495744069286</v>
      </c>
      <c r="Q11" s="2">
        <f t="shared" si="2"/>
        <v>5.3092160701509981</v>
      </c>
      <c r="R11" s="2">
        <f t="shared" si="2"/>
        <v>5.3092160701509981</v>
      </c>
      <c r="S11" s="2">
        <f t="shared" si="2"/>
        <v>5.3623082308525083</v>
      </c>
      <c r="T11" s="2">
        <f t="shared" si="2"/>
        <v>5.3623082308525083</v>
      </c>
      <c r="U11" s="2">
        <f t="shared" si="2"/>
        <v>5.4159313131610336</v>
      </c>
      <c r="V11" s="2">
        <f t="shared" si="2"/>
        <v>5.4159313131610336</v>
      </c>
      <c r="W11" s="2">
        <f t="shared" si="2"/>
        <v>5.4700906262926443</v>
      </c>
      <c r="X11" s="2">
        <f t="shared" si="2"/>
        <v>5.4700906262926443</v>
      </c>
      <c r="Y11" s="2">
        <f t="shared" si="2"/>
        <v>5.5247915325555708</v>
      </c>
      <c r="Z11" s="2">
        <f t="shared" si="2"/>
        <v>5.5247915325555708</v>
      </c>
      <c r="AA11" s="2">
        <f t="shared" si="2"/>
        <v>5.5800394478811262</v>
      </c>
      <c r="AB11" s="2">
        <f t="shared" si="2"/>
        <v>5.5800394478811262</v>
      </c>
      <c r="AC11" s="2">
        <f t="shared" ref="AC11:AC74" si="4">AA11*1.01</f>
        <v>5.6358398423599372</v>
      </c>
      <c r="AD11" s="2">
        <f t="shared" ref="AD11:AD74" si="5">AB11*1.01</f>
        <v>5.6358398423599372</v>
      </c>
      <c r="AE11" s="2">
        <f t="shared" ref="AE11:AE74" si="6">AC11*1.01</f>
        <v>5.6921982407835365</v>
      </c>
      <c r="AF11" s="2">
        <f t="shared" ref="AF11:AF74" si="7">AD11*1.01</f>
        <v>5.6921982407835365</v>
      </c>
      <c r="AG11" s="2">
        <f t="shared" ref="AG11:AG74" si="8">AE11*1.01</f>
        <v>5.7491202231913716</v>
      </c>
      <c r="AH11" s="2">
        <f t="shared" ref="AH11:AH74" si="9">AF11*1.01</f>
        <v>5.7491202231913716</v>
      </c>
    </row>
    <row r="12" spans="1:34">
      <c r="A12" t="str">
        <f>CYF!A12</f>
        <v>Teff</v>
      </c>
      <c r="B12" t="str">
        <f>CYF!B12</f>
        <v>SNNPR</v>
      </c>
      <c r="C12" s="2">
        <f>VLOOKUP($B12,Elec!$R$41:$S$51,2,0)/SUM(Elec!$S$41:$S$51)/2*VLOOKUP($A12,'Basic Feasibility'!$AB$14:$AC$19,2,0)</f>
        <v>16.596879294797692</v>
      </c>
      <c r="D12" s="2">
        <f>VLOOKUP($B12,Elec!$R$41:$S$51,2,0)/SUM(Elec!$S$41:$S$51)/2*VLOOKUP($A12,'Basic Feasibility'!$AB$14:$AC$19,2,0)</f>
        <v>16.596879294797692</v>
      </c>
      <c r="E12" s="2">
        <f t="shared" si="3"/>
        <v>16.76284808774567</v>
      </c>
      <c r="F12" s="2">
        <f t="shared" ref="F12:F75" si="10">D12*1.01</f>
        <v>16.76284808774567</v>
      </c>
      <c r="G12" s="2">
        <f t="shared" ref="G12:G75" si="11">E12*1.01</f>
        <v>16.930476568623128</v>
      </c>
      <c r="H12" s="2">
        <f t="shared" ref="H12:H75" si="12">F12*1.01</f>
        <v>16.930476568623128</v>
      </c>
      <c r="I12" s="2">
        <f t="shared" ref="I12:I75" si="13">G12*1.01</f>
        <v>17.099781334309359</v>
      </c>
      <c r="J12" s="2">
        <f t="shared" ref="J12:J75" si="14">H12*1.01</f>
        <v>17.099781334309359</v>
      </c>
      <c r="K12" s="2">
        <f t="shared" ref="K12:K75" si="15">I12*1.01</f>
        <v>17.270779147652451</v>
      </c>
      <c r="L12" s="2">
        <f t="shared" ref="L12:L75" si="16">J12*1.01</f>
        <v>17.270779147652451</v>
      </c>
      <c r="M12" s="2">
        <f t="shared" ref="M12:M75" si="17">K12*1.01</f>
        <v>17.443486939128977</v>
      </c>
      <c r="N12" s="2">
        <f t="shared" ref="N12:N75" si="18">L12*1.01</f>
        <v>17.443486939128977</v>
      </c>
      <c r="O12" s="2">
        <f t="shared" ref="O12:O75" si="19">M12*1.01</f>
        <v>17.617921808520268</v>
      </c>
      <c r="P12" s="2">
        <f t="shared" ref="P12:P75" si="20">N12*1.01</f>
        <v>17.617921808520268</v>
      </c>
      <c r="Q12" s="2">
        <f t="shared" ref="Q12:Q75" si="21">O12*1.01</f>
        <v>17.794101026605471</v>
      </c>
      <c r="R12" s="2">
        <f t="shared" ref="R12:R75" si="22">P12*1.01</f>
        <v>17.794101026605471</v>
      </c>
      <c r="S12" s="2">
        <f t="shared" ref="S12:S75" si="23">Q12*1.01</f>
        <v>17.972042036871525</v>
      </c>
      <c r="T12" s="2">
        <f t="shared" ref="T12:T75" si="24">R12*1.01</f>
        <v>17.972042036871525</v>
      </c>
      <c r="U12" s="2">
        <f t="shared" ref="U12:U75" si="25">S12*1.01</f>
        <v>18.151762457240238</v>
      </c>
      <c r="V12" s="2">
        <f t="shared" ref="V12:V75" si="26">T12*1.01</f>
        <v>18.151762457240238</v>
      </c>
      <c r="W12" s="2">
        <f t="shared" ref="W12:W75" si="27">U12*1.01</f>
        <v>18.333280081812642</v>
      </c>
      <c r="X12" s="2">
        <f t="shared" ref="X12:X75" si="28">V12*1.01</f>
        <v>18.333280081812642</v>
      </c>
      <c r="Y12" s="2">
        <f t="shared" ref="Y12:Y75" si="29">W12*1.01</f>
        <v>18.516612882630771</v>
      </c>
      <c r="Z12" s="2">
        <f t="shared" ref="Z12:Z75" si="30">X12*1.01</f>
        <v>18.516612882630771</v>
      </c>
      <c r="AA12" s="2">
        <f t="shared" ref="AA12:AA75" si="31">Y12*1.01</f>
        <v>18.701779011457077</v>
      </c>
      <c r="AB12" s="2">
        <f t="shared" ref="AB12:AB75" si="32">Z12*1.01</f>
        <v>18.701779011457077</v>
      </c>
      <c r="AC12" s="2">
        <f t="shared" si="4"/>
        <v>18.888796801571647</v>
      </c>
      <c r="AD12" s="2">
        <f t="shared" si="5"/>
        <v>18.888796801571647</v>
      </c>
      <c r="AE12" s="2">
        <f t="shared" si="6"/>
        <v>19.077684769587364</v>
      </c>
      <c r="AF12" s="2">
        <f t="shared" si="7"/>
        <v>19.077684769587364</v>
      </c>
      <c r="AG12" s="2">
        <f t="shared" si="8"/>
        <v>19.268461617283236</v>
      </c>
      <c r="AH12" s="2">
        <f t="shared" si="9"/>
        <v>19.268461617283236</v>
      </c>
    </row>
    <row r="13" spans="1:34">
      <c r="A13" t="str">
        <f>CYF!A13</f>
        <v>Teff</v>
      </c>
      <c r="B13" t="str">
        <f>CYF!B13</f>
        <v>Tigray</v>
      </c>
      <c r="C13" s="2">
        <f>VLOOKUP($B13,Elec!$R$41:$S$51,2,0)/SUM(Elec!$S$41:$S$51)/2*VLOOKUP($A13,'Basic Feasibility'!$AB$14:$AC$19,2,0)</f>
        <v>4.5914763468208104</v>
      </c>
      <c r="D13" s="2">
        <f>VLOOKUP($B13,Elec!$R$41:$S$51,2,0)/SUM(Elec!$S$41:$S$51)/2*VLOOKUP($A13,'Basic Feasibility'!$AB$14:$AC$19,2,0)</f>
        <v>4.5914763468208104</v>
      </c>
      <c r="E13" s="2">
        <f t="shared" si="3"/>
        <v>4.6373911102890188</v>
      </c>
      <c r="F13" s="2">
        <f t="shared" si="10"/>
        <v>4.6373911102890188</v>
      </c>
      <c r="G13" s="2">
        <f t="shared" si="11"/>
        <v>4.6837650213919089</v>
      </c>
      <c r="H13" s="2">
        <f t="shared" si="12"/>
        <v>4.6837650213919089</v>
      </c>
      <c r="I13" s="2">
        <f t="shared" si="13"/>
        <v>4.730602671605828</v>
      </c>
      <c r="J13" s="2">
        <f t="shared" si="14"/>
        <v>4.730602671605828</v>
      </c>
      <c r="K13" s="2">
        <f t="shared" si="15"/>
        <v>4.7779086983218866</v>
      </c>
      <c r="L13" s="2">
        <f t="shared" si="16"/>
        <v>4.7779086983218866</v>
      </c>
      <c r="M13" s="2">
        <f t="shared" si="17"/>
        <v>4.8256877853051057</v>
      </c>
      <c r="N13" s="2">
        <f t="shared" si="18"/>
        <v>4.8256877853051057</v>
      </c>
      <c r="O13" s="2">
        <f t="shared" si="19"/>
        <v>4.8739446631581567</v>
      </c>
      <c r="P13" s="2">
        <f t="shared" si="20"/>
        <v>4.8739446631581567</v>
      </c>
      <c r="Q13" s="2">
        <f t="shared" si="21"/>
        <v>4.9226841097897385</v>
      </c>
      <c r="R13" s="2">
        <f t="shared" si="22"/>
        <v>4.9226841097897385</v>
      </c>
      <c r="S13" s="2">
        <f t="shared" si="23"/>
        <v>4.9719109508876356</v>
      </c>
      <c r="T13" s="2">
        <f t="shared" si="24"/>
        <v>4.9719109508876356</v>
      </c>
      <c r="U13" s="2">
        <f t="shared" si="25"/>
        <v>5.0216300603965118</v>
      </c>
      <c r="V13" s="2">
        <f t="shared" si="26"/>
        <v>5.0216300603965118</v>
      </c>
      <c r="W13" s="2">
        <f t="shared" si="27"/>
        <v>5.0718463610004774</v>
      </c>
      <c r="X13" s="2">
        <f t="shared" si="28"/>
        <v>5.0718463610004774</v>
      </c>
      <c r="Y13" s="2">
        <f t="shared" si="29"/>
        <v>5.1225648246104818</v>
      </c>
      <c r="Z13" s="2">
        <f t="shared" si="30"/>
        <v>5.1225648246104818</v>
      </c>
      <c r="AA13" s="2">
        <f t="shared" si="31"/>
        <v>5.1737904728565862</v>
      </c>
      <c r="AB13" s="2">
        <f t="shared" si="32"/>
        <v>5.1737904728565862</v>
      </c>
      <c r="AC13" s="2">
        <f t="shared" si="4"/>
        <v>5.2255283775851522</v>
      </c>
      <c r="AD13" s="2">
        <f t="shared" si="5"/>
        <v>5.2255283775851522</v>
      </c>
      <c r="AE13" s="2">
        <f t="shared" si="6"/>
        <v>5.2777836613610036</v>
      </c>
      <c r="AF13" s="2">
        <f t="shared" si="7"/>
        <v>5.2777836613610036</v>
      </c>
      <c r="AG13" s="2">
        <f t="shared" si="8"/>
        <v>5.3305614979746139</v>
      </c>
      <c r="AH13" s="2">
        <f t="shared" si="9"/>
        <v>5.3305614979746139</v>
      </c>
    </row>
    <row r="14" spans="1:34">
      <c r="A14" t="str">
        <f>CYF!A14</f>
        <v>Sorghum</v>
      </c>
      <c r="B14" t="str">
        <f>CYF!B14</f>
        <v>AddisAbaba</v>
      </c>
      <c r="C14" s="2">
        <f>VLOOKUP($B14,Elec!$R$41:$S$51,2,0)/SUM(Elec!$S$41:$S$51)/2*VLOOKUP($A14,'Basic Feasibility'!$AB$14:$AC$19,2,0)</f>
        <v>6.8568307196713043</v>
      </c>
      <c r="D14" s="2">
        <f>VLOOKUP($B14,Elec!$R$41:$S$51,2,0)/SUM(Elec!$S$41:$S$51)/2*VLOOKUP($A14,'Basic Feasibility'!$AB$14:$AC$19,2,0)</f>
        <v>6.8568307196713043</v>
      </c>
      <c r="E14" s="2">
        <f t="shared" si="3"/>
        <v>6.9253990268680177</v>
      </c>
      <c r="F14" s="2">
        <f t="shared" si="10"/>
        <v>6.9253990268680177</v>
      </c>
      <c r="G14" s="2">
        <f t="shared" si="11"/>
        <v>6.9946530171366978</v>
      </c>
      <c r="H14" s="2">
        <f t="shared" si="12"/>
        <v>6.9946530171366978</v>
      </c>
      <c r="I14" s="2">
        <f t="shared" si="13"/>
        <v>7.0645995473080649</v>
      </c>
      <c r="J14" s="2">
        <f t="shared" si="14"/>
        <v>7.0645995473080649</v>
      </c>
      <c r="K14" s="2">
        <f t="shared" si="15"/>
        <v>7.1352455427811456</v>
      </c>
      <c r="L14" s="2">
        <f t="shared" si="16"/>
        <v>7.1352455427811456</v>
      </c>
      <c r="M14" s="2">
        <f t="shared" si="17"/>
        <v>7.2065979982089567</v>
      </c>
      <c r="N14" s="2">
        <f t="shared" si="18"/>
        <v>7.2065979982089567</v>
      </c>
      <c r="O14" s="2">
        <f t="shared" si="19"/>
        <v>7.2786639781910463</v>
      </c>
      <c r="P14" s="2">
        <f t="shared" si="20"/>
        <v>7.2786639781910463</v>
      </c>
      <c r="Q14" s="2">
        <f t="shared" si="21"/>
        <v>7.3514506179729571</v>
      </c>
      <c r="R14" s="2">
        <f t="shared" si="22"/>
        <v>7.3514506179729571</v>
      </c>
      <c r="S14" s="2">
        <f t="shared" si="23"/>
        <v>7.4249651241526866</v>
      </c>
      <c r="T14" s="2">
        <f t="shared" si="24"/>
        <v>7.4249651241526866</v>
      </c>
      <c r="U14" s="2">
        <f t="shared" si="25"/>
        <v>7.4992147753942131</v>
      </c>
      <c r="V14" s="2">
        <f t="shared" si="26"/>
        <v>7.4992147753942131</v>
      </c>
      <c r="W14" s="2">
        <f t="shared" si="27"/>
        <v>7.5742069231481555</v>
      </c>
      <c r="X14" s="2">
        <f t="shared" si="28"/>
        <v>7.5742069231481555</v>
      </c>
      <c r="Y14" s="2">
        <f t="shared" si="29"/>
        <v>7.6499489923796373</v>
      </c>
      <c r="Z14" s="2">
        <f t="shared" si="30"/>
        <v>7.6499489923796373</v>
      </c>
      <c r="AA14" s="2">
        <f t="shared" si="31"/>
        <v>7.7264484823034341</v>
      </c>
      <c r="AB14" s="2">
        <f t="shared" si="32"/>
        <v>7.7264484823034341</v>
      </c>
      <c r="AC14" s="2">
        <f t="shared" si="4"/>
        <v>7.8037129671264687</v>
      </c>
      <c r="AD14" s="2">
        <f t="shared" si="5"/>
        <v>7.8037129671264687</v>
      </c>
      <c r="AE14" s="2">
        <f t="shared" si="6"/>
        <v>7.8817500967977336</v>
      </c>
      <c r="AF14" s="2">
        <f t="shared" si="7"/>
        <v>7.8817500967977336</v>
      </c>
      <c r="AG14" s="2">
        <f t="shared" si="8"/>
        <v>7.9605675977657109</v>
      </c>
      <c r="AH14" s="2">
        <f t="shared" si="9"/>
        <v>7.9605675977657109</v>
      </c>
    </row>
    <row r="15" spans="1:34">
      <c r="A15" t="str">
        <f>CYF!A15</f>
        <v>Sorghum</v>
      </c>
      <c r="B15" t="str">
        <f>CYF!B15</f>
        <v>Afar</v>
      </c>
      <c r="C15" s="2">
        <f>VLOOKUP($B15,Elec!$R$41:$S$51,2,0)/SUM(Elec!$S$41:$S$51)/2*VLOOKUP($A15,'Basic Feasibility'!$AB$14:$AC$19,2,0)</f>
        <v>3.6096301038782941</v>
      </c>
      <c r="D15" s="2">
        <f>VLOOKUP($B15,Elec!$R$41:$S$51,2,0)/SUM(Elec!$S$41:$S$51)/2*VLOOKUP($A15,'Basic Feasibility'!$AB$14:$AC$19,2,0)</f>
        <v>3.6096301038782941</v>
      </c>
      <c r="E15" s="2">
        <f t="shared" si="3"/>
        <v>3.645726404917077</v>
      </c>
      <c r="F15" s="2">
        <f t="shared" si="10"/>
        <v>3.645726404917077</v>
      </c>
      <c r="G15" s="2">
        <f t="shared" si="11"/>
        <v>3.6821836689662479</v>
      </c>
      <c r="H15" s="2">
        <f t="shared" si="12"/>
        <v>3.6821836689662479</v>
      </c>
      <c r="I15" s="2">
        <f t="shared" si="13"/>
        <v>3.7190055056559106</v>
      </c>
      <c r="J15" s="2">
        <f t="shared" si="14"/>
        <v>3.7190055056559106</v>
      </c>
      <c r="K15" s="2">
        <f t="shared" si="15"/>
        <v>3.7561955607124697</v>
      </c>
      <c r="L15" s="2">
        <f t="shared" si="16"/>
        <v>3.7561955607124697</v>
      </c>
      <c r="M15" s="2">
        <f t="shared" si="17"/>
        <v>3.7937575163195945</v>
      </c>
      <c r="N15" s="2">
        <f t="shared" si="18"/>
        <v>3.7937575163195945</v>
      </c>
      <c r="O15" s="2">
        <f t="shared" si="19"/>
        <v>3.8316950914827905</v>
      </c>
      <c r="P15" s="2">
        <f t="shared" si="20"/>
        <v>3.8316950914827905</v>
      </c>
      <c r="Q15" s="2">
        <f t="shared" si="21"/>
        <v>3.8700120423976183</v>
      </c>
      <c r="R15" s="2">
        <f t="shared" si="22"/>
        <v>3.8700120423976183</v>
      </c>
      <c r="S15" s="2">
        <f t="shared" si="23"/>
        <v>3.9087121628215944</v>
      </c>
      <c r="T15" s="2">
        <f t="shared" si="24"/>
        <v>3.9087121628215944</v>
      </c>
      <c r="U15" s="2">
        <f t="shared" si="25"/>
        <v>3.9477992844498102</v>
      </c>
      <c r="V15" s="2">
        <f t="shared" si="26"/>
        <v>3.9477992844498102</v>
      </c>
      <c r="W15" s="2">
        <f t="shared" si="27"/>
        <v>3.9872772772943081</v>
      </c>
      <c r="X15" s="2">
        <f t="shared" si="28"/>
        <v>3.9872772772943081</v>
      </c>
      <c r="Y15" s="2">
        <f t="shared" si="29"/>
        <v>4.0271500500672515</v>
      </c>
      <c r="Z15" s="2">
        <f t="shared" si="30"/>
        <v>4.0271500500672515</v>
      </c>
      <c r="AA15" s="2">
        <f t="shared" si="31"/>
        <v>4.0674215505679241</v>
      </c>
      <c r="AB15" s="2">
        <f t="shared" si="32"/>
        <v>4.0674215505679241</v>
      </c>
      <c r="AC15" s="2">
        <f t="shared" si="4"/>
        <v>4.1080957660736033</v>
      </c>
      <c r="AD15" s="2">
        <f t="shared" si="5"/>
        <v>4.1080957660736033</v>
      </c>
      <c r="AE15" s="2">
        <f t="shared" si="6"/>
        <v>4.1491767237343398</v>
      </c>
      <c r="AF15" s="2">
        <f t="shared" si="7"/>
        <v>4.1491767237343398</v>
      </c>
      <c r="AG15" s="2">
        <f t="shared" si="8"/>
        <v>4.1906684909716834</v>
      </c>
      <c r="AH15" s="2">
        <f t="shared" si="9"/>
        <v>4.1906684909716834</v>
      </c>
    </row>
    <row r="16" spans="1:34">
      <c r="A16" t="str">
        <f>CYF!A16</f>
        <v>Sorghum</v>
      </c>
      <c r="B16" t="str">
        <f>CYF!B16</f>
        <v>Amhara</v>
      </c>
      <c r="C16" s="2">
        <f>VLOOKUP($B16,Elec!$R$41:$S$51,2,0)/SUM(Elec!$S$41:$S$51)/2*VLOOKUP($A16,'Basic Feasibility'!$AB$14:$AC$19,2,0)</f>
        <v>42.739445008253675</v>
      </c>
      <c r="D16" s="2">
        <f>VLOOKUP($B16,Elec!$R$41:$S$51,2,0)/SUM(Elec!$S$41:$S$51)/2*VLOOKUP($A16,'Basic Feasibility'!$AB$14:$AC$19,2,0)</f>
        <v>42.739445008253675</v>
      </c>
      <c r="E16" s="2">
        <f t="shared" si="3"/>
        <v>43.166839458336213</v>
      </c>
      <c r="F16" s="2">
        <f t="shared" si="10"/>
        <v>43.166839458336213</v>
      </c>
      <c r="G16" s="2">
        <f t="shared" si="11"/>
        <v>43.598507852919575</v>
      </c>
      <c r="H16" s="2">
        <f t="shared" si="12"/>
        <v>43.598507852919575</v>
      </c>
      <c r="I16" s="2">
        <f t="shared" si="13"/>
        <v>44.034492931448774</v>
      </c>
      <c r="J16" s="2">
        <f t="shared" si="14"/>
        <v>44.034492931448774</v>
      </c>
      <c r="K16" s="2">
        <f t="shared" si="15"/>
        <v>44.474837860763266</v>
      </c>
      <c r="L16" s="2">
        <f t="shared" si="16"/>
        <v>44.474837860763266</v>
      </c>
      <c r="M16" s="2">
        <f t="shared" si="17"/>
        <v>44.919586239370901</v>
      </c>
      <c r="N16" s="2">
        <f t="shared" si="18"/>
        <v>44.919586239370901</v>
      </c>
      <c r="O16" s="2">
        <f t="shared" si="19"/>
        <v>45.368782101764609</v>
      </c>
      <c r="P16" s="2">
        <f t="shared" si="20"/>
        <v>45.368782101764609</v>
      </c>
      <c r="Q16" s="2">
        <f t="shared" si="21"/>
        <v>45.822469922782254</v>
      </c>
      <c r="R16" s="2">
        <f t="shared" si="22"/>
        <v>45.822469922782254</v>
      </c>
      <c r="S16" s="2">
        <f t="shared" si="23"/>
        <v>46.280694622010074</v>
      </c>
      <c r="T16" s="2">
        <f t="shared" si="24"/>
        <v>46.280694622010074</v>
      </c>
      <c r="U16" s="2">
        <f t="shared" si="25"/>
        <v>46.743501568230172</v>
      </c>
      <c r="V16" s="2">
        <f t="shared" si="26"/>
        <v>46.743501568230172</v>
      </c>
      <c r="W16" s="2">
        <f t="shared" si="27"/>
        <v>47.210936583912478</v>
      </c>
      <c r="X16" s="2">
        <f t="shared" si="28"/>
        <v>47.210936583912478</v>
      </c>
      <c r="Y16" s="2">
        <f t="shared" si="29"/>
        <v>47.683045949751602</v>
      </c>
      <c r="Z16" s="2">
        <f t="shared" si="30"/>
        <v>47.683045949751602</v>
      </c>
      <c r="AA16" s="2">
        <f t="shared" si="31"/>
        <v>48.159876409249115</v>
      </c>
      <c r="AB16" s="2">
        <f t="shared" si="32"/>
        <v>48.159876409249115</v>
      </c>
      <c r="AC16" s="2">
        <f t="shared" si="4"/>
        <v>48.641475173341604</v>
      </c>
      <c r="AD16" s="2">
        <f t="shared" si="5"/>
        <v>48.641475173341604</v>
      </c>
      <c r="AE16" s="2">
        <f t="shared" si="6"/>
        <v>49.127889925075017</v>
      </c>
      <c r="AF16" s="2">
        <f t="shared" si="7"/>
        <v>49.127889925075017</v>
      </c>
      <c r="AG16" s="2">
        <f t="shared" si="8"/>
        <v>49.619168824325769</v>
      </c>
      <c r="AH16" s="2">
        <f t="shared" si="9"/>
        <v>49.619168824325769</v>
      </c>
    </row>
    <row r="17" spans="1:34">
      <c r="A17" t="str">
        <f>CYF!A17</f>
        <v>Sorghum</v>
      </c>
      <c r="B17" t="str">
        <f>CYF!B17</f>
        <v>Gumuz</v>
      </c>
      <c r="C17" s="2">
        <f>VLOOKUP($B17,Elec!$R$41:$S$51,2,0)/SUM(Elec!$S$41:$S$51)/2*VLOOKUP($A17,'Basic Feasibility'!$AB$14:$AC$19,2,0)</f>
        <v>2.1054429799174028</v>
      </c>
      <c r="D17" s="2">
        <f>VLOOKUP($B17,Elec!$R$41:$S$51,2,0)/SUM(Elec!$S$41:$S$51)/2*VLOOKUP($A17,'Basic Feasibility'!$AB$14:$AC$19,2,0)</f>
        <v>2.1054429799174028</v>
      </c>
      <c r="E17" s="2">
        <f t="shared" si="3"/>
        <v>2.1264974097165767</v>
      </c>
      <c r="F17" s="2">
        <f t="shared" si="10"/>
        <v>2.1264974097165767</v>
      </c>
      <c r="G17" s="2">
        <f t="shared" si="11"/>
        <v>2.1477623838137427</v>
      </c>
      <c r="H17" s="2">
        <f t="shared" si="12"/>
        <v>2.1477623838137427</v>
      </c>
      <c r="I17" s="2">
        <f t="shared" si="13"/>
        <v>2.1692400076518803</v>
      </c>
      <c r="J17" s="2">
        <f t="shared" si="14"/>
        <v>2.1692400076518803</v>
      </c>
      <c r="K17" s="2">
        <f t="shared" si="15"/>
        <v>2.1909324077283991</v>
      </c>
      <c r="L17" s="2">
        <f t="shared" si="16"/>
        <v>2.1909324077283991</v>
      </c>
      <c r="M17" s="2">
        <f t="shared" si="17"/>
        <v>2.2128417318056832</v>
      </c>
      <c r="N17" s="2">
        <f t="shared" si="18"/>
        <v>2.2128417318056832</v>
      </c>
      <c r="O17" s="2">
        <f t="shared" si="19"/>
        <v>2.2349701491237401</v>
      </c>
      <c r="P17" s="2">
        <f t="shared" si="20"/>
        <v>2.2349701491237401</v>
      </c>
      <c r="Q17" s="2">
        <f t="shared" si="21"/>
        <v>2.2573198506149774</v>
      </c>
      <c r="R17" s="2">
        <f t="shared" si="22"/>
        <v>2.2573198506149774</v>
      </c>
      <c r="S17" s="2">
        <f t="shared" si="23"/>
        <v>2.2798930491211271</v>
      </c>
      <c r="T17" s="2">
        <f t="shared" si="24"/>
        <v>2.2798930491211271</v>
      </c>
      <c r="U17" s="2">
        <f t="shared" si="25"/>
        <v>2.3026919796123386</v>
      </c>
      <c r="V17" s="2">
        <f t="shared" si="26"/>
        <v>2.3026919796123386</v>
      </c>
      <c r="W17" s="2">
        <f t="shared" si="27"/>
        <v>2.3257188994084621</v>
      </c>
      <c r="X17" s="2">
        <f t="shared" si="28"/>
        <v>2.3257188994084621</v>
      </c>
      <c r="Y17" s="2">
        <f t="shared" si="29"/>
        <v>2.3489760884025466</v>
      </c>
      <c r="Z17" s="2">
        <f t="shared" si="30"/>
        <v>2.3489760884025466</v>
      </c>
      <c r="AA17" s="2">
        <f t="shared" si="31"/>
        <v>2.3724658492865722</v>
      </c>
      <c r="AB17" s="2">
        <f t="shared" si="32"/>
        <v>2.3724658492865722</v>
      </c>
      <c r="AC17" s="2">
        <f t="shared" si="4"/>
        <v>2.3961905077794379</v>
      </c>
      <c r="AD17" s="2">
        <f t="shared" si="5"/>
        <v>2.3961905077794379</v>
      </c>
      <c r="AE17" s="2">
        <f t="shared" si="6"/>
        <v>2.4201524128572323</v>
      </c>
      <c r="AF17" s="2">
        <f t="shared" si="7"/>
        <v>2.4201524128572323</v>
      </c>
      <c r="AG17" s="2">
        <f t="shared" si="8"/>
        <v>2.4443539369858045</v>
      </c>
      <c r="AH17" s="2">
        <f t="shared" si="9"/>
        <v>2.4443539369858045</v>
      </c>
    </row>
    <row r="18" spans="1:34">
      <c r="A18" t="str">
        <f>CYF!A18</f>
        <v>Sorghum</v>
      </c>
      <c r="B18" t="str">
        <f>CYF!B18</f>
        <v>DireDawa</v>
      </c>
      <c r="C18" s="2">
        <f>VLOOKUP($B18,Elec!$R$41:$S$51,2,0)/SUM(Elec!$S$41:$S$51)/2*VLOOKUP($A18,'Basic Feasibility'!$AB$14:$AC$19,2,0)</f>
        <v>0.92178598125737055</v>
      </c>
      <c r="D18" s="2">
        <f>VLOOKUP($B18,Elec!$R$41:$S$51,2,0)/SUM(Elec!$S$41:$S$51)/2*VLOOKUP($A18,'Basic Feasibility'!$AB$14:$AC$19,2,0)</f>
        <v>0.92178598125737055</v>
      </c>
      <c r="E18" s="2">
        <f t="shared" si="3"/>
        <v>0.93100384106994427</v>
      </c>
      <c r="F18" s="2">
        <f t="shared" si="10"/>
        <v>0.93100384106994427</v>
      </c>
      <c r="G18" s="2">
        <f t="shared" si="11"/>
        <v>0.94031387948064371</v>
      </c>
      <c r="H18" s="2">
        <f t="shared" si="12"/>
        <v>0.94031387948064371</v>
      </c>
      <c r="I18" s="2">
        <f t="shared" si="13"/>
        <v>0.94971701827545019</v>
      </c>
      <c r="J18" s="2">
        <f t="shared" si="14"/>
        <v>0.94971701827545019</v>
      </c>
      <c r="K18" s="2">
        <f t="shared" si="15"/>
        <v>0.95921418845820472</v>
      </c>
      <c r="L18" s="2">
        <f t="shared" si="16"/>
        <v>0.95921418845820472</v>
      </c>
      <c r="M18" s="2">
        <f t="shared" si="17"/>
        <v>0.96880633034278674</v>
      </c>
      <c r="N18" s="2">
        <f t="shared" si="18"/>
        <v>0.96880633034278674</v>
      </c>
      <c r="O18" s="2">
        <f t="shared" si="19"/>
        <v>0.9784943936462146</v>
      </c>
      <c r="P18" s="2">
        <f t="shared" si="20"/>
        <v>0.9784943936462146</v>
      </c>
      <c r="Q18" s="2">
        <f t="shared" si="21"/>
        <v>0.98827933758267672</v>
      </c>
      <c r="R18" s="2">
        <f t="shared" si="22"/>
        <v>0.98827933758267672</v>
      </c>
      <c r="S18" s="2">
        <f t="shared" si="23"/>
        <v>0.99816213095850348</v>
      </c>
      <c r="T18" s="2">
        <f t="shared" si="24"/>
        <v>0.99816213095850348</v>
      </c>
      <c r="U18" s="2">
        <f t="shared" si="25"/>
        <v>1.0081437522680885</v>
      </c>
      <c r="V18" s="2">
        <f t="shared" si="26"/>
        <v>1.0081437522680885</v>
      </c>
      <c r="W18" s="2">
        <f t="shared" si="27"/>
        <v>1.0182251897907695</v>
      </c>
      <c r="X18" s="2">
        <f t="shared" si="28"/>
        <v>1.0182251897907695</v>
      </c>
      <c r="Y18" s="2">
        <f t="shared" si="29"/>
        <v>1.0284074416886773</v>
      </c>
      <c r="Z18" s="2">
        <f t="shared" si="30"/>
        <v>1.0284074416886773</v>
      </c>
      <c r="AA18" s="2">
        <f t="shared" si="31"/>
        <v>1.0386915161055641</v>
      </c>
      <c r="AB18" s="2">
        <f t="shared" si="32"/>
        <v>1.0386915161055641</v>
      </c>
      <c r="AC18" s="2">
        <f t="shared" si="4"/>
        <v>1.0490784312666197</v>
      </c>
      <c r="AD18" s="2">
        <f t="shared" si="5"/>
        <v>1.0490784312666197</v>
      </c>
      <c r="AE18" s="2">
        <f t="shared" si="6"/>
        <v>1.059569215579286</v>
      </c>
      <c r="AF18" s="2">
        <f t="shared" si="7"/>
        <v>1.059569215579286</v>
      </c>
      <c r="AG18" s="2">
        <f t="shared" si="8"/>
        <v>1.0701649077350788</v>
      </c>
      <c r="AH18" s="2">
        <f t="shared" si="9"/>
        <v>1.0701649077350788</v>
      </c>
    </row>
    <row r="19" spans="1:34">
      <c r="A19" t="str">
        <f>CYF!A19</f>
        <v>Sorghum</v>
      </c>
      <c r="B19" t="str">
        <f>CYF!B19</f>
        <v>Gambela</v>
      </c>
      <c r="C19" s="2">
        <f>VLOOKUP($B19,Elec!$R$41:$S$51,2,0)/SUM(Elec!$S$41:$S$51)/2*VLOOKUP($A19,'Basic Feasibility'!$AB$14:$AC$19,2,0)</f>
        <v>0.85684196894151032</v>
      </c>
      <c r="D19" s="2">
        <f>VLOOKUP($B19,Elec!$R$41:$S$51,2,0)/SUM(Elec!$S$41:$S$51)/2*VLOOKUP($A19,'Basic Feasibility'!$AB$14:$AC$19,2,0)</f>
        <v>0.85684196894151032</v>
      </c>
      <c r="E19" s="2">
        <f t="shared" si="3"/>
        <v>0.86541038863092545</v>
      </c>
      <c r="F19" s="2">
        <f t="shared" si="10"/>
        <v>0.86541038863092545</v>
      </c>
      <c r="G19" s="2">
        <f t="shared" si="11"/>
        <v>0.87406449251723473</v>
      </c>
      <c r="H19" s="2">
        <f t="shared" si="12"/>
        <v>0.87406449251723473</v>
      </c>
      <c r="I19" s="2">
        <f t="shared" si="13"/>
        <v>0.88280513744240707</v>
      </c>
      <c r="J19" s="2">
        <f t="shared" si="14"/>
        <v>0.88280513744240707</v>
      </c>
      <c r="K19" s="2">
        <f t="shared" si="15"/>
        <v>0.89163318881683118</v>
      </c>
      <c r="L19" s="2">
        <f t="shared" si="16"/>
        <v>0.89163318881683118</v>
      </c>
      <c r="M19" s="2">
        <f t="shared" si="17"/>
        <v>0.9005495207049995</v>
      </c>
      <c r="N19" s="2">
        <f t="shared" si="18"/>
        <v>0.9005495207049995</v>
      </c>
      <c r="O19" s="2">
        <f t="shared" si="19"/>
        <v>0.90955501591204946</v>
      </c>
      <c r="P19" s="2">
        <f t="shared" si="20"/>
        <v>0.90955501591204946</v>
      </c>
      <c r="Q19" s="2">
        <f t="shared" si="21"/>
        <v>0.91865056607117002</v>
      </c>
      <c r="R19" s="2">
        <f t="shared" si="22"/>
        <v>0.91865056607117002</v>
      </c>
      <c r="S19" s="2">
        <f t="shared" si="23"/>
        <v>0.92783707173188168</v>
      </c>
      <c r="T19" s="2">
        <f t="shared" si="24"/>
        <v>0.92783707173188168</v>
      </c>
      <c r="U19" s="2">
        <f t="shared" si="25"/>
        <v>0.93711544244920053</v>
      </c>
      <c r="V19" s="2">
        <f t="shared" si="26"/>
        <v>0.93711544244920053</v>
      </c>
      <c r="W19" s="2">
        <f t="shared" si="27"/>
        <v>0.94648659687369252</v>
      </c>
      <c r="X19" s="2">
        <f t="shared" si="28"/>
        <v>0.94648659687369252</v>
      </c>
      <c r="Y19" s="2">
        <f t="shared" si="29"/>
        <v>0.95595146284242949</v>
      </c>
      <c r="Z19" s="2">
        <f t="shared" si="30"/>
        <v>0.95595146284242949</v>
      </c>
      <c r="AA19" s="2">
        <f t="shared" si="31"/>
        <v>0.96551097747085379</v>
      </c>
      <c r="AB19" s="2">
        <f t="shared" si="32"/>
        <v>0.96551097747085379</v>
      </c>
      <c r="AC19" s="2">
        <f t="shared" si="4"/>
        <v>0.97516608724556231</v>
      </c>
      <c r="AD19" s="2">
        <f t="shared" si="5"/>
        <v>0.97516608724556231</v>
      </c>
      <c r="AE19" s="2">
        <f t="shared" si="6"/>
        <v>0.98491774811801791</v>
      </c>
      <c r="AF19" s="2">
        <f t="shared" si="7"/>
        <v>0.98491774811801791</v>
      </c>
      <c r="AG19" s="2">
        <f t="shared" si="8"/>
        <v>0.9947669255991981</v>
      </c>
      <c r="AH19" s="2">
        <f t="shared" si="9"/>
        <v>0.9947669255991981</v>
      </c>
    </row>
    <row r="20" spans="1:34">
      <c r="A20" t="str">
        <f>CYF!A20</f>
        <v>Sorghum</v>
      </c>
      <c r="B20" t="str">
        <f>CYF!B20</f>
        <v>Harari</v>
      </c>
      <c r="C20" s="2">
        <f>VLOOKUP($B20,Elec!$R$41:$S$51,2,0)/SUM(Elec!$S$41:$S$51)/2*VLOOKUP($A20,'Basic Feasibility'!$AB$14:$AC$19,2,0)</f>
        <v>0.48603260829934086</v>
      </c>
      <c r="D20" s="2">
        <f>VLOOKUP($B20,Elec!$R$41:$S$51,2,0)/SUM(Elec!$S$41:$S$51)/2*VLOOKUP($A20,'Basic Feasibility'!$AB$14:$AC$19,2,0)</f>
        <v>0.48603260829934086</v>
      </c>
      <c r="E20" s="2">
        <f t="shared" si="3"/>
        <v>0.49089293438233428</v>
      </c>
      <c r="F20" s="2">
        <f t="shared" si="10"/>
        <v>0.49089293438233428</v>
      </c>
      <c r="G20" s="2">
        <f t="shared" si="11"/>
        <v>0.49580186372615764</v>
      </c>
      <c r="H20" s="2">
        <f t="shared" si="12"/>
        <v>0.49580186372615764</v>
      </c>
      <c r="I20" s="2">
        <f t="shared" si="13"/>
        <v>0.50075988236341917</v>
      </c>
      <c r="J20" s="2">
        <f t="shared" si="14"/>
        <v>0.50075988236341917</v>
      </c>
      <c r="K20" s="2">
        <f t="shared" si="15"/>
        <v>0.50576748118705339</v>
      </c>
      <c r="L20" s="2">
        <f t="shared" si="16"/>
        <v>0.50576748118705339</v>
      </c>
      <c r="M20" s="2">
        <f t="shared" si="17"/>
        <v>0.51082515599892397</v>
      </c>
      <c r="N20" s="2">
        <f t="shared" si="18"/>
        <v>0.51082515599892397</v>
      </c>
      <c r="O20" s="2">
        <f t="shared" si="19"/>
        <v>0.51593340755891326</v>
      </c>
      <c r="P20" s="2">
        <f t="shared" si="20"/>
        <v>0.51593340755891326</v>
      </c>
      <c r="Q20" s="2">
        <f t="shared" si="21"/>
        <v>0.52109274163450237</v>
      </c>
      <c r="R20" s="2">
        <f t="shared" si="22"/>
        <v>0.52109274163450237</v>
      </c>
      <c r="S20" s="2">
        <f t="shared" si="23"/>
        <v>0.52630366905084736</v>
      </c>
      <c r="T20" s="2">
        <f t="shared" si="24"/>
        <v>0.52630366905084736</v>
      </c>
      <c r="U20" s="2">
        <f t="shared" si="25"/>
        <v>0.53156670574135578</v>
      </c>
      <c r="V20" s="2">
        <f t="shared" si="26"/>
        <v>0.53156670574135578</v>
      </c>
      <c r="W20" s="2">
        <f t="shared" si="27"/>
        <v>0.53688237279876938</v>
      </c>
      <c r="X20" s="2">
        <f t="shared" si="28"/>
        <v>0.53688237279876938</v>
      </c>
      <c r="Y20" s="2">
        <f t="shared" si="29"/>
        <v>0.54225119652675713</v>
      </c>
      <c r="Z20" s="2">
        <f t="shared" si="30"/>
        <v>0.54225119652675713</v>
      </c>
      <c r="AA20" s="2">
        <f t="shared" si="31"/>
        <v>0.54767370849202468</v>
      </c>
      <c r="AB20" s="2">
        <f t="shared" si="32"/>
        <v>0.54767370849202468</v>
      </c>
      <c r="AC20" s="2">
        <f t="shared" si="4"/>
        <v>0.55315044557694493</v>
      </c>
      <c r="AD20" s="2">
        <f t="shared" si="5"/>
        <v>0.55315044557694493</v>
      </c>
      <c r="AE20" s="2">
        <f t="shared" si="6"/>
        <v>0.55868195003271437</v>
      </c>
      <c r="AF20" s="2">
        <f t="shared" si="7"/>
        <v>0.55868195003271437</v>
      </c>
      <c r="AG20" s="2">
        <f t="shared" si="8"/>
        <v>0.5642687695330415</v>
      </c>
      <c r="AH20" s="2">
        <f t="shared" si="9"/>
        <v>0.5642687695330415</v>
      </c>
    </row>
    <row r="21" spans="1:34">
      <c r="A21" t="str">
        <f>CYF!A21</f>
        <v>Sorghum</v>
      </c>
      <c r="B21" t="str">
        <f>CYF!B21</f>
        <v>Oromia</v>
      </c>
      <c r="C21" s="2">
        <f>VLOOKUP($B21,Elec!$R$41:$S$51,2,0)/SUM(Elec!$S$41:$S$51)/2*VLOOKUP($A21,'Basic Feasibility'!$AB$14:$AC$19,2,0)</f>
        <v>70.583666546643926</v>
      </c>
      <c r="D21" s="2">
        <f>VLOOKUP($B21,Elec!$R$41:$S$51,2,0)/SUM(Elec!$S$41:$S$51)/2*VLOOKUP($A21,'Basic Feasibility'!$AB$14:$AC$19,2,0)</f>
        <v>70.583666546643926</v>
      </c>
      <c r="E21" s="2">
        <f t="shared" si="3"/>
        <v>71.289503212110361</v>
      </c>
      <c r="F21" s="2">
        <f t="shared" si="10"/>
        <v>71.289503212110361</v>
      </c>
      <c r="G21" s="2">
        <f t="shared" si="11"/>
        <v>72.002398244231472</v>
      </c>
      <c r="H21" s="2">
        <f t="shared" si="12"/>
        <v>72.002398244231472</v>
      </c>
      <c r="I21" s="2">
        <f t="shared" si="13"/>
        <v>72.722422226673785</v>
      </c>
      <c r="J21" s="2">
        <f t="shared" si="14"/>
        <v>72.722422226673785</v>
      </c>
      <c r="K21" s="2">
        <f t="shared" si="15"/>
        <v>73.449646448940527</v>
      </c>
      <c r="L21" s="2">
        <f t="shared" si="16"/>
        <v>73.449646448940527</v>
      </c>
      <c r="M21" s="2">
        <f t="shared" si="17"/>
        <v>74.184142913429937</v>
      </c>
      <c r="N21" s="2">
        <f t="shared" si="18"/>
        <v>74.184142913429937</v>
      </c>
      <c r="O21" s="2">
        <f t="shared" si="19"/>
        <v>74.925984342564234</v>
      </c>
      <c r="P21" s="2">
        <f t="shared" si="20"/>
        <v>74.925984342564234</v>
      </c>
      <c r="Q21" s="2">
        <f t="shared" si="21"/>
        <v>75.675244185989882</v>
      </c>
      <c r="R21" s="2">
        <f t="shared" si="22"/>
        <v>75.675244185989882</v>
      </c>
      <c r="S21" s="2">
        <f t="shared" si="23"/>
        <v>76.431996627849784</v>
      </c>
      <c r="T21" s="2">
        <f t="shared" si="24"/>
        <v>76.431996627849784</v>
      </c>
      <c r="U21" s="2">
        <f t="shared" si="25"/>
        <v>77.196316594128277</v>
      </c>
      <c r="V21" s="2">
        <f t="shared" si="26"/>
        <v>77.196316594128277</v>
      </c>
      <c r="W21" s="2">
        <f t="shared" si="27"/>
        <v>77.968279760069564</v>
      </c>
      <c r="X21" s="2">
        <f t="shared" si="28"/>
        <v>77.968279760069564</v>
      </c>
      <c r="Y21" s="2">
        <f t="shared" si="29"/>
        <v>78.747962557670263</v>
      </c>
      <c r="Z21" s="2">
        <f t="shared" si="30"/>
        <v>78.747962557670263</v>
      </c>
      <c r="AA21" s="2">
        <f t="shared" si="31"/>
        <v>79.535442183246971</v>
      </c>
      <c r="AB21" s="2">
        <f t="shared" si="32"/>
        <v>79.535442183246971</v>
      </c>
      <c r="AC21" s="2">
        <f t="shared" si="4"/>
        <v>80.330796605079442</v>
      </c>
      <c r="AD21" s="2">
        <f t="shared" si="5"/>
        <v>80.330796605079442</v>
      </c>
      <c r="AE21" s="2">
        <f t="shared" si="6"/>
        <v>81.134104571130237</v>
      </c>
      <c r="AF21" s="2">
        <f t="shared" si="7"/>
        <v>81.134104571130237</v>
      </c>
      <c r="AG21" s="2">
        <f t="shared" si="8"/>
        <v>81.945445616841539</v>
      </c>
      <c r="AH21" s="2">
        <f t="shared" si="9"/>
        <v>81.945445616841539</v>
      </c>
    </row>
    <row r="22" spans="1:34">
      <c r="A22" t="str">
        <f>CYF!A22</f>
        <v>Sorghum</v>
      </c>
      <c r="B22" t="str">
        <f>CYF!B22</f>
        <v>Somali</v>
      </c>
      <c r="C22" s="2">
        <f>VLOOKUP($B22,Elec!$R$41:$S$51,2,0)/SUM(Elec!$S$41:$S$51)/2*VLOOKUP($A22,'Basic Feasibility'!$AB$14:$AC$19,2,0)</f>
        <v>11.42386126317373</v>
      </c>
      <c r="D22" s="2">
        <f>VLOOKUP($B22,Elec!$R$41:$S$51,2,0)/SUM(Elec!$S$41:$S$51)/2*VLOOKUP($A22,'Basic Feasibility'!$AB$14:$AC$19,2,0)</f>
        <v>11.42386126317373</v>
      </c>
      <c r="E22" s="2">
        <f t="shared" si="3"/>
        <v>11.538099875805468</v>
      </c>
      <c r="F22" s="2">
        <f t="shared" si="10"/>
        <v>11.538099875805468</v>
      </c>
      <c r="G22" s="2">
        <f t="shared" si="11"/>
        <v>11.653480874563522</v>
      </c>
      <c r="H22" s="2">
        <f t="shared" si="12"/>
        <v>11.653480874563522</v>
      </c>
      <c r="I22" s="2">
        <f t="shared" si="13"/>
        <v>11.770015683309158</v>
      </c>
      <c r="J22" s="2">
        <f t="shared" si="14"/>
        <v>11.770015683309158</v>
      </c>
      <c r="K22" s="2">
        <f t="shared" si="15"/>
        <v>11.887715840142249</v>
      </c>
      <c r="L22" s="2">
        <f t="shared" si="16"/>
        <v>11.887715840142249</v>
      </c>
      <c r="M22" s="2">
        <f t="shared" si="17"/>
        <v>12.006592998543672</v>
      </c>
      <c r="N22" s="2">
        <f t="shared" si="18"/>
        <v>12.006592998543672</v>
      </c>
      <c r="O22" s="2">
        <f t="shared" si="19"/>
        <v>12.126658928529109</v>
      </c>
      <c r="P22" s="2">
        <f t="shared" si="20"/>
        <v>12.126658928529109</v>
      </c>
      <c r="Q22" s="2">
        <f t="shared" si="21"/>
        <v>12.2479255178144</v>
      </c>
      <c r="R22" s="2">
        <f t="shared" si="22"/>
        <v>12.2479255178144</v>
      </c>
      <c r="S22" s="2">
        <f t="shared" si="23"/>
        <v>12.370404772992543</v>
      </c>
      <c r="T22" s="2">
        <f t="shared" si="24"/>
        <v>12.370404772992543</v>
      </c>
      <c r="U22" s="2">
        <f t="shared" si="25"/>
        <v>12.494108820722468</v>
      </c>
      <c r="V22" s="2">
        <f t="shared" si="26"/>
        <v>12.494108820722468</v>
      </c>
      <c r="W22" s="2">
        <f t="shared" si="27"/>
        <v>12.619049908929693</v>
      </c>
      <c r="X22" s="2">
        <f t="shared" si="28"/>
        <v>12.619049908929693</v>
      </c>
      <c r="Y22" s="2">
        <f t="shared" si="29"/>
        <v>12.74524040801899</v>
      </c>
      <c r="Z22" s="2">
        <f t="shared" si="30"/>
        <v>12.74524040801899</v>
      </c>
      <c r="AA22" s="2">
        <f t="shared" si="31"/>
        <v>12.87269281209918</v>
      </c>
      <c r="AB22" s="2">
        <f t="shared" si="32"/>
        <v>12.87269281209918</v>
      </c>
      <c r="AC22" s="2">
        <f t="shared" si="4"/>
        <v>13.001419740220172</v>
      </c>
      <c r="AD22" s="2">
        <f t="shared" si="5"/>
        <v>13.001419740220172</v>
      </c>
      <c r="AE22" s="2">
        <f t="shared" si="6"/>
        <v>13.131433937622374</v>
      </c>
      <c r="AF22" s="2">
        <f t="shared" si="7"/>
        <v>13.131433937622374</v>
      </c>
      <c r="AG22" s="2">
        <f t="shared" si="8"/>
        <v>13.262748276998598</v>
      </c>
      <c r="AH22" s="2">
        <f t="shared" si="9"/>
        <v>13.262748276998598</v>
      </c>
    </row>
    <row r="23" spans="1:34">
      <c r="A23" t="str">
        <f>CYF!A23</f>
        <v>Sorghum</v>
      </c>
      <c r="B23" t="str">
        <f>CYF!B23</f>
        <v>SNNPR</v>
      </c>
      <c r="C23" s="2">
        <f>VLOOKUP($B23,Elec!$R$41:$S$51,2,0)/SUM(Elec!$S$41:$S$51)/2*VLOOKUP($A23,'Basic Feasibility'!$AB$14:$AC$19,2,0)</f>
        <v>38.287637712408419</v>
      </c>
      <c r="D23" s="2">
        <f>VLOOKUP($B23,Elec!$R$41:$S$51,2,0)/SUM(Elec!$S$41:$S$51)/2*VLOOKUP($A23,'Basic Feasibility'!$AB$14:$AC$19,2,0)</f>
        <v>38.287637712408419</v>
      </c>
      <c r="E23" s="2">
        <f t="shared" si="3"/>
        <v>38.670514089532503</v>
      </c>
      <c r="F23" s="2">
        <f t="shared" si="10"/>
        <v>38.670514089532503</v>
      </c>
      <c r="G23" s="2">
        <f t="shared" si="11"/>
        <v>39.057219230427826</v>
      </c>
      <c r="H23" s="2">
        <f t="shared" si="12"/>
        <v>39.057219230427826</v>
      </c>
      <c r="I23" s="2">
        <f t="shared" si="13"/>
        <v>39.447791422732102</v>
      </c>
      <c r="J23" s="2">
        <f t="shared" si="14"/>
        <v>39.447791422732102</v>
      </c>
      <c r="K23" s="2">
        <f t="shared" si="15"/>
        <v>39.842269336959426</v>
      </c>
      <c r="L23" s="2">
        <f t="shared" si="16"/>
        <v>39.842269336959426</v>
      </c>
      <c r="M23" s="2">
        <f t="shared" si="17"/>
        <v>40.240692030329022</v>
      </c>
      <c r="N23" s="2">
        <f t="shared" si="18"/>
        <v>40.240692030329022</v>
      </c>
      <c r="O23" s="2">
        <f t="shared" si="19"/>
        <v>40.643098950632314</v>
      </c>
      <c r="P23" s="2">
        <f t="shared" si="20"/>
        <v>40.643098950632314</v>
      </c>
      <c r="Q23" s="2">
        <f t="shared" si="21"/>
        <v>41.04952994013864</v>
      </c>
      <c r="R23" s="2">
        <f t="shared" si="22"/>
        <v>41.04952994013864</v>
      </c>
      <c r="S23" s="2">
        <f t="shared" si="23"/>
        <v>41.46002523954003</v>
      </c>
      <c r="T23" s="2">
        <f t="shared" si="24"/>
        <v>41.46002523954003</v>
      </c>
      <c r="U23" s="2">
        <f t="shared" si="25"/>
        <v>41.874625491935433</v>
      </c>
      <c r="V23" s="2">
        <f t="shared" si="26"/>
        <v>41.874625491935433</v>
      </c>
      <c r="W23" s="2">
        <f t="shared" si="27"/>
        <v>42.293371746854788</v>
      </c>
      <c r="X23" s="2">
        <f t="shared" si="28"/>
        <v>42.293371746854788</v>
      </c>
      <c r="Y23" s="2">
        <f t="shared" si="29"/>
        <v>42.716305464323334</v>
      </c>
      <c r="Z23" s="2">
        <f t="shared" si="30"/>
        <v>42.716305464323334</v>
      </c>
      <c r="AA23" s="2">
        <f t="shared" si="31"/>
        <v>43.143468518966564</v>
      </c>
      <c r="AB23" s="2">
        <f t="shared" si="32"/>
        <v>43.143468518966564</v>
      </c>
      <c r="AC23" s="2">
        <f t="shared" si="4"/>
        <v>43.574903204156229</v>
      </c>
      <c r="AD23" s="2">
        <f t="shared" si="5"/>
        <v>43.574903204156229</v>
      </c>
      <c r="AE23" s="2">
        <f t="shared" si="6"/>
        <v>44.010652236197792</v>
      </c>
      <c r="AF23" s="2">
        <f t="shared" si="7"/>
        <v>44.010652236197792</v>
      </c>
      <c r="AG23" s="2">
        <f t="shared" si="8"/>
        <v>44.450758758559772</v>
      </c>
      <c r="AH23" s="2">
        <f t="shared" si="9"/>
        <v>44.450758758559772</v>
      </c>
    </row>
    <row r="24" spans="1:34">
      <c r="A24" t="str">
        <f>CYF!A24</f>
        <v>Sorghum</v>
      </c>
      <c r="B24" t="str">
        <f>CYF!B24</f>
        <v>Tigray</v>
      </c>
      <c r="C24" s="2">
        <f>VLOOKUP($B24,Elec!$R$41:$S$51,2,0)/SUM(Elec!$S$41:$S$51)/2*VLOOKUP($A24,'Basic Feasibility'!$AB$14:$AC$19,2,0)</f>
        <v>10.592158911902875</v>
      </c>
      <c r="D24" s="2">
        <f>VLOOKUP($B24,Elec!$R$41:$S$51,2,0)/SUM(Elec!$S$41:$S$51)/2*VLOOKUP($A24,'Basic Feasibility'!$AB$14:$AC$19,2,0)</f>
        <v>10.592158911902875</v>
      </c>
      <c r="E24" s="2">
        <f t="shared" si="3"/>
        <v>10.698080501021904</v>
      </c>
      <c r="F24" s="2">
        <f t="shared" si="10"/>
        <v>10.698080501021904</v>
      </c>
      <c r="G24" s="2">
        <f t="shared" si="11"/>
        <v>10.805061306032123</v>
      </c>
      <c r="H24" s="2">
        <f t="shared" si="12"/>
        <v>10.805061306032123</v>
      </c>
      <c r="I24" s="2">
        <f t="shared" si="13"/>
        <v>10.913111919092444</v>
      </c>
      <c r="J24" s="2">
        <f t="shared" si="14"/>
        <v>10.913111919092444</v>
      </c>
      <c r="K24" s="2">
        <f t="shared" si="15"/>
        <v>11.022243038283369</v>
      </c>
      <c r="L24" s="2">
        <f t="shared" si="16"/>
        <v>11.022243038283369</v>
      </c>
      <c r="M24" s="2">
        <f t="shared" si="17"/>
        <v>11.132465468666203</v>
      </c>
      <c r="N24" s="2">
        <f t="shared" si="18"/>
        <v>11.132465468666203</v>
      </c>
      <c r="O24" s="2">
        <f t="shared" si="19"/>
        <v>11.243790123352865</v>
      </c>
      <c r="P24" s="2">
        <f t="shared" si="20"/>
        <v>11.243790123352865</v>
      </c>
      <c r="Q24" s="2">
        <f t="shared" si="21"/>
        <v>11.356228024586393</v>
      </c>
      <c r="R24" s="2">
        <f t="shared" si="22"/>
        <v>11.356228024586393</v>
      </c>
      <c r="S24" s="2">
        <f t="shared" si="23"/>
        <v>11.469790304832257</v>
      </c>
      <c r="T24" s="2">
        <f t="shared" si="24"/>
        <v>11.469790304832257</v>
      </c>
      <c r="U24" s="2">
        <f t="shared" si="25"/>
        <v>11.584488207880579</v>
      </c>
      <c r="V24" s="2">
        <f t="shared" si="26"/>
        <v>11.584488207880579</v>
      </c>
      <c r="W24" s="2">
        <f t="shared" si="27"/>
        <v>11.700333089959384</v>
      </c>
      <c r="X24" s="2">
        <f t="shared" si="28"/>
        <v>11.700333089959384</v>
      </c>
      <c r="Y24" s="2">
        <f t="shared" si="29"/>
        <v>11.817336420858979</v>
      </c>
      <c r="Z24" s="2">
        <f t="shared" si="30"/>
        <v>11.817336420858979</v>
      </c>
      <c r="AA24" s="2">
        <f t="shared" si="31"/>
        <v>11.935509785067568</v>
      </c>
      <c r="AB24" s="2">
        <f t="shared" si="32"/>
        <v>11.935509785067568</v>
      </c>
      <c r="AC24" s="2">
        <f t="shared" si="4"/>
        <v>12.054864882918244</v>
      </c>
      <c r="AD24" s="2">
        <f t="shared" si="5"/>
        <v>12.054864882918244</v>
      </c>
      <c r="AE24" s="2">
        <f t="shared" si="6"/>
        <v>12.175413531747425</v>
      </c>
      <c r="AF24" s="2">
        <f t="shared" si="7"/>
        <v>12.175413531747425</v>
      </c>
      <c r="AG24" s="2">
        <f t="shared" si="8"/>
        <v>12.297167667064899</v>
      </c>
      <c r="AH24" s="2">
        <f t="shared" si="9"/>
        <v>12.297167667064899</v>
      </c>
    </row>
    <row r="25" spans="1:34">
      <c r="A25" t="str">
        <f>CYF!A25</f>
        <v>Maize</v>
      </c>
      <c r="B25" t="str">
        <f>CYF!B25</f>
        <v>AddisAbaba</v>
      </c>
      <c r="C25" s="2">
        <f>VLOOKUP($B25,Elec!$R$41:$S$51,2,0)/SUM(Elec!$S$41:$S$51)/2*VLOOKUP($A25,'Basic Feasibility'!$AB$14:$AC$19,2,0)</f>
        <v>5.7353423649565647</v>
      </c>
      <c r="D25" s="2">
        <f>VLOOKUP($B25,Elec!$R$41:$S$51,2,0)/SUM(Elec!$S$41:$S$51)/2*VLOOKUP($A25,'Basic Feasibility'!$AB$14:$AC$19,2,0)</f>
        <v>5.7353423649565647</v>
      </c>
      <c r="E25" s="2">
        <f t="shared" si="3"/>
        <v>5.7926957886061308</v>
      </c>
      <c r="F25" s="2">
        <f t="shared" si="10"/>
        <v>5.7926957886061308</v>
      </c>
      <c r="G25" s="2">
        <f t="shared" si="11"/>
        <v>5.8506227464921921</v>
      </c>
      <c r="H25" s="2">
        <f t="shared" si="12"/>
        <v>5.8506227464921921</v>
      </c>
      <c r="I25" s="2">
        <f t="shared" si="13"/>
        <v>5.909128973957114</v>
      </c>
      <c r="J25" s="2">
        <f t="shared" si="14"/>
        <v>5.909128973957114</v>
      </c>
      <c r="K25" s="2">
        <f t="shared" si="15"/>
        <v>5.9682202636966855</v>
      </c>
      <c r="L25" s="2">
        <f t="shared" si="16"/>
        <v>5.9682202636966855</v>
      </c>
      <c r="M25" s="2">
        <f t="shared" si="17"/>
        <v>6.0279024663336527</v>
      </c>
      <c r="N25" s="2">
        <f t="shared" si="18"/>
        <v>6.0279024663336527</v>
      </c>
      <c r="O25" s="2">
        <f t="shared" si="19"/>
        <v>6.0881814909969894</v>
      </c>
      <c r="P25" s="2">
        <f t="shared" si="20"/>
        <v>6.0881814909969894</v>
      </c>
      <c r="Q25" s="2">
        <f t="shared" si="21"/>
        <v>6.1490633059069593</v>
      </c>
      <c r="R25" s="2">
        <f t="shared" si="22"/>
        <v>6.1490633059069593</v>
      </c>
      <c r="S25" s="2">
        <f t="shared" si="23"/>
        <v>6.2105539389660285</v>
      </c>
      <c r="T25" s="2">
        <f t="shared" si="24"/>
        <v>6.2105539389660285</v>
      </c>
      <c r="U25" s="2">
        <f t="shared" si="25"/>
        <v>6.2726594783556884</v>
      </c>
      <c r="V25" s="2">
        <f t="shared" si="26"/>
        <v>6.2726594783556884</v>
      </c>
      <c r="W25" s="2">
        <f t="shared" si="27"/>
        <v>6.3353860731392455</v>
      </c>
      <c r="X25" s="2">
        <f t="shared" si="28"/>
        <v>6.3353860731392455</v>
      </c>
      <c r="Y25" s="2">
        <f t="shared" si="29"/>
        <v>6.3987399338706377</v>
      </c>
      <c r="Z25" s="2">
        <f t="shared" si="30"/>
        <v>6.3987399338706377</v>
      </c>
      <c r="AA25" s="2">
        <f t="shared" si="31"/>
        <v>6.4627273332093438</v>
      </c>
      <c r="AB25" s="2">
        <f t="shared" si="32"/>
        <v>6.4627273332093438</v>
      </c>
      <c r="AC25" s="2">
        <f t="shared" si="4"/>
        <v>6.5273546065414374</v>
      </c>
      <c r="AD25" s="2">
        <f t="shared" si="5"/>
        <v>6.5273546065414374</v>
      </c>
      <c r="AE25" s="2">
        <f t="shared" si="6"/>
        <v>6.592628152606852</v>
      </c>
      <c r="AF25" s="2">
        <f t="shared" si="7"/>
        <v>6.592628152606852</v>
      </c>
      <c r="AG25" s="2">
        <f t="shared" si="8"/>
        <v>6.6585544341329204</v>
      </c>
      <c r="AH25" s="2">
        <f t="shared" si="9"/>
        <v>6.6585544341329204</v>
      </c>
    </row>
    <row r="26" spans="1:34">
      <c r="A26" t="str">
        <f>CYF!A26</f>
        <v>Maize</v>
      </c>
      <c r="B26" t="str">
        <f>CYF!B26</f>
        <v>Afar</v>
      </c>
      <c r="C26" s="2">
        <f>VLOOKUP($B26,Elec!$R$41:$S$51,2,0)/SUM(Elec!$S$41:$S$51)/2*VLOOKUP($A26,'Basic Feasibility'!$AB$14:$AC$19,2,0)</f>
        <v>3.019246836180923</v>
      </c>
      <c r="D26" s="2">
        <f>VLOOKUP($B26,Elec!$R$41:$S$51,2,0)/SUM(Elec!$S$41:$S$51)/2*VLOOKUP($A26,'Basic Feasibility'!$AB$14:$AC$19,2,0)</f>
        <v>3.019246836180923</v>
      </c>
      <c r="E26" s="2">
        <f t="shared" si="3"/>
        <v>3.0494393045427324</v>
      </c>
      <c r="F26" s="2">
        <f t="shared" si="10"/>
        <v>3.0494393045427324</v>
      </c>
      <c r="G26" s="2">
        <f t="shared" si="11"/>
        <v>3.0799336975881597</v>
      </c>
      <c r="H26" s="2">
        <f t="shared" si="12"/>
        <v>3.0799336975881597</v>
      </c>
      <c r="I26" s="2">
        <f t="shared" si="13"/>
        <v>3.1107330345640412</v>
      </c>
      <c r="J26" s="2">
        <f t="shared" si="14"/>
        <v>3.1107330345640412</v>
      </c>
      <c r="K26" s="2">
        <f t="shared" si="15"/>
        <v>3.1418403649096818</v>
      </c>
      <c r="L26" s="2">
        <f t="shared" si="16"/>
        <v>3.1418403649096818</v>
      </c>
      <c r="M26" s="2">
        <f t="shared" si="17"/>
        <v>3.1732587685587785</v>
      </c>
      <c r="N26" s="2">
        <f t="shared" si="18"/>
        <v>3.1732587685587785</v>
      </c>
      <c r="O26" s="2">
        <f t="shared" si="19"/>
        <v>3.2049913562443662</v>
      </c>
      <c r="P26" s="2">
        <f t="shared" si="20"/>
        <v>3.2049913562443662</v>
      </c>
      <c r="Q26" s="2">
        <f t="shared" si="21"/>
        <v>3.2370412698068098</v>
      </c>
      <c r="R26" s="2">
        <f t="shared" si="22"/>
        <v>3.2370412698068098</v>
      </c>
      <c r="S26" s="2">
        <f t="shared" si="23"/>
        <v>3.2694116825048778</v>
      </c>
      <c r="T26" s="2">
        <f t="shared" si="24"/>
        <v>3.2694116825048778</v>
      </c>
      <c r="U26" s="2">
        <f t="shared" si="25"/>
        <v>3.3021057993299268</v>
      </c>
      <c r="V26" s="2">
        <f t="shared" si="26"/>
        <v>3.3021057993299268</v>
      </c>
      <c r="W26" s="2">
        <f t="shared" si="27"/>
        <v>3.335126857323226</v>
      </c>
      <c r="X26" s="2">
        <f t="shared" si="28"/>
        <v>3.335126857323226</v>
      </c>
      <c r="Y26" s="2">
        <f t="shared" si="29"/>
        <v>3.3684781258964582</v>
      </c>
      <c r="Z26" s="2">
        <f t="shared" si="30"/>
        <v>3.3684781258964582</v>
      </c>
      <c r="AA26" s="2">
        <f t="shared" si="31"/>
        <v>3.4021629071554229</v>
      </c>
      <c r="AB26" s="2">
        <f t="shared" si="32"/>
        <v>3.4021629071554229</v>
      </c>
      <c r="AC26" s="2">
        <f t="shared" si="4"/>
        <v>3.4361845362269769</v>
      </c>
      <c r="AD26" s="2">
        <f t="shared" si="5"/>
        <v>3.4361845362269769</v>
      </c>
      <c r="AE26" s="2">
        <f t="shared" si="6"/>
        <v>3.4705463815892466</v>
      </c>
      <c r="AF26" s="2">
        <f t="shared" si="7"/>
        <v>3.4705463815892466</v>
      </c>
      <c r="AG26" s="2">
        <f t="shared" si="8"/>
        <v>3.5052518454051391</v>
      </c>
      <c r="AH26" s="2">
        <f t="shared" si="9"/>
        <v>3.5052518454051391</v>
      </c>
    </row>
    <row r="27" spans="1:34">
      <c r="A27" t="str">
        <f>CYF!A27</f>
        <v>Maize</v>
      </c>
      <c r="B27" t="str">
        <f>CYF!B27</f>
        <v>Amhara</v>
      </c>
      <c r="C27" s="2">
        <f>VLOOKUP($B27,Elec!$R$41:$S$51,2,0)/SUM(Elec!$S$41:$S$51)/2*VLOOKUP($A27,'Basic Feasibility'!$AB$14:$AC$19,2,0)</f>
        <v>35.749074117775393</v>
      </c>
      <c r="D27" s="2">
        <f>VLOOKUP($B27,Elec!$R$41:$S$51,2,0)/SUM(Elec!$S$41:$S$51)/2*VLOOKUP($A27,'Basic Feasibility'!$AB$14:$AC$19,2,0)</f>
        <v>35.749074117775393</v>
      </c>
      <c r="E27" s="2">
        <f t="shared" si="3"/>
        <v>36.106564858953149</v>
      </c>
      <c r="F27" s="2">
        <f t="shared" si="10"/>
        <v>36.106564858953149</v>
      </c>
      <c r="G27" s="2">
        <f t="shared" si="11"/>
        <v>36.46763050754268</v>
      </c>
      <c r="H27" s="2">
        <f t="shared" si="12"/>
        <v>36.46763050754268</v>
      </c>
      <c r="I27" s="2">
        <f t="shared" si="13"/>
        <v>36.832306812618107</v>
      </c>
      <c r="J27" s="2">
        <f t="shared" si="14"/>
        <v>36.832306812618107</v>
      </c>
      <c r="K27" s="2">
        <f t="shared" si="15"/>
        <v>37.200629880744287</v>
      </c>
      <c r="L27" s="2">
        <f t="shared" si="16"/>
        <v>37.200629880744287</v>
      </c>
      <c r="M27" s="2">
        <f t="shared" si="17"/>
        <v>37.572636179551729</v>
      </c>
      <c r="N27" s="2">
        <f t="shared" si="18"/>
        <v>37.572636179551729</v>
      </c>
      <c r="O27" s="2">
        <f t="shared" si="19"/>
        <v>37.948362541347244</v>
      </c>
      <c r="P27" s="2">
        <f t="shared" si="20"/>
        <v>37.948362541347244</v>
      </c>
      <c r="Q27" s="2">
        <f t="shared" si="21"/>
        <v>38.327846166760715</v>
      </c>
      <c r="R27" s="2">
        <f t="shared" si="22"/>
        <v>38.327846166760715</v>
      </c>
      <c r="S27" s="2">
        <f t="shared" si="23"/>
        <v>38.711124628428323</v>
      </c>
      <c r="T27" s="2">
        <f t="shared" si="24"/>
        <v>38.711124628428323</v>
      </c>
      <c r="U27" s="2">
        <f t="shared" si="25"/>
        <v>39.098235874712607</v>
      </c>
      <c r="V27" s="2">
        <f t="shared" si="26"/>
        <v>39.098235874712607</v>
      </c>
      <c r="W27" s="2">
        <f t="shared" si="27"/>
        <v>39.489218233459731</v>
      </c>
      <c r="X27" s="2">
        <f t="shared" si="28"/>
        <v>39.489218233459731</v>
      </c>
      <c r="Y27" s="2">
        <f t="shared" si="29"/>
        <v>39.884110415794325</v>
      </c>
      <c r="Z27" s="2">
        <f t="shared" si="30"/>
        <v>39.884110415794325</v>
      </c>
      <c r="AA27" s="2">
        <f t="shared" si="31"/>
        <v>40.28295151995227</v>
      </c>
      <c r="AB27" s="2">
        <f t="shared" si="32"/>
        <v>40.28295151995227</v>
      </c>
      <c r="AC27" s="2">
        <f t="shared" si="4"/>
        <v>40.685781035151791</v>
      </c>
      <c r="AD27" s="2">
        <f t="shared" si="5"/>
        <v>40.685781035151791</v>
      </c>
      <c r="AE27" s="2">
        <f t="shared" si="6"/>
        <v>41.092638845503309</v>
      </c>
      <c r="AF27" s="2">
        <f t="shared" si="7"/>
        <v>41.092638845503309</v>
      </c>
      <c r="AG27" s="2">
        <f t="shared" si="8"/>
        <v>41.503565233958341</v>
      </c>
      <c r="AH27" s="2">
        <f t="shared" si="9"/>
        <v>41.503565233958341</v>
      </c>
    </row>
    <row r="28" spans="1:34">
      <c r="A28" t="str">
        <f>CYF!A28</f>
        <v>Maize</v>
      </c>
      <c r="B28" t="str">
        <f>CYF!B28</f>
        <v>Gumuz</v>
      </c>
      <c r="C28" s="2">
        <f>VLOOKUP($B28,Elec!$R$41:$S$51,2,0)/SUM(Elec!$S$41:$S$51)/2*VLOOKUP($A28,'Basic Feasibility'!$AB$14:$AC$19,2,0)</f>
        <v>1.761081294464206</v>
      </c>
      <c r="D28" s="2">
        <f>VLOOKUP($B28,Elec!$R$41:$S$51,2,0)/SUM(Elec!$S$41:$S$51)/2*VLOOKUP($A28,'Basic Feasibility'!$AB$14:$AC$19,2,0)</f>
        <v>1.761081294464206</v>
      </c>
      <c r="E28" s="2">
        <f t="shared" si="3"/>
        <v>1.7786921074088482</v>
      </c>
      <c r="F28" s="2">
        <f t="shared" si="10"/>
        <v>1.7786921074088482</v>
      </c>
      <c r="G28" s="2">
        <f t="shared" si="11"/>
        <v>1.7964790284829366</v>
      </c>
      <c r="H28" s="2">
        <f t="shared" si="12"/>
        <v>1.7964790284829366</v>
      </c>
      <c r="I28" s="2">
        <f t="shared" si="13"/>
        <v>1.8144438187677661</v>
      </c>
      <c r="J28" s="2">
        <f t="shared" si="14"/>
        <v>1.8144438187677661</v>
      </c>
      <c r="K28" s="2">
        <f t="shared" si="15"/>
        <v>1.8325882569554437</v>
      </c>
      <c r="L28" s="2">
        <f t="shared" si="16"/>
        <v>1.8325882569554437</v>
      </c>
      <c r="M28" s="2">
        <f t="shared" si="17"/>
        <v>1.8509141395249982</v>
      </c>
      <c r="N28" s="2">
        <f t="shared" si="18"/>
        <v>1.8509141395249982</v>
      </c>
      <c r="O28" s="2">
        <f t="shared" si="19"/>
        <v>1.8694232809202482</v>
      </c>
      <c r="P28" s="2">
        <f t="shared" si="20"/>
        <v>1.8694232809202482</v>
      </c>
      <c r="Q28" s="2">
        <f t="shared" si="21"/>
        <v>1.8881175137294508</v>
      </c>
      <c r="R28" s="2">
        <f t="shared" si="22"/>
        <v>1.8881175137294508</v>
      </c>
      <c r="S28" s="2">
        <f t="shared" si="23"/>
        <v>1.9069986888667454</v>
      </c>
      <c r="T28" s="2">
        <f t="shared" si="24"/>
        <v>1.9069986888667454</v>
      </c>
      <c r="U28" s="2">
        <f t="shared" si="25"/>
        <v>1.9260686757554129</v>
      </c>
      <c r="V28" s="2">
        <f t="shared" si="26"/>
        <v>1.9260686757554129</v>
      </c>
      <c r="W28" s="2">
        <f t="shared" si="27"/>
        <v>1.9453293625129671</v>
      </c>
      <c r="X28" s="2">
        <f t="shared" si="28"/>
        <v>1.9453293625129671</v>
      </c>
      <c r="Y28" s="2">
        <f t="shared" si="29"/>
        <v>1.9647826561380968</v>
      </c>
      <c r="Z28" s="2">
        <f t="shared" si="30"/>
        <v>1.9647826561380968</v>
      </c>
      <c r="AA28" s="2">
        <f t="shared" si="31"/>
        <v>1.9844304826994779</v>
      </c>
      <c r="AB28" s="2">
        <f t="shared" si="32"/>
        <v>1.9844304826994779</v>
      </c>
      <c r="AC28" s="2">
        <f t="shared" si="4"/>
        <v>2.0042747875264726</v>
      </c>
      <c r="AD28" s="2">
        <f t="shared" si="5"/>
        <v>2.0042747875264726</v>
      </c>
      <c r="AE28" s="2">
        <f t="shared" si="6"/>
        <v>2.0243175354017375</v>
      </c>
      <c r="AF28" s="2">
        <f t="shared" si="7"/>
        <v>2.0243175354017375</v>
      </c>
      <c r="AG28" s="2">
        <f t="shared" si="8"/>
        <v>2.0445607107557549</v>
      </c>
      <c r="AH28" s="2">
        <f t="shared" si="9"/>
        <v>2.0445607107557549</v>
      </c>
    </row>
    <row r="29" spans="1:34">
      <c r="A29" t="str">
        <f>CYF!A29</f>
        <v>Maize</v>
      </c>
      <c r="B29" t="str">
        <f>CYF!B29</f>
        <v>DireDawa</v>
      </c>
      <c r="C29" s="2">
        <f>VLOOKUP($B29,Elec!$R$41:$S$51,2,0)/SUM(Elec!$S$41:$S$51)/2*VLOOKUP($A29,'Basic Feasibility'!$AB$14:$AC$19,2,0)</f>
        <v>0.77102066623308541</v>
      </c>
      <c r="D29" s="2">
        <f>VLOOKUP($B29,Elec!$R$41:$S$51,2,0)/SUM(Elec!$S$41:$S$51)/2*VLOOKUP($A29,'Basic Feasibility'!$AB$14:$AC$19,2,0)</f>
        <v>0.77102066623308541</v>
      </c>
      <c r="E29" s="2">
        <f t="shared" si="3"/>
        <v>0.77873087289541632</v>
      </c>
      <c r="F29" s="2">
        <f t="shared" si="10"/>
        <v>0.77873087289541632</v>
      </c>
      <c r="G29" s="2">
        <f t="shared" si="11"/>
        <v>0.78651818162437048</v>
      </c>
      <c r="H29" s="2">
        <f t="shared" si="12"/>
        <v>0.78651818162437048</v>
      </c>
      <c r="I29" s="2">
        <f t="shared" si="13"/>
        <v>0.79438336344061422</v>
      </c>
      <c r="J29" s="2">
        <f t="shared" si="14"/>
        <v>0.79438336344061422</v>
      </c>
      <c r="K29" s="2">
        <f t="shared" si="15"/>
        <v>0.80232719707502032</v>
      </c>
      <c r="L29" s="2">
        <f t="shared" si="16"/>
        <v>0.80232719707502032</v>
      </c>
      <c r="M29" s="2">
        <f t="shared" si="17"/>
        <v>0.81035046904577057</v>
      </c>
      <c r="N29" s="2">
        <f t="shared" si="18"/>
        <v>0.81035046904577057</v>
      </c>
      <c r="O29" s="2">
        <f t="shared" si="19"/>
        <v>0.8184539737362283</v>
      </c>
      <c r="P29" s="2">
        <f t="shared" si="20"/>
        <v>0.8184539737362283</v>
      </c>
      <c r="Q29" s="2">
        <f t="shared" si="21"/>
        <v>0.82663851347359063</v>
      </c>
      <c r="R29" s="2">
        <f t="shared" si="22"/>
        <v>0.82663851347359063</v>
      </c>
      <c r="S29" s="2">
        <f t="shared" si="23"/>
        <v>0.83490489860832651</v>
      </c>
      <c r="T29" s="2">
        <f t="shared" si="24"/>
        <v>0.83490489860832651</v>
      </c>
      <c r="U29" s="2">
        <f t="shared" si="25"/>
        <v>0.84325394759440975</v>
      </c>
      <c r="V29" s="2">
        <f t="shared" si="26"/>
        <v>0.84325394759440975</v>
      </c>
      <c r="W29" s="2">
        <f t="shared" si="27"/>
        <v>0.85168648707035388</v>
      </c>
      <c r="X29" s="2">
        <f t="shared" si="28"/>
        <v>0.85168648707035388</v>
      </c>
      <c r="Y29" s="2">
        <f t="shared" si="29"/>
        <v>0.86020335194105746</v>
      </c>
      <c r="Z29" s="2">
        <f t="shared" si="30"/>
        <v>0.86020335194105746</v>
      </c>
      <c r="AA29" s="2">
        <f t="shared" si="31"/>
        <v>0.86880538546046804</v>
      </c>
      <c r="AB29" s="2">
        <f t="shared" si="32"/>
        <v>0.86880538546046804</v>
      </c>
      <c r="AC29" s="2">
        <f t="shared" si="4"/>
        <v>0.87749343931507273</v>
      </c>
      <c r="AD29" s="2">
        <f t="shared" si="5"/>
        <v>0.87749343931507273</v>
      </c>
      <c r="AE29" s="2">
        <f t="shared" si="6"/>
        <v>0.88626837370822342</v>
      </c>
      <c r="AF29" s="2">
        <f t="shared" si="7"/>
        <v>0.88626837370822342</v>
      </c>
      <c r="AG29" s="2">
        <f t="shared" si="8"/>
        <v>0.89513105744530563</v>
      </c>
      <c r="AH29" s="2">
        <f t="shared" si="9"/>
        <v>0.89513105744530563</v>
      </c>
    </row>
    <row r="30" spans="1:34">
      <c r="A30" t="str">
        <f>CYF!A30</f>
        <v>Maize</v>
      </c>
      <c r="B30" t="str">
        <f>CYF!B30</f>
        <v>Gambela</v>
      </c>
      <c r="C30" s="2">
        <f>VLOOKUP($B30,Elec!$R$41:$S$51,2,0)/SUM(Elec!$S$41:$S$51)/2*VLOOKUP($A30,'Basic Feasibility'!$AB$14:$AC$19,2,0)</f>
        <v>0.71669875565757246</v>
      </c>
      <c r="D30" s="2">
        <f>VLOOKUP($B30,Elec!$R$41:$S$51,2,0)/SUM(Elec!$S$41:$S$51)/2*VLOOKUP($A30,'Basic Feasibility'!$AB$14:$AC$19,2,0)</f>
        <v>0.71669875565757246</v>
      </c>
      <c r="E30" s="2">
        <f t="shared" si="3"/>
        <v>0.72386574321414821</v>
      </c>
      <c r="F30" s="2">
        <f t="shared" si="10"/>
        <v>0.72386574321414821</v>
      </c>
      <c r="G30" s="2">
        <f t="shared" si="11"/>
        <v>0.73110440064628968</v>
      </c>
      <c r="H30" s="2">
        <f t="shared" si="12"/>
        <v>0.73110440064628968</v>
      </c>
      <c r="I30" s="2">
        <f t="shared" si="13"/>
        <v>0.73841544465275255</v>
      </c>
      <c r="J30" s="2">
        <f t="shared" si="14"/>
        <v>0.73841544465275255</v>
      </c>
      <c r="K30" s="2">
        <f t="shared" si="15"/>
        <v>0.74579959909928006</v>
      </c>
      <c r="L30" s="2">
        <f t="shared" si="16"/>
        <v>0.74579959909928006</v>
      </c>
      <c r="M30" s="2">
        <f t="shared" si="17"/>
        <v>0.7532575950902729</v>
      </c>
      <c r="N30" s="2">
        <f t="shared" si="18"/>
        <v>0.7532575950902729</v>
      </c>
      <c r="O30" s="2">
        <f t="shared" si="19"/>
        <v>0.76079017104117563</v>
      </c>
      <c r="P30" s="2">
        <f t="shared" si="20"/>
        <v>0.76079017104117563</v>
      </c>
      <c r="Q30" s="2">
        <f t="shared" si="21"/>
        <v>0.76839807275158745</v>
      </c>
      <c r="R30" s="2">
        <f t="shared" si="22"/>
        <v>0.76839807275158745</v>
      </c>
      <c r="S30" s="2">
        <f t="shared" si="23"/>
        <v>0.77608205347910331</v>
      </c>
      <c r="T30" s="2">
        <f t="shared" si="24"/>
        <v>0.77608205347910331</v>
      </c>
      <c r="U30" s="2">
        <f t="shared" si="25"/>
        <v>0.7838428740138943</v>
      </c>
      <c r="V30" s="2">
        <f t="shared" si="26"/>
        <v>0.7838428740138943</v>
      </c>
      <c r="W30" s="2">
        <f t="shared" si="27"/>
        <v>0.79168130275403326</v>
      </c>
      <c r="X30" s="2">
        <f t="shared" si="28"/>
        <v>0.79168130275403326</v>
      </c>
      <c r="Y30" s="2">
        <f t="shared" si="29"/>
        <v>0.79959811578157358</v>
      </c>
      <c r="Z30" s="2">
        <f t="shared" si="30"/>
        <v>0.79959811578157358</v>
      </c>
      <c r="AA30" s="2">
        <f t="shared" si="31"/>
        <v>0.80759409693938933</v>
      </c>
      <c r="AB30" s="2">
        <f t="shared" si="32"/>
        <v>0.80759409693938933</v>
      </c>
      <c r="AC30" s="2">
        <f t="shared" si="4"/>
        <v>0.81567003790878323</v>
      </c>
      <c r="AD30" s="2">
        <f t="shared" si="5"/>
        <v>0.81567003790878323</v>
      </c>
      <c r="AE30" s="2">
        <f t="shared" si="6"/>
        <v>0.82382673828787112</v>
      </c>
      <c r="AF30" s="2">
        <f t="shared" si="7"/>
        <v>0.82382673828787112</v>
      </c>
      <c r="AG30" s="2">
        <f t="shared" si="8"/>
        <v>0.83206500567074981</v>
      </c>
      <c r="AH30" s="2">
        <f t="shared" si="9"/>
        <v>0.83206500567074981</v>
      </c>
    </row>
    <row r="31" spans="1:34">
      <c r="A31" t="str">
        <f>CYF!A31</f>
        <v>Maize</v>
      </c>
      <c r="B31" t="str">
        <f>CYF!B31</f>
        <v>Harari</v>
      </c>
      <c r="C31" s="2">
        <f>VLOOKUP($B31,Elec!$R$41:$S$51,2,0)/SUM(Elec!$S$41:$S$51)/2*VLOOKUP($A31,'Basic Feasibility'!$AB$14:$AC$19,2,0)</f>
        <v>0.40653816946835414</v>
      </c>
      <c r="D31" s="2">
        <f>VLOOKUP($B31,Elec!$R$41:$S$51,2,0)/SUM(Elec!$S$41:$S$51)/2*VLOOKUP($A31,'Basic Feasibility'!$AB$14:$AC$19,2,0)</f>
        <v>0.40653816946835414</v>
      </c>
      <c r="E31" s="2">
        <f t="shared" si="3"/>
        <v>0.41060355116303771</v>
      </c>
      <c r="F31" s="2">
        <f t="shared" si="10"/>
        <v>0.41060355116303771</v>
      </c>
      <c r="G31" s="2">
        <f t="shared" si="11"/>
        <v>0.41470958667466806</v>
      </c>
      <c r="H31" s="2">
        <f t="shared" si="12"/>
        <v>0.41470958667466806</v>
      </c>
      <c r="I31" s="2">
        <f t="shared" si="13"/>
        <v>0.41885668254141473</v>
      </c>
      <c r="J31" s="2">
        <f t="shared" si="14"/>
        <v>0.41885668254141473</v>
      </c>
      <c r="K31" s="2">
        <f t="shared" si="15"/>
        <v>0.42304524936682886</v>
      </c>
      <c r="L31" s="2">
        <f t="shared" si="16"/>
        <v>0.42304524936682886</v>
      </c>
      <c r="M31" s="2">
        <f t="shared" si="17"/>
        <v>0.42727570186049713</v>
      </c>
      <c r="N31" s="2">
        <f t="shared" si="18"/>
        <v>0.42727570186049713</v>
      </c>
      <c r="O31" s="2">
        <f t="shared" si="19"/>
        <v>0.43154845887910209</v>
      </c>
      <c r="P31" s="2">
        <f t="shared" si="20"/>
        <v>0.43154845887910209</v>
      </c>
      <c r="Q31" s="2">
        <f t="shared" si="21"/>
        <v>0.43586394346789314</v>
      </c>
      <c r="R31" s="2">
        <f t="shared" si="22"/>
        <v>0.43586394346789314</v>
      </c>
      <c r="S31" s="2">
        <f t="shared" si="23"/>
        <v>0.4402225829025721</v>
      </c>
      <c r="T31" s="2">
        <f t="shared" si="24"/>
        <v>0.4402225829025721</v>
      </c>
      <c r="U31" s="2">
        <f t="shared" si="25"/>
        <v>0.44462480873159782</v>
      </c>
      <c r="V31" s="2">
        <f t="shared" si="26"/>
        <v>0.44462480873159782</v>
      </c>
      <c r="W31" s="2">
        <f t="shared" si="27"/>
        <v>0.44907105681891379</v>
      </c>
      <c r="X31" s="2">
        <f t="shared" si="28"/>
        <v>0.44907105681891379</v>
      </c>
      <c r="Y31" s="2">
        <f t="shared" si="29"/>
        <v>0.45356176738710291</v>
      </c>
      <c r="Z31" s="2">
        <f t="shared" si="30"/>
        <v>0.45356176738710291</v>
      </c>
      <c r="AA31" s="2">
        <f t="shared" si="31"/>
        <v>0.45809738506097392</v>
      </c>
      <c r="AB31" s="2">
        <f t="shared" si="32"/>
        <v>0.45809738506097392</v>
      </c>
      <c r="AC31" s="2">
        <f t="shared" si="4"/>
        <v>0.46267835891158365</v>
      </c>
      <c r="AD31" s="2">
        <f t="shared" si="5"/>
        <v>0.46267835891158365</v>
      </c>
      <c r="AE31" s="2">
        <f t="shared" si="6"/>
        <v>0.46730514250069949</v>
      </c>
      <c r="AF31" s="2">
        <f t="shared" si="7"/>
        <v>0.46730514250069949</v>
      </c>
      <c r="AG31" s="2">
        <f t="shared" si="8"/>
        <v>0.4719781939257065</v>
      </c>
      <c r="AH31" s="2">
        <f t="shared" si="9"/>
        <v>0.4719781939257065</v>
      </c>
    </row>
    <row r="32" spans="1:34">
      <c r="A32" t="str">
        <f>CYF!A32</f>
        <v>Maize</v>
      </c>
      <c r="B32" t="str">
        <f>CYF!B32</f>
        <v>Oromia</v>
      </c>
      <c r="C32" s="2">
        <f>VLOOKUP($B32,Elec!$R$41:$S$51,2,0)/SUM(Elec!$S$41:$S$51)/2*VLOOKUP($A32,'Basic Feasibility'!$AB$14:$AC$19,2,0)</f>
        <v>59.039155197102524</v>
      </c>
      <c r="D32" s="2">
        <f>VLOOKUP($B32,Elec!$R$41:$S$51,2,0)/SUM(Elec!$S$41:$S$51)/2*VLOOKUP($A32,'Basic Feasibility'!$AB$14:$AC$19,2,0)</f>
        <v>59.039155197102524</v>
      </c>
      <c r="E32" s="2">
        <f t="shared" si="3"/>
        <v>59.629546749073548</v>
      </c>
      <c r="F32" s="2">
        <f t="shared" si="10"/>
        <v>59.629546749073548</v>
      </c>
      <c r="G32" s="2">
        <f t="shared" si="11"/>
        <v>60.225842216564281</v>
      </c>
      <c r="H32" s="2">
        <f t="shared" si="12"/>
        <v>60.225842216564281</v>
      </c>
      <c r="I32" s="2">
        <f t="shared" si="13"/>
        <v>60.828100638729921</v>
      </c>
      <c r="J32" s="2">
        <f t="shared" si="14"/>
        <v>60.828100638729921</v>
      </c>
      <c r="K32" s="2">
        <f t="shared" si="15"/>
        <v>61.436381645117223</v>
      </c>
      <c r="L32" s="2">
        <f t="shared" si="16"/>
        <v>61.436381645117223</v>
      </c>
      <c r="M32" s="2">
        <f t="shared" si="17"/>
        <v>62.050745461568397</v>
      </c>
      <c r="N32" s="2">
        <f t="shared" si="18"/>
        <v>62.050745461568397</v>
      </c>
      <c r="O32" s="2">
        <f t="shared" si="19"/>
        <v>62.671252916184081</v>
      </c>
      <c r="P32" s="2">
        <f t="shared" si="20"/>
        <v>62.671252916184081</v>
      </c>
      <c r="Q32" s="2">
        <f t="shared" si="21"/>
        <v>63.297965445345923</v>
      </c>
      <c r="R32" s="2">
        <f t="shared" si="22"/>
        <v>63.297965445345923</v>
      </c>
      <c r="S32" s="2">
        <f t="shared" si="23"/>
        <v>63.930945099799381</v>
      </c>
      <c r="T32" s="2">
        <f t="shared" si="24"/>
        <v>63.930945099799381</v>
      </c>
      <c r="U32" s="2">
        <f t="shared" si="25"/>
        <v>64.570254550797372</v>
      </c>
      <c r="V32" s="2">
        <f t="shared" si="26"/>
        <v>64.570254550797372</v>
      </c>
      <c r="W32" s="2">
        <f t="shared" si="27"/>
        <v>65.215957096305345</v>
      </c>
      <c r="X32" s="2">
        <f t="shared" si="28"/>
        <v>65.215957096305345</v>
      </c>
      <c r="Y32" s="2">
        <f t="shared" si="29"/>
        <v>65.868116667268396</v>
      </c>
      <c r="Z32" s="2">
        <f t="shared" si="30"/>
        <v>65.868116667268396</v>
      </c>
      <c r="AA32" s="2">
        <f t="shared" si="31"/>
        <v>66.526797833941075</v>
      </c>
      <c r="AB32" s="2">
        <f t="shared" si="32"/>
        <v>66.526797833941075</v>
      </c>
      <c r="AC32" s="2">
        <f t="shared" si="4"/>
        <v>67.192065812280489</v>
      </c>
      <c r="AD32" s="2">
        <f t="shared" si="5"/>
        <v>67.192065812280489</v>
      </c>
      <c r="AE32" s="2">
        <f t="shared" si="6"/>
        <v>67.86398647040329</v>
      </c>
      <c r="AF32" s="2">
        <f t="shared" si="7"/>
        <v>67.86398647040329</v>
      </c>
      <c r="AG32" s="2">
        <f t="shared" si="8"/>
        <v>68.542626335107329</v>
      </c>
      <c r="AH32" s="2">
        <f t="shared" si="9"/>
        <v>68.542626335107329</v>
      </c>
    </row>
    <row r="33" spans="1:34">
      <c r="A33" t="str">
        <f>CYF!A33</f>
        <v>Maize</v>
      </c>
      <c r="B33" t="str">
        <f>CYF!B33</f>
        <v>Somali</v>
      </c>
      <c r="C33" s="2">
        <f>VLOOKUP($B33,Elec!$R$41:$S$51,2,0)/SUM(Elec!$S$41:$S$51)/2*VLOOKUP($A33,'Basic Feasibility'!$AB$14:$AC$19,2,0)</f>
        <v>9.5553993022023054</v>
      </c>
      <c r="D33" s="2">
        <f>VLOOKUP($B33,Elec!$R$41:$S$51,2,0)/SUM(Elec!$S$41:$S$51)/2*VLOOKUP($A33,'Basic Feasibility'!$AB$14:$AC$19,2,0)</f>
        <v>9.5553993022023054</v>
      </c>
      <c r="E33" s="2">
        <f t="shared" si="3"/>
        <v>9.650953295224328</v>
      </c>
      <c r="F33" s="2">
        <f t="shared" si="10"/>
        <v>9.650953295224328</v>
      </c>
      <c r="G33" s="2">
        <f t="shared" si="11"/>
        <v>9.7474628281765714</v>
      </c>
      <c r="H33" s="2">
        <f t="shared" si="12"/>
        <v>9.7474628281765714</v>
      </c>
      <c r="I33" s="2">
        <f t="shared" si="13"/>
        <v>9.8449374564583376</v>
      </c>
      <c r="J33" s="2">
        <f t="shared" si="14"/>
        <v>9.8449374564583376</v>
      </c>
      <c r="K33" s="2">
        <f t="shared" si="15"/>
        <v>9.9433868310229219</v>
      </c>
      <c r="L33" s="2">
        <f t="shared" si="16"/>
        <v>9.9433868310229219</v>
      </c>
      <c r="M33" s="2">
        <f t="shared" si="17"/>
        <v>10.04282069933315</v>
      </c>
      <c r="N33" s="2">
        <f t="shared" si="18"/>
        <v>10.04282069933315</v>
      </c>
      <c r="O33" s="2">
        <f t="shared" si="19"/>
        <v>10.143248906326482</v>
      </c>
      <c r="P33" s="2">
        <f t="shared" si="20"/>
        <v>10.143248906326482</v>
      </c>
      <c r="Q33" s="2">
        <f t="shared" si="21"/>
        <v>10.244681395389748</v>
      </c>
      <c r="R33" s="2">
        <f t="shared" si="22"/>
        <v>10.244681395389748</v>
      </c>
      <c r="S33" s="2">
        <f t="shared" si="23"/>
        <v>10.347128209343644</v>
      </c>
      <c r="T33" s="2">
        <f t="shared" si="24"/>
        <v>10.347128209343644</v>
      </c>
      <c r="U33" s="2">
        <f t="shared" si="25"/>
        <v>10.450599491437082</v>
      </c>
      <c r="V33" s="2">
        <f t="shared" si="26"/>
        <v>10.450599491437082</v>
      </c>
      <c r="W33" s="2">
        <f t="shared" si="27"/>
        <v>10.555105486351453</v>
      </c>
      <c r="X33" s="2">
        <f t="shared" si="28"/>
        <v>10.555105486351453</v>
      </c>
      <c r="Y33" s="2">
        <f t="shared" si="29"/>
        <v>10.660656541214967</v>
      </c>
      <c r="Z33" s="2">
        <f t="shared" si="30"/>
        <v>10.660656541214967</v>
      </c>
      <c r="AA33" s="2">
        <f t="shared" si="31"/>
        <v>10.767263106627118</v>
      </c>
      <c r="AB33" s="2">
        <f t="shared" si="32"/>
        <v>10.767263106627118</v>
      </c>
      <c r="AC33" s="2">
        <f t="shared" si="4"/>
        <v>10.87493573769339</v>
      </c>
      <c r="AD33" s="2">
        <f t="shared" si="5"/>
        <v>10.87493573769339</v>
      </c>
      <c r="AE33" s="2">
        <f t="shared" si="6"/>
        <v>10.983685095070324</v>
      </c>
      <c r="AF33" s="2">
        <f t="shared" si="7"/>
        <v>10.983685095070324</v>
      </c>
      <c r="AG33" s="2">
        <f t="shared" si="8"/>
        <v>11.093521946021028</v>
      </c>
      <c r="AH33" s="2">
        <f t="shared" si="9"/>
        <v>11.093521946021028</v>
      </c>
    </row>
    <row r="34" spans="1:34">
      <c r="A34" t="str">
        <f>CYF!A34</f>
        <v>Maize</v>
      </c>
      <c r="B34" t="str">
        <f>CYF!B34</f>
        <v>SNNPR</v>
      </c>
      <c r="C34" s="2">
        <f>VLOOKUP($B34,Elec!$R$41:$S$51,2,0)/SUM(Elec!$S$41:$S$51)/2*VLOOKUP($A34,'Basic Feasibility'!$AB$14:$AC$19,2,0)</f>
        <v>32.025394763808791</v>
      </c>
      <c r="D34" s="2">
        <f>VLOOKUP($B34,Elec!$R$41:$S$51,2,0)/SUM(Elec!$S$41:$S$51)/2*VLOOKUP($A34,'Basic Feasibility'!$AB$14:$AC$19,2,0)</f>
        <v>32.025394763808791</v>
      </c>
      <c r="E34" s="2">
        <f t="shared" si="3"/>
        <v>32.345648711446877</v>
      </c>
      <c r="F34" s="2">
        <f t="shared" si="10"/>
        <v>32.345648711446877</v>
      </c>
      <c r="G34" s="2">
        <f t="shared" si="11"/>
        <v>32.669105198561347</v>
      </c>
      <c r="H34" s="2">
        <f t="shared" si="12"/>
        <v>32.669105198561347</v>
      </c>
      <c r="I34" s="2">
        <f t="shared" si="13"/>
        <v>32.99579625054696</v>
      </c>
      <c r="J34" s="2">
        <f t="shared" si="14"/>
        <v>32.99579625054696</v>
      </c>
      <c r="K34" s="2">
        <f t="shared" si="15"/>
        <v>33.325754213052427</v>
      </c>
      <c r="L34" s="2">
        <f t="shared" si="16"/>
        <v>33.325754213052427</v>
      </c>
      <c r="M34" s="2">
        <f t="shared" si="17"/>
        <v>33.659011755182952</v>
      </c>
      <c r="N34" s="2">
        <f t="shared" si="18"/>
        <v>33.659011755182952</v>
      </c>
      <c r="O34" s="2">
        <f t="shared" si="19"/>
        <v>33.995601872734781</v>
      </c>
      <c r="P34" s="2">
        <f t="shared" si="20"/>
        <v>33.995601872734781</v>
      </c>
      <c r="Q34" s="2">
        <f t="shared" si="21"/>
        <v>34.33555789146213</v>
      </c>
      <c r="R34" s="2">
        <f t="shared" si="22"/>
        <v>34.33555789146213</v>
      </c>
      <c r="S34" s="2">
        <f t="shared" si="23"/>
        <v>34.678913470376749</v>
      </c>
      <c r="T34" s="2">
        <f t="shared" si="24"/>
        <v>34.678913470376749</v>
      </c>
      <c r="U34" s="2">
        <f t="shared" si="25"/>
        <v>35.025702605080518</v>
      </c>
      <c r="V34" s="2">
        <f t="shared" si="26"/>
        <v>35.025702605080518</v>
      </c>
      <c r="W34" s="2">
        <f t="shared" si="27"/>
        <v>35.375959631131323</v>
      </c>
      <c r="X34" s="2">
        <f t="shared" si="28"/>
        <v>35.375959631131323</v>
      </c>
      <c r="Y34" s="2">
        <f t="shared" si="29"/>
        <v>35.729719227442637</v>
      </c>
      <c r="Z34" s="2">
        <f t="shared" si="30"/>
        <v>35.729719227442637</v>
      </c>
      <c r="AA34" s="2">
        <f t="shared" si="31"/>
        <v>36.087016419717067</v>
      </c>
      <c r="AB34" s="2">
        <f t="shared" si="32"/>
        <v>36.087016419717067</v>
      </c>
      <c r="AC34" s="2">
        <f t="shared" si="4"/>
        <v>36.44788658391424</v>
      </c>
      <c r="AD34" s="2">
        <f t="shared" si="5"/>
        <v>36.44788658391424</v>
      </c>
      <c r="AE34" s="2">
        <f t="shared" si="6"/>
        <v>36.812365449753386</v>
      </c>
      <c r="AF34" s="2">
        <f t="shared" si="7"/>
        <v>36.812365449753386</v>
      </c>
      <c r="AG34" s="2">
        <f t="shared" si="8"/>
        <v>37.180489104250924</v>
      </c>
      <c r="AH34" s="2">
        <f t="shared" si="9"/>
        <v>37.180489104250924</v>
      </c>
    </row>
    <row r="35" spans="1:34">
      <c r="A35" t="str">
        <f>CYF!A35</f>
        <v>Maize</v>
      </c>
      <c r="B35" t="str">
        <f>CYF!B35</f>
        <v>Tigray</v>
      </c>
      <c r="C35" s="2">
        <f>VLOOKUP($B35,Elec!$R$41:$S$51,2,0)/SUM(Elec!$S$41:$S$51)/2*VLOOKUP($A35,'Basic Feasibility'!$AB$14:$AC$19,2,0)</f>
        <v>8.8597283828965434</v>
      </c>
      <c r="D35" s="2">
        <f>VLOOKUP($B35,Elec!$R$41:$S$51,2,0)/SUM(Elec!$S$41:$S$51)/2*VLOOKUP($A35,'Basic Feasibility'!$AB$14:$AC$19,2,0)</f>
        <v>8.8597283828965434</v>
      </c>
      <c r="E35" s="2">
        <f t="shared" si="3"/>
        <v>8.9483256667255091</v>
      </c>
      <c r="F35" s="2">
        <f t="shared" si="10"/>
        <v>8.9483256667255091</v>
      </c>
      <c r="G35" s="2">
        <f t="shared" si="11"/>
        <v>9.037808923392765</v>
      </c>
      <c r="H35" s="2">
        <f t="shared" si="12"/>
        <v>9.037808923392765</v>
      </c>
      <c r="I35" s="2">
        <f t="shared" si="13"/>
        <v>9.1281870126266931</v>
      </c>
      <c r="J35" s="2">
        <f t="shared" si="14"/>
        <v>9.1281870126266931</v>
      </c>
      <c r="K35" s="2">
        <f t="shared" si="15"/>
        <v>9.2194688827529596</v>
      </c>
      <c r="L35" s="2">
        <f t="shared" si="16"/>
        <v>9.2194688827529596</v>
      </c>
      <c r="M35" s="2">
        <f t="shared" si="17"/>
        <v>9.311663571580489</v>
      </c>
      <c r="N35" s="2">
        <f t="shared" si="18"/>
        <v>9.311663571580489</v>
      </c>
      <c r="O35" s="2">
        <f t="shared" si="19"/>
        <v>9.4047802072962945</v>
      </c>
      <c r="P35" s="2">
        <f t="shared" si="20"/>
        <v>9.4047802072962945</v>
      </c>
      <c r="Q35" s="2">
        <f t="shared" si="21"/>
        <v>9.498828009369257</v>
      </c>
      <c r="R35" s="2">
        <f t="shared" si="22"/>
        <v>9.498828009369257</v>
      </c>
      <c r="S35" s="2">
        <f t="shared" si="23"/>
        <v>9.59381628946295</v>
      </c>
      <c r="T35" s="2">
        <f t="shared" si="24"/>
        <v>9.59381628946295</v>
      </c>
      <c r="U35" s="2">
        <f t="shared" si="25"/>
        <v>9.6897544523575796</v>
      </c>
      <c r="V35" s="2">
        <f t="shared" si="26"/>
        <v>9.6897544523575796</v>
      </c>
      <c r="W35" s="2">
        <f t="shared" si="27"/>
        <v>9.7866519968811563</v>
      </c>
      <c r="X35" s="2">
        <f t="shared" si="28"/>
        <v>9.7866519968811563</v>
      </c>
      <c r="Y35" s="2">
        <f t="shared" si="29"/>
        <v>9.8845185168499672</v>
      </c>
      <c r="Z35" s="2">
        <f t="shared" si="30"/>
        <v>9.8845185168499672</v>
      </c>
      <c r="AA35" s="2">
        <f t="shared" si="31"/>
        <v>9.9833637020184671</v>
      </c>
      <c r="AB35" s="2">
        <f t="shared" si="32"/>
        <v>9.9833637020184671</v>
      </c>
      <c r="AC35" s="2">
        <f t="shared" si="4"/>
        <v>10.083197339038652</v>
      </c>
      <c r="AD35" s="2">
        <f t="shared" si="5"/>
        <v>10.083197339038652</v>
      </c>
      <c r="AE35" s="2">
        <f t="shared" si="6"/>
        <v>10.184029312429038</v>
      </c>
      <c r="AF35" s="2">
        <f t="shared" si="7"/>
        <v>10.184029312429038</v>
      </c>
      <c r="AG35" s="2">
        <f t="shared" si="8"/>
        <v>10.285869605553328</v>
      </c>
      <c r="AH35" s="2">
        <f t="shared" si="9"/>
        <v>10.285869605553328</v>
      </c>
    </row>
    <row r="36" spans="1:34">
      <c r="A36" t="str">
        <f>CYF!A36</f>
        <v>Lentils</v>
      </c>
      <c r="B36" t="str">
        <f>CYF!B36</f>
        <v>AddisAbaba</v>
      </c>
      <c r="C36" s="2">
        <f>VLOOKUP($B36,Elec!$R$41:$S$51,2,0)/SUM(Elec!$S$41:$S$51)/2*VLOOKUP($A36,'Basic Feasibility'!$AB$14:$AC$19,2,0)</f>
        <v>2.2256887530013341</v>
      </c>
      <c r="D36" s="2">
        <f>VLOOKUP($B36,Elec!$R$41:$S$51,2,0)/SUM(Elec!$S$41:$S$51)/2*VLOOKUP($A36,'Basic Feasibility'!$AB$14:$AC$19,2,0)</f>
        <v>2.2256887530013341</v>
      </c>
      <c r="E36" s="2">
        <f t="shared" si="3"/>
        <v>2.2479456405313476</v>
      </c>
      <c r="F36" s="2">
        <f t="shared" si="10"/>
        <v>2.2479456405313476</v>
      </c>
      <c r="G36" s="2">
        <f t="shared" si="11"/>
        <v>2.2704250969366613</v>
      </c>
      <c r="H36" s="2">
        <f t="shared" si="12"/>
        <v>2.2704250969366613</v>
      </c>
      <c r="I36" s="2">
        <f t="shared" si="13"/>
        <v>2.293129347906028</v>
      </c>
      <c r="J36" s="2">
        <f t="shared" si="14"/>
        <v>2.293129347906028</v>
      </c>
      <c r="K36" s="2">
        <f t="shared" si="15"/>
        <v>2.3160606413850884</v>
      </c>
      <c r="L36" s="2">
        <f t="shared" si="16"/>
        <v>2.3160606413850884</v>
      </c>
      <c r="M36" s="2">
        <f t="shared" si="17"/>
        <v>2.3392212477989394</v>
      </c>
      <c r="N36" s="2">
        <f t="shared" si="18"/>
        <v>2.3392212477989394</v>
      </c>
      <c r="O36" s="2">
        <f t="shared" si="19"/>
        <v>2.3626134602769286</v>
      </c>
      <c r="P36" s="2">
        <f t="shared" si="20"/>
        <v>2.3626134602769286</v>
      </c>
      <c r="Q36" s="2">
        <f t="shared" si="21"/>
        <v>2.3862395948796982</v>
      </c>
      <c r="R36" s="2">
        <f t="shared" si="22"/>
        <v>2.3862395948796982</v>
      </c>
      <c r="S36" s="2">
        <f t="shared" si="23"/>
        <v>2.4101019908284953</v>
      </c>
      <c r="T36" s="2">
        <f t="shared" si="24"/>
        <v>2.4101019908284953</v>
      </c>
      <c r="U36" s="2">
        <f t="shared" si="25"/>
        <v>2.4342030107367805</v>
      </c>
      <c r="V36" s="2">
        <f t="shared" si="26"/>
        <v>2.4342030107367805</v>
      </c>
      <c r="W36" s="2">
        <f t="shared" si="27"/>
        <v>2.4585450408441485</v>
      </c>
      <c r="X36" s="2">
        <f t="shared" si="28"/>
        <v>2.4585450408441485</v>
      </c>
      <c r="Y36" s="2">
        <f t="shared" si="29"/>
        <v>2.4831304912525898</v>
      </c>
      <c r="Z36" s="2">
        <f t="shared" si="30"/>
        <v>2.4831304912525898</v>
      </c>
      <c r="AA36" s="2">
        <f t="shared" si="31"/>
        <v>2.5079617961651155</v>
      </c>
      <c r="AB36" s="2">
        <f t="shared" si="32"/>
        <v>2.5079617961651155</v>
      </c>
      <c r="AC36" s="2">
        <f t="shared" si="4"/>
        <v>2.5330414141267665</v>
      </c>
      <c r="AD36" s="2">
        <f t="shared" si="5"/>
        <v>2.5330414141267665</v>
      </c>
      <c r="AE36" s="2">
        <f t="shared" si="6"/>
        <v>2.5583718282680343</v>
      </c>
      <c r="AF36" s="2">
        <f t="shared" si="7"/>
        <v>2.5583718282680343</v>
      </c>
      <c r="AG36" s="2">
        <f t="shared" si="8"/>
        <v>2.5839555465507149</v>
      </c>
      <c r="AH36" s="2">
        <f t="shared" si="9"/>
        <v>2.5839555465507149</v>
      </c>
    </row>
    <row r="37" spans="1:34">
      <c r="A37" t="str">
        <f>CYF!A37</f>
        <v>Lentils</v>
      </c>
      <c r="B37" t="str">
        <f>CYF!B37</f>
        <v>Afar</v>
      </c>
      <c r="C37" s="2">
        <f>VLOOKUP($B37,Elec!$R$41:$S$51,2,0)/SUM(Elec!$S$41:$S$51)/2*VLOOKUP($A37,'Basic Feasibility'!$AB$14:$AC$19,2,0)</f>
        <v>1.1716656649622055</v>
      </c>
      <c r="D37" s="2">
        <f>VLOOKUP($B37,Elec!$R$41:$S$51,2,0)/SUM(Elec!$S$41:$S$51)/2*VLOOKUP($A37,'Basic Feasibility'!$AB$14:$AC$19,2,0)</f>
        <v>1.1716656649622055</v>
      </c>
      <c r="E37" s="2">
        <f t="shared" si="3"/>
        <v>1.1833823216118275</v>
      </c>
      <c r="F37" s="2">
        <f t="shared" si="10"/>
        <v>1.1833823216118275</v>
      </c>
      <c r="G37" s="2">
        <f t="shared" si="11"/>
        <v>1.1952161448279459</v>
      </c>
      <c r="H37" s="2">
        <f t="shared" si="12"/>
        <v>1.1952161448279459</v>
      </c>
      <c r="I37" s="2">
        <f t="shared" si="13"/>
        <v>1.2071683062762253</v>
      </c>
      <c r="J37" s="2">
        <f t="shared" si="14"/>
        <v>1.2071683062762253</v>
      </c>
      <c r="K37" s="2">
        <f t="shared" si="15"/>
        <v>1.2192399893389876</v>
      </c>
      <c r="L37" s="2">
        <f t="shared" si="16"/>
        <v>1.2192399893389876</v>
      </c>
      <c r="M37" s="2">
        <f t="shared" si="17"/>
        <v>1.2314323892323775</v>
      </c>
      <c r="N37" s="2">
        <f t="shared" si="18"/>
        <v>1.2314323892323775</v>
      </c>
      <c r="O37" s="2">
        <f t="shared" si="19"/>
        <v>1.2437467131247013</v>
      </c>
      <c r="P37" s="2">
        <f t="shared" si="20"/>
        <v>1.2437467131247013</v>
      </c>
      <c r="Q37" s="2">
        <f t="shared" si="21"/>
        <v>1.2561841802559484</v>
      </c>
      <c r="R37" s="2">
        <f t="shared" si="22"/>
        <v>1.2561841802559484</v>
      </c>
      <c r="S37" s="2">
        <f t="shared" si="23"/>
        <v>1.2687460220585078</v>
      </c>
      <c r="T37" s="2">
        <f t="shared" si="24"/>
        <v>1.2687460220585078</v>
      </c>
      <c r="U37" s="2">
        <f t="shared" si="25"/>
        <v>1.2814334822790929</v>
      </c>
      <c r="V37" s="2">
        <f t="shared" si="26"/>
        <v>1.2814334822790929</v>
      </c>
      <c r="W37" s="2">
        <f t="shared" si="27"/>
        <v>1.2942478171018839</v>
      </c>
      <c r="X37" s="2">
        <f t="shared" si="28"/>
        <v>1.2942478171018839</v>
      </c>
      <c r="Y37" s="2">
        <f t="shared" si="29"/>
        <v>1.3071902952729026</v>
      </c>
      <c r="Z37" s="2">
        <f t="shared" si="30"/>
        <v>1.3071902952729026</v>
      </c>
      <c r="AA37" s="2">
        <f t="shared" si="31"/>
        <v>1.3202621982256317</v>
      </c>
      <c r="AB37" s="2">
        <f t="shared" si="32"/>
        <v>1.3202621982256317</v>
      </c>
      <c r="AC37" s="2">
        <f t="shared" si="4"/>
        <v>1.333464820207888</v>
      </c>
      <c r="AD37" s="2">
        <f t="shared" si="5"/>
        <v>1.333464820207888</v>
      </c>
      <c r="AE37" s="2">
        <f t="shared" si="6"/>
        <v>1.3467994684099669</v>
      </c>
      <c r="AF37" s="2">
        <f t="shared" si="7"/>
        <v>1.3467994684099669</v>
      </c>
      <c r="AG37" s="2">
        <f t="shared" si="8"/>
        <v>1.3602674630940665</v>
      </c>
      <c r="AH37" s="2">
        <f t="shared" si="9"/>
        <v>1.3602674630940665</v>
      </c>
    </row>
    <row r="38" spans="1:34">
      <c r="A38" t="str">
        <f>CYF!A38</f>
        <v>Lentils</v>
      </c>
      <c r="B38" t="str">
        <f>CYF!B38</f>
        <v>Amhara</v>
      </c>
      <c r="C38" s="2">
        <f>VLOOKUP($B38,Elec!$R$41:$S$51,2,0)/SUM(Elec!$S$41:$S$51)/2*VLOOKUP($A38,'Basic Feasibility'!$AB$14:$AC$19,2,0)</f>
        <v>13.872983883281458</v>
      </c>
      <c r="D38" s="2">
        <f>VLOOKUP($B38,Elec!$R$41:$S$51,2,0)/SUM(Elec!$S$41:$S$51)/2*VLOOKUP($A38,'Basic Feasibility'!$AB$14:$AC$19,2,0)</f>
        <v>13.872983883281458</v>
      </c>
      <c r="E38" s="2">
        <f t="shared" si="3"/>
        <v>14.011713722114273</v>
      </c>
      <c r="F38" s="2">
        <f t="shared" si="10"/>
        <v>14.011713722114273</v>
      </c>
      <c r="G38" s="2">
        <f t="shared" si="11"/>
        <v>14.151830859335416</v>
      </c>
      <c r="H38" s="2">
        <f t="shared" si="12"/>
        <v>14.151830859335416</v>
      </c>
      <c r="I38" s="2">
        <f t="shared" si="13"/>
        <v>14.293349167928771</v>
      </c>
      <c r="J38" s="2">
        <f t="shared" si="14"/>
        <v>14.293349167928771</v>
      </c>
      <c r="K38" s="2">
        <f t="shared" si="15"/>
        <v>14.436282659608059</v>
      </c>
      <c r="L38" s="2">
        <f t="shared" si="16"/>
        <v>14.436282659608059</v>
      </c>
      <c r="M38" s="2">
        <f t="shared" si="17"/>
        <v>14.580645486204141</v>
      </c>
      <c r="N38" s="2">
        <f t="shared" si="18"/>
        <v>14.580645486204141</v>
      </c>
      <c r="O38" s="2">
        <f t="shared" si="19"/>
        <v>14.726451941066182</v>
      </c>
      <c r="P38" s="2">
        <f t="shared" si="20"/>
        <v>14.726451941066182</v>
      </c>
      <c r="Q38" s="2">
        <f t="shared" si="21"/>
        <v>14.873716460476844</v>
      </c>
      <c r="R38" s="2">
        <f t="shared" si="22"/>
        <v>14.873716460476844</v>
      </c>
      <c r="S38" s="2">
        <f t="shared" si="23"/>
        <v>15.022453625081612</v>
      </c>
      <c r="T38" s="2">
        <f t="shared" si="24"/>
        <v>15.022453625081612</v>
      </c>
      <c r="U38" s="2">
        <f t="shared" si="25"/>
        <v>15.172678161332428</v>
      </c>
      <c r="V38" s="2">
        <f t="shared" si="26"/>
        <v>15.172678161332428</v>
      </c>
      <c r="W38" s="2">
        <f t="shared" si="27"/>
        <v>15.324404942945753</v>
      </c>
      <c r="X38" s="2">
        <f t="shared" si="28"/>
        <v>15.324404942945753</v>
      </c>
      <c r="Y38" s="2">
        <f t="shared" si="29"/>
        <v>15.47764899237521</v>
      </c>
      <c r="Z38" s="2">
        <f t="shared" si="30"/>
        <v>15.47764899237521</v>
      </c>
      <c r="AA38" s="2">
        <f t="shared" si="31"/>
        <v>15.632425482298961</v>
      </c>
      <c r="AB38" s="2">
        <f t="shared" si="32"/>
        <v>15.632425482298961</v>
      </c>
      <c r="AC38" s="2">
        <f t="shared" si="4"/>
        <v>15.78874973712195</v>
      </c>
      <c r="AD38" s="2">
        <f t="shared" si="5"/>
        <v>15.78874973712195</v>
      </c>
      <c r="AE38" s="2">
        <f t="shared" si="6"/>
        <v>15.946637234493171</v>
      </c>
      <c r="AF38" s="2">
        <f t="shared" si="7"/>
        <v>15.946637234493171</v>
      </c>
      <c r="AG38" s="2">
        <f t="shared" si="8"/>
        <v>16.106103606838101</v>
      </c>
      <c r="AH38" s="2">
        <f t="shared" si="9"/>
        <v>16.106103606838101</v>
      </c>
    </row>
    <row r="39" spans="1:34">
      <c r="A39" t="str">
        <f>CYF!A39</f>
        <v>Lentils</v>
      </c>
      <c r="B39" t="str">
        <f>CYF!B39</f>
        <v>Gumuz</v>
      </c>
      <c r="C39" s="2">
        <f>VLOOKUP($B39,Elec!$R$41:$S$51,2,0)/SUM(Elec!$S$41:$S$51)/2*VLOOKUP($A39,'Basic Feasibility'!$AB$14:$AC$19,2,0)</f>
        <v>0.68341496998666063</v>
      </c>
      <c r="D39" s="2">
        <f>VLOOKUP($B39,Elec!$R$41:$S$51,2,0)/SUM(Elec!$S$41:$S$51)/2*VLOOKUP($A39,'Basic Feasibility'!$AB$14:$AC$19,2,0)</f>
        <v>0.68341496998666063</v>
      </c>
      <c r="E39" s="2">
        <f t="shared" si="3"/>
        <v>0.69024911968652725</v>
      </c>
      <c r="F39" s="2">
        <f t="shared" si="10"/>
        <v>0.69024911968652725</v>
      </c>
      <c r="G39" s="2">
        <f t="shared" si="11"/>
        <v>0.6971516108833925</v>
      </c>
      <c r="H39" s="2">
        <f t="shared" si="12"/>
        <v>0.6971516108833925</v>
      </c>
      <c r="I39" s="2">
        <f t="shared" si="13"/>
        <v>0.70412312699222646</v>
      </c>
      <c r="J39" s="2">
        <f t="shared" si="14"/>
        <v>0.70412312699222646</v>
      </c>
      <c r="K39" s="2">
        <f t="shared" si="15"/>
        <v>0.71116435826214874</v>
      </c>
      <c r="L39" s="2">
        <f t="shared" si="16"/>
        <v>0.71116435826214874</v>
      </c>
      <c r="M39" s="2">
        <f t="shared" si="17"/>
        <v>0.71827600184477025</v>
      </c>
      <c r="N39" s="2">
        <f t="shared" si="18"/>
        <v>0.71827600184477025</v>
      </c>
      <c r="O39" s="2">
        <f t="shared" si="19"/>
        <v>0.725458761863218</v>
      </c>
      <c r="P39" s="2">
        <f t="shared" si="20"/>
        <v>0.725458761863218</v>
      </c>
      <c r="Q39" s="2">
        <f t="shared" si="21"/>
        <v>0.73271334948185018</v>
      </c>
      <c r="R39" s="2">
        <f t="shared" si="22"/>
        <v>0.73271334948185018</v>
      </c>
      <c r="S39" s="2">
        <f t="shared" si="23"/>
        <v>0.74004048297666869</v>
      </c>
      <c r="T39" s="2">
        <f t="shared" si="24"/>
        <v>0.74004048297666869</v>
      </c>
      <c r="U39" s="2">
        <f t="shared" si="25"/>
        <v>0.74744088780643536</v>
      </c>
      <c r="V39" s="2">
        <f t="shared" si="26"/>
        <v>0.74744088780643536</v>
      </c>
      <c r="W39" s="2">
        <f t="shared" si="27"/>
        <v>0.75491529668449975</v>
      </c>
      <c r="X39" s="2">
        <f t="shared" si="28"/>
        <v>0.75491529668449975</v>
      </c>
      <c r="Y39" s="2">
        <f t="shared" si="29"/>
        <v>0.76246444965134474</v>
      </c>
      <c r="Z39" s="2">
        <f t="shared" si="30"/>
        <v>0.76246444965134474</v>
      </c>
      <c r="AA39" s="2">
        <f t="shared" si="31"/>
        <v>0.7700890941478582</v>
      </c>
      <c r="AB39" s="2">
        <f t="shared" si="32"/>
        <v>0.7700890941478582</v>
      </c>
      <c r="AC39" s="2">
        <f t="shared" si="4"/>
        <v>0.77778998508933683</v>
      </c>
      <c r="AD39" s="2">
        <f t="shared" si="5"/>
        <v>0.77778998508933683</v>
      </c>
      <c r="AE39" s="2">
        <f t="shared" si="6"/>
        <v>0.78556788494023022</v>
      </c>
      <c r="AF39" s="2">
        <f t="shared" si="7"/>
        <v>0.78556788494023022</v>
      </c>
      <c r="AG39" s="2">
        <f t="shared" si="8"/>
        <v>0.79342356378963252</v>
      </c>
      <c r="AH39" s="2">
        <f t="shared" si="9"/>
        <v>0.79342356378963252</v>
      </c>
    </row>
    <row r="40" spans="1:34">
      <c r="A40" t="str">
        <f>CYF!A40</f>
        <v>Lentils</v>
      </c>
      <c r="B40" t="str">
        <f>CYF!B40</f>
        <v>DireDawa</v>
      </c>
      <c r="C40" s="2">
        <f>VLOOKUP($B40,Elec!$R$41:$S$51,2,0)/SUM(Elec!$S$41:$S$51)/2*VLOOKUP($A40,'Basic Feasibility'!$AB$14:$AC$19,2,0)</f>
        <v>0.2992065540240107</v>
      </c>
      <c r="D40" s="2">
        <f>VLOOKUP($B40,Elec!$R$41:$S$51,2,0)/SUM(Elec!$S$41:$S$51)/2*VLOOKUP($A40,'Basic Feasibility'!$AB$14:$AC$19,2,0)</f>
        <v>0.2992065540240107</v>
      </c>
      <c r="E40" s="2">
        <f t="shared" si="3"/>
        <v>0.30219861956425081</v>
      </c>
      <c r="F40" s="2">
        <f t="shared" si="10"/>
        <v>0.30219861956425081</v>
      </c>
      <c r="G40" s="2">
        <f t="shared" si="11"/>
        <v>0.30522060575989335</v>
      </c>
      <c r="H40" s="2">
        <f t="shared" si="12"/>
        <v>0.30522060575989335</v>
      </c>
      <c r="I40" s="2">
        <f t="shared" si="13"/>
        <v>0.30827281181749228</v>
      </c>
      <c r="J40" s="2">
        <f t="shared" si="14"/>
        <v>0.30827281181749228</v>
      </c>
      <c r="K40" s="2">
        <f t="shared" si="15"/>
        <v>0.31135553993566722</v>
      </c>
      <c r="L40" s="2">
        <f t="shared" si="16"/>
        <v>0.31135553993566722</v>
      </c>
      <c r="M40" s="2">
        <f t="shared" si="17"/>
        <v>0.31446909533502387</v>
      </c>
      <c r="N40" s="2">
        <f t="shared" si="18"/>
        <v>0.31446909533502387</v>
      </c>
      <c r="O40" s="2">
        <f t="shared" si="19"/>
        <v>0.31761378628837411</v>
      </c>
      <c r="P40" s="2">
        <f t="shared" si="20"/>
        <v>0.31761378628837411</v>
      </c>
      <c r="Q40" s="2">
        <f t="shared" si="21"/>
        <v>0.32078992415125784</v>
      </c>
      <c r="R40" s="2">
        <f t="shared" si="22"/>
        <v>0.32078992415125784</v>
      </c>
      <c r="S40" s="2">
        <f t="shared" si="23"/>
        <v>0.32399782339277045</v>
      </c>
      <c r="T40" s="2">
        <f t="shared" si="24"/>
        <v>0.32399782339277045</v>
      </c>
      <c r="U40" s="2">
        <f t="shared" si="25"/>
        <v>0.32723780162669813</v>
      </c>
      <c r="V40" s="2">
        <f t="shared" si="26"/>
        <v>0.32723780162669813</v>
      </c>
      <c r="W40" s="2">
        <f t="shared" si="27"/>
        <v>0.33051017964296514</v>
      </c>
      <c r="X40" s="2">
        <f t="shared" si="28"/>
        <v>0.33051017964296514</v>
      </c>
      <c r="Y40" s="2">
        <f t="shared" si="29"/>
        <v>0.33381528143939482</v>
      </c>
      <c r="Z40" s="2">
        <f t="shared" si="30"/>
        <v>0.33381528143939482</v>
      </c>
      <c r="AA40" s="2">
        <f t="shared" si="31"/>
        <v>0.33715343425378874</v>
      </c>
      <c r="AB40" s="2">
        <f t="shared" si="32"/>
        <v>0.33715343425378874</v>
      </c>
      <c r="AC40" s="2">
        <f t="shared" si="4"/>
        <v>0.34052496859632664</v>
      </c>
      <c r="AD40" s="2">
        <f t="shared" si="5"/>
        <v>0.34052496859632664</v>
      </c>
      <c r="AE40" s="2">
        <f t="shared" si="6"/>
        <v>0.34393021828228992</v>
      </c>
      <c r="AF40" s="2">
        <f t="shared" si="7"/>
        <v>0.34393021828228992</v>
      </c>
      <c r="AG40" s="2">
        <f t="shared" si="8"/>
        <v>0.34736952046511282</v>
      </c>
      <c r="AH40" s="2">
        <f t="shared" si="9"/>
        <v>0.34736952046511282</v>
      </c>
    </row>
    <row r="41" spans="1:34">
      <c r="A41" t="str">
        <f>CYF!A41</f>
        <v>Lentils</v>
      </c>
      <c r="B41" t="str">
        <f>CYF!B41</f>
        <v>Gambela</v>
      </c>
      <c r="C41" s="2">
        <f>VLOOKUP($B41,Elec!$R$41:$S$51,2,0)/SUM(Elec!$S$41:$S$51)/2*VLOOKUP($A41,'Basic Feasibility'!$AB$14:$AC$19,2,0)</f>
        <v>0.2781260922632281</v>
      </c>
      <c r="D41" s="2">
        <f>VLOOKUP($B41,Elec!$R$41:$S$51,2,0)/SUM(Elec!$S$41:$S$51)/2*VLOOKUP($A41,'Basic Feasibility'!$AB$14:$AC$19,2,0)</f>
        <v>0.2781260922632281</v>
      </c>
      <c r="E41" s="2">
        <f t="shared" si="3"/>
        <v>0.28090735318586035</v>
      </c>
      <c r="F41" s="2">
        <f t="shared" si="10"/>
        <v>0.28090735318586035</v>
      </c>
      <c r="G41" s="2">
        <f t="shared" si="11"/>
        <v>0.28371642671771896</v>
      </c>
      <c r="H41" s="2">
        <f t="shared" si="12"/>
        <v>0.28371642671771896</v>
      </c>
      <c r="I41" s="2">
        <f t="shared" si="13"/>
        <v>0.28655359098489613</v>
      </c>
      <c r="J41" s="2">
        <f t="shared" si="14"/>
        <v>0.28655359098489613</v>
      </c>
      <c r="K41" s="2">
        <f t="shared" si="15"/>
        <v>0.28941912689474508</v>
      </c>
      <c r="L41" s="2">
        <f t="shared" si="16"/>
        <v>0.28941912689474508</v>
      </c>
      <c r="M41" s="2">
        <f t="shared" si="17"/>
        <v>0.29231331816369255</v>
      </c>
      <c r="N41" s="2">
        <f t="shared" si="18"/>
        <v>0.29231331816369255</v>
      </c>
      <c r="O41" s="2">
        <f t="shared" si="19"/>
        <v>0.2952364513453295</v>
      </c>
      <c r="P41" s="2">
        <f t="shared" si="20"/>
        <v>0.2952364513453295</v>
      </c>
      <c r="Q41" s="2">
        <f t="shared" si="21"/>
        <v>0.29818881585878282</v>
      </c>
      <c r="R41" s="2">
        <f t="shared" si="22"/>
        <v>0.29818881585878282</v>
      </c>
      <c r="S41" s="2">
        <f t="shared" si="23"/>
        <v>0.30117070401737067</v>
      </c>
      <c r="T41" s="2">
        <f t="shared" si="24"/>
        <v>0.30117070401737067</v>
      </c>
      <c r="U41" s="2">
        <f t="shared" si="25"/>
        <v>0.3041824110575444</v>
      </c>
      <c r="V41" s="2">
        <f t="shared" si="26"/>
        <v>0.3041824110575444</v>
      </c>
      <c r="W41" s="2">
        <f t="shared" si="27"/>
        <v>0.30722423516811986</v>
      </c>
      <c r="X41" s="2">
        <f t="shared" si="28"/>
        <v>0.30722423516811986</v>
      </c>
      <c r="Y41" s="2">
        <f t="shared" si="29"/>
        <v>0.31029647751980105</v>
      </c>
      <c r="Z41" s="2">
        <f t="shared" si="30"/>
        <v>0.31029647751980105</v>
      </c>
      <c r="AA41" s="2">
        <f t="shared" si="31"/>
        <v>0.31339944229499905</v>
      </c>
      <c r="AB41" s="2">
        <f t="shared" si="32"/>
        <v>0.31339944229499905</v>
      </c>
      <c r="AC41" s="2">
        <f t="shared" si="4"/>
        <v>0.31653343671794903</v>
      </c>
      <c r="AD41" s="2">
        <f t="shared" si="5"/>
        <v>0.31653343671794903</v>
      </c>
      <c r="AE41" s="2">
        <f t="shared" si="6"/>
        <v>0.31969877108512851</v>
      </c>
      <c r="AF41" s="2">
        <f t="shared" si="7"/>
        <v>0.31969877108512851</v>
      </c>
      <c r="AG41" s="2">
        <f t="shared" si="8"/>
        <v>0.32289575879597981</v>
      </c>
      <c r="AH41" s="2">
        <f t="shared" si="9"/>
        <v>0.32289575879597981</v>
      </c>
    </row>
    <row r="42" spans="1:34">
      <c r="A42" t="str">
        <f>CYF!A42</f>
        <v>Lentils</v>
      </c>
      <c r="B42" t="str">
        <f>CYF!B42</f>
        <v>Harari</v>
      </c>
      <c r="C42" s="2">
        <f>VLOOKUP($B42,Elec!$R$41:$S$51,2,0)/SUM(Elec!$S$41:$S$51)/2*VLOOKUP($A42,'Basic Feasibility'!$AB$14:$AC$19,2,0)</f>
        <v>0.15776345575811473</v>
      </c>
      <c r="D42" s="2">
        <f>VLOOKUP($B42,Elec!$R$41:$S$51,2,0)/SUM(Elec!$S$41:$S$51)/2*VLOOKUP($A42,'Basic Feasibility'!$AB$14:$AC$19,2,0)</f>
        <v>0.15776345575811473</v>
      </c>
      <c r="E42" s="2">
        <f t="shared" si="3"/>
        <v>0.15934109031569588</v>
      </c>
      <c r="F42" s="2">
        <f t="shared" si="10"/>
        <v>0.15934109031569588</v>
      </c>
      <c r="G42" s="2">
        <f t="shared" si="11"/>
        <v>0.16093450121885283</v>
      </c>
      <c r="H42" s="2">
        <f t="shared" si="12"/>
        <v>0.16093450121885283</v>
      </c>
      <c r="I42" s="2">
        <f t="shared" si="13"/>
        <v>0.16254384623104137</v>
      </c>
      <c r="J42" s="2">
        <f t="shared" si="14"/>
        <v>0.16254384623104137</v>
      </c>
      <c r="K42" s="2">
        <f t="shared" si="15"/>
        <v>0.16416928469335179</v>
      </c>
      <c r="L42" s="2">
        <f t="shared" si="16"/>
        <v>0.16416928469335179</v>
      </c>
      <c r="M42" s="2">
        <f t="shared" si="17"/>
        <v>0.16581097754028531</v>
      </c>
      <c r="N42" s="2">
        <f t="shared" si="18"/>
        <v>0.16581097754028531</v>
      </c>
      <c r="O42" s="2">
        <f t="shared" si="19"/>
        <v>0.16746908731568816</v>
      </c>
      <c r="P42" s="2">
        <f t="shared" si="20"/>
        <v>0.16746908731568816</v>
      </c>
      <c r="Q42" s="2">
        <f t="shared" si="21"/>
        <v>0.16914377818884505</v>
      </c>
      <c r="R42" s="2">
        <f t="shared" si="22"/>
        <v>0.16914377818884505</v>
      </c>
      <c r="S42" s="2">
        <f t="shared" si="23"/>
        <v>0.17083521597073351</v>
      </c>
      <c r="T42" s="2">
        <f t="shared" si="24"/>
        <v>0.17083521597073351</v>
      </c>
      <c r="U42" s="2">
        <f t="shared" si="25"/>
        <v>0.17254356813044083</v>
      </c>
      <c r="V42" s="2">
        <f t="shared" si="26"/>
        <v>0.17254356813044083</v>
      </c>
      <c r="W42" s="2">
        <f t="shared" si="27"/>
        <v>0.17426900381174523</v>
      </c>
      <c r="X42" s="2">
        <f t="shared" si="28"/>
        <v>0.17426900381174523</v>
      </c>
      <c r="Y42" s="2">
        <f t="shared" si="29"/>
        <v>0.17601169384986268</v>
      </c>
      <c r="Z42" s="2">
        <f t="shared" si="30"/>
        <v>0.17601169384986268</v>
      </c>
      <c r="AA42" s="2">
        <f t="shared" si="31"/>
        <v>0.1777718107883613</v>
      </c>
      <c r="AB42" s="2">
        <f t="shared" si="32"/>
        <v>0.1777718107883613</v>
      </c>
      <c r="AC42" s="2">
        <f t="shared" si="4"/>
        <v>0.1795495288962449</v>
      </c>
      <c r="AD42" s="2">
        <f t="shared" si="5"/>
        <v>0.1795495288962449</v>
      </c>
      <c r="AE42" s="2">
        <f t="shared" si="6"/>
        <v>0.18134502418520734</v>
      </c>
      <c r="AF42" s="2">
        <f t="shared" si="7"/>
        <v>0.18134502418520734</v>
      </c>
      <c r="AG42" s="2">
        <f t="shared" si="8"/>
        <v>0.18315847442705943</v>
      </c>
      <c r="AH42" s="2">
        <f t="shared" si="9"/>
        <v>0.18315847442705943</v>
      </c>
    </row>
    <row r="43" spans="1:34">
      <c r="A43" t="str">
        <f>CYF!A43</f>
        <v>Lentils</v>
      </c>
      <c r="B43" t="str">
        <f>CYF!B43</f>
        <v>Oromia</v>
      </c>
      <c r="C43" s="2">
        <f>VLOOKUP($B43,Elec!$R$41:$S$51,2,0)/SUM(Elec!$S$41:$S$51)/2*VLOOKUP($A43,'Basic Feasibility'!$AB$14:$AC$19,2,0)</f>
        <v>22.911061859493106</v>
      </c>
      <c r="D43" s="2">
        <f>VLOOKUP($B43,Elec!$R$41:$S$51,2,0)/SUM(Elec!$S$41:$S$51)/2*VLOOKUP($A43,'Basic Feasibility'!$AB$14:$AC$19,2,0)</f>
        <v>22.911061859493106</v>
      </c>
      <c r="E43" s="2">
        <f t="shared" si="3"/>
        <v>23.140172478088036</v>
      </c>
      <c r="F43" s="2">
        <f t="shared" si="10"/>
        <v>23.140172478088036</v>
      </c>
      <c r="G43" s="2">
        <f t="shared" si="11"/>
        <v>23.371574202868917</v>
      </c>
      <c r="H43" s="2">
        <f t="shared" si="12"/>
        <v>23.371574202868917</v>
      </c>
      <c r="I43" s="2">
        <f t="shared" si="13"/>
        <v>23.605289944897606</v>
      </c>
      <c r="J43" s="2">
        <f t="shared" si="14"/>
        <v>23.605289944897606</v>
      </c>
      <c r="K43" s="2">
        <f t="shared" si="15"/>
        <v>23.841342844346581</v>
      </c>
      <c r="L43" s="2">
        <f t="shared" si="16"/>
        <v>23.841342844346581</v>
      </c>
      <c r="M43" s="2">
        <f t="shared" si="17"/>
        <v>24.079756272790046</v>
      </c>
      <c r="N43" s="2">
        <f t="shared" si="18"/>
        <v>24.079756272790046</v>
      </c>
      <c r="O43" s="2">
        <f t="shared" si="19"/>
        <v>24.320553835517948</v>
      </c>
      <c r="P43" s="2">
        <f t="shared" si="20"/>
        <v>24.320553835517948</v>
      </c>
      <c r="Q43" s="2">
        <f t="shared" si="21"/>
        <v>24.563759373873129</v>
      </c>
      <c r="R43" s="2">
        <f t="shared" si="22"/>
        <v>24.563759373873129</v>
      </c>
      <c r="S43" s="2">
        <f t="shared" si="23"/>
        <v>24.80939696761186</v>
      </c>
      <c r="T43" s="2">
        <f t="shared" si="24"/>
        <v>24.80939696761186</v>
      </c>
      <c r="U43" s="2">
        <f t="shared" si="25"/>
        <v>25.05749093728798</v>
      </c>
      <c r="V43" s="2">
        <f t="shared" si="26"/>
        <v>25.05749093728798</v>
      </c>
      <c r="W43" s="2">
        <f t="shared" si="27"/>
        <v>25.30806584666086</v>
      </c>
      <c r="X43" s="2">
        <f t="shared" si="28"/>
        <v>25.30806584666086</v>
      </c>
      <c r="Y43" s="2">
        <f t="shared" si="29"/>
        <v>25.561146505127468</v>
      </c>
      <c r="Z43" s="2">
        <f t="shared" si="30"/>
        <v>25.561146505127468</v>
      </c>
      <c r="AA43" s="2">
        <f t="shared" si="31"/>
        <v>25.816757970178742</v>
      </c>
      <c r="AB43" s="2">
        <f t="shared" si="32"/>
        <v>25.816757970178742</v>
      </c>
      <c r="AC43" s="2">
        <f t="shared" si="4"/>
        <v>26.074925549880529</v>
      </c>
      <c r="AD43" s="2">
        <f t="shared" si="5"/>
        <v>26.074925549880529</v>
      </c>
      <c r="AE43" s="2">
        <f t="shared" si="6"/>
        <v>26.335674805379334</v>
      </c>
      <c r="AF43" s="2">
        <f t="shared" si="7"/>
        <v>26.335674805379334</v>
      </c>
      <c r="AG43" s="2">
        <f t="shared" si="8"/>
        <v>26.599031553433129</v>
      </c>
      <c r="AH43" s="2">
        <f t="shared" si="9"/>
        <v>26.599031553433129</v>
      </c>
    </row>
    <row r="44" spans="1:34">
      <c r="A44" t="str">
        <f>CYF!A44</f>
        <v>Lentils</v>
      </c>
      <c r="B44" t="str">
        <f>CYF!B44</f>
        <v>Somali</v>
      </c>
      <c r="C44" s="2">
        <f>VLOOKUP($B44,Elec!$R$41:$S$51,2,0)/SUM(Elec!$S$41:$S$51)/2*VLOOKUP($A44,'Basic Feasibility'!$AB$14:$AC$19,2,0)</f>
        <v>3.708121225211205</v>
      </c>
      <c r="D44" s="2">
        <f>VLOOKUP($B44,Elec!$R$41:$S$51,2,0)/SUM(Elec!$S$41:$S$51)/2*VLOOKUP($A44,'Basic Feasibility'!$AB$14:$AC$19,2,0)</f>
        <v>3.708121225211205</v>
      </c>
      <c r="E44" s="2">
        <f t="shared" si="3"/>
        <v>3.745202437463317</v>
      </c>
      <c r="F44" s="2">
        <f t="shared" si="10"/>
        <v>3.745202437463317</v>
      </c>
      <c r="G44" s="2">
        <f t="shared" si="11"/>
        <v>3.7826544618379501</v>
      </c>
      <c r="H44" s="2">
        <f t="shared" si="12"/>
        <v>3.7826544618379501</v>
      </c>
      <c r="I44" s="2">
        <f t="shared" si="13"/>
        <v>3.8204810064563297</v>
      </c>
      <c r="J44" s="2">
        <f t="shared" si="14"/>
        <v>3.8204810064563297</v>
      </c>
      <c r="K44" s="2">
        <f t="shared" si="15"/>
        <v>3.858685816520893</v>
      </c>
      <c r="L44" s="2">
        <f t="shared" si="16"/>
        <v>3.858685816520893</v>
      </c>
      <c r="M44" s="2">
        <f t="shared" si="17"/>
        <v>3.8972726746861022</v>
      </c>
      <c r="N44" s="2">
        <f t="shared" si="18"/>
        <v>3.8972726746861022</v>
      </c>
      <c r="O44" s="2">
        <f t="shared" si="19"/>
        <v>3.9362454014329633</v>
      </c>
      <c r="P44" s="2">
        <f t="shared" si="20"/>
        <v>3.9362454014329633</v>
      </c>
      <c r="Q44" s="2">
        <f t="shared" si="21"/>
        <v>3.9756078554472931</v>
      </c>
      <c r="R44" s="2">
        <f t="shared" si="22"/>
        <v>3.9756078554472931</v>
      </c>
      <c r="S44" s="2">
        <f t="shared" si="23"/>
        <v>4.0153639340017664</v>
      </c>
      <c r="T44" s="2">
        <f t="shared" si="24"/>
        <v>4.0153639340017664</v>
      </c>
      <c r="U44" s="2">
        <f t="shared" si="25"/>
        <v>4.0555175733417839</v>
      </c>
      <c r="V44" s="2">
        <f t="shared" si="26"/>
        <v>4.0555175733417839</v>
      </c>
      <c r="W44" s="2">
        <f t="shared" si="27"/>
        <v>4.0960727490752014</v>
      </c>
      <c r="X44" s="2">
        <f t="shared" si="28"/>
        <v>4.0960727490752014</v>
      </c>
      <c r="Y44" s="2">
        <f t="shared" si="29"/>
        <v>4.1370334765659535</v>
      </c>
      <c r="Z44" s="2">
        <f t="shared" si="30"/>
        <v>4.1370334765659535</v>
      </c>
      <c r="AA44" s="2">
        <f t="shared" si="31"/>
        <v>4.1784038113316129</v>
      </c>
      <c r="AB44" s="2">
        <f t="shared" si="32"/>
        <v>4.1784038113316129</v>
      </c>
      <c r="AC44" s="2">
        <f t="shared" si="4"/>
        <v>4.2201878494449288</v>
      </c>
      <c r="AD44" s="2">
        <f t="shared" si="5"/>
        <v>4.2201878494449288</v>
      </c>
      <c r="AE44" s="2">
        <f t="shared" si="6"/>
        <v>4.2623897279393779</v>
      </c>
      <c r="AF44" s="2">
        <f t="shared" si="7"/>
        <v>4.2623897279393779</v>
      </c>
      <c r="AG44" s="2">
        <f t="shared" si="8"/>
        <v>4.3050136252187716</v>
      </c>
      <c r="AH44" s="2">
        <f t="shared" si="9"/>
        <v>4.3050136252187716</v>
      </c>
    </row>
    <row r="45" spans="1:34">
      <c r="A45" t="str">
        <f>CYF!A45</f>
        <v>Lentils</v>
      </c>
      <c r="B45" t="str">
        <f>CYF!B45</f>
        <v>SNNPR</v>
      </c>
      <c r="C45" s="2">
        <f>VLOOKUP($B45,Elec!$R$41:$S$51,2,0)/SUM(Elec!$S$41:$S$51)/2*VLOOKUP($A45,'Basic Feasibility'!$AB$14:$AC$19,2,0)</f>
        <v>12.427952230324589</v>
      </c>
      <c r="D45" s="2">
        <f>VLOOKUP($B45,Elec!$R$41:$S$51,2,0)/SUM(Elec!$S$41:$S$51)/2*VLOOKUP($A45,'Basic Feasibility'!$AB$14:$AC$19,2,0)</f>
        <v>12.427952230324589</v>
      </c>
      <c r="E45" s="2">
        <f t="shared" si="3"/>
        <v>12.552231752627835</v>
      </c>
      <c r="F45" s="2">
        <f t="shared" si="10"/>
        <v>12.552231752627835</v>
      </c>
      <c r="G45" s="2">
        <f t="shared" si="11"/>
        <v>12.677754070154114</v>
      </c>
      <c r="H45" s="2">
        <f t="shared" si="12"/>
        <v>12.677754070154114</v>
      </c>
      <c r="I45" s="2">
        <f t="shared" si="13"/>
        <v>12.804531610855655</v>
      </c>
      <c r="J45" s="2">
        <f t="shared" si="14"/>
        <v>12.804531610855655</v>
      </c>
      <c r="K45" s="2">
        <f t="shared" si="15"/>
        <v>12.932576926964211</v>
      </c>
      <c r="L45" s="2">
        <f t="shared" si="16"/>
        <v>12.932576926964211</v>
      </c>
      <c r="M45" s="2">
        <f t="shared" si="17"/>
        <v>13.061902696233853</v>
      </c>
      <c r="N45" s="2">
        <f t="shared" si="18"/>
        <v>13.061902696233853</v>
      </c>
      <c r="O45" s="2">
        <f t="shared" si="19"/>
        <v>13.192521723196192</v>
      </c>
      <c r="P45" s="2">
        <f t="shared" si="20"/>
        <v>13.192521723196192</v>
      </c>
      <c r="Q45" s="2">
        <f t="shared" si="21"/>
        <v>13.324446940428153</v>
      </c>
      <c r="R45" s="2">
        <f t="shared" si="22"/>
        <v>13.324446940428153</v>
      </c>
      <c r="S45" s="2">
        <f t="shared" si="23"/>
        <v>13.457691409832435</v>
      </c>
      <c r="T45" s="2">
        <f t="shared" si="24"/>
        <v>13.457691409832435</v>
      </c>
      <c r="U45" s="2">
        <f t="shared" si="25"/>
        <v>13.59226832393076</v>
      </c>
      <c r="V45" s="2">
        <f t="shared" si="26"/>
        <v>13.59226832393076</v>
      </c>
      <c r="W45" s="2">
        <f t="shared" si="27"/>
        <v>13.728191007170068</v>
      </c>
      <c r="X45" s="2">
        <f t="shared" si="28"/>
        <v>13.728191007170068</v>
      </c>
      <c r="Y45" s="2">
        <f t="shared" si="29"/>
        <v>13.865472917241769</v>
      </c>
      <c r="Z45" s="2">
        <f t="shared" si="30"/>
        <v>13.865472917241769</v>
      </c>
      <c r="AA45" s="2">
        <f t="shared" si="31"/>
        <v>14.004127646414187</v>
      </c>
      <c r="AB45" s="2">
        <f t="shared" si="32"/>
        <v>14.004127646414187</v>
      </c>
      <c r="AC45" s="2">
        <f t="shared" si="4"/>
        <v>14.144168922878329</v>
      </c>
      <c r="AD45" s="2">
        <f t="shared" si="5"/>
        <v>14.144168922878329</v>
      </c>
      <c r="AE45" s="2">
        <f t="shared" si="6"/>
        <v>14.285610612107112</v>
      </c>
      <c r="AF45" s="2">
        <f t="shared" si="7"/>
        <v>14.285610612107112</v>
      </c>
      <c r="AG45" s="2">
        <f t="shared" si="8"/>
        <v>14.428466718228183</v>
      </c>
      <c r="AH45" s="2">
        <f t="shared" si="9"/>
        <v>14.428466718228183</v>
      </c>
    </row>
    <row r="46" spans="1:34">
      <c r="A46" t="str">
        <f>CYF!A46</f>
        <v>Lentils</v>
      </c>
      <c r="B46" t="str">
        <f>CYF!B46</f>
        <v>Tigray</v>
      </c>
      <c r="C46" s="2">
        <f>VLOOKUP($B46,Elec!$R$41:$S$51,2,0)/SUM(Elec!$S$41:$S$51)/2*VLOOKUP($A46,'Basic Feasibility'!$AB$14:$AC$19,2,0)</f>
        <v>3.4381553116940862</v>
      </c>
      <c r="D46" s="2">
        <f>VLOOKUP($B46,Elec!$R$41:$S$51,2,0)/SUM(Elec!$S$41:$S$51)/2*VLOOKUP($A46,'Basic Feasibility'!$AB$14:$AC$19,2,0)</f>
        <v>3.4381553116940862</v>
      </c>
      <c r="E46" s="2">
        <f t="shared" si="3"/>
        <v>3.4725368648110271</v>
      </c>
      <c r="F46" s="2">
        <f t="shared" si="10"/>
        <v>3.4725368648110271</v>
      </c>
      <c r="G46" s="2">
        <f t="shared" si="11"/>
        <v>3.5072622334591372</v>
      </c>
      <c r="H46" s="2">
        <f t="shared" si="12"/>
        <v>3.5072622334591372</v>
      </c>
      <c r="I46" s="2">
        <f t="shared" si="13"/>
        <v>3.5423348557937286</v>
      </c>
      <c r="J46" s="2">
        <f t="shared" si="14"/>
        <v>3.5423348557937286</v>
      </c>
      <c r="K46" s="2">
        <f t="shared" si="15"/>
        <v>3.577758204351666</v>
      </c>
      <c r="L46" s="2">
        <f t="shared" si="16"/>
        <v>3.577758204351666</v>
      </c>
      <c r="M46" s="2">
        <f t="shared" si="17"/>
        <v>3.6135357863951829</v>
      </c>
      <c r="N46" s="2">
        <f t="shared" si="18"/>
        <v>3.6135357863951829</v>
      </c>
      <c r="O46" s="2">
        <f t="shared" si="19"/>
        <v>3.649671144259135</v>
      </c>
      <c r="P46" s="2">
        <f t="shared" si="20"/>
        <v>3.649671144259135</v>
      </c>
      <c r="Q46" s="2">
        <f t="shared" si="21"/>
        <v>3.6861678557017266</v>
      </c>
      <c r="R46" s="2">
        <f t="shared" si="22"/>
        <v>3.6861678557017266</v>
      </c>
      <c r="S46" s="2">
        <f t="shared" si="23"/>
        <v>3.7230295342587438</v>
      </c>
      <c r="T46" s="2">
        <f t="shared" si="24"/>
        <v>3.7230295342587438</v>
      </c>
      <c r="U46" s="2">
        <f t="shared" si="25"/>
        <v>3.7602598296013312</v>
      </c>
      <c r="V46" s="2">
        <f t="shared" si="26"/>
        <v>3.7602598296013312</v>
      </c>
      <c r="W46" s="2">
        <f t="shared" si="27"/>
        <v>3.7978624278973445</v>
      </c>
      <c r="X46" s="2">
        <f t="shared" si="28"/>
        <v>3.7978624278973445</v>
      </c>
      <c r="Y46" s="2">
        <f t="shared" si="29"/>
        <v>3.8358410521763182</v>
      </c>
      <c r="Z46" s="2">
        <f t="shared" si="30"/>
        <v>3.8358410521763182</v>
      </c>
      <c r="AA46" s="2">
        <f t="shared" si="31"/>
        <v>3.8741994626980816</v>
      </c>
      <c r="AB46" s="2">
        <f t="shared" si="32"/>
        <v>3.8741994626980816</v>
      </c>
      <c r="AC46" s="2">
        <f t="shared" si="4"/>
        <v>3.9129414573250623</v>
      </c>
      <c r="AD46" s="2">
        <f t="shared" si="5"/>
        <v>3.9129414573250623</v>
      </c>
      <c r="AE46" s="2">
        <f t="shared" si="6"/>
        <v>3.9520708718983131</v>
      </c>
      <c r="AF46" s="2">
        <f t="shared" si="7"/>
        <v>3.9520708718983131</v>
      </c>
      <c r="AG46" s="2">
        <f t="shared" si="8"/>
        <v>3.9915915806172961</v>
      </c>
      <c r="AH46" s="2">
        <f t="shared" si="9"/>
        <v>3.9915915806172961</v>
      </c>
    </row>
    <row r="47" spans="1:34">
      <c r="A47" t="str">
        <f>CYF!A47</f>
        <v>Vegetables</v>
      </c>
      <c r="B47" t="str">
        <f>CYF!B47</f>
        <v>AddisAbaba</v>
      </c>
      <c r="C47" s="2">
        <f>VLOOKUP($B47,Elec!$R$41:$S$51,2,0)/SUM(Elec!$S$41:$S$51)/2*VLOOKUP($A47,'Basic Feasibility'!$AB$14:$AC$19,2,0)</f>
        <v>3.0421418046909743</v>
      </c>
      <c r="D47" s="2">
        <f>VLOOKUP($B47,Elec!$R$41:$S$51,2,0)/SUM(Elec!$S$41:$S$51)/2*VLOOKUP($A47,'Basic Feasibility'!$AB$14:$AC$19,2,0)</f>
        <v>3.0421418046909743</v>
      </c>
      <c r="E47" s="2">
        <f t="shared" si="3"/>
        <v>3.0725632227378838</v>
      </c>
      <c r="F47" s="2">
        <f t="shared" si="10"/>
        <v>3.0725632227378838</v>
      </c>
      <c r="G47" s="2">
        <f t="shared" si="11"/>
        <v>3.1032888549652626</v>
      </c>
      <c r="H47" s="2">
        <f t="shared" si="12"/>
        <v>3.1032888549652626</v>
      </c>
      <c r="I47" s="2">
        <f t="shared" si="13"/>
        <v>3.1343217435149153</v>
      </c>
      <c r="J47" s="2">
        <f t="shared" si="14"/>
        <v>3.1343217435149153</v>
      </c>
      <c r="K47" s="2">
        <f t="shared" si="15"/>
        <v>3.1656649609500644</v>
      </c>
      <c r="L47" s="2">
        <f t="shared" si="16"/>
        <v>3.1656649609500644</v>
      </c>
      <c r="M47" s="2">
        <f t="shared" si="17"/>
        <v>3.1973216105595652</v>
      </c>
      <c r="N47" s="2">
        <f t="shared" si="18"/>
        <v>3.1973216105595652</v>
      </c>
      <c r="O47" s="2">
        <f t="shared" si="19"/>
        <v>3.2292948266651611</v>
      </c>
      <c r="P47" s="2">
        <f t="shared" si="20"/>
        <v>3.2292948266651611</v>
      </c>
      <c r="Q47" s="2">
        <f t="shared" si="21"/>
        <v>3.261587774931813</v>
      </c>
      <c r="R47" s="2">
        <f t="shared" si="22"/>
        <v>3.261587774931813</v>
      </c>
      <c r="S47" s="2">
        <f t="shared" si="23"/>
        <v>3.2942036526811309</v>
      </c>
      <c r="T47" s="2">
        <f t="shared" si="24"/>
        <v>3.2942036526811309</v>
      </c>
      <c r="U47" s="2">
        <f t="shared" si="25"/>
        <v>3.3271456892079421</v>
      </c>
      <c r="V47" s="2">
        <f t="shared" si="26"/>
        <v>3.3271456892079421</v>
      </c>
      <c r="W47" s="2">
        <f t="shared" si="27"/>
        <v>3.3604171461000214</v>
      </c>
      <c r="X47" s="2">
        <f t="shared" si="28"/>
        <v>3.3604171461000214</v>
      </c>
      <c r="Y47" s="2">
        <f t="shared" si="29"/>
        <v>3.3940213175610214</v>
      </c>
      <c r="Z47" s="2">
        <f t="shared" si="30"/>
        <v>3.3940213175610214</v>
      </c>
      <c r="AA47" s="2">
        <f t="shared" si="31"/>
        <v>3.4279615307366318</v>
      </c>
      <c r="AB47" s="2">
        <f t="shared" si="32"/>
        <v>3.4279615307366318</v>
      </c>
      <c r="AC47" s="2">
        <f t="shared" si="4"/>
        <v>3.4622411460439984</v>
      </c>
      <c r="AD47" s="2">
        <f t="shared" si="5"/>
        <v>3.4622411460439984</v>
      </c>
      <c r="AE47" s="2">
        <f t="shared" si="6"/>
        <v>3.4968635575044384</v>
      </c>
      <c r="AF47" s="2">
        <f t="shared" si="7"/>
        <v>3.4968635575044384</v>
      </c>
      <c r="AG47" s="2">
        <f t="shared" si="8"/>
        <v>3.5318321930794827</v>
      </c>
      <c r="AH47" s="2">
        <f t="shared" si="9"/>
        <v>3.5318321930794827</v>
      </c>
    </row>
    <row r="48" spans="1:34">
      <c r="A48" t="str">
        <f>CYF!A48</f>
        <v>Vegetables</v>
      </c>
      <c r="B48" t="str">
        <f>CYF!B48</f>
        <v>Afar</v>
      </c>
      <c r="C48" s="2">
        <f>VLOOKUP($B48,Elec!$R$41:$S$51,2,0)/SUM(Elec!$S$41:$S$51)/2*VLOOKUP($A48,'Basic Feasibility'!$AB$14:$AC$19,2,0)</f>
        <v>1.6014697004224101</v>
      </c>
      <c r="D48" s="2">
        <f>VLOOKUP($B48,Elec!$R$41:$S$51,2,0)/SUM(Elec!$S$41:$S$51)/2*VLOOKUP($A48,'Basic Feasibility'!$AB$14:$AC$19,2,0)</f>
        <v>1.6014697004224101</v>
      </c>
      <c r="E48" s="2">
        <f t="shared" si="3"/>
        <v>1.6174843974266342</v>
      </c>
      <c r="F48" s="2">
        <f t="shared" si="10"/>
        <v>1.6174843974266342</v>
      </c>
      <c r="G48" s="2">
        <f t="shared" si="11"/>
        <v>1.6336592414009006</v>
      </c>
      <c r="H48" s="2">
        <f t="shared" si="12"/>
        <v>1.6336592414009006</v>
      </c>
      <c r="I48" s="2">
        <f t="shared" si="13"/>
        <v>1.6499958338149097</v>
      </c>
      <c r="J48" s="2">
        <f t="shared" si="14"/>
        <v>1.6499958338149097</v>
      </c>
      <c r="K48" s="2">
        <f t="shared" si="15"/>
        <v>1.6664957921530588</v>
      </c>
      <c r="L48" s="2">
        <f t="shared" si="16"/>
        <v>1.6664957921530588</v>
      </c>
      <c r="M48" s="2">
        <f t="shared" si="17"/>
        <v>1.6831607500745893</v>
      </c>
      <c r="N48" s="2">
        <f t="shared" si="18"/>
        <v>1.6831607500745893</v>
      </c>
      <c r="O48" s="2">
        <f t="shared" si="19"/>
        <v>1.6999923575753353</v>
      </c>
      <c r="P48" s="2">
        <f t="shared" si="20"/>
        <v>1.6999923575753353</v>
      </c>
      <c r="Q48" s="2">
        <f t="shared" si="21"/>
        <v>1.7169922811510887</v>
      </c>
      <c r="R48" s="2">
        <f t="shared" si="22"/>
        <v>1.7169922811510887</v>
      </c>
      <c r="S48" s="2">
        <f t="shared" si="23"/>
        <v>1.7341622039625997</v>
      </c>
      <c r="T48" s="2">
        <f t="shared" si="24"/>
        <v>1.7341622039625997</v>
      </c>
      <c r="U48" s="2">
        <f t="shared" si="25"/>
        <v>1.7515038260022258</v>
      </c>
      <c r="V48" s="2">
        <f t="shared" si="26"/>
        <v>1.7515038260022258</v>
      </c>
      <c r="W48" s="2">
        <f t="shared" si="27"/>
        <v>1.769018864262248</v>
      </c>
      <c r="X48" s="2">
        <f t="shared" si="28"/>
        <v>1.769018864262248</v>
      </c>
      <c r="Y48" s="2">
        <f t="shared" si="29"/>
        <v>1.7867090529048704</v>
      </c>
      <c r="Z48" s="2">
        <f t="shared" si="30"/>
        <v>1.7867090529048704</v>
      </c>
      <c r="AA48" s="2">
        <f t="shared" si="31"/>
        <v>1.8045761434339191</v>
      </c>
      <c r="AB48" s="2">
        <f t="shared" si="32"/>
        <v>1.8045761434339191</v>
      </c>
      <c r="AC48" s="2">
        <f t="shared" si="4"/>
        <v>1.8226219048682584</v>
      </c>
      <c r="AD48" s="2">
        <f t="shared" si="5"/>
        <v>1.8226219048682584</v>
      </c>
      <c r="AE48" s="2">
        <f t="shared" si="6"/>
        <v>1.840848123916941</v>
      </c>
      <c r="AF48" s="2">
        <f t="shared" si="7"/>
        <v>1.840848123916941</v>
      </c>
      <c r="AG48" s="2">
        <f t="shared" si="8"/>
        <v>1.8592566051561104</v>
      </c>
      <c r="AH48" s="2">
        <f t="shared" si="9"/>
        <v>1.8592566051561104</v>
      </c>
    </row>
    <row r="49" spans="1:34">
      <c r="A49" t="str">
        <f>CYF!A49</f>
        <v>Vegetables</v>
      </c>
      <c r="B49" t="str">
        <f>CYF!B49</f>
        <v>Amhara</v>
      </c>
      <c r="C49" s="2">
        <f>VLOOKUP($B49,Elec!$R$41:$S$51,2,0)/SUM(Elec!$S$41:$S$51)/2*VLOOKUP($A49,'Basic Feasibility'!$AB$14:$AC$19,2,0)</f>
        <v>18.962033289795468</v>
      </c>
      <c r="D49" s="2">
        <f>VLOOKUP($B49,Elec!$R$41:$S$51,2,0)/SUM(Elec!$S$41:$S$51)/2*VLOOKUP($A49,'Basic Feasibility'!$AB$14:$AC$19,2,0)</f>
        <v>18.962033289795468</v>
      </c>
      <c r="E49" s="2">
        <f t="shared" si="3"/>
        <v>19.151653622693424</v>
      </c>
      <c r="F49" s="2">
        <f t="shared" si="10"/>
        <v>19.151653622693424</v>
      </c>
      <c r="G49" s="2">
        <f t="shared" si="11"/>
        <v>19.343170158920358</v>
      </c>
      <c r="H49" s="2">
        <f t="shared" si="12"/>
        <v>19.343170158920358</v>
      </c>
      <c r="I49" s="2">
        <f t="shared" si="13"/>
        <v>19.536601860509563</v>
      </c>
      <c r="J49" s="2">
        <f t="shared" si="14"/>
        <v>19.536601860509563</v>
      </c>
      <c r="K49" s="2">
        <f t="shared" si="15"/>
        <v>19.731967879114659</v>
      </c>
      <c r="L49" s="2">
        <f t="shared" si="16"/>
        <v>19.731967879114659</v>
      </c>
      <c r="M49" s="2">
        <f t="shared" si="17"/>
        <v>19.929287557905806</v>
      </c>
      <c r="N49" s="2">
        <f t="shared" si="18"/>
        <v>19.929287557905806</v>
      </c>
      <c r="O49" s="2">
        <f t="shared" si="19"/>
        <v>20.128580433484863</v>
      </c>
      <c r="P49" s="2">
        <f t="shared" si="20"/>
        <v>20.128580433484863</v>
      </c>
      <c r="Q49" s="2">
        <f t="shared" si="21"/>
        <v>20.329866237819711</v>
      </c>
      <c r="R49" s="2">
        <f t="shared" si="22"/>
        <v>20.329866237819711</v>
      </c>
      <c r="S49" s="2">
        <f t="shared" si="23"/>
        <v>20.53316490019791</v>
      </c>
      <c r="T49" s="2">
        <f t="shared" si="24"/>
        <v>20.53316490019791</v>
      </c>
      <c r="U49" s="2">
        <f t="shared" si="25"/>
        <v>20.73849654919989</v>
      </c>
      <c r="V49" s="2">
        <f t="shared" si="26"/>
        <v>20.73849654919989</v>
      </c>
      <c r="W49" s="2">
        <f t="shared" si="27"/>
        <v>20.945881514691891</v>
      </c>
      <c r="X49" s="2">
        <f t="shared" si="28"/>
        <v>20.945881514691891</v>
      </c>
      <c r="Y49" s="2">
        <f t="shared" si="29"/>
        <v>21.155340329838811</v>
      </c>
      <c r="Z49" s="2">
        <f t="shared" si="30"/>
        <v>21.155340329838811</v>
      </c>
      <c r="AA49" s="2">
        <f t="shared" si="31"/>
        <v>21.3668937331372</v>
      </c>
      <c r="AB49" s="2">
        <f t="shared" si="32"/>
        <v>21.3668937331372</v>
      </c>
      <c r="AC49" s="2">
        <f t="shared" si="4"/>
        <v>21.580562670468574</v>
      </c>
      <c r="AD49" s="2">
        <f t="shared" si="5"/>
        <v>21.580562670468574</v>
      </c>
      <c r="AE49" s="2">
        <f t="shared" si="6"/>
        <v>21.79636829717326</v>
      </c>
      <c r="AF49" s="2">
        <f t="shared" si="7"/>
        <v>21.79636829717326</v>
      </c>
      <c r="AG49" s="2">
        <f t="shared" si="8"/>
        <v>22.014331980144991</v>
      </c>
      <c r="AH49" s="2">
        <f t="shared" si="9"/>
        <v>22.014331980144991</v>
      </c>
    </row>
    <row r="50" spans="1:34">
      <c r="A50" t="str">
        <f>CYF!A50</f>
        <v>Vegetables</v>
      </c>
      <c r="B50" t="str">
        <f>CYF!B50</f>
        <v>Gumuz</v>
      </c>
      <c r="C50" s="2">
        <f>VLOOKUP($B50,Elec!$R$41:$S$51,2,0)/SUM(Elec!$S$41:$S$51)/2*VLOOKUP($A50,'Basic Feasibility'!$AB$14:$AC$19,2,0)</f>
        <v>0.93411320309026225</v>
      </c>
      <c r="D50" s="2">
        <f>VLOOKUP($B50,Elec!$R$41:$S$51,2,0)/SUM(Elec!$S$41:$S$51)/2*VLOOKUP($A50,'Basic Feasibility'!$AB$14:$AC$19,2,0)</f>
        <v>0.93411320309026225</v>
      </c>
      <c r="E50" s="2">
        <f t="shared" si="3"/>
        <v>0.94345433512116483</v>
      </c>
      <c r="F50" s="2">
        <f t="shared" si="10"/>
        <v>0.94345433512116483</v>
      </c>
      <c r="G50" s="2">
        <f t="shared" si="11"/>
        <v>0.95288887847237647</v>
      </c>
      <c r="H50" s="2">
        <f t="shared" si="12"/>
        <v>0.95288887847237647</v>
      </c>
      <c r="I50" s="2">
        <f t="shared" si="13"/>
        <v>0.96241776725710027</v>
      </c>
      <c r="J50" s="2">
        <f t="shared" si="14"/>
        <v>0.96241776725710027</v>
      </c>
      <c r="K50" s="2">
        <f t="shared" si="15"/>
        <v>0.97204194492967133</v>
      </c>
      <c r="L50" s="2">
        <f t="shared" si="16"/>
        <v>0.97204194492967133</v>
      </c>
      <c r="M50" s="2">
        <f t="shared" si="17"/>
        <v>0.98176236437896802</v>
      </c>
      <c r="N50" s="2">
        <f t="shared" si="18"/>
        <v>0.98176236437896802</v>
      </c>
      <c r="O50" s="2">
        <f t="shared" si="19"/>
        <v>0.99157998802275771</v>
      </c>
      <c r="P50" s="2">
        <f t="shared" si="20"/>
        <v>0.99157998802275771</v>
      </c>
      <c r="Q50" s="2">
        <f t="shared" si="21"/>
        <v>1.0014957879029853</v>
      </c>
      <c r="R50" s="2">
        <f t="shared" si="22"/>
        <v>1.0014957879029853</v>
      </c>
      <c r="S50" s="2">
        <f t="shared" si="23"/>
        <v>1.0115107457820152</v>
      </c>
      <c r="T50" s="2">
        <f t="shared" si="24"/>
        <v>1.0115107457820152</v>
      </c>
      <c r="U50" s="2">
        <f t="shared" si="25"/>
        <v>1.0216258532398352</v>
      </c>
      <c r="V50" s="2">
        <f t="shared" si="26"/>
        <v>1.0216258532398352</v>
      </c>
      <c r="W50" s="2">
        <f t="shared" si="27"/>
        <v>1.0318421117722336</v>
      </c>
      <c r="X50" s="2">
        <f t="shared" si="28"/>
        <v>1.0318421117722336</v>
      </c>
      <c r="Y50" s="2">
        <f t="shared" si="29"/>
        <v>1.0421605328899559</v>
      </c>
      <c r="Z50" s="2">
        <f t="shared" si="30"/>
        <v>1.0421605328899559</v>
      </c>
      <c r="AA50" s="2">
        <f t="shared" si="31"/>
        <v>1.0525821382188554</v>
      </c>
      <c r="AB50" s="2">
        <f t="shared" si="32"/>
        <v>1.0525821382188554</v>
      </c>
      <c r="AC50" s="2">
        <f t="shared" si="4"/>
        <v>1.063107959601044</v>
      </c>
      <c r="AD50" s="2">
        <f t="shared" si="5"/>
        <v>1.063107959601044</v>
      </c>
      <c r="AE50" s="2">
        <f t="shared" si="6"/>
        <v>1.0737390391970545</v>
      </c>
      <c r="AF50" s="2">
        <f t="shared" si="7"/>
        <v>1.0737390391970545</v>
      </c>
      <c r="AG50" s="2">
        <f t="shared" si="8"/>
        <v>1.084476429589025</v>
      </c>
      <c r="AH50" s="2">
        <f t="shared" si="9"/>
        <v>1.084476429589025</v>
      </c>
    </row>
    <row r="51" spans="1:34">
      <c r="A51" t="str">
        <f>CYF!A51</f>
        <v>Vegetables</v>
      </c>
      <c r="B51" t="str">
        <f>CYF!B51</f>
        <v>DireDawa</v>
      </c>
      <c r="C51" s="2">
        <f>VLOOKUP($B51,Elec!$R$41:$S$51,2,0)/SUM(Elec!$S$41:$S$51)/2*VLOOKUP($A51,'Basic Feasibility'!$AB$14:$AC$19,2,0)</f>
        <v>0.40896498443752782</v>
      </c>
      <c r="D51" s="2">
        <f>VLOOKUP($B51,Elec!$R$41:$S$51,2,0)/SUM(Elec!$S$41:$S$51)/2*VLOOKUP($A51,'Basic Feasibility'!$AB$14:$AC$19,2,0)</f>
        <v>0.40896498443752782</v>
      </c>
      <c r="E51" s="2">
        <f t="shared" si="3"/>
        <v>0.41305463428190309</v>
      </c>
      <c r="F51" s="2">
        <f t="shared" si="10"/>
        <v>0.41305463428190309</v>
      </c>
      <c r="G51" s="2">
        <f t="shared" si="11"/>
        <v>0.4171851806247221</v>
      </c>
      <c r="H51" s="2">
        <f t="shared" si="12"/>
        <v>0.4171851806247221</v>
      </c>
      <c r="I51" s="2">
        <f t="shared" si="13"/>
        <v>0.42135703243096934</v>
      </c>
      <c r="J51" s="2">
        <f t="shared" si="14"/>
        <v>0.42135703243096934</v>
      </c>
      <c r="K51" s="2">
        <f t="shared" si="15"/>
        <v>0.42557060275527903</v>
      </c>
      <c r="L51" s="2">
        <f t="shared" si="16"/>
        <v>0.42557060275527903</v>
      </c>
      <c r="M51" s="2">
        <f t="shared" si="17"/>
        <v>0.42982630878283185</v>
      </c>
      <c r="N51" s="2">
        <f t="shared" si="18"/>
        <v>0.42982630878283185</v>
      </c>
      <c r="O51" s="2">
        <f t="shared" si="19"/>
        <v>0.43412457187066017</v>
      </c>
      <c r="P51" s="2">
        <f t="shared" si="20"/>
        <v>0.43412457187066017</v>
      </c>
      <c r="Q51" s="2">
        <f t="shared" si="21"/>
        <v>0.43846581758936676</v>
      </c>
      <c r="R51" s="2">
        <f t="shared" si="22"/>
        <v>0.43846581758936676</v>
      </c>
      <c r="S51" s="2">
        <f t="shared" si="23"/>
        <v>0.44285047576526043</v>
      </c>
      <c r="T51" s="2">
        <f t="shared" si="24"/>
        <v>0.44285047576526043</v>
      </c>
      <c r="U51" s="2">
        <f t="shared" si="25"/>
        <v>0.44727898052291304</v>
      </c>
      <c r="V51" s="2">
        <f t="shared" si="26"/>
        <v>0.44727898052291304</v>
      </c>
      <c r="W51" s="2">
        <f t="shared" si="27"/>
        <v>0.45175177032814218</v>
      </c>
      <c r="X51" s="2">
        <f t="shared" si="28"/>
        <v>0.45175177032814218</v>
      </c>
      <c r="Y51" s="2">
        <f t="shared" si="29"/>
        <v>0.45626928803142358</v>
      </c>
      <c r="Z51" s="2">
        <f t="shared" si="30"/>
        <v>0.45626928803142358</v>
      </c>
      <c r="AA51" s="2">
        <f t="shared" si="31"/>
        <v>0.46083198091173783</v>
      </c>
      <c r="AB51" s="2">
        <f t="shared" si="32"/>
        <v>0.46083198091173783</v>
      </c>
      <c r="AC51" s="2">
        <f t="shared" si="4"/>
        <v>0.46544030072085518</v>
      </c>
      <c r="AD51" s="2">
        <f t="shared" si="5"/>
        <v>0.46544030072085518</v>
      </c>
      <c r="AE51" s="2">
        <f t="shared" si="6"/>
        <v>0.47009470372806372</v>
      </c>
      <c r="AF51" s="2">
        <f t="shared" si="7"/>
        <v>0.47009470372806372</v>
      </c>
      <c r="AG51" s="2">
        <f t="shared" si="8"/>
        <v>0.47479565076534436</v>
      </c>
      <c r="AH51" s="2">
        <f t="shared" si="9"/>
        <v>0.47479565076534436</v>
      </c>
    </row>
    <row r="52" spans="1:34">
      <c r="A52" t="str">
        <f>CYF!A52</f>
        <v>Vegetables</v>
      </c>
      <c r="B52" t="str">
        <f>CYF!B52</f>
        <v>Gambela</v>
      </c>
      <c r="C52" s="2">
        <f>VLOOKUP($B52,Elec!$R$41:$S$51,2,0)/SUM(Elec!$S$41:$S$51)/2*VLOOKUP($A52,'Basic Feasibility'!$AB$14:$AC$19,2,0)</f>
        <v>0.38015154235215654</v>
      </c>
      <c r="D52" s="2">
        <f>VLOOKUP($B52,Elec!$R$41:$S$51,2,0)/SUM(Elec!$S$41:$S$51)/2*VLOOKUP($A52,'Basic Feasibility'!$AB$14:$AC$19,2,0)</f>
        <v>0.38015154235215654</v>
      </c>
      <c r="E52" s="2">
        <f t="shared" si="3"/>
        <v>0.38395305777567812</v>
      </c>
      <c r="F52" s="2">
        <f t="shared" si="10"/>
        <v>0.38395305777567812</v>
      </c>
      <c r="G52" s="2">
        <f t="shared" si="11"/>
        <v>0.38779258835343489</v>
      </c>
      <c r="H52" s="2">
        <f t="shared" si="12"/>
        <v>0.38779258835343489</v>
      </c>
      <c r="I52" s="2">
        <f t="shared" si="13"/>
        <v>0.39167051423696925</v>
      </c>
      <c r="J52" s="2">
        <f t="shared" si="14"/>
        <v>0.39167051423696925</v>
      </c>
      <c r="K52" s="2">
        <f t="shared" si="15"/>
        <v>0.39558721937933894</v>
      </c>
      <c r="L52" s="2">
        <f t="shared" si="16"/>
        <v>0.39558721937933894</v>
      </c>
      <c r="M52" s="2">
        <f t="shared" si="17"/>
        <v>0.39954309157313234</v>
      </c>
      <c r="N52" s="2">
        <f t="shared" si="18"/>
        <v>0.39954309157313234</v>
      </c>
      <c r="O52" s="2">
        <f t="shared" si="19"/>
        <v>0.40353852248886368</v>
      </c>
      <c r="P52" s="2">
        <f t="shared" si="20"/>
        <v>0.40353852248886368</v>
      </c>
      <c r="Q52" s="2">
        <f t="shared" si="21"/>
        <v>0.40757390771375235</v>
      </c>
      <c r="R52" s="2">
        <f t="shared" si="22"/>
        <v>0.40757390771375235</v>
      </c>
      <c r="S52" s="2">
        <f t="shared" si="23"/>
        <v>0.41164964679088989</v>
      </c>
      <c r="T52" s="2">
        <f t="shared" si="24"/>
        <v>0.41164964679088989</v>
      </c>
      <c r="U52" s="2">
        <f t="shared" si="25"/>
        <v>0.41576614325879879</v>
      </c>
      <c r="V52" s="2">
        <f t="shared" si="26"/>
        <v>0.41576614325879879</v>
      </c>
      <c r="W52" s="2">
        <f t="shared" si="27"/>
        <v>0.41992380469138679</v>
      </c>
      <c r="X52" s="2">
        <f t="shared" si="28"/>
        <v>0.41992380469138679</v>
      </c>
      <c r="Y52" s="2">
        <f t="shared" si="29"/>
        <v>0.42412304273830065</v>
      </c>
      <c r="Z52" s="2">
        <f t="shared" si="30"/>
        <v>0.42412304273830065</v>
      </c>
      <c r="AA52" s="2">
        <f t="shared" si="31"/>
        <v>0.42836427316568365</v>
      </c>
      <c r="AB52" s="2">
        <f t="shared" si="32"/>
        <v>0.42836427316568365</v>
      </c>
      <c r="AC52" s="2">
        <f t="shared" si="4"/>
        <v>0.43264791589734047</v>
      </c>
      <c r="AD52" s="2">
        <f t="shared" si="5"/>
        <v>0.43264791589734047</v>
      </c>
      <c r="AE52" s="2">
        <f t="shared" si="6"/>
        <v>0.43697439505631386</v>
      </c>
      <c r="AF52" s="2">
        <f t="shared" si="7"/>
        <v>0.43697439505631386</v>
      </c>
      <c r="AG52" s="2">
        <f t="shared" si="8"/>
        <v>0.44134413900687702</v>
      </c>
      <c r="AH52" s="2">
        <f t="shared" si="9"/>
        <v>0.44134413900687702</v>
      </c>
    </row>
    <row r="53" spans="1:34">
      <c r="A53" t="str">
        <f>CYF!A53</f>
        <v>Vegetables</v>
      </c>
      <c r="B53" t="str">
        <f>CYF!B53</f>
        <v>Harari</v>
      </c>
      <c r="C53" s="2">
        <f>VLOOKUP($B53,Elec!$R$41:$S$51,2,0)/SUM(Elec!$S$41:$S$51)/2*VLOOKUP($A53,'Basic Feasibility'!$AB$14:$AC$19,2,0)</f>
        <v>0.21563608270342377</v>
      </c>
      <c r="D53" s="2">
        <f>VLOOKUP($B53,Elec!$R$41:$S$51,2,0)/SUM(Elec!$S$41:$S$51)/2*VLOOKUP($A53,'Basic Feasibility'!$AB$14:$AC$19,2,0)</f>
        <v>0.21563608270342377</v>
      </c>
      <c r="E53" s="2">
        <f t="shared" si="3"/>
        <v>0.21779244353045801</v>
      </c>
      <c r="F53" s="2">
        <f t="shared" si="10"/>
        <v>0.21779244353045801</v>
      </c>
      <c r="G53" s="2">
        <f t="shared" si="11"/>
        <v>0.21997036796576261</v>
      </c>
      <c r="H53" s="2">
        <f t="shared" si="12"/>
        <v>0.21997036796576261</v>
      </c>
      <c r="I53" s="2">
        <f t="shared" si="13"/>
        <v>0.22217007164542024</v>
      </c>
      <c r="J53" s="2">
        <f t="shared" si="14"/>
        <v>0.22217007164542024</v>
      </c>
      <c r="K53" s="2">
        <f t="shared" si="15"/>
        <v>0.22439177236187444</v>
      </c>
      <c r="L53" s="2">
        <f t="shared" si="16"/>
        <v>0.22439177236187444</v>
      </c>
      <c r="M53" s="2">
        <f t="shared" si="17"/>
        <v>0.2266356900854932</v>
      </c>
      <c r="N53" s="2">
        <f t="shared" si="18"/>
        <v>0.2266356900854932</v>
      </c>
      <c r="O53" s="2">
        <f t="shared" si="19"/>
        <v>0.22890204698634814</v>
      </c>
      <c r="P53" s="2">
        <f t="shared" si="20"/>
        <v>0.22890204698634814</v>
      </c>
      <c r="Q53" s="2">
        <f t="shared" si="21"/>
        <v>0.23119106745621162</v>
      </c>
      <c r="R53" s="2">
        <f t="shared" si="22"/>
        <v>0.23119106745621162</v>
      </c>
      <c r="S53" s="2">
        <f t="shared" si="23"/>
        <v>0.23350297813077375</v>
      </c>
      <c r="T53" s="2">
        <f t="shared" si="24"/>
        <v>0.23350297813077375</v>
      </c>
      <c r="U53" s="2">
        <f t="shared" si="25"/>
        <v>0.23583800791208148</v>
      </c>
      <c r="V53" s="2">
        <f t="shared" si="26"/>
        <v>0.23583800791208148</v>
      </c>
      <c r="W53" s="2">
        <f t="shared" si="27"/>
        <v>0.2381963879912023</v>
      </c>
      <c r="X53" s="2">
        <f t="shared" si="28"/>
        <v>0.2381963879912023</v>
      </c>
      <c r="Y53" s="2">
        <f t="shared" si="29"/>
        <v>0.24057835187111432</v>
      </c>
      <c r="Z53" s="2">
        <f t="shared" si="30"/>
        <v>0.24057835187111432</v>
      </c>
      <c r="AA53" s="2">
        <f t="shared" si="31"/>
        <v>0.24298413538982547</v>
      </c>
      <c r="AB53" s="2">
        <f t="shared" si="32"/>
        <v>0.24298413538982547</v>
      </c>
      <c r="AC53" s="2">
        <f t="shared" si="4"/>
        <v>0.24541397674372373</v>
      </c>
      <c r="AD53" s="2">
        <f t="shared" si="5"/>
        <v>0.24541397674372373</v>
      </c>
      <c r="AE53" s="2">
        <f t="shared" si="6"/>
        <v>0.24786811651116097</v>
      </c>
      <c r="AF53" s="2">
        <f t="shared" si="7"/>
        <v>0.24786811651116097</v>
      </c>
      <c r="AG53" s="2">
        <f t="shared" si="8"/>
        <v>0.2503467976762726</v>
      </c>
      <c r="AH53" s="2">
        <f t="shared" si="9"/>
        <v>0.2503467976762726</v>
      </c>
    </row>
    <row r="54" spans="1:34">
      <c r="A54" t="str">
        <f>CYF!A54</f>
        <v>Vegetables</v>
      </c>
      <c r="B54" t="str">
        <f>CYF!B54</f>
        <v>Oromia</v>
      </c>
      <c r="C54" s="2">
        <f>VLOOKUP($B54,Elec!$R$41:$S$51,2,0)/SUM(Elec!$S$41:$S$51)/2*VLOOKUP($A54,'Basic Feasibility'!$AB$14:$AC$19,2,0)</f>
        <v>31.315564217429969</v>
      </c>
      <c r="D54" s="2">
        <f>VLOOKUP($B54,Elec!$R$41:$S$51,2,0)/SUM(Elec!$S$41:$S$51)/2*VLOOKUP($A54,'Basic Feasibility'!$AB$14:$AC$19,2,0)</f>
        <v>31.315564217429969</v>
      </c>
      <c r="E54" s="2">
        <f t="shared" si="3"/>
        <v>31.628719859604271</v>
      </c>
      <c r="F54" s="2">
        <f t="shared" si="10"/>
        <v>31.628719859604271</v>
      </c>
      <c r="G54" s="2">
        <f t="shared" si="11"/>
        <v>31.945007058200314</v>
      </c>
      <c r="H54" s="2">
        <f t="shared" si="12"/>
        <v>31.945007058200314</v>
      </c>
      <c r="I54" s="2">
        <f t="shared" si="13"/>
        <v>32.264457128782318</v>
      </c>
      <c r="J54" s="2">
        <f t="shared" si="14"/>
        <v>32.264457128782318</v>
      </c>
      <c r="K54" s="2">
        <f t="shared" si="15"/>
        <v>32.587101700070143</v>
      </c>
      <c r="L54" s="2">
        <f t="shared" si="16"/>
        <v>32.587101700070143</v>
      </c>
      <c r="M54" s="2">
        <f t="shared" si="17"/>
        <v>32.912972717070843</v>
      </c>
      <c r="N54" s="2">
        <f t="shared" si="18"/>
        <v>32.912972717070843</v>
      </c>
      <c r="O54" s="2">
        <f t="shared" si="19"/>
        <v>33.242102444241553</v>
      </c>
      <c r="P54" s="2">
        <f t="shared" si="20"/>
        <v>33.242102444241553</v>
      </c>
      <c r="Q54" s="2">
        <f t="shared" si="21"/>
        <v>33.574523468683971</v>
      </c>
      <c r="R54" s="2">
        <f t="shared" si="22"/>
        <v>33.574523468683971</v>
      </c>
      <c r="S54" s="2">
        <f t="shared" si="23"/>
        <v>33.910268703370811</v>
      </c>
      <c r="T54" s="2">
        <f t="shared" si="24"/>
        <v>33.910268703370811</v>
      </c>
      <c r="U54" s="2">
        <f t="shared" si="25"/>
        <v>34.249371390404519</v>
      </c>
      <c r="V54" s="2">
        <f t="shared" si="26"/>
        <v>34.249371390404519</v>
      </c>
      <c r="W54" s="2">
        <f t="shared" si="27"/>
        <v>34.591865104308567</v>
      </c>
      <c r="X54" s="2">
        <f t="shared" si="28"/>
        <v>34.591865104308567</v>
      </c>
      <c r="Y54" s="2">
        <f t="shared" si="29"/>
        <v>34.937783755351653</v>
      </c>
      <c r="Z54" s="2">
        <f t="shared" si="30"/>
        <v>34.937783755351653</v>
      </c>
      <c r="AA54" s="2">
        <f t="shared" si="31"/>
        <v>35.287161592905171</v>
      </c>
      <c r="AB54" s="2">
        <f t="shared" si="32"/>
        <v>35.287161592905171</v>
      </c>
      <c r="AC54" s="2">
        <f t="shared" si="4"/>
        <v>35.640033208834225</v>
      </c>
      <c r="AD54" s="2">
        <f t="shared" si="5"/>
        <v>35.640033208834225</v>
      </c>
      <c r="AE54" s="2">
        <f t="shared" si="6"/>
        <v>35.996433540922567</v>
      </c>
      <c r="AF54" s="2">
        <f t="shared" si="7"/>
        <v>35.996433540922567</v>
      </c>
      <c r="AG54" s="2">
        <f t="shared" si="8"/>
        <v>36.356397876331791</v>
      </c>
      <c r="AH54" s="2">
        <f t="shared" si="9"/>
        <v>36.356397876331791</v>
      </c>
    </row>
    <row r="55" spans="1:34">
      <c r="A55" t="str">
        <f>CYF!A55</f>
        <v>Vegetables</v>
      </c>
      <c r="B55" t="str">
        <f>CYF!B55</f>
        <v>Somali</v>
      </c>
      <c r="C55" s="2">
        <f>VLOOKUP($B55,Elec!$R$41:$S$51,2,0)/SUM(Elec!$S$41:$S$51)/2*VLOOKUP($A55,'Basic Feasibility'!$AB$14:$AC$19,2,0)</f>
        <v>5.0683774094041798</v>
      </c>
      <c r="D55" s="2">
        <f>VLOOKUP($B55,Elec!$R$41:$S$51,2,0)/SUM(Elec!$S$41:$S$51)/2*VLOOKUP($A55,'Basic Feasibility'!$AB$14:$AC$19,2,0)</f>
        <v>5.0683774094041798</v>
      </c>
      <c r="E55" s="2">
        <f t="shared" si="3"/>
        <v>5.1190611834982214</v>
      </c>
      <c r="F55" s="2">
        <f t="shared" si="10"/>
        <v>5.1190611834982214</v>
      </c>
      <c r="G55" s="2">
        <f t="shared" si="11"/>
        <v>5.1702517953332032</v>
      </c>
      <c r="H55" s="2">
        <f t="shared" si="12"/>
        <v>5.1702517953332032</v>
      </c>
      <c r="I55" s="2">
        <f t="shared" si="13"/>
        <v>5.2219543132865356</v>
      </c>
      <c r="J55" s="2">
        <f t="shared" si="14"/>
        <v>5.2219543132865356</v>
      </c>
      <c r="K55" s="2">
        <f t="shared" si="15"/>
        <v>5.2741738564194014</v>
      </c>
      <c r="L55" s="2">
        <f t="shared" si="16"/>
        <v>5.2741738564194014</v>
      </c>
      <c r="M55" s="2">
        <f t="shared" si="17"/>
        <v>5.3269155949835953</v>
      </c>
      <c r="N55" s="2">
        <f t="shared" si="18"/>
        <v>5.3269155949835953</v>
      </c>
      <c r="O55" s="2">
        <f t="shared" si="19"/>
        <v>5.3801847509334317</v>
      </c>
      <c r="P55" s="2">
        <f t="shared" si="20"/>
        <v>5.3801847509334317</v>
      </c>
      <c r="Q55" s="2">
        <f t="shared" si="21"/>
        <v>5.4339865984427664</v>
      </c>
      <c r="R55" s="2">
        <f t="shared" si="22"/>
        <v>5.4339865984427664</v>
      </c>
      <c r="S55" s="2">
        <f t="shared" si="23"/>
        <v>5.4883264644271943</v>
      </c>
      <c r="T55" s="2">
        <f t="shared" si="24"/>
        <v>5.4883264644271943</v>
      </c>
      <c r="U55" s="2">
        <f t="shared" si="25"/>
        <v>5.5432097290714664</v>
      </c>
      <c r="V55" s="2">
        <f t="shared" si="26"/>
        <v>5.5432097290714664</v>
      </c>
      <c r="W55" s="2">
        <f t="shared" si="27"/>
        <v>5.5986418263621811</v>
      </c>
      <c r="X55" s="2">
        <f t="shared" si="28"/>
        <v>5.5986418263621811</v>
      </c>
      <c r="Y55" s="2">
        <f t="shared" si="29"/>
        <v>5.6546282446258029</v>
      </c>
      <c r="Z55" s="2">
        <f t="shared" si="30"/>
        <v>5.6546282446258029</v>
      </c>
      <c r="AA55" s="2">
        <f t="shared" si="31"/>
        <v>5.7111745270720613</v>
      </c>
      <c r="AB55" s="2">
        <f t="shared" si="32"/>
        <v>5.7111745270720613</v>
      </c>
      <c r="AC55" s="2">
        <f t="shared" si="4"/>
        <v>5.7682862723427819</v>
      </c>
      <c r="AD55" s="2">
        <f t="shared" si="5"/>
        <v>5.7682862723427819</v>
      </c>
      <c r="AE55" s="2">
        <f t="shared" si="6"/>
        <v>5.8259691350662095</v>
      </c>
      <c r="AF55" s="2">
        <f t="shared" si="7"/>
        <v>5.8259691350662095</v>
      </c>
      <c r="AG55" s="2">
        <f t="shared" si="8"/>
        <v>5.8842288264168721</v>
      </c>
      <c r="AH55" s="2">
        <f t="shared" si="9"/>
        <v>5.8842288264168721</v>
      </c>
    </row>
    <row r="56" spans="1:34">
      <c r="A56" t="str">
        <f>CYF!A56</f>
        <v>Vegetables</v>
      </c>
      <c r="B56" t="str">
        <f>CYF!B56</f>
        <v>SNNPR</v>
      </c>
      <c r="C56" s="2">
        <f>VLOOKUP($B56,Elec!$R$41:$S$51,2,0)/SUM(Elec!$S$41:$S$51)/2*VLOOKUP($A56,'Basic Feasibility'!$AB$14:$AC$19,2,0)</f>
        <v>16.98691830813695</v>
      </c>
      <c r="D56" s="2">
        <f>VLOOKUP($B56,Elec!$R$41:$S$51,2,0)/SUM(Elec!$S$41:$S$51)/2*VLOOKUP($A56,'Basic Feasibility'!$AB$14:$AC$19,2,0)</f>
        <v>16.98691830813695</v>
      </c>
      <c r="E56" s="2">
        <f t="shared" si="3"/>
        <v>17.156787491218321</v>
      </c>
      <c r="F56" s="2">
        <f t="shared" si="10"/>
        <v>17.156787491218321</v>
      </c>
      <c r="G56" s="2">
        <f t="shared" si="11"/>
        <v>17.328355366130506</v>
      </c>
      <c r="H56" s="2">
        <f t="shared" si="12"/>
        <v>17.328355366130506</v>
      </c>
      <c r="I56" s="2">
        <f t="shared" si="13"/>
        <v>17.501638919791812</v>
      </c>
      <c r="J56" s="2">
        <f t="shared" si="14"/>
        <v>17.501638919791812</v>
      </c>
      <c r="K56" s="2">
        <f t="shared" si="15"/>
        <v>17.67665530898973</v>
      </c>
      <c r="L56" s="2">
        <f t="shared" si="16"/>
        <v>17.67665530898973</v>
      </c>
      <c r="M56" s="2">
        <f t="shared" si="17"/>
        <v>17.853421862079628</v>
      </c>
      <c r="N56" s="2">
        <f t="shared" si="18"/>
        <v>17.853421862079628</v>
      </c>
      <c r="O56" s="2">
        <f t="shared" si="19"/>
        <v>18.031956080700425</v>
      </c>
      <c r="P56" s="2">
        <f t="shared" si="20"/>
        <v>18.031956080700425</v>
      </c>
      <c r="Q56" s="2">
        <f t="shared" si="21"/>
        <v>18.212275641507429</v>
      </c>
      <c r="R56" s="2">
        <f t="shared" si="22"/>
        <v>18.212275641507429</v>
      </c>
      <c r="S56" s="2">
        <f t="shared" si="23"/>
        <v>18.394398397922505</v>
      </c>
      <c r="T56" s="2">
        <f t="shared" si="24"/>
        <v>18.394398397922505</v>
      </c>
      <c r="U56" s="2">
        <f t="shared" si="25"/>
        <v>18.578342381901731</v>
      </c>
      <c r="V56" s="2">
        <f t="shared" si="26"/>
        <v>18.578342381901731</v>
      </c>
      <c r="W56" s="2">
        <f t="shared" si="27"/>
        <v>18.764125805720749</v>
      </c>
      <c r="X56" s="2">
        <f t="shared" si="28"/>
        <v>18.764125805720749</v>
      </c>
      <c r="Y56" s="2">
        <f t="shared" si="29"/>
        <v>18.951767063777957</v>
      </c>
      <c r="Z56" s="2">
        <f t="shared" si="30"/>
        <v>18.951767063777957</v>
      </c>
      <c r="AA56" s="2">
        <f t="shared" si="31"/>
        <v>19.141284734415738</v>
      </c>
      <c r="AB56" s="2">
        <f t="shared" si="32"/>
        <v>19.141284734415738</v>
      </c>
      <c r="AC56" s="2">
        <f t="shared" si="4"/>
        <v>19.332697581759895</v>
      </c>
      <c r="AD56" s="2">
        <f t="shared" si="5"/>
        <v>19.332697581759895</v>
      </c>
      <c r="AE56" s="2">
        <f t="shared" si="6"/>
        <v>19.526024557577493</v>
      </c>
      <c r="AF56" s="2">
        <f t="shared" si="7"/>
        <v>19.526024557577493</v>
      </c>
      <c r="AG56" s="2">
        <f t="shared" si="8"/>
        <v>19.721284803153267</v>
      </c>
      <c r="AH56" s="2">
        <f t="shared" si="9"/>
        <v>19.721284803153267</v>
      </c>
    </row>
    <row r="57" spans="1:34">
      <c r="A57" t="str">
        <f>CYF!A57</f>
        <v>Vegetables</v>
      </c>
      <c r="B57" t="str">
        <f>CYF!B57</f>
        <v>Tigray</v>
      </c>
      <c r="C57" s="2">
        <f>VLOOKUP($B57,Elec!$R$41:$S$51,2,0)/SUM(Elec!$S$41:$S$51)/2*VLOOKUP($A57,'Basic Feasibility'!$AB$14:$AC$19,2,0)</f>
        <v>4.6993794575366836</v>
      </c>
      <c r="D57" s="2">
        <f>VLOOKUP($B57,Elec!$R$41:$S$51,2,0)/SUM(Elec!$S$41:$S$51)/2*VLOOKUP($A57,'Basic Feasibility'!$AB$14:$AC$19,2,0)</f>
        <v>4.6993794575366836</v>
      </c>
      <c r="E57" s="2">
        <f t="shared" si="3"/>
        <v>4.7463732521120505</v>
      </c>
      <c r="F57" s="2">
        <f t="shared" si="10"/>
        <v>4.7463732521120505</v>
      </c>
      <c r="G57" s="2">
        <f t="shared" si="11"/>
        <v>4.7938369846331712</v>
      </c>
      <c r="H57" s="2">
        <f t="shared" si="12"/>
        <v>4.7938369846331712</v>
      </c>
      <c r="I57" s="2">
        <f t="shared" si="13"/>
        <v>4.8417753544795028</v>
      </c>
      <c r="J57" s="2">
        <f t="shared" si="14"/>
        <v>4.8417753544795028</v>
      </c>
      <c r="K57" s="2">
        <f t="shared" si="15"/>
        <v>4.890193108024298</v>
      </c>
      <c r="L57" s="2">
        <f t="shared" si="16"/>
        <v>4.890193108024298</v>
      </c>
      <c r="M57" s="2">
        <f t="shared" si="17"/>
        <v>4.939095039104541</v>
      </c>
      <c r="N57" s="2">
        <f t="shared" si="18"/>
        <v>4.939095039104541</v>
      </c>
      <c r="O57" s="2">
        <f t="shared" si="19"/>
        <v>4.9884859894955866</v>
      </c>
      <c r="P57" s="2">
        <f t="shared" si="20"/>
        <v>4.9884859894955866</v>
      </c>
      <c r="Q57" s="2">
        <f t="shared" si="21"/>
        <v>5.0383708493905424</v>
      </c>
      <c r="R57" s="2">
        <f t="shared" si="22"/>
        <v>5.0383708493905424</v>
      </c>
      <c r="S57" s="2">
        <f t="shared" si="23"/>
        <v>5.0887545578844477</v>
      </c>
      <c r="T57" s="2">
        <f t="shared" si="24"/>
        <v>5.0887545578844477</v>
      </c>
      <c r="U57" s="2">
        <f t="shared" si="25"/>
        <v>5.1396421034632924</v>
      </c>
      <c r="V57" s="2">
        <f t="shared" si="26"/>
        <v>5.1396421034632924</v>
      </c>
      <c r="W57" s="2">
        <f t="shared" si="27"/>
        <v>5.1910385244979258</v>
      </c>
      <c r="X57" s="2">
        <f t="shared" si="28"/>
        <v>5.1910385244979258</v>
      </c>
      <c r="Y57" s="2">
        <f t="shared" si="29"/>
        <v>5.2429489097429052</v>
      </c>
      <c r="Z57" s="2">
        <f t="shared" si="30"/>
        <v>5.2429489097429052</v>
      </c>
      <c r="AA57" s="2">
        <f t="shared" si="31"/>
        <v>5.2953783988403345</v>
      </c>
      <c r="AB57" s="2">
        <f t="shared" si="32"/>
        <v>5.2953783988403345</v>
      </c>
      <c r="AC57" s="2">
        <f t="shared" si="4"/>
        <v>5.348332182828738</v>
      </c>
      <c r="AD57" s="2">
        <f t="shared" si="5"/>
        <v>5.348332182828738</v>
      </c>
      <c r="AE57" s="2">
        <f t="shared" si="6"/>
        <v>5.4018155046570255</v>
      </c>
      <c r="AF57" s="2">
        <f t="shared" si="7"/>
        <v>5.4018155046570255</v>
      </c>
      <c r="AG57" s="2">
        <f t="shared" si="8"/>
        <v>5.4558336597035959</v>
      </c>
      <c r="AH57" s="2">
        <f t="shared" si="9"/>
        <v>5.4558336597035959</v>
      </c>
    </row>
    <row r="58" spans="1:34">
      <c r="A58" t="str">
        <f>CYF!A58</f>
        <v>Coffee</v>
      </c>
      <c r="B58" t="str">
        <f>CYF!B58</f>
        <v>AddisAbaba</v>
      </c>
      <c r="C58" s="2">
        <f>VLOOKUP($B58,Elec!$R$41:$S$51,2,0)/SUM(Elec!$S$41:$S$51)/2*VLOOKUP($A58,'Basic Feasibility'!$AB$14:$AC$19,2,0)</f>
        <v>0.87390819089039595</v>
      </c>
      <c r="D58" s="2">
        <f>VLOOKUP($B58,Elec!$R$41:$S$51,2,0)/SUM(Elec!$S$41:$S$51)/2*VLOOKUP($A58,'Basic Feasibility'!$AB$14:$AC$19,2,0)</f>
        <v>0.87390819089039595</v>
      </c>
      <c r="E58" s="2">
        <f t="shared" si="3"/>
        <v>0.88264727279929989</v>
      </c>
      <c r="F58" s="2">
        <f t="shared" si="10"/>
        <v>0.88264727279929989</v>
      </c>
      <c r="G58" s="2">
        <f t="shared" si="11"/>
        <v>0.89147374552729286</v>
      </c>
      <c r="H58" s="2">
        <f t="shared" si="12"/>
        <v>0.89147374552729286</v>
      </c>
      <c r="I58" s="2">
        <f t="shared" si="13"/>
        <v>0.9003884829825658</v>
      </c>
      <c r="J58" s="2">
        <f t="shared" si="14"/>
        <v>0.9003884829825658</v>
      </c>
      <c r="K58" s="2">
        <f t="shared" si="15"/>
        <v>0.90939236781239141</v>
      </c>
      <c r="L58" s="2">
        <f t="shared" si="16"/>
        <v>0.90939236781239141</v>
      </c>
      <c r="M58" s="2">
        <f t="shared" si="17"/>
        <v>0.91848629149051531</v>
      </c>
      <c r="N58" s="2">
        <f t="shared" si="18"/>
        <v>0.91848629149051531</v>
      </c>
      <c r="O58" s="2">
        <f t="shared" si="19"/>
        <v>0.92767115440542047</v>
      </c>
      <c r="P58" s="2">
        <f t="shared" si="20"/>
        <v>0.92767115440542047</v>
      </c>
      <c r="Q58" s="2">
        <f t="shared" si="21"/>
        <v>0.93694786594947466</v>
      </c>
      <c r="R58" s="2">
        <f t="shared" si="22"/>
        <v>0.93694786594947466</v>
      </c>
      <c r="S58" s="2">
        <f t="shared" si="23"/>
        <v>0.94631734460896944</v>
      </c>
      <c r="T58" s="2">
        <f t="shared" si="24"/>
        <v>0.94631734460896944</v>
      </c>
      <c r="U58" s="2">
        <f t="shared" si="25"/>
        <v>0.95578051805505915</v>
      </c>
      <c r="V58" s="2">
        <f t="shared" si="26"/>
        <v>0.95578051805505915</v>
      </c>
      <c r="W58" s="2">
        <f t="shared" si="27"/>
        <v>0.96533832323560975</v>
      </c>
      <c r="X58" s="2">
        <f t="shared" si="28"/>
        <v>0.96533832323560975</v>
      </c>
      <c r="Y58" s="2">
        <f t="shared" si="29"/>
        <v>0.97499170646796585</v>
      </c>
      <c r="Z58" s="2">
        <f t="shared" si="30"/>
        <v>0.97499170646796585</v>
      </c>
      <c r="AA58" s="2">
        <f t="shared" si="31"/>
        <v>0.98474162353264549</v>
      </c>
      <c r="AB58" s="2">
        <f t="shared" si="32"/>
        <v>0.98474162353264549</v>
      </c>
      <c r="AC58" s="2">
        <f t="shared" si="4"/>
        <v>0.99458903976797197</v>
      </c>
      <c r="AD58" s="2">
        <f t="shared" si="5"/>
        <v>0.99458903976797197</v>
      </c>
      <c r="AE58" s="2">
        <f t="shared" si="6"/>
        <v>1.0045349301656517</v>
      </c>
      <c r="AF58" s="2">
        <f t="shared" si="7"/>
        <v>1.0045349301656517</v>
      </c>
      <c r="AG58" s="2">
        <f t="shared" si="8"/>
        <v>1.0145802794673082</v>
      </c>
      <c r="AH58" s="2">
        <f t="shared" si="9"/>
        <v>1.0145802794673082</v>
      </c>
    </row>
    <row r="59" spans="1:34">
      <c r="A59" t="str">
        <f>CYF!A59</f>
        <v>Coffee</v>
      </c>
      <c r="B59" t="str">
        <f>CYF!B59</f>
        <v>Afar</v>
      </c>
      <c r="C59" s="2">
        <f>VLOOKUP($B59,Elec!$R$41:$S$51,2,0)/SUM(Elec!$S$41:$S$51)/2*VLOOKUP($A59,'Basic Feasibility'!$AB$14:$AC$19,2,0)</f>
        <v>0.46005004977212105</v>
      </c>
      <c r="D59" s="2">
        <f>VLOOKUP($B59,Elec!$R$41:$S$51,2,0)/SUM(Elec!$S$41:$S$51)/2*VLOOKUP($A59,'Basic Feasibility'!$AB$14:$AC$19,2,0)</f>
        <v>0.46005004977212105</v>
      </c>
      <c r="E59" s="2">
        <f t="shared" si="3"/>
        <v>0.46465055026984226</v>
      </c>
      <c r="F59" s="2">
        <f t="shared" si="10"/>
        <v>0.46465055026984226</v>
      </c>
      <c r="G59" s="2">
        <f t="shared" si="11"/>
        <v>0.46929705577254066</v>
      </c>
      <c r="H59" s="2">
        <f t="shared" si="12"/>
        <v>0.46929705577254066</v>
      </c>
      <c r="I59" s="2">
        <f t="shared" si="13"/>
        <v>0.47399002633026605</v>
      </c>
      <c r="J59" s="2">
        <f t="shared" si="14"/>
        <v>0.47399002633026605</v>
      </c>
      <c r="K59" s="2">
        <f t="shared" si="15"/>
        <v>0.47872992659356872</v>
      </c>
      <c r="L59" s="2">
        <f t="shared" si="16"/>
        <v>0.47872992659356872</v>
      </c>
      <c r="M59" s="2">
        <f t="shared" si="17"/>
        <v>0.48351722585950441</v>
      </c>
      <c r="N59" s="2">
        <f t="shared" si="18"/>
        <v>0.48351722585950441</v>
      </c>
      <c r="O59" s="2">
        <f t="shared" si="19"/>
        <v>0.48835239811809944</v>
      </c>
      <c r="P59" s="2">
        <f t="shared" si="20"/>
        <v>0.48835239811809944</v>
      </c>
      <c r="Q59" s="2">
        <f t="shared" si="21"/>
        <v>0.49323592209928047</v>
      </c>
      <c r="R59" s="2">
        <f t="shared" si="22"/>
        <v>0.49323592209928047</v>
      </c>
      <c r="S59" s="2">
        <f t="shared" si="23"/>
        <v>0.4981682813202733</v>
      </c>
      <c r="T59" s="2">
        <f t="shared" si="24"/>
        <v>0.4981682813202733</v>
      </c>
      <c r="U59" s="2">
        <f t="shared" si="25"/>
        <v>0.50314996413347601</v>
      </c>
      <c r="V59" s="2">
        <f t="shared" si="26"/>
        <v>0.50314996413347601</v>
      </c>
      <c r="W59" s="2">
        <f t="shared" si="27"/>
        <v>0.50818146377481077</v>
      </c>
      <c r="X59" s="2">
        <f t="shared" si="28"/>
        <v>0.50818146377481077</v>
      </c>
      <c r="Y59" s="2">
        <f t="shared" si="29"/>
        <v>0.51326327841255892</v>
      </c>
      <c r="Z59" s="2">
        <f t="shared" si="30"/>
        <v>0.51326327841255892</v>
      </c>
      <c r="AA59" s="2">
        <f t="shared" si="31"/>
        <v>0.51839591119668449</v>
      </c>
      <c r="AB59" s="2">
        <f t="shared" si="32"/>
        <v>0.51839591119668449</v>
      </c>
      <c r="AC59" s="2">
        <f t="shared" si="4"/>
        <v>0.52357987030865139</v>
      </c>
      <c r="AD59" s="2">
        <f t="shared" si="5"/>
        <v>0.52357987030865139</v>
      </c>
      <c r="AE59" s="2">
        <f t="shared" si="6"/>
        <v>0.52881566901173793</v>
      </c>
      <c r="AF59" s="2">
        <f t="shared" si="7"/>
        <v>0.52881566901173793</v>
      </c>
      <c r="AG59" s="2">
        <f t="shared" si="8"/>
        <v>0.53410382570185533</v>
      </c>
      <c r="AH59" s="2">
        <f t="shared" si="9"/>
        <v>0.53410382570185533</v>
      </c>
    </row>
    <row r="60" spans="1:34">
      <c r="A60" t="str">
        <f>CYF!A60</f>
        <v>Coffee</v>
      </c>
      <c r="B60" t="str">
        <f>CYF!B60</f>
        <v>Amhara</v>
      </c>
      <c r="C60" s="2">
        <f>VLOOKUP($B60,Elec!$R$41:$S$51,2,0)/SUM(Elec!$S$41:$S$51)/2*VLOOKUP($A60,'Basic Feasibility'!$AB$14:$AC$19,2,0)</f>
        <v>5.4471741528735</v>
      </c>
      <c r="D60" s="2">
        <f>VLOOKUP($B60,Elec!$R$41:$S$51,2,0)/SUM(Elec!$S$41:$S$51)/2*VLOOKUP($A60,'Basic Feasibility'!$AB$14:$AC$19,2,0)</f>
        <v>5.4471741528735</v>
      </c>
      <c r="E60" s="2">
        <f t="shared" si="3"/>
        <v>5.5016458944022348</v>
      </c>
      <c r="F60" s="2">
        <f t="shared" si="10"/>
        <v>5.5016458944022348</v>
      </c>
      <c r="G60" s="2">
        <f t="shared" si="11"/>
        <v>5.5566623533462574</v>
      </c>
      <c r="H60" s="2">
        <f t="shared" si="12"/>
        <v>5.5566623533462574</v>
      </c>
      <c r="I60" s="2">
        <f t="shared" si="13"/>
        <v>5.6122289768797202</v>
      </c>
      <c r="J60" s="2">
        <f t="shared" si="14"/>
        <v>5.6122289768797202</v>
      </c>
      <c r="K60" s="2">
        <f t="shared" si="15"/>
        <v>5.6683512666485178</v>
      </c>
      <c r="L60" s="2">
        <f t="shared" si="16"/>
        <v>5.6683512666485178</v>
      </c>
      <c r="M60" s="2">
        <f t="shared" si="17"/>
        <v>5.7250347793150027</v>
      </c>
      <c r="N60" s="2">
        <f t="shared" si="18"/>
        <v>5.7250347793150027</v>
      </c>
      <c r="O60" s="2">
        <f t="shared" si="19"/>
        <v>5.7822851271081523</v>
      </c>
      <c r="P60" s="2">
        <f t="shared" si="20"/>
        <v>5.7822851271081523</v>
      </c>
      <c r="Q60" s="2">
        <f t="shared" si="21"/>
        <v>5.8401079783792342</v>
      </c>
      <c r="R60" s="2">
        <f t="shared" si="22"/>
        <v>5.8401079783792342</v>
      </c>
      <c r="S60" s="2">
        <f t="shared" si="23"/>
        <v>5.8985090581630271</v>
      </c>
      <c r="T60" s="2">
        <f t="shared" si="24"/>
        <v>5.8985090581630271</v>
      </c>
      <c r="U60" s="2">
        <f t="shared" si="25"/>
        <v>5.9574941487446571</v>
      </c>
      <c r="V60" s="2">
        <f t="shared" si="26"/>
        <v>5.9574941487446571</v>
      </c>
      <c r="W60" s="2">
        <f t="shared" si="27"/>
        <v>6.0170690902321038</v>
      </c>
      <c r="X60" s="2">
        <f t="shared" si="28"/>
        <v>6.0170690902321038</v>
      </c>
      <c r="Y60" s="2">
        <f t="shared" si="29"/>
        <v>6.0772397811344252</v>
      </c>
      <c r="Z60" s="2">
        <f t="shared" si="30"/>
        <v>6.0772397811344252</v>
      </c>
      <c r="AA60" s="2">
        <f t="shared" si="31"/>
        <v>6.1380121789457691</v>
      </c>
      <c r="AB60" s="2">
        <f t="shared" si="32"/>
        <v>6.1380121789457691</v>
      </c>
      <c r="AC60" s="2">
        <f t="shared" si="4"/>
        <v>6.1993923007352265</v>
      </c>
      <c r="AD60" s="2">
        <f t="shared" si="5"/>
        <v>6.1993923007352265</v>
      </c>
      <c r="AE60" s="2">
        <f t="shared" si="6"/>
        <v>6.261386223742579</v>
      </c>
      <c r="AF60" s="2">
        <f t="shared" si="7"/>
        <v>6.261386223742579</v>
      </c>
      <c r="AG60" s="2">
        <f t="shared" si="8"/>
        <v>6.3240000859800052</v>
      </c>
      <c r="AH60" s="2">
        <f t="shared" si="9"/>
        <v>6.3240000859800052</v>
      </c>
    </row>
    <row r="61" spans="1:34">
      <c r="A61" t="str">
        <f>CYF!A61</f>
        <v>Coffee</v>
      </c>
      <c r="B61" t="str">
        <f>CYF!B61</f>
        <v>Gumuz</v>
      </c>
      <c r="C61" s="2">
        <f>VLOOKUP($B61,Elec!$R$41:$S$51,2,0)/SUM(Elec!$S$41:$S$51)/2*VLOOKUP($A61,'Basic Feasibility'!$AB$14:$AC$19,2,0)</f>
        <v>0.26834027859604265</v>
      </c>
      <c r="D61" s="2">
        <f>VLOOKUP($B61,Elec!$R$41:$S$51,2,0)/SUM(Elec!$S$41:$S$51)/2*VLOOKUP($A61,'Basic Feasibility'!$AB$14:$AC$19,2,0)</f>
        <v>0.26834027859604265</v>
      </c>
      <c r="E61" s="2">
        <f t="shared" si="3"/>
        <v>0.27102368138200306</v>
      </c>
      <c r="F61" s="2">
        <f t="shared" si="10"/>
        <v>0.27102368138200306</v>
      </c>
      <c r="G61" s="2">
        <f t="shared" si="11"/>
        <v>0.2737339181958231</v>
      </c>
      <c r="H61" s="2">
        <f t="shared" si="12"/>
        <v>0.2737339181958231</v>
      </c>
      <c r="I61" s="2">
        <f t="shared" si="13"/>
        <v>0.27647125737778133</v>
      </c>
      <c r="J61" s="2">
        <f t="shared" si="14"/>
        <v>0.27647125737778133</v>
      </c>
      <c r="K61" s="2">
        <f t="shared" si="15"/>
        <v>0.27923596995155914</v>
      </c>
      <c r="L61" s="2">
        <f t="shared" si="16"/>
        <v>0.27923596995155914</v>
      </c>
      <c r="M61" s="2">
        <f t="shared" si="17"/>
        <v>0.28202832965107472</v>
      </c>
      <c r="N61" s="2">
        <f t="shared" si="18"/>
        <v>0.28202832965107472</v>
      </c>
      <c r="O61" s="2">
        <f t="shared" si="19"/>
        <v>0.28484861294758546</v>
      </c>
      <c r="P61" s="2">
        <f t="shared" si="20"/>
        <v>0.28484861294758546</v>
      </c>
      <c r="Q61" s="2">
        <f t="shared" si="21"/>
        <v>0.28769709907706131</v>
      </c>
      <c r="R61" s="2">
        <f t="shared" si="22"/>
        <v>0.28769709907706131</v>
      </c>
      <c r="S61" s="2">
        <f t="shared" si="23"/>
        <v>0.29057407006783192</v>
      </c>
      <c r="T61" s="2">
        <f t="shared" si="24"/>
        <v>0.29057407006783192</v>
      </c>
      <c r="U61" s="2">
        <f t="shared" si="25"/>
        <v>0.29347981076851026</v>
      </c>
      <c r="V61" s="2">
        <f t="shared" si="26"/>
        <v>0.29347981076851026</v>
      </c>
      <c r="W61" s="2">
        <f t="shared" si="27"/>
        <v>0.29641460887619536</v>
      </c>
      <c r="X61" s="2">
        <f t="shared" si="28"/>
        <v>0.29641460887619536</v>
      </c>
      <c r="Y61" s="2">
        <f t="shared" si="29"/>
        <v>0.29937875496495731</v>
      </c>
      <c r="Z61" s="2">
        <f t="shared" si="30"/>
        <v>0.29937875496495731</v>
      </c>
      <c r="AA61" s="2">
        <f t="shared" si="31"/>
        <v>0.30237254251460688</v>
      </c>
      <c r="AB61" s="2">
        <f t="shared" si="32"/>
        <v>0.30237254251460688</v>
      </c>
      <c r="AC61" s="2">
        <f t="shared" si="4"/>
        <v>0.30539626793975294</v>
      </c>
      <c r="AD61" s="2">
        <f t="shared" si="5"/>
        <v>0.30539626793975294</v>
      </c>
      <c r="AE61" s="2">
        <f t="shared" si="6"/>
        <v>0.3084502306191505</v>
      </c>
      <c r="AF61" s="2">
        <f t="shared" si="7"/>
        <v>0.3084502306191505</v>
      </c>
      <c r="AG61" s="2">
        <f t="shared" si="8"/>
        <v>0.31153473292534201</v>
      </c>
      <c r="AH61" s="2">
        <f t="shared" si="9"/>
        <v>0.31153473292534201</v>
      </c>
    </row>
    <row r="62" spans="1:34">
      <c r="A62" t="str">
        <f>CYF!A62</f>
        <v>Coffee</v>
      </c>
      <c r="B62" t="str">
        <f>CYF!B62</f>
        <v>DireDawa</v>
      </c>
      <c r="C62" s="2">
        <f>VLOOKUP($B62,Elec!$R$41:$S$51,2,0)/SUM(Elec!$S$41:$S$51)/2*VLOOKUP($A62,'Basic Feasibility'!$AB$14:$AC$19,2,0)</f>
        <v>0.11748231102712318</v>
      </c>
      <c r="D62" s="2">
        <f>VLOOKUP($B62,Elec!$R$41:$S$51,2,0)/SUM(Elec!$S$41:$S$51)/2*VLOOKUP($A62,'Basic Feasibility'!$AB$14:$AC$19,2,0)</f>
        <v>0.11748231102712318</v>
      </c>
      <c r="E62" s="2">
        <f t="shared" si="3"/>
        <v>0.11865713413739441</v>
      </c>
      <c r="F62" s="2">
        <f t="shared" si="10"/>
        <v>0.11865713413739441</v>
      </c>
      <c r="G62" s="2">
        <f t="shared" si="11"/>
        <v>0.11984370547876835</v>
      </c>
      <c r="H62" s="2">
        <f t="shared" si="12"/>
        <v>0.11984370547876835</v>
      </c>
      <c r="I62" s="2">
        <f t="shared" si="13"/>
        <v>0.12104214253355604</v>
      </c>
      <c r="J62" s="2">
        <f t="shared" si="14"/>
        <v>0.12104214253355604</v>
      </c>
      <c r="K62" s="2">
        <f t="shared" si="15"/>
        <v>0.1222525639588916</v>
      </c>
      <c r="L62" s="2">
        <f t="shared" si="16"/>
        <v>0.1222525639588916</v>
      </c>
      <c r="M62" s="2">
        <f t="shared" si="17"/>
        <v>0.12347508959848051</v>
      </c>
      <c r="N62" s="2">
        <f t="shared" si="18"/>
        <v>0.12347508959848051</v>
      </c>
      <c r="O62" s="2">
        <f t="shared" si="19"/>
        <v>0.12470984049446532</v>
      </c>
      <c r="P62" s="2">
        <f t="shared" si="20"/>
        <v>0.12470984049446532</v>
      </c>
      <c r="Q62" s="2">
        <f t="shared" si="21"/>
        <v>0.12595693889940998</v>
      </c>
      <c r="R62" s="2">
        <f t="shared" si="22"/>
        <v>0.12595693889940998</v>
      </c>
      <c r="S62" s="2">
        <f t="shared" si="23"/>
        <v>0.12721650828840408</v>
      </c>
      <c r="T62" s="2">
        <f t="shared" si="24"/>
        <v>0.12721650828840408</v>
      </c>
      <c r="U62" s="2">
        <f t="shared" si="25"/>
        <v>0.12848867337128814</v>
      </c>
      <c r="V62" s="2">
        <f t="shared" si="26"/>
        <v>0.12848867337128814</v>
      </c>
      <c r="W62" s="2">
        <f t="shared" si="27"/>
        <v>0.12977356010500102</v>
      </c>
      <c r="X62" s="2">
        <f t="shared" si="28"/>
        <v>0.12977356010500102</v>
      </c>
      <c r="Y62" s="2">
        <f t="shared" si="29"/>
        <v>0.13107129570605103</v>
      </c>
      <c r="Z62" s="2">
        <f t="shared" si="30"/>
        <v>0.13107129570605103</v>
      </c>
      <c r="AA62" s="2">
        <f t="shared" si="31"/>
        <v>0.13238200866311153</v>
      </c>
      <c r="AB62" s="2">
        <f t="shared" si="32"/>
        <v>0.13238200866311153</v>
      </c>
      <c r="AC62" s="2">
        <f t="shared" si="4"/>
        <v>0.13370582874974266</v>
      </c>
      <c r="AD62" s="2">
        <f t="shared" si="5"/>
        <v>0.13370582874974266</v>
      </c>
      <c r="AE62" s="2">
        <f t="shared" si="6"/>
        <v>0.13504288703724007</v>
      </c>
      <c r="AF62" s="2">
        <f t="shared" si="7"/>
        <v>0.13504288703724007</v>
      </c>
      <c r="AG62" s="2">
        <f t="shared" si="8"/>
        <v>0.13639331590761247</v>
      </c>
      <c r="AH62" s="2">
        <f t="shared" si="9"/>
        <v>0.13639331590761247</v>
      </c>
    </row>
    <row r="63" spans="1:34">
      <c r="A63" t="str">
        <f>CYF!A63</f>
        <v>Coffee</v>
      </c>
      <c r="B63" t="str">
        <f>CYF!B63</f>
        <v>Gambela</v>
      </c>
      <c r="C63" s="2">
        <f>VLOOKUP($B63,Elec!$R$41:$S$51,2,0)/SUM(Elec!$S$41:$S$51)/2*VLOOKUP($A63,'Basic Feasibility'!$AB$14:$AC$19,2,0)</f>
        <v>0.10920514820475768</v>
      </c>
      <c r="D63" s="2">
        <f>VLOOKUP($B63,Elec!$R$41:$S$51,2,0)/SUM(Elec!$S$41:$S$51)/2*VLOOKUP($A63,'Basic Feasibility'!$AB$14:$AC$19,2,0)</f>
        <v>0.10920514820475768</v>
      </c>
      <c r="E63" s="2">
        <f t="shared" si="3"/>
        <v>0.11029719968680526</v>
      </c>
      <c r="F63" s="2">
        <f t="shared" si="10"/>
        <v>0.11029719968680526</v>
      </c>
      <c r="G63" s="2">
        <f t="shared" si="11"/>
        <v>0.11140017168367332</v>
      </c>
      <c r="H63" s="2">
        <f t="shared" si="12"/>
        <v>0.11140017168367332</v>
      </c>
      <c r="I63" s="2">
        <f t="shared" si="13"/>
        <v>0.11251417340051005</v>
      </c>
      <c r="J63" s="2">
        <f t="shared" si="14"/>
        <v>0.11251417340051005</v>
      </c>
      <c r="K63" s="2">
        <f t="shared" si="15"/>
        <v>0.11363931513451515</v>
      </c>
      <c r="L63" s="2">
        <f t="shared" si="16"/>
        <v>0.11363931513451515</v>
      </c>
      <c r="M63" s="2">
        <f t="shared" si="17"/>
        <v>0.11477570828586031</v>
      </c>
      <c r="N63" s="2">
        <f t="shared" si="18"/>
        <v>0.11477570828586031</v>
      </c>
      <c r="O63" s="2">
        <f t="shared" si="19"/>
        <v>0.11592346536871892</v>
      </c>
      <c r="P63" s="2">
        <f t="shared" si="20"/>
        <v>0.11592346536871892</v>
      </c>
      <c r="Q63" s="2">
        <f t="shared" si="21"/>
        <v>0.11708270002240612</v>
      </c>
      <c r="R63" s="2">
        <f t="shared" si="22"/>
        <v>0.11708270002240612</v>
      </c>
      <c r="S63" s="2">
        <f t="shared" si="23"/>
        <v>0.11825352702263017</v>
      </c>
      <c r="T63" s="2">
        <f t="shared" si="24"/>
        <v>0.11825352702263017</v>
      </c>
      <c r="U63" s="2">
        <f t="shared" si="25"/>
        <v>0.11943606229285647</v>
      </c>
      <c r="V63" s="2">
        <f t="shared" si="26"/>
        <v>0.11943606229285647</v>
      </c>
      <c r="W63" s="2">
        <f t="shared" si="27"/>
        <v>0.12063042291578503</v>
      </c>
      <c r="X63" s="2">
        <f t="shared" si="28"/>
        <v>0.12063042291578503</v>
      </c>
      <c r="Y63" s="2">
        <f t="shared" si="29"/>
        <v>0.12183672714494288</v>
      </c>
      <c r="Z63" s="2">
        <f t="shared" si="30"/>
        <v>0.12183672714494288</v>
      </c>
      <c r="AA63" s="2">
        <f t="shared" si="31"/>
        <v>0.12305509441639231</v>
      </c>
      <c r="AB63" s="2">
        <f t="shared" si="32"/>
        <v>0.12305509441639231</v>
      </c>
      <c r="AC63" s="2">
        <f t="shared" si="4"/>
        <v>0.12428564536055624</v>
      </c>
      <c r="AD63" s="2">
        <f t="shared" si="5"/>
        <v>0.12428564536055624</v>
      </c>
      <c r="AE63" s="2">
        <f t="shared" si="6"/>
        <v>0.12552850181416181</v>
      </c>
      <c r="AF63" s="2">
        <f t="shared" si="7"/>
        <v>0.12552850181416181</v>
      </c>
      <c r="AG63" s="2">
        <f t="shared" si="8"/>
        <v>0.12678378683230343</v>
      </c>
      <c r="AH63" s="2">
        <f t="shared" si="9"/>
        <v>0.12678378683230343</v>
      </c>
    </row>
    <row r="64" spans="1:34">
      <c r="A64" t="str">
        <f>CYF!A64</f>
        <v>Coffee</v>
      </c>
      <c r="B64" t="str">
        <f>CYF!B64</f>
        <v>Harari</v>
      </c>
      <c r="C64" s="2">
        <f>VLOOKUP($B64,Elec!$R$41:$S$51,2,0)/SUM(Elec!$S$41:$S$51)/2*VLOOKUP($A64,'Basic Feasibility'!$AB$14:$AC$19,2,0)</f>
        <v>6.1945218541574046E-2</v>
      </c>
      <c r="D64" s="2">
        <f>VLOOKUP($B64,Elec!$R$41:$S$51,2,0)/SUM(Elec!$S$41:$S$51)/2*VLOOKUP($A64,'Basic Feasibility'!$AB$14:$AC$19,2,0)</f>
        <v>6.1945218541574046E-2</v>
      </c>
      <c r="E64" s="2">
        <f t="shared" si="3"/>
        <v>6.2564670726989791E-2</v>
      </c>
      <c r="F64" s="2">
        <f t="shared" si="10"/>
        <v>6.2564670726989791E-2</v>
      </c>
      <c r="G64" s="2">
        <f t="shared" si="11"/>
        <v>6.3190317434259693E-2</v>
      </c>
      <c r="H64" s="2">
        <f t="shared" si="12"/>
        <v>6.3190317434259693E-2</v>
      </c>
      <c r="I64" s="2">
        <f t="shared" si="13"/>
        <v>6.3822220608602293E-2</v>
      </c>
      <c r="J64" s="2">
        <f t="shared" si="14"/>
        <v>6.3822220608602293E-2</v>
      </c>
      <c r="K64" s="2">
        <f t="shared" si="15"/>
        <v>6.446044281468831E-2</v>
      </c>
      <c r="L64" s="2">
        <f t="shared" si="16"/>
        <v>6.446044281468831E-2</v>
      </c>
      <c r="M64" s="2">
        <f t="shared" si="17"/>
        <v>6.5105047242835196E-2</v>
      </c>
      <c r="N64" s="2">
        <f t="shared" si="18"/>
        <v>6.5105047242835196E-2</v>
      </c>
      <c r="O64" s="2">
        <f t="shared" si="19"/>
        <v>6.5756097715263542E-2</v>
      </c>
      <c r="P64" s="2">
        <f t="shared" si="20"/>
        <v>6.5756097715263542E-2</v>
      </c>
      <c r="Q64" s="2">
        <f t="shared" si="21"/>
        <v>6.641365869241618E-2</v>
      </c>
      <c r="R64" s="2">
        <f t="shared" si="22"/>
        <v>6.641365869241618E-2</v>
      </c>
      <c r="S64" s="2">
        <f t="shared" si="23"/>
        <v>6.7077795279340338E-2</v>
      </c>
      <c r="T64" s="2">
        <f t="shared" si="24"/>
        <v>6.7077795279340338E-2</v>
      </c>
      <c r="U64" s="2">
        <f t="shared" si="25"/>
        <v>6.7748573232133735E-2</v>
      </c>
      <c r="V64" s="2">
        <f t="shared" si="26"/>
        <v>6.7748573232133735E-2</v>
      </c>
      <c r="W64" s="2">
        <f t="shared" si="27"/>
        <v>6.8426058964455069E-2</v>
      </c>
      <c r="X64" s="2">
        <f t="shared" si="28"/>
        <v>6.8426058964455069E-2</v>
      </c>
      <c r="Y64" s="2">
        <f t="shared" si="29"/>
        <v>6.9110319554099617E-2</v>
      </c>
      <c r="Z64" s="2">
        <f t="shared" si="30"/>
        <v>6.9110319554099617E-2</v>
      </c>
      <c r="AA64" s="2">
        <f t="shared" si="31"/>
        <v>6.9801422749640615E-2</v>
      </c>
      <c r="AB64" s="2">
        <f t="shared" si="32"/>
        <v>6.9801422749640615E-2</v>
      </c>
      <c r="AC64" s="2">
        <f t="shared" si="4"/>
        <v>7.0499436977137023E-2</v>
      </c>
      <c r="AD64" s="2">
        <f t="shared" si="5"/>
        <v>7.0499436977137023E-2</v>
      </c>
      <c r="AE64" s="2">
        <f t="shared" si="6"/>
        <v>7.1204431346908389E-2</v>
      </c>
      <c r="AF64" s="2">
        <f t="shared" si="7"/>
        <v>7.1204431346908389E-2</v>
      </c>
      <c r="AG64" s="2">
        <f t="shared" si="8"/>
        <v>7.1916475660377469E-2</v>
      </c>
      <c r="AH64" s="2">
        <f t="shared" si="9"/>
        <v>7.1916475660377469E-2</v>
      </c>
    </row>
    <row r="65" spans="1:34">
      <c r="A65" t="str">
        <f>CYF!A65</f>
        <v>Coffee</v>
      </c>
      <c r="B65" t="str">
        <f>CYF!B65</f>
        <v>Oromia</v>
      </c>
      <c r="C65" s="2">
        <f>VLOOKUP($B65,Elec!$R$41:$S$51,2,0)/SUM(Elec!$S$41:$S$51)/2*VLOOKUP($A65,'Basic Feasibility'!$AB$14:$AC$19,2,0)</f>
        <v>8.9959409616496231</v>
      </c>
      <c r="D65" s="2">
        <f>VLOOKUP($B65,Elec!$R$41:$S$51,2,0)/SUM(Elec!$S$41:$S$51)/2*VLOOKUP($A65,'Basic Feasibility'!$AB$14:$AC$19,2,0)</f>
        <v>8.9959409616496231</v>
      </c>
      <c r="E65" s="2">
        <f t="shared" si="3"/>
        <v>9.0859003712661188</v>
      </c>
      <c r="F65" s="2">
        <f t="shared" si="10"/>
        <v>9.0859003712661188</v>
      </c>
      <c r="G65" s="2">
        <f t="shared" si="11"/>
        <v>9.1767593749787792</v>
      </c>
      <c r="H65" s="2">
        <f t="shared" si="12"/>
        <v>9.1767593749787792</v>
      </c>
      <c r="I65" s="2">
        <f t="shared" si="13"/>
        <v>9.2685269687285672</v>
      </c>
      <c r="J65" s="2">
        <f t="shared" si="14"/>
        <v>9.2685269687285672</v>
      </c>
      <c r="K65" s="2">
        <f t="shared" si="15"/>
        <v>9.3612122384158525</v>
      </c>
      <c r="L65" s="2">
        <f t="shared" si="16"/>
        <v>9.3612122384158525</v>
      </c>
      <c r="M65" s="2">
        <f t="shared" si="17"/>
        <v>9.4548243608000107</v>
      </c>
      <c r="N65" s="2">
        <f t="shared" si="18"/>
        <v>9.4548243608000107</v>
      </c>
      <c r="O65" s="2">
        <f t="shared" si="19"/>
        <v>9.5493726044080116</v>
      </c>
      <c r="P65" s="2">
        <f t="shared" si="20"/>
        <v>9.5493726044080116</v>
      </c>
      <c r="Q65" s="2">
        <f t="shared" si="21"/>
        <v>9.644866330452091</v>
      </c>
      <c r="R65" s="2">
        <f t="shared" si="22"/>
        <v>9.644866330452091</v>
      </c>
      <c r="S65" s="2">
        <f t="shared" si="23"/>
        <v>9.7413149937566121</v>
      </c>
      <c r="T65" s="2">
        <f t="shared" si="24"/>
        <v>9.7413149937566121</v>
      </c>
      <c r="U65" s="2">
        <f t="shared" si="25"/>
        <v>9.838728143694178</v>
      </c>
      <c r="V65" s="2">
        <f t="shared" si="26"/>
        <v>9.838728143694178</v>
      </c>
      <c r="W65" s="2">
        <f t="shared" si="27"/>
        <v>9.93711542513112</v>
      </c>
      <c r="X65" s="2">
        <f t="shared" si="28"/>
        <v>9.93711542513112</v>
      </c>
      <c r="Y65" s="2">
        <f t="shared" si="29"/>
        <v>10.036486579382432</v>
      </c>
      <c r="Z65" s="2">
        <f t="shared" si="30"/>
        <v>10.036486579382432</v>
      </c>
      <c r="AA65" s="2">
        <f t="shared" si="31"/>
        <v>10.136851445176257</v>
      </c>
      <c r="AB65" s="2">
        <f t="shared" si="32"/>
        <v>10.136851445176257</v>
      </c>
      <c r="AC65" s="2">
        <f t="shared" si="4"/>
        <v>10.238219959628019</v>
      </c>
      <c r="AD65" s="2">
        <f t="shared" si="5"/>
        <v>10.238219959628019</v>
      </c>
      <c r="AE65" s="2">
        <f t="shared" si="6"/>
        <v>10.340602159224298</v>
      </c>
      <c r="AF65" s="2">
        <f t="shared" si="7"/>
        <v>10.340602159224298</v>
      </c>
      <c r="AG65" s="2">
        <f t="shared" si="8"/>
        <v>10.444008180816541</v>
      </c>
      <c r="AH65" s="2">
        <f t="shared" si="9"/>
        <v>10.444008180816541</v>
      </c>
    </row>
    <row r="66" spans="1:34">
      <c r="A66" t="str">
        <f>CYF!A66</f>
        <v>Coffee</v>
      </c>
      <c r="B66" t="str">
        <f>CYF!B66</f>
        <v>Somali</v>
      </c>
      <c r="C66" s="2">
        <f>VLOOKUP($B66,Elec!$R$41:$S$51,2,0)/SUM(Elec!$S$41:$S$51)/2*VLOOKUP($A66,'Basic Feasibility'!$AB$14:$AC$19,2,0)</f>
        <v>1.4559796409793244</v>
      </c>
      <c r="D66" s="2">
        <f>VLOOKUP($B66,Elec!$R$41:$S$51,2,0)/SUM(Elec!$S$41:$S$51)/2*VLOOKUP($A66,'Basic Feasibility'!$AB$14:$AC$19,2,0)</f>
        <v>1.4559796409793244</v>
      </c>
      <c r="E66" s="2">
        <f t="shared" si="3"/>
        <v>1.4705394373891176</v>
      </c>
      <c r="F66" s="2">
        <f t="shared" si="10"/>
        <v>1.4705394373891176</v>
      </c>
      <c r="G66" s="2">
        <f t="shared" si="11"/>
        <v>1.4852448317630089</v>
      </c>
      <c r="H66" s="2">
        <f t="shared" si="12"/>
        <v>1.4852448317630089</v>
      </c>
      <c r="I66" s="2">
        <f t="shared" si="13"/>
        <v>1.5000972800806389</v>
      </c>
      <c r="J66" s="2">
        <f t="shared" si="14"/>
        <v>1.5000972800806389</v>
      </c>
      <c r="K66" s="2">
        <f t="shared" si="15"/>
        <v>1.5150982528814454</v>
      </c>
      <c r="L66" s="2">
        <f t="shared" si="16"/>
        <v>1.5150982528814454</v>
      </c>
      <c r="M66" s="2">
        <f t="shared" si="17"/>
        <v>1.5302492354102599</v>
      </c>
      <c r="N66" s="2">
        <f t="shared" si="18"/>
        <v>1.5302492354102599</v>
      </c>
      <c r="O66" s="2">
        <f t="shared" si="19"/>
        <v>1.5455517277643624</v>
      </c>
      <c r="P66" s="2">
        <f t="shared" si="20"/>
        <v>1.5455517277643624</v>
      </c>
      <c r="Q66" s="2">
        <f t="shared" si="21"/>
        <v>1.5610072450420061</v>
      </c>
      <c r="R66" s="2">
        <f t="shared" si="22"/>
        <v>1.5610072450420061</v>
      </c>
      <c r="S66" s="2">
        <f t="shared" si="23"/>
        <v>1.5766173174924261</v>
      </c>
      <c r="T66" s="2">
        <f t="shared" si="24"/>
        <v>1.5766173174924261</v>
      </c>
      <c r="U66" s="2">
        <f t="shared" si="25"/>
        <v>1.5923834906673504</v>
      </c>
      <c r="V66" s="2">
        <f t="shared" si="26"/>
        <v>1.5923834906673504</v>
      </c>
      <c r="W66" s="2">
        <f t="shared" si="27"/>
        <v>1.6083073255740239</v>
      </c>
      <c r="X66" s="2">
        <f t="shared" si="28"/>
        <v>1.6083073255740239</v>
      </c>
      <c r="Y66" s="2">
        <f t="shared" si="29"/>
        <v>1.6243903988297641</v>
      </c>
      <c r="Z66" s="2">
        <f t="shared" si="30"/>
        <v>1.6243903988297641</v>
      </c>
      <c r="AA66" s="2">
        <f t="shared" si="31"/>
        <v>1.6406343028180617</v>
      </c>
      <c r="AB66" s="2">
        <f t="shared" si="32"/>
        <v>1.6406343028180617</v>
      </c>
      <c r="AC66" s="2">
        <f t="shared" si="4"/>
        <v>1.6570406458462423</v>
      </c>
      <c r="AD66" s="2">
        <f t="shared" si="5"/>
        <v>1.6570406458462423</v>
      </c>
      <c r="AE66" s="2">
        <f t="shared" si="6"/>
        <v>1.6736110523047047</v>
      </c>
      <c r="AF66" s="2">
        <f t="shared" si="7"/>
        <v>1.6736110523047047</v>
      </c>
      <c r="AG66" s="2">
        <f t="shared" si="8"/>
        <v>1.6903471628277518</v>
      </c>
      <c r="AH66" s="2">
        <f t="shared" si="9"/>
        <v>1.6903471628277518</v>
      </c>
    </row>
    <row r="67" spans="1:34">
      <c r="A67" t="str">
        <f>CYF!A67</f>
        <v>Coffee</v>
      </c>
      <c r="B67" t="str">
        <f>CYF!B67</f>
        <v>SNNPR</v>
      </c>
      <c r="C67" s="2">
        <f>VLOOKUP($B67,Elec!$R$41:$S$51,2,0)/SUM(Elec!$S$41:$S$51)/2*VLOOKUP($A67,'Basic Feasibility'!$AB$14:$AC$19,2,0)</f>
        <v>4.8797879916629618</v>
      </c>
      <c r="D67" s="2">
        <f>VLOOKUP($B67,Elec!$R$41:$S$51,2,0)/SUM(Elec!$S$41:$S$51)/2*VLOOKUP($A67,'Basic Feasibility'!$AB$14:$AC$19,2,0)</f>
        <v>4.8797879916629618</v>
      </c>
      <c r="E67" s="2">
        <f t="shared" si="3"/>
        <v>4.9285858715795916</v>
      </c>
      <c r="F67" s="2">
        <f t="shared" si="10"/>
        <v>4.9285858715795916</v>
      </c>
      <c r="G67" s="2">
        <f t="shared" si="11"/>
        <v>4.9778717302953872</v>
      </c>
      <c r="H67" s="2">
        <f t="shared" si="12"/>
        <v>4.9778717302953872</v>
      </c>
      <c r="I67" s="2">
        <f t="shared" si="13"/>
        <v>5.027650447598341</v>
      </c>
      <c r="J67" s="2">
        <f t="shared" si="14"/>
        <v>5.027650447598341</v>
      </c>
      <c r="K67" s="2">
        <f t="shared" si="15"/>
        <v>5.0779269520743249</v>
      </c>
      <c r="L67" s="2">
        <f t="shared" si="16"/>
        <v>5.0779269520743249</v>
      </c>
      <c r="M67" s="2">
        <f t="shared" si="17"/>
        <v>5.1287062215950678</v>
      </c>
      <c r="N67" s="2">
        <f t="shared" si="18"/>
        <v>5.1287062215950678</v>
      </c>
      <c r="O67" s="2">
        <f t="shared" si="19"/>
        <v>5.1799932838110188</v>
      </c>
      <c r="P67" s="2">
        <f t="shared" si="20"/>
        <v>5.1799932838110188</v>
      </c>
      <c r="Q67" s="2">
        <f t="shared" si="21"/>
        <v>5.2317932166491286</v>
      </c>
      <c r="R67" s="2">
        <f t="shared" si="22"/>
        <v>5.2317932166491286</v>
      </c>
      <c r="S67" s="2">
        <f t="shared" si="23"/>
        <v>5.2841111488156196</v>
      </c>
      <c r="T67" s="2">
        <f t="shared" si="24"/>
        <v>5.2841111488156196</v>
      </c>
      <c r="U67" s="2">
        <f t="shared" si="25"/>
        <v>5.336952260303776</v>
      </c>
      <c r="V67" s="2">
        <f t="shared" si="26"/>
        <v>5.336952260303776</v>
      </c>
      <c r="W67" s="2">
        <f t="shared" si="27"/>
        <v>5.3903217829068142</v>
      </c>
      <c r="X67" s="2">
        <f t="shared" si="28"/>
        <v>5.3903217829068142</v>
      </c>
      <c r="Y67" s="2">
        <f t="shared" si="29"/>
        <v>5.4442250007358828</v>
      </c>
      <c r="Z67" s="2">
        <f t="shared" si="30"/>
        <v>5.4442250007358828</v>
      </c>
      <c r="AA67" s="2">
        <f t="shared" si="31"/>
        <v>5.4986672507432415</v>
      </c>
      <c r="AB67" s="2">
        <f t="shared" si="32"/>
        <v>5.4986672507432415</v>
      </c>
      <c r="AC67" s="2">
        <f t="shared" si="4"/>
        <v>5.5536539232506739</v>
      </c>
      <c r="AD67" s="2">
        <f t="shared" si="5"/>
        <v>5.5536539232506739</v>
      </c>
      <c r="AE67" s="2">
        <f t="shared" si="6"/>
        <v>5.6091904624831805</v>
      </c>
      <c r="AF67" s="2">
        <f t="shared" si="7"/>
        <v>5.6091904624831805</v>
      </c>
      <c r="AG67" s="2">
        <f t="shared" si="8"/>
        <v>5.6652823671080128</v>
      </c>
      <c r="AH67" s="2">
        <f t="shared" si="9"/>
        <v>5.6652823671080128</v>
      </c>
    </row>
    <row r="68" spans="1:34">
      <c r="A68" t="str">
        <f>CYF!A68</f>
        <v>Coffee</v>
      </c>
      <c r="B68" t="str">
        <f>CYF!B68</f>
        <v>Tigray</v>
      </c>
      <c r="C68" s="2">
        <f>VLOOKUP($B68,Elec!$R$41:$S$51,2,0)/SUM(Elec!$S$41:$S$51)/2*VLOOKUP($A68,'Basic Feasibility'!$AB$14:$AC$19,2,0)</f>
        <v>1.349978555802579</v>
      </c>
      <c r="D68" s="2">
        <f>VLOOKUP($B68,Elec!$R$41:$S$51,2,0)/SUM(Elec!$S$41:$S$51)/2*VLOOKUP($A68,'Basic Feasibility'!$AB$14:$AC$19,2,0)</f>
        <v>1.349978555802579</v>
      </c>
      <c r="E68" s="2">
        <f t="shared" ref="E68" si="33">C68*1.01</f>
        <v>1.3634783413606049</v>
      </c>
      <c r="F68" s="2">
        <f t="shared" si="10"/>
        <v>1.3634783413606049</v>
      </c>
      <c r="G68" s="2">
        <f t="shared" si="11"/>
        <v>1.377113124774211</v>
      </c>
      <c r="H68" s="2">
        <f t="shared" si="12"/>
        <v>1.377113124774211</v>
      </c>
      <c r="I68" s="2">
        <f t="shared" si="13"/>
        <v>1.3908842560219532</v>
      </c>
      <c r="J68" s="2">
        <f t="shared" si="14"/>
        <v>1.3908842560219532</v>
      </c>
      <c r="K68" s="2">
        <f t="shared" si="15"/>
        <v>1.4047930985821728</v>
      </c>
      <c r="L68" s="2">
        <f t="shared" si="16"/>
        <v>1.4047930985821728</v>
      </c>
      <c r="M68" s="2">
        <f t="shared" si="17"/>
        <v>1.4188410295679945</v>
      </c>
      <c r="N68" s="2">
        <f t="shared" si="18"/>
        <v>1.4188410295679945</v>
      </c>
      <c r="O68" s="2">
        <f t="shared" si="19"/>
        <v>1.4330294398636745</v>
      </c>
      <c r="P68" s="2">
        <f t="shared" si="20"/>
        <v>1.4330294398636745</v>
      </c>
      <c r="Q68" s="2">
        <f t="shared" si="21"/>
        <v>1.4473597342623112</v>
      </c>
      <c r="R68" s="2">
        <f t="shared" si="22"/>
        <v>1.4473597342623112</v>
      </c>
      <c r="S68" s="2">
        <f t="shared" si="23"/>
        <v>1.4618333316049343</v>
      </c>
      <c r="T68" s="2">
        <f t="shared" si="24"/>
        <v>1.4618333316049343</v>
      </c>
      <c r="U68" s="2">
        <f t="shared" si="25"/>
        <v>1.4764516649209838</v>
      </c>
      <c r="V68" s="2">
        <f t="shared" si="26"/>
        <v>1.4764516649209838</v>
      </c>
      <c r="W68" s="2">
        <f t="shared" si="27"/>
        <v>1.4912161815701936</v>
      </c>
      <c r="X68" s="2">
        <f t="shared" si="28"/>
        <v>1.4912161815701936</v>
      </c>
      <c r="Y68" s="2">
        <f t="shared" si="29"/>
        <v>1.5061283433858956</v>
      </c>
      <c r="Z68" s="2">
        <f t="shared" si="30"/>
        <v>1.5061283433858956</v>
      </c>
      <c r="AA68" s="2">
        <f t="shared" si="31"/>
        <v>1.5211896268197547</v>
      </c>
      <c r="AB68" s="2">
        <f t="shared" si="32"/>
        <v>1.5211896268197547</v>
      </c>
      <c r="AC68" s="2">
        <f t="shared" si="4"/>
        <v>1.5364015230879522</v>
      </c>
      <c r="AD68" s="2">
        <f t="shared" si="5"/>
        <v>1.5364015230879522</v>
      </c>
      <c r="AE68" s="2">
        <f t="shared" si="6"/>
        <v>1.5517655383188318</v>
      </c>
      <c r="AF68" s="2">
        <f t="shared" si="7"/>
        <v>1.5517655383188318</v>
      </c>
      <c r="AG68" s="2">
        <f t="shared" si="8"/>
        <v>1.5672831937020202</v>
      </c>
      <c r="AH68" s="2">
        <f t="shared" si="9"/>
        <v>1.5672831937020202</v>
      </c>
    </row>
    <row r="69" spans="1:34">
      <c r="A69" t="s">
        <v>22</v>
      </c>
      <c r="B69" t="s">
        <v>5</v>
      </c>
      <c r="C69" s="67">
        <f>VLOOKUP($B69,Elec!$R$41:$S$51,2,0)/SUM(Elec!$S$41:$S$51)/2*Cattle!AA$153</f>
        <v>2.9066219212433948</v>
      </c>
      <c r="D69" s="67">
        <f>VLOOKUP($B69,Elec!$R$41:$S$51,2,0)/SUM(Elec!$S$41:$S$51)/2*Cattle!AB$153</f>
        <v>3.144850958045498</v>
      </c>
      <c r="E69" s="2">
        <f t="shared" ref="E69:E90" si="34">C69*1.01</f>
        <v>2.9356881404558286</v>
      </c>
      <c r="F69" s="2">
        <f t="shared" si="10"/>
        <v>3.1762994676259528</v>
      </c>
      <c r="G69" s="2">
        <f t="shared" si="11"/>
        <v>2.9650450218603868</v>
      </c>
      <c r="H69" s="2">
        <f t="shared" si="12"/>
        <v>3.2080624623022125</v>
      </c>
      <c r="I69" s="2">
        <f t="shared" si="13"/>
        <v>2.9946954720789907</v>
      </c>
      <c r="J69" s="2">
        <f t="shared" si="14"/>
        <v>3.2401430869252348</v>
      </c>
      <c r="K69" s="2">
        <f t="shared" si="15"/>
        <v>3.0246424267997805</v>
      </c>
      <c r="L69" s="2">
        <f t="shared" si="16"/>
        <v>3.2725445177944872</v>
      </c>
      <c r="M69" s="2">
        <f t="shared" si="17"/>
        <v>3.0548888510677781</v>
      </c>
      <c r="N69" s="2">
        <f t="shared" si="18"/>
        <v>3.305269962972432</v>
      </c>
      <c r="O69" s="2">
        <f t="shared" si="19"/>
        <v>3.085437739578456</v>
      </c>
      <c r="P69" s="2">
        <f t="shared" si="20"/>
        <v>3.3383226626021565</v>
      </c>
      <c r="Q69" s="2">
        <f t="shared" si="21"/>
        <v>3.1162921169742406</v>
      </c>
      <c r="R69" s="2">
        <f t="shared" si="22"/>
        <v>3.3717058892281782</v>
      </c>
      <c r="S69" s="2">
        <f t="shared" si="23"/>
        <v>3.147455038143983</v>
      </c>
      <c r="T69" s="2">
        <f t="shared" si="24"/>
        <v>3.4054229481204601</v>
      </c>
      <c r="U69" s="2">
        <f t="shared" si="25"/>
        <v>3.1789295885254227</v>
      </c>
      <c r="V69" s="2">
        <f t="shared" si="26"/>
        <v>3.4394771776016646</v>
      </c>
      <c r="W69" s="2">
        <f t="shared" si="27"/>
        <v>3.2107188844106771</v>
      </c>
      <c r="X69" s="2">
        <f t="shared" si="28"/>
        <v>3.4738719493776813</v>
      </c>
      <c r="Y69" s="2">
        <f t="shared" si="29"/>
        <v>3.242826073254784</v>
      </c>
      <c r="Z69" s="2">
        <f t="shared" si="30"/>
        <v>3.5086106688714582</v>
      </c>
      <c r="AA69" s="2">
        <f t="shared" si="31"/>
        <v>3.2752543339873319</v>
      </c>
      <c r="AB69" s="2">
        <f t="shared" si="32"/>
        <v>3.5436967755601727</v>
      </c>
      <c r="AC69" s="2">
        <f t="shared" si="4"/>
        <v>3.3080068773272053</v>
      </c>
      <c r="AD69" s="2">
        <f t="shared" si="5"/>
        <v>3.5791337433157744</v>
      </c>
      <c r="AE69" s="2">
        <f t="shared" si="6"/>
        <v>3.3410869461004773</v>
      </c>
      <c r="AF69" s="2">
        <f t="shared" si="7"/>
        <v>3.6149250807489324</v>
      </c>
      <c r="AG69" s="2">
        <f t="shared" si="8"/>
        <v>3.3744978155614822</v>
      </c>
      <c r="AH69" s="2">
        <f t="shared" si="9"/>
        <v>3.6510743315564218</v>
      </c>
    </row>
    <row r="70" spans="1:34">
      <c r="A70" t="s">
        <v>22</v>
      </c>
      <c r="B70" t="s">
        <v>6</v>
      </c>
      <c r="C70" s="67">
        <f>VLOOKUP($B70,Elec!$R$41:$S$51,2,0)/SUM(Elec!$S$41:$S$51)/2*Cattle!AA$153</f>
        <v>1.5301281913542222</v>
      </c>
      <c r="D70" s="67">
        <f>VLOOKUP($B70,Elec!$R$41:$S$51,2,0)/SUM(Elec!$S$41:$S$51)/2*Cattle!AB$153</f>
        <v>1.6555387108806578</v>
      </c>
      <c r="E70" s="2">
        <f t="shared" si="34"/>
        <v>1.5454294732677645</v>
      </c>
      <c r="F70" s="2">
        <f t="shared" si="10"/>
        <v>1.6720940979894645</v>
      </c>
      <c r="G70" s="2">
        <f t="shared" si="11"/>
        <v>1.5608837680004422</v>
      </c>
      <c r="H70" s="2">
        <f t="shared" si="12"/>
        <v>1.6888150389693593</v>
      </c>
      <c r="I70" s="2">
        <f t="shared" si="13"/>
        <v>1.5764926056804467</v>
      </c>
      <c r="J70" s="2">
        <f t="shared" si="14"/>
        <v>1.7057031893590529</v>
      </c>
      <c r="K70" s="2">
        <f t="shared" si="15"/>
        <v>1.5922575317372512</v>
      </c>
      <c r="L70" s="2">
        <f t="shared" si="16"/>
        <v>1.7227602212526434</v>
      </c>
      <c r="M70" s="2">
        <f t="shared" si="17"/>
        <v>1.6081801070546238</v>
      </c>
      <c r="N70" s="2">
        <f t="shared" si="18"/>
        <v>1.7399878234651698</v>
      </c>
      <c r="O70" s="2">
        <f t="shared" si="19"/>
        <v>1.6242619081251701</v>
      </c>
      <c r="P70" s="2">
        <f t="shared" si="20"/>
        <v>1.7573877016998214</v>
      </c>
      <c r="Q70" s="2">
        <f t="shared" si="21"/>
        <v>1.6405045272064218</v>
      </c>
      <c r="R70" s="2">
        <f t="shared" si="22"/>
        <v>1.7749615787168196</v>
      </c>
      <c r="S70" s="2">
        <f t="shared" si="23"/>
        <v>1.6569095724784861</v>
      </c>
      <c r="T70" s="2">
        <f t="shared" si="24"/>
        <v>1.7927111945039877</v>
      </c>
      <c r="U70" s="2">
        <f t="shared" si="25"/>
        <v>1.673478668203271</v>
      </c>
      <c r="V70" s="2">
        <f t="shared" si="26"/>
        <v>1.8106383064490277</v>
      </c>
      <c r="W70" s="2">
        <f t="shared" si="27"/>
        <v>1.6902134548853036</v>
      </c>
      <c r="X70" s="2">
        <f t="shared" si="28"/>
        <v>1.828744689513518</v>
      </c>
      <c r="Y70" s="2">
        <f t="shared" si="29"/>
        <v>1.7071155894341568</v>
      </c>
      <c r="Z70" s="2">
        <f t="shared" si="30"/>
        <v>1.8470321364086533</v>
      </c>
      <c r="AA70" s="2">
        <f t="shared" si="31"/>
        <v>1.7241867453284982</v>
      </c>
      <c r="AB70" s="2">
        <f t="shared" si="32"/>
        <v>1.8655024577727397</v>
      </c>
      <c r="AC70" s="2">
        <f t="shared" si="4"/>
        <v>1.7414286127817833</v>
      </c>
      <c r="AD70" s="2">
        <f t="shared" si="5"/>
        <v>1.8841574823504672</v>
      </c>
      <c r="AE70" s="2">
        <f t="shared" si="6"/>
        <v>1.7588428989096012</v>
      </c>
      <c r="AF70" s="2">
        <f t="shared" si="7"/>
        <v>1.9029990571739719</v>
      </c>
      <c r="AG70" s="2">
        <f t="shared" si="8"/>
        <v>1.7764313278986972</v>
      </c>
      <c r="AH70" s="2">
        <f t="shared" si="9"/>
        <v>1.9220290477457116</v>
      </c>
    </row>
    <row r="71" spans="1:34">
      <c r="A71" t="s">
        <v>22</v>
      </c>
      <c r="B71" t="s">
        <v>7</v>
      </c>
      <c r="C71" s="67">
        <f>VLOOKUP($B71,Elec!$R$41:$S$51,2,0)/SUM(Elec!$S$41:$S$51)/2*Cattle!AA$153</f>
        <v>18.117321666754197</v>
      </c>
      <c r="D71" s="67">
        <f>VLOOKUP($B71,Elec!$R$41:$S$51,2,0)/SUM(Elec!$S$41:$S$51)/2*Cattle!AB$153</f>
        <v>19.602231712522517</v>
      </c>
      <c r="E71" s="2">
        <f t="shared" si="34"/>
        <v>18.298494883421739</v>
      </c>
      <c r="F71" s="2">
        <f t="shared" si="10"/>
        <v>19.798254029647744</v>
      </c>
      <c r="G71" s="2">
        <f t="shared" si="11"/>
        <v>18.481479832255957</v>
      </c>
      <c r="H71" s="2">
        <f t="shared" si="12"/>
        <v>19.996236569944223</v>
      </c>
      <c r="I71" s="2">
        <f t="shared" si="13"/>
        <v>18.666294630578516</v>
      </c>
      <c r="J71" s="2">
        <f t="shared" si="14"/>
        <v>20.196198935643665</v>
      </c>
      <c r="K71" s="2">
        <f t="shared" si="15"/>
        <v>18.8529575768843</v>
      </c>
      <c r="L71" s="2">
        <f t="shared" si="16"/>
        <v>20.398160925000102</v>
      </c>
      <c r="M71" s="2">
        <f t="shared" si="17"/>
        <v>19.041487152653144</v>
      </c>
      <c r="N71" s="2">
        <f t="shared" si="18"/>
        <v>20.602142534250103</v>
      </c>
      <c r="O71" s="2">
        <f t="shared" si="19"/>
        <v>19.231902024179675</v>
      </c>
      <c r="P71" s="2">
        <f t="shared" si="20"/>
        <v>20.808163959592605</v>
      </c>
      <c r="Q71" s="2">
        <f t="shared" si="21"/>
        <v>19.424221044421472</v>
      </c>
      <c r="R71" s="2">
        <f t="shared" si="22"/>
        <v>21.01624559918853</v>
      </c>
      <c r="S71" s="2">
        <f t="shared" si="23"/>
        <v>19.618463254865688</v>
      </c>
      <c r="T71" s="2">
        <f t="shared" si="24"/>
        <v>21.226408055180414</v>
      </c>
      <c r="U71" s="2">
        <f t="shared" si="25"/>
        <v>19.814647887414345</v>
      </c>
      <c r="V71" s="2">
        <f t="shared" si="26"/>
        <v>21.438672135732219</v>
      </c>
      <c r="W71" s="2">
        <f t="shared" si="27"/>
        <v>20.012794366288489</v>
      </c>
      <c r="X71" s="2">
        <f t="shared" si="28"/>
        <v>21.65305885708954</v>
      </c>
      <c r="Y71" s="2">
        <f t="shared" si="29"/>
        <v>20.212922309951374</v>
      </c>
      <c r="Z71" s="2">
        <f t="shared" si="30"/>
        <v>21.869589445660434</v>
      </c>
      <c r="AA71" s="2">
        <f t="shared" si="31"/>
        <v>20.415051533050889</v>
      </c>
      <c r="AB71" s="2">
        <f t="shared" si="32"/>
        <v>22.088285340117039</v>
      </c>
      <c r="AC71" s="2">
        <f t="shared" si="4"/>
        <v>20.619202048381396</v>
      </c>
      <c r="AD71" s="2">
        <f t="shared" si="5"/>
        <v>22.309168193518211</v>
      </c>
      <c r="AE71" s="2">
        <f t="shared" si="6"/>
        <v>20.825394068865211</v>
      </c>
      <c r="AF71" s="2">
        <f t="shared" si="7"/>
        <v>22.532259875453395</v>
      </c>
      <c r="AG71" s="2">
        <f t="shared" si="8"/>
        <v>21.033648009553865</v>
      </c>
      <c r="AH71" s="2">
        <f t="shared" si="9"/>
        <v>22.757582474207929</v>
      </c>
    </row>
    <row r="72" spans="1:34">
      <c r="A72" t="s">
        <v>22</v>
      </c>
      <c r="B72" t="s">
        <v>8</v>
      </c>
      <c r="C72" s="67">
        <f>VLOOKUP($B72,Elec!$R$41:$S$51,2,0)/SUM(Elec!$S$41:$S$51)/2*Cattle!AA$153</f>
        <v>0.8925007732507213</v>
      </c>
      <c r="D72" s="67">
        <f>VLOOKUP($B72,Elec!$R$41:$S$51,2,0)/SUM(Elec!$S$41:$S$51)/2*Cattle!AB$153</f>
        <v>0.96565084412946067</v>
      </c>
      <c r="E72" s="2">
        <f t="shared" si="34"/>
        <v>0.90142578098322856</v>
      </c>
      <c r="F72" s="2">
        <f t="shared" si="10"/>
        <v>0.97530735257075529</v>
      </c>
      <c r="G72" s="2">
        <f t="shared" si="11"/>
        <v>0.9104400387930609</v>
      </c>
      <c r="H72" s="2">
        <f t="shared" si="12"/>
        <v>0.98506042609646283</v>
      </c>
      <c r="I72" s="2">
        <f t="shared" si="13"/>
        <v>0.91954443918099149</v>
      </c>
      <c r="J72" s="2">
        <f t="shared" si="14"/>
        <v>0.99491103035742745</v>
      </c>
      <c r="K72" s="2">
        <f t="shared" si="15"/>
        <v>0.92873988357280146</v>
      </c>
      <c r="L72" s="2">
        <f t="shared" si="16"/>
        <v>1.0048601406610018</v>
      </c>
      <c r="M72" s="2">
        <f t="shared" si="17"/>
        <v>0.93802728240852951</v>
      </c>
      <c r="N72" s="2">
        <f t="shared" si="18"/>
        <v>1.0149087420676119</v>
      </c>
      <c r="O72" s="2">
        <f t="shared" si="19"/>
        <v>0.94740755523261477</v>
      </c>
      <c r="P72" s="2">
        <f t="shared" si="20"/>
        <v>1.0250578294882882</v>
      </c>
      <c r="Q72" s="2">
        <f t="shared" si="21"/>
        <v>0.95688163078494093</v>
      </c>
      <c r="R72" s="2">
        <f t="shared" si="22"/>
        <v>1.0353084077831711</v>
      </c>
      <c r="S72" s="2">
        <f t="shared" si="23"/>
        <v>0.96645044709279038</v>
      </c>
      <c r="T72" s="2">
        <f t="shared" si="24"/>
        <v>1.0456614918610028</v>
      </c>
      <c r="U72" s="2">
        <f t="shared" si="25"/>
        <v>0.9761149515637183</v>
      </c>
      <c r="V72" s="2">
        <f t="shared" si="26"/>
        <v>1.0561181067796128</v>
      </c>
      <c r="W72" s="2">
        <f t="shared" si="27"/>
        <v>0.98587610107935553</v>
      </c>
      <c r="X72" s="2">
        <f t="shared" si="28"/>
        <v>1.066679287847409</v>
      </c>
      <c r="Y72" s="2">
        <f t="shared" si="29"/>
        <v>0.99573486209014905</v>
      </c>
      <c r="Z72" s="2">
        <f t="shared" si="30"/>
        <v>1.077346080725883</v>
      </c>
      <c r="AA72" s="2">
        <f t="shared" si="31"/>
        <v>1.0056922107110506</v>
      </c>
      <c r="AB72" s="2">
        <f t="shared" si="32"/>
        <v>1.0881195415331419</v>
      </c>
      <c r="AC72" s="2">
        <f t="shared" si="4"/>
        <v>1.0157491328181611</v>
      </c>
      <c r="AD72" s="2">
        <f t="shared" si="5"/>
        <v>1.0990007369484733</v>
      </c>
      <c r="AE72" s="2">
        <f t="shared" si="6"/>
        <v>1.0259066241463428</v>
      </c>
      <c r="AF72" s="2">
        <f t="shared" si="7"/>
        <v>1.109990744317958</v>
      </c>
      <c r="AG72" s="2">
        <f t="shared" si="8"/>
        <v>1.0361656903878063</v>
      </c>
      <c r="AH72" s="2">
        <f t="shared" si="9"/>
        <v>1.1210906517611376</v>
      </c>
    </row>
    <row r="73" spans="1:34">
      <c r="A73" t="s">
        <v>22</v>
      </c>
      <c r="B73" t="s">
        <v>9</v>
      </c>
      <c r="C73" s="67">
        <f>VLOOKUP($B73,Elec!$R$41:$S$51,2,0)/SUM(Elec!$S$41:$S$51)/2*Cattle!AA$153</f>
        <v>0.39074660719434573</v>
      </c>
      <c r="D73" s="67">
        <f>VLOOKUP($B73,Elec!$R$41:$S$51,2,0)/SUM(Elec!$S$41:$S$51)/2*Cattle!AB$153</f>
        <v>0.42277250887259976</v>
      </c>
      <c r="E73" s="2">
        <f t="shared" si="34"/>
        <v>0.39465407326628921</v>
      </c>
      <c r="F73" s="2">
        <f t="shared" si="10"/>
        <v>0.42700023396132575</v>
      </c>
      <c r="G73" s="2">
        <f t="shared" si="11"/>
        <v>0.39860061399895208</v>
      </c>
      <c r="H73" s="2">
        <f t="shared" si="12"/>
        <v>0.43127023630093902</v>
      </c>
      <c r="I73" s="2">
        <f t="shared" si="13"/>
        <v>0.40258662013894159</v>
      </c>
      <c r="J73" s="2">
        <f t="shared" si="14"/>
        <v>0.43558293866394843</v>
      </c>
      <c r="K73" s="2">
        <f t="shared" si="15"/>
        <v>0.40661248634033098</v>
      </c>
      <c r="L73" s="2">
        <f t="shared" si="16"/>
        <v>0.4399387680505879</v>
      </c>
      <c r="M73" s="2">
        <f t="shared" si="17"/>
        <v>0.41067861120373428</v>
      </c>
      <c r="N73" s="2">
        <f t="shared" si="18"/>
        <v>0.44433815573109381</v>
      </c>
      <c r="O73" s="2">
        <f t="shared" si="19"/>
        <v>0.41478539731577163</v>
      </c>
      <c r="P73" s="2">
        <f t="shared" si="20"/>
        <v>0.44878153728840475</v>
      </c>
      <c r="Q73" s="2">
        <f t="shared" si="21"/>
        <v>0.41893325128892933</v>
      </c>
      <c r="R73" s="2">
        <f t="shared" si="22"/>
        <v>0.45326935266128882</v>
      </c>
      <c r="S73" s="2">
        <f t="shared" si="23"/>
        <v>0.42312258380181861</v>
      </c>
      <c r="T73" s="2">
        <f t="shared" si="24"/>
        <v>0.45780204618790171</v>
      </c>
      <c r="U73" s="2">
        <f t="shared" si="25"/>
        <v>0.42735380963983682</v>
      </c>
      <c r="V73" s="2">
        <f t="shared" si="26"/>
        <v>0.46238006664978071</v>
      </c>
      <c r="W73" s="2">
        <f t="shared" si="27"/>
        <v>0.43162734773623518</v>
      </c>
      <c r="X73" s="2">
        <f t="shared" si="28"/>
        <v>0.46700386731627852</v>
      </c>
      <c r="Y73" s="2">
        <f t="shared" si="29"/>
        <v>0.43594362121359753</v>
      </c>
      <c r="Z73" s="2">
        <f t="shared" si="30"/>
        <v>0.47167390598944131</v>
      </c>
      <c r="AA73" s="2">
        <f t="shared" si="31"/>
        <v>0.4403030574257335</v>
      </c>
      <c r="AB73" s="2">
        <f t="shared" si="32"/>
        <v>0.4763906450493357</v>
      </c>
      <c r="AC73" s="2">
        <f t="shared" si="4"/>
        <v>0.44470608799999084</v>
      </c>
      <c r="AD73" s="2">
        <f t="shared" si="5"/>
        <v>0.48115455149982905</v>
      </c>
      <c r="AE73" s="2">
        <f t="shared" si="6"/>
        <v>0.44915314887999075</v>
      </c>
      <c r="AF73" s="2">
        <f t="shared" si="7"/>
        <v>0.48596609701482735</v>
      </c>
      <c r="AG73" s="2">
        <f t="shared" si="8"/>
        <v>0.45364468036879069</v>
      </c>
      <c r="AH73" s="2">
        <f t="shared" si="9"/>
        <v>0.49082575798497563</v>
      </c>
    </row>
    <row r="74" spans="1:34">
      <c r="A74" t="s">
        <v>22</v>
      </c>
      <c r="B74" t="s">
        <v>10</v>
      </c>
      <c r="C74" s="67">
        <f>VLOOKUP($B74,Elec!$R$41:$S$51,2,0)/SUM(Elec!$S$41:$S$51)/2*Cattle!AA$153</f>
        <v>0.36321673259656223</v>
      </c>
      <c r="D74" s="67">
        <f>VLOOKUP($B74,Elec!$R$41:$S$51,2,0)/SUM(Elec!$S$41:$S$51)/2*Cattle!AB$153</f>
        <v>0.39298626392930297</v>
      </c>
      <c r="E74" s="2">
        <f t="shared" si="34"/>
        <v>0.36684889992252784</v>
      </c>
      <c r="F74" s="2">
        <f t="shared" si="10"/>
        <v>0.39691612656859598</v>
      </c>
      <c r="G74" s="2">
        <f t="shared" si="11"/>
        <v>0.37051738892175312</v>
      </c>
      <c r="H74" s="2">
        <f t="shared" si="12"/>
        <v>0.40088528783428196</v>
      </c>
      <c r="I74" s="2">
        <f t="shared" si="13"/>
        <v>0.37422256281097066</v>
      </c>
      <c r="J74" s="2">
        <f t="shared" si="14"/>
        <v>0.40489414071262481</v>
      </c>
      <c r="K74" s="2">
        <f t="shared" si="15"/>
        <v>0.37796478843908038</v>
      </c>
      <c r="L74" s="2">
        <f t="shared" si="16"/>
        <v>0.40894308211975106</v>
      </c>
      <c r="M74" s="2">
        <f t="shared" si="17"/>
        <v>0.38174443632347116</v>
      </c>
      <c r="N74" s="2">
        <f t="shared" si="18"/>
        <v>0.41303251294094856</v>
      </c>
      <c r="O74" s="2">
        <f t="shared" si="19"/>
        <v>0.38556188068670588</v>
      </c>
      <c r="P74" s="2">
        <f t="shared" si="20"/>
        <v>0.41716283807035803</v>
      </c>
      <c r="Q74" s="2">
        <f t="shared" si="21"/>
        <v>0.38941749949357296</v>
      </c>
      <c r="R74" s="2">
        <f t="shared" si="22"/>
        <v>0.4213344664510616</v>
      </c>
      <c r="S74" s="2">
        <f t="shared" si="23"/>
        <v>0.39331167448850868</v>
      </c>
      <c r="T74" s="2">
        <f t="shared" si="24"/>
        <v>0.42554781111557222</v>
      </c>
      <c r="U74" s="2">
        <f t="shared" si="25"/>
        <v>0.39724479123339379</v>
      </c>
      <c r="V74" s="2">
        <f t="shared" si="26"/>
        <v>0.42980328922672795</v>
      </c>
      <c r="W74" s="2">
        <f t="shared" si="27"/>
        <v>0.40121723914572771</v>
      </c>
      <c r="X74" s="2">
        <f t="shared" si="28"/>
        <v>0.43410132211899521</v>
      </c>
      <c r="Y74" s="2">
        <f t="shared" si="29"/>
        <v>0.405229411537185</v>
      </c>
      <c r="Z74" s="2">
        <f t="shared" si="30"/>
        <v>0.43844233534018517</v>
      </c>
      <c r="AA74" s="2">
        <f t="shared" si="31"/>
        <v>0.40928170565255684</v>
      </c>
      <c r="AB74" s="2">
        <f t="shared" si="32"/>
        <v>0.44282675869358701</v>
      </c>
      <c r="AC74" s="2">
        <f t="shared" si="4"/>
        <v>0.41337452270908243</v>
      </c>
      <c r="AD74" s="2">
        <f t="shared" si="5"/>
        <v>0.44725502628052288</v>
      </c>
      <c r="AE74" s="2">
        <f t="shared" si="6"/>
        <v>0.41750826793617324</v>
      </c>
      <c r="AF74" s="2">
        <f t="shared" si="7"/>
        <v>0.45172757654332812</v>
      </c>
      <c r="AG74" s="2">
        <f t="shared" si="8"/>
        <v>0.42168335061553497</v>
      </c>
      <c r="AH74" s="2">
        <f t="shared" si="9"/>
        <v>0.45624485230876138</v>
      </c>
    </row>
    <row r="75" spans="1:34">
      <c r="A75" t="s">
        <v>22</v>
      </c>
      <c r="B75" t="s">
        <v>11</v>
      </c>
      <c r="C75" s="67">
        <f>VLOOKUP($B75,Elec!$R$41:$S$51,2,0)/SUM(Elec!$S$41:$S$51)/2*Cattle!AA$153</f>
        <v>0.20603002924792777</v>
      </c>
      <c r="D75" s="67">
        <f>VLOOKUP($B75,Elec!$R$41:$S$51,2,0)/SUM(Elec!$S$41:$S$51)/2*Cattle!AB$153</f>
        <v>0.22291641376918897</v>
      </c>
      <c r="E75" s="2">
        <f t="shared" si="34"/>
        <v>0.20809032954040704</v>
      </c>
      <c r="F75" s="2">
        <f t="shared" si="10"/>
        <v>0.22514557790688086</v>
      </c>
      <c r="G75" s="2">
        <f t="shared" si="11"/>
        <v>0.21017123283581113</v>
      </c>
      <c r="H75" s="2">
        <f t="shared" si="12"/>
        <v>0.22739703368594968</v>
      </c>
      <c r="I75" s="2">
        <f t="shared" si="13"/>
        <v>0.21227294516416925</v>
      </c>
      <c r="J75" s="2">
        <f t="shared" si="14"/>
        <v>0.22967100402280918</v>
      </c>
      <c r="K75" s="2">
        <f t="shared" si="15"/>
        <v>0.21439567461581094</v>
      </c>
      <c r="L75" s="2">
        <f t="shared" si="16"/>
        <v>0.23196771406303729</v>
      </c>
      <c r="M75" s="2">
        <f t="shared" si="17"/>
        <v>0.21653963136196905</v>
      </c>
      <c r="N75" s="2">
        <f t="shared" si="18"/>
        <v>0.23428739120366768</v>
      </c>
      <c r="O75" s="2">
        <f t="shared" si="19"/>
        <v>0.21870502767558875</v>
      </c>
      <c r="P75" s="2">
        <f t="shared" si="20"/>
        <v>0.23663026511570437</v>
      </c>
      <c r="Q75" s="2">
        <f t="shared" si="21"/>
        <v>0.22089207795234464</v>
      </c>
      <c r="R75" s="2">
        <f t="shared" si="22"/>
        <v>0.23899656776686143</v>
      </c>
      <c r="S75" s="2">
        <f t="shared" si="23"/>
        <v>0.22310099873186809</v>
      </c>
      <c r="T75" s="2">
        <f t="shared" si="24"/>
        <v>0.24138653344453004</v>
      </c>
      <c r="U75" s="2">
        <f t="shared" si="25"/>
        <v>0.22533200871918677</v>
      </c>
      <c r="V75" s="2">
        <f t="shared" si="26"/>
        <v>0.24380039877897533</v>
      </c>
      <c r="W75" s="2">
        <f t="shared" si="27"/>
        <v>0.22758532880637863</v>
      </c>
      <c r="X75" s="2">
        <f t="shared" si="28"/>
        <v>0.24623840276676509</v>
      </c>
      <c r="Y75" s="2">
        <f t="shared" si="29"/>
        <v>0.22986118209444242</v>
      </c>
      <c r="Z75" s="2">
        <f t="shared" si="30"/>
        <v>0.24870078679443275</v>
      </c>
      <c r="AA75" s="2">
        <f t="shared" si="31"/>
        <v>0.23215979391538685</v>
      </c>
      <c r="AB75" s="2">
        <f t="shared" si="32"/>
        <v>0.25118779466237706</v>
      </c>
      <c r="AC75" s="2">
        <f t="shared" ref="AC75:AC90" si="35">AA75*1.01</f>
        <v>0.23448139185454073</v>
      </c>
      <c r="AD75" s="2">
        <f t="shared" ref="AD75:AD90" si="36">AB75*1.01</f>
        <v>0.25369967260900084</v>
      </c>
      <c r="AE75" s="2">
        <f t="shared" ref="AE75:AE90" si="37">AC75*1.01</f>
        <v>0.23682620577308613</v>
      </c>
      <c r="AF75" s="2">
        <f t="shared" ref="AF75:AF90" si="38">AD75*1.01</f>
        <v>0.25623666933509087</v>
      </c>
      <c r="AG75" s="2">
        <f t="shared" ref="AG75:AG90" si="39">AE75*1.01</f>
        <v>0.23919446783081699</v>
      </c>
      <c r="AH75" s="2">
        <f t="shared" ref="AH75:AH90" si="40">AF75*1.01</f>
        <v>0.25879903602844179</v>
      </c>
    </row>
    <row r="76" spans="1:34">
      <c r="A76" t="s">
        <v>22</v>
      </c>
      <c r="B76" t="s">
        <v>12</v>
      </c>
      <c r="C76" s="67">
        <f>VLOOKUP($B76,Elec!$R$41:$S$51,2,0)/SUM(Elec!$S$41:$S$51)/2*Cattle!AA$153</f>
        <v>29.920533385436126</v>
      </c>
      <c r="D76" s="67">
        <f>VLOOKUP($B76,Elec!$R$41:$S$51,2,0)/SUM(Elec!$S$41:$S$51)/2*Cattle!AB$153</f>
        <v>32.37284402030825</v>
      </c>
      <c r="E76" s="2">
        <f t="shared" si="34"/>
        <v>30.219738719290486</v>
      </c>
      <c r="F76" s="2">
        <f t="shared" ref="F76:F90" si="41">D76*1.01</f>
        <v>32.696572460511334</v>
      </c>
      <c r="G76" s="2">
        <f t="shared" ref="G76:G90" si="42">E76*1.01</f>
        <v>30.521936106483391</v>
      </c>
      <c r="H76" s="2">
        <f t="shared" ref="H76:H90" si="43">F76*1.01</f>
        <v>33.02353818511645</v>
      </c>
      <c r="I76" s="2">
        <f t="shared" ref="I76:I90" si="44">G76*1.01</f>
        <v>30.827155467548227</v>
      </c>
      <c r="J76" s="2">
        <f t="shared" ref="J76:J90" si="45">H76*1.01</f>
        <v>33.353773566967618</v>
      </c>
      <c r="K76" s="2">
        <f t="shared" ref="K76:K90" si="46">I76*1.01</f>
        <v>31.135427022223709</v>
      </c>
      <c r="L76" s="2">
        <f t="shared" ref="L76:L90" si="47">J76*1.01</f>
        <v>33.687311302637298</v>
      </c>
      <c r="M76" s="2">
        <f t="shared" ref="M76:M90" si="48">K76*1.01</f>
        <v>31.446781292445948</v>
      </c>
      <c r="N76" s="2">
        <f t="shared" ref="N76:N90" si="49">L76*1.01</f>
        <v>34.024184415663669</v>
      </c>
      <c r="O76" s="2">
        <f t="shared" ref="O76:O90" si="50">M76*1.01</f>
        <v>31.761249105370407</v>
      </c>
      <c r="P76" s="2">
        <f t="shared" ref="P76:P90" si="51">N76*1.01</f>
        <v>34.364426259820306</v>
      </c>
      <c r="Q76" s="2">
        <f t="shared" ref="Q76:Q90" si="52">O76*1.01</f>
        <v>32.078861596424112</v>
      </c>
      <c r="R76" s="2">
        <f t="shared" ref="R76:R90" si="53">P76*1.01</f>
        <v>34.70807052241851</v>
      </c>
      <c r="S76" s="2">
        <f t="shared" ref="S76:S90" si="54">Q76*1.01</f>
        <v>32.399650212388352</v>
      </c>
      <c r="T76" s="2">
        <f t="shared" ref="T76:T90" si="55">R76*1.01</f>
        <v>35.055151227642696</v>
      </c>
      <c r="U76" s="2">
        <f t="shared" ref="U76:U90" si="56">S76*1.01</f>
        <v>32.723646714512235</v>
      </c>
      <c r="V76" s="2">
        <f t="shared" ref="V76:V90" si="57">T76*1.01</f>
        <v>35.405702739919121</v>
      </c>
      <c r="W76" s="2">
        <f t="shared" ref="W76:W90" si="58">U76*1.01</f>
        <v>33.050883181657355</v>
      </c>
      <c r="X76" s="2">
        <f t="shared" ref="X76:X90" si="59">V76*1.01</f>
        <v>35.759759767318315</v>
      </c>
      <c r="Y76" s="2">
        <f t="shared" ref="Y76:Y90" si="60">W76*1.01</f>
        <v>33.381392013473928</v>
      </c>
      <c r="Z76" s="2">
        <f t="shared" ref="Z76:Z90" si="61">X76*1.01</f>
        <v>36.117357364991499</v>
      </c>
      <c r="AA76" s="2">
        <f t="shared" ref="AA76:AA90" si="62">Y76*1.01</f>
        <v>33.715205933608665</v>
      </c>
      <c r="AB76" s="2">
        <f t="shared" ref="AB76:AB90" si="63">Z76*1.01</f>
        <v>36.478530938641413</v>
      </c>
      <c r="AC76" s="2">
        <f t="shared" si="35"/>
        <v>34.052357992944749</v>
      </c>
      <c r="AD76" s="2">
        <f t="shared" si="36"/>
        <v>36.843316248027826</v>
      </c>
      <c r="AE76" s="2">
        <f t="shared" si="37"/>
        <v>34.392881572874195</v>
      </c>
      <c r="AF76" s="2">
        <f t="shared" si="38"/>
        <v>37.211749410508105</v>
      </c>
      <c r="AG76" s="2">
        <f t="shared" si="39"/>
        <v>34.73681038860294</v>
      </c>
      <c r="AH76" s="2">
        <f t="shared" si="40"/>
        <v>37.583866904613188</v>
      </c>
    </row>
    <row r="77" spans="1:34">
      <c r="A77" t="s">
        <v>22</v>
      </c>
      <c r="B77" t="s">
        <v>13</v>
      </c>
      <c r="C77" s="67">
        <f>VLOOKUP($B77,Elec!$R$41:$S$51,2,0)/SUM(Elec!$S$41:$S$51)/2*Cattle!AA$153</f>
        <v>4.8425937477971983</v>
      </c>
      <c r="D77" s="67">
        <f>VLOOKUP($B77,Elec!$R$41:$S$51,2,0)/SUM(Elec!$S$41:$S$51)/2*Cattle!AB$153</f>
        <v>5.2394965701870149</v>
      </c>
      <c r="E77" s="2">
        <f t="shared" si="34"/>
        <v>4.8910196852751699</v>
      </c>
      <c r="F77" s="2">
        <f t="shared" si="41"/>
        <v>5.2918915358888849</v>
      </c>
      <c r="G77" s="2">
        <f t="shared" si="42"/>
        <v>4.9399298821279221</v>
      </c>
      <c r="H77" s="2">
        <f t="shared" si="43"/>
        <v>5.3448104512477741</v>
      </c>
      <c r="I77" s="2">
        <f t="shared" si="44"/>
        <v>4.9893291809492011</v>
      </c>
      <c r="J77" s="2">
        <f t="shared" si="45"/>
        <v>5.3982585557602523</v>
      </c>
      <c r="K77" s="2">
        <f t="shared" si="46"/>
        <v>5.0392224727586932</v>
      </c>
      <c r="L77" s="2">
        <f t="shared" si="47"/>
        <v>5.4522411413178551</v>
      </c>
      <c r="M77" s="2">
        <f t="shared" si="48"/>
        <v>5.0896146974862804</v>
      </c>
      <c r="N77" s="2">
        <f t="shared" si="49"/>
        <v>5.5067635527310337</v>
      </c>
      <c r="O77" s="2">
        <f t="shared" si="50"/>
        <v>5.1405108444611436</v>
      </c>
      <c r="P77" s="2">
        <f t="shared" si="51"/>
        <v>5.5618311882583438</v>
      </c>
      <c r="Q77" s="2">
        <f t="shared" si="52"/>
        <v>5.191915952905755</v>
      </c>
      <c r="R77" s="2">
        <f t="shared" si="53"/>
        <v>5.6174495001409275</v>
      </c>
      <c r="S77" s="2">
        <f t="shared" si="54"/>
        <v>5.2438351124348124</v>
      </c>
      <c r="T77" s="2">
        <f t="shared" si="55"/>
        <v>5.6736239951423366</v>
      </c>
      <c r="U77" s="2">
        <f t="shared" si="56"/>
        <v>5.2962734635591602</v>
      </c>
      <c r="V77" s="2">
        <f t="shared" si="57"/>
        <v>5.7303602350937597</v>
      </c>
      <c r="W77" s="2">
        <f t="shared" si="58"/>
        <v>5.3492361981947516</v>
      </c>
      <c r="X77" s="2">
        <f t="shared" si="59"/>
        <v>5.7876638374446969</v>
      </c>
      <c r="Y77" s="2">
        <f t="shared" si="60"/>
        <v>5.4027285601766994</v>
      </c>
      <c r="Z77" s="2">
        <f t="shared" si="61"/>
        <v>5.8455404758191438</v>
      </c>
      <c r="AA77" s="2">
        <f t="shared" si="62"/>
        <v>5.4567558457784662</v>
      </c>
      <c r="AB77" s="2">
        <f t="shared" si="63"/>
        <v>5.9039958805773356</v>
      </c>
      <c r="AC77" s="2">
        <f t="shared" si="35"/>
        <v>5.5113234042362507</v>
      </c>
      <c r="AD77" s="2">
        <f t="shared" si="36"/>
        <v>5.9630358393831093</v>
      </c>
      <c r="AE77" s="2">
        <f t="shared" si="37"/>
        <v>5.5664366382786135</v>
      </c>
      <c r="AF77" s="2">
        <f t="shared" si="38"/>
        <v>6.0226661977769407</v>
      </c>
      <c r="AG77" s="2">
        <f t="shared" si="39"/>
        <v>5.6221010046613999</v>
      </c>
      <c r="AH77" s="2">
        <f t="shared" si="40"/>
        <v>6.0828928597547103</v>
      </c>
    </row>
    <row r="78" spans="1:34">
      <c r="A78" t="s">
        <v>22</v>
      </c>
      <c r="B78" t="s">
        <v>19</v>
      </c>
      <c r="C78" s="67">
        <f>VLOOKUP($B78,Elec!$R$41:$S$51,2,0)/SUM(Elec!$S$41:$S$51)/2*Cattle!AA$153</f>
        <v>16.230193166099689</v>
      </c>
      <c r="D78" s="67">
        <f>VLOOKUP($B78,Elec!$R$41:$S$51,2,0)/SUM(Elec!$S$41:$S$51)/2*Cattle!AB$153</f>
        <v>17.560432663990074</v>
      </c>
      <c r="E78" s="2">
        <f t="shared" si="34"/>
        <v>16.392495097760687</v>
      </c>
      <c r="F78" s="2">
        <f t="shared" si="41"/>
        <v>17.736036990629977</v>
      </c>
      <c r="G78" s="2">
        <f t="shared" si="42"/>
        <v>16.556420048738293</v>
      </c>
      <c r="H78" s="2">
        <f t="shared" si="43"/>
        <v>17.913397360536276</v>
      </c>
      <c r="I78" s="2">
        <f t="shared" si="44"/>
        <v>16.721984249225677</v>
      </c>
      <c r="J78" s="2">
        <f t="shared" si="45"/>
        <v>18.09253133414164</v>
      </c>
      <c r="K78" s="2">
        <f t="shared" si="46"/>
        <v>16.889204091717936</v>
      </c>
      <c r="L78" s="2">
        <f t="shared" si="47"/>
        <v>18.273456647483055</v>
      </c>
      <c r="M78" s="2">
        <f t="shared" si="48"/>
        <v>17.058096132635114</v>
      </c>
      <c r="N78" s="2">
        <f t="shared" si="49"/>
        <v>18.456191213957887</v>
      </c>
      <c r="O78" s="2">
        <f t="shared" si="50"/>
        <v>17.228677093961466</v>
      </c>
      <c r="P78" s="2">
        <f t="shared" si="51"/>
        <v>18.640753126097465</v>
      </c>
      <c r="Q78" s="2">
        <f t="shared" si="52"/>
        <v>17.40096386490108</v>
      </c>
      <c r="R78" s="2">
        <f t="shared" si="53"/>
        <v>18.827160657358441</v>
      </c>
      <c r="S78" s="2">
        <f t="shared" si="54"/>
        <v>17.57497350355009</v>
      </c>
      <c r="T78" s="2">
        <f t="shared" si="55"/>
        <v>19.015432263932027</v>
      </c>
      <c r="U78" s="2">
        <f t="shared" si="56"/>
        <v>17.750723238585593</v>
      </c>
      <c r="V78" s="2">
        <f t="shared" si="57"/>
        <v>19.205586586571346</v>
      </c>
      <c r="W78" s="2">
        <f t="shared" si="58"/>
        <v>17.92823047097145</v>
      </c>
      <c r="X78" s="2">
        <f t="shared" si="59"/>
        <v>19.397642452437061</v>
      </c>
      <c r="Y78" s="2">
        <f t="shared" si="60"/>
        <v>18.107512775681165</v>
      </c>
      <c r="Z78" s="2">
        <f t="shared" si="61"/>
        <v>19.591618876961434</v>
      </c>
      <c r="AA78" s="2">
        <f t="shared" si="62"/>
        <v>18.288587903437978</v>
      </c>
      <c r="AB78" s="2">
        <f t="shared" si="63"/>
        <v>19.787535065731049</v>
      </c>
      <c r="AC78" s="2">
        <f t="shared" si="35"/>
        <v>18.471473782472358</v>
      </c>
      <c r="AD78" s="2">
        <f t="shared" si="36"/>
        <v>19.985410416388358</v>
      </c>
      <c r="AE78" s="2">
        <f t="shared" si="37"/>
        <v>18.656188520297082</v>
      </c>
      <c r="AF78" s="2">
        <f t="shared" si="38"/>
        <v>20.185264520552241</v>
      </c>
      <c r="AG78" s="2">
        <f t="shared" si="39"/>
        <v>18.842750405500052</v>
      </c>
      <c r="AH78" s="2">
        <f t="shared" si="40"/>
        <v>20.387117165757765</v>
      </c>
    </row>
    <row r="79" spans="1:34">
      <c r="A79" t="s">
        <v>22</v>
      </c>
      <c r="B79" t="s">
        <v>14</v>
      </c>
      <c r="C79" s="67">
        <f>VLOOKUP($B79,Elec!$R$41:$S$51,2,0)/SUM(Elec!$S$41:$S$51)/2*Cattle!AA$153</f>
        <v>4.4900337408513904</v>
      </c>
      <c r="D79" s="67">
        <f>VLOOKUP($B79,Elec!$R$41:$S$51,2,0)/SUM(Elec!$S$41:$S$51)/2*Cattle!AB$153</f>
        <v>4.8580404655906007</v>
      </c>
      <c r="E79" s="2">
        <f t="shared" si="34"/>
        <v>4.5349340782599041</v>
      </c>
      <c r="F79" s="2">
        <f t="shared" si="41"/>
        <v>4.9066208702465071</v>
      </c>
      <c r="G79" s="2">
        <f t="shared" si="42"/>
        <v>4.5802834190425035</v>
      </c>
      <c r="H79" s="2">
        <f t="shared" si="43"/>
        <v>4.955687078948972</v>
      </c>
      <c r="I79" s="2">
        <f t="shared" si="44"/>
        <v>4.6260862532329288</v>
      </c>
      <c r="J79" s="2">
        <f t="shared" si="45"/>
        <v>5.0052439497384613</v>
      </c>
      <c r="K79" s="2">
        <f t="shared" si="46"/>
        <v>4.6723471157652581</v>
      </c>
      <c r="L79" s="2">
        <f t="shared" si="47"/>
        <v>5.0552963892358456</v>
      </c>
      <c r="M79" s="2">
        <f t="shared" si="48"/>
        <v>4.7190705869229106</v>
      </c>
      <c r="N79" s="2">
        <f t="shared" si="49"/>
        <v>5.1058493531282041</v>
      </c>
      <c r="O79" s="2">
        <f t="shared" si="50"/>
        <v>4.7662612927921399</v>
      </c>
      <c r="P79" s="2">
        <f t="shared" si="51"/>
        <v>5.156907846659486</v>
      </c>
      <c r="Q79" s="2">
        <f t="shared" si="52"/>
        <v>4.8139239057200616</v>
      </c>
      <c r="R79" s="2">
        <f t="shared" si="53"/>
        <v>5.2084769251260807</v>
      </c>
      <c r="S79" s="2">
        <f t="shared" si="54"/>
        <v>4.8620631447772622</v>
      </c>
      <c r="T79" s="2">
        <f t="shared" si="55"/>
        <v>5.2605616943773414</v>
      </c>
      <c r="U79" s="2">
        <f t="shared" si="56"/>
        <v>4.910683776225035</v>
      </c>
      <c r="V79" s="2">
        <f t="shared" si="57"/>
        <v>5.3131673113211146</v>
      </c>
      <c r="W79" s="2">
        <f t="shared" si="58"/>
        <v>4.9597906139872858</v>
      </c>
      <c r="X79" s="2">
        <f t="shared" si="59"/>
        <v>5.3662989844343256</v>
      </c>
      <c r="Y79" s="2">
        <f t="shared" si="60"/>
        <v>5.0093885201271586</v>
      </c>
      <c r="Z79" s="2">
        <f t="shared" si="61"/>
        <v>5.4199619742786691</v>
      </c>
      <c r="AA79" s="2">
        <f t="shared" si="62"/>
        <v>5.0594824053284304</v>
      </c>
      <c r="AB79" s="2">
        <f t="shared" si="63"/>
        <v>5.4741615940214556</v>
      </c>
      <c r="AC79" s="2">
        <f t="shared" si="35"/>
        <v>5.1100772293817149</v>
      </c>
      <c r="AD79" s="2">
        <f t="shared" si="36"/>
        <v>5.52890320996167</v>
      </c>
      <c r="AE79" s="2">
        <f t="shared" si="37"/>
        <v>5.1611780016755322</v>
      </c>
      <c r="AF79" s="2">
        <f t="shared" si="38"/>
        <v>5.5841922420612864</v>
      </c>
      <c r="AG79" s="2">
        <f t="shared" si="39"/>
        <v>5.2127897816922877</v>
      </c>
      <c r="AH79" s="2">
        <f t="shared" si="40"/>
        <v>5.6400341644818992</v>
      </c>
    </row>
    <row r="80" spans="1:34">
      <c r="A80" t="s">
        <v>23</v>
      </c>
      <c r="B80" t="s">
        <v>5</v>
      </c>
      <c r="C80" s="67">
        <f>VLOOKUP($B80,Elec!$R$41:$S$51,2,0)/SUM(Elec!$S$41:$S$51)/2*Cattle!AA$173</f>
        <v>3.1827676526795887</v>
      </c>
      <c r="D80" s="67">
        <f>VLOOKUP($B80,Elec!$R$41:$S$51,2,0)/SUM(Elec!$S$41:$S$51)/2*Cattle!AB$173</f>
        <v>3.3289481123362941</v>
      </c>
      <c r="E80" s="2">
        <f t="shared" si="34"/>
        <v>3.2145953292063845</v>
      </c>
      <c r="F80" s="2">
        <f t="shared" si="41"/>
        <v>3.3622375934596569</v>
      </c>
      <c r="G80" s="2">
        <f t="shared" si="42"/>
        <v>3.2467412824984483</v>
      </c>
      <c r="H80" s="2">
        <f t="shared" si="43"/>
        <v>3.3958599693942535</v>
      </c>
      <c r="I80" s="2">
        <f t="shared" si="44"/>
        <v>3.2792086953234327</v>
      </c>
      <c r="J80" s="2">
        <f t="shared" si="45"/>
        <v>3.4298185690881962</v>
      </c>
      <c r="K80" s="2">
        <f t="shared" si="46"/>
        <v>3.3120007822766673</v>
      </c>
      <c r="L80" s="2">
        <f t="shared" si="47"/>
        <v>3.4641167547790781</v>
      </c>
      <c r="M80" s="2">
        <f t="shared" si="48"/>
        <v>3.345120790099434</v>
      </c>
      <c r="N80" s="2">
        <f t="shared" si="49"/>
        <v>3.498757922326869</v>
      </c>
      <c r="O80" s="2">
        <f t="shared" si="50"/>
        <v>3.3785719980004285</v>
      </c>
      <c r="P80" s="2">
        <f t="shared" si="51"/>
        <v>3.5337455015501376</v>
      </c>
      <c r="Q80" s="2">
        <f t="shared" si="52"/>
        <v>3.412357717980433</v>
      </c>
      <c r="R80" s="2">
        <f t="shared" si="53"/>
        <v>3.569082956565639</v>
      </c>
      <c r="S80" s="2">
        <f t="shared" si="54"/>
        <v>3.4464812951602375</v>
      </c>
      <c r="T80" s="2">
        <f t="shared" si="55"/>
        <v>3.6047737861312954</v>
      </c>
      <c r="U80" s="2">
        <f t="shared" si="56"/>
        <v>3.4809461081118398</v>
      </c>
      <c r="V80" s="2">
        <f t="shared" si="57"/>
        <v>3.6408215239926083</v>
      </c>
      <c r="W80" s="2">
        <f t="shared" si="58"/>
        <v>3.5157555691929581</v>
      </c>
      <c r="X80" s="2">
        <f t="shared" si="59"/>
        <v>3.6772297392325344</v>
      </c>
      <c r="Y80" s="2">
        <f t="shared" si="60"/>
        <v>3.5509131248848878</v>
      </c>
      <c r="Z80" s="2">
        <f t="shared" si="61"/>
        <v>3.7140020366248598</v>
      </c>
      <c r="AA80" s="2">
        <f t="shared" si="62"/>
        <v>3.5864222561337367</v>
      </c>
      <c r="AB80" s="2">
        <f t="shared" si="63"/>
        <v>3.7511420569911085</v>
      </c>
      <c r="AC80" s="2">
        <f t="shared" si="35"/>
        <v>3.6222864786950741</v>
      </c>
      <c r="AD80" s="2">
        <f t="shared" si="36"/>
        <v>3.7886534775610197</v>
      </c>
      <c r="AE80" s="2">
        <f t="shared" si="37"/>
        <v>3.6585093434820251</v>
      </c>
      <c r="AF80" s="2">
        <f t="shared" si="38"/>
        <v>3.82654001233663</v>
      </c>
      <c r="AG80" s="2">
        <f t="shared" si="39"/>
        <v>3.6950944369168455</v>
      </c>
      <c r="AH80" s="2">
        <f t="shared" si="40"/>
        <v>3.8648054124599964</v>
      </c>
    </row>
    <row r="81" spans="1:34">
      <c r="A81" t="s">
        <v>23</v>
      </c>
      <c r="B81" t="s">
        <v>6</v>
      </c>
      <c r="C81" s="67">
        <f>VLOOKUP($B81,Elec!$R$41:$S$51,2,0)/SUM(Elec!$S$41:$S$51)/2*Cattle!AA$173</f>
        <v>1.675499133995396</v>
      </c>
      <c r="D81" s="67">
        <f>VLOOKUP($B81,Elec!$R$41:$S$51,2,0)/SUM(Elec!$S$41:$S$51)/2*Cattle!AB$173</f>
        <v>1.7524526726414404</v>
      </c>
      <c r="E81" s="2">
        <f t="shared" si="34"/>
        <v>1.69225412533535</v>
      </c>
      <c r="F81" s="2">
        <f t="shared" si="41"/>
        <v>1.7699771993678548</v>
      </c>
      <c r="G81" s="2">
        <f t="shared" si="42"/>
        <v>1.7091766665887036</v>
      </c>
      <c r="H81" s="2">
        <f t="shared" si="43"/>
        <v>1.7876769713615335</v>
      </c>
      <c r="I81" s="2">
        <f t="shared" si="44"/>
        <v>1.7262684332545906</v>
      </c>
      <c r="J81" s="2">
        <f t="shared" si="45"/>
        <v>1.8055537410751488</v>
      </c>
      <c r="K81" s="2">
        <f t="shared" si="46"/>
        <v>1.7435311175871364</v>
      </c>
      <c r="L81" s="2">
        <f t="shared" si="47"/>
        <v>1.8236092784859004</v>
      </c>
      <c r="M81" s="2">
        <f t="shared" si="48"/>
        <v>1.7609664287630078</v>
      </c>
      <c r="N81" s="2">
        <f t="shared" si="49"/>
        <v>1.8418453712707594</v>
      </c>
      <c r="O81" s="2">
        <f t="shared" si="50"/>
        <v>1.7785760930506378</v>
      </c>
      <c r="P81" s="2">
        <f t="shared" si="51"/>
        <v>1.8602638249834671</v>
      </c>
      <c r="Q81" s="2">
        <f t="shared" si="52"/>
        <v>1.7963618539811441</v>
      </c>
      <c r="R81" s="2">
        <f t="shared" si="53"/>
        <v>1.8788664632333019</v>
      </c>
      <c r="S81" s="2">
        <f t="shared" si="54"/>
        <v>1.8143254725209557</v>
      </c>
      <c r="T81" s="2">
        <f t="shared" si="55"/>
        <v>1.8976551278656348</v>
      </c>
      <c r="U81" s="2">
        <f t="shared" si="56"/>
        <v>1.8324687272461653</v>
      </c>
      <c r="V81" s="2">
        <f t="shared" si="57"/>
        <v>1.9166316791442912</v>
      </c>
      <c r="W81" s="2">
        <f t="shared" si="58"/>
        <v>1.8507934145186269</v>
      </c>
      <c r="X81" s="2">
        <f t="shared" si="59"/>
        <v>1.9357979959357341</v>
      </c>
      <c r="Y81" s="2">
        <f t="shared" si="60"/>
        <v>1.8693013486638133</v>
      </c>
      <c r="Z81" s="2">
        <f t="shared" si="61"/>
        <v>1.9551559758950914</v>
      </c>
      <c r="AA81" s="2">
        <f t="shared" si="62"/>
        <v>1.8879943621504514</v>
      </c>
      <c r="AB81" s="2">
        <f t="shared" si="63"/>
        <v>1.9747075356540422</v>
      </c>
      <c r="AC81" s="2">
        <f t="shared" si="35"/>
        <v>1.9068743057719559</v>
      </c>
      <c r="AD81" s="2">
        <f t="shared" si="36"/>
        <v>1.9944546110105827</v>
      </c>
      <c r="AE81" s="2">
        <f t="shared" si="37"/>
        <v>1.9259430488296756</v>
      </c>
      <c r="AF81" s="2">
        <f t="shared" si="38"/>
        <v>2.0143991571206885</v>
      </c>
      <c r="AG81" s="2">
        <f t="shared" si="39"/>
        <v>1.9452024793179723</v>
      </c>
      <c r="AH81" s="2">
        <f t="shared" si="40"/>
        <v>2.0345431486918955</v>
      </c>
    </row>
    <row r="82" spans="1:34">
      <c r="A82" t="s">
        <v>23</v>
      </c>
      <c r="B82" t="s">
        <v>7</v>
      </c>
      <c r="C82" s="67">
        <f>VLOOKUP($B82,Elec!$R$41:$S$51,2,0)/SUM(Elec!$S$41:$S$51)/2*Cattle!AA$173</f>
        <v>19.838570999791106</v>
      </c>
      <c r="D82" s="67">
        <f>VLOOKUP($B82,Elec!$R$41:$S$51,2,0)/SUM(Elec!$S$41:$S$51)/2*Cattle!AB$173</f>
        <v>20.749731267880456</v>
      </c>
      <c r="E82" s="2">
        <f t="shared" si="34"/>
        <v>20.036956709789017</v>
      </c>
      <c r="F82" s="2">
        <f t="shared" si="41"/>
        <v>20.95722858055926</v>
      </c>
      <c r="G82" s="2">
        <f t="shared" si="42"/>
        <v>20.237326276886908</v>
      </c>
      <c r="H82" s="2">
        <f t="shared" si="43"/>
        <v>21.166800866364852</v>
      </c>
      <c r="I82" s="2">
        <f t="shared" si="44"/>
        <v>20.439699539655777</v>
      </c>
      <c r="J82" s="2">
        <f t="shared" si="45"/>
        <v>21.378468875028499</v>
      </c>
      <c r="K82" s="2">
        <f t="shared" si="46"/>
        <v>20.644096535052334</v>
      </c>
      <c r="L82" s="2">
        <f t="shared" si="47"/>
        <v>21.592253563778783</v>
      </c>
      <c r="M82" s="2">
        <f t="shared" si="48"/>
        <v>20.850537500402858</v>
      </c>
      <c r="N82" s="2">
        <f t="shared" si="49"/>
        <v>21.808176099416571</v>
      </c>
      <c r="O82" s="2">
        <f t="shared" si="50"/>
        <v>21.059042875406888</v>
      </c>
      <c r="P82" s="2">
        <f t="shared" si="51"/>
        <v>22.026257860410738</v>
      </c>
      <c r="Q82" s="2">
        <f t="shared" si="52"/>
        <v>21.269633304160958</v>
      </c>
      <c r="R82" s="2">
        <f t="shared" si="53"/>
        <v>22.246520439014844</v>
      </c>
      <c r="S82" s="2">
        <f t="shared" si="54"/>
        <v>21.482329637202568</v>
      </c>
      <c r="T82" s="2">
        <f t="shared" si="55"/>
        <v>22.468985643404991</v>
      </c>
      <c r="U82" s="2">
        <f t="shared" si="56"/>
        <v>21.697152933574593</v>
      </c>
      <c r="V82" s="2">
        <f t="shared" si="57"/>
        <v>22.693675499839042</v>
      </c>
      <c r="W82" s="2">
        <f t="shared" si="58"/>
        <v>21.91412446291034</v>
      </c>
      <c r="X82" s="2">
        <f t="shared" si="59"/>
        <v>22.920612254837433</v>
      </c>
      <c r="Y82" s="2">
        <f t="shared" si="60"/>
        <v>22.133265707539444</v>
      </c>
      <c r="Z82" s="2">
        <f t="shared" si="61"/>
        <v>23.149818377385806</v>
      </c>
      <c r="AA82" s="2">
        <f t="shared" si="62"/>
        <v>22.354598364614837</v>
      </c>
      <c r="AB82" s="2">
        <f t="shared" si="63"/>
        <v>23.381316561159665</v>
      </c>
      <c r="AC82" s="2">
        <f t="shared" si="35"/>
        <v>22.578144348260984</v>
      </c>
      <c r="AD82" s="2">
        <f t="shared" si="36"/>
        <v>23.615129726771261</v>
      </c>
      <c r="AE82" s="2">
        <f t="shared" si="37"/>
        <v>22.803925791743595</v>
      </c>
      <c r="AF82" s="2">
        <f t="shared" si="38"/>
        <v>23.851281024038975</v>
      </c>
      <c r="AG82" s="2">
        <f t="shared" si="39"/>
        <v>23.031965049661032</v>
      </c>
      <c r="AH82" s="2">
        <f t="shared" si="40"/>
        <v>24.089793834279366</v>
      </c>
    </row>
    <row r="83" spans="1:34">
      <c r="A83" t="s">
        <v>23</v>
      </c>
      <c r="B83" t="s">
        <v>8</v>
      </c>
      <c r="C83" s="67">
        <f>VLOOKUP($B83,Elec!$R$41:$S$51,2,0)/SUM(Elec!$S$41:$S$51)/2*Cattle!AA$173</f>
        <v>0.97729345888878272</v>
      </c>
      <c r="D83" s="67">
        <f>VLOOKUP($B83,Elec!$R$41:$S$51,2,0)/SUM(Elec!$S$41:$S$51)/2*Cattle!AB$173</f>
        <v>1.0221793012215015</v>
      </c>
      <c r="E83" s="2">
        <f t="shared" si="34"/>
        <v>0.98706639347767056</v>
      </c>
      <c r="F83" s="2">
        <f t="shared" si="41"/>
        <v>1.0324010942337165</v>
      </c>
      <c r="G83" s="2">
        <f t="shared" si="42"/>
        <v>0.99693705741244731</v>
      </c>
      <c r="H83" s="2">
        <f t="shared" si="43"/>
        <v>1.0427251051760538</v>
      </c>
      <c r="I83" s="2">
        <f t="shared" si="44"/>
        <v>1.0069064279865718</v>
      </c>
      <c r="J83" s="2">
        <f t="shared" si="45"/>
        <v>1.0531523562278142</v>
      </c>
      <c r="K83" s="2">
        <f t="shared" si="46"/>
        <v>1.0169754922664376</v>
      </c>
      <c r="L83" s="2">
        <f t="shared" si="47"/>
        <v>1.0636838797900923</v>
      </c>
      <c r="M83" s="2">
        <f t="shared" si="48"/>
        <v>1.0271452471891021</v>
      </c>
      <c r="N83" s="2">
        <f t="shared" si="49"/>
        <v>1.0743207185879933</v>
      </c>
      <c r="O83" s="2">
        <f t="shared" si="50"/>
        <v>1.037416699660993</v>
      </c>
      <c r="P83" s="2">
        <f t="shared" si="51"/>
        <v>1.0850639257738732</v>
      </c>
      <c r="Q83" s="2">
        <f t="shared" si="52"/>
        <v>1.047790866657603</v>
      </c>
      <c r="R83" s="2">
        <f t="shared" si="53"/>
        <v>1.095914565031612</v>
      </c>
      <c r="S83" s="2">
        <f t="shared" si="54"/>
        <v>1.0582687753241791</v>
      </c>
      <c r="T83" s="2">
        <f t="shared" si="55"/>
        <v>1.1068737106819282</v>
      </c>
      <c r="U83" s="2">
        <f t="shared" si="56"/>
        <v>1.0688514630774208</v>
      </c>
      <c r="V83" s="2">
        <f t="shared" si="57"/>
        <v>1.1179424477887474</v>
      </c>
      <c r="W83" s="2">
        <f t="shared" si="58"/>
        <v>1.0795399777081951</v>
      </c>
      <c r="X83" s="2">
        <f t="shared" si="59"/>
        <v>1.129121872266635</v>
      </c>
      <c r="Y83" s="2">
        <f t="shared" si="60"/>
        <v>1.0903353774852771</v>
      </c>
      <c r="Z83" s="2">
        <f t="shared" si="61"/>
        <v>1.1404130909893013</v>
      </c>
      <c r="AA83" s="2">
        <f t="shared" si="62"/>
        <v>1.1012387312601299</v>
      </c>
      <c r="AB83" s="2">
        <f t="shared" si="63"/>
        <v>1.1518172218991944</v>
      </c>
      <c r="AC83" s="2">
        <f t="shared" si="35"/>
        <v>1.1122511185727313</v>
      </c>
      <c r="AD83" s="2">
        <f t="shared" si="36"/>
        <v>1.1633353941181863</v>
      </c>
      <c r="AE83" s="2">
        <f t="shared" si="37"/>
        <v>1.1233736297584587</v>
      </c>
      <c r="AF83" s="2">
        <f t="shared" si="38"/>
        <v>1.1749687480593682</v>
      </c>
      <c r="AG83" s="2">
        <f t="shared" si="39"/>
        <v>1.1346073660560432</v>
      </c>
      <c r="AH83" s="2">
        <f t="shared" si="40"/>
        <v>1.186718435539962</v>
      </c>
    </row>
    <row r="84" spans="1:34">
      <c r="A84" t="s">
        <v>23</v>
      </c>
      <c r="B84" t="s">
        <v>9</v>
      </c>
      <c r="C84" s="67">
        <f>VLOOKUP($B84,Elec!$R$41:$S$51,2,0)/SUM(Elec!$S$41:$S$51)/2*Cattle!AA$173</f>
        <v>0.42786977304583529</v>
      </c>
      <c r="D84" s="67">
        <f>VLOOKUP($B84,Elec!$R$41:$S$51,2,0)/SUM(Elec!$S$41:$S$51)/2*Cattle!AB$173</f>
        <v>0.44752128610692615</v>
      </c>
      <c r="E84" s="2">
        <f t="shared" si="34"/>
        <v>0.43214847077629365</v>
      </c>
      <c r="F84" s="2">
        <f t="shared" si="41"/>
        <v>0.45199649896799543</v>
      </c>
      <c r="G84" s="2">
        <f t="shared" si="42"/>
        <v>0.43646995548405659</v>
      </c>
      <c r="H84" s="2">
        <f t="shared" si="43"/>
        <v>0.45651646395767537</v>
      </c>
      <c r="I84" s="2">
        <f t="shared" si="44"/>
        <v>0.44083465503889718</v>
      </c>
      <c r="J84" s="2">
        <f t="shared" si="45"/>
        <v>0.4610816285972521</v>
      </c>
      <c r="K84" s="2">
        <f t="shared" si="46"/>
        <v>0.44524300158928615</v>
      </c>
      <c r="L84" s="2">
        <f t="shared" si="47"/>
        <v>0.46569244488322464</v>
      </c>
      <c r="M84" s="2">
        <f t="shared" si="48"/>
        <v>0.449695431605179</v>
      </c>
      <c r="N84" s="2">
        <f t="shared" si="49"/>
        <v>0.4703493693320569</v>
      </c>
      <c r="O84" s="2">
        <f t="shared" si="50"/>
        <v>0.45419238592123079</v>
      </c>
      <c r="P84" s="2">
        <f t="shared" si="51"/>
        <v>0.47505286302537747</v>
      </c>
      <c r="Q84" s="2">
        <f t="shared" si="52"/>
        <v>0.45873430978044311</v>
      </c>
      <c r="R84" s="2">
        <f t="shared" si="53"/>
        <v>0.47980339165563124</v>
      </c>
      <c r="S84" s="2">
        <f t="shared" si="54"/>
        <v>0.46332165287824756</v>
      </c>
      <c r="T84" s="2">
        <f t="shared" si="55"/>
        <v>0.48460142557218755</v>
      </c>
      <c r="U84" s="2">
        <f t="shared" si="56"/>
        <v>0.46795486940703002</v>
      </c>
      <c r="V84" s="2">
        <f t="shared" si="57"/>
        <v>0.48944743982790945</v>
      </c>
      <c r="W84" s="2">
        <f t="shared" si="58"/>
        <v>0.4726344181011003</v>
      </c>
      <c r="X84" s="2">
        <f t="shared" si="59"/>
        <v>0.49434191422618856</v>
      </c>
      <c r="Y84" s="2">
        <f t="shared" si="60"/>
        <v>0.47736076228211133</v>
      </c>
      <c r="Z84" s="2">
        <f t="shared" si="61"/>
        <v>0.49928533336845043</v>
      </c>
      <c r="AA84" s="2">
        <f t="shared" si="62"/>
        <v>0.48213436990493247</v>
      </c>
      <c r="AB84" s="2">
        <f t="shared" si="63"/>
        <v>0.50427818670213498</v>
      </c>
      <c r="AC84" s="2">
        <f t="shared" si="35"/>
        <v>0.48695571360398182</v>
      </c>
      <c r="AD84" s="2">
        <f t="shared" si="36"/>
        <v>0.50932096856915632</v>
      </c>
      <c r="AE84" s="2">
        <f t="shared" si="37"/>
        <v>0.49182527074002164</v>
      </c>
      <c r="AF84" s="2">
        <f t="shared" si="38"/>
        <v>0.51441417825484792</v>
      </c>
      <c r="AG84" s="2">
        <f t="shared" si="39"/>
        <v>0.49674352344742184</v>
      </c>
      <c r="AH84" s="2">
        <f t="shared" si="40"/>
        <v>0.51955832003739644</v>
      </c>
    </row>
    <row r="85" spans="1:34">
      <c r="A85" t="s">
        <v>23</v>
      </c>
      <c r="B85" t="s">
        <v>10</v>
      </c>
      <c r="C85" s="67">
        <f>VLOOKUP($B85,Elec!$R$41:$S$51,2,0)/SUM(Elec!$S$41:$S$51)/2*Cattle!AA$173</f>
        <v>0.39772440267215142</v>
      </c>
      <c r="D85" s="67">
        <f>VLOOKUP($B85,Elec!$R$41:$S$51,2,0)/SUM(Elec!$S$41:$S$51)/2*Cattle!AB$173</f>
        <v>0.41599137731302904</v>
      </c>
      <c r="E85" s="2">
        <f t="shared" si="34"/>
        <v>0.40170164669887293</v>
      </c>
      <c r="F85" s="2">
        <f t="shared" si="41"/>
        <v>0.42015129108615934</v>
      </c>
      <c r="G85" s="2">
        <f t="shared" si="42"/>
        <v>0.40571866316586164</v>
      </c>
      <c r="H85" s="2">
        <f t="shared" si="43"/>
        <v>0.42435280399702091</v>
      </c>
      <c r="I85" s="2">
        <f t="shared" si="44"/>
        <v>0.40977584979752024</v>
      </c>
      <c r="J85" s="2">
        <f t="shared" si="45"/>
        <v>0.4285963320369911</v>
      </c>
      <c r="K85" s="2">
        <f t="shared" si="46"/>
        <v>0.41387360829549547</v>
      </c>
      <c r="L85" s="2">
        <f t="shared" si="47"/>
        <v>0.432882295357361</v>
      </c>
      <c r="M85" s="2">
        <f t="shared" si="48"/>
        <v>0.41801234437845042</v>
      </c>
      <c r="N85" s="2">
        <f t="shared" si="49"/>
        <v>0.43721111831093462</v>
      </c>
      <c r="O85" s="2">
        <f t="shared" si="50"/>
        <v>0.42219246782223491</v>
      </c>
      <c r="P85" s="2">
        <f t="shared" si="51"/>
        <v>0.44158322949404399</v>
      </c>
      <c r="Q85" s="2">
        <f t="shared" si="52"/>
        <v>0.42641439250045726</v>
      </c>
      <c r="R85" s="2">
        <f t="shared" si="53"/>
        <v>0.44599906178898446</v>
      </c>
      <c r="S85" s="2">
        <f t="shared" si="54"/>
        <v>0.43067853642546183</v>
      </c>
      <c r="T85" s="2">
        <f t="shared" si="55"/>
        <v>0.45045905240687434</v>
      </c>
      <c r="U85" s="2">
        <f t="shared" si="56"/>
        <v>0.43498532178971644</v>
      </c>
      <c r="V85" s="2">
        <f t="shared" si="57"/>
        <v>0.4549636429309431</v>
      </c>
      <c r="W85" s="2">
        <f t="shared" si="58"/>
        <v>0.4393351750076136</v>
      </c>
      <c r="X85" s="2">
        <f t="shared" si="59"/>
        <v>0.45951327936025255</v>
      </c>
      <c r="Y85" s="2">
        <f t="shared" si="60"/>
        <v>0.44372852675768976</v>
      </c>
      <c r="Z85" s="2">
        <f t="shared" si="61"/>
        <v>0.46410841215385507</v>
      </c>
      <c r="AA85" s="2">
        <f t="shared" si="62"/>
        <v>0.44816581202526667</v>
      </c>
      <c r="AB85" s="2">
        <f t="shared" si="63"/>
        <v>0.46874949627539364</v>
      </c>
      <c r="AC85" s="2">
        <f t="shared" si="35"/>
        <v>0.45264747014551937</v>
      </c>
      <c r="AD85" s="2">
        <f t="shared" si="36"/>
        <v>0.47343699123814759</v>
      </c>
      <c r="AE85" s="2">
        <f t="shared" si="37"/>
        <v>0.45717394484697454</v>
      </c>
      <c r="AF85" s="2">
        <f t="shared" si="38"/>
        <v>0.47817136115052905</v>
      </c>
      <c r="AG85" s="2">
        <f t="shared" si="39"/>
        <v>0.46174568429544427</v>
      </c>
      <c r="AH85" s="2">
        <f t="shared" si="40"/>
        <v>0.48295307476203436</v>
      </c>
    </row>
    <row r="86" spans="1:34">
      <c r="A86" t="s">
        <v>23</v>
      </c>
      <c r="B86" t="s">
        <v>11</v>
      </c>
      <c r="C86" s="67">
        <f>VLOOKUP($B86,Elec!$R$41:$S$51,2,0)/SUM(Elec!$S$41:$S$51)/2*Cattle!AA$173</f>
        <v>0.22560406215144044</v>
      </c>
      <c r="D86" s="67">
        <f>VLOOKUP($B86,Elec!$R$41:$S$51,2,0)/SUM(Elec!$S$41:$S$51)/2*Cattle!AB$173</f>
        <v>0.23596576903819744</v>
      </c>
      <c r="E86" s="2">
        <f t="shared" si="34"/>
        <v>0.22786010277295485</v>
      </c>
      <c r="F86" s="2">
        <f t="shared" si="41"/>
        <v>0.23832542672857943</v>
      </c>
      <c r="G86" s="2">
        <f t="shared" si="42"/>
        <v>0.23013870380068441</v>
      </c>
      <c r="H86" s="2">
        <f t="shared" si="43"/>
        <v>0.24070868099586523</v>
      </c>
      <c r="I86" s="2">
        <f t="shared" si="44"/>
        <v>0.23244009083869124</v>
      </c>
      <c r="J86" s="2">
        <f t="shared" si="45"/>
        <v>0.24311576780582389</v>
      </c>
      <c r="K86" s="2">
        <f t="shared" si="46"/>
        <v>0.23476449174707817</v>
      </c>
      <c r="L86" s="2">
        <f t="shared" si="47"/>
        <v>0.24554692548388213</v>
      </c>
      <c r="M86" s="2">
        <f t="shared" si="48"/>
        <v>0.23711213666454894</v>
      </c>
      <c r="N86" s="2">
        <f t="shared" si="49"/>
        <v>0.24800239473872096</v>
      </c>
      <c r="O86" s="2">
        <f t="shared" si="50"/>
        <v>0.23948325803119444</v>
      </c>
      <c r="P86" s="2">
        <f t="shared" si="51"/>
        <v>0.25048241868610815</v>
      </c>
      <c r="Q86" s="2">
        <f t="shared" si="52"/>
        <v>0.24187809061150639</v>
      </c>
      <c r="R86" s="2">
        <f t="shared" si="53"/>
        <v>0.25298724287296925</v>
      </c>
      <c r="S86" s="2">
        <f t="shared" si="54"/>
        <v>0.24429687151762144</v>
      </c>
      <c r="T86" s="2">
        <f t="shared" si="55"/>
        <v>0.25551711530169896</v>
      </c>
      <c r="U86" s="2">
        <f t="shared" si="56"/>
        <v>0.24673984023279766</v>
      </c>
      <c r="V86" s="2">
        <f t="shared" si="57"/>
        <v>0.25807228645471597</v>
      </c>
      <c r="W86" s="2">
        <f t="shared" si="58"/>
        <v>0.24920723863512564</v>
      </c>
      <c r="X86" s="2">
        <f t="shared" si="59"/>
        <v>0.26065300931926311</v>
      </c>
      <c r="Y86" s="2">
        <f t="shared" si="60"/>
        <v>0.25169931102147691</v>
      </c>
      <c r="Z86" s="2">
        <f t="shared" si="61"/>
        <v>0.26325953941245572</v>
      </c>
      <c r="AA86" s="2">
        <f t="shared" si="62"/>
        <v>0.25421630413169166</v>
      </c>
      <c r="AB86" s="2">
        <f t="shared" si="63"/>
        <v>0.2658921348065803</v>
      </c>
      <c r="AC86" s="2">
        <f t="shared" si="35"/>
        <v>0.2567584671730086</v>
      </c>
      <c r="AD86" s="2">
        <f t="shared" si="36"/>
        <v>0.26855105615464608</v>
      </c>
      <c r="AE86" s="2">
        <f t="shared" si="37"/>
        <v>0.25932605184473867</v>
      </c>
      <c r="AF86" s="2">
        <f t="shared" si="38"/>
        <v>0.27123656671619256</v>
      </c>
      <c r="AG86" s="2">
        <f t="shared" si="39"/>
        <v>0.26191931236318605</v>
      </c>
      <c r="AH86" s="2">
        <f t="shared" si="40"/>
        <v>0.27394893238335449</v>
      </c>
    </row>
    <row r="87" spans="1:34">
      <c r="A87" t="s">
        <v>23</v>
      </c>
      <c r="B87" t="s">
        <v>12</v>
      </c>
      <c r="C87" s="67">
        <f>VLOOKUP($B87,Elec!$R$41:$S$51,2,0)/SUM(Elec!$S$41:$S$51)/2*Cattle!AA$173</f>
        <v>32.763155439682457</v>
      </c>
      <c r="D87" s="67">
        <f>VLOOKUP($B87,Elec!$R$41:$S$51,2,0)/SUM(Elec!$S$41:$S$51)/2*Cattle!AB$173</f>
        <v>34.267925389805811</v>
      </c>
      <c r="E87" s="2">
        <f t="shared" si="34"/>
        <v>33.090786994079281</v>
      </c>
      <c r="F87" s="2">
        <f t="shared" si="41"/>
        <v>34.610604643703866</v>
      </c>
      <c r="G87" s="2">
        <f t="shared" si="42"/>
        <v>33.421694864020075</v>
      </c>
      <c r="H87" s="2">
        <f t="shared" si="43"/>
        <v>34.956710690140902</v>
      </c>
      <c r="I87" s="2">
        <f t="shared" si="44"/>
        <v>33.75591181266028</v>
      </c>
      <c r="J87" s="2">
        <f t="shared" si="45"/>
        <v>35.306277797042313</v>
      </c>
      <c r="K87" s="2">
        <f t="shared" si="46"/>
        <v>34.093470930786886</v>
      </c>
      <c r="L87" s="2">
        <f t="shared" si="47"/>
        <v>35.659340575012735</v>
      </c>
      <c r="M87" s="2">
        <f t="shared" si="48"/>
        <v>34.434405640094752</v>
      </c>
      <c r="N87" s="2">
        <f t="shared" si="49"/>
        <v>36.01593398076286</v>
      </c>
      <c r="O87" s="2">
        <f t="shared" si="50"/>
        <v>34.778749696495701</v>
      </c>
      <c r="P87" s="2">
        <f t="shared" si="51"/>
        <v>36.37609332057049</v>
      </c>
      <c r="Q87" s="2">
        <f t="shared" si="52"/>
        <v>35.126537193460656</v>
      </c>
      <c r="R87" s="2">
        <f t="shared" si="53"/>
        <v>36.739854253776194</v>
      </c>
      <c r="S87" s="2">
        <f t="shared" si="54"/>
        <v>35.477802565395265</v>
      </c>
      <c r="T87" s="2">
        <f t="shared" si="55"/>
        <v>37.107252796313958</v>
      </c>
      <c r="U87" s="2">
        <f t="shared" si="56"/>
        <v>35.832580591049215</v>
      </c>
      <c r="V87" s="2">
        <f t="shared" si="57"/>
        <v>37.478325324277101</v>
      </c>
      <c r="W87" s="2">
        <f t="shared" si="58"/>
        <v>36.190906396959704</v>
      </c>
      <c r="X87" s="2">
        <f t="shared" si="59"/>
        <v>37.853108577519869</v>
      </c>
      <c r="Y87" s="2">
        <f t="shared" si="60"/>
        <v>36.552815460929303</v>
      </c>
      <c r="Z87" s="2">
        <f t="shared" si="61"/>
        <v>38.23163966329507</v>
      </c>
      <c r="AA87" s="2">
        <f t="shared" si="62"/>
        <v>36.918343615538596</v>
      </c>
      <c r="AB87" s="2">
        <f t="shared" si="63"/>
        <v>38.613956059928022</v>
      </c>
      <c r="AC87" s="2">
        <f t="shared" si="35"/>
        <v>37.287527051693985</v>
      </c>
      <c r="AD87" s="2">
        <f t="shared" si="36"/>
        <v>39.000095620527304</v>
      </c>
      <c r="AE87" s="2">
        <f t="shared" si="37"/>
        <v>37.660402322210928</v>
      </c>
      <c r="AF87" s="2">
        <f t="shared" si="38"/>
        <v>39.390096576732574</v>
      </c>
      <c r="AG87" s="2">
        <f t="shared" si="39"/>
        <v>38.037006345433035</v>
      </c>
      <c r="AH87" s="2">
        <f t="shared" si="40"/>
        <v>39.783997542499904</v>
      </c>
    </row>
    <row r="88" spans="1:34">
      <c r="A88" t="s">
        <v>23</v>
      </c>
      <c r="B88" t="s">
        <v>13</v>
      </c>
      <c r="C88" s="67">
        <f>VLOOKUP($B88,Elec!$R$41:$S$51,2,0)/SUM(Elec!$S$41:$S$51)/2*Cattle!AA$173</f>
        <v>5.3026678918612271</v>
      </c>
      <c r="D88" s="67">
        <f>VLOOKUP($B88,Elec!$R$41:$S$51,2,0)/SUM(Elec!$S$41:$S$51)/2*Cattle!AB$173</f>
        <v>5.5462126662297004</v>
      </c>
      <c r="E88" s="2">
        <f t="shared" si="34"/>
        <v>5.3556945707798391</v>
      </c>
      <c r="F88" s="2">
        <f t="shared" si="41"/>
        <v>5.6016747928919974</v>
      </c>
      <c r="G88" s="2">
        <f t="shared" si="42"/>
        <v>5.4092515164876378</v>
      </c>
      <c r="H88" s="2">
        <f t="shared" si="43"/>
        <v>5.6576915408209176</v>
      </c>
      <c r="I88" s="2">
        <f t="shared" si="44"/>
        <v>5.4633440316525146</v>
      </c>
      <c r="J88" s="2">
        <f t="shared" si="45"/>
        <v>5.714268456229127</v>
      </c>
      <c r="K88" s="2">
        <f t="shared" si="46"/>
        <v>5.51797747196904</v>
      </c>
      <c r="L88" s="2">
        <f t="shared" si="47"/>
        <v>5.7714111407914181</v>
      </c>
      <c r="M88" s="2">
        <f t="shared" si="48"/>
        <v>5.57315724668873</v>
      </c>
      <c r="N88" s="2">
        <f t="shared" si="49"/>
        <v>5.829125252199332</v>
      </c>
      <c r="O88" s="2">
        <f t="shared" si="50"/>
        <v>5.628888819155617</v>
      </c>
      <c r="P88" s="2">
        <f t="shared" si="51"/>
        <v>5.8874165047213252</v>
      </c>
      <c r="Q88" s="2">
        <f t="shared" si="52"/>
        <v>5.6851777073471732</v>
      </c>
      <c r="R88" s="2">
        <f t="shared" si="53"/>
        <v>5.9462906697685387</v>
      </c>
      <c r="S88" s="2">
        <f t="shared" si="54"/>
        <v>5.7420294844206454</v>
      </c>
      <c r="T88" s="2">
        <f t="shared" si="55"/>
        <v>6.0057535764662244</v>
      </c>
      <c r="U88" s="2">
        <f t="shared" si="56"/>
        <v>5.7994497792648518</v>
      </c>
      <c r="V88" s="2">
        <f t="shared" si="57"/>
        <v>6.0658111122308869</v>
      </c>
      <c r="W88" s="2">
        <f t="shared" si="58"/>
        <v>5.8574442770575006</v>
      </c>
      <c r="X88" s="2">
        <f t="shared" si="59"/>
        <v>6.1264692233531957</v>
      </c>
      <c r="Y88" s="2">
        <f t="shared" si="60"/>
        <v>5.9160187198280756</v>
      </c>
      <c r="Z88" s="2">
        <f t="shared" si="61"/>
        <v>6.1877339155867279</v>
      </c>
      <c r="AA88" s="2">
        <f t="shared" si="62"/>
        <v>5.9751789070263568</v>
      </c>
      <c r="AB88" s="2">
        <f t="shared" si="63"/>
        <v>6.2496112547425948</v>
      </c>
      <c r="AC88" s="2">
        <f t="shared" si="35"/>
        <v>6.0349306960966205</v>
      </c>
      <c r="AD88" s="2">
        <f t="shared" si="36"/>
        <v>6.3121073672900208</v>
      </c>
      <c r="AE88" s="2">
        <f t="shared" si="37"/>
        <v>6.0952800030575869</v>
      </c>
      <c r="AF88" s="2">
        <f t="shared" si="38"/>
        <v>6.3752284409629212</v>
      </c>
      <c r="AG88" s="2">
        <f t="shared" si="39"/>
        <v>6.1562328030881632</v>
      </c>
      <c r="AH88" s="2">
        <f t="shared" si="40"/>
        <v>6.4389807253725504</v>
      </c>
    </row>
    <row r="89" spans="1:34">
      <c r="A89" t="s">
        <v>23</v>
      </c>
      <c r="B89" t="s">
        <v>19</v>
      </c>
      <c r="C89" s="67">
        <f>VLOOKUP($B89,Elec!$R$41:$S$51,2,0)/SUM(Elec!$S$41:$S$51)/2*Cattle!AA$173</f>
        <v>17.772154482240193</v>
      </c>
      <c r="D89" s="67">
        <f>VLOOKUP($B89,Elec!$R$41:$S$51,2,0)/SUM(Elec!$S$41:$S$51)/2*Cattle!AB$173</f>
        <v>18.588406874750415</v>
      </c>
      <c r="E89" s="2">
        <f t="shared" si="34"/>
        <v>17.949876027062594</v>
      </c>
      <c r="F89" s="2">
        <f t="shared" si="41"/>
        <v>18.77429094349792</v>
      </c>
      <c r="G89" s="2">
        <f t="shared" si="42"/>
        <v>18.129374787333219</v>
      </c>
      <c r="H89" s="2">
        <f t="shared" si="43"/>
        <v>18.962033852932901</v>
      </c>
      <c r="I89" s="2">
        <f t="shared" si="44"/>
        <v>18.310668535206553</v>
      </c>
      <c r="J89" s="2">
        <f t="shared" si="45"/>
        <v>19.151654191462232</v>
      </c>
      <c r="K89" s="2">
        <f t="shared" si="46"/>
        <v>18.493775220558618</v>
      </c>
      <c r="L89" s="2">
        <f t="shared" si="47"/>
        <v>19.343170733376855</v>
      </c>
      <c r="M89" s="2">
        <f t="shared" si="48"/>
        <v>18.678712972764203</v>
      </c>
      <c r="N89" s="2">
        <f t="shared" si="49"/>
        <v>19.536602440710624</v>
      </c>
      <c r="O89" s="2">
        <f t="shared" si="50"/>
        <v>18.865500102491843</v>
      </c>
      <c r="P89" s="2">
        <f t="shared" si="51"/>
        <v>19.731968465117731</v>
      </c>
      <c r="Q89" s="2">
        <f t="shared" si="52"/>
        <v>19.054155103516763</v>
      </c>
      <c r="R89" s="2">
        <f t="shared" si="53"/>
        <v>19.929288149768908</v>
      </c>
      <c r="S89" s="2">
        <f t="shared" si="54"/>
        <v>19.24469665455193</v>
      </c>
      <c r="T89" s="2">
        <f t="shared" si="55"/>
        <v>20.128581031266599</v>
      </c>
      <c r="U89" s="2">
        <f t="shared" si="56"/>
        <v>19.437143621097448</v>
      </c>
      <c r="V89" s="2">
        <f t="shared" si="57"/>
        <v>20.329866841579264</v>
      </c>
      <c r="W89" s="2">
        <f t="shared" si="58"/>
        <v>19.631515057308423</v>
      </c>
      <c r="X89" s="2">
        <f t="shared" si="59"/>
        <v>20.533165509995058</v>
      </c>
      <c r="Y89" s="2">
        <f t="shared" si="60"/>
        <v>19.827830207881508</v>
      </c>
      <c r="Z89" s="2">
        <f t="shared" si="61"/>
        <v>20.738497165095009</v>
      </c>
      <c r="AA89" s="2">
        <f t="shared" si="62"/>
        <v>20.026108509960324</v>
      </c>
      <c r="AB89" s="2">
        <f t="shared" si="63"/>
        <v>20.945882136745958</v>
      </c>
      <c r="AC89" s="2">
        <f t="shared" si="35"/>
        <v>20.226369595059928</v>
      </c>
      <c r="AD89" s="2">
        <f t="shared" si="36"/>
        <v>21.155340958113417</v>
      </c>
      <c r="AE89" s="2">
        <f t="shared" si="37"/>
        <v>20.428633291010527</v>
      </c>
      <c r="AF89" s="2">
        <f t="shared" si="38"/>
        <v>21.366894367694552</v>
      </c>
      <c r="AG89" s="2">
        <f t="shared" si="39"/>
        <v>20.632919623920632</v>
      </c>
      <c r="AH89" s="2">
        <f t="shared" si="40"/>
        <v>21.580563311371499</v>
      </c>
    </row>
    <row r="90" spans="1:34">
      <c r="A90" t="s">
        <v>23</v>
      </c>
      <c r="B90" t="s">
        <v>14</v>
      </c>
      <c r="C90" s="67">
        <f>VLOOKUP($B90,Elec!$R$41:$S$51,2,0)/SUM(Elec!$S$41:$S$51)/2*Cattle!AA$173</f>
        <v>4.9166126648175981</v>
      </c>
      <c r="D90" s="67">
        <f>VLOOKUP($B90,Elec!$R$41:$S$51,2,0)/SUM(Elec!$S$41:$S$51)/2*Cattle!AB$173</f>
        <v>5.1424264149014061</v>
      </c>
      <c r="E90" s="2">
        <f t="shared" si="34"/>
        <v>4.9657787914657741</v>
      </c>
      <c r="F90" s="2">
        <f t="shared" si="41"/>
        <v>5.1938506790504197</v>
      </c>
      <c r="G90" s="2">
        <f t="shared" si="42"/>
        <v>5.0154365793804319</v>
      </c>
      <c r="H90" s="2">
        <f t="shared" si="43"/>
        <v>5.2457891858409242</v>
      </c>
      <c r="I90" s="2">
        <f t="shared" si="44"/>
        <v>5.065590945174236</v>
      </c>
      <c r="J90" s="2">
        <f t="shared" si="45"/>
        <v>5.2982470776993331</v>
      </c>
      <c r="K90" s="2">
        <f t="shared" si="46"/>
        <v>5.1162468546259783</v>
      </c>
      <c r="L90" s="2">
        <f t="shared" si="47"/>
        <v>5.3512295484763266</v>
      </c>
      <c r="M90" s="2">
        <f t="shared" si="48"/>
        <v>5.1674093231722384</v>
      </c>
      <c r="N90" s="2">
        <f t="shared" si="49"/>
        <v>5.4047418439610899</v>
      </c>
      <c r="O90" s="2">
        <f t="shared" si="50"/>
        <v>5.2190834164039606</v>
      </c>
      <c r="P90" s="2">
        <f t="shared" si="51"/>
        <v>5.4587892624007006</v>
      </c>
      <c r="Q90" s="2">
        <f t="shared" si="52"/>
        <v>5.2712742505680001</v>
      </c>
      <c r="R90" s="2">
        <f t="shared" si="53"/>
        <v>5.5133771550247079</v>
      </c>
      <c r="S90" s="2">
        <f t="shared" si="54"/>
        <v>5.3239869930736798</v>
      </c>
      <c r="T90" s="2">
        <f t="shared" si="55"/>
        <v>5.5685109265749553</v>
      </c>
      <c r="U90" s="2">
        <f t="shared" si="56"/>
        <v>5.3772268630044167</v>
      </c>
      <c r="V90" s="2">
        <f t="shared" si="57"/>
        <v>5.624196035840705</v>
      </c>
      <c r="W90" s="2">
        <f t="shared" si="58"/>
        <v>5.4309991316344606</v>
      </c>
      <c r="X90" s="2">
        <f t="shared" si="59"/>
        <v>5.680437996199112</v>
      </c>
      <c r="Y90" s="2">
        <f t="shared" si="60"/>
        <v>5.4853091229508051</v>
      </c>
      <c r="Z90" s="2">
        <f t="shared" si="61"/>
        <v>5.7372423761611033</v>
      </c>
      <c r="AA90" s="2">
        <f t="shared" si="62"/>
        <v>5.5401622141803131</v>
      </c>
      <c r="AB90" s="2">
        <f t="shared" si="63"/>
        <v>5.794614799922714</v>
      </c>
      <c r="AC90" s="2">
        <f t="shared" si="35"/>
        <v>5.5955638363221158</v>
      </c>
      <c r="AD90" s="2">
        <f t="shared" si="36"/>
        <v>5.8525609479219414</v>
      </c>
      <c r="AE90" s="2">
        <f t="shared" si="37"/>
        <v>5.6515194746853368</v>
      </c>
      <c r="AF90" s="2">
        <f t="shared" si="38"/>
        <v>5.9110865574011608</v>
      </c>
      <c r="AG90" s="2">
        <f t="shared" si="39"/>
        <v>5.7080346694321902</v>
      </c>
      <c r="AH90" s="2">
        <f t="shared" si="40"/>
        <v>5.9701974229751729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H90"/>
  <sheetViews>
    <sheetView zoomScale="85" zoomScaleNormal="85" workbookViewId="0">
      <selection activeCell="C3" sqref="C3"/>
    </sheetView>
  </sheetViews>
  <sheetFormatPr defaultRowHeight="15.75"/>
  <cols>
    <col min="1" max="1" width="10.25" bestFit="1" customWidth="1"/>
    <col min="2" max="3" width="10.75" bestFit="1" customWidth="1"/>
  </cols>
  <sheetData>
    <row r="1" spans="1:34">
      <c r="C1" t="str">
        <f t="array" ref="C1:D1">TRANSPOSE(Seasons)</f>
        <v>Kremt</v>
      </c>
      <c r="D1" t="str">
        <v>Belg</v>
      </c>
      <c r="E1" t="str">
        <f>C1</f>
        <v>Kremt</v>
      </c>
      <c r="F1" t="str">
        <f t="shared" ref="F1:AH1" si="0">D1</f>
        <v>Belg</v>
      </c>
      <c r="G1" t="str">
        <f t="shared" si="0"/>
        <v>Kremt</v>
      </c>
      <c r="H1" t="str">
        <f t="shared" si="0"/>
        <v>Belg</v>
      </c>
      <c r="I1" t="str">
        <f t="shared" si="0"/>
        <v>Kremt</v>
      </c>
      <c r="J1" t="str">
        <f t="shared" si="0"/>
        <v>Belg</v>
      </c>
      <c r="K1" t="str">
        <f t="shared" si="0"/>
        <v>Kremt</v>
      </c>
      <c r="L1" t="str">
        <f t="shared" si="0"/>
        <v>Belg</v>
      </c>
      <c r="M1" t="str">
        <f t="shared" si="0"/>
        <v>Kremt</v>
      </c>
      <c r="N1" t="str">
        <f t="shared" si="0"/>
        <v>Belg</v>
      </c>
      <c r="O1" t="str">
        <f t="shared" si="0"/>
        <v>Kremt</v>
      </c>
      <c r="P1" t="str">
        <f t="shared" si="0"/>
        <v>Belg</v>
      </c>
      <c r="Q1" t="str">
        <f t="shared" si="0"/>
        <v>Kremt</v>
      </c>
      <c r="R1" t="str">
        <f t="shared" si="0"/>
        <v>Belg</v>
      </c>
      <c r="S1" t="str">
        <f t="shared" si="0"/>
        <v>Kremt</v>
      </c>
      <c r="T1" t="str">
        <f t="shared" si="0"/>
        <v>Belg</v>
      </c>
      <c r="U1" t="str">
        <f t="shared" si="0"/>
        <v>Kremt</v>
      </c>
      <c r="V1" t="str">
        <f t="shared" si="0"/>
        <v>Belg</v>
      </c>
      <c r="W1" t="str">
        <f t="shared" si="0"/>
        <v>Kremt</v>
      </c>
      <c r="X1" t="str">
        <f t="shared" si="0"/>
        <v>Belg</v>
      </c>
      <c r="Y1" t="str">
        <f t="shared" si="0"/>
        <v>Kremt</v>
      </c>
      <c r="Z1" t="str">
        <f t="shared" si="0"/>
        <v>Belg</v>
      </c>
      <c r="AA1" t="str">
        <f t="shared" si="0"/>
        <v>Kremt</v>
      </c>
      <c r="AB1" t="str">
        <f t="shared" si="0"/>
        <v>Belg</v>
      </c>
      <c r="AC1" t="str">
        <f t="shared" si="0"/>
        <v>Kremt</v>
      </c>
      <c r="AD1" t="str">
        <f t="shared" si="0"/>
        <v>Belg</v>
      </c>
      <c r="AE1" t="str">
        <f t="shared" si="0"/>
        <v>Kremt</v>
      </c>
      <c r="AF1" t="str">
        <f t="shared" si="0"/>
        <v>Belg</v>
      </c>
      <c r="AG1" t="str">
        <f t="shared" si="0"/>
        <v>Kremt</v>
      </c>
      <c r="AH1" t="str">
        <f t="shared" si="0"/>
        <v>Belg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CYF!A3</f>
        <v>Teff</v>
      </c>
      <c r="B3" t="str">
        <f>CYF!B3</f>
        <v>AddisAbaba</v>
      </c>
      <c r="C3" s="2">
        <f>Crop!C3*(1+Profit_Margin)/INDEX(Crop!$AB$157:$AG$157,MATCH($A3,Crop!$AB$142:$AG$142,0))</f>
        <v>173.45369281885914</v>
      </c>
      <c r="D3" s="2">
        <f>Crop!D3*(1+Profit_Margin)/INDEX(Crop!$AB$157:$AG$157,MATCH($A3,Crop!$AB$142:$AG$142,0))</f>
        <v>193.51694028959554</v>
      </c>
      <c r="E3" s="2">
        <f>Crop!E3*(1+Profit_Margin)/INDEX(Crop!$AB$157:$AG$157,MATCH($A3,Crop!$AB$142:$AG$142,0))</f>
        <v>173.45369281885914</v>
      </c>
      <c r="F3" s="2">
        <f>Crop!F3*(1+Profit_Margin)/INDEX(Crop!$AB$157:$AG$157,MATCH($A3,Crop!$AB$142:$AG$142,0))</f>
        <v>193.51694028959554</v>
      </c>
      <c r="G3" s="2">
        <f>Crop!G3*(1+Profit_Margin)/INDEX(Crop!$AB$157:$AG$157,MATCH($A3,Crop!$AB$142:$AG$142,0))</f>
        <v>173.45369281885914</v>
      </c>
      <c r="H3" s="2">
        <f>Crop!H3*(1+Profit_Margin)/INDEX(Crop!$AB$157:$AG$157,MATCH($A3,Crop!$AB$142:$AG$142,0))</f>
        <v>193.51694028959554</v>
      </c>
      <c r="I3" s="2">
        <f>Crop!I3*(1+Profit_Margin)/INDEX(Crop!$AB$157:$AG$157,MATCH($A3,Crop!$AB$142:$AG$142,0))</f>
        <v>173.45369281885914</v>
      </c>
      <c r="J3" s="2">
        <f>Crop!J3*(1+Profit_Margin)/INDEX(Crop!$AB$157:$AG$157,MATCH($A3,Crop!$AB$142:$AG$142,0))</f>
        <v>193.51694028959554</v>
      </c>
      <c r="K3" s="2">
        <f>Crop!K3*(1+Profit_Margin)/INDEX(Crop!$AB$157:$AG$157,MATCH($A3,Crop!$AB$142:$AG$142,0))</f>
        <v>173.45369281885914</v>
      </c>
      <c r="L3" s="2">
        <f>Crop!L3*(1+Profit_Margin)/INDEX(Crop!$AB$157:$AG$157,MATCH($A3,Crop!$AB$142:$AG$142,0))</f>
        <v>193.51694028959554</v>
      </c>
      <c r="M3" s="2">
        <f>Crop!M3*(1+Profit_Margin)/INDEX(Crop!$AB$157:$AG$157,MATCH($A3,Crop!$AB$142:$AG$142,0))</f>
        <v>173.45369281885914</v>
      </c>
      <c r="N3" s="2">
        <f>Crop!N3*(1+Profit_Margin)/INDEX(Crop!$AB$157:$AG$157,MATCH($A3,Crop!$AB$142:$AG$142,0))</f>
        <v>193.51694028959554</v>
      </c>
      <c r="O3" s="2">
        <f>Crop!O3*(1+Profit_Margin)/INDEX(Crop!$AB$157:$AG$157,MATCH($A3,Crop!$AB$142:$AG$142,0))</f>
        <v>173.45369281885914</v>
      </c>
      <c r="P3" s="2">
        <f>Crop!P3*(1+Profit_Margin)/INDEX(Crop!$AB$157:$AG$157,MATCH($A3,Crop!$AB$142:$AG$142,0))</f>
        <v>193.51694028959554</v>
      </c>
      <c r="Q3" s="2">
        <f>Crop!Q3*(1+Profit_Margin)/INDEX(Crop!$AB$157:$AG$157,MATCH($A3,Crop!$AB$142:$AG$142,0))</f>
        <v>173.45369281885914</v>
      </c>
      <c r="R3" s="2">
        <f>Crop!R3*(1+Profit_Margin)/INDEX(Crop!$AB$157:$AG$157,MATCH($A3,Crop!$AB$142:$AG$142,0))</f>
        <v>193.51694028959554</v>
      </c>
      <c r="S3" s="2">
        <f>Crop!S3*(1+Profit_Margin)/INDEX(Crop!$AB$157:$AG$157,MATCH($A3,Crop!$AB$142:$AG$142,0))</f>
        <v>173.45369281885914</v>
      </c>
      <c r="T3" s="2">
        <f>Crop!T3*(1+Profit_Margin)/INDEX(Crop!$AB$157:$AG$157,MATCH($A3,Crop!$AB$142:$AG$142,0))</f>
        <v>193.51694028959554</v>
      </c>
      <c r="U3" s="2">
        <f>Crop!U3*(1+Profit_Margin)/INDEX(Crop!$AB$157:$AG$157,MATCH($A3,Crop!$AB$142:$AG$142,0))</f>
        <v>173.45369281885914</v>
      </c>
      <c r="V3" s="2">
        <f>Crop!V3*(1+Profit_Margin)/INDEX(Crop!$AB$157:$AG$157,MATCH($A3,Crop!$AB$142:$AG$142,0))</f>
        <v>193.51694028959554</v>
      </c>
      <c r="W3" s="2">
        <f>Crop!W3*(1+Profit_Margin)/INDEX(Crop!$AB$157:$AG$157,MATCH($A3,Crop!$AB$142:$AG$142,0))</f>
        <v>173.45369281885914</v>
      </c>
      <c r="X3" s="2">
        <f>Crop!X3*(1+Profit_Margin)/INDEX(Crop!$AB$157:$AG$157,MATCH($A3,Crop!$AB$142:$AG$142,0))</f>
        <v>193.51694028959554</v>
      </c>
      <c r="Y3" s="2">
        <f>Crop!Y3*(1+Profit_Margin)/INDEX(Crop!$AB$157:$AG$157,MATCH($A3,Crop!$AB$142:$AG$142,0))</f>
        <v>173.45369281885914</v>
      </c>
      <c r="Z3" s="2">
        <f>Crop!Z3*(1+Profit_Margin)/INDEX(Crop!$AB$157:$AG$157,MATCH($A3,Crop!$AB$142:$AG$142,0))</f>
        <v>193.51694028959554</v>
      </c>
      <c r="AA3" s="2">
        <f>Crop!AA3*(1+Profit_Margin)/INDEX(Crop!$AB$157:$AG$157,MATCH($A3,Crop!$AB$142:$AG$142,0))</f>
        <v>173.45369281885914</v>
      </c>
      <c r="AB3" s="2">
        <f>Crop!AB3*(1+Profit_Margin)/INDEX(Crop!$AB$157:$AG$157,MATCH($A3,Crop!$AB$142:$AG$142,0))</f>
        <v>193.51694028959554</v>
      </c>
      <c r="AC3" s="2">
        <f>Crop!AC3*(1+Profit_Margin)/INDEX(Crop!$AB$157:$AG$157,MATCH($A3,Crop!$AB$142:$AG$142,0))</f>
        <v>173.45369281885914</v>
      </c>
      <c r="AD3" s="2">
        <f>Crop!AD3*(1+Profit_Margin)/INDEX(Crop!$AB$157:$AG$157,MATCH($A3,Crop!$AB$142:$AG$142,0))</f>
        <v>193.51694028959554</v>
      </c>
      <c r="AE3" s="2">
        <f>Crop!AE3*(1+Profit_Margin)/INDEX(Crop!$AB$157:$AG$157,MATCH($A3,Crop!$AB$142:$AG$142,0))</f>
        <v>173.45369281885914</v>
      </c>
      <c r="AF3" s="2">
        <f>Crop!AF3*(1+Profit_Margin)/INDEX(Crop!$AB$157:$AG$157,MATCH($A3,Crop!$AB$142:$AG$142,0))</f>
        <v>193.51694028959554</v>
      </c>
      <c r="AG3" s="2">
        <f>Crop!AG3*(1+Profit_Margin)/INDEX(Crop!$AB$157:$AG$157,MATCH($A3,Crop!$AB$142:$AG$142,0))</f>
        <v>173.45369281885914</v>
      </c>
      <c r="AH3" s="2">
        <f>Crop!AH3*(1+Profit_Margin)/INDEX(Crop!$AB$157:$AG$157,MATCH($A3,Crop!$AB$142:$AG$142,0))</f>
        <v>193.51694028959554</v>
      </c>
    </row>
    <row r="4" spans="1:34">
      <c r="A4" t="str">
        <f>CYF!A4</f>
        <v>Teff</v>
      </c>
      <c r="B4" t="str">
        <f>CYF!B4</f>
        <v>Afar</v>
      </c>
      <c r="C4" s="2">
        <f>Crop!C4*(1+Profit_Margin)/INDEX(Crop!$AB$157:$AG$157,MATCH($A4,Crop!$AB$142:$AG$142,0))</f>
        <v>178.02203588696702</v>
      </c>
      <c r="D4" s="2">
        <f>Crop!D4*(1+Profit_Margin)/INDEX(Crop!$AB$157:$AG$157,MATCH($A4,Crop!$AB$142:$AG$142,0))</f>
        <v>198.78651259568372</v>
      </c>
      <c r="E4" s="2">
        <f>Crop!E4*(1+Profit_Margin)/INDEX(Crop!$AB$157:$AG$157,MATCH($A4,Crop!$AB$142:$AG$142,0))</f>
        <v>178.02203588696702</v>
      </c>
      <c r="F4" s="2">
        <f>Crop!F4*(1+Profit_Margin)/INDEX(Crop!$AB$157:$AG$157,MATCH($A4,Crop!$AB$142:$AG$142,0))</f>
        <v>198.78651259568372</v>
      </c>
      <c r="G4" s="2">
        <f>Crop!G4*(1+Profit_Margin)/INDEX(Crop!$AB$157:$AG$157,MATCH($A4,Crop!$AB$142:$AG$142,0))</f>
        <v>178.02203588696702</v>
      </c>
      <c r="H4" s="2">
        <f>Crop!H4*(1+Profit_Margin)/INDEX(Crop!$AB$157:$AG$157,MATCH($A4,Crop!$AB$142:$AG$142,0))</f>
        <v>198.78651259568372</v>
      </c>
      <c r="I4" s="2">
        <f>Crop!I4*(1+Profit_Margin)/INDEX(Crop!$AB$157:$AG$157,MATCH($A4,Crop!$AB$142:$AG$142,0))</f>
        <v>178.02203588696702</v>
      </c>
      <c r="J4" s="2">
        <f>Crop!J4*(1+Profit_Margin)/INDEX(Crop!$AB$157:$AG$157,MATCH($A4,Crop!$AB$142:$AG$142,0))</f>
        <v>198.78651259568372</v>
      </c>
      <c r="K4" s="2">
        <f>Crop!K4*(1+Profit_Margin)/INDEX(Crop!$AB$157:$AG$157,MATCH($A4,Crop!$AB$142:$AG$142,0))</f>
        <v>178.02203588696702</v>
      </c>
      <c r="L4" s="2">
        <f>Crop!L4*(1+Profit_Margin)/INDEX(Crop!$AB$157:$AG$157,MATCH($A4,Crop!$AB$142:$AG$142,0))</f>
        <v>198.78651259568372</v>
      </c>
      <c r="M4" s="2">
        <f>Crop!M4*(1+Profit_Margin)/INDEX(Crop!$AB$157:$AG$157,MATCH($A4,Crop!$AB$142:$AG$142,0))</f>
        <v>178.02203588696702</v>
      </c>
      <c r="N4" s="2">
        <f>Crop!N4*(1+Profit_Margin)/INDEX(Crop!$AB$157:$AG$157,MATCH($A4,Crop!$AB$142:$AG$142,0))</f>
        <v>198.78651259568372</v>
      </c>
      <c r="O4" s="2">
        <f>Crop!O4*(1+Profit_Margin)/INDEX(Crop!$AB$157:$AG$157,MATCH($A4,Crop!$AB$142:$AG$142,0))</f>
        <v>178.02203588696702</v>
      </c>
      <c r="P4" s="2">
        <f>Crop!P4*(1+Profit_Margin)/INDEX(Crop!$AB$157:$AG$157,MATCH($A4,Crop!$AB$142:$AG$142,0))</f>
        <v>198.78651259568372</v>
      </c>
      <c r="Q4" s="2">
        <f>Crop!Q4*(1+Profit_Margin)/INDEX(Crop!$AB$157:$AG$157,MATCH($A4,Crop!$AB$142:$AG$142,0))</f>
        <v>178.02203588696702</v>
      </c>
      <c r="R4" s="2">
        <f>Crop!R4*(1+Profit_Margin)/INDEX(Crop!$AB$157:$AG$157,MATCH($A4,Crop!$AB$142:$AG$142,0))</f>
        <v>198.78651259568372</v>
      </c>
      <c r="S4" s="2">
        <f>Crop!S4*(1+Profit_Margin)/INDEX(Crop!$AB$157:$AG$157,MATCH($A4,Crop!$AB$142:$AG$142,0))</f>
        <v>178.02203588696702</v>
      </c>
      <c r="T4" s="2">
        <f>Crop!T4*(1+Profit_Margin)/INDEX(Crop!$AB$157:$AG$157,MATCH($A4,Crop!$AB$142:$AG$142,0))</f>
        <v>198.78651259568372</v>
      </c>
      <c r="U4" s="2">
        <f>Crop!U4*(1+Profit_Margin)/INDEX(Crop!$AB$157:$AG$157,MATCH($A4,Crop!$AB$142:$AG$142,0))</f>
        <v>178.02203588696702</v>
      </c>
      <c r="V4" s="2">
        <f>Crop!V4*(1+Profit_Margin)/INDEX(Crop!$AB$157:$AG$157,MATCH($A4,Crop!$AB$142:$AG$142,0))</f>
        <v>198.78651259568372</v>
      </c>
      <c r="W4" s="2">
        <f>Crop!W4*(1+Profit_Margin)/INDEX(Crop!$AB$157:$AG$157,MATCH($A4,Crop!$AB$142:$AG$142,0))</f>
        <v>178.02203588696702</v>
      </c>
      <c r="X4" s="2">
        <f>Crop!X4*(1+Profit_Margin)/INDEX(Crop!$AB$157:$AG$157,MATCH($A4,Crop!$AB$142:$AG$142,0))</f>
        <v>198.78651259568372</v>
      </c>
      <c r="Y4" s="2">
        <f>Crop!Y4*(1+Profit_Margin)/INDEX(Crop!$AB$157:$AG$157,MATCH($A4,Crop!$AB$142:$AG$142,0))</f>
        <v>178.02203588696702</v>
      </c>
      <c r="Z4" s="2">
        <f>Crop!Z4*(1+Profit_Margin)/INDEX(Crop!$AB$157:$AG$157,MATCH($A4,Crop!$AB$142:$AG$142,0))</f>
        <v>198.78651259568372</v>
      </c>
      <c r="AA4" s="2">
        <f>Crop!AA4*(1+Profit_Margin)/INDEX(Crop!$AB$157:$AG$157,MATCH($A4,Crop!$AB$142:$AG$142,0))</f>
        <v>178.02203588696702</v>
      </c>
      <c r="AB4" s="2">
        <f>Crop!AB4*(1+Profit_Margin)/INDEX(Crop!$AB$157:$AG$157,MATCH($A4,Crop!$AB$142:$AG$142,0))</f>
        <v>198.78651259568372</v>
      </c>
      <c r="AC4" s="2">
        <f>Crop!AC4*(1+Profit_Margin)/INDEX(Crop!$AB$157:$AG$157,MATCH($A4,Crop!$AB$142:$AG$142,0))</f>
        <v>178.02203588696702</v>
      </c>
      <c r="AD4" s="2">
        <f>Crop!AD4*(1+Profit_Margin)/INDEX(Crop!$AB$157:$AG$157,MATCH($A4,Crop!$AB$142:$AG$142,0))</f>
        <v>198.78651259568372</v>
      </c>
      <c r="AE4" s="2">
        <f>Crop!AE4*(1+Profit_Margin)/INDEX(Crop!$AB$157:$AG$157,MATCH($A4,Crop!$AB$142:$AG$142,0))</f>
        <v>178.02203588696702</v>
      </c>
      <c r="AF4" s="2">
        <f>Crop!AF4*(1+Profit_Margin)/INDEX(Crop!$AB$157:$AG$157,MATCH($A4,Crop!$AB$142:$AG$142,0))</f>
        <v>198.78651259568372</v>
      </c>
      <c r="AG4" s="2">
        <f>Crop!AG4*(1+Profit_Margin)/INDEX(Crop!$AB$157:$AG$157,MATCH($A4,Crop!$AB$142:$AG$142,0))</f>
        <v>178.02203588696702</v>
      </c>
      <c r="AH4" s="2">
        <f>Crop!AH4*(1+Profit_Margin)/INDEX(Crop!$AB$157:$AG$157,MATCH($A4,Crop!$AB$142:$AG$142,0))</f>
        <v>198.78651259568372</v>
      </c>
    </row>
    <row r="5" spans="1:34">
      <c r="A5" t="str">
        <f>CYF!A5</f>
        <v>Teff</v>
      </c>
      <c r="B5" t="str">
        <f>CYF!B5</f>
        <v>Amhara</v>
      </c>
      <c r="C5" s="2">
        <f>Crop!C5*(1+Profit_Margin)/INDEX(Crop!$AB$157:$AG$157,MATCH($A5,Crop!$AB$142:$AG$142,0))</f>
        <v>167.76427672184192</v>
      </c>
      <c r="D5" s="2">
        <f>Crop!D5*(1+Profit_Margin)/INDEX(Crop!$AB$157:$AG$157,MATCH($A5,Crop!$AB$142:$AG$142,0))</f>
        <v>181.53007961701221</v>
      </c>
      <c r="E5" s="2">
        <f>Crop!E5*(1+Profit_Margin)/INDEX(Crop!$AB$157:$AG$157,MATCH($A5,Crop!$AB$142:$AG$142,0))</f>
        <v>167.76427672184192</v>
      </c>
      <c r="F5" s="2">
        <f>Crop!F5*(1+Profit_Margin)/INDEX(Crop!$AB$157:$AG$157,MATCH($A5,Crop!$AB$142:$AG$142,0))</f>
        <v>181.53007961701221</v>
      </c>
      <c r="G5" s="2">
        <f>Crop!G5*(1+Profit_Margin)/INDEX(Crop!$AB$157:$AG$157,MATCH($A5,Crop!$AB$142:$AG$142,0))</f>
        <v>167.76427672184192</v>
      </c>
      <c r="H5" s="2">
        <f>Crop!H5*(1+Profit_Margin)/INDEX(Crop!$AB$157:$AG$157,MATCH($A5,Crop!$AB$142:$AG$142,0))</f>
        <v>181.53007961701221</v>
      </c>
      <c r="I5" s="2">
        <f>Crop!I5*(1+Profit_Margin)/INDEX(Crop!$AB$157:$AG$157,MATCH($A5,Crop!$AB$142:$AG$142,0))</f>
        <v>167.76427672184192</v>
      </c>
      <c r="J5" s="2">
        <f>Crop!J5*(1+Profit_Margin)/INDEX(Crop!$AB$157:$AG$157,MATCH($A5,Crop!$AB$142:$AG$142,0))</f>
        <v>181.53007961701221</v>
      </c>
      <c r="K5" s="2">
        <f>Crop!K5*(1+Profit_Margin)/INDEX(Crop!$AB$157:$AG$157,MATCH($A5,Crop!$AB$142:$AG$142,0))</f>
        <v>167.76427672184192</v>
      </c>
      <c r="L5" s="2">
        <f>Crop!L5*(1+Profit_Margin)/INDEX(Crop!$AB$157:$AG$157,MATCH($A5,Crop!$AB$142:$AG$142,0))</f>
        <v>181.53007961701221</v>
      </c>
      <c r="M5" s="2">
        <f>Crop!M5*(1+Profit_Margin)/INDEX(Crop!$AB$157:$AG$157,MATCH($A5,Crop!$AB$142:$AG$142,0))</f>
        <v>167.76427672184192</v>
      </c>
      <c r="N5" s="2">
        <f>Crop!N5*(1+Profit_Margin)/INDEX(Crop!$AB$157:$AG$157,MATCH($A5,Crop!$AB$142:$AG$142,0))</f>
        <v>181.53007961701221</v>
      </c>
      <c r="O5" s="2">
        <f>Crop!O5*(1+Profit_Margin)/INDEX(Crop!$AB$157:$AG$157,MATCH($A5,Crop!$AB$142:$AG$142,0))</f>
        <v>167.76427672184192</v>
      </c>
      <c r="P5" s="2">
        <f>Crop!P5*(1+Profit_Margin)/INDEX(Crop!$AB$157:$AG$157,MATCH($A5,Crop!$AB$142:$AG$142,0))</f>
        <v>181.53007961701221</v>
      </c>
      <c r="Q5" s="2">
        <f>Crop!Q5*(1+Profit_Margin)/INDEX(Crop!$AB$157:$AG$157,MATCH($A5,Crop!$AB$142:$AG$142,0))</f>
        <v>167.76427672184192</v>
      </c>
      <c r="R5" s="2">
        <f>Crop!R5*(1+Profit_Margin)/INDEX(Crop!$AB$157:$AG$157,MATCH($A5,Crop!$AB$142:$AG$142,0))</f>
        <v>181.53007961701221</v>
      </c>
      <c r="S5" s="2">
        <f>Crop!S5*(1+Profit_Margin)/INDEX(Crop!$AB$157:$AG$157,MATCH($A5,Crop!$AB$142:$AG$142,0))</f>
        <v>167.76427672184192</v>
      </c>
      <c r="T5" s="2">
        <f>Crop!T5*(1+Profit_Margin)/INDEX(Crop!$AB$157:$AG$157,MATCH($A5,Crop!$AB$142:$AG$142,0))</f>
        <v>181.53007961701221</v>
      </c>
      <c r="U5" s="2">
        <f>Crop!U5*(1+Profit_Margin)/INDEX(Crop!$AB$157:$AG$157,MATCH($A5,Crop!$AB$142:$AG$142,0))</f>
        <v>167.76427672184192</v>
      </c>
      <c r="V5" s="2">
        <f>Crop!V5*(1+Profit_Margin)/INDEX(Crop!$AB$157:$AG$157,MATCH($A5,Crop!$AB$142:$AG$142,0))</f>
        <v>181.53007961701221</v>
      </c>
      <c r="W5" s="2">
        <f>Crop!W5*(1+Profit_Margin)/INDEX(Crop!$AB$157:$AG$157,MATCH($A5,Crop!$AB$142:$AG$142,0))</f>
        <v>167.76427672184192</v>
      </c>
      <c r="X5" s="2">
        <f>Crop!X5*(1+Profit_Margin)/INDEX(Crop!$AB$157:$AG$157,MATCH($A5,Crop!$AB$142:$AG$142,0))</f>
        <v>181.53007961701221</v>
      </c>
      <c r="Y5" s="2">
        <f>Crop!Y5*(1+Profit_Margin)/INDEX(Crop!$AB$157:$AG$157,MATCH($A5,Crop!$AB$142:$AG$142,0))</f>
        <v>167.76427672184192</v>
      </c>
      <c r="Z5" s="2">
        <f>Crop!Z5*(1+Profit_Margin)/INDEX(Crop!$AB$157:$AG$157,MATCH($A5,Crop!$AB$142:$AG$142,0))</f>
        <v>181.53007961701221</v>
      </c>
      <c r="AA5" s="2">
        <f>Crop!AA5*(1+Profit_Margin)/INDEX(Crop!$AB$157:$AG$157,MATCH($A5,Crop!$AB$142:$AG$142,0))</f>
        <v>167.76427672184192</v>
      </c>
      <c r="AB5" s="2">
        <f>Crop!AB5*(1+Profit_Margin)/INDEX(Crop!$AB$157:$AG$157,MATCH($A5,Crop!$AB$142:$AG$142,0))</f>
        <v>181.53007961701221</v>
      </c>
      <c r="AC5" s="2">
        <f>Crop!AC5*(1+Profit_Margin)/INDEX(Crop!$AB$157:$AG$157,MATCH($A5,Crop!$AB$142:$AG$142,0))</f>
        <v>167.76427672184192</v>
      </c>
      <c r="AD5" s="2">
        <f>Crop!AD5*(1+Profit_Margin)/INDEX(Crop!$AB$157:$AG$157,MATCH($A5,Crop!$AB$142:$AG$142,0))</f>
        <v>181.53007961701221</v>
      </c>
      <c r="AE5" s="2">
        <f>Crop!AE5*(1+Profit_Margin)/INDEX(Crop!$AB$157:$AG$157,MATCH($A5,Crop!$AB$142:$AG$142,0))</f>
        <v>167.76427672184192</v>
      </c>
      <c r="AF5" s="2">
        <f>Crop!AF5*(1+Profit_Margin)/INDEX(Crop!$AB$157:$AG$157,MATCH($A5,Crop!$AB$142:$AG$142,0))</f>
        <v>181.53007961701221</v>
      </c>
      <c r="AG5" s="2">
        <f>Crop!AG5*(1+Profit_Margin)/INDEX(Crop!$AB$157:$AG$157,MATCH($A5,Crop!$AB$142:$AG$142,0))</f>
        <v>167.76427672184192</v>
      </c>
      <c r="AH5" s="2">
        <f>Crop!AH5*(1+Profit_Margin)/INDEX(Crop!$AB$157:$AG$157,MATCH($A5,Crop!$AB$142:$AG$142,0))</f>
        <v>181.53007961701221</v>
      </c>
    </row>
    <row r="6" spans="1:34">
      <c r="A6" t="str">
        <f>CYF!A6</f>
        <v>Teff</v>
      </c>
      <c r="B6" t="str">
        <f>CYF!B6</f>
        <v>Gumuz</v>
      </c>
      <c r="C6" s="2">
        <f>Crop!C6*(1+Profit_Margin)/INDEX(Crop!$AB$157:$AG$157,MATCH($A6,Crop!$AB$142:$AG$142,0))</f>
        <v>153.16936154392582</v>
      </c>
      <c r="D6" s="2">
        <f>Crop!D6*(1+Profit_Margin)/INDEX(Crop!$AB$157:$AG$157,MATCH($A6,Crop!$AB$142:$AG$142,0))</f>
        <v>185.71867771834488</v>
      </c>
      <c r="E6" s="2">
        <f>Crop!E6*(1+Profit_Margin)/INDEX(Crop!$AB$157:$AG$157,MATCH($A6,Crop!$AB$142:$AG$142,0))</f>
        <v>153.16936154392582</v>
      </c>
      <c r="F6" s="2">
        <f>Crop!F6*(1+Profit_Margin)/INDEX(Crop!$AB$157:$AG$157,MATCH($A6,Crop!$AB$142:$AG$142,0))</f>
        <v>185.71867771834488</v>
      </c>
      <c r="G6" s="2">
        <f>Crop!G6*(1+Profit_Margin)/INDEX(Crop!$AB$157:$AG$157,MATCH($A6,Crop!$AB$142:$AG$142,0))</f>
        <v>153.16936154392582</v>
      </c>
      <c r="H6" s="2">
        <f>Crop!H6*(1+Profit_Margin)/INDEX(Crop!$AB$157:$AG$157,MATCH($A6,Crop!$AB$142:$AG$142,0))</f>
        <v>185.71867771834488</v>
      </c>
      <c r="I6" s="2">
        <f>Crop!I6*(1+Profit_Margin)/INDEX(Crop!$AB$157:$AG$157,MATCH($A6,Crop!$AB$142:$AG$142,0))</f>
        <v>153.16936154392582</v>
      </c>
      <c r="J6" s="2">
        <f>Crop!J6*(1+Profit_Margin)/INDEX(Crop!$AB$157:$AG$157,MATCH($A6,Crop!$AB$142:$AG$142,0))</f>
        <v>185.71867771834488</v>
      </c>
      <c r="K6" s="2">
        <f>Crop!K6*(1+Profit_Margin)/INDEX(Crop!$AB$157:$AG$157,MATCH($A6,Crop!$AB$142:$AG$142,0))</f>
        <v>153.16936154392582</v>
      </c>
      <c r="L6" s="2">
        <f>Crop!L6*(1+Profit_Margin)/INDEX(Crop!$AB$157:$AG$157,MATCH($A6,Crop!$AB$142:$AG$142,0))</f>
        <v>185.71867771834488</v>
      </c>
      <c r="M6" s="2">
        <f>Crop!M6*(1+Profit_Margin)/INDEX(Crop!$AB$157:$AG$157,MATCH($A6,Crop!$AB$142:$AG$142,0))</f>
        <v>153.16936154392582</v>
      </c>
      <c r="N6" s="2">
        <f>Crop!N6*(1+Profit_Margin)/INDEX(Crop!$AB$157:$AG$157,MATCH($A6,Crop!$AB$142:$AG$142,0))</f>
        <v>185.71867771834488</v>
      </c>
      <c r="O6" s="2">
        <f>Crop!O6*(1+Profit_Margin)/INDEX(Crop!$AB$157:$AG$157,MATCH($A6,Crop!$AB$142:$AG$142,0))</f>
        <v>153.16936154392582</v>
      </c>
      <c r="P6" s="2">
        <f>Crop!P6*(1+Profit_Margin)/INDEX(Crop!$AB$157:$AG$157,MATCH($A6,Crop!$AB$142:$AG$142,0))</f>
        <v>185.71867771834488</v>
      </c>
      <c r="Q6" s="2">
        <f>Crop!Q6*(1+Profit_Margin)/INDEX(Crop!$AB$157:$AG$157,MATCH($A6,Crop!$AB$142:$AG$142,0))</f>
        <v>153.16936154392582</v>
      </c>
      <c r="R6" s="2">
        <f>Crop!R6*(1+Profit_Margin)/INDEX(Crop!$AB$157:$AG$157,MATCH($A6,Crop!$AB$142:$AG$142,0))</f>
        <v>185.71867771834488</v>
      </c>
      <c r="S6" s="2">
        <f>Crop!S6*(1+Profit_Margin)/INDEX(Crop!$AB$157:$AG$157,MATCH($A6,Crop!$AB$142:$AG$142,0))</f>
        <v>153.16936154392582</v>
      </c>
      <c r="T6" s="2">
        <f>Crop!T6*(1+Profit_Margin)/INDEX(Crop!$AB$157:$AG$157,MATCH($A6,Crop!$AB$142:$AG$142,0))</f>
        <v>185.71867771834488</v>
      </c>
      <c r="U6" s="2">
        <f>Crop!U6*(1+Profit_Margin)/INDEX(Crop!$AB$157:$AG$157,MATCH($A6,Crop!$AB$142:$AG$142,0))</f>
        <v>153.16936154392582</v>
      </c>
      <c r="V6" s="2">
        <f>Crop!V6*(1+Profit_Margin)/INDEX(Crop!$AB$157:$AG$157,MATCH($A6,Crop!$AB$142:$AG$142,0))</f>
        <v>185.71867771834488</v>
      </c>
      <c r="W6" s="2">
        <f>Crop!W6*(1+Profit_Margin)/INDEX(Crop!$AB$157:$AG$157,MATCH($A6,Crop!$AB$142:$AG$142,0))</f>
        <v>153.16936154392582</v>
      </c>
      <c r="X6" s="2">
        <f>Crop!X6*(1+Profit_Margin)/INDEX(Crop!$AB$157:$AG$157,MATCH($A6,Crop!$AB$142:$AG$142,0))</f>
        <v>185.71867771834488</v>
      </c>
      <c r="Y6" s="2">
        <f>Crop!Y6*(1+Profit_Margin)/INDEX(Crop!$AB$157:$AG$157,MATCH($A6,Crop!$AB$142:$AG$142,0))</f>
        <v>153.16936154392582</v>
      </c>
      <c r="Z6" s="2">
        <f>Crop!Z6*(1+Profit_Margin)/INDEX(Crop!$AB$157:$AG$157,MATCH($A6,Crop!$AB$142:$AG$142,0))</f>
        <v>185.71867771834488</v>
      </c>
      <c r="AA6" s="2">
        <f>Crop!AA6*(1+Profit_Margin)/INDEX(Crop!$AB$157:$AG$157,MATCH($A6,Crop!$AB$142:$AG$142,0))</f>
        <v>153.16936154392582</v>
      </c>
      <c r="AB6" s="2">
        <f>Crop!AB6*(1+Profit_Margin)/INDEX(Crop!$AB$157:$AG$157,MATCH($A6,Crop!$AB$142:$AG$142,0))</f>
        <v>185.71867771834488</v>
      </c>
      <c r="AC6" s="2">
        <f>Crop!AC6*(1+Profit_Margin)/INDEX(Crop!$AB$157:$AG$157,MATCH($A6,Crop!$AB$142:$AG$142,0))</f>
        <v>153.16936154392582</v>
      </c>
      <c r="AD6" s="2">
        <f>Crop!AD6*(1+Profit_Margin)/INDEX(Crop!$AB$157:$AG$157,MATCH($A6,Crop!$AB$142:$AG$142,0))</f>
        <v>185.71867771834488</v>
      </c>
      <c r="AE6" s="2">
        <f>Crop!AE6*(1+Profit_Margin)/INDEX(Crop!$AB$157:$AG$157,MATCH($A6,Crop!$AB$142:$AG$142,0))</f>
        <v>153.16936154392582</v>
      </c>
      <c r="AF6" s="2">
        <f>Crop!AF6*(1+Profit_Margin)/INDEX(Crop!$AB$157:$AG$157,MATCH($A6,Crop!$AB$142:$AG$142,0))</f>
        <v>185.71867771834488</v>
      </c>
      <c r="AG6" s="2">
        <f>Crop!AG6*(1+Profit_Margin)/INDEX(Crop!$AB$157:$AG$157,MATCH($A6,Crop!$AB$142:$AG$142,0))</f>
        <v>153.16936154392582</v>
      </c>
      <c r="AH6" s="2">
        <f>Crop!AH6*(1+Profit_Margin)/INDEX(Crop!$AB$157:$AG$157,MATCH($A6,Crop!$AB$142:$AG$142,0))</f>
        <v>185.71867771834488</v>
      </c>
    </row>
    <row r="7" spans="1:34">
      <c r="A7" t="str">
        <f>CYF!A7</f>
        <v>Teff</v>
      </c>
      <c r="B7" t="str">
        <f>CYF!B7</f>
        <v>DireDawa</v>
      </c>
      <c r="C7" s="2">
        <f>Crop!C7*(1+Profit_Margin)/INDEX(Crop!$AB$157:$AG$157,MATCH($A7,Crop!$AB$142:$AG$142,0))</f>
        <v>151.20087490759724</v>
      </c>
      <c r="D7" s="2">
        <f>Crop!D7*(1+Profit_Margin)/INDEX(Crop!$AB$157:$AG$157,MATCH($A7,Crop!$AB$142:$AG$142,0))</f>
        <v>190.74298773256513</v>
      </c>
      <c r="E7" s="2">
        <f>Crop!E7*(1+Profit_Margin)/INDEX(Crop!$AB$157:$AG$157,MATCH($A7,Crop!$AB$142:$AG$142,0))</f>
        <v>151.20087490759724</v>
      </c>
      <c r="F7" s="2">
        <f>Crop!F7*(1+Profit_Margin)/INDEX(Crop!$AB$157:$AG$157,MATCH($A7,Crop!$AB$142:$AG$142,0))</f>
        <v>190.74298773256513</v>
      </c>
      <c r="G7" s="2">
        <f>Crop!G7*(1+Profit_Margin)/INDEX(Crop!$AB$157:$AG$157,MATCH($A7,Crop!$AB$142:$AG$142,0))</f>
        <v>151.20087490759724</v>
      </c>
      <c r="H7" s="2">
        <f>Crop!H7*(1+Profit_Margin)/INDEX(Crop!$AB$157:$AG$157,MATCH($A7,Crop!$AB$142:$AG$142,0))</f>
        <v>190.74298773256513</v>
      </c>
      <c r="I7" s="2">
        <f>Crop!I7*(1+Profit_Margin)/INDEX(Crop!$AB$157:$AG$157,MATCH($A7,Crop!$AB$142:$AG$142,0))</f>
        <v>151.20087490759724</v>
      </c>
      <c r="J7" s="2">
        <f>Crop!J7*(1+Profit_Margin)/INDEX(Crop!$AB$157:$AG$157,MATCH($A7,Crop!$AB$142:$AG$142,0))</f>
        <v>190.74298773256513</v>
      </c>
      <c r="K7" s="2">
        <f>Crop!K7*(1+Profit_Margin)/INDEX(Crop!$AB$157:$AG$157,MATCH($A7,Crop!$AB$142:$AG$142,0))</f>
        <v>151.20087490759724</v>
      </c>
      <c r="L7" s="2">
        <f>Crop!L7*(1+Profit_Margin)/INDEX(Crop!$AB$157:$AG$157,MATCH($A7,Crop!$AB$142:$AG$142,0))</f>
        <v>190.74298773256513</v>
      </c>
      <c r="M7" s="2">
        <f>Crop!M7*(1+Profit_Margin)/INDEX(Crop!$AB$157:$AG$157,MATCH($A7,Crop!$AB$142:$AG$142,0))</f>
        <v>151.20087490759724</v>
      </c>
      <c r="N7" s="2">
        <f>Crop!N7*(1+Profit_Margin)/INDEX(Crop!$AB$157:$AG$157,MATCH($A7,Crop!$AB$142:$AG$142,0))</f>
        <v>190.74298773256513</v>
      </c>
      <c r="O7" s="2">
        <f>Crop!O7*(1+Profit_Margin)/INDEX(Crop!$AB$157:$AG$157,MATCH($A7,Crop!$AB$142:$AG$142,0))</f>
        <v>151.20087490759724</v>
      </c>
      <c r="P7" s="2">
        <f>Crop!P7*(1+Profit_Margin)/INDEX(Crop!$AB$157:$AG$157,MATCH($A7,Crop!$AB$142:$AG$142,0))</f>
        <v>190.74298773256513</v>
      </c>
      <c r="Q7" s="2">
        <f>Crop!Q7*(1+Profit_Margin)/INDEX(Crop!$AB$157:$AG$157,MATCH($A7,Crop!$AB$142:$AG$142,0))</f>
        <v>151.20087490759724</v>
      </c>
      <c r="R7" s="2">
        <f>Crop!R7*(1+Profit_Margin)/INDEX(Crop!$AB$157:$AG$157,MATCH($A7,Crop!$AB$142:$AG$142,0))</f>
        <v>190.74298773256513</v>
      </c>
      <c r="S7" s="2">
        <f>Crop!S7*(1+Profit_Margin)/INDEX(Crop!$AB$157:$AG$157,MATCH($A7,Crop!$AB$142:$AG$142,0))</f>
        <v>151.20087490759724</v>
      </c>
      <c r="T7" s="2">
        <f>Crop!T7*(1+Profit_Margin)/INDEX(Crop!$AB$157:$AG$157,MATCH($A7,Crop!$AB$142:$AG$142,0))</f>
        <v>190.74298773256513</v>
      </c>
      <c r="U7" s="2">
        <f>Crop!U7*(1+Profit_Margin)/INDEX(Crop!$AB$157:$AG$157,MATCH($A7,Crop!$AB$142:$AG$142,0))</f>
        <v>151.20087490759724</v>
      </c>
      <c r="V7" s="2">
        <f>Crop!V7*(1+Profit_Margin)/INDEX(Crop!$AB$157:$AG$157,MATCH($A7,Crop!$AB$142:$AG$142,0))</f>
        <v>190.74298773256513</v>
      </c>
      <c r="W7" s="2">
        <f>Crop!W7*(1+Profit_Margin)/INDEX(Crop!$AB$157:$AG$157,MATCH($A7,Crop!$AB$142:$AG$142,0))</f>
        <v>151.20087490759724</v>
      </c>
      <c r="X7" s="2">
        <f>Crop!X7*(1+Profit_Margin)/INDEX(Crop!$AB$157:$AG$157,MATCH($A7,Crop!$AB$142:$AG$142,0))</f>
        <v>190.74298773256513</v>
      </c>
      <c r="Y7" s="2">
        <f>Crop!Y7*(1+Profit_Margin)/INDEX(Crop!$AB$157:$AG$157,MATCH($A7,Crop!$AB$142:$AG$142,0))</f>
        <v>151.20087490759724</v>
      </c>
      <c r="Z7" s="2">
        <f>Crop!Z7*(1+Profit_Margin)/INDEX(Crop!$AB$157:$AG$157,MATCH($A7,Crop!$AB$142:$AG$142,0))</f>
        <v>190.74298773256513</v>
      </c>
      <c r="AA7" s="2">
        <f>Crop!AA7*(1+Profit_Margin)/INDEX(Crop!$AB$157:$AG$157,MATCH($A7,Crop!$AB$142:$AG$142,0))</f>
        <v>151.20087490759724</v>
      </c>
      <c r="AB7" s="2">
        <f>Crop!AB7*(1+Profit_Margin)/INDEX(Crop!$AB$157:$AG$157,MATCH($A7,Crop!$AB$142:$AG$142,0))</f>
        <v>190.74298773256513</v>
      </c>
      <c r="AC7" s="2">
        <f>Crop!AC7*(1+Profit_Margin)/INDEX(Crop!$AB$157:$AG$157,MATCH($A7,Crop!$AB$142:$AG$142,0))</f>
        <v>151.20087490759724</v>
      </c>
      <c r="AD7" s="2">
        <f>Crop!AD7*(1+Profit_Margin)/INDEX(Crop!$AB$157:$AG$157,MATCH($A7,Crop!$AB$142:$AG$142,0))</f>
        <v>190.74298773256513</v>
      </c>
      <c r="AE7" s="2">
        <f>Crop!AE7*(1+Profit_Margin)/INDEX(Crop!$AB$157:$AG$157,MATCH($A7,Crop!$AB$142:$AG$142,0))</f>
        <v>151.20087490759724</v>
      </c>
      <c r="AF7" s="2">
        <f>Crop!AF7*(1+Profit_Margin)/INDEX(Crop!$AB$157:$AG$157,MATCH($A7,Crop!$AB$142:$AG$142,0))</f>
        <v>190.74298773256513</v>
      </c>
      <c r="AG7" s="2">
        <f>Crop!AG7*(1+Profit_Margin)/INDEX(Crop!$AB$157:$AG$157,MATCH($A7,Crop!$AB$142:$AG$142,0))</f>
        <v>151.20087490759724</v>
      </c>
      <c r="AH7" s="2">
        <f>Crop!AH7*(1+Profit_Margin)/INDEX(Crop!$AB$157:$AG$157,MATCH($A7,Crop!$AB$142:$AG$142,0))</f>
        <v>190.74298773256513</v>
      </c>
    </row>
    <row r="8" spans="1:34">
      <c r="A8" t="str">
        <f>CYF!A8</f>
        <v>Teff</v>
      </c>
      <c r="B8" t="str">
        <f>CYF!B8</f>
        <v>Gambela</v>
      </c>
      <c r="C8" s="2">
        <f>Crop!C8*(1+Profit_Margin)/INDEX(Crop!$AB$157:$AG$157,MATCH($A8,Crop!$AB$142:$AG$142,0))</f>
        <v>144.2028129636883</v>
      </c>
      <c r="D8" s="2">
        <f>Crop!D8*(1+Profit_Margin)/INDEX(Crop!$AB$157:$AG$157,MATCH($A8,Crop!$AB$142:$AG$142,0))</f>
        <v>190.67707893911398</v>
      </c>
      <c r="E8" s="2">
        <f>Crop!E8*(1+Profit_Margin)/INDEX(Crop!$AB$157:$AG$157,MATCH($A8,Crop!$AB$142:$AG$142,0))</f>
        <v>144.2028129636883</v>
      </c>
      <c r="F8" s="2">
        <f>Crop!F8*(1+Profit_Margin)/INDEX(Crop!$AB$157:$AG$157,MATCH($A8,Crop!$AB$142:$AG$142,0))</f>
        <v>190.67707893911398</v>
      </c>
      <c r="G8" s="2">
        <f>Crop!G8*(1+Profit_Margin)/INDEX(Crop!$AB$157:$AG$157,MATCH($A8,Crop!$AB$142:$AG$142,0))</f>
        <v>144.2028129636883</v>
      </c>
      <c r="H8" s="2">
        <f>Crop!H8*(1+Profit_Margin)/INDEX(Crop!$AB$157:$AG$157,MATCH($A8,Crop!$AB$142:$AG$142,0))</f>
        <v>190.67707893911398</v>
      </c>
      <c r="I8" s="2">
        <f>Crop!I8*(1+Profit_Margin)/INDEX(Crop!$AB$157:$AG$157,MATCH($A8,Crop!$AB$142:$AG$142,0))</f>
        <v>144.2028129636883</v>
      </c>
      <c r="J8" s="2">
        <f>Crop!J8*(1+Profit_Margin)/INDEX(Crop!$AB$157:$AG$157,MATCH($A8,Crop!$AB$142:$AG$142,0))</f>
        <v>190.67707893911398</v>
      </c>
      <c r="K8" s="2">
        <f>Crop!K8*(1+Profit_Margin)/INDEX(Crop!$AB$157:$AG$157,MATCH($A8,Crop!$AB$142:$AG$142,0))</f>
        <v>144.2028129636883</v>
      </c>
      <c r="L8" s="2">
        <f>Crop!L8*(1+Profit_Margin)/INDEX(Crop!$AB$157:$AG$157,MATCH($A8,Crop!$AB$142:$AG$142,0))</f>
        <v>190.67707893911398</v>
      </c>
      <c r="M8" s="2">
        <f>Crop!M8*(1+Profit_Margin)/INDEX(Crop!$AB$157:$AG$157,MATCH($A8,Crop!$AB$142:$AG$142,0))</f>
        <v>144.2028129636883</v>
      </c>
      <c r="N8" s="2">
        <f>Crop!N8*(1+Profit_Margin)/INDEX(Crop!$AB$157:$AG$157,MATCH($A8,Crop!$AB$142:$AG$142,0))</f>
        <v>190.67707893911398</v>
      </c>
      <c r="O8" s="2">
        <f>Crop!O8*(1+Profit_Margin)/INDEX(Crop!$AB$157:$AG$157,MATCH($A8,Crop!$AB$142:$AG$142,0))</f>
        <v>144.2028129636883</v>
      </c>
      <c r="P8" s="2">
        <f>Crop!P8*(1+Profit_Margin)/INDEX(Crop!$AB$157:$AG$157,MATCH($A8,Crop!$AB$142:$AG$142,0))</f>
        <v>190.67707893911398</v>
      </c>
      <c r="Q8" s="2">
        <f>Crop!Q8*(1+Profit_Margin)/INDEX(Crop!$AB$157:$AG$157,MATCH($A8,Crop!$AB$142:$AG$142,0))</f>
        <v>144.2028129636883</v>
      </c>
      <c r="R8" s="2">
        <f>Crop!R8*(1+Profit_Margin)/INDEX(Crop!$AB$157:$AG$157,MATCH($A8,Crop!$AB$142:$AG$142,0))</f>
        <v>190.67707893911398</v>
      </c>
      <c r="S8" s="2">
        <f>Crop!S8*(1+Profit_Margin)/INDEX(Crop!$AB$157:$AG$157,MATCH($A8,Crop!$AB$142:$AG$142,0))</f>
        <v>144.2028129636883</v>
      </c>
      <c r="T8" s="2">
        <f>Crop!T8*(1+Profit_Margin)/INDEX(Crop!$AB$157:$AG$157,MATCH($A8,Crop!$AB$142:$AG$142,0))</f>
        <v>190.67707893911398</v>
      </c>
      <c r="U8" s="2">
        <f>Crop!U8*(1+Profit_Margin)/INDEX(Crop!$AB$157:$AG$157,MATCH($A8,Crop!$AB$142:$AG$142,0))</f>
        <v>144.2028129636883</v>
      </c>
      <c r="V8" s="2">
        <f>Crop!V8*(1+Profit_Margin)/INDEX(Crop!$AB$157:$AG$157,MATCH($A8,Crop!$AB$142:$AG$142,0))</f>
        <v>190.67707893911398</v>
      </c>
      <c r="W8" s="2">
        <f>Crop!W8*(1+Profit_Margin)/INDEX(Crop!$AB$157:$AG$157,MATCH($A8,Crop!$AB$142:$AG$142,0))</f>
        <v>144.2028129636883</v>
      </c>
      <c r="X8" s="2">
        <f>Crop!X8*(1+Profit_Margin)/INDEX(Crop!$AB$157:$AG$157,MATCH($A8,Crop!$AB$142:$AG$142,0))</f>
        <v>190.67707893911398</v>
      </c>
      <c r="Y8" s="2">
        <f>Crop!Y8*(1+Profit_Margin)/INDEX(Crop!$AB$157:$AG$157,MATCH($A8,Crop!$AB$142:$AG$142,0))</f>
        <v>144.2028129636883</v>
      </c>
      <c r="Z8" s="2">
        <f>Crop!Z8*(1+Profit_Margin)/INDEX(Crop!$AB$157:$AG$157,MATCH($A8,Crop!$AB$142:$AG$142,0))</f>
        <v>190.67707893911398</v>
      </c>
      <c r="AA8" s="2">
        <f>Crop!AA8*(1+Profit_Margin)/INDEX(Crop!$AB$157:$AG$157,MATCH($A8,Crop!$AB$142:$AG$142,0))</f>
        <v>144.2028129636883</v>
      </c>
      <c r="AB8" s="2">
        <f>Crop!AB8*(1+Profit_Margin)/INDEX(Crop!$AB$157:$AG$157,MATCH($A8,Crop!$AB$142:$AG$142,0))</f>
        <v>190.67707893911398</v>
      </c>
      <c r="AC8" s="2">
        <f>Crop!AC8*(1+Profit_Margin)/INDEX(Crop!$AB$157:$AG$157,MATCH($A8,Crop!$AB$142:$AG$142,0))</f>
        <v>144.2028129636883</v>
      </c>
      <c r="AD8" s="2">
        <f>Crop!AD8*(1+Profit_Margin)/INDEX(Crop!$AB$157:$AG$157,MATCH($A8,Crop!$AB$142:$AG$142,0))</f>
        <v>190.67707893911398</v>
      </c>
      <c r="AE8" s="2">
        <f>Crop!AE8*(1+Profit_Margin)/INDEX(Crop!$AB$157:$AG$157,MATCH($A8,Crop!$AB$142:$AG$142,0))</f>
        <v>144.2028129636883</v>
      </c>
      <c r="AF8" s="2">
        <f>Crop!AF8*(1+Profit_Margin)/INDEX(Crop!$AB$157:$AG$157,MATCH($A8,Crop!$AB$142:$AG$142,0))</f>
        <v>190.67707893911398</v>
      </c>
      <c r="AG8" s="2">
        <f>Crop!AG8*(1+Profit_Margin)/INDEX(Crop!$AB$157:$AG$157,MATCH($A8,Crop!$AB$142:$AG$142,0))</f>
        <v>144.2028129636883</v>
      </c>
      <c r="AH8" s="2">
        <f>Crop!AH8*(1+Profit_Margin)/INDEX(Crop!$AB$157:$AG$157,MATCH($A8,Crop!$AB$142:$AG$142,0))</f>
        <v>190.67707893911398</v>
      </c>
    </row>
    <row r="9" spans="1:34">
      <c r="A9" t="str">
        <f>CYF!A9</f>
        <v>Teff</v>
      </c>
      <c r="B9" t="str">
        <f>CYF!B9</f>
        <v>Harari</v>
      </c>
      <c r="C9" s="2">
        <f>Crop!C9*(1+Profit_Margin)/INDEX(Crop!$AB$157:$AG$157,MATCH($A9,Crop!$AB$142:$AG$142,0))</f>
        <v>156.60103806444891</v>
      </c>
      <c r="D9" s="2">
        <f>Crop!D9*(1+Profit_Margin)/INDEX(Crop!$AB$157:$AG$157,MATCH($A9,Crop!$AB$142:$AG$142,0))</f>
        <v>193.73727819650458</v>
      </c>
      <c r="E9" s="2">
        <f>Crop!E9*(1+Profit_Margin)/INDEX(Crop!$AB$157:$AG$157,MATCH($A9,Crop!$AB$142:$AG$142,0))</f>
        <v>156.60103806444891</v>
      </c>
      <c r="F9" s="2">
        <f>Crop!F9*(1+Profit_Margin)/INDEX(Crop!$AB$157:$AG$157,MATCH($A9,Crop!$AB$142:$AG$142,0))</f>
        <v>193.73727819650458</v>
      </c>
      <c r="G9" s="2">
        <f>Crop!G9*(1+Profit_Margin)/INDEX(Crop!$AB$157:$AG$157,MATCH($A9,Crop!$AB$142:$AG$142,0))</f>
        <v>156.60103806444891</v>
      </c>
      <c r="H9" s="2">
        <f>Crop!H9*(1+Profit_Margin)/INDEX(Crop!$AB$157:$AG$157,MATCH($A9,Crop!$AB$142:$AG$142,0))</f>
        <v>193.73727819650458</v>
      </c>
      <c r="I9" s="2">
        <f>Crop!I9*(1+Profit_Margin)/INDEX(Crop!$AB$157:$AG$157,MATCH($A9,Crop!$AB$142:$AG$142,0))</f>
        <v>156.60103806444891</v>
      </c>
      <c r="J9" s="2">
        <f>Crop!J9*(1+Profit_Margin)/INDEX(Crop!$AB$157:$AG$157,MATCH($A9,Crop!$AB$142:$AG$142,0))</f>
        <v>193.73727819650458</v>
      </c>
      <c r="K9" s="2">
        <f>Crop!K9*(1+Profit_Margin)/INDEX(Crop!$AB$157:$AG$157,MATCH($A9,Crop!$AB$142:$AG$142,0))</f>
        <v>156.60103806444891</v>
      </c>
      <c r="L9" s="2">
        <f>Crop!L9*(1+Profit_Margin)/INDEX(Crop!$AB$157:$AG$157,MATCH($A9,Crop!$AB$142:$AG$142,0))</f>
        <v>193.73727819650458</v>
      </c>
      <c r="M9" s="2">
        <f>Crop!M9*(1+Profit_Margin)/INDEX(Crop!$AB$157:$AG$157,MATCH($A9,Crop!$AB$142:$AG$142,0))</f>
        <v>156.60103806444891</v>
      </c>
      <c r="N9" s="2">
        <f>Crop!N9*(1+Profit_Margin)/INDEX(Crop!$AB$157:$AG$157,MATCH($A9,Crop!$AB$142:$AG$142,0))</f>
        <v>193.73727819650458</v>
      </c>
      <c r="O9" s="2">
        <f>Crop!O9*(1+Profit_Margin)/INDEX(Crop!$AB$157:$AG$157,MATCH($A9,Crop!$AB$142:$AG$142,0))</f>
        <v>156.60103806444891</v>
      </c>
      <c r="P9" s="2">
        <f>Crop!P9*(1+Profit_Margin)/INDEX(Crop!$AB$157:$AG$157,MATCH($A9,Crop!$AB$142:$AG$142,0))</f>
        <v>193.73727819650458</v>
      </c>
      <c r="Q9" s="2">
        <f>Crop!Q9*(1+Profit_Margin)/INDEX(Crop!$AB$157:$AG$157,MATCH($A9,Crop!$AB$142:$AG$142,0))</f>
        <v>156.60103806444891</v>
      </c>
      <c r="R9" s="2">
        <f>Crop!R9*(1+Profit_Margin)/INDEX(Crop!$AB$157:$AG$157,MATCH($A9,Crop!$AB$142:$AG$142,0))</f>
        <v>193.73727819650458</v>
      </c>
      <c r="S9" s="2">
        <f>Crop!S9*(1+Profit_Margin)/INDEX(Crop!$AB$157:$AG$157,MATCH($A9,Crop!$AB$142:$AG$142,0))</f>
        <v>156.60103806444891</v>
      </c>
      <c r="T9" s="2">
        <f>Crop!T9*(1+Profit_Margin)/INDEX(Crop!$AB$157:$AG$157,MATCH($A9,Crop!$AB$142:$AG$142,0))</f>
        <v>193.73727819650458</v>
      </c>
      <c r="U9" s="2">
        <f>Crop!U9*(1+Profit_Margin)/INDEX(Crop!$AB$157:$AG$157,MATCH($A9,Crop!$AB$142:$AG$142,0))</f>
        <v>156.60103806444891</v>
      </c>
      <c r="V9" s="2">
        <f>Crop!V9*(1+Profit_Margin)/INDEX(Crop!$AB$157:$AG$157,MATCH($A9,Crop!$AB$142:$AG$142,0))</f>
        <v>193.73727819650458</v>
      </c>
      <c r="W9" s="2">
        <f>Crop!W9*(1+Profit_Margin)/INDEX(Crop!$AB$157:$AG$157,MATCH($A9,Crop!$AB$142:$AG$142,0))</f>
        <v>156.60103806444891</v>
      </c>
      <c r="X9" s="2">
        <f>Crop!X9*(1+Profit_Margin)/INDEX(Crop!$AB$157:$AG$157,MATCH($A9,Crop!$AB$142:$AG$142,0))</f>
        <v>193.73727819650458</v>
      </c>
      <c r="Y9" s="2">
        <f>Crop!Y9*(1+Profit_Margin)/INDEX(Crop!$AB$157:$AG$157,MATCH($A9,Crop!$AB$142:$AG$142,0))</f>
        <v>156.60103806444891</v>
      </c>
      <c r="Z9" s="2">
        <f>Crop!Z9*(1+Profit_Margin)/INDEX(Crop!$AB$157:$AG$157,MATCH($A9,Crop!$AB$142:$AG$142,0))</f>
        <v>193.73727819650458</v>
      </c>
      <c r="AA9" s="2">
        <f>Crop!AA9*(1+Profit_Margin)/INDEX(Crop!$AB$157:$AG$157,MATCH($A9,Crop!$AB$142:$AG$142,0))</f>
        <v>156.60103806444891</v>
      </c>
      <c r="AB9" s="2">
        <f>Crop!AB9*(1+Profit_Margin)/INDEX(Crop!$AB$157:$AG$157,MATCH($A9,Crop!$AB$142:$AG$142,0))</f>
        <v>193.73727819650458</v>
      </c>
      <c r="AC9" s="2">
        <f>Crop!AC9*(1+Profit_Margin)/INDEX(Crop!$AB$157:$AG$157,MATCH($A9,Crop!$AB$142:$AG$142,0))</f>
        <v>156.60103806444891</v>
      </c>
      <c r="AD9" s="2">
        <f>Crop!AD9*(1+Profit_Margin)/INDEX(Crop!$AB$157:$AG$157,MATCH($A9,Crop!$AB$142:$AG$142,0))</f>
        <v>193.73727819650458</v>
      </c>
      <c r="AE9" s="2">
        <f>Crop!AE9*(1+Profit_Margin)/INDEX(Crop!$AB$157:$AG$157,MATCH($A9,Crop!$AB$142:$AG$142,0))</f>
        <v>156.60103806444891</v>
      </c>
      <c r="AF9" s="2">
        <f>Crop!AF9*(1+Profit_Margin)/INDEX(Crop!$AB$157:$AG$157,MATCH($A9,Crop!$AB$142:$AG$142,0))</f>
        <v>193.73727819650458</v>
      </c>
      <c r="AG9" s="2">
        <f>Crop!AG9*(1+Profit_Margin)/INDEX(Crop!$AB$157:$AG$157,MATCH($A9,Crop!$AB$142:$AG$142,0))</f>
        <v>156.60103806444891</v>
      </c>
      <c r="AH9" s="2">
        <f>Crop!AH9*(1+Profit_Margin)/INDEX(Crop!$AB$157:$AG$157,MATCH($A9,Crop!$AB$142:$AG$142,0))</f>
        <v>193.73727819650458</v>
      </c>
    </row>
    <row r="10" spans="1:34">
      <c r="A10" t="str">
        <f>CYF!A10</f>
        <v>Teff</v>
      </c>
      <c r="B10" t="str">
        <f>CYF!B10</f>
        <v>Oromia</v>
      </c>
      <c r="C10" s="2">
        <f>Crop!C10*(1+Profit_Margin)/INDEX(Crop!$AB$157:$AG$157,MATCH($A10,Crop!$AB$142:$AG$142,0))</f>
        <v>145.19406452016548</v>
      </c>
      <c r="D10" s="2">
        <f>Crop!D10*(1+Profit_Margin)/INDEX(Crop!$AB$157:$AG$157,MATCH($A10,Crop!$AB$142:$AG$142,0))</f>
        <v>181.02453742938431</v>
      </c>
      <c r="E10" s="2">
        <f>Crop!E10*(1+Profit_Margin)/INDEX(Crop!$AB$157:$AG$157,MATCH($A10,Crop!$AB$142:$AG$142,0))</f>
        <v>145.19406452016548</v>
      </c>
      <c r="F10" s="2">
        <f>Crop!F10*(1+Profit_Margin)/INDEX(Crop!$AB$157:$AG$157,MATCH($A10,Crop!$AB$142:$AG$142,0))</f>
        <v>181.02453742938431</v>
      </c>
      <c r="G10" s="2">
        <f>Crop!G10*(1+Profit_Margin)/INDEX(Crop!$AB$157:$AG$157,MATCH($A10,Crop!$AB$142:$AG$142,0))</f>
        <v>145.19406452016548</v>
      </c>
      <c r="H10" s="2">
        <f>Crop!H10*(1+Profit_Margin)/INDEX(Crop!$AB$157:$AG$157,MATCH($A10,Crop!$AB$142:$AG$142,0))</f>
        <v>181.02453742938431</v>
      </c>
      <c r="I10" s="2">
        <f>Crop!I10*(1+Profit_Margin)/INDEX(Crop!$AB$157:$AG$157,MATCH($A10,Crop!$AB$142:$AG$142,0))</f>
        <v>145.19406452016548</v>
      </c>
      <c r="J10" s="2">
        <f>Crop!J10*(1+Profit_Margin)/INDEX(Crop!$AB$157:$AG$157,MATCH($A10,Crop!$AB$142:$AG$142,0))</f>
        <v>181.02453742938431</v>
      </c>
      <c r="K10" s="2">
        <f>Crop!K10*(1+Profit_Margin)/INDEX(Crop!$AB$157:$AG$157,MATCH($A10,Crop!$AB$142:$AG$142,0))</f>
        <v>145.19406452016548</v>
      </c>
      <c r="L10" s="2">
        <f>Crop!L10*(1+Profit_Margin)/INDEX(Crop!$AB$157:$AG$157,MATCH($A10,Crop!$AB$142:$AG$142,0))</f>
        <v>181.02453742938431</v>
      </c>
      <c r="M10" s="2">
        <f>Crop!M10*(1+Profit_Margin)/INDEX(Crop!$AB$157:$AG$157,MATCH($A10,Crop!$AB$142:$AG$142,0))</f>
        <v>145.19406452016548</v>
      </c>
      <c r="N10" s="2">
        <f>Crop!N10*(1+Profit_Margin)/INDEX(Crop!$AB$157:$AG$157,MATCH($A10,Crop!$AB$142:$AG$142,0))</f>
        <v>181.02453742938431</v>
      </c>
      <c r="O10" s="2">
        <f>Crop!O10*(1+Profit_Margin)/INDEX(Crop!$AB$157:$AG$157,MATCH($A10,Crop!$AB$142:$AG$142,0))</f>
        <v>145.19406452016548</v>
      </c>
      <c r="P10" s="2">
        <f>Crop!P10*(1+Profit_Margin)/INDEX(Crop!$AB$157:$AG$157,MATCH($A10,Crop!$AB$142:$AG$142,0))</f>
        <v>181.02453742938431</v>
      </c>
      <c r="Q10" s="2">
        <f>Crop!Q10*(1+Profit_Margin)/INDEX(Crop!$AB$157:$AG$157,MATCH($A10,Crop!$AB$142:$AG$142,0))</f>
        <v>145.19406452016548</v>
      </c>
      <c r="R10" s="2">
        <f>Crop!R10*(1+Profit_Margin)/INDEX(Crop!$AB$157:$AG$157,MATCH($A10,Crop!$AB$142:$AG$142,0))</f>
        <v>181.02453742938431</v>
      </c>
      <c r="S10" s="2">
        <f>Crop!S10*(1+Profit_Margin)/INDEX(Crop!$AB$157:$AG$157,MATCH($A10,Crop!$AB$142:$AG$142,0))</f>
        <v>145.19406452016548</v>
      </c>
      <c r="T10" s="2">
        <f>Crop!T10*(1+Profit_Margin)/INDEX(Crop!$AB$157:$AG$157,MATCH($A10,Crop!$AB$142:$AG$142,0))</f>
        <v>181.02453742938431</v>
      </c>
      <c r="U10" s="2">
        <f>Crop!U10*(1+Profit_Margin)/INDEX(Crop!$AB$157:$AG$157,MATCH($A10,Crop!$AB$142:$AG$142,0))</f>
        <v>145.19406452016548</v>
      </c>
      <c r="V10" s="2">
        <f>Crop!V10*(1+Profit_Margin)/INDEX(Crop!$AB$157:$AG$157,MATCH($A10,Crop!$AB$142:$AG$142,0))</f>
        <v>181.02453742938431</v>
      </c>
      <c r="W10" s="2">
        <f>Crop!W10*(1+Profit_Margin)/INDEX(Crop!$AB$157:$AG$157,MATCH($A10,Crop!$AB$142:$AG$142,0))</f>
        <v>145.19406452016548</v>
      </c>
      <c r="X10" s="2">
        <f>Crop!X10*(1+Profit_Margin)/INDEX(Crop!$AB$157:$AG$157,MATCH($A10,Crop!$AB$142:$AG$142,0))</f>
        <v>181.02453742938431</v>
      </c>
      <c r="Y10" s="2">
        <f>Crop!Y10*(1+Profit_Margin)/INDEX(Crop!$AB$157:$AG$157,MATCH($A10,Crop!$AB$142:$AG$142,0))</f>
        <v>145.19406452016548</v>
      </c>
      <c r="Z10" s="2">
        <f>Crop!Z10*(1+Profit_Margin)/INDEX(Crop!$AB$157:$AG$157,MATCH($A10,Crop!$AB$142:$AG$142,0))</f>
        <v>181.02453742938431</v>
      </c>
      <c r="AA10" s="2">
        <f>Crop!AA10*(1+Profit_Margin)/INDEX(Crop!$AB$157:$AG$157,MATCH($A10,Crop!$AB$142:$AG$142,0))</f>
        <v>145.19406452016548</v>
      </c>
      <c r="AB10" s="2">
        <f>Crop!AB10*(1+Profit_Margin)/INDEX(Crop!$AB$157:$AG$157,MATCH($A10,Crop!$AB$142:$AG$142,0))</f>
        <v>181.02453742938431</v>
      </c>
      <c r="AC10" s="2">
        <f>Crop!AC10*(1+Profit_Margin)/INDEX(Crop!$AB$157:$AG$157,MATCH($A10,Crop!$AB$142:$AG$142,0))</f>
        <v>145.19406452016548</v>
      </c>
      <c r="AD10" s="2">
        <f>Crop!AD10*(1+Profit_Margin)/INDEX(Crop!$AB$157:$AG$157,MATCH($A10,Crop!$AB$142:$AG$142,0))</f>
        <v>181.02453742938431</v>
      </c>
      <c r="AE10" s="2">
        <f>Crop!AE10*(1+Profit_Margin)/INDEX(Crop!$AB$157:$AG$157,MATCH($A10,Crop!$AB$142:$AG$142,0))</f>
        <v>145.19406452016548</v>
      </c>
      <c r="AF10" s="2">
        <f>Crop!AF10*(1+Profit_Margin)/INDEX(Crop!$AB$157:$AG$157,MATCH($A10,Crop!$AB$142:$AG$142,0))</f>
        <v>181.02453742938431</v>
      </c>
      <c r="AG10" s="2">
        <f>Crop!AG10*(1+Profit_Margin)/INDEX(Crop!$AB$157:$AG$157,MATCH($A10,Crop!$AB$142:$AG$142,0))</f>
        <v>145.19406452016548</v>
      </c>
      <c r="AH10" s="2">
        <f>Crop!AH10*(1+Profit_Margin)/INDEX(Crop!$AB$157:$AG$157,MATCH($A10,Crop!$AB$142:$AG$142,0))</f>
        <v>181.02453742938431</v>
      </c>
    </row>
    <row r="11" spans="1:34">
      <c r="A11" t="str">
        <f>CYF!A11</f>
        <v>Teff</v>
      </c>
      <c r="B11" t="str">
        <f>CYF!B11</f>
        <v>Somali</v>
      </c>
      <c r="C11" s="2">
        <f>Crop!C11*(1+Profit_Margin)/INDEX(Crop!$AB$157:$AG$157,MATCH($A11,Crop!$AB$142:$AG$142,0))</f>
        <v>139.08030927598509</v>
      </c>
      <c r="D11" s="2">
        <f>Crop!D11*(1+Profit_Margin)/INDEX(Crop!$AB$157:$AG$157,MATCH($A11,Crop!$AB$142:$AG$142,0))</f>
        <v>181.09801159017121</v>
      </c>
      <c r="E11" s="2">
        <f>Crop!E11*(1+Profit_Margin)/INDEX(Crop!$AB$157:$AG$157,MATCH($A11,Crop!$AB$142:$AG$142,0))</f>
        <v>139.08030927598509</v>
      </c>
      <c r="F11" s="2">
        <f>Crop!F11*(1+Profit_Margin)/INDEX(Crop!$AB$157:$AG$157,MATCH($A11,Crop!$AB$142:$AG$142,0))</f>
        <v>181.09801159017121</v>
      </c>
      <c r="G11" s="2">
        <f>Crop!G11*(1+Profit_Margin)/INDEX(Crop!$AB$157:$AG$157,MATCH($A11,Crop!$AB$142:$AG$142,0))</f>
        <v>139.08030927598509</v>
      </c>
      <c r="H11" s="2">
        <f>Crop!H11*(1+Profit_Margin)/INDEX(Crop!$AB$157:$AG$157,MATCH($A11,Crop!$AB$142:$AG$142,0))</f>
        <v>181.09801159017121</v>
      </c>
      <c r="I11" s="2">
        <f>Crop!I11*(1+Profit_Margin)/INDEX(Crop!$AB$157:$AG$157,MATCH($A11,Crop!$AB$142:$AG$142,0))</f>
        <v>139.08030927598509</v>
      </c>
      <c r="J11" s="2">
        <f>Crop!J11*(1+Profit_Margin)/INDEX(Crop!$AB$157:$AG$157,MATCH($A11,Crop!$AB$142:$AG$142,0))</f>
        <v>181.09801159017121</v>
      </c>
      <c r="K11" s="2">
        <f>Crop!K11*(1+Profit_Margin)/INDEX(Crop!$AB$157:$AG$157,MATCH($A11,Crop!$AB$142:$AG$142,0))</f>
        <v>139.08030927598509</v>
      </c>
      <c r="L11" s="2">
        <f>Crop!L11*(1+Profit_Margin)/INDEX(Crop!$AB$157:$AG$157,MATCH($A11,Crop!$AB$142:$AG$142,0))</f>
        <v>181.09801159017121</v>
      </c>
      <c r="M11" s="2">
        <f>Crop!M11*(1+Profit_Margin)/INDEX(Crop!$AB$157:$AG$157,MATCH($A11,Crop!$AB$142:$AG$142,0))</f>
        <v>139.08030927598509</v>
      </c>
      <c r="N11" s="2">
        <f>Crop!N11*(1+Profit_Margin)/INDEX(Crop!$AB$157:$AG$157,MATCH($A11,Crop!$AB$142:$AG$142,0))</f>
        <v>181.09801159017121</v>
      </c>
      <c r="O11" s="2">
        <f>Crop!O11*(1+Profit_Margin)/INDEX(Crop!$AB$157:$AG$157,MATCH($A11,Crop!$AB$142:$AG$142,0))</f>
        <v>139.08030927598509</v>
      </c>
      <c r="P11" s="2">
        <f>Crop!P11*(1+Profit_Margin)/INDEX(Crop!$AB$157:$AG$157,MATCH($A11,Crop!$AB$142:$AG$142,0))</f>
        <v>181.09801159017121</v>
      </c>
      <c r="Q11" s="2">
        <f>Crop!Q11*(1+Profit_Margin)/INDEX(Crop!$AB$157:$AG$157,MATCH($A11,Crop!$AB$142:$AG$142,0))</f>
        <v>139.08030927598509</v>
      </c>
      <c r="R11" s="2">
        <f>Crop!R11*(1+Profit_Margin)/INDEX(Crop!$AB$157:$AG$157,MATCH($A11,Crop!$AB$142:$AG$142,0))</f>
        <v>181.09801159017121</v>
      </c>
      <c r="S11" s="2">
        <f>Crop!S11*(1+Profit_Margin)/INDEX(Crop!$AB$157:$AG$157,MATCH($A11,Crop!$AB$142:$AG$142,0))</f>
        <v>139.08030927598509</v>
      </c>
      <c r="T11" s="2">
        <f>Crop!T11*(1+Profit_Margin)/INDEX(Crop!$AB$157:$AG$157,MATCH($A11,Crop!$AB$142:$AG$142,0))</f>
        <v>181.09801159017121</v>
      </c>
      <c r="U11" s="2">
        <f>Crop!U11*(1+Profit_Margin)/INDEX(Crop!$AB$157:$AG$157,MATCH($A11,Crop!$AB$142:$AG$142,0))</f>
        <v>139.08030927598509</v>
      </c>
      <c r="V11" s="2">
        <f>Crop!V11*(1+Profit_Margin)/INDEX(Crop!$AB$157:$AG$157,MATCH($A11,Crop!$AB$142:$AG$142,0))</f>
        <v>181.09801159017121</v>
      </c>
      <c r="W11" s="2">
        <f>Crop!W11*(1+Profit_Margin)/INDEX(Crop!$AB$157:$AG$157,MATCH($A11,Crop!$AB$142:$AG$142,0))</f>
        <v>139.08030927598509</v>
      </c>
      <c r="X11" s="2">
        <f>Crop!X11*(1+Profit_Margin)/INDEX(Crop!$AB$157:$AG$157,MATCH($A11,Crop!$AB$142:$AG$142,0))</f>
        <v>181.09801159017121</v>
      </c>
      <c r="Y11" s="2">
        <f>Crop!Y11*(1+Profit_Margin)/INDEX(Crop!$AB$157:$AG$157,MATCH($A11,Crop!$AB$142:$AG$142,0))</f>
        <v>139.08030927598509</v>
      </c>
      <c r="Z11" s="2">
        <f>Crop!Z11*(1+Profit_Margin)/INDEX(Crop!$AB$157:$AG$157,MATCH($A11,Crop!$AB$142:$AG$142,0))</f>
        <v>181.09801159017121</v>
      </c>
      <c r="AA11" s="2">
        <f>Crop!AA11*(1+Profit_Margin)/INDEX(Crop!$AB$157:$AG$157,MATCH($A11,Crop!$AB$142:$AG$142,0))</f>
        <v>139.08030927598509</v>
      </c>
      <c r="AB11" s="2">
        <f>Crop!AB11*(1+Profit_Margin)/INDEX(Crop!$AB$157:$AG$157,MATCH($A11,Crop!$AB$142:$AG$142,0))</f>
        <v>181.09801159017121</v>
      </c>
      <c r="AC11" s="2">
        <f>Crop!AC11*(1+Profit_Margin)/INDEX(Crop!$AB$157:$AG$157,MATCH($A11,Crop!$AB$142:$AG$142,0))</f>
        <v>139.08030927598509</v>
      </c>
      <c r="AD11" s="2">
        <f>Crop!AD11*(1+Profit_Margin)/INDEX(Crop!$AB$157:$AG$157,MATCH($A11,Crop!$AB$142:$AG$142,0))</f>
        <v>181.09801159017121</v>
      </c>
      <c r="AE11" s="2">
        <f>Crop!AE11*(1+Profit_Margin)/INDEX(Crop!$AB$157:$AG$157,MATCH($A11,Crop!$AB$142:$AG$142,0))</f>
        <v>139.08030927598509</v>
      </c>
      <c r="AF11" s="2">
        <f>Crop!AF11*(1+Profit_Margin)/INDEX(Crop!$AB$157:$AG$157,MATCH($A11,Crop!$AB$142:$AG$142,0))</f>
        <v>181.09801159017121</v>
      </c>
      <c r="AG11" s="2">
        <f>Crop!AG11*(1+Profit_Margin)/INDEX(Crop!$AB$157:$AG$157,MATCH($A11,Crop!$AB$142:$AG$142,0))</f>
        <v>139.08030927598509</v>
      </c>
      <c r="AH11" s="2">
        <f>Crop!AH11*(1+Profit_Margin)/INDEX(Crop!$AB$157:$AG$157,MATCH($A11,Crop!$AB$142:$AG$142,0))</f>
        <v>181.09801159017121</v>
      </c>
    </row>
    <row r="12" spans="1:34">
      <c r="A12" t="str">
        <f>CYF!A12</f>
        <v>Teff</v>
      </c>
      <c r="B12" t="str">
        <f>CYF!B12</f>
        <v>SNNPR</v>
      </c>
      <c r="C12" s="2">
        <f>Crop!C12*(1+Profit_Margin)/INDEX(Crop!$AB$157:$AG$157,MATCH($A12,Crop!$AB$142:$AG$142,0))</f>
        <v>154.17392531889809</v>
      </c>
      <c r="D12" s="2">
        <f>Crop!D12*(1+Profit_Margin)/INDEX(Crop!$AB$157:$AG$157,MATCH($A12,Crop!$AB$142:$AG$142,0))</f>
        <v>191.4276784870147</v>
      </c>
      <c r="E12" s="2">
        <f>Crop!E12*(1+Profit_Margin)/INDEX(Crop!$AB$157:$AG$157,MATCH($A12,Crop!$AB$142:$AG$142,0))</f>
        <v>154.17392531889809</v>
      </c>
      <c r="F12" s="2">
        <f>Crop!F12*(1+Profit_Margin)/INDEX(Crop!$AB$157:$AG$157,MATCH($A12,Crop!$AB$142:$AG$142,0))</f>
        <v>191.4276784870147</v>
      </c>
      <c r="G12" s="2">
        <f>Crop!G12*(1+Profit_Margin)/INDEX(Crop!$AB$157:$AG$157,MATCH($A12,Crop!$AB$142:$AG$142,0))</f>
        <v>154.17392531889809</v>
      </c>
      <c r="H12" s="2">
        <f>Crop!H12*(1+Profit_Margin)/INDEX(Crop!$AB$157:$AG$157,MATCH($A12,Crop!$AB$142:$AG$142,0))</f>
        <v>191.4276784870147</v>
      </c>
      <c r="I12" s="2">
        <f>Crop!I12*(1+Profit_Margin)/INDEX(Crop!$AB$157:$AG$157,MATCH($A12,Crop!$AB$142:$AG$142,0))</f>
        <v>154.17392531889809</v>
      </c>
      <c r="J12" s="2">
        <f>Crop!J12*(1+Profit_Margin)/INDEX(Crop!$AB$157:$AG$157,MATCH($A12,Crop!$AB$142:$AG$142,0))</f>
        <v>191.4276784870147</v>
      </c>
      <c r="K12" s="2">
        <f>Crop!K12*(1+Profit_Margin)/INDEX(Crop!$AB$157:$AG$157,MATCH($A12,Crop!$AB$142:$AG$142,0))</f>
        <v>154.17392531889809</v>
      </c>
      <c r="L12" s="2">
        <f>Crop!L12*(1+Profit_Margin)/INDEX(Crop!$AB$157:$AG$157,MATCH($A12,Crop!$AB$142:$AG$142,0))</f>
        <v>191.4276784870147</v>
      </c>
      <c r="M12" s="2">
        <f>Crop!M12*(1+Profit_Margin)/INDEX(Crop!$AB$157:$AG$157,MATCH($A12,Crop!$AB$142:$AG$142,0))</f>
        <v>154.17392531889809</v>
      </c>
      <c r="N12" s="2">
        <f>Crop!N12*(1+Profit_Margin)/INDEX(Crop!$AB$157:$AG$157,MATCH($A12,Crop!$AB$142:$AG$142,0))</f>
        <v>191.4276784870147</v>
      </c>
      <c r="O12" s="2">
        <f>Crop!O12*(1+Profit_Margin)/INDEX(Crop!$AB$157:$AG$157,MATCH($A12,Crop!$AB$142:$AG$142,0))</f>
        <v>154.17392531889809</v>
      </c>
      <c r="P12" s="2">
        <f>Crop!P12*(1+Profit_Margin)/INDEX(Crop!$AB$157:$AG$157,MATCH($A12,Crop!$AB$142:$AG$142,0))</f>
        <v>191.4276784870147</v>
      </c>
      <c r="Q12" s="2">
        <f>Crop!Q12*(1+Profit_Margin)/INDEX(Crop!$AB$157:$AG$157,MATCH($A12,Crop!$AB$142:$AG$142,0))</f>
        <v>154.17392531889809</v>
      </c>
      <c r="R12" s="2">
        <f>Crop!R12*(1+Profit_Margin)/INDEX(Crop!$AB$157:$AG$157,MATCH($A12,Crop!$AB$142:$AG$142,0))</f>
        <v>191.4276784870147</v>
      </c>
      <c r="S12" s="2">
        <f>Crop!S12*(1+Profit_Margin)/INDEX(Crop!$AB$157:$AG$157,MATCH($A12,Crop!$AB$142:$AG$142,0))</f>
        <v>154.17392531889809</v>
      </c>
      <c r="T12" s="2">
        <f>Crop!T12*(1+Profit_Margin)/INDEX(Crop!$AB$157:$AG$157,MATCH($A12,Crop!$AB$142:$AG$142,0))</f>
        <v>191.4276784870147</v>
      </c>
      <c r="U12" s="2">
        <f>Crop!U12*(1+Profit_Margin)/INDEX(Crop!$AB$157:$AG$157,MATCH($A12,Crop!$AB$142:$AG$142,0))</f>
        <v>154.17392531889809</v>
      </c>
      <c r="V12" s="2">
        <f>Crop!V12*(1+Profit_Margin)/INDEX(Crop!$AB$157:$AG$157,MATCH($A12,Crop!$AB$142:$AG$142,0))</f>
        <v>191.4276784870147</v>
      </c>
      <c r="W12" s="2">
        <f>Crop!W12*(1+Profit_Margin)/INDEX(Crop!$AB$157:$AG$157,MATCH($A12,Crop!$AB$142:$AG$142,0))</f>
        <v>154.17392531889809</v>
      </c>
      <c r="X12" s="2">
        <f>Crop!X12*(1+Profit_Margin)/INDEX(Crop!$AB$157:$AG$157,MATCH($A12,Crop!$AB$142:$AG$142,0))</f>
        <v>191.4276784870147</v>
      </c>
      <c r="Y12" s="2">
        <f>Crop!Y12*(1+Profit_Margin)/INDEX(Crop!$AB$157:$AG$157,MATCH($A12,Crop!$AB$142:$AG$142,0))</f>
        <v>154.17392531889809</v>
      </c>
      <c r="Z12" s="2">
        <f>Crop!Z12*(1+Profit_Margin)/INDEX(Crop!$AB$157:$AG$157,MATCH($A12,Crop!$AB$142:$AG$142,0))</f>
        <v>191.4276784870147</v>
      </c>
      <c r="AA12" s="2">
        <f>Crop!AA12*(1+Profit_Margin)/INDEX(Crop!$AB$157:$AG$157,MATCH($A12,Crop!$AB$142:$AG$142,0))</f>
        <v>154.17392531889809</v>
      </c>
      <c r="AB12" s="2">
        <f>Crop!AB12*(1+Profit_Margin)/INDEX(Crop!$AB$157:$AG$157,MATCH($A12,Crop!$AB$142:$AG$142,0))</f>
        <v>191.4276784870147</v>
      </c>
      <c r="AC12" s="2">
        <f>Crop!AC12*(1+Profit_Margin)/INDEX(Crop!$AB$157:$AG$157,MATCH($A12,Crop!$AB$142:$AG$142,0))</f>
        <v>154.17392531889809</v>
      </c>
      <c r="AD12" s="2">
        <f>Crop!AD12*(1+Profit_Margin)/INDEX(Crop!$AB$157:$AG$157,MATCH($A12,Crop!$AB$142:$AG$142,0))</f>
        <v>191.4276784870147</v>
      </c>
      <c r="AE12" s="2">
        <f>Crop!AE12*(1+Profit_Margin)/INDEX(Crop!$AB$157:$AG$157,MATCH($A12,Crop!$AB$142:$AG$142,0))</f>
        <v>154.17392531889809</v>
      </c>
      <c r="AF12" s="2">
        <f>Crop!AF12*(1+Profit_Margin)/INDEX(Crop!$AB$157:$AG$157,MATCH($A12,Crop!$AB$142:$AG$142,0))</f>
        <v>191.4276784870147</v>
      </c>
      <c r="AG12" s="2">
        <f>Crop!AG12*(1+Profit_Margin)/INDEX(Crop!$AB$157:$AG$157,MATCH($A12,Crop!$AB$142:$AG$142,0))</f>
        <v>154.17392531889809</v>
      </c>
      <c r="AH12" s="2">
        <f>Crop!AH12*(1+Profit_Margin)/INDEX(Crop!$AB$157:$AG$157,MATCH($A12,Crop!$AB$142:$AG$142,0))</f>
        <v>191.4276784870147</v>
      </c>
    </row>
    <row r="13" spans="1:34">
      <c r="A13" t="str">
        <f>CYF!A13</f>
        <v>Teff</v>
      </c>
      <c r="B13" t="str">
        <f>CYF!B13</f>
        <v>Tigray</v>
      </c>
      <c r="C13" s="2">
        <f>Crop!C13*(1+Profit_Margin)/INDEX(Crop!$AB$157:$AG$157,MATCH($A13,Crop!$AB$142:$AG$142,0))</f>
        <v>129.76841602401214</v>
      </c>
      <c r="D13" s="2">
        <f>Crop!D13*(1+Profit_Margin)/INDEX(Crop!$AB$157:$AG$157,MATCH($A13,Crop!$AB$142:$AG$142,0))</f>
        <v>184.23011652890554</v>
      </c>
      <c r="E13" s="2">
        <f>Crop!E13*(1+Profit_Margin)/INDEX(Crop!$AB$157:$AG$157,MATCH($A13,Crop!$AB$142:$AG$142,0))</f>
        <v>129.76841602401214</v>
      </c>
      <c r="F13" s="2">
        <f>Crop!F13*(1+Profit_Margin)/INDEX(Crop!$AB$157:$AG$157,MATCH($A13,Crop!$AB$142:$AG$142,0))</f>
        <v>184.23011652890554</v>
      </c>
      <c r="G13" s="2">
        <f>Crop!G13*(1+Profit_Margin)/INDEX(Crop!$AB$157:$AG$157,MATCH($A13,Crop!$AB$142:$AG$142,0))</f>
        <v>129.76841602401214</v>
      </c>
      <c r="H13" s="2">
        <f>Crop!H13*(1+Profit_Margin)/INDEX(Crop!$AB$157:$AG$157,MATCH($A13,Crop!$AB$142:$AG$142,0))</f>
        <v>184.23011652890554</v>
      </c>
      <c r="I13" s="2">
        <f>Crop!I13*(1+Profit_Margin)/INDEX(Crop!$AB$157:$AG$157,MATCH($A13,Crop!$AB$142:$AG$142,0))</f>
        <v>129.76841602401214</v>
      </c>
      <c r="J13" s="2">
        <f>Crop!J13*(1+Profit_Margin)/INDEX(Crop!$AB$157:$AG$157,MATCH($A13,Crop!$AB$142:$AG$142,0))</f>
        <v>184.23011652890554</v>
      </c>
      <c r="K13" s="2">
        <f>Crop!K13*(1+Profit_Margin)/INDEX(Crop!$AB$157:$AG$157,MATCH($A13,Crop!$AB$142:$AG$142,0))</f>
        <v>129.76841602401214</v>
      </c>
      <c r="L13" s="2">
        <f>Crop!L13*(1+Profit_Margin)/INDEX(Crop!$AB$157:$AG$157,MATCH($A13,Crop!$AB$142:$AG$142,0))</f>
        <v>184.23011652890554</v>
      </c>
      <c r="M13" s="2">
        <f>Crop!M13*(1+Profit_Margin)/INDEX(Crop!$AB$157:$AG$157,MATCH($A13,Crop!$AB$142:$AG$142,0))</f>
        <v>129.76841602401214</v>
      </c>
      <c r="N13" s="2">
        <f>Crop!N13*(1+Profit_Margin)/INDEX(Crop!$AB$157:$AG$157,MATCH($A13,Crop!$AB$142:$AG$142,0))</f>
        <v>184.23011652890554</v>
      </c>
      <c r="O13" s="2">
        <f>Crop!O13*(1+Profit_Margin)/INDEX(Crop!$AB$157:$AG$157,MATCH($A13,Crop!$AB$142:$AG$142,0))</f>
        <v>129.76841602401214</v>
      </c>
      <c r="P13" s="2">
        <f>Crop!P13*(1+Profit_Margin)/INDEX(Crop!$AB$157:$AG$157,MATCH($A13,Crop!$AB$142:$AG$142,0))</f>
        <v>184.23011652890554</v>
      </c>
      <c r="Q13" s="2">
        <f>Crop!Q13*(1+Profit_Margin)/INDEX(Crop!$AB$157:$AG$157,MATCH($A13,Crop!$AB$142:$AG$142,0))</f>
        <v>129.76841602401214</v>
      </c>
      <c r="R13" s="2">
        <f>Crop!R13*(1+Profit_Margin)/INDEX(Crop!$AB$157:$AG$157,MATCH($A13,Crop!$AB$142:$AG$142,0))</f>
        <v>184.23011652890554</v>
      </c>
      <c r="S13" s="2">
        <f>Crop!S13*(1+Profit_Margin)/INDEX(Crop!$AB$157:$AG$157,MATCH($A13,Crop!$AB$142:$AG$142,0))</f>
        <v>129.76841602401214</v>
      </c>
      <c r="T13" s="2">
        <f>Crop!T13*(1+Profit_Margin)/INDEX(Crop!$AB$157:$AG$157,MATCH($A13,Crop!$AB$142:$AG$142,0))</f>
        <v>184.23011652890554</v>
      </c>
      <c r="U13" s="2">
        <f>Crop!U13*(1+Profit_Margin)/INDEX(Crop!$AB$157:$AG$157,MATCH($A13,Crop!$AB$142:$AG$142,0))</f>
        <v>129.76841602401214</v>
      </c>
      <c r="V13" s="2">
        <f>Crop!V13*(1+Profit_Margin)/INDEX(Crop!$AB$157:$AG$157,MATCH($A13,Crop!$AB$142:$AG$142,0))</f>
        <v>184.23011652890554</v>
      </c>
      <c r="W13" s="2">
        <f>Crop!W13*(1+Profit_Margin)/INDEX(Crop!$AB$157:$AG$157,MATCH($A13,Crop!$AB$142:$AG$142,0))</f>
        <v>129.76841602401214</v>
      </c>
      <c r="X13" s="2">
        <f>Crop!X13*(1+Profit_Margin)/INDEX(Crop!$AB$157:$AG$157,MATCH($A13,Crop!$AB$142:$AG$142,0))</f>
        <v>184.23011652890554</v>
      </c>
      <c r="Y13" s="2">
        <f>Crop!Y13*(1+Profit_Margin)/INDEX(Crop!$AB$157:$AG$157,MATCH($A13,Crop!$AB$142:$AG$142,0))</f>
        <v>129.76841602401214</v>
      </c>
      <c r="Z13" s="2">
        <f>Crop!Z13*(1+Profit_Margin)/INDEX(Crop!$AB$157:$AG$157,MATCH($A13,Crop!$AB$142:$AG$142,0))</f>
        <v>184.23011652890554</v>
      </c>
      <c r="AA13" s="2">
        <f>Crop!AA13*(1+Profit_Margin)/INDEX(Crop!$AB$157:$AG$157,MATCH($A13,Crop!$AB$142:$AG$142,0))</f>
        <v>129.76841602401214</v>
      </c>
      <c r="AB13" s="2">
        <f>Crop!AB13*(1+Profit_Margin)/INDEX(Crop!$AB$157:$AG$157,MATCH($A13,Crop!$AB$142:$AG$142,0))</f>
        <v>184.23011652890554</v>
      </c>
      <c r="AC13" s="2">
        <f>Crop!AC13*(1+Profit_Margin)/INDEX(Crop!$AB$157:$AG$157,MATCH($A13,Crop!$AB$142:$AG$142,0))</f>
        <v>129.76841602401214</v>
      </c>
      <c r="AD13" s="2">
        <f>Crop!AD13*(1+Profit_Margin)/INDEX(Crop!$AB$157:$AG$157,MATCH($A13,Crop!$AB$142:$AG$142,0))</f>
        <v>184.23011652890554</v>
      </c>
      <c r="AE13" s="2">
        <f>Crop!AE13*(1+Profit_Margin)/INDEX(Crop!$AB$157:$AG$157,MATCH($A13,Crop!$AB$142:$AG$142,0))</f>
        <v>129.76841602401214</v>
      </c>
      <c r="AF13" s="2">
        <f>Crop!AF13*(1+Profit_Margin)/INDEX(Crop!$AB$157:$AG$157,MATCH($A13,Crop!$AB$142:$AG$142,0))</f>
        <v>184.23011652890554</v>
      </c>
      <c r="AG13" s="2">
        <f>Crop!AG13*(1+Profit_Margin)/INDEX(Crop!$AB$157:$AG$157,MATCH($A13,Crop!$AB$142:$AG$142,0))</f>
        <v>129.76841602401214</v>
      </c>
      <c r="AH13" s="2">
        <f>Crop!AH13*(1+Profit_Margin)/INDEX(Crop!$AB$157:$AG$157,MATCH($A13,Crop!$AB$142:$AG$142,0))</f>
        <v>184.23011652890554</v>
      </c>
    </row>
    <row r="14" spans="1:34">
      <c r="A14" t="str">
        <f>CYF!A14</f>
        <v>Sorghum</v>
      </c>
      <c r="B14" t="str">
        <f>CYF!B14</f>
        <v>AddisAbaba</v>
      </c>
      <c r="C14" s="2">
        <f>Crop!C14*(1+Profit_Margin)/INDEX(Crop!$AB$157:$AG$157,MATCH($A14,Crop!$AB$142:$AG$142,0))</f>
        <v>76.606329636497932</v>
      </c>
      <c r="D14" s="2">
        <f>Crop!D14*(1+Profit_Margin)/INDEX(Crop!$AB$157:$AG$157,MATCH($A14,Crop!$AB$142:$AG$142,0))</f>
        <v>96.437406596359608</v>
      </c>
      <c r="E14" s="2">
        <f>Crop!E14*(1+Profit_Margin)/INDEX(Crop!$AB$157:$AG$157,MATCH($A14,Crop!$AB$142:$AG$142,0))</f>
        <v>76.606329636497932</v>
      </c>
      <c r="F14" s="2">
        <f>Crop!F14*(1+Profit_Margin)/INDEX(Crop!$AB$157:$AG$157,MATCH($A14,Crop!$AB$142:$AG$142,0))</f>
        <v>96.437406596359608</v>
      </c>
      <c r="G14" s="2">
        <f>Crop!G14*(1+Profit_Margin)/INDEX(Crop!$AB$157:$AG$157,MATCH($A14,Crop!$AB$142:$AG$142,0))</f>
        <v>76.606329636497932</v>
      </c>
      <c r="H14" s="2">
        <f>Crop!H14*(1+Profit_Margin)/INDEX(Crop!$AB$157:$AG$157,MATCH($A14,Crop!$AB$142:$AG$142,0))</f>
        <v>96.437406596359608</v>
      </c>
      <c r="I14" s="2">
        <f>Crop!I14*(1+Profit_Margin)/INDEX(Crop!$AB$157:$AG$157,MATCH($A14,Crop!$AB$142:$AG$142,0))</f>
        <v>76.606329636497932</v>
      </c>
      <c r="J14" s="2">
        <f>Crop!J14*(1+Profit_Margin)/INDEX(Crop!$AB$157:$AG$157,MATCH($A14,Crop!$AB$142:$AG$142,0))</f>
        <v>96.437406596359608</v>
      </c>
      <c r="K14" s="2">
        <f>Crop!K14*(1+Profit_Margin)/INDEX(Crop!$AB$157:$AG$157,MATCH($A14,Crop!$AB$142:$AG$142,0))</f>
        <v>76.606329636497932</v>
      </c>
      <c r="L14" s="2">
        <f>Crop!L14*(1+Profit_Margin)/INDEX(Crop!$AB$157:$AG$157,MATCH($A14,Crop!$AB$142:$AG$142,0))</f>
        <v>96.437406596359608</v>
      </c>
      <c r="M14" s="2">
        <f>Crop!M14*(1+Profit_Margin)/INDEX(Crop!$AB$157:$AG$157,MATCH($A14,Crop!$AB$142:$AG$142,0))</f>
        <v>76.606329636497932</v>
      </c>
      <c r="N14" s="2">
        <f>Crop!N14*(1+Profit_Margin)/INDEX(Crop!$AB$157:$AG$157,MATCH($A14,Crop!$AB$142:$AG$142,0))</f>
        <v>96.437406596359608</v>
      </c>
      <c r="O14" s="2">
        <f>Crop!O14*(1+Profit_Margin)/INDEX(Crop!$AB$157:$AG$157,MATCH($A14,Crop!$AB$142:$AG$142,0))</f>
        <v>76.606329636497932</v>
      </c>
      <c r="P14" s="2">
        <f>Crop!P14*(1+Profit_Margin)/INDEX(Crop!$AB$157:$AG$157,MATCH($A14,Crop!$AB$142:$AG$142,0))</f>
        <v>96.437406596359608</v>
      </c>
      <c r="Q14" s="2">
        <f>Crop!Q14*(1+Profit_Margin)/INDEX(Crop!$AB$157:$AG$157,MATCH($A14,Crop!$AB$142:$AG$142,0))</f>
        <v>76.606329636497932</v>
      </c>
      <c r="R14" s="2">
        <f>Crop!R14*(1+Profit_Margin)/INDEX(Crop!$AB$157:$AG$157,MATCH($A14,Crop!$AB$142:$AG$142,0))</f>
        <v>96.437406596359608</v>
      </c>
      <c r="S14" s="2">
        <f>Crop!S14*(1+Profit_Margin)/INDEX(Crop!$AB$157:$AG$157,MATCH($A14,Crop!$AB$142:$AG$142,0))</f>
        <v>76.606329636497932</v>
      </c>
      <c r="T14" s="2">
        <f>Crop!T14*(1+Profit_Margin)/INDEX(Crop!$AB$157:$AG$157,MATCH($A14,Crop!$AB$142:$AG$142,0))</f>
        <v>96.437406596359608</v>
      </c>
      <c r="U14" s="2">
        <f>Crop!U14*(1+Profit_Margin)/INDEX(Crop!$AB$157:$AG$157,MATCH($A14,Crop!$AB$142:$AG$142,0))</f>
        <v>76.606329636497932</v>
      </c>
      <c r="V14" s="2">
        <f>Crop!V14*(1+Profit_Margin)/INDEX(Crop!$AB$157:$AG$157,MATCH($A14,Crop!$AB$142:$AG$142,0))</f>
        <v>96.437406596359608</v>
      </c>
      <c r="W14" s="2">
        <f>Crop!W14*(1+Profit_Margin)/INDEX(Crop!$AB$157:$AG$157,MATCH($A14,Crop!$AB$142:$AG$142,0))</f>
        <v>76.606329636497932</v>
      </c>
      <c r="X14" s="2">
        <f>Crop!X14*(1+Profit_Margin)/INDEX(Crop!$AB$157:$AG$157,MATCH($A14,Crop!$AB$142:$AG$142,0))</f>
        <v>96.437406596359608</v>
      </c>
      <c r="Y14" s="2">
        <f>Crop!Y14*(1+Profit_Margin)/INDEX(Crop!$AB$157:$AG$157,MATCH($A14,Crop!$AB$142:$AG$142,0))</f>
        <v>76.606329636497932</v>
      </c>
      <c r="Z14" s="2">
        <f>Crop!Z14*(1+Profit_Margin)/INDEX(Crop!$AB$157:$AG$157,MATCH($A14,Crop!$AB$142:$AG$142,0))</f>
        <v>96.437406596359608</v>
      </c>
      <c r="AA14" s="2">
        <f>Crop!AA14*(1+Profit_Margin)/INDEX(Crop!$AB$157:$AG$157,MATCH($A14,Crop!$AB$142:$AG$142,0))</f>
        <v>76.606329636497932</v>
      </c>
      <c r="AB14" s="2">
        <f>Crop!AB14*(1+Profit_Margin)/INDEX(Crop!$AB$157:$AG$157,MATCH($A14,Crop!$AB$142:$AG$142,0))</f>
        <v>96.437406596359608</v>
      </c>
      <c r="AC14" s="2">
        <f>Crop!AC14*(1+Profit_Margin)/INDEX(Crop!$AB$157:$AG$157,MATCH($A14,Crop!$AB$142:$AG$142,0))</f>
        <v>76.606329636497932</v>
      </c>
      <c r="AD14" s="2">
        <f>Crop!AD14*(1+Profit_Margin)/INDEX(Crop!$AB$157:$AG$157,MATCH($A14,Crop!$AB$142:$AG$142,0))</f>
        <v>96.437406596359608</v>
      </c>
      <c r="AE14" s="2">
        <f>Crop!AE14*(1+Profit_Margin)/INDEX(Crop!$AB$157:$AG$157,MATCH($A14,Crop!$AB$142:$AG$142,0))</f>
        <v>76.606329636497932</v>
      </c>
      <c r="AF14" s="2">
        <f>Crop!AF14*(1+Profit_Margin)/INDEX(Crop!$AB$157:$AG$157,MATCH($A14,Crop!$AB$142:$AG$142,0))</f>
        <v>96.437406596359608</v>
      </c>
      <c r="AG14" s="2">
        <f>Crop!AG14*(1+Profit_Margin)/INDEX(Crop!$AB$157:$AG$157,MATCH($A14,Crop!$AB$142:$AG$142,0))</f>
        <v>76.606329636497932</v>
      </c>
      <c r="AH14" s="2">
        <f>Crop!AH14*(1+Profit_Margin)/INDEX(Crop!$AB$157:$AG$157,MATCH($A14,Crop!$AB$142:$AG$142,0))</f>
        <v>96.437406596359608</v>
      </c>
    </row>
    <row r="15" spans="1:34">
      <c r="A15" t="str">
        <f>CYF!A15</f>
        <v>Sorghum</v>
      </c>
      <c r="B15" t="str">
        <f>CYF!B15</f>
        <v>Afar</v>
      </c>
      <c r="C15" s="2">
        <f>Crop!C15*(1+Profit_Margin)/INDEX(Crop!$AB$157:$AG$157,MATCH($A15,Crop!$AB$142:$AG$142,0))</f>
        <v>75.165611109589648</v>
      </c>
      <c r="D15" s="2">
        <f>Crop!D15*(1+Profit_Margin)/INDEX(Crop!$AB$157:$AG$157,MATCH($A15,Crop!$AB$142:$AG$142,0))</f>
        <v>92.565372885899563</v>
      </c>
      <c r="E15" s="2">
        <f>Crop!E15*(1+Profit_Margin)/INDEX(Crop!$AB$157:$AG$157,MATCH($A15,Crop!$AB$142:$AG$142,0))</f>
        <v>75.165611109589648</v>
      </c>
      <c r="F15" s="2">
        <f>Crop!F15*(1+Profit_Margin)/INDEX(Crop!$AB$157:$AG$157,MATCH($A15,Crop!$AB$142:$AG$142,0))</f>
        <v>92.565372885899563</v>
      </c>
      <c r="G15" s="2">
        <f>Crop!G15*(1+Profit_Margin)/INDEX(Crop!$AB$157:$AG$157,MATCH($A15,Crop!$AB$142:$AG$142,0))</f>
        <v>75.165611109589648</v>
      </c>
      <c r="H15" s="2">
        <f>Crop!H15*(1+Profit_Margin)/INDEX(Crop!$AB$157:$AG$157,MATCH($A15,Crop!$AB$142:$AG$142,0))</f>
        <v>92.565372885899563</v>
      </c>
      <c r="I15" s="2">
        <f>Crop!I15*(1+Profit_Margin)/INDEX(Crop!$AB$157:$AG$157,MATCH($A15,Crop!$AB$142:$AG$142,0))</f>
        <v>75.165611109589648</v>
      </c>
      <c r="J15" s="2">
        <f>Crop!J15*(1+Profit_Margin)/INDEX(Crop!$AB$157:$AG$157,MATCH($A15,Crop!$AB$142:$AG$142,0))</f>
        <v>92.565372885899563</v>
      </c>
      <c r="K15" s="2">
        <f>Crop!K15*(1+Profit_Margin)/INDEX(Crop!$AB$157:$AG$157,MATCH($A15,Crop!$AB$142:$AG$142,0))</f>
        <v>75.165611109589648</v>
      </c>
      <c r="L15" s="2">
        <f>Crop!L15*(1+Profit_Margin)/INDEX(Crop!$AB$157:$AG$157,MATCH($A15,Crop!$AB$142:$AG$142,0))</f>
        <v>92.565372885899563</v>
      </c>
      <c r="M15" s="2">
        <f>Crop!M15*(1+Profit_Margin)/INDEX(Crop!$AB$157:$AG$157,MATCH($A15,Crop!$AB$142:$AG$142,0))</f>
        <v>75.165611109589648</v>
      </c>
      <c r="N15" s="2">
        <f>Crop!N15*(1+Profit_Margin)/INDEX(Crop!$AB$157:$AG$157,MATCH($A15,Crop!$AB$142:$AG$142,0))</f>
        <v>92.565372885899563</v>
      </c>
      <c r="O15" s="2">
        <f>Crop!O15*(1+Profit_Margin)/INDEX(Crop!$AB$157:$AG$157,MATCH($A15,Crop!$AB$142:$AG$142,0))</f>
        <v>75.165611109589648</v>
      </c>
      <c r="P15" s="2">
        <f>Crop!P15*(1+Profit_Margin)/INDEX(Crop!$AB$157:$AG$157,MATCH($A15,Crop!$AB$142:$AG$142,0))</f>
        <v>92.565372885899563</v>
      </c>
      <c r="Q15" s="2">
        <f>Crop!Q15*(1+Profit_Margin)/INDEX(Crop!$AB$157:$AG$157,MATCH($A15,Crop!$AB$142:$AG$142,0))</f>
        <v>75.165611109589648</v>
      </c>
      <c r="R15" s="2">
        <f>Crop!R15*(1+Profit_Margin)/INDEX(Crop!$AB$157:$AG$157,MATCH($A15,Crop!$AB$142:$AG$142,0))</f>
        <v>92.565372885899563</v>
      </c>
      <c r="S15" s="2">
        <f>Crop!S15*(1+Profit_Margin)/INDEX(Crop!$AB$157:$AG$157,MATCH($A15,Crop!$AB$142:$AG$142,0))</f>
        <v>75.165611109589648</v>
      </c>
      <c r="T15" s="2">
        <f>Crop!T15*(1+Profit_Margin)/INDEX(Crop!$AB$157:$AG$157,MATCH($A15,Crop!$AB$142:$AG$142,0))</f>
        <v>92.565372885899563</v>
      </c>
      <c r="U15" s="2">
        <f>Crop!U15*(1+Profit_Margin)/INDEX(Crop!$AB$157:$AG$157,MATCH($A15,Crop!$AB$142:$AG$142,0))</f>
        <v>75.165611109589648</v>
      </c>
      <c r="V15" s="2">
        <f>Crop!V15*(1+Profit_Margin)/INDEX(Crop!$AB$157:$AG$157,MATCH($A15,Crop!$AB$142:$AG$142,0))</f>
        <v>92.565372885899563</v>
      </c>
      <c r="W15" s="2">
        <f>Crop!W15*(1+Profit_Margin)/INDEX(Crop!$AB$157:$AG$157,MATCH($A15,Crop!$AB$142:$AG$142,0))</f>
        <v>75.165611109589648</v>
      </c>
      <c r="X15" s="2">
        <f>Crop!X15*(1+Profit_Margin)/INDEX(Crop!$AB$157:$AG$157,MATCH($A15,Crop!$AB$142:$AG$142,0))</f>
        <v>92.565372885899563</v>
      </c>
      <c r="Y15" s="2">
        <f>Crop!Y15*(1+Profit_Margin)/INDEX(Crop!$AB$157:$AG$157,MATCH($A15,Crop!$AB$142:$AG$142,0))</f>
        <v>75.165611109589648</v>
      </c>
      <c r="Z15" s="2">
        <f>Crop!Z15*(1+Profit_Margin)/INDEX(Crop!$AB$157:$AG$157,MATCH($A15,Crop!$AB$142:$AG$142,0))</f>
        <v>92.565372885899563</v>
      </c>
      <c r="AA15" s="2">
        <f>Crop!AA15*(1+Profit_Margin)/INDEX(Crop!$AB$157:$AG$157,MATCH($A15,Crop!$AB$142:$AG$142,0))</f>
        <v>75.165611109589648</v>
      </c>
      <c r="AB15" s="2">
        <f>Crop!AB15*(1+Profit_Margin)/INDEX(Crop!$AB$157:$AG$157,MATCH($A15,Crop!$AB$142:$AG$142,0))</f>
        <v>92.565372885899563</v>
      </c>
      <c r="AC15" s="2">
        <f>Crop!AC15*(1+Profit_Margin)/INDEX(Crop!$AB$157:$AG$157,MATCH($A15,Crop!$AB$142:$AG$142,0))</f>
        <v>75.165611109589648</v>
      </c>
      <c r="AD15" s="2">
        <f>Crop!AD15*(1+Profit_Margin)/INDEX(Crop!$AB$157:$AG$157,MATCH($A15,Crop!$AB$142:$AG$142,0))</f>
        <v>92.565372885899563</v>
      </c>
      <c r="AE15" s="2">
        <f>Crop!AE15*(1+Profit_Margin)/INDEX(Crop!$AB$157:$AG$157,MATCH($A15,Crop!$AB$142:$AG$142,0))</f>
        <v>75.165611109589648</v>
      </c>
      <c r="AF15" s="2">
        <f>Crop!AF15*(1+Profit_Margin)/INDEX(Crop!$AB$157:$AG$157,MATCH($A15,Crop!$AB$142:$AG$142,0))</f>
        <v>92.565372885899563</v>
      </c>
      <c r="AG15" s="2">
        <f>Crop!AG15*(1+Profit_Margin)/INDEX(Crop!$AB$157:$AG$157,MATCH($A15,Crop!$AB$142:$AG$142,0))</f>
        <v>75.165611109589648</v>
      </c>
      <c r="AH15" s="2">
        <f>Crop!AH15*(1+Profit_Margin)/INDEX(Crop!$AB$157:$AG$157,MATCH($A15,Crop!$AB$142:$AG$142,0))</f>
        <v>92.565372885899563</v>
      </c>
    </row>
    <row r="16" spans="1:34">
      <c r="A16" t="str">
        <f>CYF!A16</f>
        <v>Sorghum</v>
      </c>
      <c r="B16" t="str">
        <f>CYF!B16</f>
        <v>Amhara</v>
      </c>
      <c r="C16" s="2">
        <f>Crop!C16*(1+Profit_Margin)/INDEX(Crop!$AB$157:$AG$157,MATCH($A16,Crop!$AB$142:$AG$142,0))</f>
        <v>90.663932385109646</v>
      </c>
      <c r="D16" s="2">
        <f>Crop!D16*(1+Profit_Margin)/INDEX(Crop!$AB$157:$AG$157,MATCH($A16,Crop!$AB$142:$AG$142,0))</f>
        <v>90.805153336252644</v>
      </c>
      <c r="E16" s="2">
        <f>Crop!E16*(1+Profit_Margin)/INDEX(Crop!$AB$157:$AG$157,MATCH($A16,Crop!$AB$142:$AG$142,0))</f>
        <v>90.663932385109646</v>
      </c>
      <c r="F16" s="2">
        <f>Crop!F16*(1+Profit_Margin)/INDEX(Crop!$AB$157:$AG$157,MATCH($A16,Crop!$AB$142:$AG$142,0))</f>
        <v>90.805153336252644</v>
      </c>
      <c r="G16" s="2">
        <f>Crop!G16*(1+Profit_Margin)/INDEX(Crop!$AB$157:$AG$157,MATCH($A16,Crop!$AB$142:$AG$142,0))</f>
        <v>90.663932385109646</v>
      </c>
      <c r="H16" s="2">
        <f>Crop!H16*(1+Profit_Margin)/INDEX(Crop!$AB$157:$AG$157,MATCH($A16,Crop!$AB$142:$AG$142,0))</f>
        <v>90.805153336252644</v>
      </c>
      <c r="I16" s="2">
        <f>Crop!I16*(1+Profit_Margin)/INDEX(Crop!$AB$157:$AG$157,MATCH($A16,Crop!$AB$142:$AG$142,0))</f>
        <v>90.663932385109646</v>
      </c>
      <c r="J16" s="2">
        <f>Crop!J16*(1+Profit_Margin)/INDEX(Crop!$AB$157:$AG$157,MATCH($A16,Crop!$AB$142:$AG$142,0))</f>
        <v>90.805153336252644</v>
      </c>
      <c r="K16" s="2">
        <f>Crop!K16*(1+Profit_Margin)/INDEX(Crop!$AB$157:$AG$157,MATCH($A16,Crop!$AB$142:$AG$142,0))</f>
        <v>90.663932385109646</v>
      </c>
      <c r="L16" s="2">
        <f>Crop!L16*(1+Profit_Margin)/INDEX(Crop!$AB$157:$AG$157,MATCH($A16,Crop!$AB$142:$AG$142,0))</f>
        <v>90.805153336252644</v>
      </c>
      <c r="M16" s="2">
        <f>Crop!M16*(1+Profit_Margin)/INDEX(Crop!$AB$157:$AG$157,MATCH($A16,Crop!$AB$142:$AG$142,0))</f>
        <v>90.663932385109646</v>
      </c>
      <c r="N16" s="2">
        <f>Crop!N16*(1+Profit_Margin)/INDEX(Crop!$AB$157:$AG$157,MATCH($A16,Crop!$AB$142:$AG$142,0))</f>
        <v>90.805153336252644</v>
      </c>
      <c r="O16" s="2">
        <f>Crop!O16*(1+Profit_Margin)/INDEX(Crop!$AB$157:$AG$157,MATCH($A16,Crop!$AB$142:$AG$142,0))</f>
        <v>90.663932385109646</v>
      </c>
      <c r="P16" s="2">
        <f>Crop!P16*(1+Profit_Margin)/INDEX(Crop!$AB$157:$AG$157,MATCH($A16,Crop!$AB$142:$AG$142,0))</f>
        <v>90.805153336252644</v>
      </c>
      <c r="Q16" s="2">
        <f>Crop!Q16*(1+Profit_Margin)/INDEX(Crop!$AB$157:$AG$157,MATCH($A16,Crop!$AB$142:$AG$142,0))</f>
        <v>90.663932385109646</v>
      </c>
      <c r="R16" s="2">
        <f>Crop!R16*(1+Profit_Margin)/INDEX(Crop!$AB$157:$AG$157,MATCH($A16,Crop!$AB$142:$AG$142,0))</f>
        <v>90.805153336252644</v>
      </c>
      <c r="S16" s="2">
        <f>Crop!S16*(1+Profit_Margin)/INDEX(Crop!$AB$157:$AG$157,MATCH($A16,Crop!$AB$142:$AG$142,0))</f>
        <v>90.663932385109646</v>
      </c>
      <c r="T16" s="2">
        <f>Crop!T16*(1+Profit_Margin)/INDEX(Crop!$AB$157:$AG$157,MATCH($A16,Crop!$AB$142:$AG$142,0))</f>
        <v>90.805153336252644</v>
      </c>
      <c r="U16" s="2">
        <f>Crop!U16*(1+Profit_Margin)/INDEX(Crop!$AB$157:$AG$157,MATCH($A16,Crop!$AB$142:$AG$142,0))</f>
        <v>90.663932385109646</v>
      </c>
      <c r="V16" s="2">
        <f>Crop!V16*(1+Profit_Margin)/INDEX(Crop!$AB$157:$AG$157,MATCH($A16,Crop!$AB$142:$AG$142,0))</f>
        <v>90.805153336252644</v>
      </c>
      <c r="W16" s="2">
        <f>Crop!W16*(1+Profit_Margin)/INDEX(Crop!$AB$157:$AG$157,MATCH($A16,Crop!$AB$142:$AG$142,0))</f>
        <v>90.663932385109646</v>
      </c>
      <c r="X16" s="2">
        <f>Crop!X16*(1+Profit_Margin)/INDEX(Crop!$AB$157:$AG$157,MATCH($A16,Crop!$AB$142:$AG$142,0))</f>
        <v>90.805153336252644</v>
      </c>
      <c r="Y16" s="2">
        <f>Crop!Y16*(1+Profit_Margin)/INDEX(Crop!$AB$157:$AG$157,MATCH($A16,Crop!$AB$142:$AG$142,0))</f>
        <v>90.663932385109646</v>
      </c>
      <c r="Z16" s="2">
        <f>Crop!Z16*(1+Profit_Margin)/INDEX(Crop!$AB$157:$AG$157,MATCH($A16,Crop!$AB$142:$AG$142,0))</f>
        <v>90.805153336252644</v>
      </c>
      <c r="AA16" s="2">
        <f>Crop!AA16*(1+Profit_Margin)/INDEX(Crop!$AB$157:$AG$157,MATCH($A16,Crop!$AB$142:$AG$142,0))</f>
        <v>90.663932385109646</v>
      </c>
      <c r="AB16" s="2">
        <f>Crop!AB16*(1+Profit_Margin)/INDEX(Crop!$AB$157:$AG$157,MATCH($A16,Crop!$AB$142:$AG$142,0))</f>
        <v>90.805153336252644</v>
      </c>
      <c r="AC16" s="2">
        <f>Crop!AC16*(1+Profit_Margin)/INDEX(Crop!$AB$157:$AG$157,MATCH($A16,Crop!$AB$142:$AG$142,0))</f>
        <v>90.663932385109646</v>
      </c>
      <c r="AD16" s="2">
        <f>Crop!AD16*(1+Profit_Margin)/INDEX(Crop!$AB$157:$AG$157,MATCH($A16,Crop!$AB$142:$AG$142,0))</f>
        <v>90.805153336252644</v>
      </c>
      <c r="AE16" s="2">
        <f>Crop!AE16*(1+Profit_Margin)/INDEX(Crop!$AB$157:$AG$157,MATCH($A16,Crop!$AB$142:$AG$142,0))</f>
        <v>90.663932385109646</v>
      </c>
      <c r="AF16" s="2">
        <f>Crop!AF16*(1+Profit_Margin)/INDEX(Crop!$AB$157:$AG$157,MATCH($A16,Crop!$AB$142:$AG$142,0))</f>
        <v>90.805153336252644</v>
      </c>
      <c r="AG16" s="2">
        <f>Crop!AG16*(1+Profit_Margin)/INDEX(Crop!$AB$157:$AG$157,MATCH($A16,Crop!$AB$142:$AG$142,0))</f>
        <v>90.663932385109646</v>
      </c>
      <c r="AH16" s="2">
        <f>Crop!AH16*(1+Profit_Margin)/INDEX(Crop!$AB$157:$AG$157,MATCH($A16,Crop!$AB$142:$AG$142,0))</f>
        <v>90.805153336252644</v>
      </c>
    </row>
    <row r="17" spans="1:34">
      <c r="A17" t="str">
        <f>CYF!A17</f>
        <v>Sorghum</v>
      </c>
      <c r="B17" t="str">
        <f>CYF!B17</f>
        <v>Gumuz</v>
      </c>
      <c r="C17" s="2">
        <f>Crop!C17*(1+Profit_Margin)/INDEX(Crop!$AB$157:$AG$157,MATCH($A17,Crop!$AB$142:$AG$142,0))</f>
        <v>85.686964159361636</v>
      </c>
      <c r="D17" s="2">
        <f>Crop!D17*(1+Profit_Margin)/INDEX(Crop!$AB$157:$AG$157,MATCH($A17,Crop!$AB$142:$AG$142,0))</f>
        <v>91.099553747312484</v>
      </c>
      <c r="E17" s="2">
        <f>Crop!E17*(1+Profit_Margin)/INDEX(Crop!$AB$157:$AG$157,MATCH($A17,Crop!$AB$142:$AG$142,0))</f>
        <v>85.686964159361636</v>
      </c>
      <c r="F17" s="2">
        <f>Crop!F17*(1+Profit_Margin)/INDEX(Crop!$AB$157:$AG$157,MATCH($A17,Crop!$AB$142:$AG$142,0))</f>
        <v>91.099553747312484</v>
      </c>
      <c r="G17" s="2">
        <f>Crop!G17*(1+Profit_Margin)/INDEX(Crop!$AB$157:$AG$157,MATCH($A17,Crop!$AB$142:$AG$142,0))</f>
        <v>85.686964159361636</v>
      </c>
      <c r="H17" s="2">
        <f>Crop!H17*(1+Profit_Margin)/INDEX(Crop!$AB$157:$AG$157,MATCH($A17,Crop!$AB$142:$AG$142,0))</f>
        <v>91.099553747312484</v>
      </c>
      <c r="I17" s="2">
        <f>Crop!I17*(1+Profit_Margin)/INDEX(Crop!$AB$157:$AG$157,MATCH($A17,Crop!$AB$142:$AG$142,0))</f>
        <v>85.686964159361636</v>
      </c>
      <c r="J17" s="2">
        <f>Crop!J17*(1+Profit_Margin)/INDEX(Crop!$AB$157:$AG$157,MATCH($A17,Crop!$AB$142:$AG$142,0))</f>
        <v>91.099553747312484</v>
      </c>
      <c r="K17" s="2">
        <f>Crop!K17*(1+Profit_Margin)/INDEX(Crop!$AB$157:$AG$157,MATCH($A17,Crop!$AB$142:$AG$142,0))</f>
        <v>85.686964159361636</v>
      </c>
      <c r="L17" s="2">
        <f>Crop!L17*(1+Profit_Margin)/INDEX(Crop!$AB$157:$AG$157,MATCH($A17,Crop!$AB$142:$AG$142,0))</f>
        <v>91.099553747312484</v>
      </c>
      <c r="M17" s="2">
        <f>Crop!M17*(1+Profit_Margin)/INDEX(Crop!$AB$157:$AG$157,MATCH($A17,Crop!$AB$142:$AG$142,0))</f>
        <v>85.686964159361636</v>
      </c>
      <c r="N17" s="2">
        <f>Crop!N17*(1+Profit_Margin)/INDEX(Crop!$AB$157:$AG$157,MATCH($A17,Crop!$AB$142:$AG$142,0))</f>
        <v>91.099553747312484</v>
      </c>
      <c r="O17" s="2">
        <f>Crop!O17*(1+Profit_Margin)/INDEX(Crop!$AB$157:$AG$157,MATCH($A17,Crop!$AB$142:$AG$142,0))</f>
        <v>85.686964159361636</v>
      </c>
      <c r="P17" s="2">
        <f>Crop!P17*(1+Profit_Margin)/INDEX(Crop!$AB$157:$AG$157,MATCH($A17,Crop!$AB$142:$AG$142,0))</f>
        <v>91.099553747312484</v>
      </c>
      <c r="Q17" s="2">
        <f>Crop!Q17*(1+Profit_Margin)/INDEX(Crop!$AB$157:$AG$157,MATCH($A17,Crop!$AB$142:$AG$142,0))</f>
        <v>85.686964159361636</v>
      </c>
      <c r="R17" s="2">
        <f>Crop!R17*(1+Profit_Margin)/INDEX(Crop!$AB$157:$AG$157,MATCH($A17,Crop!$AB$142:$AG$142,0))</f>
        <v>91.099553747312484</v>
      </c>
      <c r="S17" s="2">
        <f>Crop!S17*(1+Profit_Margin)/INDEX(Crop!$AB$157:$AG$157,MATCH($A17,Crop!$AB$142:$AG$142,0))</f>
        <v>85.686964159361636</v>
      </c>
      <c r="T17" s="2">
        <f>Crop!T17*(1+Profit_Margin)/INDEX(Crop!$AB$157:$AG$157,MATCH($A17,Crop!$AB$142:$AG$142,0))</f>
        <v>91.099553747312484</v>
      </c>
      <c r="U17" s="2">
        <f>Crop!U17*(1+Profit_Margin)/INDEX(Crop!$AB$157:$AG$157,MATCH($A17,Crop!$AB$142:$AG$142,0))</f>
        <v>85.686964159361636</v>
      </c>
      <c r="V17" s="2">
        <f>Crop!V17*(1+Profit_Margin)/INDEX(Crop!$AB$157:$AG$157,MATCH($A17,Crop!$AB$142:$AG$142,0))</f>
        <v>91.099553747312484</v>
      </c>
      <c r="W17" s="2">
        <f>Crop!W17*(1+Profit_Margin)/INDEX(Crop!$AB$157:$AG$157,MATCH($A17,Crop!$AB$142:$AG$142,0))</f>
        <v>85.686964159361636</v>
      </c>
      <c r="X17" s="2">
        <f>Crop!X17*(1+Profit_Margin)/INDEX(Crop!$AB$157:$AG$157,MATCH($A17,Crop!$AB$142:$AG$142,0))</f>
        <v>91.099553747312484</v>
      </c>
      <c r="Y17" s="2">
        <f>Crop!Y17*(1+Profit_Margin)/INDEX(Crop!$AB$157:$AG$157,MATCH($A17,Crop!$AB$142:$AG$142,0))</f>
        <v>85.686964159361636</v>
      </c>
      <c r="Z17" s="2">
        <f>Crop!Z17*(1+Profit_Margin)/INDEX(Crop!$AB$157:$AG$157,MATCH($A17,Crop!$AB$142:$AG$142,0))</f>
        <v>91.099553747312484</v>
      </c>
      <c r="AA17" s="2">
        <f>Crop!AA17*(1+Profit_Margin)/INDEX(Crop!$AB$157:$AG$157,MATCH($A17,Crop!$AB$142:$AG$142,0))</f>
        <v>85.686964159361636</v>
      </c>
      <c r="AB17" s="2">
        <f>Crop!AB17*(1+Profit_Margin)/INDEX(Crop!$AB$157:$AG$157,MATCH($A17,Crop!$AB$142:$AG$142,0))</f>
        <v>91.099553747312484</v>
      </c>
      <c r="AC17" s="2">
        <f>Crop!AC17*(1+Profit_Margin)/INDEX(Crop!$AB$157:$AG$157,MATCH($A17,Crop!$AB$142:$AG$142,0))</f>
        <v>85.686964159361636</v>
      </c>
      <c r="AD17" s="2">
        <f>Crop!AD17*(1+Profit_Margin)/INDEX(Crop!$AB$157:$AG$157,MATCH($A17,Crop!$AB$142:$AG$142,0))</f>
        <v>91.099553747312484</v>
      </c>
      <c r="AE17" s="2">
        <f>Crop!AE17*(1+Profit_Margin)/INDEX(Crop!$AB$157:$AG$157,MATCH($A17,Crop!$AB$142:$AG$142,0))</f>
        <v>85.686964159361636</v>
      </c>
      <c r="AF17" s="2">
        <f>Crop!AF17*(1+Profit_Margin)/INDEX(Crop!$AB$157:$AG$157,MATCH($A17,Crop!$AB$142:$AG$142,0))</f>
        <v>91.099553747312484</v>
      </c>
      <c r="AG17" s="2">
        <f>Crop!AG17*(1+Profit_Margin)/INDEX(Crop!$AB$157:$AG$157,MATCH($A17,Crop!$AB$142:$AG$142,0))</f>
        <v>85.686964159361636</v>
      </c>
      <c r="AH17" s="2">
        <f>Crop!AH17*(1+Profit_Margin)/INDEX(Crop!$AB$157:$AG$157,MATCH($A17,Crop!$AB$142:$AG$142,0))</f>
        <v>91.099553747312484</v>
      </c>
    </row>
    <row r="18" spans="1:34">
      <c r="A18" t="str">
        <f>CYF!A18</f>
        <v>Sorghum</v>
      </c>
      <c r="B18" t="str">
        <f>CYF!B18</f>
        <v>DireDawa</v>
      </c>
      <c r="C18" s="2">
        <f>Crop!C18*(1+Profit_Margin)/INDEX(Crop!$AB$157:$AG$157,MATCH($A18,Crop!$AB$142:$AG$142,0))</f>
        <v>74.398302503956657</v>
      </c>
      <c r="D18" s="2">
        <f>Crop!D18*(1+Profit_Margin)/INDEX(Crop!$AB$157:$AG$157,MATCH($A18,Crop!$AB$142:$AG$142,0))</f>
        <v>98.520717303467293</v>
      </c>
      <c r="E18" s="2">
        <f>Crop!E18*(1+Profit_Margin)/INDEX(Crop!$AB$157:$AG$157,MATCH($A18,Crop!$AB$142:$AG$142,0))</f>
        <v>74.398302503956657</v>
      </c>
      <c r="F18" s="2">
        <f>Crop!F18*(1+Profit_Margin)/INDEX(Crop!$AB$157:$AG$157,MATCH($A18,Crop!$AB$142:$AG$142,0))</f>
        <v>98.520717303467293</v>
      </c>
      <c r="G18" s="2">
        <f>Crop!G18*(1+Profit_Margin)/INDEX(Crop!$AB$157:$AG$157,MATCH($A18,Crop!$AB$142:$AG$142,0))</f>
        <v>74.398302503956657</v>
      </c>
      <c r="H18" s="2">
        <f>Crop!H18*(1+Profit_Margin)/INDEX(Crop!$AB$157:$AG$157,MATCH($A18,Crop!$AB$142:$AG$142,0))</f>
        <v>98.520717303467293</v>
      </c>
      <c r="I18" s="2">
        <f>Crop!I18*(1+Profit_Margin)/INDEX(Crop!$AB$157:$AG$157,MATCH($A18,Crop!$AB$142:$AG$142,0))</f>
        <v>74.398302503956657</v>
      </c>
      <c r="J18" s="2">
        <f>Crop!J18*(1+Profit_Margin)/INDEX(Crop!$AB$157:$AG$157,MATCH($A18,Crop!$AB$142:$AG$142,0))</f>
        <v>98.520717303467293</v>
      </c>
      <c r="K18" s="2">
        <f>Crop!K18*(1+Profit_Margin)/INDEX(Crop!$AB$157:$AG$157,MATCH($A18,Crop!$AB$142:$AG$142,0))</f>
        <v>74.398302503956657</v>
      </c>
      <c r="L18" s="2">
        <f>Crop!L18*(1+Profit_Margin)/INDEX(Crop!$AB$157:$AG$157,MATCH($A18,Crop!$AB$142:$AG$142,0))</f>
        <v>98.520717303467293</v>
      </c>
      <c r="M18" s="2">
        <f>Crop!M18*(1+Profit_Margin)/INDEX(Crop!$AB$157:$AG$157,MATCH($A18,Crop!$AB$142:$AG$142,0))</f>
        <v>74.398302503956657</v>
      </c>
      <c r="N18" s="2">
        <f>Crop!N18*(1+Profit_Margin)/INDEX(Crop!$AB$157:$AG$157,MATCH($A18,Crop!$AB$142:$AG$142,0))</f>
        <v>98.520717303467293</v>
      </c>
      <c r="O18" s="2">
        <f>Crop!O18*(1+Profit_Margin)/INDEX(Crop!$AB$157:$AG$157,MATCH($A18,Crop!$AB$142:$AG$142,0))</f>
        <v>74.398302503956657</v>
      </c>
      <c r="P18" s="2">
        <f>Crop!P18*(1+Profit_Margin)/INDEX(Crop!$AB$157:$AG$157,MATCH($A18,Crop!$AB$142:$AG$142,0))</f>
        <v>98.520717303467293</v>
      </c>
      <c r="Q18" s="2">
        <f>Crop!Q18*(1+Profit_Margin)/INDEX(Crop!$AB$157:$AG$157,MATCH($A18,Crop!$AB$142:$AG$142,0))</f>
        <v>74.398302503956657</v>
      </c>
      <c r="R18" s="2">
        <f>Crop!R18*(1+Profit_Margin)/INDEX(Crop!$AB$157:$AG$157,MATCH($A18,Crop!$AB$142:$AG$142,0))</f>
        <v>98.520717303467293</v>
      </c>
      <c r="S18" s="2">
        <f>Crop!S18*(1+Profit_Margin)/INDEX(Crop!$AB$157:$AG$157,MATCH($A18,Crop!$AB$142:$AG$142,0))</f>
        <v>74.398302503956657</v>
      </c>
      <c r="T18" s="2">
        <f>Crop!T18*(1+Profit_Margin)/INDEX(Crop!$AB$157:$AG$157,MATCH($A18,Crop!$AB$142:$AG$142,0))</f>
        <v>98.520717303467293</v>
      </c>
      <c r="U18" s="2">
        <f>Crop!U18*(1+Profit_Margin)/INDEX(Crop!$AB$157:$AG$157,MATCH($A18,Crop!$AB$142:$AG$142,0))</f>
        <v>74.398302503956657</v>
      </c>
      <c r="V18" s="2">
        <f>Crop!V18*(1+Profit_Margin)/INDEX(Crop!$AB$157:$AG$157,MATCH($A18,Crop!$AB$142:$AG$142,0))</f>
        <v>98.520717303467293</v>
      </c>
      <c r="W18" s="2">
        <f>Crop!W18*(1+Profit_Margin)/INDEX(Crop!$AB$157:$AG$157,MATCH($A18,Crop!$AB$142:$AG$142,0))</f>
        <v>74.398302503956657</v>
      </c>
      <c r="X18" s="2">
        <f>Crop!X18*(1+Profit_Margin)/INDEX(Crop!$AB$157:$AG$157,MATCH($A18,Crop!$AB$142:$AG$142,0))</f>
        <v>98.520717303467293</v>
      </c>
      <c r="Y18" s="2">
        <f>Crop!Y18*(1+Profit_Margin)/INDEX(Crop!$AB$157:$AG$157,MATCH($A18,Crop!$AB$142:$AG$142,0))</f>
        <v>74.398302503956657</v>
      </c>
      <c r="Z18" s="2">
        <f>Crop!Z18*(1+Profit_Margin)/INDEX(Crop!$AB$157:$AG$157,MATCH($A18,Crop!$AB$142:$AG$142,0))</f>
        <v>98.520717303467293</v>
      </c>
      <c r="AA18" s="2">
        <f>Crop!AA18*(1+Profit_Margin)/INDEX(Crop!$AB$157:$AG$157,MATCH($A18,Crop!$AB$142:$AG$142,0))</f>
        <v>74.398302503956657</v>
      </c>
      <c r="AB18" s="2">
        <f>Crop!AB18*(1+Profit_Margin)/INDEX(Crop!$AB$157:$AG$157,MATCH($A18,Crop!$AB$142:$AG$142,0))</f>
        <v>98.520717303467293</v>
      </c>
      <c r="AC18" s="2">
        <f>Crop!AC18*(1+Profit_Margin)/INDEX(Crop!$AB$157:$AG$157,MATCH($A18,Crop!$AB$142:$AG$142,0))</f>
        <v>74.398302503956657</v>
      </c>
      <c r="AD18" s="2">
        <f>Crop!AD18*(1+Profit_Margin)/INDEX(Crop!$AB$157:$AG$157,MATCH($A18,Crop!$AB$142:$AG$142,0))</f>
        <v>98.520717303467293</v>
      </c>
      <c r="AE18" s="2">
        <f>Crop!AE18*(1+Profit_Margin)/INDEX(Crop!$AB$157:$AG$157,MATCH($A18,Crop!$AB$142:$AG$142,0))</f>
        <v>74.398302503956657</v>
      </c>
      <c r="AF18" s="2">
        <f>Crop!AF18*(1+Profit_Margin)/INDEX(Crop!$AB$157:$AG$157,MATCH($A18,Crop!$AB$142:$AG$142,0))</f>
        <v>98.520717303467293</v>
      </c>
      <c r="AG18" s="2">
        <f>Crop!AG18*(1+Profit_Margin)/INDEX(Crop!$AB$157:$AG$157,MATCH($A18,Crop!$AB$142:$AG$142,0))</f>
        <v>74.398302503956657</v>
      </c>
      <c r="AH18" s="2">
        <f>Crop!AH18*(1+Profit_Margin)/INDEX(Crop!$AB$157:$AG$157,MATCH($A18,Crop!$AB$142:$AG$142,0))</f>
        <v>98.520717303467293</v>
      </c>
    </row>
    <row r="19" spans="1:34">
      <c r="A19" t="str">
        <f>CYF!A19</f>
        <v>Sorghum</v>
      </c>
      <c r="B19" t="str">
        <f>CYF!B19</f>
        <v>Gambela</v>
      </c>
      <c r="C19" s="2">
        <f>Crop!C19*(1+Profit_Margin)/INDEX(Crop!$AB$157:$AG$157,MATCH($A19,Crop!$AB$142:$AG$142,0))</f>
        <v>93.332855975124573</v>
      </c>
      <c r="D19" s="2">
        <f>Crop!D19*(1+Profit_Margin)/INDEX(Crop!$AB$157:$AG$157,MATCH($A19,Crop!$AB$142:$AG$142,0))</f>
        <v>100.52265292276138</v>
      </c>
      <c r="E19" s="2">
        <f>Crop!E19*(1+Profit_Margin)/INDEX(Crop!$AB$157:$AG$157,MATCH($A19,Crop!$AB$142:$AG$142,0))</f>
        <v>93.332855975124573</v>
      </c>
      <c r="F19" s="2">
        <f>Crop!F19*(1+Profit_Margin)/INDEX(Crop!$AB$157:$AG$157,MATCH($A19,Crop!$AB$142:$AG$142,0))</f>
        <v>100.52265292276138</v>
      </c>
      <c r="G19" s="2">
        <f>Crop!G19*(1+Profit_Margin)/INDEX(Crop!$AB$157:$AG$157,MATCH($A19,Crop!$AB$142:$AG$142,0))</f>
        <v>93.332855975124573</v>
      </c>
      <c r="H19" s="2">
        <f>Crop!H19*(1+Profit_Margin)/INDEX(Crop!$AB$157:$AG$157,MATCH($A19,Crop!$AB$142:$AG$142,0))</f>
        <v>100.52265292276138</v>
      </c>
      <c r="I19" s="2">
        <f>Crop!I19*(1+Profit_Margin)/INDEX(Crop!$AB$157:$AG$157,MATCH($A19,Crop!$AB$142:$AG$142,0))</f>
        <v>93.332855975124573</v>
      </c>
      <c r="J19" s="2">
        <f>Crop!J19*(1+Profit_Margin)/INDEX(Crop!$AB$157:$AG$157,MATCH($A19,Crop!$AB$142:$AG$142,0))</f>
        <v>100.52265292276138</v>
      </c>
      <c r="K19" s="2">
        <f>Crop!K19*(1+Profit_Margin)/INDEX(Crop!$AB$157:$AG$157,MATCH($A19,Crop!$AB$142:$AG$142,0))</f>
        <v>93.332855975124573</v>
      </c>
      <c r="L19" s="2">
        <f>Crop!L19*(1+Profit_Margin)/INDEX(Crop!$AB$157:$AG$157,MATCH($A19,Crop!$AB$142:$AG$142,0))</f>
        <v>100.52265292276138</v>
      </c>
      <c r="M19" s="2">
        <f>Crop!M19*(1+Profit_Margin)/INDEX(Crop!$AB$157:$AG$157,MATCH($A19,Crop!$AB$142:$AG$142,0))</f>
        <v>93.332855975124573</v>
      </c>
      <c r="N19" s="2">
        <f>Crop!N19*(1+Profit_Margin)/INDEX(Crop!$AB$157:$AG$157,MATCH($A19,Crop!$AB$142:$AG$142,0))</f>
        <v>100.52265292276138</v>
      </c>
      <c r="O19" s="2">
        <f>Crop!O19*(1+Profit_Margin)/INDEX(Crop!$AB$157:$AG$157,MATCH($A19,Crop!$AB$142:$AG$142,0))</f>
        <v>93.332855975124573</v>
      </c>
      <c r="P19" s="2">
        <f>Crop!P19*(1+Profit_Margin)/INDEX(Crop!$AB$157:$AG$157,MATCH($A19,Crop!$AB$142:$AG$142,0))</f>
        <v>100.52265292276138</v>
      </c>
      <c r="Q19" s="2">
        <f>Crop!Q19*(1+Profit_Margin)/INDEX(Crop!$AB$157:$AG$157,MATCH($A19,Crop!$AB$142:$AG$142,0))</f>
        <v>93.332855975124573</v>
      </c>
      <c r="R19" s="2">
        <f>Crop!R19*(1+Profit_Margin)/INDEX(Crop!$AB$157:$AG$157,MATCH($A19,Crop!$AB$142:$AG$142,0))</f>
        <v>100.52265292276138</v>
      </c>
      <c r="S19" s="2">
        <f>Crop!S19*(1+Profit_Margin)/INDEX(Crop!$AB$157:$AG$157,MATCH($A19,Crop!$AB$142:$AG$142,0))</f>
        <v>93.332855975124573</v>
      </c>
      <c r="T19" s="2">
        <f>Crop!T19*(1+Profit_Margin)/INDEX(Crop!$AB$157:$AG$157,MATCH($A19,Crop!$AB$142:$AG$142,0))</f>
        <v>100.52265292276138</v>
      </c>
      <c r="U19" s="2">
        <f>Crop!U19*(1+Profit_Margin)/INDEX(Crop!$AB$157:$AG$157,MATCH($A19,Crop!$AB$142:$AG$142,0))</f>
        <v>93.332855975124573</v>
      </c>
      <c r="V19" s="2">
        <f>Crop!V19*(1+Profit_Margin)/INDEX(Crop!$AB$157:$AG$157,MATCH($A19,Crop!$AB$142:$AG$142,0))</f>
        <v>100.52265292276138</v>
      </c>
      <c r="W19" s="2">
        <f>Crop!W19*(1+Profit_Margin)/INDEX(Crop!$AB$157:$AG$157,MATCH($A19,Crop!$AB$142:$AG$142,0))</f>
        <v>93.332855975124573</v>
      </c>
      <c r="X19" s="2">
        <f>Crop!X19*(1+Profit_Margin)/INDEX(Crop!$AB$157:$AG$157,MATCH($A19,Crop!$AB$142:$AG$142,0))</f>
        <v>100.52265292276138</v>
      </c>
      <c r="Y19" s="2">
        <f>Crop!Y19*(1+Profit_Margin)/INDEX(Crop!$AB$157:$AG$157,MATCH($A19,Crop!$AB$142:$AG$142,0))</f>
        <v>93.332855975124573</v>
      </c>
      <c r="Z19" s="2">
        <f>Crop!Z19*(1+Profit_Margin)/INDEX(Crop!$AB$157:$AG$157,MATCH($A19,Crop!$AB$142:$AG$142,0))</f>
        <v>100.52265292276138</v>
      </c>
      <c r="AA19" s="2">
        <f>Crop!AA19*(1+Profit_Margin)/INDEX(Crop!$AB$157:$AG$157,MATCH($A19,Crop!$AB$142:$AG$142,0))</f>
        <v>93.332855975124573</v>
      </c>
      <c r="AB19" s="2">
        <f>Crop!AB19*(1+Profit_Margin)/INDEX(Crop!$AB$157:$AG$157,MATCH($A19,Crop!$AB$142:$AG$142,0))</f>
        <v>100.52265292276138</v>
      </c>
      <c r="AC19" s="2">
        <f>Crop!AC19*(1+Profit_Margin)/INDEX(Crop!$AB$157:$AG$157,MATCH($A19,Crop!$AB$142:$AG$142,0))</f>
        <v>93.332855975124573</v>
      </c>
      <c r="AD19" s="2">
        <f>Crop!AD19*(1+Profit_Margin)/INDEX(Crop!$AB$157:$AG$157,MATCH($A19,Crop!$AB$142:$AG$142,0))</f>
        <v>100.52265292276138</v>
      </c>
      <c r="AE19" s="2">
        <f>Crop!AE19*(1+Profit_Margin)/INDEX(Crop!$AB$157:$AG$157,MATCH($A19,Crop!$AB$142:$AG$142,0))</f>
        <v>93.332855975124573</v>
      </c>
      <c r="AF19" s="2">
        <f>Crop!AF19*(1+Profit_Margin)/INDEX(Crop!$AB$157:$AG$157,MATCH($A19,Crop!$AB$142:$AG$142,0))</f>
        <v>100.52265292276138</v>
      </c>
      <c r="AG19" s="2">
        <f>Crop!AG19*(1+Profit_Margin)/INDEX(Crop!$AB$157:$AG$157,MATCH($A19,Crop!$AB$142:$AG$142,0))</f>
        <v>93.332855975124573</v>
      </c>
      <c r="AH19" s="2">
        <f>Crop!AH19*(1+Profit_Margin)/INDEX(Crop!$AB$157:$AG$157,MATCH($A19,Crop!$AB$142:$AG$142,0))</f>
        <v>100.52265292276138</v>
      </c>
    </row>
    <row r="20" spans="1:34">
      <c r="A20" t="str">
        <f>CYF!A20</f>
        <v>Sorghum</v>
      </c>
      <c r="B20" t="str">
        <f>CYF!B20</f>
        <v>Harari</v>
      </c>
      <c r="C20" s="2">
        <f>Crop!C20*(1+Profit_Margin)/INDEX(Crop!$AB$157:$AG$157,MATCH($A20,Crop!$AB$142:$AG$142,0))</f>
        <v>91.625964916474544</v>
      </c>
      <c r="D20" s="2">
        <f>Crop!D20*(1+Profit_Margin)/INDEX(Crop!$AB$157:$AG$157,MATCH($A20,Crop!$AB$142:$AG$142,0))</f>
        <v>101.27186069341882</v>
      </c>
      <c r="E20" s="2">
        <f>Crop!E20*(1+Profit_Margin)/INDEX(Crop!$AB$157:$AG$157,MATCH($A20,Crop!$AB$142:$AG$142,0))</f>
        <v>91.625964916474544</v>
      </c>
      <c r="F20" s="2">
        <f>Crop!F20*(1+Profit_Margin)/INDEX(Crop!$AB$157:$AG$157,MATCH($A20,Crop!$AB$142:$AG$142,0))</f>
        <v>101.27186069341882</v>
      </c>
      <c r="G20" s="2">
        <f>Crop!G20*(1+Profit_Margin)/INDEX(Crop!$AB$157:$AG$157,MATCH($A20,Crop!$AB$142:$AG$142,0))</f>
        <v>91.625964916474544</v>
      </c>
      <c r="H20" s="2">
        <f>Crop!H20*(1+Profit_Margin)/INDEX(Crop!$AB$157:$AG$157,MATCH($A20,Crop!$AB$142:$AG$142,0))</f>
        <v>101.27186069341882</v>
      </c>
      <c r="I20" s="2">
        <f>Crop!I20*(1+Profit_Margin)/INDEX(Crop!$AB$157:$AG$157,MATCH($A20,Crop!$AB$142:$AG$142,0))</f>
        <v>91.625964916474544</v>
      </c>
      <c r="J20" s="2">
        <f>Crop!J20*(1+Profit_Margin)/INDEX(Crop!$AB$157:$AG$157,MATCH($A20,Crop!$AB$142:$AG$142,0))</f>
        <v>101.27186069341882</v>
      </c>
      <c r="K20" s="2">
        <f>Crop!K20*(1+Profit_Margin)/INDEX(Crop!$AB$157:$AG$157,MATCH($A20,Crop!$AB$142:$AG$142,0))</f>
        <v>91.625964916474544</v>
      </c>
      <c r="L20" s="2">
        <f>Crop!L20*(1+Profit_Margin)/INDEX(Crop!$AB$157:$AG$157,MATCH($A20,Crop!$AB$142:$AG$142,0))</f>
        <v>101.27186069341882</v>
      </c>
      <c r="M20" s="2">
        <f>Crop!M20*(1+Profit_Margin)/INDEX(Crop!$AB$157:$AG$157,MATCH($A20,Crop!$AB$142:$AG$142,0))</f>
        <v>91.625964916474544</v>
      </c>
      <c r="N20" s="2">
        <f>Crop!N20*(1+Profit_Margin)/INDEX(Crop!$AB$157:$AG$157,MATCH($A20,Crop!$AB$142:$AG$142,0))</f>
        <v>101.27186069341882</v>
      </c>
      <c r="O20" s="2">
        <f>Crop!O20*(1+Profit_Margin)/INDEX(Crop!$AB$157:$AG$157,MATCH($A20,Crop!$AB$142:$AG$142,0))</f>
        <v>91.625964916474544</v>
      </c>
      <c r="P20" s="2">
        <f>Crop!P20*(1+Profit_Margin)/INDEX(Crop!$AB$157:$AG$157,MATCH($A20,Crop!$AB$142:$AG$142,0))</f>
        <v>101.27186069341882</v>
      </c>
      <c r="Q20" s="2">
        <f>Crop!Q20*(1+Profit_Margin)/INDEX(Crop!$AB$157:$AG$157,MATCH($A20,Crop!$AB$142:$AG$142,0))</f>
        <v>91.625964916474544</v>
      </c>
      <c r="R20" s="2">
        <f>Crop!R20*(1+Profit_Margin)/INDEX(Crop!$AB$157:$AG$157,MATCH($A20,Crop!$AB$142:$AG$142,0))</f>
        <v>101.27186069341882</v>
      </c>
      <c r="S20" s="2">
        <f>Crop!S20*(1+Profit_Margin)/INDEX(Crop!$AB$157:$AG$157,MATCH($A20,Crop!$AB$142:$AG$142,0))</f>
        <v>91.625964916474544</v>
      </c>
      <c r="T20" s="2">
        <f>Crop!T20*(1+Profit_Margin)/INDEX(Crop!$AB$157:$AG$157,MATCH($A20,Crop!$AB$142:$AG$142,0))</f>
        <v>101.27186069341882</v>
      </c>
      <c r="U20" s="2">
        <f>Crop!U20*(1+Profit_Margin)/INDEX(Crop!$AB$157:$AG$157,MATCH($A20,Crop!$AB$142:$AG$142,0))</f>
        <v>91.625964916474544</v>
      </c>
      <c r="V20" s="2">
        <f>Crop!V20*(1+Profit_Margin)/INDEX(Crop!$AB$157:$AG$157,MATCH($A20,Crop!$AB$142:$AG$142,0))</f>
        <v>101.27186069341882</v>
      </c>
      <c r="W20" s="2">
        <f>Crop!W20*(1+Profit_Margin)/INDEX(Crop!$AB$157:$AG$157,MATCH($A20,Crop!$AB$142:$AG$142,0))</f>
        <v>91.625964916474544</v>
      </c>
      <c r="X20" s="2">
        <f>Crop!X20*(1+Profit_Margin)/INDEX(Crop!$AB$157:$AG$157,MATCH($A20,Crop!$AB$142:$AG$142,0))</f>
        <v>101.27186069341882</v>
      </c>
      <c r="Y20" s="2">
        <f>Crop!Y20*(1+Profit_Margin)/INDEX(Crop!$AB$157:$AG$157,MATCH($A20,Crop!$AB$142:$AG$142,0))</f>
        <v>91.625964916474544</v>
      </c>
      <c r="Z20" s="2">
        <f>Crop!Z20*(1+Profit_Margin)/INDEX(Crop!$AB$157:$AG$157,MATCH($A20,Crop!$AB$142:$AG$142,0))</f>
        <v>101.27186069341882</v>
      </c>
      <c r="AA20" s="2">
        <f>Crop!AA20*(1+Profit_Margin)/INDEX(Crop!$AB$157:$AG$157,MATCH($A20,Crop!$AB$142:$AG$142,0))</f>
        <v>91.625964916474544</v>
      </c>
      <c r="AB20" s="2">
        <f>Crop!AB20*(1+Profit_Margin)/INDEX(Crop!$AB$157:$AG$157,MATCH($A20,Crop!$AB$142:$AG$142,0))</f>
        <v>101.27186069341882</v>
      </c>
      <c r="AC20" s="2">
        <f>Crop!AC20*(1+Profit_Margin)/INDEX(Crop!$AB$157:$AG$157,MATCH($A20,Crop!$AB$142:$AG$142,0))</f>
        <v>91.625964916474544</v>
      </c>
      <c r="AD20" s="2">
        <f>Crop!AD20*(1+Profit_Margin)/INDEX(Crop!$AB$157:$AG$157,MATCH($A20,Crop!$AB$142:$AG$142,0))</f>
        <v>101.27186069341882</v>
      </c>
      <c r="AE20" s="2">
        <f>Crop!AE20*(1+Profit_Margin)/INDEX(Crop!$AB$157:$AG$157,MATCH($A20,Crop!$AB$142:$AG$142,0))</f>
        <v>91.625964916474544</v>
      </c>
      <c r="AF20" s="2">
        <f>Crop!AF20*(1+Profit_Margin)/INDEX(Crop!$AB$157:$AG$157,MATCH($A20,Crop!$AB$142:$AG$142,0))</f>
        <v>101.27186069341882</v>
      </c>
      <c r="AG20" s="2">
        <f>Crop!AG20*(1+Profit_Margin)/INDEX(Crop!$AB$157:$AG$157,MATCH($A20,Crop!$AB$142:$AG$142,0))</f>
        <v>91.625964916474544</v>
      </c>
      <c r="AH20" s="2">
        <f>Crop!AH20*(1+Profit_Margin)/INDEX(Crop!$AB$157:$AG$157,MATCH($A20,Crop!$AB$142:$AG$142,0))</f>
        <v>101.27186069341882</v>
      </c>
    </row>
    <row r="21" spans="1:34">
      <c r="A21" t="str">
        <f>CYF!A21</f>
        <v>Sorghum</v>
      </c>
      <c r="B21" t="str">
        <f>CYF!B21</f>
        <v>Oromia</v>
      </c>
      <c r="C21" s="2">
        <f>Crop!C21*(1+Profit_Margin)/INDEX(Crop!$AB$157:$AG$157,MATCH($A21,Crop!$AB$142:$AG$142,0))</f>
        <v>76.229158297408745</v>
      </c>
      <c r="D21" s="2">
        <f>Crop!D21*(1+Profit_Margin)/INDEX(Crop!$AB$157:$AG$157,MATCH($A21,Crop!$AB$142:$AG$142,0))</f>
        <v>95.210123498014781</v>
      </c>
      <c r="E21" s="2">
        <f>Crop!E21*(1+Profit_Margin)/INDEX(Crop!$AB$157:$AG$157,MATCH($A21,Crop!$AB$142:$AG$142,0))</f>
        <v>76.229158297408745</v>
      </c>
      <c r="F21" s="2">
        <f>Crop!F21*(1+Profit_Margin)/INDEX(Crop!$AB$157:$AG$157,MATCH($A21,Crop!$AB$142:$AG$142,0))</f>
        <v>95.210123498014781</v>
      </c>
      <c r="G21" s="2">
        <f>Crop!G21*(1+Profit_Margin)/INDEX(Crop!$AB$157:$AG$157,MATCH($A21,Crop!$AB$142:$AG$142,0))</f>
        <v>76.229158297408745</v>
      </c>
      <c r="H21" s="2">
        <f>Crop!H21*(1+Profit_Margin)/INDEX(Crop!$AB$157:$AG$157,MATCH($A21,Crop!$AB$142:$AG$142,0))</f>
        <v>95.210123498014781</v>
      </c>
      <c r="I21" s="2">
        <f>Crop!I21*(1+Profit_Margin)/INDEX(Crop!$AB$157:$AG$157,MATCH($A21,Crop!$AB$142:$AG$142,0))</f>
        <v>76.229158297408745</v>
      </c>
      <c r="J21" s="2">
        <f>Crop!J21*(1+Profit_Margin)/INDEX(Crop!$AB$157:$AG$157,MATCH($A21,Crop!$AB$142:$AG$142,0))</f>
        <v>95.210123498014781</v>
      </c>
      <c r="K21" s="2">
        <f>Crop!K21*(1+Profit_Margin)/INDEX(Crop!$AB$157:$AG$157,MATCH($A21,Crop!$AB$142:$AG$142,0))</f>
        <v>76.229158297408745</v>
      </c>
      <c r="L21" s="2">
        <f>Crop!L21*(1+Profit_Margin)/INDEX(Crop!$AB$157:$AG$157,MATCH($A21,Crop!$AB$142:$AG$142,0))</f>
        <v>95.210123498014781</v>
      </c>
      <c r="M21" s="2">
        <f>Crop!M21*(1+Profit_Margin)/INDEX(Crop!$AB$157:$AG$157,MATCH($A21,Crop!$AB$142:$AG$142,0))</f>
        <v>76.229158297408745</v>
      </c>
      <c r="N21" s="2">
        <f>Crop!N21*(1+Profit_Margin)/INDEX(Crop!$AB$157:$AG$157,MATCH($A21,Crop!$AB$142:$AG$142,0))</f>
        <v>95.210123498014781</v>
      </c>
      <c r="O21" s="2">
        <f>Crop!O21*(1+Profit_Margin)/INDEX(Crop!$AB$157:$AG$157,MATCH($A21,Crop!$AB$142:$AG$142,0))</f>
        <v>76.229158297408745</v>
      </c>
      <c r="P21" s="2">
        <f>Crop!P21*(1+Profit_Margin)/INDEX(Crop!$AB$157:$AG$157,MATCH($A21,Crop!$AB$142:$AG$142,0))</f>
        <v>95.210123498014781</v>
      </c>
      <c r="Q21" s="2">
        <f>Crop!Q21*(1+Profit_Margin)/INDEX(Crop!$AB$157:$AG$157,MATCH($A21,Crop!$AB$142:$AG$142,0))</f>
        <v>76.229158297408745</v>
      </c>
      <c r="R21" s="2">
        <f>Crop!R21*(1+Profit_Margin)/INDEX(Crop!$AB$157:$AG$157,MATCH($A21,Crop!$AB$142:$AG$142,0))</f>
        <v>95.210123498014781</v>
      </c>
      <c r="S21" s="2">
        <f>Crop!S21*(1+Profit_Margin)/INDEX(Crop!$AB$157:$AG$157,MATCH($A21,Crop!$AB$142:$AG$142,0))</f>
        <v>76.229158297408745</v>
      </c>
      <c r="T21" s="2">
        <f>Crop!T21*(1+Profit_Margin)/INDEX(Crop!$AB$157:$AG$157,MATCH($A21,Crop!$AB$142:$AG$142,0))</f>
        <v>95.210123498014781</v>
      </c>
      <c r="U21" s="2">
        <f>Crop!U21*(1+Profit_Margin)/INDEX(Crop!$AB$157:$AG$157,MATCH($A21,Crop!$AB$142:$AG$142,0))</f>
        <v>76.229158297408745</v>
      </c>
      <c r="V21" s="2">
        <f>Crop!V21*(1+Profit_Margin)/INDEX(Crop!$AB$157:$AG$157,MATCH($A21,Crop!$AB$142:$AG$142,0))</f>
        <v>95.210123498014781</v>
      </c>
      <c r="W21" s="2">
        <f>Crop!W21*(1+Profit_Margin)/INDEX(Crop!$AB$157:$AG$157,MATCH($A21,Crop!$AB$142:$AG$142,0))</f>
        <v>76.229158297408745</v>
      </c>
      <c r="X21" s="2">
        <f>Crop!X21*(1+Profit_Margin)/INDEX(Crop!$AB$157:$AG$157,MATCH($A21,Crop!$AB$142:$AG$142,0))</f>
        <v>95.210123498014781</v>
      </c>
      <c r="Y21" s="2">
        <f>Crop!Y21*(1+Profit_Margin)/INDEX(Crop!$AB$157:$AG$157,MATCH($A21,Crop!$AB$142:$AG$142,0))</f>
        <v>76.229158297408745</v>
      </c>
      <c r="Z21" s="2">
        <f>Crop!Z21*(1+Profit_Margin)/INDEX(Crop!$AB$157:$AG$157,MATCH($A21,Crop!$AB$142:$AG$142,0))</f>
        <v>95.210123498014781</v>
      </c>
      <c r="AA21" s="2">
        <f>Crop!AA21*(1+Profit_Margin)/INDEX(Crop!$AB$157:$AG$157,MATCH($A21,Crop!$AB$142:$AG$142,0))</f>
        <v>76.229158297408745</v>
      </c>
      <c r="AB21" s="2">
        <f>Crop!AB21*(1+Profit_Margin)/INDEX(Crop!$AB$157:$AG$157,MATCH($A21,Crop!$AB$142:$AG$142,0))</f>
        <v>95.210123498014781</v>
      </c>
      <c r="AC21" s="2">
        <f>Crop!AC21*(1+Profit_Margin)/INDEX(Crop!$AB$157:$AG$157,MATCH($A21,Crop!$AB$142:$AG$142,0))</f>
        <v>76.229158297408745</v>
      </c>
      <c r="AD21" s="2">
        <f>Crop!AD21*(1+Profit_Margin)/INDEX(Crop!$AB$157:$AG$157,MATCH($A21,Crop!$AB$142:$AG$142,0))</f>
        <v>95.210123498014781</v>
      </c>
      <c r="AE21" s="2">
        <f>Crop!AE21*(1+Profit_Margin)/INDEX(Crop!$AB$157:$AG$157,MATCH($A21,Crop!$AB$142:$AG$142,0))</f>
        <v>76.229158297408745</v>
      </c>
      <c r="AF21" s="2">
        <f>Crop!AF21*(1+Profit_Margin)/INDEX(Crop!$AB$157:$AG$157,MATCH($A21,Crop!$AB$142:$AG$142,0))</f>
        <v>95.210123498014781</v>
      </c>
      <c r="AG21" s="2">
        <f>Crop!AG21*(1+Profit_Margin)/INDEX(Crop!$AB$157:$AG$157,MATCH($A21,Crop!$AB$142:$AG$142,0))</f>
        <v>76.229158297408745</v>
      </c>
      <c r="AH21" s="2">
        <f>Crop!AH21*(1+Profit_Margin)/INDEX(Crop!$AB$157:$AG$157,MATCH($A21,Crop!$AB$142:$AG$142,0))</f>
        <v>95.210123498014781</v>
      </c>
    </row>
    <row r="22" spans="1:34">
      <c r="A22" t="str">
        <f>CYF!A22</f>
        <v>Sorghum</v>
      </c>
      <c r="B22" t="str">
        <f>CYF!B22</f>
        <v>Somali</v>
      </c>
      <c r="C22" s="2">
        <f>Crop!C22*(1+Profit_Margin)/INDEX(Crop!$AB$157:$AG$157,MATCH($A22,Crop!$AB$142:$AG$142,0))</f>
        <v>87.741621809677611</v>
      </c>
      <c r="D22" s="2">
        <f>Crop!D22*(1+Profit_Margin)/INDEX(Crop!$AB$157:$AG$157,MATCH($A22,Crop!$AB$142:$AG$142,0))</f>
        <v>93.976158892976699</v>
      </c>
      <c r="E22" s="2">
        <f>Crop!E22*(1+Profit_Margin)/INDEX(Crop!$AB$157:$AG$157,MATCH($A22,Crop!$AB$142:$AG$142,0))</f>
        <v>87.741621809677611</v>
      </c>
      <c r="F22" s="2">
        <f>Crop!F22*(1+Profit_Margin)/INDEX(Crop!$AB$157:$AG$157,MATCH($A22,Crop!$AB$142:$AG$142,0))</f>
        <v>93.976158892976699</v>
      </c>
      <c r="G22" s="2">
        <f>Crop!G22*(1+Profit_Margin)/INDEX(Crop!$AB$157:$AG$157,MATCH($A22,Crop!$AB$142:$AG$142,0))</f>
        <v>87.741621809677611</v>
      </c>
      <c r="H22" s="2">
        <f>Crop!H22*(1+Profit_Margin)/INDEX(Crop!$AB$157:$AG$157,MATCH($A22,Crop!$AB$142:$AG$142,0))</f>
        <v>93.976158892976699</v>
      </c>
      <c r="I22" s="2">
        <f>Crop!I22*(1+Profit_Margin)/INDEX(Crop!$AB$157:$AG$157,MATCH($A22,Crop!$AB$142:$AG$142,0))</f>
        <v>87.741621809677611</v>
      </c>
      <c r="J22" s="2">
        <f>Crop!J22*(1+Profit_Margin)/INDEX(Crop!$AB$157:$AG$157,MATCH($A22,Crop!$AB$142:$AG$142,0))</f>
        <v>93.976158892976699</v>
      </c>
      <c r="K22" s="2">
        <f>Crop!K22*(1+Profit_Margin)/INDEX(Crop!$AB$157:$AG$157,MATCH($A22,Crop!$AB$142:$AG$142,0))</f>
        <v>87.741621809677611</v>
      </c>
      <c r="L22" s="2">
        <f>Crop!L22*(1+Profit_Margin)/INDEX(Crop!$AB$157:$AG$157,MATCH($A22,Crop!$AB$142:$AG$142,0))</f>
        <v>93.976158892976699</v>
      </c>
      <c r="M22" s="2">
        <f>Crop!M22*(1+Profit_Margin)/INDEX(Crop!$AB$157:$AG$157,MATCH($A22,Crop!$AB$142:$AG$142,0))</f>
        <v>87.741621809677611</v>
      </c>
      <c r="N22" s="2">
        <f>Crop!N22*(1+Profit_Margin)/INDEX(Crop!$AB$157:$AG$157,MATCH($A22,Crop!$AB$142:$AG$142,0))</f>
        <v>93.976158892976699</v>
      </c>
      <c r="O22" s="2">
        <f>Crop!O22*(1+Profit_Margin)/INDEX(Crop!$AB$157:$AG$157,MATCH($A22,Crop!$AB$142:$AG$142,0))</f>
        <v>87.741621809677611</v>
      </c>
      <c r="P22" s="2">
        <f>Crop!P22*(1+Profit_Margin)/INDEX(Crop!$AB$157:$AG$157,MATCH($A22,Crop!$AB$142:$AG$142,0))</f>
        <v>93.976158892976699</v>
      </c>
      <c r="Q22" s="2">
        <f>Crop!Q22*(1+Profit_Margin)/INDEX(Crop!$AB$157:$AG$157,MATCH($A22,Crop!$AB$142:$AG$142,0))</f>
        <v>87.741621809677611</v>
      </c>
      <c r="R22" s="2">
        <f>Crop!R22*(1+Profit_Margin)/INDEX(Crop!$AB$157:$AG$157,MATCH($A22,Crop!$AB$142:$AG$142,0))</f>
        <v>93.976158892976699</v>
      </c>
      <c r="S22" s="2">
        <f>Crop!S22*(1+Profit_Margin)/INDEX(Crop!$AB$157:$AG$157,MATCH($A22,Crop!$AB$142:$AG$142,0))</f>
        <v>87.741621809677611</v>
      </c>
      <c r="T22" s="2">
        <f>Crop!T22*(1+Profit_Margin)/INDEX(Crop!$AB$157:$AG$157,MATCH($A22,Crop!$AB$142:$AG$142,0))</f>
        <v>93.976158892976699</v>
      </c>
      <c r="U22" s="2">
        <f>Crop!U22*(1+Profit_Margin)/INDEX(Crop!$AB$157:$AG$157,MATCH($A22,Crop!$AB$142:$AG$142,0))</f>
        <v>87.741621809677611</v>
      </c>
      <c r="V22" s="2">
        <f>Crop!V22*(1+Profit_Margin)/INDEX(Crop!$AB$157:$AG$157,MATCH($A22,Crop!$AB$142:$AG$142,0))</f>
        <v>93.976158892976699</v>
      </c>
      <c r="W22" s="2">
        <f>Crop!W22*(1+Profit_Margin)/INDEX(Crop!$AB$157:$AG$157,MATCH($A22,Crop!$AB$142:$AG$142,0))</f>
        <v>87.741621809677611</v>
      </c>
      <c r="X22" s="2">
        <f>Crop!X22*(1+Profit_Margin)/INDEX(Crop!$AB$157:$AG$157,MATCH($A22,Crop!$AB$142:$AG$142,0))</f>
        <v>93.976158892976699</v>
      </c>
      <c r="Y22" s="2">
        <f>Crop!Y22*(1+Profit_Margin)/INDEX(Crop!$AB$157:$AG$157,MATCH($A22,Crop!$AB$142:$AG$142,0))</f>
        <v>87.741621809677611</v>
      </c>
      <c r="Z22" s="2">
        <f>Crop!Z22*(1+Profit_Margin)/INDEX(Crop!$AB$157:$AG$157,MATCH($A22,Crop!$AB$142:$AG$142,0))</f>
        <v>93.976158892976699</v>
      </c>
      <c r="AA22" s="2">
        <f>Crop!AA22*(1+Profit_Margin)/INDEX(Crop!$AB$157:$AG$157,MATCH($A22,Crop!$AB$142:$AG$142,0))</f>
        <v>87.741621809677611</v>
      </c>
      <c r="AB22" s="2">
        <f>Crop!AB22*(1+Profit_Margin)/INDEX(Crop!$AB$157:$AG$157,MATCH($A22,Crop!$AB$142:$AG$142,0))</f>
        <v>93.976158892976699</v>
      </c>
      <c r="AC22" s="2">
        <f>Crop!AC22*(1+Profit_Margin)/INDEX(Crop!$AB$157:$AG$157,MATCH($A22,Crop!$AB$142:$AG$142,0))</f>
        <v>87.741621809677611</v>
      </c>
      <c r="AD22" s="2">
        <f>Crop!AD22*(1+Profit_Margin)/INDEX(Crop!$AB$157:$AG$157,MATCH($A22,Crop!$AB$142:$AG$142,0))</f>
        <v>93.976158892976699</v>
      </c>
      <c r="AE22" s="2">
        <f>Crop!AE22*(1+Profit_Margin)/INDEX(Crop!$AB$157:$AG$157,MATCH($A22,Crop!$AB$142:$AG$142,0))</f>
        <v>87.741621809677611</v>
      </c>
      <c r="AF22" s="2">
        <f>Crop!AF22*(1+Profit_Margin)/INDEX(Crop!$AB$157:$AG$157,MATCH($A22,Crop!$AB$142:$AG$142,0))</f>
        <v>93.976158892976699</v>
      </c>
      <c r="AG22" s="2">
        <f>Crop!AG22*(1+Profit_Margin)/INDEX(Crop!$AB$157:$AG$157,MATCH($A22,Crop!$AB$142:$AG$142,0))</f>
        <v>87.741621809677611</v>
      </c>
      <c r="AH22" s="2">
        <f>Crop!AH22*(1+Profit_Margin)/INDEX(Crop!$AB$157:$AG$157,MATCH($A22,Crop!$AB$142:$AG$142,0))</f>
        <v>93.976158892976699</v>
      </c>
    </row>
    <row r="23" spans="1:34">
      <c r="A23" t="str">
        <f>CYF!A23</f>
        <v>Sorghum</v>
      </c>
      <c r="B23" t="str">
        <f>CYF!B23</f>
        <v>SNNPR</v>
      </c>
      <c r="C23" s="2">
        <f>Crop!C23*(1+Profit_Margin)/INDEX(Crop!$AB$157:$AG$157,MATCH($A23,Crop!$AB$142:$AG$142,0))</f>
        <v>90.57912154104983</v>
      </c>
      <c r="D23" s="2">
        <f>Crop!D23*(1+Profit_Margin)/INDEX(Crop!$AB$157:$AG$157,MATCH($A23,Crop!$AB$142:$AG$142,0))</f>
        <v>93.453036696335332</v>
      </c>
      <c r="E23" s="2">
        <f>Crop!E23*(1+Profit_Margin)/INDEX(Crop!$AB$157:$AG$157,MATCH($A23,Crop!$AB$142:$AG$142,0))</f>
        <v>90.57912154104983</v>
      </c>
      <c r="F23" s="2">
        <f>Crop!F23*(1+Profit_Margin)/INDEX(Crop!$AB$157:$AG$157,MATCH($A23,Crop!$AB$142:$AG$142,0))</f>
        <v>93.453036696335332</v>
      </c>
      <c r="G23" s="2">
        <f>Crop!G23*(1+Profit_Margin)/INDEX(Crop!$AB$157:$AG$157,MATCH($A23,Crop!$AB$142:$AG$142,0))</f>
        <v>90.57912154104983</v>
      </c>
      <c r="H23" s="2">
        <f>Crop!H23*(1+Profit_Margin)/INDEX(Crop!$AB$157:$AG$157,MATCH($A23,Crop!$AB$142:$AG$142,0))</f>
        <v>93.453036696335332</v>
      </c>
      <c r="I23" s="2">
        <f>Crop!I23*(1+Profit_Margin)/INDEX(Crop!$AB$157:$AG$157,MATCH($A23,Crop!$AB$142:$AG$142,0))</f>
        <v>90.57912154104983</v>
      </c>
      <c r="J23" s="2">
        <f>Crop!J23*(1+Profit_Margin)/INDEX(Crop!$AB$157:$AG$157,MATCH($A23,Crop!$AB$142:$AG$142,0))</f>
        <v>93.453036696335332</v>
      </c>
      <c r="K23" s="2">
        <f>Crop!K23*(1+Profit_Margin)/INDEX(Crop!$AB$157:$AG$157,MATCH($A23,Crop!$AB$142:$AG$142,0))</f>
        <v>90.57912154104983</v>
      </c>
      <c r="L23" s="2">
        <f>Crop!L23*(1+Profit_Margin)/INDEX(Crop!$AB$157:$AG$157,MATCH($A23,Crop!$AB$142:$AG$142,0))</f>
        <v>93.453036696335332</v>
      </c>
      <c r="M23" s="2">
        <f>Crop!M23*(1+Profit_Margin)/INDEX(Crop!$AB$157:$AG$157,MATCH($A23,Crop!$AB$142:$AG$142,0))</f>
        <v>90.57912154104983</v>
      </c>
      <c r="N23" s="2">
        <f>Crop!N23*(1+Profit_Margin)/INDEX(Crop!$AB$157:$AG$157,MATCH($A23,Crop!$AB$142:$AG$142,0))</f>
        <v>93.453036696335332</v>
      </c>
      <c r="O23" s="2">
        <f>Crop!O23*(1+Profit_Margin)/INDEX(Crop!$AB$157:$AG$157,MATCH($A23,Crop!$AB$142:$AG$142,0))</f>
        <v>90.57912154104983</v>
      </c>
      <c r="P23" s="2">
        <f>Crop!P23*(1+Profit_Margin)/INDEX(Crop!$AB$157:$AG$157,MATCH($A23,Crop!$AB$142:$AG$142,0))</f>
        <v>93.453036696335332</v>
      </c>
      <c r="Q23" s="2">
        <f>Crop!Q23*(1+Profit_Margin)/INDEX(Crop!$AB$157:$AG$157,MATCH($A23,Crop!$AB$142:$AG$142,0))</f>
        <v>90.57912154104983</v>
      </c>
      <c r="R23" s="2">
        <f>Crop!R23*(1+Profit_Margin)/INDEX(Crop!$AB$157:$AG$157,MATCH($A23,Crop!$AB$142:$AG$142,0))</f>
        <v>93.453036696335332</v>
      </c>
      <c r="S23" s="2">
        <f>Crop!S23*(1+Profit_Margin)/INDEX(Crop!$AB$157:$AG$157,MATCH($A23,Crop!$AB$142:$AG$142,0))</f>
        <v>90.57912154104983</v>
      </c>
      <c r="T23" s="2">
        <f>Crop!T23*(1+Profit_Margin)/INDEX(Crop!$AB$157:$AG$157,MATCH($A23,Crop!$AB$142:$AG$142,0))</f>
        <v>93.453036696335332</v>
      </c>
      <c r="U23" s="2">
        <f>Crop!U23*(1+Profit_Margin)/INDEX(Crop!$AB$157:$AG$157,MATCH($A23,Crop!$AB$142:$AG$142,0))</f>
        <v>90.57912154104983</v>
      </c>
      <c r="V23" s="2">
        <f>Crop!V23*(1+Profit_Margin)/INDEX(Crop!$AB$157:$AG$157,MATCH($A23,Crop!$AB$142:$AG$142,0))</f>
        <v>93.453036696335332</v>
      </c>
      <c r="W23" s="2">
        <f>Crop!W23*(1+Profit_Margin)/INDEX(Crop!$AB$157:$AG$157,MATCH($A23,Crop!$AB$142:$AG$142,0))</f>
        <v>90.57912154104983</v>
      </c>
      <c r="X23" s="2">
        <f>Crop!X23*(1+Profit_Margin)/INDEX(Crop!$AB$157:$AG$157,MATCH($A23,Crop!$AB$142:$AG$142,0))</f>
        <v>93.453036696335332</v>
      </c>
      <c r="Y23" s="2">
        <f>Crop!Y23*(1+Profit_Margin)/INDEX(Crop!$AB$157:$AG$157,MATCH($A23,Crop!$AB$142:$AG$142,0))</f>
        <v>90.57912154104983</v>
      </c>
      <c r="Z23" s="2">
        <f>Crop!Z23*(1+Profit_Margin)/INDEX(Crop!$AB$157:$AG$157,MATCH($A23,Crop!$AB$142:$AG$142,0))</f>
        <v>93.453036696335332</v>
      </c>
      <c r="AA23" s="2">
        <f>Crop!AA23*(1+Profit_Margin)/INDEX(Crop!$AB$157:$AG$157,MATCH($A23,Crop!$AB$142:$AG$142,0))</f>
        <v>90.57912154104983</v>
      </c>
      <c r="AB23" s="2">
        <f>Crop!AB23*(1+Profit_Margin)/INDEX(Crop!$AB$157:$AG$157,MATCH($A23,Crop!$AB$142:$AG$142,0))</f>
        <v>93.453036696335332</v>
      </c>
      <c r="AC23" s="2">
        <f>Crop!AC23*(1+Profit_Margin)/INDEX(Crop!$AB$157:$AG$157,MATCH($A23,Crop!$AB$142:$AG$142,0))</f>
        <v>90.57912154104983</v>
      </c>
      <c r="AD23" s="2">
        <f>Crop!AD23*(1+Profit_Margin)/INDEX(Crop!$AB$157:$AG$157,MATCH($A23,Crop!$AB$142:$AG$142,0))</f>
        <v>93.453036696335332</v>
      </c>
      <c r="AE23" s="2">
        <f>Crop!AE23*(1+Profit_Margin)/INDEX(Crop!$AB$157:$AG$157,MATCH($A23,Crop!$AB$142:$AG$142,0))</f>
        <v>90.57912154104983</v>
      </c>
      <c r="AF23" s="2">
        <f>Crop!AF23*(1+Profit_Margin)/INDEX(Crop!$AB$157:$AG$157,MATCH($A23,Crop!$AB$142:$AG$142,0))</f>
        <v>93.453036696335332</v>
      </c>
      <c r="AG23" s="2">
        <f>Crop!AG23*(1+Profit_Margin)/INDEX(Crop!$AB$157:$AG$157,MATCH($A23,Crop!$AB$142:$AG$142,0))</f>
        <v>90.57912154104983</v>
      </c>
      <c r="AH23" s="2">
        <f>Crop!AH23*(1+Profit_Margin)/INDEX(Crop!$AB$157:$AG$157,MATCH($A23,Crop!$AB$142:$AG$142,0))</f>
        <v>93.453036696335332</v>
      </c>
    </row>
    <row r="24" spans="1:34">
      <c r="A24" t="str">
        <f>CYF!A24</f>
        <v>Sorghum</v>
      </c>
      <c r="B24" t="str">
        <f>CYF!B24</f>
        <v>Tigray</v>
      </c>
      <c r="C24" s="2">
        <f>Crop!C24*(1+Profit_Margin)/INDEX(Crop!$AB$157:$AG$157,MATCH($A24,Crop!$AB$142:$AG$142,0))</f>
        <v>84.233468469048347</v>
      </c>
      <c r="D24" s="2">
        <f>Crop!D24*(1+Profit_Margin)/INDEX(Crop!$AB$157:$AG$157,MATCH($A24,Crop!$AB$142:$AG$142,0))</f>
        <v>96.404794526139284</v>
      </c>
      <c r="E24" s="2">
        <f>Crop!E24*(1+Profit_Margin)/INDEX(Crop!$AB$157:$AG$157,MATCH($A24,Crop!$AB$142:$AG$142,0))</f>
        <v>84.233468469048347</v>
      </c>
      <c r="F24" s="2">
        <f>Crop!F24*(1+Profit_Margin)/INDEX(Crop!$AB$157:$AG$157,MATCH($A24,Crop!$AB$142:$AG$142,0))</f>
        <v>96.404794526139284</v>
      </c>
      <c r="G24" s="2">
        <f>Crop!G24*(1+Profit_Margin)/INDEX(Crop!$AB$157:$AG$157,MATCH($A24,Crop!$AB$142:$AG$142,0))</f>
        <v>84.233468469048347</v>
      </c>
      <c r="H24" s="2">
        <f>Crop!H24*(1+Profit_Margin)/INDEX(Crop!$AB$157:$AG$157,MATCH($A24,Crop!$AB$142:$AG$142,0))</f>
        <v>96.404794526139284</v>
      </c>
      <c r="I24" s="2">
        <f>Crop!I24*(1+Profit_Margin)/INDEX(Crop!$AB$157:$AG$157,MATCH($A24,Crop!$AB$142:$AG$142,0))</f>
        <v>84.233468469048347</v>
      </c>
      <c r="J24" s="2">
        <f>Crop!J24*(1+Profit_Margin)/INDEX(Crop!$AB$157:$AG$157,MATCH($A24,Crop!$AB$142:$AG$142,0))</f>
        <v>96.404794526139284</v>
      </c>
      <c r="K24" s="2">
        <f>Crop!K24*(1+Profit_Margin)/INDEX(Crop!$AB$157:$AG$157,MATCH($A24,Crop!$AB$142:$AG$142,0))</f>
        <v>84.233468469048347</v>
      </c>
      <c r="L24" s="2">
        <f>Crop!L24*(1+Profit_Margin)/INDEX(Crop!$AB$157:$AG$157,MATCH($A24,Crop!$AB$142:$AG$142,0))</f>
        <v>96.404794526139284</v>
      </c>
      <c r="M24" s="2">
        <f>Crop!M24*(1+Profit_Margin)/INDEX(Crop!$AB$157:$AG$157,MATCH($A24,Crop!$AB$142:$AG$142,0))</f>
        <v>84.233468469048347</v>
      </c>
      <c r="N24" s="2">
        <f>Crop!N24*(1+Profit_Margin)/INDEX(Crop!$AB$157:$AG$157,MATCH($A24,Crop!$AB$142:$AG$142,0))</f>
        <v>96.404794526139284</v>
      </c>
      <c r="O24" s="2">
        <f>Crop!O24*(1+Profit_Margin)/INDEX(Crop!$AB$157:$AG$157,MATCH($A24,Crop!$AB$142:$AG$142,0))</f>
        <v>84.233468469048347</v>
      </c>
      <c r="P24" s="2">
        <f>Crop!P24*(1+Profit_Margin)/INDEX(Crop!$AB$157:$AG$157,MATCH($A24,Crop!$AB$142:$AG$142,0))</f>
        <v>96.404794526139284</v>
      </c>
      <c r="Q24" s="2">
        <f>Crop!Q24*(1+Profit_Margin)/INDEX(Crop!$AB$157:$AG$157,MATCH($A24,Crop!$AB$142:$AG$142,0))</f>
        <v>84.233468469048347</v>
      </c>
      <c r="R24" s="2">
        <f>Crop!R24*(1+Profit_Margin)/INDEX(Crop!$AB$157:$AG$157,MATCH($A24,Crop!$AB$142:$AG$142,0))</f>
        <v>96.404794526139284</v>
      </c>
      <c r="S24" s="2">
        <f>Crop!S24*(1+Profit_Margin)/INDEX(Crop!$AB$157:$AG$157,MATCH($A24,Crop!$AB$142:$AG$142,0))</f>
        <v>84.233468469048347</v>
      </c>
      <c r="T24" s="2">
        <f>Crop!T24*(1+Profit_Margin)/INDEX(Crop!$AB$157:$AG$157,MATCH($A24,Crop!$AB$142:$AG$142,0))</f>
        <v>96.404794526139284</v>
      </c>
      <c r="U24" s="2">
        <f>Crop!U24*(1+Profit_Margin)/INDEX(Crop!$AB$157:$AG$157,MATCH($A24,Crop!$AB$142:$AG$142,0))</f>
        <v>84.233468469048347</v>
      </c>
      <c r="V24" s="2">
        <f>Crop!V24*(1+Profit_Margin)/INDEX(Crop!$AB$157:$AG$157,MATCH($A24,Crop!$AB$142:$AG$142,0))</f>
        <v>96.404794526139284</v>
      </c>
      <c r="W24" s="2">
        <f>Crop!W24*(1+Profit_Margin)/INDEX(Crop!$AB$157:$AG$157,MATCH($A24,Crop!$AB$142:$AG$142,0))</f>
        <v>84.233468469048347</v>
      </c>
      <c r="X24" s="2">
        <f>Crop!X24*(1+Profit_Margin)/INDEX(Crop!$AB$157:$AG$157,MATCH($A24,Crop!$AB$142:$AG$142,0))</f>
        <v>96.404794526139284</v>
      </c>
      <c r="Y24" s="2">
        <f>Crop!Y24*(1+Profit_Margin)/INDEX(Crop!$AB$157:$AG$157,MATCH($A24,Crop!$AB$142:$AG$142,0))</f>
        <v>84.233468469048347</v>
      </c>
      <c r="Z24" s="2">
        <f>Crop!Z24*(1+Profit_Margin)/INDEX(Crop!$AB$157:$AG$157,MATCH($A24,Crop!$AB$142:$AG$142,0))</f>
        <v>96.404794526139284</v>
      </c>
      <c r="AA24" s="2">
        <f>Crop!AA24*(1+Profit_Margin)/INDEX(Crop!$AB$157:$AG$157,MATCH($A24,Crop!$AB$142:$AG$142,0))</f>
        <v>84.233468469048347</v>
      </c>
      <c r="AB24" s="2">
        <f>Crop!AB24*(1+Profit_Margin)/INDEX(Crop!$AB$157:$AG$157,MATCH($A24,Crop!$AB$142:$AG$142,0))</f>
        <v>96.404794526139284</v>
      </c>
      <c r="AC24" s="2">
        <f>Crop!AC24*(1+Profit_Margin)/INDEX(Crop!$AB$157:$AG$157,MATCH($A24,Crop!$AB$142:$AG$142,0))</f>
        <v>84.233468469048347</v>
      </c>
      <c r="AD24" s="2">
        <f>Crop!AD24*(1+Profit_Margin)/INDEX(Crop!$AB$157:$AG$157,MATCH($A24,Crop!$AB$142:$AG$142,0))</f>
        <v>96.404794526139284</v>
      </c>
      <c r="AE24" s="2">
        <f>Crop!AE24*(1+Profit_Margin)/INDEX(Crop!$AB$157:$AG$157,MATCH($A24,Crop!$AB$142:$AG$142,0))</f>
        <v>84.233468469048347</v>
      </c>
      <c r="AF24" s="2">
        <f>Crop!AF24*(1+Profit_Margin)/INDEX(Crop!$AB$157:$AG$157,MATCH($A24,Crop!$AB$142:$AG$142,0))</f>
        <v>96.404794526139284</v>
      </c>
      <c r="AG24" s="2">
        <f>Crop!AG24*(1+Profit_Margin)/INDEX(Crop!$AB$157:$AG$157,MATCH($A24,Crop!$AB$142:$AG$142,0))</f>
        <v>84.233468469048347</v>
      </c>
      <c r="AH24" s="2">
        <f>Crop!AH24*(1+Profit_Margin)/INDEX(Crop!$AB$157:$AG$157,MATCH($A24,Crop!$AB$142:$AG$142,0))</f>
        <v>96.404794526139284</v>
      </c>
    </row>
    <row r="25" spans="1:34">
      <c r="A25" t="str">
        <f>CYF!A25</f>
        <v>Maize</v>
      </c>
      <c r="B25" t="str">
        <f>CYF!B25</f>
        <v>AddisAbaba</v>
      </c>
      <c r="C25" s="2">
        <f>Crop!C25*(1+Profit_Margin)/INDEX(Crop!$AB$157:$AG$157,MATCH($A25,Crop!$AB$142:$AG$142,0))</f>
        <v>70.993301541547538</v>
      </c>
      <c r="D25" s="2">
        <f>Crop!D25*(1+Profit_Margin)/INDEX(Crop!$AB$157:$AG$157,MATCH($A25,Crop!$AB$142:$AG$142,0))</f>
        <v>87.815094179429536</v>
      </c>
      <c r="E25" s="2">
        <f>Crop!E25*(1+Profit_Margin)/INDEX(Crop!$AB$157:$AG$157,MATCH($A25,Crop!$AB$142:$AG$142,0))</f>
        <v>70.993301541547538</v>
      </c>
      <c r="F25" s="2">
        <f>Crop!F25*(1+Profit_Margin)/INDEX(Crop!$AB$157:$AG$157,MATCH($A25,Crop!$AB$142:$AG$142,0))</f>
        <v>87.815094179429536</v>
      </c>
      <c r="G25" s="2">
        <f>Crop!G25*(1+Profit_Margin)/INDEX(Crop!$AB$157:$AG$157,MATCH($A25,Crop!$AB$142:$AG$142,0))</f>
        <v>70.993301541547538</v>
      </c>
      <c r="H25" s="2">
        <f>Crop!H25*(1+Profit_Margin)/INDEX(Crop!$AB$157:$AG$157,MATCH($A25,Crop!$AB$142:$AG$142,0))</f>
        <v>87.815094179429536</v>
      </c>
      <c r="I25" s="2">
        <f>Crop!I25*(1+Profit_Margin)/INDEX(Crop!$AB$157:$AG$157,MATCH($A25,Crop!$AB$142:$AG$142,0))</f>
        <v>70.993301541547538</v>
      </c>
      <c r="J25" s="2">
        <f>Crop!J25*(1+Profit_Margin)/INDEX(Crop!$AB$157:$AG$157,MATCH($A25,Crop!$AB$142:$AG$142,0))</f>
        <v>87.815094179429536</v>
      </c>
      <c r="K25" s="2">
        <f>Crop!K25*(1+Profit_Margin)/INDEX(Crop!$AB$157:$AG$157,MATCH($A25,Crop!$AB$142:$AG$142,0))</f>
        <v>70.993301541547538</v>
      </c>
      <c r="L25" s="2">
        <f>Crop!L25*(1+Profit_Margin)/INDEX(Crop!$AB$157:$AG$157,MATCH($A25,Crop!$AB$142:$AG$142,0))</f>
        <v>87.815094179429536</v>
      </c>
      <c r="M25" s="2">
        <f>Crop!M25*(1+Profit_Margin)/INDEX(Crop!$AB$157:$AG$157,MATCH($A25,Crop!$AB$142:$AG$142,0))</f>
        <v>70.993301541547538</v>
      </c>
      <c r="N25" s="2">
        <f>Crop!N25*(1+Profit_Margin)/INDEX(Crop!$AB$157:$AG$157,MATCH($A25,Crop!$AB$142:$AG$142,0))</f>
        <v>87.815094179429536</v>
      </c>
      <c r="O25" s="2">
        <f>Crop!O25*(1+Profit_Margin)/INDEX(Crop!$AB$157:$AG$157,MATCH($A25,Crop!$AB$142:$AG$142,0))</f>
        <v>70.993301541547538</v>
      </c>
      <c r="P25" s="2">
        <f>Crop!P25*(1+Profit_Margin)/INDEX(Crop!$AB$157:$AG$157,MATCH($A25,Crop!$AB$142:$AG$142,0))</f>
        <v>87.815094179429536</v>
      </c>
      <c r="Q25" s="2">
        <f>Crop!Q25*(1+Profit_Margin)/INDEX(Crop!$AB$157:$AG$157,MATCH($A25,Crop!$AB$142:$AG$142,0))</f>
        <v>70.993301541547538</v>
      </c>
      <c r="R25" s="2">
        <f>Crop!R25*(1+Profit_Margin)/INDEX(Crop!$AB$157:$AG$157,MATCH($A25,Crop!$AB$142:$AG$142,0))</f>
        <v>87.815094179429536</v>
      </c>
      <c r="S25" s="2">
        <f>Crop!S25*(1+Profit_Margin)/INDEX(Crop!$AB$157:$AG$157,MATCH($A25,Crop!$AB$142:$AG$142,0))</f>
        <v>70.993301541547538</v>
      </c>
      <c r="T25" s="2">
        <f>Crop!T25*(1+Profit_Margin)/INDEX(Crop!$AB$157:$AG$157,MATCH($A25,Crop!$AB$142:$AG$142,0))</f>
        <v>87.815094179429536</v>
      </c>
      <c r="U25" s="2">
        <f>Crop!U25*(1+Profit_Margin)/INDEX(Crop!$AB$157:$AG$157,MATCH($A25,Crop!$AB$142:$AG$142,0))</f>
        <v>70.993301541547538</v>
      </c>
      <c r="V25" s="2">
        <f>Crop!V25*(1+Profit_Margin)/INDEX(Crop!$AB$157:$AG$157,MATCH($A25,Crop!$AB$142:$AG$142,0))</f>
        <v>87.815094179429536</v>
      </c>
      <c r="W25" s="2">
        <f>Crop!W25*(1+Profit_Margin)/INDEX(Crop!$AB$157:$AG$157,MATCH($A25,Crop!$AB$142:$AG$142,0))</f>
        <v>70.993301541547538</v>
      </c>
      <c r="X25" s="2">
        <f>Crop!X25*(1+Profit_Margin)/INDEX(Crop!$AB$157:$AG$157,MATCH($A25,Crop!$AB$142:$AG$142,0))</f>
        <v>87.815094179429536</v>
      </c>
      <c r="Y25" s="2">
        <f>Crop!Y25*(1+Profit_Margin)/INDEX(Crop!$AB$157:$AG$157,MATCH($A25,Crop!$AB$142:$AG$142,0))</f>
        <v>70.993301541547538</v>
      </c>
      <c r="Z25" s="2">
        <f>Crop!Z25*(1+Profit_Margin)/INDEX(Crop!$AB$157:$AG$157,MATCH($A25,Crop!$AB$142:$AG$142,0))</f>
        <v>87.815094179429536</v>
      </c>
      <c r="AA25" s="2">
        <f>Crop!AA25*(1+Profit_Margin)/INDEX(Crop!$AB$157:$AG$157,MATCH($A25,Crop!$AB$142:$AG$142,0))</f>
        <v>70.993301541547538</v>
      </c>
      <c r="AB25" s="2">
        <f>Crop!AB25*(1+Profit_Margin)/INDEX(Crop!$AB$157:$AG$157,MATCH($A25,Crop!$AB$142:$AG$142,0))</f>
        <v>87.815094179429536</v>
      </c>
      <c r="AC25" s="2">
        <f>Crop!AC25*(1+Profit_Margin)/INDEX(Crop!$AB$157:$AG$157,MATCH($A25,Crop!$AB$142:$AG$142,0))</f>
        <v>70.993301541547538</v>
      </c>
      <c r="AD25" s="2">
        <f>Crop!AD25*(1+Profit_Margin)/INDEX(Crop!$AB$157:$AG$157,MATCH($A25,Crop!$AB$142:$AG$142,0))</f>
        <v>87.815094179429536</v>
      </c>
      <c r="AE25" s="2">
        <f>Crop!AE25*(1+Profit_Margin)/INDEX(Crop!$AB$157:$AG$157,MATCH($A25,Crop!$AB$142:$AG$142,0))</f>
        <v>70.993301541547538</v>
      </c>
      <c r="AF25" s="2">
        <f>Crop!AF25*(1+Profit_Margin)/INDEX(Crop!$AB$157:$AG$157,MATCH($A25,Crop!$AB$142:$AG$142,0))</f>
        <v>87.815094179429536</v>
      </c>
      <c r="AG25" s="2">
        <f>Crop!AG25*(1+Profit_Margin)/INDEX(Crop!$AB$157:$AG$157,MATCH($A25,Crop!$AB$142:$AG$142,0))</f>
        <v>70.993301541547538</v>
      </c>
      <c r="AH25" s="2">
        <f>Crop!AH25*(1+Profit_Margin)/INDEX(Crop!$AB$157:$AG$157,MATCH($A25,Crop!$AB$142:$AG$142,0))</f>
        <v>87.815094179429536</v>
      </c>
    </row>
    <row r="26" spans="1:34">
      <c r="A26" t="str">
        <f>CYF!A26</f>
        <v>Maize</v>
      </c>
      <c r="B26" t="str">
        <f>CYF!B26</f>
        <v>Afar</v>
      </c>
      <c r="C26" s="2">
        <f>Crop!C26*(1+Profit_Margin)/INDEX(Crop!$AB$157:$AG$157,MATCH($A26,Crop!$AB$142:$AG$142,0))</f>
        <v>72.347695544511751</v>
      </c>
      <c r="D26" s="2">
        <f>Crop!D26*(1+Profit_Margin)/INDEX(Crop!$AB$157:$AG$157,MATCH($A26,Crop!$AB$142:$AG$142,0))</f>
        <v>89.928586000076592</v>
      </c>
      <c r="E26" s="2">
        <f>Crop!E26*(1+Profit_Margin)/INDEX(Crop!$AB$157:$AG$157,MATCH($A26,Crop!$AB$142:$AG$142,0))</f>
        <v>72.347695544511751</v>
      </c>
      <c r="F26" s="2">
        <f>Crop!F26*(1+Profit_Margin)/INDEX(Crop!$AB$157:$AG$157,MATCH($A26,Crop!$AB$142:$AG$142,0))</f>
        <v>89.928586000076592</v>
      </c>
      <c r="G26" s="2">
        <f>Crop!G26*(1+Profit_Margin)/INDEX(Crop!$AB$157:$AG$157,MATCH($A26,Crop!$AB$142:$AG$142,0))</f>
        <v>72.347695544511751</v>
      </c>
      <c r="H26" s="2">
        <f>Crop!H26*(1+Profit_Margin)/INDEX(Crop!$AB$157:$AG$157,MATCH($A26,Crop!$AB$142:$AG$142,0))</f>
        <v>89.928586000076592</v>
      </c>
      <c r="I26" s="2">
        <f>Crop!I26*(1+Profit_Margin)/INDEX(Crop!$AB$157:$AG$157,MATCH($A26,Crop!$AB$142:$AG$142,0))</f>
        <v>72.347695544511751</v>
      </c>
      <c r="J26" s="2">
        <f>Crop!J26*(1+Profit_Margin)/INDEX(Crop!$AB$157:$AG$157,MATCH($A26,Crop!$AB$142:$AG$142,0))</f>
        <v>89.928586000076592</v>
      </c>
      <c r="K26" s="2">
        <f>Crop!K26*(1+Profit_Margin)/INDEX(Crop!$AB$157:$AG$157,MATCH($A26,Crop!$AB$142:$AG$142,0))</f>
        <v>72.347695544511751</v>
      </c>
      <c r="L26" s="2">
        <f>Crop!L26*(1+Profit_Margin)/INDEX(Crop!$AB$157:$AG$157,MATCH($A26,Crop!$AB$142:$AG$142,0))</f>
        <v>89.928586000076592</v>
      </c>
      <c r="M26" s="2">
        <f>Crop!M26*(1+Profit_Margin)/INDEX(Crop!$AB$157:$AG$157,MATCH($A26,Crop!$AB$142:$AG$142,0))</f>
        <v>72.347695544511751</v>
      </c>
      <c r="N26" s="2">
        <f>Crop!N26*(1+Profit_Margin)/INDEX(Crop!$AB$157:$AG$157,MATCH($A26,Crop!$AB$142:$AG$142,0))</f>
        <v>89.928586000076592</v>
      </c>
      <c r="O26" s="2">
        <f>Crop!O26*(1+Profit_Margin)/INDEX(Crop!$AB$157:$AG$157,MATCH($A26,Crop!$AB$142:$AG$142,0))</f>
        <v>72.347695544511751</v>
      </c>
      <c r="P26" s="2">
        <f>Crop!P26*(1+Profit_Margin)/INDEX(Crop!$AB$157:$AG$157,MATCH($A26,Crop!$AB$142:$AG$142,0))</f>
        <v>89.928586000076592</v>
      </c>
      <c r="Q26" s="2">
        <f>Crop!Q26*(1+Profit_Margin)/INDEX(Crop!$AB$157:$AG$157,MATCH($A26,Crop!$AB$142:$AG$142,0))</f>
        <v>72.347695544511751</v>
      </c>
      <c r="R26" s="2">
        <f>Crop!R26*(1+Profit_Margin)/INDEX(Crop!$AB$157:$AG$157,MATCH($A26,Crop!$AB$142:$AG$142,0))</f>
        <v>89.928586000076592</v>
      </c>
      <c r="S26" s="2">
        <f>Crop!S26*(1+Profit_Margin)/INDEX(Crop!$AB$157:$AG$157,MATCH($A26,Crop!$AB$142:$AG$142,0))</f>
        <v>72.347695544511751</v>
      </c>
      <c r="T26" s="2">
        <f>Crop!T26*(1+Profit_Margin)/INDEX(Crop!$AB$157:$AG$157,MATCH($A26,Crop!$AB$142:$AG$142,0))</f>
        <v>89.928586000076592</v>
      </c>
      <c r="U26" s="2">
        <f>Crop!U26*(1+Profit_Margin)/INDEX(Crop!$AB$157:$AG$157,MATCH($A26,Crop!$AB$142:$AG$142,0))</f>
        <v>72.347695544511751</v>
      </c>
      <c r="V26" s="2">
        <f>Crop!V26*(1+Profit_Margin)/INDEX(Crop!$AB$157:$AG$157,MATCH($A26,Crop!$AB$142:$AG$142,0))</f>
        <v>89.928586000076592</v>
      </c>
      <c r="W26" s="2">
        <f>Crop!W26*(1+Profit_Margin)/INDEX(Crop!$AB$157:$AG$157,MATCH($A26,Crop!$AB$142:$AG$142,0))</f>
        <v>72.347695544511751</v>
      </c>
      <c r="X26" s="2">
        <f>Crop!X26*(1+Profit_Margin)/INDEX(Crop!$AB$157:$AG$157,MATCH($A26,Crop!$AB$142:$AG$142,0))</f>
        <v>89.928586000076592</v>
      </c>
      <c r="Y26" s="2">
        <f>Crop!Y26*(1+Profit_Margin)/INDEX(Crop!$AB$157:$AG$157,MATCH($A26,Crop!$AB$142:$AG$142,0))</f>
        <v>72.347695544511751</v>
      </c>
      <c r="Z26" s="2">
        <f>Crop!Z26*(1+Profit_Margin)/INDEX(Crop!$AB$157:$AG$157,MATCH($A26,Crop!$AB$142:$AG$142,0))</f>
        <v>89.928586000076592</v>
      </c>
      <c r="AA26" s="2">
        <f>Crop!AA26*(1+Profit_Margin)/INDEX(Crop!$AB$157:$AG$157,MATCH($A26,Crop!$AB$142:$AG$142,0))</f>
        <v>72.347695544511751</v>
      </c>
      <c r="AB26" s="2">
        <f>Crop!AB26*(1+Profit_Margin)/INDEX(Crop!$AB$157:$AG$157,MATCH($A26,Crop!$AB$142:$AG$142,0))</f>
        <v>89.928586000076592</v>
      </c>
      <c r="AC26" s="2">
        <f>Crop!AC26*(1+Profit_Margin)/INDEX(Crop!$AB$157:$AG$157,MATCH($A26,Crop!$AB$142:$AG$142,0))</f>
        <v>72.347695544511751</v>
      </c>
      <c r="AD26" s="2">
        <f>Crop!AD26*(1+Profit_Margin)/INDEX(Crop!$AB$157:$AG$157,MATCH($A26,Crop!$AB$142:$AG$142,0))</f>
        <v>89.928586000076592</v>
      </c>
      <c r="AE26" s="2">
        <f>Crop!AE26*(1+Profit_Margin)/INDEX(Crop!$AB$157:$AG$157,MATCH($A26,Crop!$AB$142:$AG$142,0))</f>
        <v>72.347695544511751</v>
      </c>
      <c r="AF26" s="2">
        <f>Crop!AF26*(1+Profit_Margin)/INDEX(Crop!$AB$157:$AG$157,MATCH($A26,Crop!$AB$142:$AG$142,0))</f>
        <v>89.928586000076592</v>
      </c>
      <c r="AG26" s="2">
        <f>Crop!AG26*(1+Profit_Margin)/INDEX(Crop!$AB$157:$AG$157,MATCH($A26,Crop!$AB$142:$AG$142,0))</f>
        <v>72.347695544511751</v>
      </c>
      <c r="AH26" s="2">
        <f>Crop!AH26*(1+Profit_Margin)/INDEX(Crop!$AB$157:$AG$157,MATCH($A26,Crop!$AB$142:$AG$142,0))</f>
        <v>89.928586000076592</v>
      </c>
    </row>
    <row r="27" spans="1:34">
      <c r="A27" t="str">
        <f>CYF!A27</f>
        <v>Maize</v>
      </c>
      <c r="B27" t="str">
        <f>CYF!B27</f>
        <v>Amhara</v>
      </c>
      <c r="C27" s="2">
        <f>Crop!C27*(1+Profit_Margin)/INDEX(Crop!$AB$157:$AG$157,MATCH($A27,Crop!$AB$142:$AG$142,0))</f>
        <v>71.118419537264074</v>
      </c>
      <c r="D27" s="2">
        <f>Crop!D27*(1+Profit_Margin)/INDEX(Crop!$AB$157:$AG$157,MATCH($A27,Crop!$AB$142:$AG$142,0))</f>
        <v>92.48169116904343</v>
      </c>
      <c r="E27" s="2">
        <f>Crop!E27*(1+Profit_Margin)/INDEX(Crop!$AB$157:$AG$157,MATCH($A27,Crop!$AB$142:$AG$142,0))</f>
        <v>71.118419537264074</v>
      </c>
      <c r="F27" s="2">
        <f>Crop!F27*(1+Profit_Margin)/INDEX(Crop!$AB$157:$AG$157,MATCH($A27,Crop!$AB$142:$AG$142,0))</f>
        <v>92.48169116904343</v>
      </c>
      <c r="G27" s="2">
        <f>Crop!G27*(1+Profit_Margin)/INDEX(Crop!$AB$157:$AG$157,MATCH($A27,Crop!$AB$142:$AG$142,0))</f>
        <v>71.118419537264074</v>
      </c>
      <c r="H27" s="2">
        <f>Crop!H27*(1+Profit_Margin)/INDEX(Crop!$AB$157:$AG$157,MATCH($A27,Crop!$AB$142:$AG$142,0))</f>
        <v>92.48169116904343</v>
      </c>
      <c r="I27" s="2">
        <f>Crop!I27*(1+Profit_Margin)/INDEX(Crop!$AB$157:$AG$157,MATCH($A27,Crop!$AB$142:$AG$142,0))</f>
        <v>71.118419537264074</v>
      </c>
      <c r="J27" s="2">
        <f>Crop!J27*(1+Profit_Margin)/INDEX(Crop!$AB$157:$AG$157,MATCH($A27,Crop!$AB$142:$AG$142,0))</f>
        <v>92.48169116904343</v>
      </c>
      <c r="K27" s="2">
        <f>Crop!K27*(1+Profit_Margin)/INDEX(Crop!$AB$157:$AG$157,MATCH($A27,Crop!$AB$142:$AG$142,0))</f>
        <v>71.118419537264074</v>
      </c>
      <c r="L27" s="2">
        <f>Crop!L27*(1+Profit_Margin)/INDEX(Crop!$AB$157:$AG$157,MATCH($A27,Crop!$AB$142:$AG$142,0))</f>
        <v>92.48169116904343</v>
      </c>
      <c r="M27" s="2">
        <f>Crop!M27*(1+Profit_Margin)/INDEX(Crop!$AB$157:$AG$157,MATCH($A27,Crop!$AB$142:$AG$142,0))</f>
        <v>71.118419537264074</v>
      </c>
      <c r="N27" s="2">
        <f>Crop!N27*(1+Profit_Margin)/INDEX(Crop!$AB$157:$AG$157,MATCH($A27,Crop!$AB$142:$AG$142,0))</f>
        <v>92.48169116904343</v>
      </c>
      <c r="O27" s="2">
        <f>Crop!O27*(1+Profit_Margin)/INDEX(Crop!$AB$157:$AG$157,MATCH($A27,Crop!$AB$142:$AG$142,0))</f>
        <v>71.118419537264074</v>
      </c>
      <c r="P27" s="2">
        <f>Crop!P27*(1+Profit_Margin)/INDEX(Crop!$AB$157:$AG$157,MATCH($A27,Crop!$AB$142:$AG$142,0))</f>
        <v>92.48169116904343</v>
      </c>
      <c r="Q27" s="2">
        <f>Crop!Q27*(1+Profit_Margin)/INDEX(Crop!$AB$157:$AG$157,MATCH($A27,Crop!$AB$142:$AG$142,0))</f>
        <v>71.118419537264074</v>
      </c>
      <c r="R27" s="2">
        <f>Crop!R27*(1+Profit_Margin)/INDEX(Crop!$AB$157:$AG$157,MATCH($A27,Crop!$AB$142:$AG$142,0))</f>
        <v>92.48169116904343</v>
      </c>
      <c r="S27" s="2">
        <f>Crop!S27*(1+Profit_Margin)/INDEX(Crop!$AB$157:$AG$157,MATCH($A27,Crop!$AB$142:$AG$142,0))</f>
        <v>71.118419537264074</v>
      </c>
      <c r="T27" s="2">
        <f>Crop!T27*(1+Profit_Margin)/INDEX(Crop!$AB$157:$AG$157,MATCH($A27,Crop!$AB$142:$AG$142,0))</f>
        <v>92.48169116904343</v>
      </c>
      <c r="U27" s="2">
        <f>Crop!U27*(1+Profit_Margin)/INDEX(Crop!$AB$157:$AG$157,MATCH($A27,Crop!$AB$142:$AG$142,0))</f>
        <v>71.118419537264074</v>
      </c>
      <c r="V27" s="2">
        <f>Crop!V27*(1+Profit_Margin)/INDEX(Crop!$AB$157:$AG$157,MATCH($A27,Crop!$AB$142:$AG$142,0))</f>
        <v>92.48169116904343</v>
      </c>
      <c r="W27" s="2">
        <f>Crop!W27*(1+Profit_Margin)/INDEX(Crop!$AB$157:$AG$157,MATCH($A27,Crop!$AB$142:$AG$142,0))</f>
        <v>71.118419537264074</v>
      </c>
      <c r="X27" s="2">
        <f>Crop!X27*(1+Profit_Margin)/INDEX(Crop!$AB$157:$AG$157,MATCH($A27,Crop!$AB$142:$AG$142,0))</f>
        <v>92.48169116904343</v>
      </c>
      <c r="Y27" s="2">
        <f>Crop!Y27*(1+Profit_Margin)/INDEX(Crop!$AB$157:$AG$157,MATCH($A27,Crop!$AB$142:$AG$142,0))</f>
        <v>71.118419537264074</v>
      </c>
      <c r="Z27" s="2">
        <f>Crop!Z27*(1+Profit_Margin)/INDEX(Crop!$AB$157:$AG$157,MATCH($A27,Crop!$AB$142:$AG$142,0))</f>
        <v>92.48169116904343</v>
      </c>
      <c r="AA27" s="2">
        <f>Crop!AA27*(1+Profit_Margin)/INDEX(Crop!$AB$157:$AG$157,MATCH($A27,Crop!$AB$142:$AG$142,0))</f>
        <v>71.118419537264074</v>
      </c>
      <c r="AB27" s="2">
        <f>Crop!AB27*(1+Profit_Margin)/INDEX(Crop!$AB$157:$AG$157,MATCH($A27,Crop!$AB$142:$AG$142,0))</f>
        <v>92.48169116904343</v>
      </c>
      <c r="AC27" s="2">
        <f>Crop!AC27*(1+Profit_Margin)/INDEX(Crop!$AB$157:$AG$157,MATCH($A27,Crop!$AB$142:$AG$142,0))</f>
        <v>71.118419537264074</v>
      </c>
      <c r="AD27" s="2">
        <f>Crop!AD27*(1+Profit_Margin)/INDEX(Crop!$AB$157:$AG$157,MATCH($A27,Crop!$AB$142:$AG$142,0))</f>
        <v>92.48169116904343</v>
      </c>
      <c r="AE27" s="2">
        <f>Crop!AE27*(1+Profit_Margin)/INDEX(Crop!$AB$157:$AG$157,MATCH($A27,Crop!$AB$142:$AG$142,0))</f>
        <v>71.118419537264074</v>
      </c>
      <c r="AF27" s="2">
        <f>Crop!AF27*(1+Profit_Margin)/INDEX(Crop!$AB$157:$AG$157,MATCH($A27,Crop!$AB$142:$AG$142,0))</f>
        <v>92.48169116904343</v>
      </c>
      <c r="AG27" s="2">
        <f>Crop!AG27*(1+Profit_Margin)/INDEX(Crop!$AB$157:$AG$157,MATCH($A27,Crop!$AB$142:$AG$142,0))</f>
        <v>71.118419537264074</v>
      </c>
      <c r="AH27" s="2">
        <f>Crop!AH27*(1+Profit_Margin)/INDEX(Crop!$AB$157:$AG$157,MATCH($A27,Crop!$AB$142:$AG$142,0))</f>
        <v>92.48169116904343</v>
      </c>
    </row>
    <row r="28" spans="1:34">
      <c r="A28" t="str">
        <f>CYF!A28</f>
        <v>Maize</v>
      </c>
      <c r="B28" t="str">
        <f>CYF!B28</f>
        <v>Gumuz</v>
      </c>
      <c r="C28" s="2">
        <f>Crop!C28*(1+Profit_Margin)/INDEX(Crop!$AB$157:$AG$157,MATCH($A28,Crop!$AB$142:$AG$142,0))</f>
        <v>71.243985400830312</v>
      </c>
      <c r="D28" s="2">
        <f>Crop!D28*(1+Profit_Margin)/INDEX(Crop!$AB$157:$AG$157,MATCH($A28,Crop!$AB$142:$AG$142,0))</f>
        <v>93.31069208880082</v>
      </c>
      <c r="E28" s="2">
        <f>Crop!E28*(1+Profit_Margin)/INDEX(Crop!$AB$157:$AG$157,MATCH($A28,Crop!$AB$142:$AG$142,0))</f>
        <v>71.243985400830312</v>
      </c>
      <c r="F28" s="2">
        <f>Crop!F28*(1+Profit_Margin)/INDEX(Crop!$AB$157:$AG$157,MATCH($A28,Crop!$AB$142:$AG$142,0))</f>
        <v>93.31069208880082</v>
      </c>
      <c r="G28" s="2">
        <f>Crop!G28*(1+Profit_Margin)/INDEX(Crop!$AB$157:$AG$157,MATCH($A28,Crop!$AB$142:$AG$142,0))</f>
        <v>71.243985400830312</v>
      </c>
      <c r="H28" s="2">
        <f>Crop!H28*(1+Profit_Margin)/INDEX(Crop!$AB$157:$AG$157,MATCH($A28,Crop!$AB$142:$AG$142,0))</f>
        <v>93.31069208880082</v>
      </c>
      <c r="I28" s="2">
        <f>Crop!I28*(1+Profit_Margin)/INDEX(Crop!$AB$157:$AG$157,MATCH($A28,Crop!$AB$142:$AG$142,0))</f>
        <v>71.243985400830312</v>
      </c>
      <c r="J28" s="2">
        <f>Crop!J28*(1+Profit_Margin)/INDEX(Crop!$AB$157:$AG$157,MATCH($A28,Crop!$AB$142:$AG$142,0))</f>
        <v>93.31069208880082</v>
      </c>
      <c r="K28" s="2">
        <f>Crop!K28*(1+Profit_Margin)/INDEX(Crop!$AB$157:$AG$157,MATCH($A28,Crop!$AB$142:$AG$142,0))</f>
        <v>71.243985400830312</v>
      </c>
      <c r="L28" s="2">
        <f>Crop!L28*(1+Profit_Margin)/INDEX(Crop!$AB$157:$AG$157,MATCH($A28,Crop!$AB$142:$AG$142,0))</f>
        <v>93.31069208880082</v>
      </c>
      <c r="M28" s="2">
        <f>Crop!M28*(1+Profit_Margin)/INDEX(Crop!$AB$157:$AG$157,MATCH($A28,Crop!$AB$142:$AG$142,0))</f>
        <v>71.243985400830312</v>
      </c>
      <c r="N28" s="2">
        <f>Crop!N28*(1+Profit_Margin)/INDEX(Crop!$AB$157:$AG$157,MATCH($A28,Crop!$AB$142:$AG$142,0))</f>
        <v>93.31069208880082</v>
      </c>
      <c r="O28" s="2">
        <f>Crop!O28*(1+Profit_Margin)/INDEX(Crop!$AB$157:$AG$157,MATCH($A28,Crop!$AB$142:$AG$142,0))</f>
        <v>71.243985400830312</v>
      </c>
      <c r="P28" s="2">
        <f>Crop!P28*(1+Profit_Margin)/INDEX(Crop!$AB$157:$AG$157,MATCH($A28,Crop!$AB$142:$AG$142,0))</f>
        <v>93.31069208880082</v>
      </c>
      <c r="Q28" s="2">
        <f>Crop!Q28*(1+Profit_Margin)/INDEX(Crop!$AB$157:$AG$157,MATCH($A28,Crop!$AB$142:$AG$142,0))</f>
        <v>71.243985400830312</v>
      </c>
      <c r="R28" s="2">
        <f>Crop!R28*(1+Profit_Margin)/INDEX(Crop!$AB$157:$AG$157,MATCH($A28,Crop!$AB$142:$AG$142,0))</f>
        <v>93.31069208880082</v>
      </c>
      <c r="S28" s="2">
        <f>Crop!S28*(1+Profit_Margin)/INDEX(Crop!$AB$157:$AG$157,MATCH($A28,Crop!$AB$142:$AG$142,0))</f>
        <v>71.243985400830312</v>
      </c>
      <c r="T28" s="2">
        <f>Crop!T28*(1+Profit_Margin)/INDEX(Crop!$AB$157:$AG$157,MATCH($A28,Crop!$AB$142:$AG$142,0))</f>
        <v>93.31069208880082</v>
      </c>
      <c r="U28" s="2">
        <f>Crop!U28*(1+Profit_Margin)/INDEX(Crop!$AB$157:$AG$157,MATCH($A28,Crop!$AB$142:$AG$142,0))</f>
        <v>71.243985400830312</v>
      </c>
      <c r="V28" s="2">
        <f>Crop!V28*(1+Profit_Margin)/INDEX(Crop!$AB$157:$AG$157,MATCH($A28,Crop!$AB$142:$AG$142,0))</f>
        <v>93.31069208880082</v>
      </c>
      <c r="W28" s="2">
        <f>Crop!W28*(1+Profit_Margin)/INDEX(Crop!$AB$157:$AG$157,MATCH($A28,Crop!$AB$142:$AG$142,0))</f>
        <v>71.243985400830312</v>
      </c>
      <c r="X28" s="2">
        <f>Crop!X28*(1+Profit_Margin)/INDEX(Crop!$AB$157:$AG$157,MATCH($A28,Crop!$AB$142:$AG$142,0))</f>
        <v>93.31069208880082</v>
      </c>
      <c r="Y28" s="2">
        <f>Crop!Y28*(1+Profit_Margin)/INDEX(Crop!$AB$157:$AG$157,MATCH($A28,Crop!$AB$142:$AG$142,0))</f>
        <v>71.243985400830312</v>
      </c>
      <c r="Z28" s="2">
        <f>Crop!Z28*(1+Profit_Margin)/INDEX(Crop!$AB$157:$AG$157,MATCH($A28,Crop!$AB$142:$AG$142,0))</f>
        <v>93.31069208880082</v>
      </c>
      <c r="AA28" s="2">
        <f>Crop!AA28*(1+Profit_Margin)/INDEX(Crop!$AB$157:$AG$157,MATCH($A28,Crop!$AB$142:$AG$142,0))</f>
        <v>71.243985400830312</v>
      </c>
      <c r="AB28" s="2">
        <f>Crop!AB28*(1+Profit_Margin)/INDEX(Crop!$AB$157:$AG$157,MATCH($A28,Crop!$AB$142:$AG$142,0))</f>
        <v>93.31069208880082</v>
      </c>
      <c r="AC28" s="2">
        <f>Crop!AC28*(1+Profit_Margin)/INDEX(Crop!$AB$157:$AG$157,MATCH($A28,Crop!$AB$142:$AG$142,0))</f>
        <v>71.243985400830312</v>
      </c>
      <c r="AD28" s="2">
        <f>Crop!AD28*(1+Profit_Margin)/INDEX(Crop!$AB$157:$AG$157,MATCH($A28,Crop!$AB$142:$AG$142,0))</f>
        <v>93.31069208880082</v>
      </c>
      <c r="AE28" s="2">
        <f>Crop!AE28*(1+Profit_Margin)/INDEX(Crop!$AB$157:$AG$157,MATCH($A28,Crop!$AB$142:$AG$142,0))</f>
        <v>71.243985400830312</v>
      </c>
      <c r="AF28" s="2">
        <f>Crop!AF28*(1+Profit_Margin)/INDEX(Crop!$AB$157:$AG$157,MATCH($A28,Crop!$AB$142:$AG$142,0))</f>
        <v>93.31069208880082</v>
      </c>
      <c r="AG28" s="2">
        <f>Crop!AG28*(1+Profit_Margin)/INDEX(Crop!$AB$157:$AG$157,MATCH($A28,Crop!$AB$142:$AG$142,0))</f>
        <v>71.243985400830312</v>
      </c>
      <c r="AH28" s="2">
        <f>Crop!AH28*(1+Profit_Margin)/INDEX(Crop!$AB$157:$AG$157,MATCH($A28,Crop!$AB$142:$AG$142,0))</f>
        <v>93.31069208880082</v>
      </c>
    </row>
    <row r="29" spans="1:34">
      <c r="A29" t="str">
        <f>CYF!A29</f>
        <v>Maize</v>
      </c>
      <c r="B29" t="str">
        <f>CYF!B29</f>
        <v>DireDawa</v>
      </c>
      <c r="C29" s="2">
        <f>Crop!C29*(1+Profit_Margin)/INDEX(Crop!$AB$157:$AG$157,MATCH($A29,Crop!$AB$142:$AG$142,0))</f>
        <v>86.072065298228551</v>
      </c>
      <c r="D29" s="2">
        <f>Crop!D29*(1+Profit_Margin)/INDEX(Crop!$AB$157:$AG$157,MATCH($A29,Crop!$AB$142:$AG$142,0))</f>
        <v>88.309404916818011</v>
      </c>
      <c r="E29" s="2">
        <f>Crop!E29*(1+Profit_Margin)/INDEX(Crop!$AB$157:$AG$157,MATCH($A29,Crop!$AB$142:$AG$142,0))</f>
        <v>86.072065298228551</v>
      </c>
      <c r="F29" s="2">
        <f>Crop!F29*(1+Profit_Margin)/INDEX(Crop!$AB$157:$AG$157,MATCH($A29,Crop!$AB$142:$AG$142,0))</f>
        <v>88.309404916818011</v>
      </c>
      <c r="G29" s="2">
        <f>Crop!G29*(1+Profit_Margin)/INDEX(Crop!$AB$157:$AG$157,MATCH($A29,Crop!$AB$142:$AG$142,0))</f>
        <v>86.072065298228551</v>
      </c>
      <c r="H29" s="2">
        <f>Crop!H29*(1+Profit_Margin)/INDEX(Crop!$AB$157:$AG$157,MATCH($A29,Crop!$AB$142:$AG$142,0))</f>
        <v>88.309404916818011</v>
      </c>
      <c r="I29" s="2">
        <f>Crop!I29*(1+Profit_Margin)/INDEX(Crop!$AB$157:$AG$157,MATCH($A29,Crop!$AB$142:$AG$142,0))</f>
        <v>86.072065298228551</v>
      </c>
      <c r="J29" s="2">
        <f>Crop!J29*(1+Profit_Margin)/INDEX(Crop!$AB$157:$AG$157,MATCH($A29,Crop!$AB$142:$AG$142,0))</f>
        <v>88.309404916818011</v>
      </c>
      <c r="K29" s="2">
        <f>Crop!K29*(1+Profit_Margin)/INDEX(Crop!$AB$157:$AG$157,MATCH($A29,Crop!$AB$142:$AG$142,0))</f>
        <v>86.072065298228551</v>
      </c>
      <c r="L29" s="2">
        <f>Crop!L29*(1+Profit_Margin)/INDEX(Crop!$AB$157:$AG$157,MATCH($A29,Crop!$AB$142:$AG$142,0))</f>
        <v>88.309404916818011</v>
      </c>
      <c r="M29" s="2">
        <f>Crop!M29*(1+Profit_Margin)/INDEX(Crop!$AB$157:$AG$157,MATCH($A29,Crop!$AB$142:$AG$142,0))</f>
        <v>86.072065298228551</v>
      </c>
      <c r="N29" s="2">
        <f>Crop!N29*(1+Profit_Margin)/INDEX(Crop!$AB$157:$AG$157,MATCH($A29,Crop!$AB$142:$AG$142,0))</f>
        <v>88.309404916818011</v>
      </c>
      <c r="O29" s="2">
        <f>Crop!O29*(1+Profit_Margin)/INDEX(Crop!$AB$157:$AG$157,MATCH($A29,Crop!$AB$142:$AG$142,0))</f>
        <v>86.072065298228551</v>
      </c>
      <c r="P29" s="2">
        <f>Crop!P29*(1+Profit_Margin)/INDEX(Crop!$AB$157:$AG$157,MATCH($A29,Crop!$AB$142:$AG$142,0))</f>
        <v>88.309404916818011</v>
      </c>
      <c r="Q29" s="2">
        <f>Crop!Q29*(1+Profit_Margin)/INDEX(Crop!$AB$157:$AG$157,MATCH($A29,Crop!$AB$142:$AG$142,0))</f>
        <v>86.072065298228551</v>
      </c>
      <c r="R29" s="2">
        <f>Crop!R29*(1+Profit_Margin)/INDEX(Crop!$AB$157:$AG$157,MATCH($A29,Crop!$AB$142:$AG$142,0))</f>
        <v>88.309404916818011</v>
      </c>
      <c r="S29" s="2">
        <f>Crop!S29*(1+Profit_Margin)/INDEX(Crop!$AB$157:$AG$157,MATCH($A29,Crop!$AB$142:$AG$142,0))</f>
        <v>86.072065298228551</v>
      </c>
      <c r="T29" s="2">
        <f>Crop!T29*(1+Profit_Margin)/INDEX(Crop!$AB$157:$AG$157,MATCH($A29,Crop!$AB$142:$AG$142,0))</f>
        <v>88.309404916818011</v>
      </c>
      <c r="U29" s="2">
        <f>Crop!U29*(1+Profit_Margin)/INDEX(Crop!$AB$157:$AG$157,MATCH($A29,Crop!$AB$142:$AG$142,0))</f>
        <v>86.072065298228551</v>
      </c>
      <c r="V29" s="2">
        <f>Crop!V29*(1+Profit_Margin)/INDEX(Crop!$AB$157:$AG$157,MATCH($A29,Crop!$AB$142:$AG$142,0))</f>
        <v>88.309404916818011</v>
      </c>
      <c r="W29" s="2">
        <f>Crop!W29*(1+Profit_Margin)/INDEX(Crop!$AB$157:$AG$157,MATCH($A29,Crop!$AB$142:$AG$142,0))</f>
        <v>86.072065298228551</v>
      </c>
      <c r="X29" s="2">
        <f>Crop!X29*(1+Profit_Margin)/INDEX(Crop!$AB$157:$AG$157,MATCH($A29,Crop!$AB$142:$AG$142,0))</f>
        <v>88.309404916818011</v>
      </c>
      <c r="Y29" s="2">
        <f>Crop!Y29*(1+Profit_Margin)/INDEX(Crop!$AB$157:$AG$157,MATCH($A29,Crop!$AB$142:$AG$142,0))</f>
        <v>86.072065298228551</v>
      </c>
      <c r="Z29" s="2">
        <f>Crop!Z29*(1+Profit_Margin)/INDEX(Crop!$AB$157:$AG$157,MATCH($A29,Crop!$AB$142:$AG$142,0))</f>
        <v>88.309404916818011</v>
      </c>
      <c r="AA29" s="2">
        <f>Crop!AA29*(1+Profit_Margin)/INDEX(Crop!$AB$157:$AG$157,MATCH($A29,Crop!$AB$142:$AG$142,0))</f>
        <v>86.072065298228551</v>
      </c>
      <c r="AB29" s="2">
        <f>Crop!AB29*(1+Profit_Margin)/INDEX(Crop!$AB$157:$AG$157,MATCH($A29,Crop!$AB$142:$AG$142,0))</f>
        <v>88.309404916818011</v>
      </c>
      <c r="AC29" s="2">
        <f>Crop!AC29*(1+Profit_Margin)/INDEX(Crop!$AB$157:$AG$157,MATCH($A29,Crop!$AB$142:$AG$142,0))</f>
        <v>86.072065298228551</v>
      </c>
      <c r="AD29" s="2">
        <f>Crop!AD29*(1+Profit_Margin)/INDEX(Crop!$AB$157:$AG$157,MATCH($A29,Crop!$AB$142:$AG$142,0))</f>
        <v>88.309404916818011</v>
      </c>
      <c r="AE29" s="2">
        <f>Crop!AE29*(1+Profit_Margin)/INDEX(Crop!$AB$157:$AG$157,MATCH($A29,Crop!$AB$142:$AG$142,0))</f>
        <v>86.072065298228551</v>
      </c>
      <c r="AF29" s="2">
        <f>Crop!AF29*(1+Profit_Margin)/INDEX(Crop!$AB$157:$AG$157,MATCH($A29,Crop!$AB$142:$AG$142,0))</f>
        <v>88.309404916818011</v>
      </c>
      <c r="AG29" s="2">
        <f>Crop!AG29*(1+Profit_Margin)/INDEX(Crop!$AB$157:$AG$157,MATCH($A29,Crop!$AB$142:$AG$142,0))</f>
        <v>86.072065298228551</v>
      </c>
      <c r="AH29" s="2">
        <f>Crop!AH29*(1+Profit_Margin)/INDEX(Crop!$AB$157:$AG$157,MATCH($A29,Crop!$AB$142:$AG$142,0))</f>
        <v>88.309404916818011</v>
      </c>
    </row>
    <row r="30" spans="1:34">
      <c r="A30" t="str">
        <f>CYF!A30</f>
        <v>Maize</v>
      </c>
      <c r="B30" t="str">
        <f>CYF!B30</f>
        <v>Gambela</v>
      </c>
      <c r="C30" s="2">
        <f>Crop!C30*(1+Profit_Margin)/INDEX(Crop!$AB$157:$AG$157,MATCH($A30,Crop!$AB$142:$AG$142,0))</f>
        <v>85.683228752455165</v>
      </c>
      <c r="D30" s="2">
        <f>Crop!D30*(1+Profit_Margin)/INDEX(Crop!$AB$157:$AG$157,MATCH($A30,Crop!$AB$142:$AG$142,0))</f>
        <v>84.096323555267148</v>
      </c>
      <c r="E30" s="2">
        <f>Crop!E30*(1+Profit_Margin)/INDEX(Crop!$AB$157:$AG$157,MATCH($A30,Crop!$AB$142:$AG$142,0))</f>
        <v>85.683228752455165</v>
      </c>
      <c r="F30" s="2">
        <f>Crop!F30*(1+Profit_Margin)/INDEX(Crop!$AB$157:$AG$157,MATCH($A30,Crop!$AB$142:$AG$142,0))</f>
        <v>84.096323555267148</v>
      </c>
      <c r="G30" s="2">
        <f>Crop!G30*(1+Profit_Margin)/INDEX(Crop!$AB$157:$AG$157,MATCH($A30,Crop!$AB$142:$AG$142,0))</f>
        <v>85.683228752455165</v>
      </c>
      <c r="H30" s="2">
        <f>Crop!H30*(1+Profit_Margin)/INDEX(Crop!$AB$157:$AG$157,MATCH($A30,Crop!$AB$142:$AG$142,0))</f>
        <v>84.096323555267148</v>
      </c>
      <c r="I30" s="2">
        <f>Crop!I30*(1+Profit_Margin)/INDEX(Crop!$AB$157:$AG$157,MATCH($A30,Crop!$AB$142:$AG$142,0))</f>
        <v>85.683228752455165</v>
      </c>
      <c r="J30" s="2">
        <f>Crop!J30*(1+Profit_Margin)/INDEX(Crop!$AB$157:$AG$157,MATCH($A30,Crop!$AB$142:$AG$142,0))</f>
        <v>84.096323555267148</v>
      </c>
      <c r="K30" s="2">
        <f>Crop!K30*(1+Profit_Margin)/INDEX(Crop!$AB$157:$AG$157,MATCH($A30,Crop!$AB$142:$AG$142,0))</f>
        <v>85.683228752455165</v>
      </c>
      <c r="L30" s="2">
        <f>Crop!L30*(1+Profit_Margin)/INDEX(Crop!$AB$157:$AG$157,MATCH($A30,Crop!$AB$142:$AG$142,0))</f>
        <v>84.096323555267148</v>
      </c>
      <c r="M30" s="2">
        <f>Crop!M30*(1+Profit_Margin)/INDEX(Crop!$AB$157:$AG$157,MATCH($A30,Crop!$AB$142:$AG$142,0))</f>
        <v>85.683228752455165</v>
      </c>
      <c r="N30" s="2">
        <f>Crop!N30*(1+Profit_Margin)/INDEX(Crop!$AB$157:$AG$157,MATCH($A30,Crop!$AB$142:$AG$142,0))</f>
        <v>84.096323555267148</v>
      </c>
      <c r="O30" s="2">
        <f>Crop!O30*(1+Profit_Margin)/INDEX(Crop!$AB$157:$AG$157,MATCH($A30,Crop!$AB$142:$AG$142,0))</f>
        <v>85.683228752455165</v>
      </c>
      <c r="P30" s="2">
        <f>Crop!P30*(1+Profit_Margin)/INDEX(Crop!$AB$157:$AG$157,MATCH($A30,Crop!$AB$142:$AG$142,0))</f>
        <v>84.096323555267148</v>
      </c>
      <c r="Q30" s="2">
        <f>Crop!Q30*(1+Profit_Margin)/INDEX(Crop!$AB$157:$AG$157,MATCH($A30,Crop!$AB$142:$AG$142,0))</f>
        <v>85.683228752455165</v>
      </c>
      <c r="R30" s="2">
        <f>Crop!R30*(1+Profit_Margin)/INDEX(Crop!$AB$157:$AG$157,MATCH($A30,Crop!$AB$142:$AG$142,0))</f>
        <v>84.096323555267148</v>
      </c>
      <c r="S30" s="2">
        <f>Crop!S30*(1+Profit_Margin)/INDEX(Crop!$AB$157:$AG$157,MATCH($A30,Crop!$AB$142:$AG$142,0))</f>
        <v>85.683228752455165</v>
      </c>
      <c r="T30" s="2">
        <f>Crop!T30*(1+Profit_Margin)/INDEX(Crop!$AB$157:$AG$157,MATCH($A30,Crop!$AB$142:$AG$142,0))</f>
        <v>84.096323555267148</v>
      </c>
      <c r="U30" s="2">
        <f>Crop!U30*(1+Profit_Margin)/INDEX(Crop!$AB$157:$AG$157,MATCH($A30,Crop!$AB$142:$AG$142,0))</f>
        <v>85.683228752455165</v>
      </c>
      <c r="V30" s="2">
        <f>Crop!V30*(1+Profit_Margin)/INDEX(Crop!$AB$157:$AG$157,MATCH($A30,Crop!$AB$142:$AG$142,0))</f>
        <v>84.096323555267148</v>
      </c>
      <c r="W30" s="2">
        <f>Crop!W30*(1+Profit_Margin)/INDEX(Crop!$AB$157:$AG$157,MATCH($A30,Crop!$AB$142:$AG$142,0))</f>
        <v>85.683228752455165</v>
      </c>
      <c r="X30" s="2">
        <f>Crop!X30*(1+Profit_Margin)/INDEX(Crop!$AB$157:$AG$157,MATCH($A30,Crop!$AB$142:$AG$142,0))</f>
        <v>84.096323555267148</v>
      </c>
      <c r="Y30" s="2">
        <f>Crop!Y30*(1+Profit_Margin)/INDEX(Crop!$AB$157:$AG$157,MATCH($A30,Crop!$AB$142:$AG$142,0))</f>
        <v>85.683228752455165</v>
      </c>
      <c r="Z30" s="2">
        <f>Crop!Z30*(1+Profit_Margin)/INDEX(Crop!$AB$157:$AG$157,MATCH($A30,Crop!$AB$142:$AG$142,0))</f>
        <v>84.096323555267148</v>
      </c>
      <c r="AA30" s="2">
        <f>Crop!AA30*(1+Profit_Margin)/INDEX(Crop!$AB$157:$AG$157,MATCH($A30,Crop!$AB$142:$AG$142,0))</f>
        <v>85.683228752455165</v>
      </c>
      <c r="AB30" s="2">
        <f>Crop!AB30*(1+Profit_Margin)/INDEX(Crop!$AB$157:$AG$157,MATCH($A30,Crop!$AB$142:$AG$142,0))</f>
        <v>84.096323555267148</v>
      </c>
      <c r="AC30" s="2">
        <f>Crop!AC30*(1+Profit_Margin)/INDEX(Crop!$AB$157:$AG$157,MATCH($A30,Crop!$AB$142:$AG$142,0))</f>
        <v>85.683228752455165</v>
      </c>
      <c r="AD30" s="2">
        <f>Crop!AD30*(1+Profit_Margin)/INDEX(Crop!$AB$157:$AG$157,MATCH($A30,Crop!$AB$142:$AG$142,0))</f>
        <v>84.096323555267148</v>
      </c>
      <c r="AE30" s="2">
        <f>Crop!AE30*(1+Profit_Margin)/INDEX(Crop!$AB$157:$AG$157,MATCH($A30,Crop!$AB$142:$AG$142,0))</f>
        <v>85.683228752455165</v>
      </c>
      <c r="AF30" s="2">
        <f>Crop!AF30*(1+Profit_Margin)/INDEX(Crop!$AB$157:$AG$157,MATCH($A30,Crop!$AB$142:$AG$142,0))</f>
        <v>84.096323555267148</v>
      </c>
      <c r="AG30" s="2">
        <f>Crop!AG30*(1+Profit_Margin)/INDEX(Crop!$AB$157:$AG$157,MATCH($A30,Crop!$AB$142:$AG$142,0))</f>
        <v>85.683228752455165</v>
      </c>
      <c r="AH30" s="2">
        <f>Crop!AH30*(1+Profit_Margin)/INDEX(Crop!$AB$157:$AG$157,MATCH($A30,Crop!$AB$142:$AG$142,0))</f>
        <v>84.096323555267148</v>
      </c>
    </row>
    <row r="31" spans="1:34">
      <c r="A31" t="str">
        <f>CYF!A31</f>
        <v>Maize</v>
      </c>
      <c r="B31" t="str">
        <f>CYF!B31</f>
        <v>Harari</v>
      </c>
      <c r="C31" s="2">
        <f>Crop!C31*(1+Profit_Margin)/INDEX(Crop!$AB$157:$AG$157,MATCH($A31,Crop!$AB$142:$AG$142,0))</f>
        <v>84.500408026562695</v>
      </c>
      <c r="D31" s="2">
        <f>Crop!D31*(1+Profit_Margin)/INDEX(Crop!$AB$157:$AG$157,MATCH($A31,Crop!$AB$142:$AG$142,0))</f>
        <v>89.930496034331171</v>
      </c>
      <c r="E31" s="2">
        <f>Crop!E31*(1+Profit_Margin)/INDEX(Crop!$AB$157:$AG$157,MATCH($A31,Crop!$AB$142:$AG$142,0))</f>
        <v>84.500408026562695</v>
      </c>
      <c r="F31" s="2">
        <f>Crop!F31*(1+Profit_Margin)/INDEX(Crop!$AB$157:$AG$157,MATCH($A31,Crop!$AB$142:$AG$142,0))</f>
        <v>89.930496034331171</v>
      </c>
      <c r="G31" s="2">
        <f>Crop!G31*(1+Profit_Margin)/INDEX(Crop!$AB$157:$AG$157,MATCH($A31,Crop!$AB$142:$AG$142,0))</f>
        <v>84.500408026562695</v>
      </c>
      <c r="H31" s="2">
        <f>Crop!H31*(1+Profit_Margin)/INDEX(Crop!$AB$157:$AG$157,MATCH($A31,Crop!$AB$142:$AG$142,0))</f>
        <v>89.930496034331171</v>
      </c>
      <c r="I31" s="2">
        <f>Crop!I31*(1+Profit_Margin)/INDEX(Crop!$AB$157:$AG$157,MATCH($A31,Crop!$AB$142:$AG$142,0))</f>
        <v>84.500408026562695</v>
      </c>
      <c r="J31" s="2">
        <f>Crop!J31*(1+Profit_Margin)/INDEX(Crop!$AB$157:$AG$157,MATCH($A31,Crop!$AB$142:$AG$142,0))</f>
        <v>89.930496034331171</v>
      </c>
      <c r="K31" s="2">
        <f>Crop!K31*(1+Profit_Margin)/INDEX(Crop!$AB$157:$AG$157,MATCH($A31,Crop!$AB$142:$AG$142,0))</f>
        <v>84.500408026562695</v>
      </c>
      <c r="L31" s="2">
        <f>Crop!L31*(1+Profit_Margin)/INDEX(Crop!$AB$157:$AG$157,MATCH($A31,Crop!$AB$142:$AG$142,0))</f>
        <v>89.930496034331171</v>
      </c>
      <c r="M31" s="2">
        <f>Crop!M31*(1+Profit_Margin)/INDEX(Crop!$AB$157:$AG$157,MATCH($A31,Crop!$AB$142:$AG$142,0))</f>
        <v>84.500408026562695</v>
      </c>
      <c r="N31" s="2">
        <f>Crop!N31*(1+Profit_Margin)/INDEX(Crop!$AB$157:$AG$157,MATCH($A31,Crop!$AB$142:$AG$142,0))</f>
        <v>89.930496034331171</v>
      </c>
      <c r="O31" s="2">
        <f>Crop!O31*(1+Profit_Margin)/INDEX(Crop!$AB$157:$AG$157,MATCH($A31,Crop!$AB$142:$AG$142,0))</f>
        <v>84.500408026562695</v>
      </c>
      <c r="P31" s="2">
        <f>Crop!P31*(1+Profit_Margin)/INDEX(Crop!$AB$157:$AG$157,MATCH($A31,Crop!$AB$142:$AG$142,0))</f>
        <v>89.930496034331171</v>
      </c>
      <c r="Q31" s="2">
        <f>Crop!Q31*(1+Profit_Margin)/INDEX(Crop!$AB$157:$AG$157,MATCH($A31,Crop!$AB$142:$AG$142,0))</f>
        <v>84.500408026562695</v>
      </c>
      <c r="R31" s="2">
        <f>Crop!R31*(1+Profit_Margin)/INDEX(Crop!$AB$157:$AG$157,MATCH($A31,Crop!$AB$142:$AG$142,0))</f>
        <v>89.930496034331171</v>
      </c>
      <c r="S31" s="2">
        <f>Crop!S31*(1+Profit_Margin)/INDEX(Crop!$AB$157:$AG$157,MATCH($A31,Crop!$AB$142:$AG$142,0))</f>
        <v>84.500408026562695</v>
      </c>
      <c r="T31" s="2">
        <f>Crop!T31*(1+Profit_Margin)/INDEX(Crop!$AB$157:$AG$157,MATCH($A31,Crop!$AB$142:$AG$142,0))</f>
        <v>89.930496034331171</v>
      </c>
      <c r="U31" s="2">
        <f>Crop!U31*(1+Profit_Margin)/INDEX(Crop!$AB$157:$AG$157,MATCH($A31,Crop!$AB$142:$AG$142,0))</f>
        <v>84.500408026562695</v>
      </c>
      <c r="V31" s="2">
        <f>Crop!V31*(1+Profit_Margin)/INDEX(Crop!$AB$157:$AG$157,MATCH($A31,Crop!$AB$142:$AG$142,0))</f>
        <v>89.930496034331171</v>
      </c>
      <c r="W31" s="2">
        <f>Crop!W31*(1+Profit_Margin)/INDEX(Crop!$AB$157:$AG$157,MATCH($A31,Crop!$AB$142:$AG$142,0))</f>
        <v>84.500408026562695</v>
      </c>
      <c r="X31" s="2">
        <f>Crop!X31*(1+Profit_Margin)/INDEX(Crop!$AB$157:$AG$157,MATCH($A31,Crop!$AB$142:$AG$142,0))</f>
        <v>89.930496034331171</v>
      </c>
      <c r="Y31" s="2">
        <f>Crop!Y31*(1+Profit_Margin)/INDEX(Crop!$AB$157:$AG$157,MATCH($A31,Crop!$AB$142:$AG$142,0))</f>
        <v>84.500408026562695</v>
      </c>
      <c r="Z31" s="2">
        <f>Crop!Z31*(1+Profit_Margin)/INDEX(Crop!$AB$157:$AG$157,MATCH($A31,Crop!$AB$142:$AG$142,0))</f>
        <v>89.930496034331171</v>
      </c>
      <c r="AA31" s="2">
        <f>Crop!AA31*(1+Profit_Margin)/INDEX(Crop!$AB$157:$AG$157,MATCH($A31,Crop!$AB$142:$AG$142,0))</f>
        <v>84.500408026562695</v>
      </c>
      <c r="AB31" s="2">
        <f>Crop!AB31*(1+Profit_Margin)/INDEX(Crop!$AB$157:$AG$157,MATCH($A31,Crop!$AB$142:$AG$142,0))</f>
        <v>89.930496034331171</v>
      </c>
      <c r="AC31" s="2">
        <f>Crop!AC31*(1+Profit_Margin)/INDEX(Crop!$AB$157:$AG$157,MATCH($A31,Crop!$AB$142:$AG$142,0))</f>
        <v>84.500408026562695</v>
      </c>
      <c r="AD31" s="2">
        <f>Crop!AD31*(1+Profit_Margin)/INDEX(Crop!$AB$157:$AG$157,MATCH($A31,Crop!$AB$142:$AG$142,0))</f>
        <v>89.930496034331171</v>
      </c>
      <c r="AE31" s="2">
        <f>Crop!AE31*(1+Profit_Margin)/INDEX(Crop!$AB$157:$AG$157,MATCH($A31,Crop!$AB$142:$AG$142,0))</f>
        <v>84.500408026562695</v>
      </c>
      <c r="AF31" s="2">
        <f>Crop!AF31*(1+Profit_Margin)/INDEX(Crop!$AB$157:$AG$157,MATCH($A31,Crop!$AB$142:$AG$142,0))</f>
        <v>89.930496034331171</v>
      </c>
      <c r="AG31" s="2">
        <f>Crop!AG31*(1+Profit_Margin)/INDEX(Crop!$AB$157:$AG$157,MATCH($A31,Crop!$AB$142:$AG$142,0))</f>
        <v>84.500408026562695</v>
      </c>
      <c r="AH31" s="2">
        <f>Crop!AH31*(1+Profit_Margin)/INDEX(Crop!$AB$157:$AG$157,MATCH($A31,Crop!$AB$142:$AG$142,0))</f>
        <v>89.930496034331171</v>
      </c>
    </row>
    <row r="32" spans="1:34">
      <c r="A32" t="str">
        <f>CYF!A32</f>
        <v>Maize</v>
      </c>
      <c r="B32" t="str">
        <f>CYF!B32</f>
        <v>Oromia</v>
      </c>
      <c r="C32" s="2">
        <f>Crop!C32*(1+Profit_Margin)/INDEX(Crop!$AB$157:$AG$157,MATCH($A32,Crop!$AB$142:$AG$142,0))</f>
        <v>79.869142999276988</v>
      </c>
      <c r="D32" s="2">
        <f>Crop!D32*(1+Profit_Margin)/INDEX(Crop!$AB$157:$AG$157,MATCH($A32,Crop!$AB$142:$AG$142,0))</f>
        <v>86.413394664200979</v>
      </c>
      <c r="E32" s="2">
        <f>Crop!E32*(1+Profit_Margin)/INDEX(Crop!$AB$157:$AG$157,MATCH($A32,Crop!$AB$142:$AG$142,0))</f>
        <v>79.869142999276988</v>
      </c>
      <c r="F32" s="2">
        <f>Crop!F32*(1+Profit_Margin)/INDEX(Crop!$AB$157:$AG$157,MATCH($A32,Crop!$AB$142:$AG$142,0))</f>
        <v>86.413394664200979</v>
      </c>
      <c r="G32" s="2">
        <f>Crop!G32*(1+Profit_Margin)/INDEX(Crop!$AB$157:$AG$157,MATCH($A32,Crop!$AB$142:$AG$142,0))</f>
        <v>79.869142999276988</v>
      </c>
      <c r="H32" s="2">
        <f>Crop!H32*(1+Profit_Margin)/INDEX(Crop!$AB$157:$AG$157,MATCH($A32,Crop!$AB$142:$AG$142,0))</f>
        <v>86.413394664200979</v>
      </c>
      <c r="I32" s="2">
        <f>Crop!I32*(1+Profit_Margin)/INDEX(Crop!$AB$157:$AG$157,MATCH($A32,Crop!$AB$142:$AG$142,0))</f>
        <v>79.869142999276988</v>
      </c>
      <c r="J32" s="2">
        <f>Crop!J32*(1+Profit_Margin)/INDEX(Crop!$AB$157:$AG$157,MATCH($A32,Crop!$AB$142:$AG$142,0))</f>
        <v>86.413394664200979</v>
      </c>
      <c r="K32" s="2">
        <f>Crop!K32*(1+Profit_Margin)/INDEX(Crop!$AB$157:$AG$157,MATCH($A32,Crop!$AB$142:$AG$142,0))</f>
        <v>79.869142999276988</v>
      </c>
      <c r="L32" s="2">
        <f>Crop!L32*(1+Profit_Margin)/INDEX(Crop!$AB$157:$AG$157,MATCH($A32,Crop!$AB$142:$AG$142,0))</f>
        <v>86.413394664200979</v>
      </c>
      <c r="M32" s="2">
        <f>Crop!M32*(1+Profit_Margin)/INDEX(Crop!$AB$157:$AG$157,MATCH($A32,Crop!$AB$142:$AG$142,0))</f>
        <v>79.869142999276988</v>
      </c>
      <c r="N32" s="2">
        <f>Crop!N32*(1+Profit_Margin)/INDEX(Crop!$AB$157:$AG$157,MATCH($A32,Crop!$AB$142:$AG$142,0))</f>
        <v>86.413394664200979</v>
      </c>
      <c r="O32" s="2">
        <f>Crop!O32*(1+Profit_Margin)/INDEX(Crop!$AB$157:$AG$157,MATCH($A32,Crop!$AB$142:$AG$142,0))</f>
        <v>79.869142999276988</v>
      </c>
      <c r="P32" s="2">
        <f>Crop!P32*(1+Profit_Margin)/INDEX(Crop!$AB$157:$AG$157,MATCH($A32,Crop!$AB$142:$AG$142,0))</f>
        <v>86.413394664200979</v>
      </c>
      <c r="Q32" s="2">
        <f>Crop!Q32*(1+Profit_Margin)/INDEX(Crop!$AB$157:$AG$157,MATCH($A32,Crop!$AB$142:$AG$142,0))</f>
        <v>79.869142999276988</v>
      </c>
      <c r="R32" s="2">
        <f>Crop!R32*(1+Profit_Margin)/INDEX(Crop!$AB$157:$AG$157,MATCH($A32,Crop!$AB$142:$AG$142,0))</f>
        <v>86.413394664200979</v>
      </c>
      <c r="S32" s="2">
        <f>Crop!S32*(1+Profit_Margin)/INDEX(Crop!$AB$157:$AG$157,MATCH($A32,Crop!$AB$142:$AG$142,0))</f>
        <v>79.869142999276988</v>
      </c>
      <c r="T32" s="2">
        <f>Crop!T32*(1+Profit_Margin)/INDEX(Crop!$AB$157:$AG$157,MATCH($A32,Crop!$AB$142:$AG$142,0))</f>
        <v>86.413394664200979</v>
      </c>
      <c r="U32" s="2">
        <f>Crop!U32*(1+Profit_Margin)/INDEX(Crop!$AB$157:$AG$157,MATCH($A32,Crop!$AB$142:$AG$142,0))</f>
        <v>79.869142999276988</v>
      </c>
      <c r="V32" s="2">
        <f>Crop!V32*(1+Profit_Margin)/INDEX(Crop!$AB$157:$AG$157,MATCH($A32,Crop!$AB$142:$AG$142,0))</f>
        <v>86.413394664200979</v>
      </c>
      <c r="W32" s="2">
        <f>Crop!W32*(1+Profit_Margin)/INDEX(Crop!$AB$157:$AG$157,MATCH($A32,Crop!$AB$142:$AG$142,0))</f>
        <v>79.869142999276988</v>
      </c>
      <c r="X32" s="2">
        <f>Crop!X32*(1+Profit_Margin)/INDEX(Crop!$AB$157:$AG$157,MATCH($A32,Crop!$AB$142:$AG$142,0))</f>
        <v>86.413394664200979</v>
      </c>
      <c r="Y32" s="2">
        <f>Crop!Y32*(1+Profit_Margin)/INDEX(Crop!$AB$157:$AG$157,MATCH($A32,Crop!$AB$142:$AG$142,0))</f>
        <v>79.869142999276988</v>
      </c>
      <c r="Z32" s="2">
        <f>Crop!Z32*(1+Profit_Margin)/INDEX(Crop!$AB$157:$AG$157,MATCH($A32,Crop!$AB$142:$AG$142,0))</f>
        <v>86.413394664200979</v>
      </c>
      <c r="AA32" s="2">
        <f>Crop!AA32*(1+Profit_Margin)/INDEX(Crop!$AB$157:$AG$157,MATCH($A32,Crop!$AB$142:$AG$142,0))</f>
        <v>79.869142999276988</v>
      </c>
      <c r="AB32" s="2">
        <f>Crop!AB32*(1+Profit_Margin)/INDEX(Crop!$AB$157:$AG$157,MATCH($A32,Crop!$AB$142:$AG$142,0))</f>
        <v>86.413394664200979</v>
      </c>
      <c r="AC32" s="2">
        <f>Crop!AC32*(1+Profit_Margin)/INDEX(Crop!$AB$157:$AG$157,MATCH($A32,Crop!$AB$142:$AG$142,0))</f>
        <v>79.869142999276988</v>
      </c>
      <c r="AD32" s="2">
        <f>Crop!AD32*(1+Profit_Margin)/INDEX(Crop!$AB$157:$AG$157,MATCH($A32,Crop!$AB$142:$AG$142,0))</f>
        <v>86.413394664200979</v>
      </c>
      <c r="AE32" s="2">
        <f>Crop!AE32*(1+Profit_Margin)/INDEX(Crop!$AB$157:$AG$157,MATCH($A32,Crop!$AB$142:$AG$142,0))</f>
        <v>79.869142999276988</v>
      </c>
      <c r="AF32" s="2">
        <f>Crop!AF32*(1+Profit_Margin)/INDEX(Crop!$AB$157:$AG$157,MATCH($A32,Crop!$AB$142:$AG$142,0))</f>
        <v>86.413394664200979</v>
      </c>
      <c r="AG32" s="2">
        <f>Crop!AG32*(1+Profit_Margin)/INDEX(Crop!$AB$157:$AG$157,MATCH($A32,Crop!$AB$142:$AG$142,0))</f>
        <v>79.869142999276988</v>
      </c>
      <c r="AH32" s="2">
        <f>Crop!AH32*(1+Profit_Margin)/INDEX(Crop!$AB$157:$AG$157,MATCH($A32,Crop!$AB$142:$AG$142,0))</f>
        <v>86.413394664200979</v>
      </c>
    </row>
    <row r="33" spans="1:34">
      <c r="A33" t="str">
        <f>CYF!A33</f>
        <v>Maize</v>
      </c>
      <c r="B33" t="str">
        <f>CYF!B33</f>
        <v>Somali</v>
      </c>
      <c r="C33" s="2">
        <f>Crop!C33*(1+Profit_Margin)/INDEX(Crop!$AB$157:$AG$157,MATCH($A33,Crop!$AB$142:$AG$142,0))</f>
        <v>75.780223269940265</v>
      </c>
      <c r="D33" s="2">
        <f>Crop!D33*(1+Profit_Margin)/INDEX(Crop!$AB$157:$AG$157,MATCH($A33,Crop!$AB$142:$AG$142,0))</f>
        <v>91.937149274222079</v>
      </c>
      <c r="E33" s="2">
        <f>Crop!E33*(1+Profit_Margin)/INDEX(Crop!$AB$157:$AG$157,MATCH($A33,Crop!$AB$142:$AG$142,0))</f>
        <v>75.780223269940265</v>
      </c>
      <c r="F33" s="2">
        <f>Crop!F33*(1+Profit_Margin)/INDEX(Crop!$AB$157:$AG$157,MATCH($A33,Crop!$AB$142:$AG$142,0))</f>
        <v>91.937149274222079</v>
      </c>
      <c r="G33" s="2">
        <f>Crop!G33*(1+Profit_Margin)/INDEX(Crop!$AB$157:$AG$157,MATCH($A33,Crop!$AB$142:$AG$142,0))</f>
        <v>75.780223269940265</v>
      </c>
      <c r="H33" s="2">
        <f>Crop!H33*(1+Profit_Margin)/INDEX(Crop!$AB$157:$AG$157,MATCH($A33,Crop!$AB$142:$AG$142,0))</f>
        <v>91.937149274222079</v>
      </c>
      <c r="I33" s="2">
        <f>Crop!I33*(1+Profit_Margin)/INDEX(Crop!$AB$157:$AG$157,MATCH($A33,Crop!$AB$142:$AG$142,0))</f>
        <v>75.780223269940265</v>
      </c>
      <c r="J33" s="2">
        <f>Crop!J33*(1+Profit_Margin)/INDEX(Crop!$AB$157:$AG$157,MATCH($A33,Crop!$AB$142:$AG$142,0))</f>
        <v>91.937149274222079</v>
      </c>
      <c r="K33" s="2">
        <f>Crop!K33*(1+Profit_Margin)/INDEX(Crop!$AB$157:$AG$157,MATCH($A33,Crop!$AB$142:$AG$142,0))</f>
        <v>75.780223269940265</v>
      </c>
      <c r="L33" s="2">
        <f>Crop!L33*(1+Profit_Margin)/INDEX(Crop!$AB$157:$AG$157,MATCH($A33,Crop!$AB$142:$AG$142,0))</f>
        <v>91.937149274222079</v>
      </c>
      <c r="M33" s="2">
        <f>Crop!M33*(1+Profit_Margin)/INDEX(Crop!$AB$157:$AG$157,MATCH($A33,Crop!$AB$142:$AG$142,0))</f>
        <v>75.780223269940265</v>
      </c>
      <c r="N33" s="2">
        <f>Crop!N33*(1+Profit_Margin)/INDEX(Crop!$AB$157:$AG$157,MATCH($A33,Crop!$AB$142:$AG$142,0))</f>
        <v>91.937149274222079</v>
      </c>
      <c r="O33" s="2">
        <f>Crop!O33*(1+Profit_Margin)/INDEX(Crop!$AB$157:$AG$157,MATCH($A33,Crop!$AB$142:$AG$142,0))</f>
        <v>75.780223269940265</v>
      </c>
      <c r="P33" s="2">
        <f>Crop!P33*(1+Profit_Margin)/INDEX(Crop!$AB$157:$AG$157,MATCH($A33,Crop!$AB$142:$AG$142,0))</f>
        <v>91.937149274222079</v>
      </c>
      <c r="Q33" s="2">
        <f>Crop!Q33*(1+Profit_Margin)/INDEX(Crop!$AB$157:$AG$157,MATCH($A33,Crop!$AB$142:$AG$142,0))</f>
        <v>75.780223269940265</v>
      </c>
      <c r="R33" s="2">
        <f>Crop!R33*(1+Profit_Margin)/INDEX(Crop!$AB$157:$AG$157,MATCH($A33,Crop!$AB$142:$AG$142,0))</f>
        <v>91.937149274222079</v>
      </c>
      <c r="S33" s="2">
        <f>Crop!S33*(1+Profit_Margin)/INDEX(Crop!$AB$157:$AG$157,MATCH($A33,Crop!$AB$142:$AG$142,0))</f>
        <v>75.780223269940265</v>
      </c>
      <c r="T33" s="2">
        <f>Crop!T33*(1+Profit_Margin)/INDEX(Crop!$AB$157:$AG$157,MATCH($A33,Crop!$AB$142:$AG$142,0))</f>
        <v>91.937149274222079</v>
      </c>
      <c r="U33" s="2">
        <f>Crop!U33*(1+Profit_Margin)/INDEX(Crop!$AB$157:$AG$157,MATCH($A33,Crop!$AB$142:$AG$142,0))</f>
        <v>75.780223269940265</v>
      </c>
      <c r="V33" s="2">
        <f>Crop!V33*(1+Profit_Margin)/INDEX(Crop!$AB$157:$AG$157,MATCH($A33,Crop!$AB$142:$AG$142,0))</f>
        <v>91.937149274222079</v>
      </c>
      <c r="W33" s="2">
        <f>Crop!W33*(1+Profit_Margin)/INDEX(Crop!$AB$157:$AG$157,MATCH($A33,Crop!$AB$142:$AG$142,0))</f>
        <v>75.780223269940265</v>
      </c>
      <c r="X33" s="2">
        <f>Crop!X33*(1+Profit_Margin)/INDEX(Crop!$AB$157:$AG$157,MATCH($A33,Crop!$AB$142:$AG$142,0))</f>
        <v>91.937149274222079</v>
      </c>
      <c r="Y33" s="2">
        <f>Crop!Y33*(1+Profit_Margin)/INDEX(Crop!$AB$157:$AG$157,MATCH($A33,Crop!$AB$142:$AG$142,0))</f>
        <v>75.780223269940265</v>
      </c>
      <c r="Z33" s="2">
        <f>Crop!Z33*(1+Profit_Margin)/INDEX(Crop!$AB$157:$AG$157,MATCH($A33,Crop!$AB$142:$AG$142,0))</f>
        <v>91.937149274222079</v>
      </c>
      <c r="AA33" s="2">
        <f>Crop!AA33*(1+Profit_Margin)/INDEX(Crop!$AB$157:$AG$157,MATCH($A33,Crop!$AB$142:$AG$142,0))</f>
        <v>75.780223269940265</v>
      </c>
      <c r="AB33" s="2">
        <f>Crop!AB33*(1+Profit_Margin)/INDEX(Crop!$AB$157:$AG$157,MATCH($A33,Crop!$AB$142:$AG$142,0))</f>
        <v>91.937149274222079</v>
      </c>
      <c r="AC33" s="2">
        <f>Crop!AC33*(1+Profit_Margin)/INDEX(Crop!$AB$157:$AG$157,MATCH($A33,Crop!$AB$142:$AG$142,0))</f>
        <v>75.780223269940265</v>
      </c>
      <c r="AD33" s="2">
        <f>Crop!AD33*(1+Profit_Margin)/INDEX(Crop!$AB$157:$AG$157,MATCH($A33,Crop!$AB$142:$AG$142,0))</f>
        <v>91.937149274222079</v>
      </c>
      <c r="AE33" s="2">
        <f>Crop!AE33*(1+Profit_Margin)/INDEX(Crop!$AB$157:$AG$157,MATCH($A33,Crop!$AB$142:$AG$142,0))</f>
        <v>75.780223269940265</v>
      </c>
      <c r="AF33" s="2">
        <f>Crop!AF33*(1+Profit_Margin)/INDEX(Crop!$AB$157:$AG$157,MATCH($A33,Crop!$AB$142:$AG$142,0))</f>
        <v>91.937149274222079</v>
      </c>
      <c r="AG33" s="2">
        <f>Crop!AG33*(1+Profit_Margin)/INDEX(Crop!$AB$157:$AG$157,MATCH($A33,Crop!$AB$142:$AG$142,0))</f>
        <v>75.780223269940265</v>
      </c>
      <c r="AH33" s="2">
        <f>Crop!AH33*(1+Profit_Margin)/INDEX(Crop!$AB$157:$AG$157,MATCH($A33,Crop!$AB$142:$AG$142,0))</f>
        <v>91.937149274222079</v>
      </c>
    </row>
    <row r="34" spans="1:34">
      <c r="A34" t="str">
        <f>CYF!A34</f>
        <v>Maize</v>
      </c>
      <c r="B34" t="str">
        <f>CYF!B34</f>
        <v>SNNPR</v>
      </c>
      <c r="C34" s="2">
        <f>Crop!C34*(1+Profit_Margin)/INDEX(Crop!$AB$157:$AG$157,MATCH($A34,Crop!$AB$142:$AG$142,0))</f>
        <v>77.064479551136671</v>
      </c>
      <c r="D34" s="2">
        <f>Crop!D34*(1+Profit_Margin)/INDEX(Crop!$AB$157:$AG$157,MATCH($A34,Crop!$AB$142:$AG$142,0))</f>
        <v>92.718433800234365</v>
      </c>
      <c r="E34" s="2">
        <f>Crop!E34*(1+Profit_Margin)/INDEX(Crop!$AB$157:$AG$157,MATCH($A34,Crop!$AB$142:$AG$142,0))</f>
        <v>77.064479551136671</v>
      </c>
      <c r="F34" s="2">
        <f>Crop!F34*(1+Profit_Margin)/INDEX(Crop!$AB$157:$AG$157,MATCH($A34,Crop!$AB$142:$AG$142,0))</f>
        <v>92.718433800234365</v>
      </c>
      <c r="G34" s="2">
        <f>Crop!G34*(1+Profit_Margin)/INDEX(Crop!$AB$157:$AG$157,MATCH($A34,Crop!$AB$142:$AG$142,0))</f>
        <v>77.064479551136671</v>
      </c>
      <c r="H34" s="2">
        <f>Crop!H34*(1+Profit_Margin)/INDEX(Crop!$AB$157:$AG$157,MATCH($A34,Crop!$AB$142:$AG$142,0))</f>
        <v>92.718433800234365</v>
      </c>
      <c r="I34" s="2">
        <f>Crop!I34*(1+Profit_Margin)/INDEX(Crop!$AB$157:$AG$157,MATCH($A34,Crop!$AB$142:$AG$142,0))</f>
        <v>77.064479551136671</v>
      </c>
      <c r="J34" s="2">
        <f>Crop!J34*(1+Profit_Margin)/INDEX(Crop!$AB$157:$AG$157,MATCH($A34,Crop!$AB$142:$AG$142,0))</f>
        <v>92.718433800234365</v>
      </c>
      <c r="K34" s="2">
        <f>Crop!K34*(1+Profit_Margin)/INDEX(Crop!$AB$157:$AG$157,MATCH($A34,Crop!$AB$142:$AG$142,0))</f>
        <v>77.064479551136671</v>
      </c>
      <c r="L34" s="2">
        <f>Crop!L34*(1+Profit_Margin)/INDEX(Crop!$AB$157:$AG$157,MATCH($A34,Crop!$AB$142:$AG$142,0))</f>
        <v>92.718433800234365</v>
      </c>
      <c r="M34" s="2">
        <f>Crop!M34*(1+Profit_Margin)/INDEX(Crop!$AB$157:$AG$157,MATCH($A34,Crop!$AB$142:$AG$142,0))</f>
        <v>77.064479551136671</v>
      </c>
      <c r="N34" s="2">
        <f>Crop!N34*(1+Profit_Margin)/INDEX(Crop!$AB$157:$AG$157,MATCH($A34,Crop!$AB$142:$AG$142,0))</f>
        <v>92.718433800234365</v>
      </c>
      <c r="O34" s="2">
        <f>Crop!O34*(1+Profit_Margin)/INDEX(Crop!$AB$157:$AG$157,MATCH($A34,Crop!$AB$142:$AG$142,0))</f>
        <v>77.064479551136671</v>
      </c>
      <c r="P34" s="2">
        <f>Crop!P34*(1+Profit_Margin)/INDEX(Crop!$AB$157:$AG$157,MATCH($A34,Crop!$AB$142:$AG$142,0))</f>
        <v>92.718433800234365</v>
      </c>
      <c r="Q34" s="2">
        <f>Crop!Q34*(1+Profit_Margin)/INDEX(Crop!$AB$157:$AG$157,MATCH($A34,Crop!$AB$142:$AG$142,0))</f>
        <v>77.064479551136671</v>
      </c>
      <c r="R34" s="2">
        <f>Crop!R34*(1+Profit_Margin)/INDEX(Crop!$AB$157:$AG$157,MATCH($A34,Crop!$AB$142:$AG$142,0))</f>
        <v>92.718433800234365</v>
      </c>
      <c r="S34" s="2">
        <f>Crop!S34*(1+Profit_Margin)/INDEX(Crop!$AB$157:$AG$157,MATCH($A34,Crop!$AB$142:$AG$142,0))</f>
        <v>77.064479551136671</v>
      </c>
      <c r="T34" s="2">
        <f>Crop!T34*(1+Profit_Margin)/INDEX(Crop!$AB$157:$AG$157,MATCH($A34,Crop!$AB$142:$AG$142,0))</f>
        <v>92.718433800234365</v>
      </c>
      <c r="U34" s="2">
        <f>Crop!U34*(1+Profit_Margin)/INDEX(Crop!$AB$157:$AG$157,MATCH($A34,Crop!$AB$142:$AG$142,0))</f>
        <v>77.064479551136671</v>
      </c>
      <c r="V34" s="2">
        <f>Crop!V34*(1+Profit_Margin)/INDEX(Crop!$AB$157:$AG$157,MATCH($A34,Crop!$AB$142:$AG$142,0))</f>
        <v>92.718433800234365</v>
      </c>
      <c r="W34" s="2">
        <f>Crop!W34*(1+Profit_Margin)/INDEX(Crop!$AB$157:$AG$157,MATCH($A34,Crop!$AB$142:$AG$142,0))</f>
        <v>77.064479551136671</v>
      </c>
      <c r="X34" s="2">
        <f>Crop!X34*(1+Profit_Margin)/INDEX(Crop!$AB$157:$AG$157,MATCH($A34,Crop!$AB$142:$AG$142,0))</f>
        <v>92.718433800234365</v>
      </c>
      <c r="Y34" s="2">
        <f>Crop!Y34*(1+Profit_Margin)/INDEX(Crop!$AB$157:$AG$157,MATCH($A34,Crop!$AB$142:$AG$142,0))</f>
        <v>77.064479551136671</v>
      </c>
      <c r="Z34" s="2">
        <f>Crop!Z34*(1+Profit_Margin)/INDEX(Crop!$AB$157:$AG$157,MATCH($A34,Crop!$AB$142:$AG$142,0))</f>
        <v>92.718433800234365</v>
      </c>
      <c r="AA34" s="2">
        <f>Crop!AA34*(1+Profit_Margin)/INDEX(Crop!$AB$157:$AG$157,MATCH($A34,Crop!$AB$142:$AG$142,0))</f>
        <v>77.064479551136671</v>
      </c>
      <c r="AB34" s="2">
        <f>Crop!AB34*(1+Profit_Margin)/INDEX(Crop!$AB$157:$AG$157,MATCH($A34,Crop!$AB$142:$AG$142,0))</f>
        <v>92.718433800234365</v>
      </c>
      <c r="AC34" s="2">
        <f>Crop!AC34*(1+Profit_Margin)/INDEX(Crop!$AB$157:$AG$157,MATCH($A34,Crop!$AB$142:$AG$142,0))</f>
        <v>77.064479551136671</v>
      </c>
      <c r="AD34" s="2">
        <f>Crop!AD34*(1+Profit_Margin)/INDEX(Crop!$AB$157:$AG$157,MATCH($A34,Crop!$AB$142:$AG$142,0))</f>
        <v>92.718433800234365</v>
      </c>
      <c r="AE34" s="2">
        <f>Crop!AE34*(1+Profit_Margin)/INDEX(Crop!$AB$157:$AG$157,MATCH($A34,Crop!$AB$142:$AG$142,0))</f>
        <v>77.064479551136671</v>
      </c>
      <c r="AF34" s="2">
        <f>Crop!AF34*(1+Profit_Margin)/INDEX(Crop!$AB$157:$AG$157,MATCH($A34,Crop!$AB$142:$AG$142,0))</f>
        <v>92.718433800234365</v>
      </c>
      <c r="AG34" s="2">
        <f>Crop!AG34*(1+Profit_Margin)/INDEX(Crop!$AB$157:$AG$157,MATCH($A34,Crop!$AB$142:$AG$142,0))</f>
        <v>77.064479551136671</v>
      </c>
      <c r="AH34" s="2">
        <f>Crop!AH34*(1+Profit_Margin)/INDEX(Crop!$AB$157:$AG$157,MATCH($A34,Crop!$AB$142:$AG$142,0))</f>
        <v>92.718433800234365</v>
      </c>
    </row>
    <row r="35" spans="1:34">
      <c r="A35" t="str">
        <f>CYF!A35</f>
        <v>Maize</v>
      </c>
      <c r="B35" t="str">
        <f>CYF!B35</f>
        <v>Tigray</v>
      </c>
      <c r="C35" s="2">
        <f>Crop!C35*(1+Profit_Margin)/INDEX(Crop!$AB$157:$AG$157,MATCH($A35,Crop!$AB$142:$AG$142,0))</f>
        <v>76.042771658015553</v>
      </c>
      <c r="D35" s="2">
        <f>Crop!D35*(1+Profit_Margin)/INDEX(Crop!$AB$157:$AG$157,MATCH($A35,Crop!$AB$142:$AG$142,0))</f>
        <v>90.100372248305774</v>
      </c>
      <c r="E35" s="2">
        <f>Crop!E35*(1+Profit_Margin)/INDEX(Crop!$AB$157:$AG$157,MATCH($A35,Crop!$AB$142:$AG$142,0))</f>
        <v>76.042771658015553</v>
      </c>
      <c r="F35" s="2">
        <f>Crop!F35*(1+Profit_Margin)/INDEX(Crop!$AB$157:$AG$157,MATCH($A35,Crop!$AB$142:$AG$142,0))</f>
        <v>90.100372248305774</v>
      </c>
      <c r="G35" s="2">
        <f>Crop!G35*(1+Profit_Margin)/INDEX(Crop!$AB$157:$AG$157,MATCH($A35,Crop!$AB$142:$AG$142,0))</f>
        <v>76.042771658015553</v>
      </c>
      <c r="H35" s="2">
        <f>Crop!H35*(1+Profit_Margin)/INDEX(Crop!$AB$157:$AG$157,MATCH($A35,Crop!$AB$142:$AG$142,0))</f>
        <v>90.100372248305774</v>
      </c>
      <c r="I35" s="2">
        <f>Crop!I35*(1+Profit_Margin)/INDEX(Crop!$AB$157:$AG$157,MATCH($A35,Crop!$AB$142:$AG$142,0))</f>
        <v>76.042771658015553</v>
      </c>
      <c r="J35" s="2">
        <f>Crop!J35*(1+Profit_Margin)/INDEX(Crop!$AB$157:$AG$157,MATCH($A35,Crop!$AB$142:$AG$142,0))</f>
        <v>90.100372248305774</v>
      </c>
      <c r="K35" s="2">
        <f>Crop!K35*(1+Profit_Margin)/INDEX(Crop!$AB$157:$AG$157,MATCH($A35,Crop!$AB$142:$AG$142,0))</f>
        <v>76.042771658015553</v>
      </c>
      <c r="L35" s="2">
        <f>Crop!L35*(1+Profit_Margin)/INDEX(Crop!$AB$157:$AG$157,MATCH($A35,Crop!$AB$142:$AG$142,0))</f>
        <v>90.100372248305774</v>
      </c>
      <c r="M35" s="2">
        <f>Crop!M35*(1+Profit_Margin)/INDEX(Crop!$AB$157:$AG$157,MATCH($A35,Crop!$AB$142:$AG$142,0))</f>
        <v>76.042771658015553</v>
      </c>
      <c r="N35" s="2">
        <f>Crop!N35*(1+Profit_Margin)/INDEX(Crop!$AB$157:$AG$157,MATCH($A35,Crop!$AB$142:$AG$142,0))</f>
        <v>90.100372248305774</v>
      </c>
      <c r="O35" s="2">
        <f>Crop!O35*(1+Profit_Margin)/INDEX(Crop!$AB$157:$AG$157,MATCH($A35,Crop!$AB$142:$AG$142,0))</f>
        <v>76.042771658015553</v>
      </c>
      <c r="P35" s="2">
        <f>Crop!P35*(1+Profit_Margin)/INDEX(Crop!$AB$157:$AG$157,MATCH($A35,Crop!$AB$142:$AG$142,0))</f>
        <v>90.100372248305774</v>
      </c>
      <c r="Q35" s="2">
        <f>Crop!Q35*(1+Profit_Margin)/INDEX(Crop!$AB$157:$AG$157,MATCH($A35,Crop!$AB$142:$AG$142,0))</f>
        <v>76.042771658015553</v>
      </c>
      <c r="R35" s="2">
        <f>Crop!R35*(1+Profit_Margin)/INDEX(Crop!$AB$157:$AG$157,MATCH($A35,Crop!$AB$142:$AG$142,0))</f>
        <v>90.100372248305774</v>
      </c>
      <c r="S35" s="2">
        <f>Crop!S35*(1+Profit_Margin)/INDEX(Crop!$AB$157:$AG$157,MATCH($A35,Crop!$AB$142:$AG$142,0))</f>
        <v>76.042771658015553</v>
      </c>
      <c r="T35" s="2">
        <f>Crop!T35*(1+Profit_Margin)/INDEX(Crop!$AB$157:$AG$157,MATCH($A35,Crop!$AB$142:$AG$142,0))</f>
        <v>90.100372248305774</v>
      </c>
      <c r="U35" s="2">
        <f>Crop!U35*(1+Profit_Margin)/INDEX(Crop!$AB$157:$AG$157,MATCH($A35,Crop!$AB$142:$AG$142,0))</f>
        <v>76.042771658015553</v>
      </c>
      <c r="V35" s="2">
        <f>Crop!V35*(1+Profit_Margin)/INDEX(Crop!$AB$157:$AG$157,MATCH($A35,Crop!$AB$142:$AG$142,0))</f>
        <v>90.100372248305774</v>
      </c>
      <c r="W35" s="2">
        <f>Crop!W35*(1+Profit_Margin)/INDEX(Crop!$AB$157:$AG$157,MATCH($A35,Crop!$AB$142:$AG$142,0))</f>
        <v>76.042771658015553</v>
      </c>
      <c r="X35" s="2">
        <f>Crop!X35*(1+Profit_Margin)/INDEX(Crop!$AB$157:$AG$157,MATCH($A35,Crop!$AB$142:$AG$142,0))</f>
        <v>90.100372248305774</v>
      </c>
      <c r="Y35" s="2">
        <f>Crop!Y35*(1+Profit_Margin)/INDEX(Crop!$AB$157:$AG$157,MATCH($A35,Crop!$AB$142:$AG$142,0))</f>
        <v>76.042771658015553</v>
      </c>
      <c r="Z35" s="2">
        <f>Crop!Z35*(1+Profit_Margin)/INDEX(Crop!$AB$157:$AG$157,MATCH($A35,Crop!$AB$142:$AG$142,0))</f>
        <v>90.100372248305774</v>
      </c>
      <c r="AA35" s="2">
        <f>Crop!AA35*(1+Profit_Margin)/INDEX(Crop!$AB$157:$AG$157,MATCH($A35,Crop!$AB$142:$AG$142,0))</f>
        <v>76.042771658015553</v>
      </c>
      <c r="AB35" s="2">
        <f>Crop!AB35*(1+Profit_Margin)/INDEX(Crop!$AB$157:$AG$157,MATCH($A35,Crop!$AB$142:$AG$142,0))</f>
        <v>90.100372248305774</v>
      </c>
      <c r="AC35" s="2">
        <f>Crop!AC35*(1+Profit_Margin)/INDEX(Crop!$AB$157:$AG$157,MATCH($A35,Crop!$AB$142:$AG$142,0))</f>
        <v>76.042771658015553</v>
      </c>
      <c r="AD35" s="2">
        <f>Crop!AD35*(1+Profit_Margin)/INDEX(Crop!$AB$157:$AG$157,MATCH($A35,Crop!$AB$142:$AG$142,0))</f>
        <v>90.100372248305774</v>
      </c>
      <c r="AE35" s="2">
        <f>Crop!AE35*(1+Profit_Margin)/INDEX(Crop!$AB$157:$AG$157,MATCH($A35,Crop!$AB$142:$AG$142,0))</f>
        <v>76.042771658015553</v>
      </c>
      <c r="AF35" s="2">
        <f>Crop!AF35*(1+Profit_Margin)/INDEX(Crop!$AB$157:$AG$157,MATCH($A35,Crop!$AB$142:$AG$142,0))</f>
        <v>90.100372248305774</v>
      </c>
      <c r="AG35" s="2">
        <f>Crop!AG35*(1+Profit_Margin)/INDEX(Crop!$AB$157:$AG$157,MATCH($A35,Crop!$AB$142:$AG$142,0))</f>
        <v>76.042771658015553</v>
      </c>
      <c r="AH35" s="2">
        <f>Crop!AH35*(1+Profit_Margin)/INDEX(Crop!$AB$157:$AG$157,MATCH($A35,Crop!$AB$142:$AG$142,0))</f>
        <v>90.100372248305774</v>
      </c>
    </row>
    <row r="36" spans="1:34">
      <c r="A36" t="str">
        <f>CYF!A36</f>
        <v>Lentils</v>
      </c>
      <c r="B36" t="str">
        <f>CYF!B36</f>
        <v>AddisAbaba</v>
      </c>
      <c r="C36" s="2">
        <f>Crop!C36*(1+Profit_Margin)/INDEX(Crop!$AB$157:$AG$157,MATCH($A36,Crop!$AB$142:$AG$142,0))</f>
        <v>118.37786056796159</v>
      </c>
      <c r="D36" s="2">
        <f>Crop!D36*(1+Profit_Margin)/INDEX(Crop!$AB$157:$AG$157,MATCH($A36,Crop!$AB$142:$AG$142,0))</f>
        <v>142.36326529773541</v>
      </c>
      <c r="E36" s="2">
        <f>Crop!E36*(1+Profit_Margin)/INDEX(Crop!$AB$157:$AG$157,MATCH($A36,Crop!$AB$142:$AG$142,0))</f>
        <v>118.37786056796159</v>
      </c>
      <c r="F36" s="2">
        <f>Crop!F36*(1+Profit_Margin)/INDEX(Crop!$AB$157:$AG$157,MATCH($A36,Crop!$AB$142:$AG$142,0))</f>
        <v>142.36326529773541</v>
      </c>
      <c r="G36" s="2">
        <f>Crop!G36*(1+Profit_Margin)/INDEX(Crop!$AB$157:$AG$157,MATCH($A36,Crop!$AB$142:$AG$142,0))</f>
        <v>118.37786056796159</v>
      </c>
      <c r="H36" s="2">
        <f>Crop!H36*(1+Profit_Margin)/INDEX(Crop!$AB$157:$AG$157,MATCH($A36,Crop!$AB$142:$AG$142,0))</f>
        <v>142.36326529773541</v>
      </c>
      <c r="I36" s="2">
        <f>Crop!I36*(1+Profit_Margin)/INDEX(Crop!$AB$157:$AG$157,MATCH($A36,Crop!$AB$142:$AG$142,0))</f>
        <v>118.37786056796159</v>
      </c>
      <c r="J36" s="2">
        <f>Crop!J36*(1+Profit_Margin)/INDEX(Crop!$AB$157:$AG$157,MATCH($A36,Crop!$AB$142:$AG$142,0))</f>
        <v>142.36326529773541</v>
      </c>
      <c r="K36" s="2">
        <f>Crop!K36*(1+Profit_Margin)/INDEX(Crop!$AB$157:$AG$157,MATCH($A36,Crop!$AB$142:$AG$142,0))</f>
        <v>118.37786056796159</v>
      </c>
      <c r="L36" s="2">
        <f>Crop!L36*(1+Profit_Margin)/INDEX(Crop!$AB$157:$AG$157,MATCH($A36,Crop!$AB$142:$AG$142,0))</f>
        <v>142.36326529773541</v>
      </c>
      <c r="M36" s="2">
        <f>Crop!M36*(1+Profit_Margin)/INDEX(Crop!$AB$157:$AG$157,MATCH($A36,Crop!$AB$142:$AG$142,0))</f>
        <v>118.37786056796159</v>
      </c>
      <c r="N36" s="2">
        <f>Crop!N36*(1+Profit_Margin)/INDEX(Crop!$AB$157:$AG$157,MATCH($A36,Crop!$AB$142:$AG$142,0))</f>
        <v>142.36326529773541</v>
      </c>
      <c r="O36" s="2">
        <f>Crop!O36*(1+Profit_Margin)/INDEX(Crop!$AB$157:$AG$157,MATCH($A36,Crop!$AB$142:$AG$142,0))</f>
        <v>118.37786056796159</v>
      </c>
      <c r="P36" s="2">
        <f>Crop!P36*(1+Profit_Margin)/INDEX(Crop!$AB$157:$AG$157,MATCH($A36,Crop!$AB$142:$AG$142,0))</f>
        <v>142.36326529773541</v>
      </c>
      <c r="Q36" s="2">
        <f>Crop!Q36*(1+Profit_Margin)/INDEX(Crop!$AB$157:$AG$157,MATCH($A36,Crop!$AB$142:$AG$142,0))</f>
        <v>118.37786056796159</v>
      </c>
      <c r="R36" s="2">
        <f>Crop!R36*(1+Profit_Margin)/INDEX(Crop!$AB$157:$AG$157,MATCH($A36,Crop!$AB$142:$AG$142,0))</f>
        <v>142.36326529773541</v>
      </c>
      <c r="S36" s="2">
        <f>Crop!S36*(1+Profit_Margin)/INDEX(Crop!$AB$157:$AG$157,MATCH($A36,Crop!$AB$142:$AG$142,0))</f>
        <v>118.37786056796159</v>
      </c>
      <c r="T36" s="2">
        <f>Crop!T36*(1+Profit_Margin)/INDEX(Crop!$AB$157:$AG$157,MATCH($A36,Crop!$AB$142:$AG$142,0))</f>
        <v>142.36326529773541</v>
      </c>
      <c r="U36" s="2">
        <f>Crop!U36*(1+Profit_Margin)/INDEX(Crop!$AB$157:$AG$157,MATCH($A36,Crop!$AB$142:$AG$142,0))</f>
        <v>118.37786056796159</v>
      </c>
      <c r="V36" s="2">
        <f>Crop!V36*(1+Profit_Margin)/INDEX(Crop!$AB$157:$AG$157,MATCH($A36,Crop!$AB$142:$AG$142,0))</f>
        <v>142.36326529773541</v>
      </c>
      <c r="W36" s="2">
        <f>Crop!W36*(1+Profit_Margin)/INDEX(Crop!$AB$157:$AG$157,MATCH($A36,Crop!$AB$142:$AG$142,0))</f>
        <v>118.37786056796159</v>
      </c>
      <c r="X36" s="2">
        <f>Crop!X36*(1+Profit_Margin)/INDEX(Crop!$AB$157:$AG$157,MATCH($A36,Crop!$AB$142:$AG$142,0))</f>
        <v>142.36326529773541</v>
      </c>
      <c r="Y36" s="2">
        <f>Crop!Y36*(1+Profit_Margin)/INDEX(Crop!$AB$157:$AG$157,MATCH($A36,Crop!$AB$142:$AG$142,0))</f>
        <v>118.37786056796159</v>
      </c>
      <c r="Z36" s="2">
        <f>Crop!Z36*(1+Profit_Margin)/INDEX(Crop!$AB$157:$AG$157,MATCH($A36,Crop!$AB$142:$AG$142,0))</f>
        <v>142.36326529773541</v>
      </c>
      <c r="AA36" s="2">
        <f>Crop!AA36*(1+Profit_Margin)/INDEX(Crop!$AB$157:$AG$157,MATCH($A36,Crop!$AB$142:$AG$142,0))</f>
        <v>118.37786056796159</v>
      </c>
      <c r="AB36" s="2">
        <f>Crop!AB36*(1+Profit_Margin)/INDEX(Crop!$AB$157:$AG$157,MATCH($A36,Crop!$AB$142:$AG$142,0))</f>
        <v>142.36326529773541</v>
      </c>
      <c r="AC36" s="2">
        <f>Crop!AC36*(1+Profit_Margin)/INDEX(Crop!$AB$157:$AG$157,MATCH($A36,Crop!$AB$142:$AG$142,0))</f>
        <v>118.37786056796159</v>
      </c>
      <c r="AD36" s="2">
        <f>Crop!AD36*(1+Profit_Margin)/INDEX(Crop!$AB$157:$AG$157,MATCH($A36,Crop!$AB$142:$AG$142,0))</f>
        <v>142.36326529773541</v>
      </c>
      <c r="AE36" s="2">
        <f>Crop!AE36*(1+Profit_Margin)/INDEX(Crop!$AB$157:$AG$157,MATCH($A36,Crop!$AB$142:$AG$142,0))</f>
        <v>118.37786056796159</v>
      </c>
      <c r="AF36" s="2">
        <f>Crop!AF36*(1+Profit_Margin)/INDEX(Crop!$AB$157:$AG$157,MATCH($A36,Crop!$AB$142:$AG$142,0))</f>
        <v>142.36326529773541</v>
      </c>
      <c r="AG36" s="2">
        <f>Crop!AG36*(1+Profit_Margin)/INDEX(Crop!$AB$157:$AG$157,MATCH($A36,Crop!$AB$142:$AG$142,0))</f>
        <v>118.37786056796159</v>
      </c>
      <c r="AH36" s="2">
        <f>Crop!AH36*(1+Profit_Margin)/INDEX(Crop!$AB$157:$AG$157,MATCH($A36,Crop!$AB$142:$AG$142,0))</f>
        <v>142.36326529773541</v>
      </c>
    </row>
    <row r="37" spans="1:34">
      <c r="A37" t="str">
        <f>CYF!A37</f>
        <v>Lentils</v>
      </c>
      <c r="B37" t="str">
        <f>CYF!B37</f>
        <v>Afar</v>
      </c>
      <c r="C37" s="2">
        <f>Crop!C37*(1+Profit_Margin)/INDEX(Crop!$AB$157:$AG$157,MATCH($A37,Crop!$AB$142:$AG$142,0))</f>
        <v>128.88755298699138</v>
      </c>
      <c r="D37" s="2">
        <f>Crop!D37*(1+Profit_Margin)/INDEX(Crop!$AB$157:$AG$157,MATCH($A37,Crop!$AB$142:$AG$142,0))</f>
        <v>140.29635756671266</v>
      </c>
      <c r="E37" s="2">
        <f>Crop!E37*(1+Profit_Margin)/INDEX(Crop!$AB$157:$AG$157,MATCH($A37,Crop!$AB$142:$AG$142,0))</f>
        <v>128.88755298699138</v>
      </c>
      <c r="F37" s="2">
        <f>Crop!F37*(1+Profit_Margin)/INDEX(Crop!$AB$157:$AG$157,MATCH($A37,Crop!$AB$142:$AG$142,0))</f>
        <v>140.29635756671266</v>
      </c>
      <c r="G37" s="2">
        <f>Crop!G37*(1+Profit_Margin)/INDEX(Crop!$AB$157:$AG$157,MATCH($A37,Crop!$AB$142:$AG$142,0))</f>
        <v>128.88755298699138</v>
      </c>
      <c r="H37" s="2">
        <f>Crop!H37*(1+Profit_Margin)/INDEX(Crop!$AB$157:$AG$157,MATCH($A37,Crop!$AB$142:$AG$142,0))</f>
        <v>140.29635756671266</v>
      </c>
      <c r="I37" s="2">
        <f>Crop!I37*(1+Profit_Margin)/INDEX(Crop!$AB$157:$AG$157,MATCH($A37,Crop!$AB$142:$AG$142,0))</f>
        <v>128.88755298699138</v>
      </c>
      <c r="J37" s="2">
        <f>Crop!J37*(1+Profit_Margin)/INDEX(Crop!$AB$157:$AG$157,MATCH($A37,Crop!$AB$142:$AG$142,0))</f>
        <v>140.29635756671266</v>
      </c>
      <c r="K37" s="2">
        <f>Crop!K37*(1+Profit_Margin)/INDEX(Crop!$AB$157:$AG$157,MATCH($A37,Crop!$AB$142:$AG$142,0))</f>
        <v>128.88755298699138</v>
      </c>
      <c r="L37" s="2">
        <f>Crop!L37*(1+Profit_Margin)/INDEX(Crop!$AB$157:$AG$157,MATCH($A37,Crop!$AB$142:$AG$142,0))</f>
        <v>140.29635756671266</v>
      </c>
      <c r="M37" s="2">
        <f>Crop!M37*(1+Profit_Margin)/INDEX(Crop!$AB$157:$AG$157,MATCH($A37,Crop!$AB$142:$AG$142,0))</f>
        <v>128.88755298699138</v>
      </c>
      <c r="N37" s="2">
        <f>Crop!N37*(1+Profit_Margin)/INDEX(Crop!$AB$157:$AG$157,MATCH($A37,Crop!$AB$142:$AG$142,0))</f>
        <v>140.29635756671266</v>
      </c>
      <c r="O37" s="2">
        <f>Crop!O37*(1+Profit_Margin)/INDEX(Crop!$AB$157:$AG$157,MATCH($A37,Crop!$AB$142:$AG$142,0))</f>
        <v>128.88755298699138</v>
      </c>
      <c r="P37" s="2">
        <f>Crop!P37*(1+Profit_Margin)/INDEX(Crop!$AB$157:$AG$157,MATCH($A37,Crop!$AB$142:$AG$142,0))</f>
        <v>140.29635756671266</v>
      </c>
      <c r="Q37" s="2">
        <f>Crop!Q37*(1+Profit_Margin)/INDEX(Crop!$AB$157:$AG$157,MATCH($A37,Crop!$AB$142:$AG$142,0))</f>
        <v>128.88755298699138</v>
      </c>
      <c r="R37" s="2">
        <f>Crop!R37*(1+Profit_Margin)/INDEX(Crop!$AB$157:$AG$157,MATCH($A37,Crop!$AB$142:$AG$142,0))</f>
        <v>140.29635756671266</v>
      </c>
      <c r="S37" s="2">
        <f>Crop!S37*(1+Profit_Margin)/INDEX(Crop!$AB$157:$AG$157,MATCH($A37,Crop!$AB$142:$AG$142,0))</f>
        <v>128.88755298699138</v>
      </c>
      <c r="T37" s="2">
        <f>Crop!T37*(1+Profit_Margin)/INDEX(Crop!$AB$157:$AG$157,MATCH($A37,Crop!$AB$142:$AG$142,0))</f>
        <v>140.29635756671266</v>
      </c>
      <c r="U37" s="2">
        <f>Crop!U37*(1+Profit_Margin)/INDEX(Crop!$AB$157:$AG$157,MATCH($A37,Crop!$AB$142:$AG$142,0))</f>
        <v>128.88755298699138</v>
      </c>
      <c r="V37" s="2">
        <f>Crop!V37*(1+Profit_Margin)/INDEX(Crop!$AB$157:$AG$157,MATCH($A37,Crop!$AB$142:$AG$142,0))</f>
        <v>140.29635756671266</v>
      </c>
      <c r="W37" s="2">
        <f>Crop!W37*(1+Profit_Margin)/INDEX(Crop!$AB$157:$AG$157,MATCH($A37,Crop!$AB$142:$AG$142,0))</f>
        <v>128.88755298699138</v>
      </c>
      <c r="X37" s="2">
        <f>Crop!X37*(1+Profit_Margin)/INDEX(Crop!$AB$157:$AG$157,MATCH($A37,Crop!$AB$142:$AG$142,0))</f>
        <v>140.29635756671266</v>
      </c>
      <c r="Y37" s="2">
        <f>Crop!Y37*(1+Profit_Margin)/INDEX(Crop!$AB$157:$AG$157,MATCH($A37,Crop!$AB$142:$AG$142,0))</f>
        <v>128.88755298699138</v>
      </c>
      <c r="Z37" s="2">
        <f>Crop!Z37*(1+Profit_Margin)/INDEX(Crop!$AB$157:$AG$157,MATCH($A37,Crop!$AB$142:$AG$142,0))</f>
        <v>140.29635756671266</v>
      </c>
      <c r="AA37" s="2">
        <f>Crop!AA37*(1+Profit_Margin)/INDEX(Crop!$AB$157:$AG$157,MATCH($A37,Crop!$AB$142:$AG$142,0))</f>
        <v>128.88755298699138</v>
      </c>
      <c r="AB37" s="2">
        <f>Crop!AB37*(1+Profit_Margin)/INDEX(Crop!$AB$157:$AG$157,MATCH($A37,Crop!$AB$142:$AG$142,0))</f>
        <v>140.29635756671266</v>
      </c>
      <c r="AC37" s="2">
        <f>Crop!AC37*(1+Profit_Margin)/INDEX(Crop!$AB$157:$AG$157,MATCH($A37,Crop!$AB$142:$AG$142,0))</f>
        <v>128.88755298699138</v>
      </c>
      <c r="AD37" s="2">
        <f>Crop!AD37*(1+Profit_Margin)/INDEX(Crop!$AB$157:$AG$157,MATCH($A37,Crop!$AB$142:$AG$142,0))</f>
        <v>140.29635756671266</v>
      </c>
      <c r="AE37" s="2">
        <f>Crop!AE37*(1+Profit_Margin)/INDEX(Crop!$AB$157:$AG$157,MATCH($A37,Crop!$AB$142:$AG$142,0))</f>
        <v>128.88755298699138</v>
      </c>
      <c r="AF37" s="2">
        <f>Crop!AF37*(1+Profit_Margin)/INDEX(Crop!$AB$157:$AG$157,MATCH($A37,Crop!$AB$142:$AG$142,0))</f>
        <v>140.29635756671266</v>
      </c>
      <c r="AG37" s="2">
        <f>Crop!AG37*(1+Profit_Margin)/INDEX(Crop!$AB$157:$AG$157,MATCH($A37,Crop!$AB$142:$AG$142,0))</f>
        <v>128.88755298699138</v>
      </c>
      <c r="AH37" s="2">
        <f>Crop!AH37*(1+Profit_Margin)/INDEX(Crop!$AB$157:$AG$157,MATCH($A37,Crop!$AB$142:$AG$142,0))</f>
        <v>140.29635756671266</v>
      </c>
    </row>
    <row r="38" spans="1:34">
      <c r="A38" t="str">
        <f>CYF!A38</f>
        <v>Lentils</v>
      </c>
      <c r="B38" t="str">
        <f>CYF!B38</f>
        <v>Amhara</v>
      </c>
      <c r="C38" s="2">
        <f>Crop!C38*(1+Profit_Margin)/INDEX(Crop!$AB$157:$AG$157,MATCH($A38,Crop!$AB$142:$AG$142,0))</f>
        <v>117.00937127866082</v>
      </c>
      <c r="D38" s="2">
        <f>Crop!D38*(1+Profit_Margin)/INDEX(Crop!$AB$157:$AG$157,MATCH($A38,Crop!$AB$142:$AG$142,0))</f>
        <v>144.29784988602532</v>
      </c>
      <c r="E38" s="2">
        <f>Crop!E38*(1+Profit_Margin)/INDEX(Crop!$AB$157:$AG$157,MATCH($A38,Crop!$AB$142:$AG$142,0))</f>
        <v>117.00937127866082</v>
      </c>
      <c r="F38" s="2">
        <f>Crop!F38*(1+Profit_Margin)/INDEX(Crop!$AB$157:$AG$157,MATCH($A38,Crop!$AB$142:$AG$142,0))</f>
        <v>144.29784988602532</v>
      </c>
      <c r="G38" s="2">
        <f>Crop!G38*(1+Profit_Margin)/INDEX(Crop!$AB$157:$AG$157,MATCH($A38,Crop!$AB$142:$AG$142,0))</f>
        <v>117.00937127866082</v>
      </c>
      <c r="H38" s="2">
        <f>Crop!H38*(1+Profit_Margin)/INDEX(Crop!$AB$157:$AG$157,MATCH($A38,Crop!$AB$142:$AG$142,0))</f>
        <v>144.29784988602532</v>
      </c>
      <c r="I38" s="2">
        <f>Crop!I38*(1+Profit_Margin)/INDEX(Crop!$AB$157:$AG$157,MATCH($A38,Crop!$AB$142:$AG$142,0))</f>
        <v>117.00937127866082</v>
      </c>
      <c r="J38" s="2">
        <f>Crop!J38*(1+Profit_Margin)/INDEX(Crop!$AB$157:$AG$157,MATCH($A38,Crop!$AB$142:$AG$142,0))</f>
        <v>144.29784988602532</v>
      </c>
      <c r="K38" s="2">
        <f>Crop!K38*(1+Profit_Margin)/INDEX(Crop!$AB$157:$AG$157,MATCH($A38,Crop!$AB$142:$AG$142,0))</f>
        <v>117.00937127866082</v>
      </c>
      <c r="L38" s="2">
        <f>Crop!L38*(1+Profit_Margin)/INDEX(Crop!$AB$157:$AG$157,MATCH($A38,Crop!$AB$142:$AG$142,0))</f>
        <v>144.29784988602532</v>
      </c>
      <c r="M38" s="2">
        <f>Crop!M38*(1+Profit_Margin)/INDEX(Crop!$AB$157:$AG$157,MATCH($A38,Crop!$AB$142:$AG$142,0))</f>
        <v>117.00937127866082</v>
      </c>
      <c r="N38" s="2">
        <f>Crop!N38*(1+Profit_Margin)/INDEX(Crop!$AB$157:$AG$157,MATCH($A38,Crop!$AB$142:$AG$142,0))</f>
        <v>144.29784988602532</v>
      </c>
      <c r="O38" s="2">
        <f>Crop!O38*(1+Profit_Margin)/INDEX(Crop!$AB$157:$AG$157,MATCH($A38,Crop!$AB$142:$AG$142,0))</f>
        <v>117.00937127866082</v>
      </c>
      <c r="P38" s="2">
        <f>Crop!P38*(1+Profit_Margin)/INDEX(Crop!$AB$157:$AG$157,MATCH($A38,Crop!$AB$142:$AG$142,0))</f>
        <v>144.29784988602532</v>
      </c>
      <c r="Q38" s="2">
        <f>Crop!Q38*(1+Profit_Margin)/INDEX(Crop!$AB$157:$AG$157,MATCH($A38,Crop!$AB$142:$AG$142,0))</f>
        <v>117.00937127866082</v>
      </c>
      <c r="R38" s="2">
        <f>Crop!R38*(1+Profit_Margin)/INDEX(Crop!$AB$157:$AG$157,MATCH($A38,Crop!$AB$142:$AG$142,0))</f>
        <v>144.29784988602532</v>
      </c>
      <c r="S38" s="2">
        <f>Crop!S38*(1+Profit_Margin)/INDEX(Crop!$AB$157:$AG$157,MATCH($A38,Crop!$AB$142:$AG$142,0))</f>
        <v>117.00937127866082</v>
      </c>
      <c r="T38" s="2">
        <f>Crop!T38*(1+Profit_Margin)/INDEX(Crop!$AB$157:$AG$157,MATCH($A38,Crop!$AB$142:$AG$142,0))</f>
        <v>144.29784988602532</v>
      </c>
      <c r="U38" s="2">
        <f>Crop!U38*(1+Profit_Margin)/INDEX(Crop!$AB$157:$AG$157,MATCH($A38,Crop!$AB$142:$AG$142,0))</f>
        <v>117.00937127866082</v>
      </c>
      <c r="V38" s="2">
        <f>Crop!V38*(1+Profit_Margin)/INDEX(Crop!$AB$157:$AG$157,MATCH($A38,Crop!$AB$142:$AG$142,0))</f>
        <v>144.29784988602532</v>
      </c>
      <c r="W38" s="2">
        <f>Crop!W38*(1+Profit_Margin)/INDEX(Crop!$AB$157:$AG$157,MATCH($A38,Crop!$AB$142:$AG$142,0))</f>
        <v>117.00937127866082</v>
      </c>
      <c r="X38" s="2">
        <f>Crop!X38*(1+Profit_Margin)/INDEX(Crop!$AB$157:$AG$157,MATCH($A38,Crop!$AB$142:$AG$142,0))</f>
        <v>144.29784988602532</v>
      </c>
      <c r="Y38" s="2">
        <f>Crop!Y38*(1+Profit_Margin)/INDEX(Crop!$AB$157:$AG$157,MATCH($A38,Crop!$AB$142:$AG$142,0))</f>
        <v>117.00937127866082</v>
      </c>
      <c r="Z38" s="2">
        <f>Crop!Z38*(1+Profit_Margin)/INDEX(Crop!$AB$157:$AG$157,MATCH($A38,Crop!$AB$142:$AG$142,0))</f>
        <v>144.29784988602532</v>
      </c>
      <c r="AA38" s="2">
        <f>Crop!AA38*(1+Profit_Margin)/INDEX(Crop!$AB$157:$AG$157,MATCH($A38,Crop!$AB$142:$AG$142,0))</f>
        <v>117.00937127866082</v>
      </c>
      <c r="AB38" s="2">
        <f>Crop!AB38*(1+Profit_Margin)/INDEX(Crop!$AB$157:$AG$157,MATCH($A38,Crop!$AB$142:$AG$142,0))</f>
        <v>144.29784988602532</v>
      </c>
      <c r="AC38" s="2">
        <f>Crop!AC38*(1+Profit_Margin)/INDEX(Crop!$AB$157:$AG$157,MATCH($A38,Crop!$AB$142:$AG$142,0))</f>
        <v>117.00937127866082</v>
      </c>
      <c r="AD38" s="2">
        <f>Crop!AD38*(1+Profit_Margin)/INDEX(Crop!$AB$157:$AG$157,MATCH($A38,Crop!$AB$142:$AG$142,0))</f>
        <v>144.29784988602532</v>
      </c>
      <c r="AE38" s="2">
        <f>Crop!AE38*(1+Profit_Margin)/INDEX(Crop!$AB$157:$AG$157,MATCH($A38,Crop!$AB$142:$AG$142,0))</f>
        <v>117.00937127866082</v>
      </c>
      <c r="AF38" s="2">
        <f>Crop!AF38*(1+Profit_Margin)/INDEX(Crop!$AB$157:$AG$157,MATCH($A38,Crop!$AB$142:$AG$142,0))</f>
        <v>144.29784988602532</v>
      </c>
      <c r="AG38" s="2">
        <f>Crop!AG38*(1+Profit_Margin)/INDEX(Crop!$AB$157:$AG$157,MATCH($A38,Crop!$AB$142:$AG$142,0))</f>
        <v>117.00937127866082</v>
      </c>
      <c r="AH38" s="2">
        <f>Crop!AH38*(1+Profit_Margin)/INDEX(Crop!$AB$157:$AG$157,MATCH($A38,Crop!$AB$142:$AG$142,0))</f>
        <v>144.29784988602532</v>
      </c>
    </row>
    <row r="39" spans="1:34">
      <c r="A39" t="str">
        <f>CYF!A39</f>
        <v>Lentils</v>
      </c>
      <c r="B39" t="str">
        <f>CYF!B39</f>
        <v>Gumuz</v>
      </c>
      <c r="C39" s="2">
        <f>Crop!C39*(1+Profit_Margin)/INDEX(Crop!$AB$157:$AG$157,MATCH($A39,Crop!$AB$142:$AG$142,0))</f>
        <v>135.66085168717368</v>
      </c>
      <c r="D39" s="2">
        <f>Crop!D39*(1+Profit_Margin)/INDEX(Crop!$AB$157:$AG$157,MATCH($A39,Crop!$AB$142:$AG$142,0))</f>
        <v>140.78690328212471</v>
      </c>
      <c r="E39" s="2">
        <f>Crop!E39*(1+Profit_Margin)/INDEX(Crop!$AB$157:$AG$157,MATCH($A39,Crop!$AB$142:$AG$142,0))</f>
        <v>135.66085168717368</v>
      </c>
      <c r="F39" s="2">
        <f>Crop!F39*(1+Profit_Margin)/INDEX(Crop!$AB$157:$AG$157,MATCH($A39,Crop!$AB$142:$AG$142,0))</f>
        <v>140.78690328212471</v>
      </c>
      <c r="G39" s="2">
        <f>Crop!G39*(1+Profit_Margin)/INDEX(Crop!$AB$157:$AG$157,MATCH($A39,Crop!$AB$142:$AG$142,0))</f>
        <v>135.66085168717368</v>
      </c>
      <c r="H39" s="2">
        <f>Crop!H39*(1+Profit_Margin)/INDEX(Crop!$AB$157:$AG$157,MATCH($A39,Crop!$AB$142:$AG$142,0))</f>
        <v>140.78690328212471</v>
      </c>
      <c r="I39" s="2">
        <f>Crop!I39*(1+Profit_Margin)/INDEX(Crop!$AB$157:$AG$157,MATCH($A39,Crop!$AB$142:$AG$142,0))</f>
        <v>135.66085168717368</v>
      </c>
      <c r="J39" s="2">
        <f>Crop!J39*(1+Profit_Margin)/INDEX(Crop!$AB$157:$AG$157,MATCH($A39,Crop!$AB$142:$AG$142,0))</f>
        <v>140.78690328212471</v>
      </c>
      <c r="K39" s="2">
        <f>Crop!K39*(1+Profit_Margin)/INDEX(Crop!$AB$157:$AG$157,MATCH($A39,Crop!$AB$142:$AG$142,0))</f>
        <v>135.66085168717368</v>
      </c>
      <c r="L39" s="2">
        <f>Crop!L39*(1+Profit_Margin)/INDEX(Crop!$AB$157:$AG$157,MATCH($A39,Crop!$AB$142:$AG$142,0))</f>
        <v>140.78690328212471</v>
      </c>
      <c r="M39" s="2">
        <f>Crop!M39*(1+Profit_Margin)/INDEX(Crop!$AB$157:$AG$157,MATCH($A39,Crop!$AB$142:$AG$142,0))</f>
        <v>135.66085168717368</v>
      </c>
      <c r="N39" s="2">
        <f>Crop!N39*(1+Profit_Margin)/INDEX(Crop!$AB$157:$AG$157,MATCH($A39,Crop!$AB$142:$AG$142,0))</f>
        <v>140.78690328212471</v>
      </c>
      <c r="O39" s="2">
        <f>Crop!O39*(1+Profit_Margin)/INDEX(Crop!$AB$157:$AG$157,MATCH($A39,Crop!$AB$142:$AG$142,0))</f>
        <v>135.66085168717368</v>
      </c>
      <c r="P39" s="2">
        <f>Crop!P39*(1+Profit_Margin)/INDEX(Crop!$AB$157:$AG$157,MATCH($A39,Crop!$AB$142:$AG$142,0))</f>
        <v>140.78690328212471</v>
      </c>
      <c r="Q39" s="2">
        <f>Crop!Q39*(1+Profit_Margin)/INDEX(Crop!$AB$157:$AG$157,MATCH($A39,Crop!$AB$142:$AG$142,0))</f>
        <v>135.66085168717368</v>
      </c>
      <c r="R39" s="2">
        <f>Crop!R39*(1+Profit_Margin)/INDEX(Crop!$AB$157:$AG$157,MATCH($A39,Crop!$AB$142:$AG$142,0))</f>
        <v>140.78690328212471</v>
      </c>
      <c r="S39" s="2">
        <f>Crop!S39*(1+Profit_Margin)/INDEX(Crop!$AB$157:$AG$157,MATCH($A39,Crop!$AB$142:$AG$142,0))</f>
        <v>135.66085168717368</v>
      </c>
      <c r="T39" s="2">
        <f>Crop!T39*(1+Profit_Margin)/INDEX(Crop!$AB$157:$AG$157,MATCH($A39,Crop!$AB$142:$AG$142,0))</f>
        <v>140.78690328212471</v>
      </c>
      <c r="U39" s="2">
        <f>Crop!U39*(1+Profit_Margin)/INDEX(Crop!$AB$157:$AG$157,MATCH($A39,Crop!$AB$142:$AG$142,0))</f>
        <v>135.66085168717368</v>
      </c>
      <c r="V39" s="2">
        <f>Crop!V39*(1+Profit_Margin)/INDEX(Crop!$AB$157:$AG$157,MATCH($A39,Crop!$AB$142:$AG$142,0))</f>
        <v>140.78690328212471</v>
      </c>
      <c r="W39" s="2">
        <f>Crop!W39*(1+Profit_Margin)/INDEX(Crop!$AB$157:$AG$157,MATCH($A39,Crop!$AB$142:$AG$142,0))</f>
        <v>135.66085168717368</v>
      </c>
      <c r="X39" s="2">
        <f>Crop!X39*(1+Profit_Margin)/INDEX(Crop!$AB$157:$AG$157,MATCH($A39,Crop!$AB$142:$AG$142,0))</f>
        <v>140.78690328212471</v>
      </c>
      <c r="Y39" s="2">
        <f>Crop!Y39*(1+Profit_Margin)/INDEX(Crop!$AB$157:$AG$157,MATCH($A39,Crop!$AB$142:$AG$142,0))</f>
        <v>135.66085168717368</v>
      </c>
      <c r="Z39" s="2">
        <f>Crop!Z39*(1+Profit_Margin)/INDEX(Crop!$AB$157:$AG$157,MATCH($A39,Crop!$AB$142:$AG$142,0))</f>
        <v>140.78690328212471</v>
      </c>
      <c r="AA39" s="2">
        <f>Crop!AA39*(1+Profit_Margin)/INDEX(Crop!$AB$157:$AG$157,MATCH($A39,Crop!$AB$142:$AG$142,0))</f>
        <v>135.66085168717368</v>
      </c>
      <c r="AB39" s="2">
        <f>Crop!AB39*(1+Profit_Margin)/INDEX(Crop!$AB$157:$AG$157,MATCH($A39,Crop!$AB$142:$AG$142,0))</f>
        <v>140.78690328212471</v>
      </c>
      <c r="AC39" s="2">
        <f>Crop!AC39*(1+Profit_Margin)/INDEX(Crop!$AB$157:$AG$157,MATCH($A39,Crop!$AB$142:$AG$142,0))</f>
        <v>135.66085168717368</v>
      </c>
      <c r="AD39" s="2">
        <f>Crop!AD39*(1+Profit_Margin)/INDEX(Crop!$AB$157:$AG$157,MATCH($A39,Crop!$AB$142:$AG$142,0))</f>
        <v>140.78690328212471</v>
      </c>
      <c r="AE39" s="2">
        <f>Crop!AE39*(1+Profit_Margin)/INDEX(Crop!$AB$157:$AG$157,MATCH($A39,Crop!$AB$142:$AG$142,0))</f>
        <v>135.66085168717368</v>
      </c>
      <c r="AF39" s="2">
        <f>Crop!AF39*(1+Profit_Margin)/INDEX(Crop!$AB$157:$AG$157,MATCH($A39,Crop!$AB$142:$AG$142,0))</f>
        <v>140.78690328212471</v>
      </c>
      <c r="AG39" s="2">
        <f>Crop!AG39*(1+Profit_Margin)/INDEX(Crop!$AB$157:$AG$157,MATCH($A39,Crop!$AB$142:$AG$142,0))</f>
        <v>135.66085168717368</v>
      </c>
      <c r="AH39" s="2">
        <f>Crop!AH39*(1+Profit_Margin)/INDEX(Crop!$AB$157:$AG$157,MATCH($A39,Crop!$AB$142:$AG$142,0))</f>
        <v>140.78690328212471</v>
      </c>
    </row>
    <row r="40" spans="1:34">
      <c r="A40" t="str">
        <f>CYF!A40</f>
        <v>Lentils</v>
      </c>
      <c r="B40" t="str">
        <f>CYF!B40</f>
        <v>DireDawa</v>
      </c>
      <c r="C40" s="2">
        <f>Crop!C40*(1+Profit_Margin)/INDEX(Crop!$AB$157:$AG$157,MATCH($A40,Crop!$AB$142:$AG$142,0))</f>
        <v>139.26163944590672</v>
      </c>
      <c r="D40" s="2">
        <f>Crop!D40*(1+Profit_Margin)/INDEX(Crop!$AB$157:$AG$157,MATCH($A40,Crop!$AB$142:$AG$142,0))</f>
        <v>144.18613965800753</v>
      </c>
      <c r="E40" s="2">
        <f>Crop!E40*(1+Profit_Margin)/INDEX(Crop!$AB$157:$AG$157,MATCH($A40,Crop!$AB$142:$AG$142,0))</f>
        <v>139.26163944590672</v>
      </c>
      <c r="F40" s="2">
        <f>Crop!F40*(1+Profit_Margin)/INDEX(Crop!$AB$157:$AG$157,MATCH($A40,Crop!$AB$142:$AG$142,0))</f>
        <v>144.18613965800753</v>
      </c>
      <c r="G40" s="2">
        <f>Crop!G40*(1+Profit_Margin)/INDEX(Crop!$AB$157:$AG$157,MATCH($A40,Crop!$AB$142:$AG$142,0))</f>
        <v>139.26163944590672</v>
      </c>
      <c r="H40" s="2">
        <f>Crop!H40*(1+Profit_Margin)/INDEX(Crop!$AB$157:$AG$157,MATCH($A40,Crop!$AB$142:$AG$142,0))</f>
        <v>144.18613965800753</v>
      </c>
      <c r="I40" s="2">
        <f>Crop!I40*(1+Profit_Margin)/INDEX(Crop!$AB$157:$AG$157,MATCH($A40,Crop!$AB$142:$AG$142,0))</f>
        <v>139.26163944590672</v>
      </c>
      <c r="J40" s="2">
        <f>Crop!J40*(1+Profit_Margin)/INDEX(Crop!$AB$157:$AG$157,MATCH($A40,Crop!$AB$142:$AG$142,0))</f>
        <v>144.18613965800753</v>
      </c>
      <c r="K40" s="2">
        <f>Crop!K40*(1+Profit_Margin)/INDEX(Crop!$AB$157:$AG$157,MATCH($A40,Crop!$AB$142:$AG$142,0))</f>
        <v>139.26163944590672</v>
      </c>
      <c r="L40" s="2">
        <f>Crop!L40*(1+Profit_Margin)/INDEX(Crop!$AB$157:$AG$157,MATCH($A40,Crop!$AB$142:$AG$142,0))</f>
        <v>144.18613965800753</v>
      </c>
      <c r="M40" s="2">
        <f>Crop!M40*(1+Profit_Margin)/INDEX(Crop!$AB$157:$AG$157,MATCH($A40,Crop!$AB$142:$AG$142,0))</f>
        <v>139.26163944590672</v>
      </c>
      <c r="N40" s="2">
        <f>Crop!N40*(1+Profit_Margin)/INDEX(Crop!$AB$157:$AG$157,MATCH($A40,Crop!$AB$142:$AG$142,0))</f>
        <v>144.18613965800753</v>
      </c>
      <c r="O40" s="2">
        <f>Crop!O40*(1+Profit_Margin)/INDEX(Crop!$AB$157:$AG$157,MATCH($A40,Crop!$AB$142:$AG$142,0))</f>
        <v>139.26163944590672</v>
      </c>
      <c r="P40" s="2">
        <f>Crop!P40*(1+Profit_Margin)/INDEX(Crop!$AB$157:$AG$157,MATCH($A40,Crop!$AB$142:$AG$142,0))</f>
        <v>144.18613965800753</v>
      </c>
      <c r="Q40" s="2">
        <f>Crop!Q40*(1+Profit_Margin)/INDEX(Crop!$AB$157:$AG$157,MATCH($A40,Crop!$AB$142:$AG$142,0))</f>
        <v>139.26163944590672</v>
      </c>
      <c r="R40" s="2">
        <f>Crop!R40*(1+Profit_Margin)/INDEX(Crop!$AB$157:$AG$157,MATCH($A40,Crop!$AB$142:$AG$142,0))</f>
        <v>144.18613965800753</v>
      </c>
      <c r="S40" s="2">
        <f>Crop!S40*(1+Profit_Margin)/INDEX(Crop!$AB$157:$AG$157,MATCH($A40,Crop!$AB$142:$AG$142,0))</f>
        <v>139.26163944590672</v>
      </c>
      <c r="T40" s="2">
        <f>Crop!T40*(1+Profit_Margin)/INDEX(Crop!$AB$157:$AG$157,MATCH($A40,Crop!$AB$142:$AG$142,0))</f>
        <v>144.18613965800753</v>
      </c>
      <c r="U40" s="2">
        <f>Crop!U40*(1+Profit_Margin)/INDEX(Crop!$AB$157:$AG$157,MATCH($A40,Crop!$AB$142:$AG$142,0))</f>
        <v>139.26163944590672</v>
      </c>
      <c r="V40" s="2">
        <f>Crop!V40*(1+Profit_Margin)/INDEX(Crop!$AB$157:$AG$157,MATCH($A40,Crop!$AB$142:$AG$142,0))</f>
        <v>144.18613965800753</v>
      </c>
      <c r="W40" s="2">
        <f>Crop!W40*(1+Profit_Margin)/INDEX(Crop!$AB$157:$AG$157,MATCH($A40,Crop!$AB$142:$AG$142,0))</f>
        <v>139.26163944590672</v>
      </c>
      <c r="X40" s="2">
        <f>Crop!X40*(1+Profit_Margin)/INDEX(Crop!$AB$157:$AG$157,MATCH($A40,Crop!$AB$142:$AG$142,0))</f>
        <v>144.18613965800753</v>
      </c>
      <c r="Y40" s="2">
        <f>Crop!Y40*(1+Profit_Margin)/INDEX(Crop!$AB$157:$AG$157,MATCH($A40,Crop!$AB$142:$AG$142,0))</f>
        <v>139.26163944590672</v>
      </c>
      <c r="Z40" s="2">
        <f>Crop!Z40*(1+Profit_Margin)/INDEX(Crop!$AB$157:$AG$157,MATCH($A40,Crop!$AB$142:$AG$142,0))</f>
        <v>144.18613965800753</v>
      </c>
      <c r="AA40" s="2">
        <f>Crop!AA40*(1+Profit_Margin)/INDEX(Crop!$AB$157:$AG$157,MATCH($A40,Crop!$AB$142:$AG$142,0))</f>
        <v>139.26163944590672</v>
      </c>
      <c r="AB40" s="2">
        <f>Crop!AB40*(1+Profit_Margin)/INDEX(Crop!$AB$157:$AG$157,MATCH($A40,Crop!$AB$142:$AG$142,0))</f>
        <v>144.18613965800753</v>
      </c>
      <c r="AC40" s="2">
        <f>Crop!AC40*(1+Profit_Margin)/INDEX(Crop!$AB$157:$AG$157,MATCH($A40,Crop!$AB$142:$AG$142,0))</f>
        <v>139.26163944590672</v>
      </c>
      <c r="AD40" s="2">
        <f>Crop!AD40*(1+Profit_Margin)/INDEX(Crop!$AB$157:$AG$157,MATCH($A40,Crop!$AB$142:$AG$142,0))</f>
        <v>144.18613965800753</v>
      </c>
      <c r="AE40" s="2">
        <f>Crop!AE40*(1+Profit_Margin)/INDEX(Crop!$AB$157:$AG$157,MATCH($A40,Crop!$AB$142:$AG$142,0))</f>
        <v>139.26163944590672</v>
      </c>
      <c r="AF40" s="2">
        <f>Crop!AF40*(1+Profit_Margin)/INDEX(Crop!$AB$157:$AG$157,MATCH($A40,Crop!$AB$142:$AG$142,0))</f>
        <v>144.18613965800753</v>
      </c>
      <c r="AG40" s="2">
        <f>Crop!AG40*(1+Profit_Margin)/INDEX(Crop!$AB$157:$AG$157,MATCH($A40,Crop!$AB$142:$AG$142,0))</f>
        <v>139.26163944590672</v>
      </c>
      <c r="AH40" s="2">
        <f>Crop!AH40*(1+Profit_Margin)/INDEX(Crop!$AB$157:$AG$157,MATCH($A40,Crop!$AB$142:$AG$142,0))</f>
        <v>144.18613965800753</v>
      </c>
    </row>
    <row r="41" spans="1:34">
      <c r="A41" t="str">
        <f>CYF!A41</f>
        <v>Lentils</v>
      </c>
      <c r="B41" t="str">
        <f>CYF!B41</f>
        <v>Gambela</v>
      </c>
      <c r="C41" s="2">
        <f>Crop!C41*(1+Profit_Margin)/INDEX(Crop!$AB$157:$AG$157,MATCH($A41,Crop!$AB$142:$AG$142,0))</f>
        <v>130.16008916000285</v>
      </c>
      <c r="D41" s="2">
        <f>Crop!D41*(1+Profit_Margin)/INDEX(Crop!$AB$157:$AG$157,MATCH($A41,Crop!$AB$142:$AG$142,0))</f>
        <v>134.08503515488215</v>
      </c>
      <c r="E41" s="2">
        <f>Crop!E41*(1+Profit_Margin)/INDEX(Crop!$AB$157:$AG$157,MATCH($A41,Crop!$AB$142:$AG$142,0))</f>
        <v>130.16008916000285</v>
      </c>
      <c r="F41" s="2">
        <f>Crop!F41*(1+Profit_Margin)/INDEX(Crop!$AB$157:$AG$157,MATCH($A41,Crop!$AB$142:$AG$142,0))</f>
        <v>134.08503515488215</v>
      </c>
      <c r="G41" s="2">
        <f>Crop!G41*(1+Profit_Margin)/INDEX(Crop!$AB$157:$AG$157,MATCH($A41,Crop!$AB$142:$AG$142,0))</f>
        <v>130.16008916000285</v>
      </c>
      <c r="H41" s="2">
        <f>Crop!H41*(1+Profit_Margin)/INDEX(Crop!$AB$157:$AG$157,MATCH($A41,Crop!$AB$142:$AG$142,0))</f>
        <v>134.08503515488215</v>
      </c>
      <c r="I41" s="2">
        <f>Crop!I41*(1+Profit_Margin)/INDEX(Crop!$AB$157:$AG$157,MATCH($A41,Crop!$AB$142:$AG$142,0))</f>
        <v>130.16008916000285</v>
      </c>
      <c r="J41" s="2">
        <f>Crop!J41*(1+Profit_Margin)/INDEX(Crop!$AB$157:$AG$157,MATCH($A41,Crop!$AB$142:$AG$142,0))</f>
        <v>134.08503515488215</v>
      </c>
      <c r="K41" s="2">
        <f>Crop!K41*(1+Profit_Margin)/INDEX(Crop!$AB$157:$AG$157,MATCH($A41,Crop!$AB$142:$AG$142,0))</f>
        <v>130.16008916000285</v>
      </c>
      <c r="L41" s="2">
        <f>Crop!L41*(1+Profit_Margin)/INDEX(Crop!$AB$157:$AG$157,MATCH($A41,Crop!$AB$142:$AG$142,0))</f>
        <v>134.08503515488215</v>
      </c>
      <c r="M41" s="2">
        <f>Crop!M41*(1+Profit_Margin)/INDEX(Crop!$AB$157:$AG$157,MATCH($A41,Crop!$AB$142:$AG$142,0))</f>
        <v>130.16008916000285</v>
      </c>
      <c r="N41" s="2">
        <f>Crop!N41*(1+Profit_Margin)/INDEX(Crop!$AB$157:$AG$157,MATCH($A41,Crop!$AB$142:$AG$142,0))</f>
        <v>134.08503515488215</v>
      </c>
      <c r="O41" s="2">
        <f>Crop!O41*(1+Profit_Margin)/INDEX(Crop!$AB$157:$AG$157,MATCH($A41,Crop!$AB$142:$AG$142,0))</f>
        <v>130.16008916000285</v>
      </c>
      <c r="P41" s="2">
        <f>Crop!P41*(1+Profit_Margin)/INDEX(Crop!$AB$157:$AG$157,MATCH($A41,Crop!$AB$142:$AG$142,0))</f>
        <v>134.08503515488215</v>
      </c>
      <c r="Q41" s="2">
        <f>Crop!Q41*(1+Profit_Margin)/INDEX(Crop!$AB$157:$AG$157,MATCH($A41,Crop!$AB$142:$AG$142,0))</f>
        <v>130.16008916000285</v>
      </c>
      <c r="R41" s="2">
        <f>Crop!R41*(1+Profit_Margin)/INDEX(Crop!$AB$157:$AG$157,MATCH($A41,Crop!$AB$142:$AG$142,0))</f>
        <v>134.08503515488215</v>
      </c>
      <c r="S41" s="2">
        <f>Crop!S41*(1+Profit_Margin)/INDEX(Crop!$AB$157:$AG$157,MATCH($A41,Crop!$AB$142:$AG$142,0))</f>
        <v>130.16008916000285</v>
      </c>
      <c r="T41" s="2">
        <f>Crop!T41*(1+Profit_Margin)/INDEX(Crop!$AB$157:$AG$157,MATCH($A41,Crop!$AB$142:$AG$142,0))</f>
        <v>134.08503515488215</v>
      </c>
      <c r="U41" s="2">
        <f>Crop!U41*(1+Profit_Margin)/INDEX(Crop!$AB$157:$AG$157,MATCH($A41,Crop!$AB$142:$AG$142,0))</f>
        <v>130.16008916000285</v>
      </c>
      <c r="V41" s="2">
        <f>Crop!V41*(1+Profit_Margin)/INDEX(Crop!$AB$157:$AG$157,MATCH($A41,Crop!$AB$142:$AG$142,0))</f>
        <v>134.08503515488215</v>
      </c>
      <c r="W41" s="2">
        <f>Crop!W41*(1+Profit_Margin)/INDEX(Crop!$AB$157:$AG$157,MATCH($A41,Crop!$AB$142:$AG$142,0))</f>
        <v>130.16008916000285</v>
      </c>
      <c r="X41" s="2">
        <f>Crop!X41*(1+Profit_Margin)/INDEX(Crop!$AB$157:$AG$157,MATCH($A41,Crop!$AB$142:$AG$142,0))</f>
        <v>134.08503515488215</v>
      </c>
      <c r="Y41" s="2">
        <f>Crop!Y41*(1+Profit_Margin)/INDEX(Crop!$AB$157:$AG$157,MATCH($A41,Crop!$AB$142:$AG$142,0))</f>
        <v>130.16008916000285</v>
      </c>
      <c r="Z41" s="2">
        <f>Crop!Z41*(1+Profit_Margin)/INDEX(Crop!$AB$157:$AG$157,MATCH($A41,Crop!$AB$142:$AG$142,0))</f>
        <v>134.08503515488215</v>
      </c>
      <c r="AA41" s="2">
        <f>Crop!AA41*(1+Profit_Margin)/INDEX(Crop!$AB$157:$AG$157,MATCH($A41,Crop!$AB$142:$AG$142,0))</f>
        <v>130.16008916000285</v>
      </c>
      <c r="AB41" s="2">
        <f>Crop!AB41*(1+Profit_Margin)/INDEX(Crop!$AB$157:$AG$157,MATCH($A41,Crop!$AB$142:$AG$142,0))</f>
        <v>134.08503515488215</v>
      </c>
      <c r="AC41" s="2">
        <f>Crop!AC41*(1+Profit_Margin)/INDEX(Crop!$AB$157:$AG$157,MATCH($A41,Crop!$AB$142:$AG$142,0))</f>
        <v>130.16008916000285</v>
      </c>
      <c r="AD41" s="2">
        <f>Crop!AD41*(1+Profit_Margin)/INDEX(Crop!$AB$157:$AG$157,MATCH($A41,Crop!$AB$142:$AG$142,0))</f>
        <v>134.08503515488215</v>
      </c>
      <c r="AE41" s="2">
        <f>Crop!AE41*(1+Profit_Margin)/INDEX(Crop!$AB$157:$AG$157,MATCH($A41,Crop!$AB$142:$AG$142,0))</f>
        <v>130.16008916000285</v>
      </c>
      <c r="AF41" s="2">
        <f>Crop!AF41*(1+Profit_Margin)/INDEX(Crop!$AB$157:$AG$157,MATCH($A41,Crop!$AB$142:$AG$142,0))</f>
        <v>134.08503515488215</v>
      </c>
      <c r="AG41" s="2">
        <f>Crop!AG41*(1+Profit_Margin)/INDEX(Crop!$AB$157:$AG$157,MATCH($A41,Crop!$AB$142:$AG$142,0))</f>
        <v>130.16008916000285</v>
      </c>
      <c r="AH41" s="2">
        <f>Crop!AH41*(1+Profit_Margin)/INDEX(Crop!$AB$157:$AG$157,MATCH($A41,Crop!$AB$142:$AG$142,0))</f>
        <v>134.08503515488215</v>
      </c>
    </row>
    <row r="42" spans="1:34">
      <c r="A42" t="str">
        <f>CYF!A42</f>
        <v>Lentils</v>
      </c>
      <c r="B42" t="str">
        <f>CYF!B42</f>
        <v>Harari</v>
      </c>
      <c r="C42" s="2">
        <f>Crop!C42*(1+Profit_Margin)/INDEX(Crop!$AB$157:$AG$157,MATCH($A42,Crop!$AB$142:$AG$142,0))</f>
        <v>133.91414201052845</v>
      </c>
      <c r="D42" s="2">
        <f>Crop!D42*(1+Profit_Margin)/INDEX(Crop!$AB$157:$AG$157,MATCH($A42,Crop!$AB$142:$AG$142,0))</f>
        <v>149.30265567073141</v>
      </c>
      <c r="E42" s="2">
        <f>Crop!E42*(1+Profit_Margin)/INDEX(Crop!$AB$157:$AG$157,MATCH($A42,Crop!$AB$142:$AG$142,0))</f>
        <v>133.91414201052845</v>
      </c>
      <c r="F42" s="2">
        <f>Crop!F42*(1+Profit_Margin)/INDEX(Crop!$AB$157:$AG$157,MATCH($A42,Crop!$AB$142:$AG$142,0))</f>
        <v>149.30265567073141</v>
      </c>
      <c r="G42" s="2">
        <f>Crop!G42*(1+Profit_Margin)/INDEX(Crop!$AB$157:$AG$157,MATCH($A42,Crop!$AB$142:$AG$142,0))</f>
        <v>133.91414201052845</v>
      </c>
      <c r="H42" s="2">
        <f>Crop!H42*(1+Profit_Margin)/INDEX(Crop!$AB$157:$AG$157,MATCH($A42,Crop!$AB$142:$AG$142,0))</f>
        <v>149.30265567073141</v>
      </c>
      <c r="I42" s="2">
        <f>Crop!I42*(1+Profit_Margin)/INDEX(Crop!$AB$157:$AG$157,MATCH($A42,Crop!$AB$142:$AG$142,0))</f>
        <v>133.91414201052845</v>
      </c>
      <c r="J42" s="2">
        <f>Crop!J42*(1+Profit_Margin)/INDEX(Crop!$AB$157:$AG$157,MATCH($A42,Crop!$AB$142:$AG$142,0))</f>
        <v>149.30265567073141</v>
      </c>
      <c r="K42" s="2">
        <f>Crop!K42*(1+Profit_Margin)/INDEX(Crop!$AB$157:$AG$157,MATCH($A42,Crop!$AB$142:$AG$142,0))</f>
        <v>133.91414201052845</v>
      </c>
      <c r="L42" s="2">
        <f>Crop!L42*(1+Profit_Margin)/INDEX(Crop!$AB$157:$AG$157,MATCH($A42,Crop!$AB$142:$AG$142,0))</f>
        <v>149.30265567073141</v>
      </c>
      <c r="M42" s="2">
        <f>Crop!M42*(1+Profit_Margin)/INDEX(Crop!$AB$157:$AG$157,MATCH($A42,Crop!$AB$142:$AG$142,0))</f>
        <v>133.91414201052845</v>
      </c>
      <c r="N42" s="2">
        <f>Crop!N42*(1+Profit_Margin)/INDEX(Crop!$AB$157:$AG$157,MATCH($A42,Crop!$AB$142:$AG$142,0))</f>
        <v>149.30265567073141</v>
      </c>
      <c r="O42" s="2">
        <f>Crop!O42*(1+Profit_Margin)/INDEX(Crop!$AB$157:$AG$157,MATCH($A42,Crop!$AB$142:$AG$142,0))</f>
        <v>133.91414201052845</v>
      </c>
      <c r="P42" s="2">
        <f>Crop!P42*(1+Profit_Margin)/INDEX(Crop!$AB$157:$AG$157,MATCH($A42,Crop!$AB$142:$AG$142,0))</f>
        <v>149.30265567073141</v>
      </c>
      <c r="Q42" s="2">
        <f>Crop!Q42*(1+Profit_Margin)/INDEX(Crop!$AB$157:$AG$157,MATCH($A42,Crop!$AB$142:$AG$142,0))</f>
        <v>133.91414201052845</v>
      </c>
      <c r="R42" s="2">
        <f>Crop!R42*(1+Profit_Margin)/INDEX(Crop!$AB$157:$AG$157,MATCH($A42,Crop!$AB$142:$AG$142,0))</f>
        <v>149.30265567073141</v>
      </c>
      <c r="S42" s="2">
        <f>Crop!S42*(1+Profit_Margin)/INDEX(Crop!$AB$157:$AG$157,MATCH($A42,Crop!$AB$142:$AG$142,0))</f>
        <v>133.91414201052845</v>
      </c>
      <c r="T42" s="2">
        <f>Crop!T42*(1+Profit_Margin)/INDEX(Crop!$AB$157:$AG$157,MATCH($A42,Crop!$AB$142:$AG$142,0))</f>
        <v>149.30265567073141</v>
      </c>
      <c r="U42" s="2">
        <f>Crop!U42*(1+Profit_Margin)/INDEX(Crop!$AB$157:$AG$157,MATCH($A42,Crop!$AB$142:$AG$142,0))</f>
        <v>133.91414201052845</v>
      </c>
      <c r="V42" s="2">
        <f>Crop!V42*(1+Profit_Margin)/INDEX(Crop!$AB$157:$AG$157,MATCH($A42,Crop!$AB$142:$AG$142,0))</f>
        <v>149.30265567073141</v>
      </c>
      <c r="W42" s="2">
        <f>Crop!W42*(1+Profit_Margin)/INDEX(Crop!$AB$157:$AG$157,MATCH($A42,Crop!$AB$142:$AG$142,0))</f>
        <v>133.91414201052845</v>
      </c>
      <c r="X42" s="2">
        <f>Crop!X42*(1+Profit_Margin)/INDEX(Crop!$AB$157:$AG$157,MATCH($A42,Crop!$AB$142:$AG$142,0))</f>
        <v>149.30265567073141</v>
      </c>
      <c r="Y42" s="2">
        <f>Crop!Y42*(1+Profit_Margin)/INDEX(Crop!$AB$157:$AG$157,MATCH($A42,Crop!$AB$142:$AG$142,0))</f>
        <v>133.91414201052845</v>
      </c>
      <c r="Z42" s="2">
        <f>Crop!Z42*(1+Profit_Margin)/INDEX(Crop!$AB$157:$AG$157,MATCH($A42,Crop!$AB$142:$AG$142,0))</f>
        <v>149.30265567073141</v>
      </c>
      <c r="AA42" s="2">
        <f>Crop!AA42*(1+Profit_Margin)/INDEX(Crop!$AB$157:$AG$157,MATCH($A42,Crop!$AB$142:$AG$142,0))</f>
        <v>133.91414201052845</v>
      </c>
      <c r="AB42" s="2">
        <f>Crop!AB42*(1+Profit_Margin)/INDEX(Crop!$AB$157:$AG$157,MATCH($A42,Crop!$AB$142:$AG$142,0))</f>
        <v>149.30265567073141</v>
      </c>
      <c r="AC42" s="2">
        <f>Crop!AC42*(1+Profit_Margin)/INDEX(Crop!$AB$157:$AG$157,MATCH($A42,Crop!$AB$142:$AG$142,0))</f>
        <v>133.91414201052845</v>
      </c>
      <c r="AD42" s="2">
        <f>Crop!AD42*(1+Profit_Margin)/INDEX(Crop!$AB$157:$AG$157,MATCH($A42,Crop!$AB$142:$AG$142,0))</f>
        <v>149.30265567073141</v>
      </c>
      <c r="AE42" s="2">
        <f>Crop!AE42*(1+Profit_Margin)/INDEX(Crop!$AB$157:$AG$157,MATCH($A42,Crop!$AB$142:$AG$142,0))</f>
        <v>133.91414201052845</v>
      </c>
      <c r="AF42" s="2">
        <f>Crop!AF42*(1+Profit_Margin)/INDEX(Crop!$AB$157:$AG$157,MATCH($A42,Crop!$AB$142:$AG$142,0))</f>
        <v>149.30265567073141</v>
      </c>
      <c r="AG42" s="2">
        <f>Crop!AG42*(1+Profit_Margin)/INDEX(Crop!$AB$157:$AG$157,MATCH($A42,Crop!$AB$142:$AG$142,0))</f>
        <v>133.91414201052845</v>
      </c>
      <c r="AH42" s="2">
        <f>Crop!AH42*(1+Profit_Margin)/INDEX(Crop!$AB$157:$AG$157,MATCH($A42,Crop!$AB$142:$AG$142,0))</f>
        <v>149.30265567073141</v>
      </c>
    </row>
    <row r="43" spans="1:34">
      <c r="A43" t="str">
        <f>CYF!A43</f>
        <v>Lentils</v>
      </c>
      <c r="B43" t="str">
        <f>CYF!B43</f>
        <v>Oromia</v>
      </c>
      <c r="C43" s="2">
        <f>Crop!C43*(1+Profit_Margin)/INDEX(Crop!$AB$157:$AG$157,MATCH($A43,Crop!$AB$142:$AG$142,0))</f>
        <v>123.65326808938013</v>
      </c>
      <c r="D43" s="2">
        <f>Crop!D43*(1+Profit_Margin)/INDEX(Crop!$AB$157:$AG$157,MATCH($A43,Crop!$AB$142:$AG$142,0))</f>
        <v>144.91082668832851</v>
      </c>
      <c r="E43" s="2">
        <f>Crop!E43*(1+Profit_Margin)/INDEX(Crop!$AB$157:$AG$157,MATCH($A43,Crop!$AB$142:$AG$142,0))</f>
        <v>123.65326808938013</v>
      </c>
      <c r="F43" s="2">
        <f>Crop!F43*(1+Profit_Margin)/INDEX(Crop!$AB$157:$AG$157,MATCH($A43,Crop!$AB$142:$AG$142,0))</f>
        <v>144.91082668832851</v>
      </c>
      <c r="G43" s="2">
        <f>Crop!G43*(1+Profit_Margin)/INDEX(Crop!$AB$157:$AG$157,MATCH($A43,Crop!$AB$142:$AG$142,0))</f>
        <v>123.65326808938013</v>
      </c>
      <c r="H43" s="2">
        <f>Crop!H43*(1+Profit_Margin)/INDEX(Crop!$AB$157:$AG$157,MATCH($A43,Crop!$AB$142:$AG$142,0))</f>
        <v>144.91082668832851</v>
      </c>
      <c r="I43" s="2">
        <f>Crop!I43*(1+Profit_Margin)/INDEX(Crop!$AB$157:$AG$157,MATCH($A43,Crop!$AB$142:$AG$142,0))</f>
        <v>123.65326808938013</v>
      </c>
      <c r="J43" s="2">
        <f>Crop!J43*(1+Profit_Margin)/INDEX(Crop!$AB$157:$AG$157,MATCH($A43,Crop!$AB$142:$AG$142,0))</f>
        <v>144.91082668832851</v>
      </c>
      <c r="K43" s="2">
        <f>Crop!K43*(1+Profit_Margin)/INDEX(Crop!$AB$157:$AG$157,MATCH($A43,Crop!$AB$142:$AG$142,0))</f>
        <v>123.65326808938013</v>
      </c>
      <c r="L43" s="2">
        <f>Crop!L43*(1+Profit_Margin)/INDEX(Crop!$AB$157:$AG$157,MATCH($A43,Crop!$AB$142:$AG$142,0))</f>
        <v>144.91082668832851</v>
      </c>
      <c r="M43" s="2">
        <f>Crop!M43*(1+Profit_Margin)/INDEX(Crop!$AB$157:$AG$157,MATCH($A43,Crop!$AB$142:$AG$142,0))</f>
        <v>123.65326808938013</v>
      </c>
      <c r="N43" s="2">
        <f>Crop!N43*(1+Profit_Margin)/INDEX(Crop!$AB$157:$AG$157,MATCH($A43,Crop!$AB$142:$AG$142,0))</f>
        <v>144.91082668832851</v>
      </c>
      <c r="O43" s="2">
        <f>Crop!O43*(1+Profit_Margin)/INDEX(Crop!$AB$157:$AG$157,MATCH($A43,Crop!$AB$142:$AG$142,0))</f>
        <v>123.65326808938013</v>
      </c>
      <c r="P43" s="2">
        <f>Crop!P43*(1+Profit_Margin)/INDEX(Crop!$AB$157:$AG$157,MATCH($A43,Crop!$AB$142:$AG$142,0))</f>
        <v>144.91082668832851</v>
      </c>
      <c r="Q43" s="2">
        <f>Crop!Q43*(1+Profit_Margin)/INDEX(Crop!$AB$157:$AG$157,MATCH($A43,Crop!$AB$142:$AG$142,0))</f>
        <v>123.65326808938013</v>
      </c>
      <c r="R43" s="2">
        <f>Crop!R43*(1+Profit_Margin)/INDEX(Crop!$AB$157:$AG$157,MATCH($A43,Crop!$AB$142:$AG$142,0))</f>
        <v>144.91082668832851</v>
      </c>
      <c r="S43" s="2">
        <f>Crop!S43*(1+Profit_Margin)/INDEX(Crop!$AB$157:$AG$157,MATCH($A43,Crop!$AB$142:$AG$142,0))</f>
        <v>123.65326808938013</v>
      </c>
      <c r="T43" s="2">
        <f>Crop!T43*(1+Profit_Margin)/INDEX(Crop!$AB$157:$AG$157,MATCH($A43,Crop!$AB$142:$AG$142,0))</f>
        <v>144.91082668832851</v>
      </c>
      <c r="U43" s="2">
        <f>Crop!U43*(1+Profit_Margin)/INDEX(Crop!$AB$157:$AG$157,MATCH($A43,Crop!$AB$142:$AG$142,0))</f>
        <v>123.65326808938013</v>
      </c>
      <c r="V43" s="2">
        <f>Crop!V43*(1+Profit_Margin)/INDEX(Crop!$AB$157:$AG$157,MATCH($A43,Crop!$AB$142:$AG$142,0))</f>
        <v>144.91082668832851</v>
      </c>
      <c r="W43" s="2">
        <f>Crop!W43*(1+Profit_Margin)/INDEX(Crop!$AB$157:$AG$157,MATCH($A43,Crop!$AB$142:$AG$142,0))</f>
        <v>123.65326808938013</v>
      </c>
      <c r="X43" s="2">
        <f>Crop!X43*(1+Profit_Margin)/INDEX(Crop!$AB$157:$AG$157,MATCH($A43,Crop!$AB$142:$AG$142,0))</f>
        <v>144.91082668832851</v>
      </c>
      <c r="Y43" s="2">
        <f>Crop!Y43*(1+Profit_Margin)/INDEX(Crop!$AB$157:$AG$157,MATCH($A43,Crop!$AB$142:$AG$142,0))</f>
        <v>123.65326808938013</v>
      </c>
      <c r="Z43" s="2">
        <f>Crop!Z43*(1+Profit_Margin)/INDEX(Crop!$AB$157:$AG$157,MATCH($A43,Crop!$AB$142:$AG$142,0))</f>
        <v>144.91082668832851</v>
      </c>
      <c r="AA43" s="2">
        <f>Crop!AA43*(1+Profit_Margin)/INDEX(Crop!$AB$157:$AG$157,MATCH($A43,Crop!$AB$142:$AG$142,0))</f>
        <v>123.65326808938013</v>
      </c>
      <c r="AB43" s="2">
        <f>Crop!AB43*(1+Profit_Margin)/INDEX(Crop!$AB$157:$AG$157,MATCH($A43,Crop!$AB$142:$AG$142,0))</f>
        <v>144.91082668832851</v>
      </c>
      <c r="AC43" s="2">
        <f>Crop!AC43*(1+Profit_Margin)/INDEX(Crop!$AB$157:$AG$157,MATCH($A43,Crop!$AB$142:$AG$142,0))</f>
        <v>123.65326808938013</v>
      </c>
      <c r="AD43" s="2">
        <f>Crop!AD43*(1+Profit_Margin)/INDEX(Crop!$AB$157:$AG$157,MATCH($A43,Crop!$AB$142:$AG$142,0))</f>
        <v>144.91082668832851</v>
      </c>
      <c r="AE43" s="2">
        <f>Crop!AE43*(1+Profit_Margin)/INDEX(Crop!$AB$157:$AG$157,MATCH($A43,Crop!$AB$142:$AG$142,0))</f>
        <v>123.65326808938013</v>
      </c>
      <c r="AF43" s="2">
        <f>Crop!AF43*(1+Profit_Margin)/INDEX(Crop!$AB$157:$AG$157,MATCH($A43,Crop!$AB$142:$AG$142,0))</f>
        <v>144.91082668832851</v>
      </c>
      <c r="AG43" s="2">
        <f>Crop!AG43*(1+Profit_Margin)/INDEX(Crop!$AB$157:$AG$157,MATCH($A43,Crop!$AB$142:$AG$142,0))</f>
        <v>123.65326808938013</v>
      </c>
      <c r="AH43" s="2">
        <f>Crop!AH43*(1+Profit_Margin)/INDEX(Crop!$AB$157:$AG$157,MATCH($A43,Crop!$AB$142:$AG$142,0))</f>
        <v>144.91082668832851</v>
      </c>
    </row>
    <row r="44" spans="1:34">
      <c r="A44" t="str">
        <f>CYF!A44</f>
        <v>Lentils</v>
      </c>
      <c r="B44" t="str">
        <f>CYF!B44</f>
        <v>Somali</v>
      </c>
      <c r="C44" s="2">
        <f>Crop!C44*(1+Profit_Margin)/INDEX(Crop!$AB$157:$AG$157,MATCH($A44,Crop!$AB$142:$AG$142,0))</f>
        <v>115.99648557747041</v>
      </c>
      <c r="D44" s="2">
        <f>Crop!D44*(1+Profit_Margin)/INDEX(Crop!$AB$157:$AG$157,MATCH($A44,Crop!$AB$142:$AG$142,0))</f>
        <v>147.15343846218121</v>
      </c>
      <c r="E44" s="2">
        <f>Crop!E44*(1+Profit_Margin)/INDEX(Crop!$AB$157:$AG$157,MATCH($A44,Crop!$AB$142:$AG$142,0))</f>
        <v>115.99648557747041</v>
      </c>
      <c r="F44" s="2">
        <f>Crop!F44*(1+Profit_Margin)/INDEX(Crop!$AB$157:$AG$157,MATCH($A44,Crop!$AB$142:$AG$142,0))</f>
        <v>147.15343846218121</v>
      </c>
      <c r="G44" s="2">
        <f>Crop!G44*(1+Profit_Margin)/INDEX(Crop!$AB$157:$AG$157,MATCH($A44,Crop!$AB$142:$AG$142,0))</f>
        <v>115.99648557747041</v>
      </c>
      <c r="H44" s="2">
        <f>Crop!H44*(1+Profit_Margin)/INDEX(Crop!$AB$157:$AG$157,MATCH($A44,Crop!$AB$142:$AG$142,0))</f>
        <v>147.15343846218121</v>
      </c>
      <c r="I44" s="2">
        <f>Crop!I44*(1+Profit_Margin)/INDEX(Crop!$AB$157:$AG$157,MATCH($A44,Crop!$AB$142:$AG$142,0))</f>
        <v>115.99648557747041</v>
      </c>
      <c r="J44" s="2">
        <f>Crop!J44*(1+Profit_Margin)/INDEX(Crop!$AB$157:$AG$157,MATCH($A44,Crop!$AB$142:$AG$142,0))</f>
        <v>147.15343846218121</v>
      </c>
      <c r="K44" s="2">
        <f>Crop!K44*(1+Profit_Margin)/INDEX(Crop!$AB$157:$AG$157,MATCH($A44,Crop!$AB$142:$AG$142,0))</f>
        <v>115.99648557747041</v>
      </c>
      <c r="L44" s="2">
        <f>Crop!L44*(1+Profit_Margin)/INDEX(Crop!$AB$157:$AG$157,MATCH($A44,Crop!$AB$142:$AG$142,0))</f>
        <v>147.15343846218121</v>
      </c>
      <c r="M44" s="2">
        <f>Crop!M44*(1+Profit_Margin)/INDEX(Crop!$AB$157:$AG$157,MATCH($A44,Crop!$AB$142:$AG$142,0))</f>
        <v>115.99648557747041</v>
      </c>
      <c r="N44" s="2">
        <f>Crop!N44*(1+Profit_Margin)/INDEX(Crop!$AB$157:$AG$157,MATCH($A44,Crop!$AB$142:$AG$142,0))</f>
        <v>147.15343846218121</v>
      </c>
      <c r="O44" s="2">
        <f>Crop!O44*(1+Profit_Margin)/INDEX(Crop!$AB$157:$AG$157,MATCH($A44,Crop!$AB$142:$AG$142,0))</f>
        <v>115.99648557747041</v>
      </c>
      <c r="P44" s="2">
        <f>Crop!P44*(1+Profit_Margin)/INDEX(Crop!$AB$157:$AG$157,MATCH($A44,Crop!$AB$142:$AG$142,0))</f>
        <v>147.15343846218121</v>
      </c>
      <c r="Q44" s="2">
        <f>Crop!Q44*(1+Profit_Margin)/INDEX(Crop!$AB$157:$AG$157,MATCH($A44,Crop!$AB$142:$AG$142,0))</f>
        <v>115.99648557747041</v>
      </c>
      <c r="R44" s="2">
        <f>Crop!R44*(1+Profit_Margin)/INDEX(Crop!$AB$157:$AG$157,MATCH($A44,Crop!$AB$142:$AG$142,0))</f>
        <v>147.15343846218121</v>
      </c>
      <c r="S44" s="2">
        <f>Crop!S44*(1+Profit_Margin)/INDEX(Crop!$AB$157:$AG$157,MATCH($A44,Crop!$AB$142:$AG$142,0))</f>
        <v>115.99648557747041</v>
      </c>
      <c r="T44" s="2">
        <f>Crop!T44*(1+Profit_Margin)/INDEX(Crop!$AB$157:$AG$157,MATCH($A44,Crop!$AB$142:$AG$142,0))</f>
        <v>147.15343846218121</v>
      </c>
      <c r="U44" s="2">
        <f>Crop!U44*(1+Profit_Margin)/INDEX(Crop!$AB$157:$AG$157,MATCH($A44,Crop!$AB$142:$AG$142,0))</f>
        <v>115.99648557747041</v>
      </c>
      <c r="V44" s="2">
        <f>Crop!V44*(1+Profit_Margin)/INDEX(Crop!$AB$157:$AG$157,MATCH($A44,Crop!$AB$142:$AG$142,0))</f>
        <v>147.15343846218121</v>
      </c>
      <c r="W44" s="2">
        <f>Crop!W44*(1+Profit_Margin)/INDEX(Crop!$AB$157:$AG$157,MATCH($A44,Crop!$AB$142:$AG$142,0))</f>
        <v>115.99648557747041</v>
      </c>
      <c r="X44" s="2">
        <f>Crop!X44*(1+Profit_Margin)/INDEX(Crop!$AB$157:$AG$157,MATCH($A44,Crop!$AB$142:$AG$142,0))</f>
        <v>147.15343846218121</v>
      </c>
      <c r="Y44" s="2">
        <f>Crop!Y44*(1+Profit_Margin)/INDEX(Crop!$AB$157:$AG$157,MATCH($A44,Crop!$AB$142:$AG$142,0))</f>
        <v>115.99648557747041</v>
      </c>
      <c r="Z44" s="2">
        <f>Crop!Z44*(1+Profit_Margin)/INDEX(Crop!$AB$157:$AG$157,MATCH($A44,Crop!$AB$142:$AG$142,0))</f>
        <v>147.15343846218121</v>
      </c>
      <c r="AA44" s="2">
        <f>Crop!AA44*(1+Profit_Margin)/INDEX(Crop!$AB$157:$AG$157,MATCH($A44,Crop!$AB$142:$AG$142,0))</f>
        <v>115.99648557747041</v>
      </c>
      <c r="AB44" s="2">
        <f>Crop!AB44*(1+Profit_Margin)/INDEX(Crop!$AB$157:$AG$157,MATCH($A44,Crop!$AB$142:$AG$142,0))</f>
        <v>147.15343846218121</v>
      </c>
      <c r="AC44" s="2">
        <f>Crop!AC44*(1+Profit_Margin)/INDEX(Crop!$AB$157:$AG$157,MATCH($A44,Crop!$AB$142:$AG$142,0))</f>
        <v>115.99648557747041</v>
      </c>
      <c r="AD44" s="2">
        <f>Crop!AD44*(1+Profit_Margin)/INDEX(Crop!$AB$157:$AG$157,MATCH($A44,Crop!$AB$142:$AG$142,0))</f>
        <v>147.15343846218121</v>
      </c>
      <c r="AE44" s="2">
        <f>Crop!AE44*(1+Profit_Margin)/INDEX(Crop!$AB$157:$AG$157,MATCH($A44,Crop!$AB$142:$AG$142,0))</f>
        <v>115.99648557747041</v>
      </c>
      <c r="AF44" s="2">
        <f>Crop!AF44*(1+Profit_Margin)/INDEX(Crop!$AB$157:$AG$157,MATCH($A44,Crop!$AB$142:$AG$142,0))</f>
        <v>147.15343846218121</v>
      </c>
      <c r="AG44" s="2">
        <f>Crop!AG44*(1+Profit_Margin)/INDEX(Crop!$AB$157:$AG$157,MATCH($A44,Crop!$AB$142:$AG$142,0))</f>
        <v>115.99648557747041</v>
      </c>
      <c r="AH44" s="2">
        <f>Crop!AH44*(1+Profit_Margin)/INDEX(Crop!$AB$157:$AG$157,MATCH($A44,Crop!$AB$142:$AG$142,0))</f>
        <v>147.15343846218121</v>
      </c>
    </row>
    <row r="45" spans="1:34">
      <c r="A45" t="str">
        <f>CYF!A45</f>
        <v>Lentils</v>
      </c>
      <c r="B45" t="str">
        <f>CYF!B45</f>
        <v>SNNPR</v>
      </c>
      <c r="C45" s="2">
        <f>Crop!C45*(1+Profit_Margin)/INDEX(Crop!$AB$157:$AG$157,MATCH($A45,Crop!$AB$142:$AG$142,0))</f>
        <v>129.4713156741779</v>
      </c>
      <c r="D45" s="2">
        <f>Crop!D45*(1+Profit_Margin)/INDEX(Crop!$AB$157:$AG$157,MATCH($A45,Crop!$AB$142:$AG$142,0))</f>
        <v>149.06688579597466</v>
      </c>
      <c r="E45" s="2">
        <f>Crop!E45*(1+Profit_Margin)/INDEX(Crop!$AB$157:$AG$157,MATCH($A45,Crop!$AB$142:$AG$142,0))</f>
        <v>129.4713156741779</v>
      </c>
      <c r="F45" s="2">
        <f>Crop!F45*(1+Profit_Margin)/INDEX(Crop!$AB$157:$AG$157,MATCH($A45,Crop!$AB$142:$AG$142,0))</f>
        <v>149.06688579597466</v>
      </c>
      <c r="G45" s="2">
        <f>Crop!G45*(1+Profit_Margin)/INDEX(Crop!$AB$157:$AG$157,MATCH($A45,Crop!$AB$142:$AG$142,0))</f>
        <v>129.4713156741779</v>
      </c>
      <c r="H45" s="2">
        <f>Crop!H45*(1+Profit_Margin)/INDEX(Crop!$AB$157:$AG$157,MATCH($A45,Crop!$AB$142:$AG$142,0))</f>
        <v>149.06688579597466</v>
      </c>
      <c r="I45" s="2">
        <f>Crop!I45*(1+Profit_Margin)/INDEX(Crop!$AB$157:$AG$157,MATCH($A45,Crop!$AB$142:$AG$142,0))</f>
        <v>129.4713156741779</v>
      </c>
      <c r="J45" s="2">
        <f>Crop!J45*(1+Profit_Margin)/INDEX(Crop!$AB$157:$AG$157,MATCH($A45,Crop!$AB$142:$AG$142,0))</f>
        <v>149.06688579597466</v>
      </c>
      <c r="K45" s="2">
        <f>Crop!K45*(1+Profit_Margin)/INDEX(Crop!$AB$157:$AG$157,MATCH($A45,Crop!$AB$142:$AG$142,0))</f>
        <v>129.4713156741779</v>
      </c>
      <c r="L45" s="2">
        <f>Crop!L45*(1+Profit_Margin)/INDEX(Crop!$AB$157:$AG$157,MATCH($A45,Crop!$AB$142:$AG$142,0))</f>
        <v>149.06688579597466</v>
      </c>
      <c r="M45" s="2">
        <f>Crop!M45*(1+Profit_Margin)/INDEX(Crop!$AB$157:$AG$157,MATCH($A45,Crop!$AB$142:$AG$142,0))</f>
        <v>129.4713156741779</v>
      </c>
      <c r="N45" s="2">
        <f>Crop!N45*(1+Profit_Margin)/INDEX(Crop!$AB$157:$AG$157,MATCH($A45,Crop!$AB$142:$AG$142,0))</f>
        <v>149.06688579597466</v>
      </c>
      <c r="O45" s="2">
        <f>Crop!O45*(1+Profit_Margin)/INDEX(Crop!$AB$157:$AG$157,MATCH($A45,Crop!$AB$142:$AG$142,0))</f>
        <v>129.4713156741779</v>
      </c>
      <c r="P45" s="2">
        <f>Crop!P45*(1+Profit_Margin)/INDEX(Crop!$AB$157:$AG$157,MATCH($A45,Crop!$AB$142:$AG$142,0))</f>
        <v>149.06688579597466</v>
      </c>
      <c r="Q45" s="2">
        <f>Crop!Q45*(1+Profit_Margin)/INDEX(Crop!$AB$157:$AG$157,MATCH($A45,Crop!$AB$142:$AG$142,0))</f>
        <v>129.4713156741779</v>
      </c>
      <c r="R45" s="2">
        <f>Crop!R45*(1+Profit_Margin)/INDEX(Crop!$AB$157:$AG$157,MATCH($A45,Crop!$AB$142:$AG$142,0))</f>
        <v>149.06688579597466</v>
      </c>
      <c r="S45" s="2">
        <f>Crop!S45*(1+Profit_Margin)/INDEX(Crop!$AB$157:$AG$157,MATCH($A45,Crop!$AB$142:$AG$142,0))</f>
        <v>129.4713156741779</v>
      </c>
      <c r="T45" s="2">
        <f>Crop!T45*(1+Profit_Margin)/INDEX(Crop!$AB$157:$AG$157,MATCH($A45,Crop!$AB$142:$AG$142,0))</f>
        <v>149.06688579597466</v>
      </c>
      <c r="U45" s="2">
        <f>Crop!U45*(1+Profit_Margin)/INDEX(Crop!$AB$157:$AG$157,MATCH($A45,Crop!$AB$142:$AG$142,0))</f>
        <v>129.4713156741779</v>
      </c>
      <c r="V45" s="2">
        <f>Crop!V45*(1+Profit_Margin)/INDEX(Crop!$AB$157:$AG$157,MATCH($A45,Crop!$AB$142:$AG$142,0))</f>
        <v>149.06688579597466</v>
      </c>
      <c r="W45" s="2">
        <f>Crop!W45*(1+Profit_Margin)/INDEX(Crop!$AB$157:$AG$157,MATCH($A45,Crop!$AB$142:$AG$142,0))</f>
        <v>129.4713156741779</v>
      </c>
      <c r="X45" s="2">
        <f>Crop!X45*(1+Profit_Margin)/INDEX(Crop!$AB$157:$AG$157,MATCH($A45,Crop!$AB$142:$AG$142,0))</f>
        <v>149.06688579597466</v>
      </c>
      <c r="Y45" s="2">
        <f>Crop!Y45*(1+Profit_Margin)/INDEX(Crop!$AB$157:$AG$157,MATCH($A45,Crop!$AB$142:$AG$142,0))</f>
        <v>129.4713156741779</v>
      </c>
      <c r="Z45" s="2">
        <f>Crop!Z45*(1+Profit_Margin)/INDEX(Crop!$AB$157:$AG$157,MATCH($A45,Crop!$AB$142:$AG$142,0))</f>
        <v>149.06688579597466</v>
      </c>
      <c r="AA45" s="2">
        <f>Crop!AA45*(1+Profit_Margin)/INDEX(Crop!$AB$157:$AG$157,MATCH($A45,Crop!$AB$142:$AG$142,0))</f>
        <v>129.4713156741779</v>
      </c>
      <c r="AB45" s="2">
        <f>Crop!AB45*(1+Profit_Margin)/INDEX(Crop!$AB$157:$AG$157,MATCH($A45,Crop!$AB$142:$AG$142,0))</f>
        <v>149.06688579597466</v>
      </c>
      <c r="AC45" s="2">
        <f>Crop!AC45*(1+Profit_Margin)/INDEX(Crop!$AB$157:$AG$157,MATCH($A45,Crop!$AB$142:$AG$142,0))</f>
        <v>129.4713156741779</v>
      </c>
      <c r="AD45" s="2">
        <f>Crop!AD45*(1+Profit_Margin)/INDEX(Crop!$AB$157:$AG$157,MATCH($A45,Crop!$AB$142:$AG$142,0))</f>
        <v>149.06688579597466</v>
      </c>
      <c r="AE45" s="2">
        <f>Crop!AE45*(1+Profit_Margin)/INDEX(Crop!$AB$157:$AG$157,MATCH($A45,Crop!$AB$142:$AG$142,0))</f>
        <v>129.4713156741779</v>
      </c>
      <c r="AF45" s="2">
        <f>Crop!AF45*(1+Profit_Margin)/INDEX(Crop!$AB$157:$AG$157,MATCH($A45,Crop!$AB$142:$AG$142,0))</f>
        <v>149.06688579597466</v>
      </c>
      <c r="AG45" s="2">
        <f>Crop!AG45*(1+Profit_Margin)/INDEX(Crop!$AB$157:$AG$157,MATCH($A45,Crop!$AB$142:$AG$142,0))</f>
        <v>129.4713156741779</v>
      </c>
      <c r="AH45" s="2">
        <f>Crop!AH45*(1+Profit_Margin)/INDEX(Crop!$AB$157:$AG$157,MATCH($A45,Crop!$AB$142:$AG$142,0))</f>
        <v>149.06688579597466</v>
      </c>
    </row>
    <row r="46" spans="1:34">
      <c r="A46" t="str">
        <f>CYF!A46</f>
        <v>Lentils</v>
      </c>
      <c r="B46" t="str">
        <f>CYF!B46</f>
        <v>Tigray</v>
      </c>
      <c r="C46" s="2">
        <f>Crop!C46*(1+Profit_Margin)/INDEX(Crop!$AB$157:$AG$157,MATCH($A46,Crop!$AB$142:$AG$142,0))</f>
        <v>134.49924664329052</v>
      </c>
      <c r="D46" s="2">
        <f>Crop!D46*(1+Profit_Margin)/INDEX(Crop!$AB$157:$AG$157,MATCH($A46,Crop!$AB$142:$AG$142,0))</f>
        <v>135.38877852448715</v>
      </c>
      <c r="E46" s="2">
        <f>Crop!E46*(1+Profit_Margin)/INDEX(Crop!$AB$157:$AG$157,MATCH($A46,Crop!$AB$142:$AG$142,0))</f>
        <v>134.49924664329052</v>
      </c>
      <c r="F46" s="2">
        <f>Crop!F46*(1+Profit_Margin)/INDEX(Crop!$AB$157:$AG$157,MATCH($A46,Crop!$AB$142:$AG$142,0))</f>
        <v>135.38877852448715</v>
      </c>
      <c r="G46" s="2">
        <f>Crop!G46*(1+Profit_Margin)/INDEX(Crop!$AB$157:$AG$157,MATCH($A46,Crop!$AB$142:$AG$142,0))</f>
        <v>134.49924664329052</v>
      </c>
      <c r="H46" s="2">
        <f>Crop!H46*(1+Profit_Margin)/INDEX(Crop!$AB$157:$AG$157,MATCH($A46,Crop!$AB$142:$AG$142,0))</f>
        <v>135.38877852448715</v>
      </c>
      <c r="I46" s="2">
        <f>Crop!I46*(1+Profit_Margin)/INDEX(Crop!$AB$157:$AG$157,MATCH($A46,Crop!$AB$142:$AG$142,0))</f>
        <v>134.49924664329052</v>
      </c>
      <c r="J46" s="2">
        <f>Crop!J46*(1+Profit_Margin)/INDEX(Crop!$AB$157:$AG$157,MATCH($A46,Crop!$AB$142:$AG$142,0))</f>
        <v>135.38877852448715</v>
      </c>
      <c r="K46" s="2">
        <f>Crop!K46*(1+Profit_Margin)/INDEX(Crop!$AB$157:$AG$157,MATCH($A46,Crop!$AB$142:$AG$142,0))</f>
        <v>134.49924664329052</v>
      </c>
      <c r="L46" s="2">
        <f>Crop!L46*(1+Profit_Margin)/INDEX(Crop!$AB$157:$AG$157,MATCH($A46,Crop!$AB$142:$AG$142,0))</f>
        <v>135.38877852448715</v>
      </c>
      <c r="M46" s="2">
        <f>Crop!M46*(1+Profit_Margin)/INDEX(Crop!$AB$157:$AG$157,MATCH($A46,Crop!$AB$142:$AG$142,0))</f>
        <v>134.49924664329052</v>
      </c>
      <c r="N46" s="2">
        <f>Crop!N46*(1+Profit_Margin)/INDEX(Crop!$AB$157:$AG$157,MATCH($A46,Crop!$AB$142:$AG$142,0))</f>
        <v>135.38877852448715</v>
      </c>
      <c r="O46" s="2">
        <f>Crop!O46*(1+Profit_Margin)/INDEX(Crop!$AB$157:$AG$157,MATCH($A46,Crop!$AB$142:$AG$142,0))</f>
        <v>134.49924664329052</v>
      </c>
      <c r="P46" s="2">
        <f>Crop!P46*(1+Profit_Margin)/INDEX(Crop!$AB$157:$AG$157,MATCH($A46,Crop!$AB$142:$AG$142,0))</f>
        <v>135.38877852448715</v>
      </c>
      <c r="Q46" s="2">
        <f>Crop!Q46*(1+Profit_Margin)/INDEX(Crop!$AB$157:$AG$157,MATCH($A46,Crop!$AB$142:$AG$142,0))</f>
        <v>134.49924664329052</v>
      </c>
      <c r="R46" s="2">
        <f>Crop!R46*(1+Profit_Margin)/INDEX(Crop!$AB$157:$AG$157,MATCH($A46,Crop!$AB$142:$AG$142,0))</f>
        <v>135.38877852448715</v>
      </c>
      <c r="S46" s="2">
        <f>Crop!S46*(1+Profit_Margin)/INDEX(Crop!$AB$157:$AG$157,MATCH($A46,Crop!$AB$142:$AG$142,0))</f>
        <v>134.49924664329052</v>
      </c>
      <c r="T46" s="2">
        <f>Crop!T46*(1+Profit_Margin)/INDEX(Crop!$AB$157:$AG$157,MATCH($A46,Crop!$AB$142:$AG$142,0))</f>
        <v>135.38877852448715</v>
      </c>
      <c r="U46" s="2">
        <f>Crop!U46*(1+Profit_Margin)/INDEX(Crop!$AB$157:$AG$157,MATCH($A46,Crop!$AB$142:$AG$142,0))</f>
        <v>134.49924664329052</v>
      </c>
      <c r="V46" s="2">
        <f>Crop!V46*(1+Profit_Margin)/INDEX(Crop!$AB$157:$AG$157,MATCH($A46,Crop!$AB$142:$AG$142,0))</f>
        <v>135.38877852448715</v>
      </c>
      <c r="W46" s="2">
        <f>Crop!W46*(1+Profit_Margin)/INDEX(Crop!$AB$157:$AG$157,MATCH($A46,Crop!$AB$142:$AG$142,0))</f>
        <v>134.49924664329052</v>
      </c>
      <c r="X46" s="2">
        <f>Crop!X46*(1+Profit_Margin)/INDEX(Crop!$AB$157:$AG$157,MATCH($A46,Crop!$AB$142:$AG$142,0))</f>
        <v>135.38877852448715</v>
      </c>
      <c r="Y46" s="2">
        <f>Crop!Y46*(1+Profit_Margin)/INDEX(Crop!$AB$157:$AG$157,MATCH($A46,Crop!$AB$142:$AG$142,0))</f>
        <v>134.49924664329052</v>
      </c>
      <c r="Z46" s="2">
        <f>Crop!Z46*(1+Profit_Margin)/INDEX(Crop!$AB$157:$AG$157,MATCH($A46,Crop!$AB$142:$AG$142,0))</f>
        <v>135.38877852448715</v>
      </c>
      <c r="AA46" s="2">
        <f>Crop!AA46*(1+Profit_Margin)/INDEX(Crop!$AB$157:$AG$157,MATCH($A46,Crop!$AB$142:$AG$142,0))</f>
        <v>134.49924664329052</v>
      </c>
      <c r="AB46" s="2">
        <f>Crop!AB46*(1+Profit_Margin)/INDEX(Crop!$AB$157:$AG$157,MATCH($A46,Crop!$AB$142:$AG$142,0))</f>
        <v>135.38877852448715</v>
      </c>
      <c r="AC46" s="2">
        <f>Crop!AC46*(1+Profit_Margin)/INDEX(Crop!$AB$157:$AG$157,MATCH($A46,Crop!$AB$142:$AG$142,0))</f>
        <v>134.49924664329052</v>
      </c>
      <c r="AD46" s="2">
        <f>Crop!AD46*(1+Profit_Margin)/INDEX(Crop!$AB$157:$AG$157,MATCH($A46,Crop!$AB$142:$AG$142,0))</f>
        <v>135.38877852448715</v>
      </c>
      <c r="AE46" s="2">
        <f>Crop!AE46*(1+Profit_Margin)/INDEX(Crop!$AB$157:$AG$157,MATCH($A46,Crop!$AB$142:$AG$142,0))</f>
        <v>134.49924664329052</v>
      </c>
      <c r="AF46" s="2">
        <f>Crop!AF46*(1+Profit_Margin)/INDEX(Crop!$AB$157:$AG$157,MATCH($A46,Crop!$AB$142:$AG$142,0))</f>
        <v>135.38877852448715</v>
      </c>
      <c r="AG46" s="2">
        <f>Crop!AG46*(1+Profit_Margin)/INDEX(Crop!$AB$157:$AG$157,MATCH($A46,Crop!$AB$142:$AG$142,0))</f>
        <v>134.49924664329052</v>
      </c>
      <c r="AH46" s="2">
        <f>Crop!AH46*(1+Profit_Margin)/INDEX(Crop!$AB$157:$AG$157,MATCH($A46,Crop!$AB$142:$AG$142,0))</f>
        <v>135.38877852448715</v>
      </c>
    </row>
    <row r="47" spans="1:34">
      <c r="A47" t="str">
        <f>CYF!A47</f>
        <v>Vegetables</v>
      </c>
      <c r="B47" t="str">
        <f>CYF!B47</f>
        <v>AddisAbaba</v>
      </c>
      <c r="C47" s="2">
        <f>Crop!C47*(1+Profit_Margin)/INDEX(Crop!$AB$157:$AG$157,MATCH($A47,Crop!$AB$142:$AG$142,0))</f>
        <v>19.272969173181423</v>
      </c>
      <c r="D47" s="2">
        <f>Crop!D47*(1+Profit_Margin)/INDEX(Crop!$AB$157:$AG$157,MATCH($A47,Crop!$AB$142:$AG$142,0))</f>
        <v>22.273117209868655</v>
      </c>
      <c r="E47" s="2">
        <f>Crop!E47*(1+Profit_Margin)/INDEX(Crop!$AB$157:$AG$157,MATCH($A47,Crop!$AB$142:$AG$142,0))</f>
        <v>19.272969173181423</v>
      </c>
      <c r="F47" s="2">
        <f>Crop!F47*(1+Profit_Margin)/INDEX(Crop!$AB$157:$AG$157,MATCH($A47,Crop!$AB$142:$AG$142,0))</f>
        <v>22.273117209868655</v>
      </c>
      <c r="G47" s="2">
        <f>Crop!G47*(1+Profit_Margin)/INDEX(Crop!$AB$157:$AG$157,MATCH($A47,Crop!$AB$142:$AG$142,0))</f>
        <v>19.272969173181423</v>
      </c>
      <c r="H47" s="2">
        <f>Crop!H47*(1+Profit_Margin)/INDEX(Crop!$AB$157:$AG$157,MATCH($A47,Crop!$AB$142:$AG$142,0))</f>
        <v>22.273117209868655</v>
      </c>
      <c r="I47" s="2">
        <f>Crop!I47*(1+Profit_Margin)/INDEX(Crop!$AB$157:$AG$157,MATCH($A47,Crop!$AB$142:$AG$142,0))</f>
        <v>19.272969173181423</v>
      </c>
      <c r="J47" s="2">
        <f>Crop!J47*(1+Profit_Margin)/INDEX(Crop!$AB$157:$AG$157,MATCH($A47,Crop!$AB$142:$AG$142,0))</f>
        <v>22.273117209868655</v>
      </c>
      <c r="K47" s="2">
        <f>Crop!K47*(1+Profit_Margin)/INDEX(Crop!$AB$157:$AG$157,MATCH($A47,Crop!$AB$142:$AG$142,0))</f>
        <v>19.272969173181423</v>
      </c>
      <c r="L47" s="2">
        <f>Crop!L47*(1+Profit_Margin)/INDEX(Crop!$AB$157:$AG$157,MATCH($A47,Crop!$AB$142:$AG$142,0))</f>
        <v>22.273117209868655</v>
      </c>
      <c r="M47" s="2">
        <f>Crop!M47*(1+Profit_Margin)/INDEX(Crop!$AB$157:$AG$157,MATCH($A47,Crop!$AB$142:$AG$142,0))</f>
        <v>19.272969173181423</v>
      </c>
      <c r="N47" s="2">
        <f>Crop!N47*(1+Profit_Margin)/INDEX(Crop!$AB$157:$AG$157,MATCH($A47,Crop!$AB$142:$AG$142,0))</f>
        <v>22.273117209868655</v>
      </c>
      <c r="O47" s="2">
        <f>Crop!O47*(1+Profit_Margin)/INDEX(Crop!$AB$157:$AG$157,MATCH($A47,Crop!$AB$142:$AG$142,0))</f>
        <v>19.272969173181423</v>
      </c>
      <c r="P47" s="2">
        <f>Crop!P47*(1+Profit_Margin)/INDEX(Crop!$AB$157:$AG$157,MATCH($A47,Crop!$AB$142:$AG$142,0))</f>
        <v>22.273117209868655</v>
      </c>
      <c r="Q47" s="2">
        <f>Crop!Q47*(1+Profit_Margin)/INDEX(Crop!$AB$157:$AG$157,MATCH($A47,Crop!$AB$142:$AG$142,0))</f>
        <v>19.272969173181423</v>
      </c>
      <c r="R47" s="2">
        <f>Crop!R47*(1+Profit_Margin)/INDEX(Crop!$AB$157:$AG$157,MATCH($A47,Crop!$AB$142:$AG$142,0))</f>
        <v>22.273117209868655</v>
      </c>
      <c r="S47" s="2">
        <f>Crop!S47*(1+Profit_Margin)/INDEX(Crop!$AB$157:$AG$157,MATCH($A47,Crop!$AB$142:$AG$142,0))</f>
        <v>19.272969173181423</v>
      </c>
      <c r="T47" s="2">
        <f>Crop!T47*(1+Profit_Margin)/INDEX(Crop!$AB$157:$AG$157,MATCH($A47,Crop!$AB$142:$AG$142,0))</f>
        <v>22.273117209868655</v>
      </c>
      <c r="U47" s="2">
        <f>Crop!U47*(1+Profit_Margin)/INDEX(Crop!$AB$157:$AG$157,MATCH($A47,Crop!$AB$142:$AG$142,0))</f>
        <v>19.272969173181423</v>
      </c>
      <c r="V47" s="2">
        <f>Crop!V47*(1+Profit_Margin)/INDEX(Crop!$AB$157:$AG$157,MATCH($A47,Crop!$AB$142:$AG$142,0))</f>
        <v>22.273117209868655</v>
      </c>
      <c r="W47" s="2">
        <f>Crop!W47*(1+Profit_Margin)/INDEX(Crop!$AB$157:$AG$157,MATCH($A47,Crop!$AB$142:$AG$142,0))</f>
        <v>19.272969173181423</v>
      </c>
      <c r="X47" s="2">
        <f>Crop!X47*(1+Profit_Margin)/INDEX(Crop!$AB$157:$AG$157,MATCH($A47,Crop!$AB$142:$AG$142,0))</f>
        <v>22.273117209868655</v>
      </c>
      <c r="Y47" s="2">
        <f>Crop!Y47*(1+Profit_Margin)/INDEX(Crop!$AB$157:$AG$157,MATCH($A47,Crop!$AB$142:$AG$142,0))</f>
        <v>19.272969173181423</v>
      </c>
      <c r="Z47" s="2">
        <f>Crop!Z47*(1+Profit_Margin)/INDEX(Crop!$AB$157:$AG$157,MATCH($A47,Crop!$AB$142:$AG$142,0))</f>
        <v>22.273117209868655</v>
      </c>
      <c r="AA47" s="2">
        <f>Crop!AA47*(1+Profit_Margin)/INDEX(Crop!$AB$157:$AG$157,MATCH($A47,Crop!$AB$142:$AG$142,0))</f>
        <v>19.272969173181423</v>
      </c>
      <c r="AB47" s="2">
        <f>Crop!AB47*(1+Profit_Margin)/INDEX(Crop!$AB$157:$AG$157,MATCH($A47,Crop!$AB$142:$AG$142,0))</f>
        <v>22.273117209868655</v>
      </c>
      <c r="AC47" s="2">
        <f>Crop!AC47*(1+Profit_Margin)/INDEX(Crop!$AB$157:$AG$157,MATCH($A47,Crop!$AB$142:$AG$142,0))</f>
        <v>19.272969173181423</v>
      </c>
      <c r="AD47" s="2">
        <f>Crop!AD47*(1+Profit_Margin)/INDEX(Crop!$AB$157:$AG$157,MATCH($A47,Crop!$AB$142:$AG$142,0))</f>
        <v>22.273117209868655</v>
      </c>
      <c r="AE47" s="2">
        <f>Crop!AE47*(1+Profit_Margin)/INDEX(Crop!$AB$157:$AG$157,MATCH($A47,Crop!$AB$142:$AG$142,0))</f>
        <v>19.272969173181423</v>
      </c>
      <c r="AF47" s="2">
        <f>Crop!AF47*(1+Profit_Margin)/INDEX(Crop!$AB$157:$AG$157,MATCH($A47,Crop!$AB$142:$AG$142,0))</f>
        <v>22.273117209868655</v>
      </c>
      <c r="AG47" s="2">
        <f>Crop!AG47*(1+Profit_Margin)/INDEX(Crop!$AB$157:$AG$157,MATCH($A47,Crop!$AB$142:$AG$142,0))</f>
        <v>19.272969173181423</v>
      </c>
      <c r="AH47" s="2">
        <f>Crop!AH47*(1+Profit_Margin)/INDEX(Crop!$AB$157:$AG$157,MATCH($A47,Crop!$AB$142:$AG$142,0))</f>
        <v>22.273117209868655</v>
      </c>
    </row>
    <row r="48" spans="1:34">
      <c r="A48" t="str">
        <f>CYF!A48</f>
        <v>Vegetables</v>
      </c>
      <c r="B48" t="str">
        <f>CYF!B48</f>
        <v>Afar</v>
      </c>
      <c r="C48" s="2">
        <f>Crop!C48*(1+Profit_Margin)/INDEX(Crop!$AB$157:$AG$157,MATCH($A48,Crop!$AB$142:$AG$142,0))</f>
        <v>20.487908487252362</v>
      </c>
      <c r="D48" s="2">
        <f>Crop!D48*(1+Profit_Margin)/INDEX(Crop!$AB$157:$AG$157,MATCH($A48,Crop!$AB$142:$AG$142,0))</f>
        <v>20.640693337268441</v>
      </c>
      <c r="E48" s="2">
        <f>Crop!E48*(1+Profit_Margin)/INDEX(Crop!$AB$157:$AG$157,MATCH($A48,Crop!$AB$142:$AG$142,0))</f>
        <v>20.487908487252362</v>
      </c>
      <c r="F48" s="2">
        <f>Crop!F48*(1+Profit_Margin)/INDEX(Crop!$AB$157:$AG$157,MATCH($A48,Crop!$AB$142:$AG$142,0))</f>
        <v>20.640693337268441</v>
      </c>
      <c r="G48" s="2">
        <f>Crop!G48*(1+Profit_Margin)/INDEX(Crop!$AB$157:$AG$157,MATCH($A48,Crop!$AB$142:$AG$142,0))</f>
        <v>20.487908487252362</v>
      </c>
      <c r="H48" s="2">
        <f>Crop!H48*(1+Profit_Margin)/INDEX(Crop!$AB$157:$AG$157,MATCH($A48,Crop!$AB$142:$AG$142,0))</f>
        <v>20.640693337268441</v>
      </c>
      <c r="I48" s="2">
        <f>Crop!I48*(1+Profit_Margin)/INDEX(Crop!$AB$157:$AG$157,MATCH($A48,Crop!$AB$142:$AG$142,0))</f>
        <v>20.487908487252362</v>
      </c>
      <c r="J48" s="2">
        <f>Crop!J48*(1+Profit_Margin)/INDEX(Crop!$AB$157:$AG$157,MATCH($A48,Crop!$AB$142:$AG$142,0))</f>
        <v>20.640693337268441</v>
      </c>
      <c r="K48" s="2">
        <f>Crop!K48*(1+Profit_Margin)/INDEX(Crop!$AB$157:$AG$157,MATCH($A48,Crop!$AB$142:$AG$142,0))</f>
        <v>20.487908487252362</v>
      </c>
      <c r="L48" s="2">
        <f>Crop!L48*(1+Profit_Margin)/INDEX(Crop!$AB$157:$AG$157,MATCH($A48,Crop!$AB$142:$AG$142,0))</f>
        <v>20.640693337268441</v>
      </c>
      <c r="M48" s="2">
        <f>Crop!M48*(1+Profit_Margin)/INDEX(Crop!$AB$157:$AG$157,MATCH($A48,Crop!$AB$142:$AG$142,0))</f>
        <v>20.487908487252362</v>
      </c>
      <c r="N48" s="2">
        <f>Crop!N48*(1+Profit_Margin)/INDEX(Crop!$AB$157:$AG$157,MATCH($A48,Crop!$AB$142:$AG$142,0))</f>
        <v>20.640693337268441</v>
      </c>
      <c r="O48" s="2">
        <f>Crop!O48*(1+Profit_Margin)/INDEX(Crop!$AB$157:$AG$157,MATCH($A48,Crop!$AB$142:$AG$142,0))</f>
        <v>20.487908487252362</v>
      </c>
      <c r="P48" s="2">
        <f>Crop!P48*(1+Profit_Margin)/INDEX(Crop!$AB$157:$AG$157,MATCH($A48,Crop!$AB$142:$AG$142,0))</f>
        <v>20.640693337268441</v>
      </c>
      <c r="Q48" s="2">
        <f>Crop!Q48*(1+Profit_Margin)/INDEX(Crop!$AB$157:$AG$157,MATCH($A48,Crop!$AB$142:$AG$142,0))</f>
        <v>20.487908487252362</v>
      </c>
      <c r="R48" s="2">
        <f>Crop!R48*(1+Profit_Margin)/INDEX(Crop!$AB$157:$AG$157,MATCH($A48,Crop!$AB$142:$AG$142,0))</f>
        <v>20.640693337268441</v>
      </c>
      <c r="S48" s="2">
        <f>Crop!S48*(1+Profit_Margin)/INDEX(Crop!$AB$157:$AG$157,MATCH($A48,Crop!$AB$142:$AG$142,0))</f>
        <v>20.487908487252362</v>
      </c>
      <c r="T48" s="2">
        <f>Crop!T48*(1+Profit_Margin)/INDEX(Crop!$AB$157:$AG$157,MATCH($A48,Crop!$AB$142:$AG$142,0))</f>
        <v>20.640693337268441</v>
      </c>
      <c r="U48" s="2">
        <f>Crop!U48*(1+Profit_Margin)/INDEX(Crop!$AB$157:$AG$157,MATCH($A48,Crop!$AB$142:$AG$142,0))</f>
        <v>20.487908487252362</v>
      </c>
      <c r="V48" s="2">
        <f>Crop!V48*(1+Profit_Margin)/INDEX(Crop!$AB$157:$AG$157,MATCH($A48,Crop!$AB$142:$AG$142,0))</f>
        <v>20.640693337268441</v>
      </c>
      <c r="W48" s="2">
        <f>Crop!W48*(1+Profit_Margin)/INDEX(Crop!$AB$157:$AG$157,MATCH($A48,Crop!$AB$142:$AG$142,0))</f>
        <v>20.487908487252362</v>
      </c>
      <c r="X48" s="2">
        <f>Crop!X48*(1+Profit_Margin)/INDEX(Crop!$AB$157:$AG$157,MATCH($A48,Crop!$AB$142:$AG$142,0))</f>
        <v>20.640693337268441</v>
      </c>
      <c r="Y48" s="2">
        <f>Crop!Y48*(1+Profit_Margin)/INDEX(Crop!$AB$157:$AG$157,MATCH($A48,Crop!$AB$142:$AG$142,0))</f>
        <v>20.487908487252362</v>
      </c>
      <c r="Z48" s="2">
        <f>Crop!Z48*(1+Profit_Margin)/INDEX(Crop!$AB$157:$AG$157,MATCH($A48,Crop!$AB$142:$AG$142,0))</f>
        <v>20.640693337268441</v>
      </c>
      <c r="AA48" s="2">
        <f>Crop!AA48*(1+Profit_Margin)/INDEX(Crop!$AB$157:$AG$157,MATCH($A48,Crop!$AB$142:$AG$142,0))</f>
        <v>20.487908487252362</v>
      </c>
      <c r="AB48" s="2">
        <f>Crop!AB48*(1+Profit_Margin)/INDEX(Crop!$AB$157:$AG$157,MATCH($A48,Crop!$AB$142:$AG$142,0))</f>
        <v>20.640693337268441</v>
      </c>
      <c r="AC48" s="2">
        <f>Crop!AC48*(1+Profit_Margin)/INDEX(Crop!$AB$157:$AG$157,MATCH($A48,Crop!$AB$142:$AG$142,0))</f>
        <v>20.487908487252362</v>
      </c>
      <c r="AD48" s="2">
        <f>Crop!AD48*(1+Profit_Margin)/INDEX(Crop!$AB$157:$AG$157,MATCH($A48,Crop!$AB$142:$AG$142,0))</f>
        <v>20.640693337268441</v>
      </c>
      <c r="AE48" s="2">
        <f>Crop!AE48*(1+Profit_Margin)/INDEX(Crop!$AB$157:$AG$157,MATCH($A48,Crop!$AB$142:$AG$142,0))</f>
        <v>20.487908487252362</v>
      </c>
      <c r="AF48" s="2">
        <f>Crop!AF48*(1+Profit_Margin)/INDEX(Crop!$AB$157:$AG$157,MATCH($A48,Crop!$AB$142:$AG$142,0))</f>
        <v>20.640693337268441</v>
      </c>
      <c r="AG48" s="2">
        <f>Crop!AG48*(1+Profit_Margin)/INDEX(Crop!$AB$157:$AG$157,MATCH($A48,Crop!$AB$142:$AG$142,0))</f>
        <v>20.487908487252362</v>
      </c>
      <c r="AH48" s="2">
        <f>Crop!AH48*(1+Profit_Margin)/INDEX(Crop!$AB$157:$AG$157,MATCH($A48,Crop!$AB$142:$AG$142,0))</f>
        <v>20.640693337268441</v>
      </c>
    </row>
    <row r="49" spans="1:34">
      <c r="A49" t="str">
        <f>CYF!A49</f>
        <v>Vegetables</v>
      </c>
      <c r="B49" t="str">
        <f>CYF!B49</f>
        <v>Amhara</v>
      </c>
      <c r="C49" s="2">
        <f>Crop!C49*(1+Profit_Margin)/INDEX(Crop!$AB$157:$AG$157,MATCH($A49,Crop!$AB$142:$AG$142,0))</f>
        <v>17.368047885110368</v>
      </c>
      <c r="D49" s="2">
        <f>Crop!D49*(1+Profit_Margin)/INDEX(Crop!$AB$157:$AG$157,MATCH($A49,Crop!$AB$142:$AG$142,0))</f>
        <v>21.576598802009443</v>
      </c>
      <c r="E49" s="2">
        <f>Crop!E49*(1+Profit_Margin)/INDEX(Crop!$AB$157:$AG$157,MATCH($A49,Crop!$AB$142:$AG$142,0))</f>
        <v>17.368047885110368</v>
      </c>
      <c r="F49" s="2">
        <f>Crop!F49*(1+Profit_Margin)/INDEX(Crop!$AB$157:$AG$157,MATCH($A49,Crop!$AB$142:$AG$142,0))</f>
        <v>21.576598802009443</v>
      </c>
      <c r="G49" s="2">
        <f>Crop!G49*(1+Profit_Margin)/INDEX(Crop!$AB$157:$AG$157,MATCH($A49,Crop!$AB$142:$AG$142,0))</f>
        <v>17.368047885110368</v>
      </c>
      <c r="H49" s="2">
        <f>Crop!H49*(1+Profit_Margin)/INDEX(Crop!$AB$157:$AG$157,MATCH($A49,Crop!$AB$142:$AG$142,0))</f>
        <v>21.576598802009443</v>
      </c>
      <c r="I49" s="2">
        <f>Crop!I49*(1+Profit_Margin)/INDEX(Crop!$AB$157:$AG$157,MATCH($A49,Crop!$AB$142:$AG$142,0))</f>
        <v>17.368047885110368</v>
      </c>
      <c r="J49" s="2">
        <f>Crop!J49*(1+Profit_Margin)/INDEX(Crop!$AB$157:$AG$157,MATCH($A49,Crop!$AB$142:$AG$142,0))</f>
        <v>21.576598802009443</v>
      </c>
      <c r="K49" s="2">
        <f>Crop!K49*(1+Profit_Margin)/INDEX(Crop!$AB$157:$AG$157,MATCH($A49,Crop!$AB$142:$AG$142,0))</f>
        <v>17.368047885110368</v>
      </c>
      <c r="L49" s="2">
        <f>Crop!L49*(1+Profit_Margin)/INDEX(Crop!$AB$157:$AG$157,MATCH($A49,Crop!$AB$142:$AG$142,0))</f>
        <v>21.576598802009443</v>
      </c>
      <c r="M49" s="2">
        <f>Crop!M49*(1+Profit_Margin)/INDEX(Crop!$AB$157:$AG$157,MATCH($A49,Crop!$AB$142:$AG$142,0))</f>
        <v>17.368047885110368</v>
      </c>
      <c r="N49" s="2">
        <f>Crop!N49*(1+Profit_Margin)/INDEX(Crop!$AB$157:$AG$157,MATCH($A49,Crop!$AB$142:$AG$142,0))</f>
        <v>21.576598802009443</v>
      </c>
      <c r="O49" s="2">
        <f>Crop!O49*(1+Profit_Margin)/INDEX(Crop!$AB$157:$AG$157,MATCH($A49,Crop!$AB$142:$AG$142,0))</f>
        <v>17.368047885110368</v>
      </c>
      <c r="P49" s="2">
        <f>Crop!P49*(1+Profit_Margin)/INDEX(Crop!$AB$157:$AG$157,MATCH($A49,Crop!$AB$142:$AG$142,0))</f>
        <v>21.576598802009443</v>
      </c>
      <c r="Q49" s="2">
        <f>Crop!Q49*(1+Profit_Margin)/INDEX(Crop!$AB$157:$AG$157,MATCH($A49,Crop!$AB$142:$AG$142,0))</f>
        <v>17.368047885110368</v>
      </c>
      <c r="R49" s="2">
        <f>Crop!R49*(1+Profit_Margin)/INDEX(Crop!$AB$157:$AG$157,MATCH($A49,Crop!$AB$142:$AG$142,0))</f>
        <v>21.576598802009443</v>
      </c>
      <c r="S49" s="2">
        <f>Crop!S49*(1+Profit_Margin)/INDEX(Crop!$AB$157:$AG$157,MATCH($A49,Crop!$AB$142:$AG$142,0))</f>
        <v>17.368047885110368</v>
      </c>
      <c r="T49" s="2">
        <f>Crop!T49*(1+Profit_Margin)/INDEX(Crop!$AB$157:$AG$157,MATCH($A49,Crop!$AB$142:$AG$142,0))</f>
        <v>21.576598802009443</v>
      </c>
      <c r="U49" s="2">
        <f>Crop!U49*(1+Profit_Margin)/INDEX(Crop!$AB$157:$AG$157,MATCH($A49,Crop!$AB$142:$AG$142,0))</f>
        <v>17.368047885110368</v>
      </c>
      <c r="V49" s="2">
        <f>Crop!V49*(1+Profit_Margin)/INDEX(Crop!$AB$157:$AG$157,MATCH($A49,Crop!$AB$142:$AG$142,0))</f>
        <v>21.576598802009443</v>
      </c>
      <c r="W49" s="2">
        <f>Crop!W49*(1+Profit_Margin)/INDEX(Crop!$AB$157:$AG$157,MATCH($A49,Crop!$AB$142:$AG$142,0))</f>
        <v>17.368047885110368</v>
      </c>
      <c r="X49" s="2">
        <f>Crop!X49*(1+Profit_Margin)/INDEX(Crop!$AB$157:$AG$157,MATCH($A49,Crop!$AB$142:$AG$142,0))</f>
        <v>21.576598802009443</v>
      </c>
      <c r="Y49" s="2">
        <f>Crop!Y49*(1+Profit_Margin)/INDEX(Crop!$AB$157:$AG$157,MATCH($A49,Crop!$AB$142:$AG$142,0))</f>
        <v>17.368047885110368</v>
      </c>
      <c r="Z49" s="2">
        <f>Crop!Z49*(1+Profit_Margin)/INDEX(Crop!$AB$157:$AG$157,MATCH($A49,Crop!$AB$142:$AG$142,0))</f>
        <v>21.576598802009443</v>
      </c>
      <c r="AA49" s="2">
        <f>Crop!AA49*(1+Profit_Margin)/INDEX(Crop!$AB$157:$AG$157,MATCH($A49,Crop!$AB$142:$AG$142,0))</f>
        <v>17.368047885110368</v>
      </c>
      <c r="AB49" s="2">
        <f>Crop!AB49*(1+Profit_Margin)/INDEX(Crop!$AB$157:$AG$157,MATCH($A49,Crop!$AB$142:$AG$142,0))</f>
        <v>21.576598802009443</v>
      </c>
      <c r="AC49" s="2">
        <f>Crop!AC49*(1+Profit_Margin)/INDEX(Crop!$AB$157:$AG$157,MATCH($A49,Crop!$AB$142:$AG$142,0))</f>
        <v>17.368047885110368</v>
      </c>
      <c r="AD49" s="2">
        <f>Crop!AD49*(1+Profit_Margin)/INDEX(Crop!$AB$157:$AG$157,MATCH($A49,Crop!$AB$142:$AG$142,0))</f>
        <v>21.576598802009443</v>
      </c>
      <c r="AE49" s="2">
        <f>Crop!AE49*(1+Profit_Margin)/INDEX(Crop!$AB$157:$AG$157,MATCH($A49,Crop!$AB$142:$AG$142,0))</f>
        <v>17.368047885110368</v>
      </c>
      <c r="AF49" s="2">
        <f>Crop!AF49*(1+Profit_Margin)/INDEX(Crop!$AB$157:$AG$157,MATCH($A49,Crop!$AB$142:$AG$142,0))</f>
        <v>21.576598802009443</v>
      </c>
      <c r="AG49" s="2">
        <f>Crop!AG49*(1+Profit_Margin)/INDEX(Crop!$AB$157:$AG$157,MATCH($A49,Crop!$AB$142:$AG$142,0))</f>
        <v>17.368047885110368</v>
      </c>
      <c r="AH49" s="2">
        <f>Crop!AH49*(1+Profit_Margin)/INDEX(Crop!$AB$157:$AG$157,MATCH($A49,Crop!$AB$142:$AG$142,0))</f>
        <v>21.576598802009443</v>
      </c>
    </row>
    <row r="50" spans="1:34">
      <c r="A50" t="str">
        <f>CYF!A50</f>
        <v>Vegetables</v>
      </c>
      <c r="B50" t="str">
        <f>CYF!B50</f>
        <v>Gumuz</v>
      </c>
      <c r="C50" s="2">
        <f>Crop!C50*(1+Profit_Margin)/INDEX(Crop!$AB$157:$AG$157,MATCH($A50,Crop!$AB$142:$AG$142,0))</f>
        <v>18.871076754311986</v>
      </c>
      <c r="D50" s="2">
        <f>Crop!D50*(1+Profit_Margin)/INDEX(Crop!$AB$157:$AG$157,MATCH($A50,Crop!$AB$142:$AG$142,0))</f>
        <v>21.43201149463502</v>
      </c>
      <c r="E50" s="2">
        <f>Crop!E50*(1+Profit_Margin)/INDEX(Crop!$AB$157:$AG$157,MATCH($A50,Crop!$AB$142:$AG$142,0))</f>
        <v>18.871076754311986</v>
      </c>
      <c r="F50" s="2">
        <f>Crop!F50*(1+Profit_Margin)/INDEX(Crop!$AB$157:$AG$157,MATCH($A50,Crop!$AB$142:$AG$142,0))</f>
        <v>21.43201149463502</v>
      </c>
      <c r="G50" s="2">
        <f>Crop!G50*(1+Profit_Margin)/INDEX(Crop!$AB$157:$AG$157,MATCH($A50,Crop!$AB$142:$AG$142,0))</f>
        <v>18.871076754311986</v>
      </c>
      <c r="H50" s="2">
        <f>Crop!H50*(1+Profit_Margin)/INDEX(Crop!$AB$157:$AG$157,MATCH($A50,Crop!$AB$142:$AG$142,0))</f>
        <v>21.43201149463502</v>
      </c>
      <c r="I50" s="2">
        <f>Crop!I50*(1+Profit_Margin)/INDEX(Crop!$AB$157:$AG$157,MATCH($A50,Crop!$AB$142:$AG$142,0))</f>
        <v>18.871076754311986</v>
      </c>
      <c r="J50" s="2">
        <f>Crop!J50*(1+Profit_Margin)/INDEX(Crop!$AB$157:$AG$157,MATCH($A50,Crop!$AB$142:$AG$142,0))</f>
        <v>21.43201149463502</v>
      </c>
      <c r="K50" s="2">
        <f>Crop!K50*(1+Profit_Margin)/INDEX(Crop!$AB$157:$AG$157,MATCH($A50,Crop!$AB$142:$AG$142,0))</f>
        <v>18.871076754311986</v>
      </c>
      <c r="L50" s="2">
        <f>Crop!L50*(1+Profit_Margin)/INDEX(Crop!$AB$157:$AG$157,MATCH($A50,Crop!$AB$142:$AG$142,0))</f>
        <v>21.43201149463502</v>
      </c>
      <c r="M50" s="2">
        <f>Crop!M50*(1+Profit_Margin)/INDEX(Crop!$AB$157:$AG$157,MATCH($A50,Crop!$AB$142:$AG$142,0))</f>
        <v>18.871076754311986</v>
      </c>
      <c r="N50" s="2">
        <f>Crop!N50*(1+Profit_Margin)/INDEX(Crop!$AB$157:$AG$157,MATCH($A50,Crop!$AB$142:$AG$142,0))</f>
        <v>21.43201149463502</v>
      </c>
      <c r="O50" s="2">
        <f>Crop!O50*(1+Profit_Margin)/INDEX(Crop!$AB$157:$AG$157,MATCH($A50,Crop!$AB$142:$AG$142,0))</f>
        <v>18.871076754311986</v>
      </c>
      <c r="P50" s="2">
        <f>Crop!P50*(1+Profit_Margin)/INDEX(Crop!$AB$157:$AG$157,MATCH($A50,Crop!$AB$142:$AG$142,0))</f>
        <v>21.43201149463502</v>
      </c>
      <c r="Q50" s="2">
        <f>Crop!Q50*(1+Profit_Margin)/INDEX(Crop!$AB$157:$AG$157,MATCH($A50,Crop!$AB$142:$AG$142,0))</f>
        <v>18.871076754311986</v>
      </c>
      <c r="R50" s="2">
        <f>Crop!R50*(1+Profit_Margin)/INDEX(Crop!$AB$157:$AG$157,MATCH($A50,Crop!$AB$142:$AG$142,0))</f>
        <v>21.43201149463502</v>
      </c>
      <c r="S50" s="2">
        <f>Crop!S50*(1+Profit_Margin)/INDEX(Crop!$AB$157:$AG$157,MATCH($A50,Crop!$AB$142:$AG$142,0))</f>
        <v>18.871076754311986</v>
      </c>
      <c r="T50" s="2">
        <f>Crop!T50*(1+Profit_Margin)/INDEX(Crop!$AB$157:$AG$157,MATCH($A50,Crop!$AB$142:$AG$142,0))</f>
        <v>21.43201149463502</v>
      </c>
      <c r="U50" s="2">
        <f>Crop!U50*(1+Profit_Margin)/INDEX(Crop!$AB$157:$AG$157,MATCH($A50,Crop!$AB$142:$AG$142,0))</f>
        <v>18.871076754311986</v>
      </c>
      <c r="V50" s="2">
        <f>Crop!V50*(1+Profit_Margin)/INDEX(Crop!$AB$157:$AG$157,MATCH($A50,Crop!$AB$142:$AG$142,0))</f>
        <v>21.43201149463502</v>
      </c>
      <c r="W50" s="2">
        <f>Crop!W50*(1+Profit_Margin)/INDEX(Crop!$AB$157:$AG$157,MATCH($A50,Crop!$AB$142:$AG$142,0))</f>
        <v>18.871076754311986</v>
      </c>
      <c r="X50" s="2">
        <f>Crop!X50*(1+Profit_Margin)/INDEX(Crop!$AB$157:$AG$157,MATCH($A50,Crop!$AB$142:$AG$142,0))</f>
        <v>21.43201149463502</v>
      </c>
      <c r="Y50" s="2">
        <f>Crop!Y50*(1+Profit_Margin)/INDEX(Crop!$AB$157:$AG$157,MATCH($A50,Crop!$AB$142:$AG$142,0))</f>
        <v>18.871076754311986</v>
      </c>
      <c r="Z50" s="2">
        <f>Crop!Z50*(1+Profit_Margin)/INDEX(Crop!$AB$157:$AG$157,MATCH($A50,Crop!$AB$142:$AG$142,0))</f>
        <v>21.43201149463502</v>
      </c>
      <c r="AA50" s="2">
        <f>Crop!AA50*(1+Profit_Margin)/INDEX(Crop!$AB$157:$AG$157,MATCH($A50,Crop!$AB$142:$AG$142,0))</f>
        <v>18.871076754311986</v>
      </c>
      <c r="AB50" s="2">
        <f>Crop!AB50*(1+Profit_Margin)/INDEX(Crop!$AB$157:$AG$157,MATCH($A50,Crop!$AB$142:$AG$142,0))</f>
        <v>21.43201149463502</v>
      </c>
      <c r="AC50" s="2">
        <f>Crop!AC50*(1+Profit_Margin)/INDEX(Crop!$AB$157:$AG$157,MATCH($A50,Crop!$AB$142:$AG$142,0))</f>
        <v>18.871076754311986</v>
      </c>
      <c r="AD50" s="2">
        <f>Crop!AD50*(1+Profit_Margin)/INDEX(Crop!$AB$157:$AG$157,MATCH($A50,Crop!$AB$142:$AG$142,0))</f>
        <v>21.43201149463502</v>
      </c>
      <c r="AE50" s="2">
        <f>Crop!AE50*(1+Profit_Margin)/INDEX(Crop!$AB$157:$AG$157,MATCH($A50,Crop!$AB$142:$AG$142,0))</f>
        <v>18.871076754311986</v>
      </c>
      <c r="AF50" s="2">
        <f>Crop!AF50*(1+Profit_Margin)/INDEX(Crop!$AB$157:$AG$157,MATCH($A50,Crop!$AB$142:$AG$142,0))</f>
        <v>21.43201149463502</v>
      </c>
      <c r="AG50" s="2">
        <f>Crop!AG50*(1+Profit_Margin)/INDEX(Crop!$AB$157:$AG$157,MATCH($A50,Crop!$AB$142:$AG$142,0))</f>
        <v>18.871076754311986</v>
      </c>
      <c r="AH50" s="2">
        <f>Crop!AH50*(1+Profit_Margin)/INDEX(Crop!$AB$157:$AG$157,MATCH($A50,Crop!$AB$142:$AG$142,0))</f>
        <v>21.43201149463502</v>
      </c>
    </row>
    <row r="51" spans="1:34">
      <c r="A51" t="str">
        <f>CYF!A51</f>
        <v>Vegetables</v>
      </c>
      <c r="B51" t="str">
        <f>CYF!B51</f>
        <v>DireDawa</v>
      </c>
      <c r="C51" s="2">
        <f>Crop!C51*(1+Profit_Margin)/INDEX(Crop!$AB$157:$AG$157,MATCH($A51,Crop!$AB$142:$AG$142,0))</f>
        <v>19.87679315555982</v>
      </c>
      <c r="D51" s="2">
        <f>Crop!D51*(1+Profit_Margin)/INDEX(Crop!$AB$157:$AG$157,MATCH($A51,Crop!$AB$142:$AG$142,0))</f>
        <v>20.150161540248529</v>
      </c>
      <c r="E51" s="2">
        <f>Crop!E51*(1+Profit_Margin)/INDEX(Crop!$AB$157:$AG$157,MATCH($A51,Crop!$AB$142:$AG$142,0))</f>
        <v>19.87679315555982</v>
      </c>
      <c r="F51" s="2">
        <f>Crop!F51*(1+Profit_Margin)/INDEX(Crop!$AB$157:$AG$157,MATCH($A51,Crop!$AB$142:$AG$142,0))</f>
        <v>20.150161540248529</v>
      </c>
      <c r="G51" s="2">
        <f>Crop!G51*(1+Profit_Margin)/INDEX(Crop!$AB$157:$AG$157,MATCH($A51,Crop!$AB$142:$AG$142,0))</f>
        <v>19.87679315555982</v>
      </c>
      <c r="H51" s="2">
        <f>Crop!H51*(1+Profit_Margin)/INDEX(Crop!$AB$157:$AG$157,MATCH($A51,Crop!$AB$142:$AG$142,0))</f>
        <v>20.150161540248529</v>
      </c>
      <c r="I51" s="2">
        <f>Crop!I51*(1+Profit_Margin)/INDEX(Crop!$AB$157:$AG$157,MATCH($A51,Crop!$AB$142:$AG$142,0))</f>
        <v>19.87679315555982</v>
      </c>
      <c r="J51" s="2">
        <f>Crop!J51*(1+Profit_Margin)/INDEX(Crop!$AB$157:$AG$157,MATCH($A51,Crop!$AB$142:$AG$142,0))</f>
        <v>20.150161540248529</v>
      </c>
      <c r="K51" s="2">
        <f>Crop!K51*(1+Profit_Margin)/INDEX(Crop!$AB$157:$AG$157,MATCH($A51,Crop!$AB$142:$AG$142,0))</f>
        <v>19.87679315555982</v>
      </c>
      <c r="L51" s="2">
        <f>Crop!L51*(1+Profit_Margin)/INDEX(Crop!$AB$157:$AG$157,MATCH($A51,Crop!$AB$142:$AG$142,0))</f>
        <v>20.150161540248529</v>
      </c>
      <c r="M51" s="2">
        <f>Crop!M51*(1+Profit_Margin)/INDEX(Crop!$AB$157:$AG$157,MATCH($A51,Crop!$AB$142:$AG$142,0))</f>
        <v>19.87679315555982</v>
      </c>
      <c r="N51" s="2">
        <f>Crop!N51*(1+Profit_Margin)/INDEX(Crop!$AB$157:$AG$157,MATCH($A51,Crop!$AB$142:$AG$142,0))</f>
        <v>20.150161540248529</v>
      </c>
      <c r="O51" s="2">
        <f>Crop!O51*(1+Profit_Margin)/INDEX(Crop!$AB$157:$AG$157,MATCH($A51,Crop!$AB$142:$AG$142,0))</f>
        <v>19.87679315555982</v>
      </c>
      <c r="P51" s="2">
        <f>Crop!P51*(1+Profit_Margin)/INDEX(Crop!$AB$157:$AG$157,MATCH($A51,Crop!$AB$142:$AG$142,0))</f>
        <v>20.150161540248529</v>
      </c>
      <c r="Q51" s="2">
        <f>Crop!Q51*(1+Profit_Margin)/INDEX(Crop!$AB$157:$AG$157,MATCH($A51,Crop!$AB$142:$AG$142,0))</f>
        <v>19.87679315555982</v>
      </c>
      <c r="R51" s="2">
        <f>Crop!R51*(1+Profit_Margin)/INDEX(Crop!$AB$157:$AG$157,MATCH($A51,Crop!$AB$142:$AG$142,0))</f>
        <v>20.150161540248529</v>
      </c>
      <c r="S51" s="2">
        <f>Crop!S51*(1+Profit_Margin)/INDEX(Crop!$AB$157:$AG$157,MATCH($A51,Crop!$AB$142:$AG$142,0))</f>
        <v>19.87679315555982</v>
      </c>
      <c r="T51" s="2">
        <f>Crop!T51*(1+Profit_Margin)/INDEX(Crop!$AB$157:$AG$157,MATCH($A51,Crop!$AB$142:$AG$142,0))</f>
        <v>20.150161540248529</v>
      </c>
      <c r="U51" s="2">
        <f>Crop!U51*(1+Profit_Margin)/INDEX(Crop!$AB$157:$AG$157,MATCH($A51,Crop!$AB$142:$AG$142,0))</f>
        <v>19.87679315555982</v>
      </c>
      <c r="V51" s="2">
        <f>Crop!V51*(1+Profit_Margin)/INDEX(Crop!$AB$157:$AG$157,MATCH($A51,Crop!$AB$142:$AG$142,0))</f>
        <v>20.150161540248529</v>
      </c>
      <c r="W51" s="2">
        <f>Crop!W51*(1+Profit_Margin)/INDEX(Crop!$AB$157:$AG$157,MATCH($A51,Crop!$AB$142:$AG$142,0))</f>
        <v>19.87679315555982</v>
      </c>
      <c r="X51" s="2">
        <f>Crop!X51*(1+Profit_Margin)/INDEX(Crop!$AB$157:$AG$157,MATCH($A51,Crop!$AB$142:$AG$142,0))</f>
        <v>20.150161540248529</v>
      </c>
      <c r="Y51" s="2">
        <f>Crop!Y51*(1+Profit_Margin)/INDEX(Crop!$AB$157:$AG$157,MATCH($A51,Crop!$AB$142:$AG$142,0))</f>
        <v>19.87679315555982</v>
      </c>
      <c r="Z51" s="2">
        <f>Crop!Z51*(1+Profit_Margin)/INDEX(Crop!$AB$157:$AG$157,MATCH($A51,Crop!$AB$142:$AG$142,0))</f>
        <v>20.150161540248529</v>
      </c>
      <c r="AA51" s="2">
        <f>Crop!AA51*(1+Profit_Margin)/INDEX(Crop!$AB$157:$AG$157,MATCH($A51,Crop!$AB$142:$AG$142,0))</f>
        <v>19.87679315555982</v>
      </c>
      <c r="AB51" s="2">
        <f>Crop!AB51*(1+Profit_Margin)/INDEX(Crop!$AB$157:$AG$157,MATCH($A51,Crop!$AB$142:$AG$142,0))</f>
        <v>20.150161540248529</v>
      </c>
      <c r="AC51" s="2">
        <f>Crop!AC51*(1+Profit_Margin)/INDEX(Crop!$AB$157:$AG$157,MATCH($A51,Crop!$AB$142:$AG$142,0))</f>
        <v>19.87679315555982</v>
      </c>
      <c r="AD51" s="2">
        <f>Crop!AD51*(1+Profit_Margin)/INDEX(Crop!$AB$157:$AG$157,MATCH($A51,Crop!$AB$142:$AG$142,0))</f>
        <v>20.150161540248529</v>
      </c>
      <c r="AE51" s="2">
        <f>Crop!AE51*(1+Profit_Margin)/INDEX(Crop!$AB$157:$AG$157,MATCH($A51,Crop!$AB$142:$AG$142,0))</f>
        <v>19.87679315555982</v>
      </c>
      <c r="AF51" s="2">
        <f>Crop!AF51*(1+Profit_Margin)/INDEX(Crop!$AB$157:$AG$157,MATCH($A51,Crop!$AB$142:$AG$142,0))</f>
        <v>20.150161540248529</v>
      </c>
      <c r="AG51" s="2">
        <f>Crop!AG51*(1+Profit_Margin)/INDEX(Crop!$AB$157:$AG$157,MATCH($A51,Crop!$AB$142:$AG$142,0))</f>
        <v>19.87679315555982</v>
      </c>
      <c r="AH51" s="2">
        <f>Crop!AH51*(1+Profit_Margin)/INDEX(Crop!$AB$157:$AG$157,MATCH($A51,Crop!$AB$142:$AG$142,0))</f>
        <v>20.150161540248529</v>
      </c>
    </row>
    <row r="52" spans="1:34">
      <c r="A52" t="str">
        <f>CYF!A52</f>
        <v>Vegetables</v>
      </c>
      <c r="B52" t="str">
        <f>CYF!B52</f>
        <v>Gambela</v>
      </c>
      <c r="C52" s="2">
        <f>Crop!C52*(1+Profit_Margin)/INDEX(Crop!$AB$157:$AG$157,MATCH($A52,Crop!$AB$142:$AG$142,0))</f>
        <v>18.984499184391812</v>
      </c>
      <c r="D52" s="2">
        <f>Crop!D52*(1+Profit_Margin)/INDEX(Crop!$AB$157:$AG$157,MATCH($A52,Crop!$AB$142:$AG$142,0))</f>
        <v>21.302192886899238</v>
      </c>
      <c r="E52" s="2">
        <f>Crop!E52*(1+Profit_Margin)/INDEX(Crop!$AB$157:$AG$157,MATCH($A52,Crop!$AB$142:$AG$142,0))</f>
        <v>18.984499184391812</v>
      </c>
      <c r="F52" s="2">
        <f>Crop!F52*(1+Profit_Margin)/INDEX(Crop!$AB$157:$AG$157,MATCH($A52,Crop!$AB$142:$AG$142,0))</f>
        <v>21.302192886899238</v>
      </c>
      <c r="G52" s="2">
        <f>Crop!G52*(1+Profit_Margin)/INDEX(Crop!$AB$157:$AG$157,MATCH($A52,Crop!$AB$142:$AG$142,0))</f>
        <v>18.984499184391812</v>
      </c>
      <c r="H52" s="2">
        <f>Crop!H52*(1+Profit_Margin)/INDEX(Crop!$AB$157:$AG$157,MATCH($A52,Crop!$AB$142:$AG$142,0))</f>
        <v>21.302192886899238</v>
      </c>
      <c r="I52" s="2">
        <f>Crop!I52*(1+Profit_Margin)/INDEX(Crop!$AB$157:$AG$157,MATCH($A52,Crop!$AB$142:$AG$142,0))</f>
        <v>18.984499184391812</v>
      </c>
      <c r="J52" s="2">
        <f>Crop!J52*(1+Profit_Margin)/INDEX(Crop!$AB$157:$AG$157,MATCH($A52,Crop!$AB$142:$AG$142,0))</f>
        <v>21.302192886899238</v>
      </c>
      <c r="K52" s="2">
        <f>Crop!K52*(1+Profit_Margin)/INDEX(Crop!$AB$157:$AG$157,MATCH($A52,Crop!$AB$142:$AG$142,0))</f>
        <v>18.984499184391812</v>
      </c>
      <c r="L52" s="2">
        <f>Crop!L52*(1+Profit_Margin)/INDEX(Crop!$AB$157:$AG$157,MATCH($A52,Crop!$AB$142:$AG$142,0))</f>
        <v>21.302192886899238</v>
      </c>
      <c r="M52" s="2">
        <f>Crop!M52*(1+Profit_Margin)/INDEX(Crop!$AB$157:$AG$157,MATCH($A52,Crop!$AB$142:$AG$142,0))</f>
        <v>18.984499184391812</v>
      </c>
      <c r="N52" s="2">
        <f>Crop!N52*(1+Profit_Margin)/INDEX(Crop!$AB$157:$AG$157,MATCH($A52,Crop!$AB$142:$AG$142,0))</f>
        <v>21.302192886899238</v>
      </c>
      <c r="O52" s="2">
        <f>Crop!O52*(1+Profit_Margin)/INDEX(Crop!$AB$157:$AG$157,MATCH($A52,Crop!$AB$142:$AG$142,0))</f>
        <v>18.984499184391812</v>
      </c>
      <c r="P52" s="2">
        <f>Crop!P52*(1+Profit_Margin)/INDEX(Crop!$AB$157:$AG$157,MATCH($A52,Crop!$AB$142:$AG$142,0))</f>
        <v>21.302192886899238</v>
      </c>
      <c r="Q52" s="2">
        <f>Crop!Q52*(1+Profit_Margin)/INDEX(Crop!$AB$157:$AG$157,MATCH($A52,Crop!$AB$142:$AG$142,0))</f>
        <v>18.984499184391812</v>
      </c>
      <c r="R52" s="2">
        <f>Crop!R52*(1+Profit_Margin)/INDEX(Crop!$AB$157:$AG$157,MATCH($A52,Crop!$AB$142:$AG$142,0))</f>
        <v>21.302192886899238</v>
      </c>
      <c r="S52" s="2">
        <f>Crop!S52*(1+Profit_Margin)/INDEX(Crop!$AB$157:$AG$157,MATCH($A52,Crop!$AB$142:$AG$142,0))</f>
        <v>18.984499184391812</v>
      </c>
      <c r="T52" s="2">
        <f>Crop!T52*(1+Profit_Margin)/INDEX(Crop!$AB$157:$AG$157,MATCH($A52,Crop!$AB$142:$AG$142,0))</f>
        <v>21.302192886899238</v>
      </c>
      <c r="U52" s="2">
        <f>Crop!U52*(1+Profit_Margin)/INDEX(Crop!$AB$157:$AG$157,MATCH($A52,Crop!$AB$142:$AG$142,0))</f>
        <v>18.984499184391812</v>
      </c>
      <c r="V52" s="2">
        <f>Crop!V52*(1+Profit_Margin)/INDEX(Crop!$AB$157:$AG$157,MATCH($A52,Crop!$AB$142:$AG$142,0))</f>
        <v>21.302192886899238</v>
      </c>
      <c r="W52" s="2">
        <f>Crop!W52*(1+Profit_Margin)/INDEX(Crop!$AB$157:$AG$157,MATCH($A52,Crop!$AB$142:$AG$142,0))</f>
        <v>18.984499184391812</v>
      </c>
      <c r="X52" s="2">
        <f>Crop!X52*(1+Profit_Margin)/INDEX(Crop!$AB$157:$AG$157,MATCH($A52,Crop!$AB$142:$AG$142,0))</f>
        <v>21.302192886899238</v>
      </c>
      <c r="Y52" s="2">
        <f>Crop!Y52*(1+Profit_Margin)/INDEX(Crop!$AB$157:$AG$157,MATCH($A52,Crop!$AB$142:$AG$142,0))</f>
        <v>18.984499184391812</v>
      </c>
      <c r="Z52" s="2">
        <f>Crop!Z52*(1+Profit_Margin)/INDEX(Crop!$AB$157:$AG$157,MATCH($A52,Crop!$AB$142:$AG$142,0))</f>
        <v>21.302192886899238</v>
      </c>
      <c r="AA52" s="2">
        <f>Crop!AA52*(1+Profit_Margin)/INDEX(Crop!$AB$157:$AG$157,MATCH($A52,Crop!$AB$142:$AG$142,0))</f>
        <v>18.984499184391812</v>
      </c>
      <c r="AB52" s="2">
        <f>Crop!AB52*(1+Profit_Margin)/INDEX(Crop!$AB$157:$AG$157,MATCH($A52,Crop!$AB$142:$AG$142,0))</f>
        <v>21.302192886899238</v>
      </c>
      <c r="AC52" s="2">
        <f>Crop!AC52*(1+Profit_Margin)/INDEX(Crop!$AB$157:$AG$157,MATCH($A52,Crop!$AB$142:$AG$142,0))</f>
        <v>18.984499184391812</v>
      </c>
      <c r="AD52" s="2">
        <f>Crop!AD52*(1+Profit_Margin)/INDEX(Crop!$AB$157:$AG$157,MATCH($A52,Crop!$AB$142:$AG$142,0))</f>
        <v>21.302192886899238</v>
      </c>
      <c r="AE52" s="2">
        <f>Crop!AE52*(1+Profit_Margin)/INDEX(Crop!$AB$157:$AG$157,MATCH($A52,Crop!$AB$142:$AG$142,0))</f>
        <v>18.984499184391812</v>
      </c>
      <c r="AF52" s="2">
        <f>Crop!AF52*(1+Profit_Margin)/INDEX(Crop!$AB$157:$AG$157,MATCH($A52,Crop!$AB$142:$AG$142,0))</f>
        <v>21.302192886899238</v>
      </c>
      <c r="AG52" s="2">
        <f>Crop!AG52*(1+Profit_Margin)/INDEX(Crop!$AB$157:$AG$157,MATCH($A52,Crop!$AB$142:$AG$142,0))</f>
        <v>18.984499184391812</v>
      </c>
      <c r="AH52" s="2">
        <f>Crop!AH52*(1+Profit_Margin)/INDEX(Crop!$AB$157:$AG$157,MATCH($A52,Crop!$AB$142:$AG$142,0))</f>
        <v>21.302192886899238</v>
      </c>
    </row>
    <row r="53" spans="1:34">
      <c r="A53" t="str">
        <f>CYF!A53</f>
        <v>Vegetables</v>
      </c>
      <c r="B53" t="str">
        <f>CYF!B53</f>
        <v>Harari</v>
      </c>
      <c r="C53" s="2">
        <f>Crop!C53*(1+Profit_Margin)/INDEX(Crop!$AB$157:$AG$157,MATCH($A53,Crop!$AB$142:$AG$142,0))</f>
        <v>18.570505769913865</v>
      </c>
      <c r="D53" s="2">
        <f>Crop!D53*(1+Profit_Margin)/INDEX(Crop!$AB$157:$AG$157,MATCH($A53,Crop!$AB$142:$AG$142,0))</f>
        <v>22.446028658228364</v>
      </c>
      <c r="E53" s="2">
        <f>Crop!E53*(1+Profit_Margin)/INDEX(Crop!$AB$157:$AG$157,MATCH($A53,Crop!$AB$142:$AG$142,0))</f>
        <v>18.570505769913865</v>
      </c>
      <c r="F53" s="2">
        <f>Crop!F53*(1+Profit_Margin)/INDEX(Crop!$AB$157:$AG$157,MATCH($A53,Crop!$AB$142:$AG$142,0))</f>
        <v>22.446028658228364</v>
      </c>
      <c r="G53" s="2">
        <f>Crop!G53*(1+Profit_Margin)/INDEX(Crop!$AB$157:$AG$157,MATCH($A53,Crop!$AB$142:$AG$142,0))</f>
        <v>18.570505769913865</v>
      </c>
      <c r="H53" s="2">
        <f>Crop!H53*(1+Profit_Margin)/INDEX(Crop!$AB$157:$AG$157,MATCH($A53,Crop!$AB$142:$AG$142,0))</f>
        <v>22.446028658228364</v>
      </c>
      <c r="I53" s="2">
        <f>Crop!I53*(1+Profit_Margin)/INDEX(Crop!$AB$157:$AG$157,MATCH($A53,Crop!$AB$142:$AG$142,0))</f>
        <v>18.570505769913865</v>
      </c>
      <c r="J53" s="2">
        <f>Crop!J53*(1+Profit_Margin)/INDEX(Crop!$AB$157:$AG$157,MATCH($A53,Crop!$AB$142:$AG$142,0))</f>
        <v>22.446028658228364</v>
      </c>
      <c r="K53" s="2">
        <f>Crop!K53*(1+Profit_Margin)/INDEX(Crop!$AB$157:$AG$157,MATCH($A53,Crop!$AB$142:$AG$142,0))</f>
        <v>18.570505769913865</v>
      </c>
      <c r="L53" s="2">
        <f>Crop!L53*(1+Profit_Margin)/INDEX(Crop!$AB$157:$AG$157,MATCH($A53,Crop!$AB$142:$AG$142,0))</f>
        <v>22.446028658228364</v>
      </c>
      <c r="M53" s="2">
        <f>Crop!M53*(1+Profit_Margin)/INDEX(Crop!$AB$157:$AG$157,MATCH($A53,Crop!$AB$142:$AG$142,0))</f>
        <v>18.570505769913865</v>
      </c>
      <c r="N53" s="2">
        <f>Crop!N53*(1+Profit_Margin)/INDEX(Crop!$AB$157:$AG$157,MATCH($A53,Crop!$AB$142:$AG$142,0))</f>
        <v>22.446028658228364</v>
      </c>
      <c r="O53" s="2">
        <f>Crop!O53*(1+Profit_Margin)/INDEX(Crop!$AB$157:$AG$157,MATCH($A53,Crop!$AB$142:$AG$142,0))</f>
        <v>18.570505769913865</v>
      </c>
      <c r="P53" s="2">
        <f>Crop!P53*(1+Profit_Margin)/INDEX(Crop!$AB$157:$AG$157,MATCH($A53,Crop!$AB$142:$AG$142,0))</f>
        <v>22.446028658228364</v>
      </c>
      <c r="Q53" s="2">
        <f>Crop!Q53*(1+Profit_Margin)/INDEX(Crop!$AB$157:$AG$157,MATCH($A53,Crop!$AB$142:$AG$142,0))</f>
        <v>18.570505769913865</v>
      </c>
      <c r="R53" s="2">
        <f>Crop!R53*(1+Profit_Margin)/INDEX(Crop!$AB$157:$AG$157,MATCH($A53,Crop!$AB$142:$AG$142,0))</f>
        <v>22.446028658228364</v>
      </c>
      <c r="S53" s="2">
        <f>Crop!S53*(1+Profit_Margin)/INDEX(Crop!$AB$157:$AG$157,MATCH($A53,Crop!$AB$142:$AG$142,0))</f>
        <v>18.570505769913865</v>
      </c>
      <c r="T53" s="2">
        <f>Crop!T53*(1+Profit_Margin)/INDEX(Crop!$AB$157:$AG$157,MATCH($A53,Crop!$AB$142:$AG$142,0))</f>
        <v>22.446028658228364</v>
      </c>
      <c r="U53" s="2">
        <f>Crop!U53*(1+Profit_Margin)/INDEX(Crop!$AB$157:$AG$157,MATCH($A53,Crop!$AB$142:$AG$142,0))</f>
        <v>18.570505769913865</v>
      </c>
      <c r="V53" s="2">
        <f>Crop!V53*(1+Profit_Margin)/INDEX(Crop!$AB$157:$AG$157,MATCH($A53,Crop!$AB$142:$AG$142,0))</f>
        <v>22.446028658228364</v>
      </c>
      <c r="W53" s="2">
        <f>Crop!W53*(1+Profit_Margin)/INDEX(Crop!$AB$157:$AG$157,MATCH($A53,Crop!$AB$142:$AG$142,0))</f>
        <v>18.570505769913865</v>
      </c>
      <c r="X53" s="2">
        <f>Crop!X53*(1+Profit_Margin)/INDEX(Crop!$AB$157:$AG$157,MATCH($A53,Crop!$AB$142:$AG$142,0))</f>
        <v>22.446028658228364</v>
      </c>
      <c r="Y53" s="2">
        <f>Crop!Y53*(1+Profit_Margin)/INDEX(Crop!$AB$157:$AG$157,MATCH($A53,Crop!$AB$142:$AG$142,0))</f>
        <v>18.570505769913865</v>
      </c>
      <c r="Z53" s="2">
        <f>Crop!Z53*(1+Profit_Margin)/INDEX(Crop!$AB$157:$AG$157,MATCH($A53,Crop!$AB$142:$AG$142,0))</f>
        <v>22.446028658228364</v>
      </c>
      <c r="AA53" s="2">
        <f>Crop!AA53*(1+Profit_Margin)/INDEX(Crop!$AB$157:$AG$157,MATCH($A53,Crop!$AB$142:$AG$142,0))</f>
        <v>18.570505769913865</v>
      </c>
      <c r="AB53" s="2">
        <f>Crop!AB53*(1+Profit_Margin)/INDEX(Crop!$AB$157:$AG$157,MATCH($A53,Crop!$AB$142:$AG$142,0))</f>
        <v>22.446028658228364</v>
      </c>
      <c r="AC53" s="2">
        <f>Crop!AC53*(1+Profit_Margin)/INDEX(Crop!$AB$157:$AG$157,MATCH($A53,Crop!$AB$142:$AG$142,0))</f>
        <v>18.570505769913865</v>
      </c>
      <c r="AD53" s="2">
        <f>Crop!AD53*(1+Profit_Margin)/INDEX(Crop!$AB$157:$AG$157,MATCH($A53,Crop!$AB$142:$AG$142,0))</f>
        <v>22.446028658228364</v>
      </c>
      <c r="AE53" s="2">
        <f>Crop!AE53*(1+Profit_Margin)/INDEX(Crop!$AB$157:$AG$157,MATCH($A53,Crop!$AB$142:$AG$142,0))</f>
        <v>18.570505769913865</v>
      </c>
      <c r="AF53" s="2">
        <f>Crop!AF53*(1+Profit_Margin)/INDEX(Crop!$AB$157:$AG$157,MATCH($A53,Crop!$AB$142:$AG$142,0))</f>
        <v>22.446028658228364</v>
      </c>
      <c r="AG53" s="2">
        <f>Crop!AG53*(1+Profit_Margin)/INDEX(Crop!$AB$157:$AG$157,MATCH($A53,Crop!$AB$142:$AG$142,0))</f>
        <v>18.570505769913865</v>
      </c>
      <c r="AH53" s="2">
        <f>Crop!AH53*(1+Profit_Margin)/INDEX(Crop!$AB$157:$AG$157,MATCH($A53,Crop!$AB$142:$AG$142,0))</f>
        <v>22.446028658228364</v>
      </c>
    </row>
    <row r="54" spans="1:34">
      <c r="A54" t="str">
        <f>CYF!A54</f>
        <v>Vegetables</v>
      </c>
      <c r="B54" t="str">
        <f>CYF!B54</f>
        <v>Oromia</v>
      </c>
      <c r="C54" s="2">
        <f>Crop!C54*(1+Profit_Margin)/INDEX(Crop!$AB$157:$AG$157,MATCH($A54,Crop!$AB$142:$AG$142,0))</f>
        <v>18.785739679529392</v>
      </c>
      <c r="D54" s="2">
        <f>Crop!D54*(1+Profit_Margin)/INDEX(Crop!$AB$157:$AG$157,MATCH($A54,Crop!$AB$142:$AG$142,0))</f>
        <v>22.754889622218762</v>
      </c>
      <c r="E54" s="2">
        <f>Crop!E54*(1+Profit_Margin)/INDEX(Crop!$AB$157:$AG$157,MATCH($A54,Crop!$AB$142:$AG$142,0))</f>
        <v>18.785739679529392</v>
      </c>
      <c r="F54" s="2">
        <f>Crop!F54*(1+Profit_Margin)/INDEX(Crop!$AB$157:$AG$157,MATCH($A54,Crop!$AB$142:$AG$142,0))</f>
        <v>22.754889622218762</v>
      </c>
      <c r="G54" s="2">
        <f>Crop!G54*(1+Profit_Margin)/INDEX(Crop!$AB$157:$AG$157,MATCH($A54,Crop!$AB$142:$AG$142,0))</f>
        <v>18.785739679529392</v>
      </c>
      <c r="H54" s="2">
        <f>Crop!H54*(1+Profit_Margin)/INDEX(Crop!$AB$157:$AG$157,MATCH($A54,Crop!$AB$142:$AG$142,0))</f>
        <v>22.754889622218762</v>
      </c>
      <c r="I54" s="2">
        <f>Crop!I54*(1+Profit_Margin)/INDEX(Crop!$AB$157:$AG$157,MATCH($A54,Crop!$AB$142:$AG$142,0))</f>
        <v>18.785739679529392</v>
      </c>
      <c r="J54" s="2">
        <f>Crop!J54*(1+Profit_Margin)/INDEX(Crop!$AB$157:$AG$157,MATCH($A54,Crop!$AB$142:$AG$142,0))</f>
        <v>22.754889622218762</v>
      </c>
      <c r="K54" s="2">
        <f>Crop!K54*(1+Profit_Margin)/INDEX(Crop!$AB$157:$AG$157,MATCH($A54,Crop!$AB$142:$AG$142,0))</f>
        <v>18.785739679529392</v>
      </c>
      <c r="L54" s="2">
        <f>Crop!L54*(1+Profit_Margin)/INDEX(Crop!$AB$157:$AG$157,MATCH($A54,Crop!$AB$142:$AG$142,0))</f>
        <v>22.754889622218762</v>
      </c>
      <c r="M54" s="2">
        <f>Crop!M54*(1+Profit_Margin)/INDEX(Crop!$AB$157:$AG$157,MATCH($A54,Crop!$AB$142:$AG$142,0))</f>
        <v>18.785739679529392</v>
      </c>
      <c r="N54" s="2">
        <f>Crop!N54*(1+Profit_Margin)/INDEX(Crop!$AB$157:$AG$157,MATCH($A54,Crop!$AB$142:$AG$142,0))</f>
        <v>22.754889622218762</v>
      </c>
      <c r="O54" s="2">
        <f>Crop!O54*(1+Profit_Margin)/INDEX(Crop!$AB$157:$AG$157,MATCH($A54,Crop!$AB$142:$AG$142,0))</f>
        <v>18.785739679529392</v>
      </c>
      <c r="P54" s="2">
        <f>Crop!P54*(1+Profit_Margin)/INDEX(Crop!$AB$157:$AG$157,MATCH($A54,Crop!$AB$142:$AG$142,0))</f>
        <v>22.754889622218762</v>
      </c>
      <c r="Q54" s="2">
        <f>Crop!Q54*(1+Profit_Margin)/INDEX(Crop!$AB$157:$AG$157,MATCH($A54,Crop!$AB$142:$AG$142,0))</f>
        <v>18.785739679529392</v>
      </c>
      <c r="R54" s="2">
        <f>Crop!R54*(1+Profit_Margin)/INDEX(Crop!$AB$157:$AG$157,MATCH($A54,Crop!$AB$142:$AG$142,0))</f>
        <v>22.754889622218762</v>
      </c>
      <c r="S54" s="2">
        <f>Crop!S54*(1+Profit_Margin)/INDEX(Crop!$AB$157:$AG$157,MATCH($A54,Crop!$AB$142:$AG$142,0))</f>
        <v>18.785739679529392</v>
      </c>
      <c r="T54" s="2">
        <f>Crop!T54*(1+Profit_Margin)/INDEX(Crop!$AB$157:$AG$157,MATCH($A54,Crop!$AB$142:$AG$142,0))</f>
        <v>22.754889622218762</v>
      </c>
      <c r="U54" s="2">
        <f>Crop!U54*(1+Profit_Margin)/INDEX(Crop!$AB$157:$AG$157,MATCH($A54,Crop!$AB$142:$AG$142,0))</f>
        <v>18.785739679529392</v>
      </c>
      <c r="V54" s="2">
        <f>Crop!V54*(1+Profit_Margin)/INDEX(Crop!$AB$157:$AG$157,MATCH($A54,Crop!$AB$142:$AG$142,0))</f>
        <v>22.754889622218762</v>
      </c>
      <c r="W54" s="2">
        <f>Crop!W54*(1+Profit_Margin)/INDEX(Crop!$AB$157:$AG$157,MATCH($A54,Crop!$AB$142:$AG$142,0))</f>
        <v>18.785739679529392</v>
      </c>
      <c r="X54" s="2">
        <f>Crop!X54*(1+Profit_Margin)/INDEX(Crop!$AB$157:$AG$157,MATCH($A54,Crop!$AB$142:$AG$142,0))</f>
        <v>22.754889622218762</v>
      </c>
      <c r="Y54" s="2">
        <f>Crop!Y54*(1+Profit_Margin)/INDEX(Crop!$AB$157:$AG$157,MATCH($A54,Crop!$AB$142:$AG$142,0))</f>
        <v>18.785739679529392</v>
      </c>
      <c r="Z54" s="2">
        <f>Crop!Z54*(1+Profit_Margin)/INDEX(Crop!$AB$157:$AG$157,MATCH($A54,Crop!$AB$142:$AG$142,0))</f>
        <v>22.754889622218762</v>
      </c>
      <c r="AA54" s="2">
        <f>Crop!AA54*(1+Profit_Margin)/INDEX(Crop!$AB$157:$AG$157,MATCH($A54,Crop!$AB$142:$AG$142,0))</f>
        <v>18.785739679529392</v>
      </c>
      <c r="AB54" s="2">
        <f>Crop!AB54*(1+Profit_Margin)/INDEX(Crop!$AB$157:$AG$157,MATCH($A54,Crop!$AB$142:$AG$142,0))</f>
        <v>22.754889622218762</v>
      </c>
      <c r="AC54" s="2">
        <f>Crop!AC54*(1+Profit_Margin)/INDEX(Crop!$AB$157:$AG$157,MATCH($A54,Crop!$AB$142:$AG$142,0))</f>
        <v>18.785739679529392</v>
      </c>
      <c r="AD54" s="2">
        <f>Crop!AD54*(1+Profit_Margin)/INDEX(Crop!$AB$157:$AG$157,MATCH($A54,Crop!$AB$142:$AG$142,0))</f>
        <v>22.754889622218762</v>
      </c>
      <c r="AE54" s="2">
        <f>Crop!AE54*(1+Profit_Margin)/INDEX(Crop!$AB$157:$AG$157,MATCH($A54,Crop!$AB$142:$AG$142,0))</f>
        <v>18.785739679529392</v>
      </c>
      <c r="AF54" s="2">
        <f>Crop!AF54*(1+Profit_Margin)/INDEX(Crop!$AB$157:$AG$157,MATCH($A54,Crop!$AB$142:$AG$142,0))</f>
        <v>22.754889622218762</v>
      </c>
      <c r="AG54" s="2">
        <f>Crop!AG54*(1+Profit_Margin)/INDEX(Crop!$AB$157:$AG$157,MATCH($A54,Crop!$AB$142:$AG$142,0))</f>
        <v>18.785739679529392</v>
      </c>
      <c r="AH54" s="2">
        <f>Crop!AH54*(1+Profit_Margin)/INDEX(Crop!$AB$157:$AG$157,MATCH($A54,Crop!$AB$142:$AG$142,0))</f>
        <v>22.754889622218762</v>
      </c>
    </row>
    <row r="55" spans="1:34">
      <c r="A55" t="str">
        <f>CYF!A55</f>
        <v>Vegetables</v>
      </c>
      <c r="B55" t="str">
        <f>CYF!B55</f>
        <v>Somali</v>
      </c>
      <c r="C55" s="2">
        <f>Crop!C55*(1+Profit_Margin)/INDEX(Crop!$AB$157:$AG$157,MATCH($A55,Crop!$AB$142:$AG$142,0))</f>
        <v>16.847298982806969</v>
      </c>
      <c r="D55" s="2">
        <f>Crop!D55*(1+Profit_Margin)/INDEX(Crop!$AB$157:$AG$157,MATCH($A55,Crop!$AB$142:$AG$142,0))</f>
        <v>20.659083293180224</v>
      </c>
      <c r="E55" s="2">
        <f>Crop!E55*(1+Profit_Margin)/INDEX(Crop!$AB$157:$AG$157,MATCH($A55,Crop!$AB$142:$AG$142,0))</f>
        <v>16.847298982806969</v>
      </c>
      <c r="F55" s="2">
        <f>Crop!F55*(1+Profit_Margin)/INDEX(Crop!$AB$157:$AG$157,MATCH($A55,Crop!$AB$142:$AG$142,0))</f>
        <v>20.659083293180224</v>
      </c>
      <c r="G55" s="2">
        <f>Crop!G55*(1+Profit_Margin)/INDEX(Crop!$AB$157:$AG$157,MATCH($A55,Crop!$AB$142:$AG$142,0))</f>
        <v>16.847298982806969</v>
      </c>
      <c r="H55" s="2">
        <f>Crop!H55*(1+Profit_Margin)/INDEX(Crop!$AB$157:$AG$157,MATCH($A55,Crop!$AB$142:$AG$142,0))</f>
        <v>20.659083293180224</v>
      </c>
      <c r="I55" s="2">
        <f>Crop!I55*(1+Profit_Margin)/INDEX(Crop!$AB$157:$AG$157,MATCH($A55,Crop!$AB$142:$AG$142,0))</f>
        <v>16.847298982806969</v>
      </c>
      <c r="J55" s="2">
        <f>Crop!J55*(1+Profit_Margin)/INDEX(Crop!$AB$157:$AG$157,MATCH($A55,Crop!$AB$142:$AG$142,0))</f>
        <v>20.659083293180224</v>
      </c>
      <c r="K55" s="2">
        <f>Crop!K55*(1+Profit_Margin)/INDEX(Crop!$AB$157:$AG$157,MATCH($A55,Crop!$AB$142:$AG$142,0))</f>
        <v>16.847298982806969</v>
      </c>
      <c r="L55" s="2">
        <f>Crop!L55*(1+Profit_Margin)/INDEX(Crop!$AB$157:$AG$157,MATCH($A55,Crop!$AB$142:$AG$142,0))</f>
        <v>20.659083293180224</v>
      </c>
      <c r="M55" s="2">
        <f>Crop!M55*(1+Profit_Margin)/INDEX(Crop!$AB$157:$AG$157,MATCH($A55,Crop!$AB$142:$AG$142,0))</f>
        <v>16.847298982806969</v>
      </c>
      <c r="N55" s="2">
        <f>Crop!N55*(1+Profit_Margin)/INDEX(Crop!$AB$157:$AG$157,MATCH($A55,Crop!$AB$142:$AG$142,0))</f>
        <v>20.659083293180224</v>
      </c>
      <c r="O55" s="2">
        <f>Crop!O55*(1+Profit_Margin)/INDEX(Crop!$AB$157:$AG$157,MATCH($A55,Crop!$AB$142:$AG$142,0))</f>
        <v>16.847298982806969</v>
      </c>
      <c r="P55" s="2">
        <f>Crop!P55*(1+Profit_Margin)/INDEX(Crop!$AB$157:$AG$157,MATCH($A55,Crop!$AB$142:$AG$142,0))</f>
        <v>20.659083293180224</v>
      </c>
      <c r="Q55" s="2">
        <f>Crop!Q55*(1+Profit_Margin)/INDEX(Crop!$AB$157:$AG$157,MATCH($A55,Crop!$AB$142:$AG$142,0))</f>
        <v>16.847298982806969</v>
      </c>
      <c r="R55" s="2">
        <f>Crop!R55*(1+Profit_Margin)/INDEX(Crop!$AB$157:$AG$157,MATCH($A55,Crop!$AB$142:$AG$142,0))</f>
        <v>20.659083293180224</v>
      </c>
      <c r="S55" s="2">
        <f>Crop!S55*(1+Profit_Margin)/INDEX(Crop!$AB$157:$AG$157,MATCH($A55,Crop!$AB$142:$AG$142,0))</f>
        <v>16.847298982806969</v>
      </c>
      <c r="T55" s="2">
        <f>Crop!T55*(1+Profit_Margin)/INDEX(Crop!$AB$157:$AG$157,MATCH($A55,Crop!$AB$142:$AG$142,0))</f>
        <v>20.659083293180224</v>
      </c>
      <c r="U55" s="2">
        <f>Crop!U55*(1+Profit_Margin)/INDEX(Crop!$AB$157:$AG$157,MATCH($A55,Crop!$AB$142:$AG$142,0))</f>
        <v>16.847298982806969</v>
      </c>
      <c r="V55" s="2">
        <f>Crop!V55*(1+Profit_Margin)/INDEX(Crop!$AB$157:$AG$157,MATCH($A55,Crop!$AB$142:$AG$142,0))</f>
        <v>20.659083293180224</v>
      </c>
      <c r="W55" s="2">
        <f>Crop!W55*(1+Profit_Margin)/INDEX(Crop!$AB$157:$AG$157,MATCH($A55,Crop!$AB$142:$AG$142,0))</f>
        <v>16.847298982806969</v>
      </c>
      <c r="X55" s="2">
        <f>Crop!X55*(1+Profit_Margin)/INDEX(Crop!$AB$157:$AG$157,MATCH($A55,Crop!$AB$142:$AG$142,0))</f>
        <v>20.659083293180224</v>
      </c>
      <c r="Y55" s="2">
        <f>Crop!Y55*(1+Profit_Margin)/INDEX(Crop!$AB$157:$AG$157,MATCH($A55,Crop!$AB$142:$AG$142,0))</f>
        <v>16.847298982806969</v>
      </c>
      <c r="Z55" s="2">
        <f>Crop!Z55*(1+Profit_Margin)/INDEX(Crop!$AB$157:$AG$157,MATCH($A55,Crop!$AB$142:$AG$142,0))</f>
        <v>20.659083293180224</v>
      </c>
      <c r="AA55" s="2">
        <f>Crop!AA55*(1+Profit_Margin)/INDEX(Crop!$AB$157:$AG$157,MATCH($A55,Crop!$AB$142:$AG$142,0))</f>
        <v>16.847298982806969</v>
      </c>
      <c r="AB55" s="2">
        <f>Crop!AB55*(1+Profit_Margin)/INDEX(Crop!$AB$157:$AG$157,MATCH($A55,Crop!$AB$142:$AG$142,0))</f>
        <v>20.659083293180224</v>
      </c>
      <c r="AC55" s="2">
        <f>Crop!AC55*(1+Profit_Margin)/INDEX(Crop!$AB$157:$AG$157,MATCH($A55,Crop!$AB$142:$AG$142,0))</f>
        <v>16.847298982806969</v>
      </c>
      <c r="AD55" s="2">
        <f>Crop!AD55*(1+Profit_Margin)/INDEX(Crop!$AB$157:$AG$157,MATCH($A55,Crop!$AB$142:$AG$142,0))</f>
        <v>20.659083293180224</v>
      </c>
      <c r="AE55" s="2">
        <f>Crop!AE55*(1+Profit_Margin)/INDEX(Crop!$AB$157:$AG$157,MATCH($A55,Crop!$AB$142:$AG$142,0))</f>
        <v>16.847298982806969</v>
      </c>
      <c r="AF55" s="2">
        <f>Crop!AF55*(1+Profit_Margin)/INDEX(Crop!$AB$157:$AG$157,MATCH($A55,Crop!$AB$142:$AG$142,0))</f>
        <v>20.659083293180224</v>
      </c>
      <c r="AG55" s="2">
        <f>Crop!AG55*(1+Profit_Margin)/INDEX(Crop!$AB$157:$AG$157,MATCH($A55,Crop!$AB$142:$AG$142,0))</f>
        <v>16.847298982806969</v>
      </c>
      <c r="AH55" s="2">
        <f>Crop!AH55*(1+Profit_Margin)/INDEX(Crop!$AB$157:$AG$157,MATCH($A55,Crop!$AB$142:$AG$142,0))</f>
        <v>20.659083293180224</v>
      </c>
    </row>
    <row r="56" spans="1:34">
      <c r="A56" t="str">
        <f>CYF!A56</f>
        <v>Vegetables</v>
      </c>
      <c r="B56" t="str">
        <f>CYF!B56</f>
        <v>SNNPR</v>
      </c>
      <c r="C56" s="2">
        <f>Crop!C56*(1+Profit_Margin)/INDEX(Crop!$AB$157:$AG$157,MATCH($A56,Crop!$AB$142:$AG$142,0))</f>
        <v>17.287879019988353</v>
      </c>
      <c r="D56" s="2">
        <f>Crop!D56*(1+Profit_Margin)/INDEX(Crop!$AB$157:$AG$157,MATCH($A56,Crop!$AB$142:$AG$142,0))</f>
        <v>21.000041404266309</v>
      </c>
      <c r="E56" s="2">
        <f>Crop!E56*(1+Profit_Margin)/INDEX(Crop!$AB$157:$AG$157,MATCH($A56,Crop!$AB$142:$AG$142,0))</f>
        <v>17.287879019988353</v>
      </c>
      <c r="F56" s="2">
        <f>Crop!F56*(1+Profit_Margin)/INDEX(Crop!$AB$157:$AG$157,MATCH($A56,Crop!$AB$142:$AG$142,0))</f>
        <v>21.000041404266309</v>
      </c>
      <c r="G56" s="2">
        <f>Crop!G56*(1+Profit_Margin)/INDEX(Crop!$AB$157:$AG$157,MATCH($A56,Crop!$AB$142:$AG$142,0))</f>
        <v>17.287879019988353</v>
      </c>
      <c r="H56" s="2">
        <f>Crop!H56*(1+Profit_Margin)/INDEX(Crop!$AB$157:$AG$157,MATCH($A56,Crop!$AB$142:$AG$142,0))</f>
        <v>21.000041404266309</v>
      </c>
      <c r="I56" s="2">
        <f>Crop!I56*(1+Profit_Margin)/INDEX(Crop!$AB$157:$AG$157,MATCH($A56,Crop!$AB$142:$AG$142,0))</f>
        <v>17.287879019988353</v>
      </c>
      <c r="J56" s="2">
        <f>Crop!J56*(1+Profit_Margin)/INDEX(Crop!$AB$157:$AG$157,MATCH($A56,Crop!$AB$142:$AG$142,0))</f>
        <v>21.000041404266309</v>
      </c>
      <c r="K56" s="2">
        <f>Crop!K56*(1+Profit_Margin)/INDEX(Crop!$AB$157:$AG$157,MATCH($A56,Crop!$AB$142:$AG$142,0))</f>
        <v>17.287879019988353</v>
      </c>
      <c r="L56" s="2">
        <f>Crop!L56*(1+Profit_Margin)/INDEX(Crop!$AB$157:$AG$157,MATCH($A56,Crop!$AB$142:$AG$142,0))</f>
        <v>21.000041404266309</v>
      </c>
      <c r="M56" s="2">
        <f>Crop!M56*(1+Profit_Margin)/INDEX(Crop!$AB$157:$AG$157,MATCH($A56,Crop!$AB$142:$AG$142,0))</f>
        <v>17.287879019988353</v>
      </c>
      <c r="N56" s="2">
        <f>Crop!N56*(1+Profit_Margin)/INDEX(Crop!$AB$157:$AG$157,MATCH($A56,Crop!$AB$142:$AG$142,0))</f>
        <v>21.000041404266309</v>
      </c>
      <c r="O56" s="2">
        <f>Crop!O56*(1+Profit_Margin)/INDEX(Crop!$AB$157:$AG$157,MATCH($A56,Crop!$AB$142:$AG$142,0))</f>
        <v>17.287879019988353</v>
      </c>
      <c r="P56" s="2">
        <f>Crop!P56*(1+Profit_Margin)/INDEX(Crop!$AB$157:$AG$157,MATCH($A56,Crop!$AB$142:$AG$142,0))</f>
        <v>21.000041404266309</v>
      </c>
      <c r="Q56" s="2">
        <f>Crop!Q56*(1+Profit_Margin)/INDEX(Crop!$AB$157:$AG$157,MATCH($A56,Crop!$AB$142:$AG$142,0))</f>
        <v>17.287879019988353</v>
      </c>
      <c r="R56" s="2">
        <f>Crop!R56*(1+Profit_Margin)/INDEX(Crop!$AB$157:$AG$157,MATCH($A56,Crop!$AB$142:$AG$142,0))</f>
        <v>21.000041404266309</v>
      </c>
      <c r="S56" s="2">
        <f>Crop!S56*(1+Profit_Margin)/INDEX(Crop!$AB$157:$AG$157,MATCH($A56,Crop!$AB$142:$AG$142,0))</f>
        <v>17.287879019988353</v>
      </c>
      <c r="T56" s="2">
        <f>Crop!T56*(1+Profit_Margin)/INDEX(Crop!$AB$157:$AG$157,MATCH($A56,Crop!$AB$142:$AG$142,0))</f>
        <v>21.000041404266309</v>
      </c>
      <c r="U56" s="2">
        <f>Crop!U56*(1+Profit_Margin)/INDEX(Crop!$AB$157:$AG$157,MATCH($A56,Crop!$AB$142:$AG$142,0))</f>
        <v>17.287879019988353</v>
      </c>
      <c r="V56" s="2">
        <f>Crop!V56*(1+Profit_Margin)/INDEX(Crop!$AB$157:$AG$157,MATCH($A56,Crop!$AB$142:$AG$142,0))</f>
        <v>21.000041404266309</v>
      </c>
      <c r="W56" s="2">
        <f>Crop!W56*(1+Profit_Margin)/INDEX(Crop!$AB$157:$AG$157,MATCH($A56,Crop!$AB$142:$AG$142,0))</f>
        <v>17.287879019988353</v>
      </c>
      <c r="X56" s="2">
        <f>Crop!X56*(1+Profit_Margin)/INDEX(Crop!$AB$157:$AG$157,MATCH($A56,Crop!$AB$142:$AG$142,0))</f>
        <v>21.000041404266309</v>
      </c>
      <c r="Y56" s="2">
        <f>Crop!Y56*(1+Profit_Margin)/INDEX(Crop!$AB$157:$AG$157,MATCH($A56,Crop!$AB$142:$AG$142,0))</f>
        <v>17.287879019988353</v>
      </c>
      <c r="Z56" s="2">
        <f>Crop!Z56*(1+Profit_Margin)/INDEX(Crop!$AB$157:$AG$157,MATCH($A56,Crop!$AB$142:$AG$142,0))</f>
        <v>21.000041404266309</v>
      </c>
      <c r="AA56" s="2">
        <f>Crop!AA56*(1+Profit_Margin)/INDEX(Crop!$AB$157:$AG$157,MATCH($A56,Crop!$AB$142:$AG$142,0))</f>
        <v>17.287879019988353</v>
      </c>
      <c r="AB56" s="2">
        <f>Crop!AB56*(1+Profit_Margin)/INDEX(Crop!$AB$157:$AG$157,MATCH($A56,Crop!$AB$142:$AG$142,0))</f>
        <v>21.000041404266309</v>
      </c>
      <c r="AC56" s="2">
        <f>Crop!AC56*(1+Profit_Margin)/INDEX(Crop!$AB$157:$AG$157,MATCH($A56,Crop!$AB$142:$AG$142,0))</f>
        <v>17.287879019988353</v>
      </c>
      <c r="AD56" s="2">
        <f>Crop!AD56*(1+Profit_Margin)/INDEX(Crop!$AB$157:$AG$157,MATCH($A56,Crop!$AB$142:$AG$142,0))</f>
        <v>21.000041404266309</v>
      </c>
      <c r="AE56" s="2">
        <f>Crop!AE56*(1+Profit_Margin)/INDEX(Crop!$AB$157:$AG$157,MATCH($A56,Crop!$AB$142:$AG$142,0))</f>
        <v>17.287879019988353</v>
      </c>
      <c r="AF56" s="2">
        <f>Crop!AF56*(1+Profit_Margin)/INDEX(Crop!$AB$157:$AG$157,MATCH($A56,Crop!$AB$142:$AG$142,0))</f>
        <v>21.000041404266309</v>
      </c>
      <c r="AG56" s="2">
        <f>Crop!AG56*(1+Profit_Margin)/INDEX(Crop!$AB$157:$AG$157,MATCH($A56,Crop!$AB$142:$AG$142,0))</f>
        <v>17.287879019988353</v>
      </c>
      <c r="AH56" s="2">
        <f>Crop!AH56*(1+Profit_Margin)/INDEX(Crop!$AB$157:$AG$157,MATCH($A56,Crop!$AB$142:$AG$142,0))</f>
        <v>21.000041404266309</v>
      </c>
    </row>
    <row r="57" spans="1:34">
      <c r="A57" t="str">
        <f>CYF!A57</f>
        <v>Vegetables</v>
      </c>
      <c r="B57" t="str">
        <f>CYF!B57</f>
        <v>Tigray</v>
      </c>
      <c r="C57" s="2">
        <f>Crop!C57*(1+Profit_Margin)/INDEX(Crop!$AB$157:$AG$157,MATCH($A57,Crop!$AB$142:$AG$142,0))</f>
        <v>19.338208075413533</v>
      </c>
      <c r="D57" s="2">
        <f>Crop!D57*(1+Profit_Margin)/INDEX(Crop!$AB$157:$AG$157,MATCH($A57,Crop!$AB$142:$AG$142,0))</f>
        <v>20.331435231671872</v>
      </c>
      <c r="E57" s="2">
        <f>Crop!E57*(1+Profit_Margin)/INDEX(Crop!$AB$157:$AG$157,MATCH($A57,Crop!$AB$142:$AG$142,0))</f>
        <v>19.338208075413533</v>
      </c>
      <c r="F57" s="2">
        <f>Crop!F57*(1+Profit_Margin)/INDEX(Crop!$AB$157:$AG$157,MATCH($A57,Crop!$AB$142:$AG$142,0))</f>
        <v>20.331435231671872</v>
      </c>
      <c r="G57" s="2">
        <f>Crop!G57*(1+Profit_Margin)/INDEX(Crop!$AB$157:$AG$157,MATCH($A57,Crop!$AB$142:$AG$142,0))</f>
        <v>19.338208075413533</v>
      </c>
      <c r="H57" s="2">
        <f>Crop!H57*(1+Profit_Margin)/INDEX(Crop!$AB$157:$AG$157,MATCH($A57,Crop!$AB$142:$AG$142,0))</f>
        <v>20.331435231671872</v>
      </c>
      <c r="I57" s="2">
        <f>Crop!I57*(1+Profit_Margin)/INDEX(Crop!$AB$157:$AG$157,MATCH($A57,Crop!$AB$142:$AG$142,0))</f>
        <v>19.338208075413533</v>
      </c>
      <c r="J57" s="2">
        <f>Crop!J57*(1+Profit_Margin)/INDEX(Crop!$AB$157:$AG$157,MATCH($A57,Crop!$AB$142:$AG$142,0))</f>
        <v>20.331435231671872</v>
      </c>
      <c r="K57" s="2">
        <f>Crop!K57*(1+Profit_Margin)/INDEX(Crop!$AB$157:$AG$157,MATCH($A57,Crop!$AB$142:$AG$142,0))</f>
        <v>19.338208075413533</v>
      </c>
      <c r="L57" s="2">
        <f>Crop!L57*(1+Profit_Margin)/INDEX(Crop!$AB$157:$AG$157,MATCH($A57,Crop!$AB$142:$AG$142,0))</f>
        <v>20.331435231671872</v>
      </c>
      <c r="M57" s="2">
        <f>Crop!M57*(1+Profit_Margin)/INDEX(Crop!$AB$157:$AG$157,MATCH($A57,Crop!$AB$142:$AG$142,0))</f>
        <v>19.338208075413533</v>
      </c>
      <c r="N57" s="2">
        <f>Crop!N57*(1+Profit_Margin)/INDEX(Crop!$AB$157:$AG$157,MATCH($A57,Crop!$AB$142:$AG$142,0))</f>
        <v>20.331435231671872</v>
      </c>
      <c r="O57" s="2">
        <f>Crop!O57*(1+Profit_Margin)/INDEX(Crop!$AB$157:$AG$157,MATCH($A57,Crop!$AB$142:$AG$142,0))</f>
        <v>19.338208075413533</v>
      </c>
      <c r="P57" s="2">
        <f>Crop!P57*(1+Profit_Margin)/INDEX(Crop!$AB$157:$AG$157,MATCH($A57,Crop!$AB$142:$AG$142,0))</f>
        <v>20.331435231671872</v>
      </c>
      <c r="Q57" s="2">
        <f>Crop!Q57*(1+Profit_Margin)/INDEX(Crop!$AB$157:$AG$157,MATCH($A57,Crop!$AB$142:$AG$142,0))</f>
        <v>19.338208075413533</v>
      </c>
      <c r="R57" s="2">
        <f>Crop!R57*(1+Profit_Margin)/INDEX(Crop!$AB$157:$AG$157,MATCH($A57,Crop!$AB$142:$AG$142,0))</f>
        <v>20.331435231671872</v>
      </c>
      <c r="S57" s="2">
        <f>Crop!S57*(1+Profit_Margin)/INDEX(Crop!$AB$157:$AG$157,MATCH($A57,Crop!$AB$142:$AG$142,0))</f>
        <v>19.338208075413533</v>
      </c>
      <c r="T57" s="2">
        <f>Crop!T57*(1+Profit_Margin)/INDEX(Crop!$AB$157:$AG$157,MATCH($A57,Crop!$AB$142:$AG$142,0))</f>
        <v>20.331435231671872</v>
      </c>
      <c r="U57" s="2">
        <f>Crop!U57*(1+Profit_Margin)/INDEX(Crop!$AB$157:$AG$157,MATCH($A57,Crop!$AB$142:$AG$142,0))</f>
        <v>19.338208075413533</v>
      </c>
      <c r="V57" s="2">
        <f>Crop!V57*(1+Profit_Margin)/INDEX(Crop!$AB$157:$AG$157,MATCH($A57,Crop!$AB$142:$AG$142,0))</f>
        <v>20.331435231671872</v>
      </c>
      <c r="W57" s="2">
        <f>Crop!W57*(1+Profit_Margin)/INDEX(Crop!$AB$157:$AG$157,MATCH($A57,Crop!$AB$142:$AG$142,0))</f>
        <v>19.338208075413533</v>
      </c>
      <c r="X57" s="2">
        <f>Crop!X57*(1+Profit_Margin)/INDEX(Crop!$AB$157:$AG$157,MATCH($A57,Crop!$AB$142:$AG$142,0))</f>
        <v>20.331435231671872</v>
      </c>
      <c r="Y57" s="2">
        <f>Crop!Y57*(1+Profit_Margin)/INDEX(Crop!$AB$157:$AG$157,MATCH($A57,Crop!$AB$142:$AG$142,0))</f>
        <v>19.338208075413533</v>
      </c>
      <c r="Z57" s="2">
        <f>Crop!Z57*(1+Profit_Margin)/INDEX(Crop!$AB$157:$AG$157,MATCH($A57,Crop!$AB$142:$AG$142,0))</f>
        <v>20.331435231671872</v>
      </c>
      <c r="AA57" s="2">
        <f>Crop!AA57*(1+Profit_Margin)/INDEX(Crop!$AB$157:$AG$157,MATCH($A57,Crop!$AB$142:$AG$142,0))</f>
        <v>19.338208075413533</v>
      </c>
      <c r="AB57" s="2">
        <f>Crop!AB57*(1+Profit_Margin)/INDEX(Crop!$AB$157:$AG$157,MATCH($A57,Crop!$AB$142:$AG$142,0))</f>
        <v>20.331435231671872</v>
      </c>
      <c r="AC57" s="2">
        <f>Crop!AC57*(1+Profit_Margin)/INDEX(Crop!$AB$157:$AG$157,MATCH($A57,Crop!$AB$142:$AG$142,0))</f>
        <v>19.338208075413533</v>
      </c>
      <c r="AD57" s="2">
        <f>Crop!AD57*(1+Profit_Margin)/INDEX(Crop!$AB$157:$AG$157,MATCH($A57,Crop!$AB$142:$AG$142,0))</f>
        <v>20.331435231671872</v>
      </c>
      <c r="AE57" s="2">
        <f>Crop!AE57*(1+Profit_Margin)/INDEX(Crop!$AB$157:$AG$157,MATCH($A57,Crop!$AB$142:$AG$142,0))</f>
        <v>19.338208075413533</v>
      </c>
      <c r="AF57" s="2">
        <f>Crop!AF57*(1+Profit_Margin)/INDEX(Crop!$AB$157:$AG$157,MATCH($A57,Crop!$AB$142:$AG$142,0))</f>
        <v>20.331435231671872</v>
      </c>
      <c r="AG57" s="2">
        <f>Crop!AG57*(1+Profit_Margin)/INDEX(Crop!$AB$157:$AG$157,MATCH($A57,Crop!$AB$142:$AG$142,0))</f>
        <v>19.338208075413533</v>
      </c>
      <c r="AH57" s="2">
        <f>Crop!AH57*(1+Profit_Margin)/INDEX(Crop!$AB$157:$AG$157,MATCH($A57,Crop!$AB$142:$AG$142,0))</f>
        <v>20.331435231671872</v>
      </c>
    </row>
    <row r="58" spans="1:34">
      <c r="A58" t="str">
        <f>CYF!A58</f>
        <v>Coffee</v>
      </c>
      <c r="B58" t="str">
        <f>CYF!B58</f>
        <v>AddisAbaba</v>
      </c>
      <c r="C58" s="2">
        <f>Crop!C58*(1+Profit_Margin)/INDEX(Crop!$AB$157:$AG$157,MATCH($A58,Crop!$AB$142:$AG$142,0))</f>
        <v>194.23807659162131</v>
      </c>
      <c r="D58" s="2">
        <f>Crop!D58*(1+Profit_Margin)/INDEX(Crop!$AB$157:$AG$157,MATCH($A58,Crop!$AB$142:$AG$142,0))</f>
        <v>220.07217011818321</v>
      </c>
      <c r="E58" s="2">
        <f>Crop!E58*(1+Profit_Margin)/INDEX(Crop!$AB$157:$AG$157,MATCH($A58,Crop!$AB$142:$AG$142,0))</f>
        <v>194.23807659162131</v>
      </c>
      <c r="F58" s="2">
        <f>Crop!F58*(1+Profit_Margin)/INDEX(Crop!$AB$157:$AG$157,MATCH($A58,Crop!$AB$142:$AG$142,0))</f>
        <v>220.07217011818321</v>
      </c>
      <c r="G58" s="2">
        <f>Crop!G58*(1+Profit_Margin)/INDEX(Crop!$AB$157:$AG$157,MATCH($A58,Crop!$AB$142:$AG$142,0))</f>
        <v>194.23807659162131</v>
      </c>
      <c r="H58" s="2">
        <f>Crop!H58*(1+Profit_Margin)/INDEX(Crop!$AB$157:$AG$157,MATCH($A58,Crop!$AB$142:$AG$142,0))</f>
        <v>220.07217011818321</v>
      </c>
      <c r="I58" s="2">
        <f>Crop!I58*(1+Profit_Margin)/INDEX(Crop!$AB$157:$AG$157,MATCH($A58,Crop!$AB$142:$AG$142,0))</f>
        <v>194.23807659162131</v>
      </c>
      <c r="J58" s="2">
        <f>Crop!J58*(1+Profit_Margin)/INDEX(Crop!$AB$157:$AG$157,MATCH($A58,Crop!$AB$142:$AG$142,0))</f>
        <v>220.07217011818321</v>
      </c>
      <c r="K58" s="2">
        <f>Crop!K58*(1+Profit_Margin)/INDEX(Crop!$AB$157:$AG$157,MATCH($A58,Crop!$AB$142:$AG$142,0))</f>
        <v>194.23807659162131</v>
      </c>
      <c r="L58" s="2">
        <f>Crop!L58*(1+Profit_Margin)/INDEX(Crop!$AB$157:$AG$157,MATCH($A58,Crop!$AB$142:$AG$142,0))</f>
        <v>220.07217011818321</v>
      </c>
      <c r="M58" s="2">
        <f>Crop!M58*(1+Profit_Margin)/INDEX(Crop!$AB$157:$AG$157,MATCH($A58,Crop!$AB$142:$AG$142,0))</f>
        <v>194.23807659162131</v>
      </c>
      <c r="N58" s="2">
        <f>Crop!N58*(1+Profit_Margin)/INDEX(Crop!$AB$157:$AG$157,MATCH($A58,Crop!$AB$142:$AG$142,0))</f>
        <v>220.07217011818321</v>
      </c>
      <c r="O58" s="2">
        <f>Crop!O58*(1+Profit_Margin)/INDEX(Crop!$AB$157:$AG$157,MATCH($A58,Crop!$AB$142:$AG$142,0))</f>
        <v>194.23807659162131</v>
      </c>
      <c r="P58" s="2">
        <f>Crop!P58*(1+Profit_Margin)/INDEX(Crop!$AB$157:$AG$157,MATCH($A58,Crop!$AB$142:$AG$142,0))</f>
        <v>220.07217011818321</v>
      </c>
      <c r="Q58" s="2">
        <f>Crop!Q58*(1+Profit_Margin)/INDEX(Crop!$AB$157:$AG$157,MATCH($A58,Crop!$AB$142:$AG$142,0))</f>
        <v>194.23807659162131</v>
      </c>
      <c r="R58" s="2">
        <f>Crop!R58*(1+Profit_Margin)/INDEX(Crop!$AB$157:$AG$157,MATCH($A58,Crop!$AB$142:$AG$142,0))</f>
        <v>220.07217011818321</v>
      </c>
      <c r="S58" s="2">
        <f>Crop!S58*(1+Profit_Margin)/INDEX(Crop!$AB$157:$AG$157,MATCH($A58,Crop!$AB$142:$AG$142,0))</f>
        <v>194.23807659162131</v>
      </c>
      <c r="T58" s="2">
        <f>Crop!T58*(1+Profit_Margin)/INDEX(Crop!$AB$157:$AG$157,MATCH($A58,Crop!$AB$142:$AG$142,0))</f>
        <v>220.07217011818321</v>
      </c>
      <c r="U58" s="2">
        <f>Crop!U58*(1+Profit_Margin)/INDEX(Crop!$AB$157:$AG$157,MATCH($A58,Crop!$AB$142:$AG$142,0))</f>
        <v>194.23807659162131</v>
      </c>
      <c r="V58" s="2">
        <f>Crop!V58*(1+Profit_Margin)/INDEX(Crop!$AB$157:$AG$157,MATCH($A58,Crop!$AB$142:$AG$142,0))</f>
        <v>220.07217011818321</v>
      </c>
      <c r="W58" s="2">
        <f>Crop!W58*(1+Profit_Margin)/INDEX(Crop!$AB$157:$AG$157,MATCH($A58,Crop!$AB$142:$AG$142,0))</f>
        <v>194.23807659162131</v>
      </c>
      <c r="X58" s="2">
        <f>Crop!X58*(1+Profit_Margin)/INDEX(Crop!$AB$157:$AG$157,MATCH($A58,Crop!$AB$142:$AG$142,0))</f>
        <v>220.07217011818321</v>
      </c>
      <c r="Y58" s="2">
        <f>Crop!Y58*(1+Profit_Margin)/INDEX(Crop!$AB$157:$AG$157,MATCH($A58,Crop!$AB$142:$AG$142,0))</f>
        <v>194.23807659162131</v>
      </c>
      <c r="Z58" s="2">
        <f>Crop!Z58*(1+Profit_Margin)/INDEX(Crop!$AB$157:$AG$157,MATCH($A58,Crop!$AB$142:$AG$142,0))</f>
        <v>220.07217011818321</v>
      </c>
      <c r="AA58" s="2">
        <f>Crop!AA58*(1+Profit_Margin)/INDEX(Crop!$AB$157:$AG$157,MATCH($A58,Crop!$AB$142:$AG$142,0))</f>
        <v>194.23807659162131</v>
      </c>
      <c r="AB58" s="2">
        <f>Crop!AB58*(1+Profit_Margin)/INDEX(Crop!$AB$157:$AG$157,MATCH($A58,Crop!$AB$142:$AG$142,0))</f>
        <v>220.07217011818321</v>
      </c>
      <c r="AC58" s="2">
        <f>Crop!AC58*(1+Profit_Margin)/INDEX(Crop!$AB$157:$AG$157,MATCH($A58,Crop!$AB$142:$AG$142,0))</f>
        <v>194.23807659162131</v>
      </c>
      <c r="AD58" s="2">
        <f>Crop!AD58*(1+Profit_Margin)/INDEX(Crop!$AB$157:$AG$157,MATCH($A58,Crop!$AB$142:$AG$142,0))</f>
        <v>220.07217011818321</v>
      </c>
      <c r="AE58" s="2">
        <f>Crop!AE58*(1+Profit_Margin)/INDEX(Crop!$AB$157:$AG$157,MATCH($A58,Crop!$AB$142:$AG$142,0))</f>
        <v>194.23807659162131</v>
      </c>
      <c r="AF58" s="2">
        <f>Crop!AF58*(1+Profit_Margin)/INDEX(Crop!$AB$157:$AG$157,MATCH($A58,Crop!$AB$142:$AG$142,0))</f>
        <v>220.07217011818321</v>
      </c>
      <c r="AG58" s="2">
        <f>Crop!AG58*(1+Profit_Margin)/INDEX(Crop!$AB$157:$AG$157,MATCH($A58,Crop!$AB$142:$AG$142,0))</f>
        <v>194.23807659162131</v>
      </c>
      <c r="AH58" s="2">
        <f>Crop!AH58*(1+Profit_Margin)/INDEX(Crop!$AB$157:$AG$157,MATCH($A58,Crop!$AB$142:$AG$142,0))</f>
        <v>220.07217011818321</v>
      </c>
    </row>
    <row r="59" spans="1:34">
      <c r="A59" t="str">
        <f>CYF!A59</f>
        <v>Coffee</v>
      </c>
      <c r="B59" t="str">
        <f>CYF!B59</f>
        <v>Afar</v>
      </c>
      <c r="C59" s="2">
        <f>Crop!C59*(1+Profit_Margin)/INDEX(Crop!$AB$157:$AG$157,MATCH($A59,Crop!$AB$142:$AG$142,0))</f>
        <v>201.25077200091508</v>
      </c>
      <c r="D59" s="2">
        <f>Crop!D59*(1+Profit_Margin)/INDEX(Crop!$AB$157:$AG$157,MATCH($A59,Crop!$AB$142:$AG$142,0))</f>
        <v>216.74908435693166</v>
      </c>
      <c r="E59" s="2">
        <f>Crop!E59*(1+Profit_Margin)/INDEX(Crop!$AB$157:$AG$157,MATCH($A59,Crop!$AB$142:$AG$142,0))</f>
        <v>201.25077200091508</v>
      </c>
      <c r="F59" s="2">
        <f>Crop!F59*(1+Profit_Margin)/INDEX(Crop!$AB$157:$AG$157,MATCH($A59,Crop!$AB$142:$AG$142,0))</f>
        <v>216.74908435693166</v>
      </c>
      <c r="G59" s="2">
        <f>Crop!G59*(1+Profit_Margin)/INDEX(Crop!$AB$157:$AG$157,MATCH($A59,Crop!$AB$142:$AG$142,0))</f>
        <v>201.25077200091508</v>
      </c>
      <c r="H59" s="2">
        <f>Crop!H59*(1+Profit_Margin)/INDEX(Crop!$AB$157:$AG$157,MATCH($A59,Crop!$AB$142:$AG$142,0))</f>
        <v>216.74908435693166</v>
      </c>
      <c r="I59" s="2">
        <f>Crop!I59*(1+Profit_Margin)/INDEX(Crop!$AB$157:$AG$157,MATCH($A59,Crop!$AB$142:$AG$142,0))</f>
        <v>201.25077200091508</v>
      </c>
      <c r="J59" s="2">
        <f>Crop!J59*(1+Profit_Margin)/INDEX(Crop!$AB$157:$AG$157,MATCH($A59,Crop!$AB$142:$AG$142,0))</f>
        <v>216.74908435693166</v>
      </c>
      <c r="K59" s="2">
        <f>Crop!K59*(1+Profit_Margin)/INDEX(Crop!$AB$157:$AG$157,MATCH($A59,Crop!$AB$142:$AG$142,0))</f>
        <v>201.25077200091508</v>
      </c>
      <c r="L59" s="2">
        <f>Crop!L59*(1+Profit_Margin)/INDEX(Crop!$AB$157:$AG$157,MATCH($A59,Crop!$AB$142:$AG$142,0))</f>
        <v>216.74908435693166</v>
      </c>
      <c r="M59" s="2">
        <f>Crop!M59*(1+Profit_Margin)/INDEX(Crop!$AB$157:$AG$157,MATCH($A59,Crop!$AB$142:$AG$142,0))</f>
        <v>201.25077200091508</v>
      </c>
      <c r="N59" s="2">
        <f>Crop!N59*(1+Profit_Margin)/INDEX(Crop!$AB$157:$AG$157,MATCH($A59,Crop!$AB$142:$AG$142,0))</f>
        <v>216.74908435693166</v>
      </c>
      <c r="O59" s="2">
        <f>Crop!O59*(1+Profit_Margin)/INDEX(Crop!$AB$157:$AG$157,MATCH($A59,Crop!$AB$142:$AG$142,0))</f>
        <v>201.25077200091508</v>
      </c>
      <c r="P59" s="2">
        <f>Crop!P59*(1+Profit_Margin)/INDEX(Crop!$AB$157:$AG$157,MATCH($A59,Crop!$AB$142:$AG$142,0))</f>
        <v>216.74908435693166</v>
      </c>
      <c r="Q59" s="2">
        <f>Crop!Q59*(1+Profit_Margin)/INDEX(Crop!$AB$157:$AG$157,MATCH($A59,Crop!$AB$142:$AG$142,0))</f>
        <v>201.25077200091508</v>
      </c>
      <c r="R59" s="2">
        <f>Crop!R59*(1+Profit_Margin)/INDEX(Crop!$AB$157:$AG$157,MATCH($A59,Crop!$AB$142:$AG$142,0))</f>
        <v>216.74908435693166</v>
      </c>
      <c r="S59" s="2">
        <f>Crop!S59*(1+Profit_Margin)/INDEX(Crop!$AB$157:$AG$157,MATCH($A59,Crop!$AB$142:$AG$142,0))</f>
        <v>201.25077200091508</v>
      </c>
      <c r="T59" s="2">
        <f>Crop!T59*(1+Profit_Margin)/INDEX(Crop!$AB$157:$AG$157,MATCH($A59,Crop!$AB$142:$AG$142,0))</f>
        <v>216.74908435693166</v>
      </c>
      <c r="U59" s="2">
        <f>Crop!U59*(1+Profit_Margin)/INDEX(Crop!$AB$157:$AG$157,MATCH($A59,Crop!$AB$142:$AG$142,0))</f>
        <v>201.25077200091508</v>
      </c>
      <c r="V59" s="2">
        <f>Crop!V59*(1+Profit_Margin)/INDEX(Crop!$AB$157:$AG$157,MATCH($A59,Crop!$AB$142:$AG$142,0))</f>
        <v>216.74908435693166</v>
      </c>
      <c r="W59" s="2">
        <f>Crop!W59*(1+Profit_Margin)/INDEX(Crop!$AB$157:$AG$157,MATCH($A59,Crop!$AB$142:$AG$142,0))</f>
        <v>201.25077200091508</v>
      </c>
      <c r="X59" s="2">
        <f>Crop!X59*(1+Profit_Margin)/INDEX(Crop!$AB$157:$AG$157,MATCH($A59,Crop!$AB$142:$AG$142,0))</f>
        <v>216.74908435693166</v>
      </c>
      <c r="Y59" s="2">
        <f>Crop!Y59*(1+Profit_Margin)/INDEX(Crop!$AB$157:$AG$157,MATCH($A59,Crop!$AB$142:$AG$142,0))</f>
        <v>201.25077200091508</v>
      </c>
      <c r="Z59" s="2">
        <f>Crop!Z59*(1+Profit_Margin)/INDEX(Crop!$AB$157:$AG$157,MATCH($A59,Crop!$AB$142:$AG$142,0))</f>
        <v>216.74908435693166</v>
      </c>
      <c r="AA59" s="2">
        <f>Crop!AA59*(1+Profit_Margin)/INDEX(Crop!$AB$157:$AG$157,MATCH($A59,Crop!$AB$142:$AG$142,0))</f>
        <v>201.25077200091508</v>
      </c>
      <c r="AB59" s="2">
        <f>Crop!AB59*(1+Profit_Margin)/INDEX(Crop!$AB$157:$AG$157,MATCH($A59,Crop!$AB$142:$AG$142,0))</f>
        <v>216.74908435693166</v>
      </c>
      <c r="AC59" s="2">
        <f>Crop!AC59*(1+Profit_Margin)/INDEX(Crop!$AB$157:$AG$157,MATCH($A59,Crop!$AB$142:$AG$142,0))</f>
        <v>201.25077200091508</v>
      </c>
      <c r="AD59" s="2">
        <f>Crop!AD59*(1+Profit_Margin)/INDEX(Crop!$AB$157:$AG$157,MATCH($A59,Crop!$AB$142:$AG$142,0))</f>
        <v>216.74908435693166</v>
      </c>
      <c r="AE59" s="2">
        <f>Crop!AE59*(1+Profit_Margin)/INDEX(Crop!$AB$157:$AG$157,MATCH($A59,Crop!$AB$142:$AG$142,0))</f>
        <v>201.25077200091508</v>
      </c>
      <c r="AF59" s="2">
        <f>Crop!AF59*(1+Profit_Margin)/INDEX(Crop!$AB$157:$AG$157,MATCH($A59,Crop!$AB$142:$AG$142,0))</f>
        <v>216.74908435693166</v>
      </c>
      <c r="AG59" s="2">
        <f>Crop!AG59*(1+Profit_Margin)/INDEX(Crop!$AB$157:$AG$157,MATCH($A59,Crop!$AB$142:$AG$142,0))</f>
        <v>201.25077200091508</v>
      </c>
      <c r="AH59" s="2">
        <f>Crop!AH59*(1+Profit_Margin)/INDEX(Crop!$AB$157:$AG$157,MATCH($A59,Crop!$AB$142:$AG$142,0))</f>
        <v>216.74908435693166</v>
      </c>
    </row>
    <row r="60" spans="1:34">
      <c r="A60" t="str">
        <f>CYF!A60</f>
        <v>Coffee</v>
      </c>
      <c r="B60" t="str">
        <f>CYF!B60</f>
        <v>Amhara</v>
      </c>
      <c r="C60" s="2">
        <f>Crop!C60*(1+Profit_Margin)/INDEX(Crop!$AB$157:$AG$157,MATCH($A60,Crop!$AB$142:$AG$142,0))</f>
        <v>202.66190331854048</v>
      </c>
      <c r="D60" s="2">
        <f>Crop!D60*(1+Profit_Margin)/INDEX(Crop!$AB$157:$AG$157,MATCH($A60,Crop!$AB$142:$AG$142,0))</f>
        <v>224.43947912640974</v>
      </c>
      <c r="E60" s="2">
        <f>Crop!E60*(1+Profit_Margin)/INDEX(Crop!$AB$157:$AG$157,MATCH($A60,Crop!$AB$142:$AG$142,0))</f>
        <v>202.66190331854048</v>
      </c>
      <c r="F60" s="2">
        <f>Crop!F60*(1+Profit_Margin)/INDEX(Crop!$AB$157:$AG$157,MATCH($A60,Crop!$AB$142:$AG$142,0))</f>
        <v>224.43947912640974</v>
      </c>
      <c r="G60" s="2">
        <f>Crop!G60*(1+Profit_Margin)/INDEX(Crop!$AB$157:$AG$157,MATCH($A60,Crop!$AB$142:$AG$142,0))</f>
        <v>202.66190331854048</v>
      </c>
      <c r="H60" s="2">
        <f>Crop!H60*(1+Profit_Margin)/INDEX(Crop!$AB$157:$AG$157,MATCH($A60,Crop!$AB$142:$AG$142,0))</f>
        <v>224.43947912640974</v>
      </c>
      <c r="I60" s="2">
        <f>Crop!I60*(1+Profit_Margin)/INDEX(Crop!$AB$157:$AG$157,MATCH($A60,Crop!$AB$142:$AG$142,0))</f>
        <v>202.66190331854048</v>
      </c>
      <c r="J60" s="2">
        <f>Crop!J60*(1+Profit_Margin)/INDEX(Crop!$AB$157:$AG$157,MATCH($A60,Crop!$AB$142:$AG$142,0))</f>
        <v>224.43947912640974</v>
      </c>
      <c r="K60" s="2">
        <f>Crop!K60*(1+Profit_Margin)/INDEX(Crop!$AB$157:$AG$157,MATCH($A60,Crop!$AB$142:$AG$142,0))</f>
        <v>202.66190331854048</v>
      </c>
      <c r="L60" s="2">
        <f>Crop!L60*(1+Profit_Margin)/INDEX(Crop!$AB$157:$AG$157,MATCH($A60,Crop!$AB$142:$AG$142,0))</f>
        <v>224.43947912640974</v>
      </c>
      <c r="M60" s="2">
        <f>Crop!M60*(1+Profit_Margin)/INDEX(Crop!$AB$157:$AG$157,MATCH($A60,Crop!$AB$142:$AG$142,0))</f>
        <v>202.66190331854048</v>
      </c>
      <c r="N60" s="2">
        <f>Crop!N60*(1+Profit_Margin)/INDEX(Crop!$AB$157:$AG$157,MATCH($A60,Crop!$AB$142:$AG$142,0))</f>
        <v>224.43947912640974</v>
      </c>
      <c r="O60" s="2">
        <f>Crop!O60*(1+Profit_Margin)/INDEX(Crop!$AB$157:$AG$157,MATCH($A60,Crop!$AB$142:$AG$142,0))</f>
        <v>202.66190331854048</v>
      </c>
      <c r="P60" s="2">
        <f>Crop!P60*(1+Profit_Margin)/INDEX(Crop!$AB$157:$AG$157,MATCH($A60,Crop!$AB$142:$AG$142,0))</f>
        <v>224.43947912640974</v>
      </c>
      <c r="Q60" s="2">
        <f>Crop!Q60*(1+Profit_Margin)/INDEX(Crop!$AB$157:$AG$157,MATCH($A60,Crop!$AB$142:$AG$142,0))</f>
        <v>202.66190331854048</v>
      </c>
      <c r="R60" s="2">
        <f>Crop!R60*(1+Profit_Margin)/INDEX(Crop!$AB$157:$AG$157,MATCH($A60,Crop!$AB$142:$AG$142,0))</f>
        <v>224.43947912640974</v>
      </c>
      <c r="S60" s="2">
        <f>Crop!S60*(1+Profit_Margin)/INDEX(Crop!$AB$157:$AG$157,MATCH($A60,Crop!$AB$142:$AG$142,0))</f>
        <v>202.66190331854048</v>
      </c>
      <c r="T60" s="2">
        <f>Crop!T60*(1+Profit_Margin)/INDEX(Crop!$AB$157:$AG$157,MATCH($A60,Crop!$AB$142:$AG$142,0))</f>
        <v>224.43947912640974</v>
      </c>
      <c r="U60" s="2">
        <f>Crop!U60*(1+Profit_Margin)/INDEX(Crop!$AB$157:$AG$157,MATCH($A60,Crop!$AB$142:$AG$142,0))</f>
        <v>202.66190331854048</v>
      </c>
      <c r="V60" s="2">
        <f>Crop!V60*(1+Profit_Margin)/INDEX(Crop!$AB$157:$AG$157,MATCH($A60,Crop!$AB$142:$AG$142,0))</f>
        <v>224.43947912640974</v>
      </c>
      <c r="W60" s="2">
        <f>Crop!W60*(1+Profit_Margin)/INDEX(Crop!$AB$157:$AG$157,MATCH($A60,Crop!$AB$142:$AG$142,0))</f>
        <v>202.66190331854048</v>
      </c>
      <c r="X60" s="2">
        <f>Crop!X60*(1+Profit_Margin)/INDEX(Crop!$AB$157:$AG$157,MATCH($A60,Crop!$AB$142:$AG$142,0))</f>
        <v>224.43947912640974</v>
      </c>
      <c r="Y60" s="2">
        <f>Crop!Y60*(1+Profit_Margin)/INDEX(Crop!$AB$157:$AG$157,MATCH($A60,Crop!$AB$142:$AG$142,0))</f>
        <v>202.66190331854048</v>
      </c>
      <c r="Z60" s="2">
        <f>Crop!Z60*(1+Profit_Margin)/INDEX(Crop!$AB$157:$AG$157,MATCH($A60,Crop!$AB$142:$AG$142,0))</f>
        <v>224.43947912640974</v>
      </c>
      <c r="AA60" s="2">
        <f>Crop!AA60*(1+Profit_Margin)/INDEX(Crop!$AB$157:$AG$157,MATCH($A60,Crop!$AB$142:$AG$142,0))</f>
        <v>202.66190331854048</v>
      </c>
      <c r="AB60" s="2">
        <f>Crop!AB60*(1+Profit_Margin)/INDEX(Crop!$AB$157:$AG$157,MATCH($A60,Crop!$AB$142:$AG$142,0))</f>
        <v>224.43947912640974</v>
      </c>
      <c r="AC60" s="2">
        <f>Crop!AC60*(1+Profit_Margin)/INDEX(Crop!$AB$157:$AG$157,MATCH($A60,Crop!$AB$142:$AG$142,0))</f>
        <v>202.66190331854048</v>
      </c>
      <c r="AD60" s="2">
        <f>Crop!AD60*(1+Profit_Margin)/INDEX(Crop!$AB$157:$AG$157,MATCH($A60,Crop!$AB$142:$AG$142,0))</f>
        <v>224.43947912640974</v>
      </c>
      <c r="AE60" s="2">
        <f>Crop!AE60*(1+Profit_Margin)/INDEX(Crop!$AB$157:$AG$157,MATCH($A60,Crop!$AB$142:$AG$142,0))</f>
        <v>202.66190331854048</v>
      </c>
      <c r="AF60" s="2">
        <f>Crop!AF60*(1+Profit_Margin)/INDEX(Crop!$AB$157:$AG$157,MATCH($A60,Crop!$AB$142:$AG$142,0))</f>
        <v>224.43947912640974</v>
      </c>
      <c r="AG60" s="2">
        <f>Crop!AG60*(1+Profit_Margin)/INDEX(Crop!$AB$157:$AG$157,MATCH($A60,Crop!$AB$142:$AG$142,0))</f>
        <v>202.66190331854048</v>
      </c>
      <c r="AH60" s="2">
        <f>Crop!AH60*(1+Profit_Margin)/INDEX(Crop!$AB$157:$AG$157,MATCH($A60,Crop!$AB$142:$AG$142,0))</f>
        <v>224.43947912640974</v>
      </c>
    </row>
    <row r="61" spans="1:34">
      <c r="A61" t="str">
        <f>CYF!A61</f>
        <v>Coffee</v>
      </c>
      <c r="B61" t="str">
        <f>CYF!B61</f>
        <v>Gumuz</v>
      </c>
      <c r="C61" s="2">
        <f>Crop!C61*(1+Profit_Margin)/INDEX(Crop!$AB$157:$AG$157,MATCH($A61,Crop!$AB$142:$AG$142,0))</f>
        <v>211.68393089756327</v>
      </c>
      <c r="D61" s="2">
        <f>Crop!D61*(1+Profit_Margin)/INDEX(Crop!$AB$157:$AG$157,MATCH($A61,Crop!$AB$142:$AG$142,0))</f>
        <v>218.32729964702733</v>
      </c>
      <c r="E61" s="2">
        <f>Crop!E61*(1+Profit_Margin)/INDEX(Crop!$AB$157:$AG$157,MATCH($A61,Crop!$AB$142:$AG$142,0))</f>
        <v>211.68393089756327</v>
      </c>
      <c r="F61" s="2">
        <f>Crop!F61*(1+Profit_Margin)/INDEX(Crop!$AB$157:$AG$157,MATCH($A61,Crop!$AB$142:$AG$142,0))</f>
        <v>218.32729964702733</v>
      </c>
      <c r="G61" s="2">
        <f>Crop!G61*(1+Profit_Margin)/INDEX(Crop!$AB$157:$AG$157,MATCH($A61,Crop!$AB$142:$AG$142,0))</f>
        <v>211.68393089756327</v>
      </c>
      <c r="H61" s="2">
        <f>Crop!H61*(1+Profit_Margin)/INDEX(Crop!$AB$157:$AG$157,MATCH($A61,Crop!$AB$142:$AG$142,0))</f>
        <v>218.32729964702733</v>
      </c>
      <c r="I61" s="2">
        <f>Crop!I61*(1+Profit_Margin)/INDEX(Crop!$AB$157:$AG$157,MATCH($A61,Crop!$AB$142:$AG$142,0))</f>
        <v>211.68393089756327</v>
      </c>
      <c r="J61" s="2">
        <f>Crop!J61*(1+Profit_Margin)/INDEX(Crop!$AB$157:$AG$157,MATCH($A61,Crop!$AB$142:$AG$142,0))</f>
        <v>218.32729964702733</v>
      </c>
      <c r="K61" s="2">
        <f>Crop!K61*(1+Profit_Margin)/INDEX(Crop!$AB$157:$AG$157,MATCH($A61,Crop!$AB$142:$AG$142,0))</f>
        <v>211.68393089756327</v>
      </c>
      <c r="L61" s="2">
        <f>Crop!L61*(1+Profit_Margin)/INDEX(Crop!$AB$157:$AG$157,MATCH($A61,Crop!$AB$142:$AG$142,0))</f>
        <v>218.32729964702733</v>
      </c>
      <c r="M61" s="2">
        <f>Crop!M61*(1+Profit_Margin)/INDEX(Crop!$AB$157:$AG$157,MATCH($A61,Crop!$AB$142:$AG$142,0))</f>
        <v>211.68393089756327</v>
      </c>
      <c r="N61" s="2">
        <f>Crop!N61*(1+Profit_Margin)/INDEX(Crop!$AB$157:$AG$157,MATCH($A61,Crop!$AB$142:$AG$142,0))</f>
        <v>218.32729964702733</v>
      </c>
      <c r="O61" s="2">
        <f>Crop!O61*(1+Profit_Margin)/INDEX(Crop!$AB$157:$AG$157,MATCH($A61,Crop!$AB$142:$AG$142,0))</f>
        <v>211.68393089756327</v>
      </c>
      <c r="P61" s="2">
        <f>Crop!P61*(1+Profit_Margin)/INDEX(Crop!$AB$157:$AG$157,MATCH($A61,Crop!$AB$142:$AG$142,0))</f>
        <v>218.32729964702733</v>
      </c>
      <c r="Q61" s="2">
        <f>Crop!Q61*(1+Profit_Margin)/INDEX(Crop!$AB$157:$AG$157,MATCH($A61,Crop!$AB$142:$AG$142,0))</f>
        <v>211.68393089756327</v>
      </c>
      <c r="R61" s="2">
        <f>Crop!R61*(1+Profit_Margin)/INDEX(Crop!$AB$157:$AG$157,MATCH($A61,Crop!$AB$142:$AG$142,0))</f>
        <v>218.32729964702733</v>
      </c>
      <c r="S61" s="2">
        <f>Crop!S61*(1+Profit_Margin)/INDEX(Crop!$AB$157:$AG$157,MATCH($A61,Crop!$AB$142:$AG$142,0))</f>
        <v>211.68393089756327</v>
      </c>
      <c r="T61" s="2">
        <f>Crop!T61*(1+Profit_Margin)/INDEX(Crop!$AB$157:$AG$157,MATCH($A61,Crop!$AB$142:$AG$142,0))</f>
        <v>218.32729964702733</v>
      </c>
      <c r="U61" s="2">
        <f>Crop!U61*(1+Profit_Margin)/INDEX(Crop!$AB$157:$AG$157,MATCH($A61,Crop!$AB$142:$AG$142,0))</f>
        <v>211.68393089756327</v>
      </c>
      <c r="V61" s="2">
        <f>Crop!V61*(1+Profit_Margin)/INDEX(Crop!$AB$157:$AG$157,MATCH($A61,Crop!$AB$142:$AG$142,0))</f>
        <v>218.32729964702733</v>
      </c>
      <c r="W61" s="2">
        <f>Crop!W61*(1+Profit_Margin)/INDEX(Crop!$AB$157:$AG$157,MATCH($A61,Crop!$AB$142:$AG$142,0))</f>
        <v>211.68393089756327</v>
      </c>
      <c r="X61" s="2">
        <f>Crop!X61*(1+Profit_Margin)/INDEX(Crop!$AB$157:$AG$157,MATCH($A61,Crop!$AB$142:$AG$142,0))</f>
        <v>218.32729964702733</v>
      </c>
      <c r="Y61" s="2">
        <f>Crop!Y61*(1+Profit_Margin)/INDEX(Crop!$AB$157:$AG$157,MATCH($A61,Crop!$AB$142:$AG$142,0))</f>
        <v>211.68393089756327</v>
      </c>
      <c r="Z61" s="2">
        <f>Crop!Z61*(1+Profit_Margin)/INDEX(Crop!$AB$157:$AG$157,MATCH($A61,Crop!$AB$142:$AG$142,0))</f>
        <v>218.32729964702733</v>
      </c>
      <c r="AA61" s="2">
        <f>Crop!AA61*(1+Profit_Margin)/INDEX(Crop!$AB$157:$AG$157,MATCH($A61,Crop!$AB$142:$AG$142,0))</f>
        <v>211.68393089756327</v>
      </c>
      <c r="AB61" s="2">
        <f>Crop!AB61*(1+Profit_Margin)/INDEX(Crop!$AB$157:$AG$157,MATCH($A61,Crop!$AB$142:$AG$142,0))</f>
        <v>218.32729964702733</v>
      </c>
      <c r="AC61" s="2">
        <f>Crop!AC61*(1+Profit_Margin)/INDEX(Crop!$AB$157:$AG$157,MATCH($A61,Crop!$AB$142:$AG$142,0))</f>
        <v>211.68393089756327</v>
      </c>
      <c r="AD61" s="2">
        <f>Crop!AD61*(1+Profit_Margin)/INDEX(Crop!$AB$157:$AG$157,MATCH($A61,Crop!$AB$142:$AG$142,0))</f>
        <v>218.32729964702733</v>
      </c>
      <c r="AE61" s="2">
        <f>Crop!AE61*(1+Profit_Margin)/INDEX(Crop!$AB$157:$AG$157,MATCH($A61,Crop!$AB$142:$AG$142,0))</f>
        <v>211.68393089756327</v>
      </c>
      <c r="AF61" s="2">
        <f>Crop!AF61*(1+Profit_Margin)/INDEX(Crop!$AB$157:$AG$157,MATCH($A61,Crop!$AB$142:$AG$142,0))</f>
        <v>218.32729964702733</v>
      </c>
      <c r="AG61" s="2">
        <f>Crop!AG61*(1+Profit_Margin)/INDEX(Crop!$AB$157:$AG$157,MATCH($A61,Crop!$AB$142:$AG$142,0))</f>
        <v>211.68393089756327</v>
      </c>
      <c r="AH61" s="2">
        <f>Crop!AH61*(1+Profit_Margin)/INDEX(Crop!$AB$157:$AG$157,MATCH($A61,Crop!$AB$142:$AG$142,0))</f>
        <v>218.32729964702733</v>
      </c>
    </row>
    <row r="62" spans="1:34">
      <c r="A62" t="str">
        <f>CYF!A62</f>
        <v>Coffee</v>
      </c>
      <c r="B62" t="str">
        <f>CYF!B62</f>
        <v>DireDawa</v>
      </c>
      <c r="C62" s="2">
        <f>Crop!C62*(1+Profit_Margin)/INDEX(Crop!$AB$157:$AG$157,MATCH($A62,Crop!$AB$142:$AG$142,0))</f>
        <v>211.69080281028215</v>
      </c>
      <c r="D62" s="2">
        <f>Crop!D62*(1+Profit_Margin)/INDEX(Crop!$AB$157:$AG$157,MATCH($A62,Crop!$AB$142:$AG$142,0))</f>
        <v>229.43585610138842</v>
      </c>
      <c r="E62" s="2">
        <f>Crop!E62*(1+Profit_Margin)/INDEX(Crop!$AB$157:$AG$157,MATCH($A62,Crop!$AB$142:$AG$142,0))</f>
        <v>211.69080281028215</v>
      </c>
      <c r="F62" s="2">
        <f>Crop!F62*(1+Profit_Margin)/INDEX(Crop!$AB$157:$AG$157,MATCH($A62,Crop!$AB$142:$AG$142,0))</f>
        <v>229.43585610138842</v>
      </c>
      <c r="G62" s="2">
        <f>Crop!G62*(1+Profit_Margin)/INDEX(Crop!$AB$157:$AG$157,MATCH($A62,Crop!$AB$142:$AG$142,0))</f>
        <v>211.69080281028215</v>
      </c>
      <c r="H62" s="2">
        <f>Crop!H62*(1+Profit_Margin)/INDEX(Crop!$AB$157:$AG$157,MATCH($A62,Crop!$AB$142:$AG$142,0))</f>
        <v>229.43585610138842</v>
      </c>
      <c r="I62" s="2">
        <f>Crop!I62*(1+Profit_Margin)/INDEX(Crop!$AB$157:$AG$157,MATCH($A62,Crop!$AB$142:$AG$142,0))</f>
        <v>211.69080281028215</v>
      </c>
      <c r="J62" s="2">
        <f>Crop!J62*(1+Profit_Margin)/INDEX(Crop!$AB$157:$AG$157,MATCH($A62,Crop!$AB$142:$AG$142,0))</f>
        <v>229.43585610138842</v>
      </c>
      <c r="K62" s="2">
        <f>Crop!K62*(1+Profit_Margin)/INDEX(Crop!$AB$157:$AG$157,MATCH($A62,Crop!$AB$142:$AG$142,0))</f>
        <v>211.69080281028215</v>
      </c>
      <c r="L62" s="2">
        <f>Crop!L62*(1+Profit_Margin)/INDEX(Crop!$AB$157:$AG$157,MATCH($A62,Crop!$AB$142:$AG$142,0))</f>
        <v>229.43585610138842</v>
      </c>
      <c r="M62" s="2">
        <f>Crop!M62*(1+Profit_Margin)/INDEX(Crop!$AB$157:$AG$157,MATCH($A62,Crop!$AB$142:$AG$142,0))</f>
        <v>211.69080281028215</v>
      </c>
      <c r="N62" s="2">
        <f>Crop!N62*(1+Profit_Margin)/INDEX(Crop!$AB$157:$AG$157,MATCH($A62,Crop!$AB$142:$AG$142,0))</f>
        <v>229.43585610138842</v>
      </c>
      <c r="O62" s="2">
        <f>Crop!O62*(1+Profit_Margin)/INDEX(Crop!$AB$157:$AG$157,MATCH($A62,Crop!$AB$142:$AG$142,0))</f>
        <v>211.69080281028215</v>
      </c>
      <c r="P62" s="2">
        <f>Crop!P62*(1+Profit_Margin)/INDEX(Crop!$AB$157:$AG$157,MATCH($A62,Crop!$AB$142:$AG$142,0))</f>
        <v>229.43585610138842</v>
      </c>
      <c r="Q62" s="2">
        <f>Crop!Q62*(1+Profit_Margin)/INDEX(Crop!$AB$157:$AG$157,MATCH($A62,Crop!$AB$142:$AG$142,0))</f>
        <v>211.69080281028215</v>
      </c>
      <c r="R62" s="2">
        <f>Crop!R62*(1+Profit_Margin)/INDEX(Crop!$AB$157:$AG$157,MATCH($A62,Crop!$AB$142:$AG$142,0))</f>
        <v>229.43585610138842</v>
      </c>
      <c r="S62" s="2">
        <f>Crop!S62*(1+Profit_Margin)/INDEX(Crop!$AB$157:$AG$157,MATCH($A62,Crop!$AB$142:$AG$142,0))</f>
        <v>211.69080281028215</v>
      </c>
      <c r="T62" s="2">
        <f>Crop!T62*(1+Profit_Margin)/INDEX(Crop!$AB$157:$AG$157,MATCH($A62,Crop!$AB$142:$AG$142,0))</f>
        <v>229.43585610138842</v>
      </c>
      <c r="U62" s="2">
        <f>Crop!U62*(1+Profit_Margin)/INDEX(Crop!$AB$157:$AG$157,MATCH($A62,Crop!$AB$142:$AG$142,0))</f>
        <v>211.69080281028215</v>
      </c>
      <c r="V62" s="2">
        <f>Crop!V62*(1+Profit_Margin)/INDEX(Crop!$AB$157:$AG$157,MATCH($A62,Crop!$AB$142:$AG$142,0))</f>
        <v>229.43585610138842</v>
      </c>
      <c r="W62" s="2">
        <f>Crop!W62*(1+Profit_Margin)/INDEX(Crop!$AB$157:$AG$157,MATCH($A62,Crop!$AB$142:$AG$142,0))</f>
        <v>211.69080281028215</v>
      </c>
      <c r="X62" s="2">
        <f>Crop!X62*(1+Profit_Margin)/INDEX(Crop!$AB$157:$AG$157,MATCH($A62,Crop!$AB$142:$AG$142,0))</f>
        <v>229.43585610138842</v>
      </c>
      <c r="Y62" s="2">
        <f>Crop!Y62*(1+Profit_Margin)/INDEX(Crop!$AB$157:$AG$157,MATCH($A62,Crop!$AB$142:$AG$142,0))</f>
        <v>211.69080281028215</v>
      </c>
      <c r="Z62" s="2">
        <f>Crop!Z62*(1+Profit_Margin)/INDEX(Crop!$AB$157:$AG$157,MATCH($A62,Crop!$AB$142:$AG$142,0))</f>
        <v>229.43585610138842</v>
      </c>
      <c r="AA62" s="2">
        <f>Crop!AA62*(1+Profit_Margin)/INDEX(Crop!$AB$157:$AG$157,MATCH($A62,Crop!$AB$142:$AG$142,0))</f>
        <v>211.69080281028215</v>
      </c>
      <c r="AB62" s="2">
        <f>Crop!AB62*(1+Profit_Margin)/INDEX(Crop!$AB$157:$AG$157,MATCH($A62,Crop!$AB$142:$AG$142,0))</f>
        <v>229.43585610138842</v>
      </c>
      <c r="AC62" s="2">
        <f>Crop!AC62*(1+Profit_Margin)/INDEX(Crop!$AB$157:$AG$157,MATCH($A62,Crop!$AB$142:$AG$142,0))</f>
        <v>211.69080281028215</v>
      </c>
      <c r="AD62" s="2">
        <f>Crop!AD62*(1+Profit_Margin)/INDEX(Crop!$AB$157:$AG$157,MATCH($A62,Crop!$AB$142:$AG$142,0))</f>
        <v>229.43585610138842</v>
      </c>
      <c r="AE62" s="2">
        <f>Crop!AE62*(1+Profit_Margin)/INDEX(Crop!$AB$157:$AG$157,MATCH($A62,Crop!$AB$142:$AG$142,0))</f>
        <v>211.69080281028215</v>
      </c>
      <c r="AF62" s="2">
        <f>Crop!AF62*(1+Profit_Margin)/INDEX(Crop!$AB$157:$AG$157,MATCH($A62,Crop!$AB$142:$AG$142,0))</f>
        <v>229.43585610138842</v>
      </c>
      <c r="AG62" s="2">
        <f>Crop!AG62*(1+Profit_Margin)/INDEX(Crop!$AB$157:$AG$157,MATCH($A62,Crop!$AB$142:$AG$142,0))</f>
        <v>211.69080281028215</v>
      </c>
      <c r="AH62" s="2">
        <f>Crop!AH62*(1+Profit_Margin)/INDEX(Crop!$AB$157:$AG$157,MATCH($A62,Crop!$AB$142:$AG$142,0))</f>
        <v>229.43585610138842</v>
      </c>
    </row>
    <row r="63" spans="1:34">
      <c r="A63" t="str">
        <f>CYF!A63</f>
        <v>Coffee</v>
      </c>
      <c r="B63" t="str">
        <f>CYF!B63</f>
        <v>Gambela</v>
      </c>
      <c r="C63" s="2">
        <f>Crop!C63*(1+Profit_Margin)/INDEX(Crop!$AB$157:$AG$157,MATCH($A63,Crop!$AB$142:$AG$142,0))</f>
        <v>187.14769129977657</v>
      </c>
      <c r="D63" s="2">
        <f>Crop!D63*(1+Profit_Margin)/INDEX(Crop!$AB$157:$AG$157,MATCH($A63,Crop!$AB$142:$AG$142,0))</f>
        <v>231.14980664663281</v>
      </c>
      <c r="E63" s="2">
        <f>Crop!E63*(1+Profit_Margin)/INDEX(Crop!$AB$157:$AG$157,MATCH($A63,Crop!$AB$142:$AG$142,0))</f>
        <v>187.14769129977657</v>
      </c>
      <c r="F63" s="2">
        <f>Crop!F63*(1+Profit_Margin)/INDEX(Crop!$AB$157:$AG$157,MATCH($A63,Crop!$AB$142:$AG$142,0))</f>
        <v>231.14980664663281</v>
      </c>
      <c r="G63" s="2">
        <f>Crop!G63*(1+Profit_Margin)/INDEX(Crop!$AB$157:$AG$157,MATCH($A63,Crop!$AB$142:$AG$142,0))</f>
        <v>187.14769129977657</v>
      </c>
      <c r="H63" s="2">
        <f>Crop!H63*(1+Profit_Margin)/INDEX(Crop!$AB$157:$AG$157,MATCH($A63,Crop!$AB$142:$AG$142,0))</f>
        <v>231.14980664663281</v>
      </c>
      <c r="I63" s="2">
        <f>Crop!I63*(1+Profit_Margin)/INDEX(Crop!$AB$157:$AG$157,MATCH($A63,Crop!$AB$142:$AG$142,0))</f>
        <v>187.14769129977657</v>
      </c>
      <c r="J63" s="2">
        <f>Crop!J63*(1+Profit_Margin)/INDEX(Crop!$AB$157:$AG$157,MATCH($A63,Crop!$AB$142:$AG$142,0))</f>
        <v>231.14980664663281</v>
      </c>
      <c r="K63" s="2">
        <f>Crop!K63*(1+Profit_Margin)/INDEX(Crop!$AB$157:$AG$157,MATCH($A63,Crop!$AB$142:$AG$142,0))</f>
        <v>187.14769129977657</v>
      </c>
      <c r="L63" s="2">
        <f>Crop!L63*(1+Profit_Margin)/INDEX(Crop!$AB$157:$AG$157,MATCH($A63,Crop!$AB$142:$AG$142,0))</f>
        <v>231.14980664663281</v>
      </c>
      <c r="M63" s="2">
        <f>Crop!M63*(1+Profit_Margin)/INDEX(Crop!$AB$157:$AG$157,MATCH($A63,Crop!$AB$142:$AG$142,0))</f>
        <v>187.14769129977657</v>
      </c>
      <c r="N63" s="2">
        <f>Crop!N63*(1+Profit_Margin)/INDEX(Crop!$AB$157:$AG$157,MATCH($A63,Crop!$AB$142:$AG$142,0))</f>
        <v>231.14980664663281</v>
      </c>
      <c r="O63" s="2">
        <f>Crop!O63*(1+Profit_Margin)/INDEX(Crop!$AB$157:$AG$157,MATCH($A63,Crop!$AB$142:$AG$142,0))</f>
        <v>187.14769129977657</v>
      </c>
      <c r="P63" s="2">
        <f>Crop!P63*(1+Profit_Margin)/INDEX(Crop!$AB$157:$AG$157,MATCH($A63,Crop!$AB$142:$AG$142,0))</f>
        <v>231.14980664663281</v>
      </c>
      <c r="Q63" s="2">
        <f>Crop!Q63*(1+Profit_Margin)/INDEX(Crop!$AB$157:$AG$157,MATCH($A63,Crop!$AB$142:$AG$142,0))</f>
        <v>187.14769129977657</v>
      </c>
      <c r="R63" s="2">
        <f>Crop!R63*(1+Profit_Margin)/INDEX(Crop!$AB$157:$AG$157,MATCH($A63,Crop!$AB$142:$AG$142,0))</f>
        <v>231.14980664663281</v>
      </c>
      <c r="S63" s="2">
        <f>Crop!S63*(1+Profit_Margin)/INDEX(Crop!$AB$157:$AG$157,MATCH($A63,Crop!$AB$142:$AG$142,0))</f>
        <v>187.14769129977657</v>
      </c>
      <c r="T63" s="2">
        <f>Crop!T63*(1+Profit_Margin)/INDEX(Crop!$AB$157:$AG$157,MATCH($A63,Crop!$AB$142:$AG$142,0))</f>
        <v>231.14980664663281</v>
      </c>
      <c r="U63" s="2">
        <f>Crop!U63*(1+Profit_Margin)/INDEX(Crop!$AB$157:$AG$157,MATCH($A63,Crop!$AB$142:$AG$142,0))</f>
        <v>187.14769129977657</v>
      </c>
      <c r="V63" s="2">
        <f>Crop!V63*(1+Profit_Margin)/INDEX(Crop!$AB$157:$AG$157,MATCH($A63,Crop!$AB$142:$AG$142,0))</f>
        <v>231.14980664663281</v>
      </c>
      <c r="W63" s="2">
        <f>Crop!W63*(1+Profit_Margin)/INDEX(Crop!$AB$157:$AG$157,MATCH($A63,Crop!$AB$142:$AG$142,0))</f>
        <v>187.14769129977657</v>
      </c>
      <c r="X63" s="2">
        <f>Crop!X63*(1+Profit_Margin)/INDEX(Crop!$AB$157:$AG$157,MATCH($A63,Crop!$AB$142:$AG$142,0))</f>
        <v>231.14980664663281</v>
      </c>
      <c r="Y63" s="2">
        <f>Crop!Y63*(1+Profit_Margin)/INDEX(Crop!$AB$157:$AG$157,MATCH($A63,Crop!$AB$142:$AG$142,0))</f>
        <v>187.14769129977657</v>
      </c>
      <c r="Z63" s="2">
        <f>Crop!Z63*(1+Profit_Margin)/INDEX(Crop!$AB$157:$AG$157,MATCH($A63,Crop!$AB$142:$AG$142,0))</f>
        <v>231.14980664663281</v>
      </c>
      <c r="AA63" s="2">
        <f>Crop!AA63*(1+Profit_Margin)/INDEX(Crop!$AB$157:$AG$157,MATCH($A63,Crop!$AB$142:$AG$142,0))</f>
        <v>187.14769129977657</v>
      </c>
      <c r="AB63" s="2">
        <f>Crop!AB63*(1+Profit_Margin)/INDEX(Crop!$AB$157:$AG$157,MATCH($A63,Crop!$AB$142:$AG$142,0))</f>
        <v>231.14980664663281</v>
      </c>
      <c r="AC63" s="2">
        <f>Crop!AC63*(1+Profit_Margin)/INDEX(Crop!$AB$157:$AG$157,MATCH($A63,Crop!$AB$142:$AG$142,0))</f>
        <v>187.14769129977657</v>
      </c>
      <c r="AD63" s="2">
        <f>Crop!AD63*(1+Profit_Margin)/INDEX(Crop!$AB$157:$AG$157,MATCH($A63,Crop!$AB$142:$AG$142,0))</f>
        <v>231.14980664663281</v>
      </c>
      <c r="AE63" s="2">
        <f>Crop!AE63*(1+Profit_Margin)/INDEX(Crop!$AB$157:$AG$157,MATCH($A63,Crop!$AB$142:$AG$142,0))</f>
        <v>187.14769129977657</v>
      </c>
      <c r="AF63" s="2">
        <f>Crop!AF63*(1+Profit_Margin)/INDEX(Crop!$AB$157:$AG$157,MATCH($A63,Crop!$AB$142:$AG$142,0))</f>
        <v>231.14980664663281</v>
      </c>
      <c r="AG63" s="2">
        <f>Crop!AG63*(1+Profit_Margin)/INDEX(Crop!$AB$157:$AG$157,MATCH($A63,Crop!$AB$142:$AG$142,0))</f>
        <v>187.14769129977657</v>
      </c>
      <c r="AH63" s="2">
        <f>Crop!AH63*(1+Profit_Margin)/INDEX(Crop!$AB$157:$AG$157,MATCH($A63,Crop!$AB$142:$AG$142,0))</f>
        <v>231.14980664663281</v>
      </c>
    </row>
    <row r="64" spans="1:34">
      <c r="A64" t="str">
        <f>CYF!A64</f>
        <v>Coffee</v>
      </c>
      <c r="B64" t="str">
        <f>CYF!B64</f>
        <v>Harari</v>
      </c>
      <c r="C64" s="2">
        <f>Crop!C64*(1+Profit_Margin)/INDEX(Crop!$AB$157:$AG$157,MATCH($A64,Crop!$AB$142:$AG$142,0))</f>
        <v>202.08920660675537</v>
      </c>
      <c r="D64" s="2">
        <f>Crop!D64*(1+Profit_Margin)/INDEX(Crop!$AB$157:$AG$157,MATCH($A64,Crop!$AB$142:$AG$142,0))</f>
        <v>231.09884824373319</v>
      </c>
      <c r="E64" s="2">
        <f>Crop!E64*(1+Profit_Margin)/INDEX(Crop!$AB$157:$AG$157,MATCH($A64,Crop!$AB$142:$AG$142,0))</f>
        <v>202.08920660675537</v>
      </c>
      <c r="F64" s="2">
        <f>Crop!F64*(1+Profit_Margin)/INDEX(Crop!$AB$157:$AG$157,MATCH($A64,Crop!$AB$142:$AG$142,0))</f>
        <v>231.09884824373319</v>
      </c>
      <c r="G64" s="2">
        <f>Crop!G64*(1+Profit_Margin)/INDEX(Crop!$AB$157:$AG$157,MATCH($A64,Crop!$AB$142:$AG$142,0))</f>
        <v>202.08920660675537</v>
      </c>
      <c r="H64" s="2">
        <f>Crop!H64*(1+Profit_Margin)/INDEX(Crop!$AB$157:$AG$157,MATCH($A64,Crop!$AB$142:$AG$142,0))</f>
        <v>231.09884824373319</v>
      </c>
      <c r="I64" s="2">
        <f>Crop!I64*(1+Profit_Margin)/INDEX(Crop!$AB$157:$AG$157,MATCH($A64,Crop!$AB$142:$AG$142,0))</f>
        <v>202.08920660675537</v>
      </c>
      <c r="J64" s="2">
        <f>Crop!J64*(1+Profit_Margin)/INDEX(Crop!$AB$157:$AG$157,MATCH($A64,Crop!$AB$142:$AG$142,0))</f>
        <v>231.09884824373319</v>
      </c>
      <c r="K64" s="2">
        <f>Crop!K64*(1+Profit_Margin)/INDEX(Crop!$AB$157:$AG$157,MATCH($A64,Crop!$AB$142:$AG$142,0))</f>
        <v>202.08920660675537</v>
      </c>
      <c r="L64" s="2">
        <f>Crop!L64*(1+Profit_Margin)/INDEX(Crop!$AB$157:$AG$157,MATCH($A64,Crop!$AB$142:$AG$142,0))</f>
        <v>231.09884824373319</v>
      </c>
      <c r="M64" s="2">
        <f>Crop!M64*(1+Profit_Margin)/INDEX(Crop!$AB$157:$AG$157,MATCH($A64,Crop!$AB$142:$AG$142,0))</f>
        <v>202.08920660675537</v>
      </c>
      <c r="N64" s="2">
        <f>Crop!N64*(1+Profit_Margin)/INDEX(Crop!$AB$157:$AG$157,MATCH($A64,Crop!$AB$142:$AG$142,0))</f>
        <v>231.09884824373319</v>
      </c>
      <c r="O64" s="2">
        <f>Crop!O64*(1+Profit_Margin)/INDEX(Crop!$AB$157:$AG$157,MATCH($A64,Crop!$AB$142:$AG$142,0))</f>
        <v>202.08920660675537</v>
      </c>
      <c r="P64" s="2">
        <f>Crop!P64*(1+Profit_Margin)/INDEX(Crop!$AB$157:$AG$157,MATCH($A64,Crop!$AB$142:$AG$142,0))</f>
        <v>231.09884824373319</v>
      </c>
      <c r="Q64" s="2">
        <f>Crop!Q64*(1+Profit_Margin)/INDEX(Crop!$AB$157:$AG$157,MATCH($A64,Crop!$AB$142:$AG$142,0))</f>
        <v>202.08920660675537</v>
      </c>
      <c r="R64" s="2">
        <f>Crop!R64*(1+Profit_Margin)/INDEX(Crop!$AB$157:$AG$157,MATCH($A64,Crop!$AB$142:$AG$142,0))</f>
        <v>231.09884824373319</v>
      </c>
      <c r="S64" s="2">
        <f>Crop!S64*(1+Profit_Margin)/INDEX(Crop!$AB$157:$AG$157,MATCH($A64,Crop!$AB$142:$AG$142,0))</f>
        <v>202.08920660675537</v>
      </c>
      <c r="T64" s="2">
        <f>Crop!T64*(1+Profit_Margin)/INDEX(Crop!$AB$157:$AG$157,MATCH($A64,Crop!$AB$142:$AG$142,0))</f>
        <v>231.09884824373319</v>
      </c>
      <c r="U64" s="2">
        <f>Crop!U64*(1+Profit_Margin)/INDEX(Crop!$AB$157:$AG$157,MATCH($A64,Crop!$AB$142:$AG$142,0))</f>
        <v>202.08920660675537</v>
      </c>
      <c r="V64" s="2">
        <f>Crop!V64*(1+Profit_Margin)/INDEX(Crop!$AB$157:$AG$157,MATCH($A64,Crop!$AB$142:$AG$142,0))</f>
        <v>231.09884824373319</v>
      </c>
      <c r="W64" s="2">
        <f>Crop!W64*(1+Profit_Margin)/INDEX(Crop!$AB$157:$AG$157,MATCH($A64,Crop!$AB$142:$AG$142,0))</f>
        <v>202.08920660675537</v>
      </c>
      <c r="X64" s="2">
        <f>Crop!X64*(1+Profit_Margin)/INDEX(Crop!$AB$157:$AG$157,MATCH($A64,Crop!$AB$142:$AG$142,0))</f>
        <v>231.09884824373319</v>
      </c>
      <c r="Y64" s="2">
        <f>Crop!Y64*(1+Profit_Margin)/INDEX(Crop!$AB$157:$AG$157,MATCH($A64,Crop!$AB$142:$AG$142,0))</f>
        <v>202.08920660675537</v>
      </c>
      <c r="Z64" s="2">
        <f>Crop!Z64*(1+Profit_Margin)/INDEX(Crop!$AB$157:$AG$157,MATCH($A64,Crop!$AB$142:$AG$142,0))</f>
        <v>231.09884824373319</v>
      </c>
      <c r="AA64" s="2">
        <f>Crop!AA64*(1+Profit_Margin)/INDEX(Crop!$AB$157:$AG$157,MATCH($A64,Crop!$AB$142:$AG$142,0))</f>
        <v>202.08920660675537</v>
      </c>
      <c r="AB64" s="2">
        <f>Crop!AB64*(1+Profit_Margin)/INDEX(Crop!$AB$157:$AG$157,MATCH($A64,Crop!$AB$142:$AG$142,0))</f>
        <v>231.09884824373319</v>
      </c>
      <c r="AC64" s="2">
        <f>Crop!AC64*(1+Profit_Margin)/INDEX(Crop!$AB$157:$AG$157,MATCH($A64,Crop!$AB$142:$AG$142,0))</f>
        <v>202.08920660675537</v>
      </c>
      <c r="AD64" s="2">
        <f>Crop!AD64*(1+Profit_Margin)/INDEX(Crop!$AB$157:$AG$157,MATCH($A64,Crop!$AB$142:$AG$142,0))</f>
        <v>231.09884824373319</v>
      </c>
      <c r="AE64" s="2">
        <f>Crop!AE64*(1+Profit_Margin)/INDEX(Crop!$AB$157:$AG$157,MATCH($A64,Crop!$AB$142:$AG$142,0))</f>
        <v>202.08920660675537</v>
      </c>
      <c r="AF64" s="2">
        <f>Crop!AF64*(1+Profit_Margin)/INDEX(Crop!$AB$157:$AG$157,MATCH($A64,Crop!$AB$142:$AG$142,0))</f>
        <v>231.09884824373319</v>
      </c>
      <c r="AG64" s="2">
        <f>Crop!AG64*(1+Profit_Margin)/INDEX(Crop!$AB$157:$AG$157,MATCH($A64,Crop!$AB$142:$AG$142,0))</f>
        <v>202.08920660675537</v>
      </c>
      <c r="AH64" s="2">
        <f>Crop!AH64*(1+Profit_Margin)/INDEX(Crop!$AB$157:$AG$157,MATCH($A64,Crop!$AB$142:$AG$142,0))</f>
        <v>231.09884824373319</v>
      </c>
    </row>
    <row r="65" spans="1:34">
      <c r="A65" t="str">
        <f>CYF!A65</f>
        <v>Coffee</v>
      </c>
      <c r="B65" t="str">
        <f>CYF!B65</f>
        <v>Oromia</v>
      </c>
      <c r="C65" s="2">
        <f>Crop!C65*(1+Profit_Margin)/INDEX(Crop!$AB$157:$AG$157,MATCH($A65,Crop!$AB$142:$AG$142,0))</f>
        <v>175.99337872039769</v>
      </c>
      <c r="D65" s="2">
        <f>Crop!D65*(1+Profit_Margin)/INDEX(Crop!$AB$157:$AG$157,MATCH($A65,Crop!$AB$142:$AG$142,0))</f>
        <v>215.87783786627963</v>
      </c>
      <c r="E65" s="2">
        <f>Crop!E65*(1+Profit_Margin)/INDEX(Crop!$AB$157:$AG$157,MATCH($A65,Crop!$AB$142:$AG$142,0))</f>
        <v>175.99337872039769</v>
      </c>
      <c r="F65" s="2">
        <f>Crop!F65*(1+Profit_Margin)/INDEX(Crop!$AB$157:$AG$157,MATCH($A65,Crop!$AB$142:$AG$142,0))</f>
        <v>215.87783786627963</v>
      </c>
      <c r="G65" s="2">
        <f>Crop!G65*(1+Profit_Margin)/INDEX(Crop!$AB$157:$AG$157,MATCH($A65,Crop!$AB$142:$AG$142,0))</f>
        <v>175.99337872039769</v>
      </c>
      <c r="H65" s="2">
        <f>Crop!H65*(1+Profit_Margin)/INDEX(Crop!$AB$157:$AG$157,MATCH($A65,Crop!$AB$142:$AG$142,0))</f>
        <v>215.87783786627963</v>
      </c>
      <c r="I65" s="2">
        <f>Crop!I65*(1+Profit_Margin)/INDEX(Crop!$AB$157:$AG$157,MATCH($A65,Crop!$AB$142:$AG$142,0))</f>
        <v>175.99337872039769</v>
      </c>
      <c r="J65" s="2">
        <f>Crop!J65*(1+Profit_Margin)/INDEX(Crop!$AB$157:$AG$157,MATCH($A65,Crop!$AB$142:$AG$142,0))</f>
        <v>215.87783786627963</v>
      </c>
      <c r="K65" s="2">
        <f>Crop!K65*(1+Profit_Margin)/INDEX(Crop!$AB$157:$AG$157,MATCH($A65,Crop!$AB$142:$AG$142,0))</f>
        <v>175.99337872039769</v>
      </c>
      <c r="L65" s="2">
        <f>Crop!L65*(1+Profit_Margin)/INDEX(Crop!$AB$157:$AG$157,MATCH($A65,Crop!$AB$142:$AG$142,0))</f>
        <v>215.87783786627963</v>
      </c>
      <c r="M65" s="2">
        <f>Crop!M65*(1+Profit_Margin)/INDEX(Crop!$AB$157:$AG$157,MATCH($A65,Crop!$AB$142:$AG$142,0))</f>
        <v>175.99337872039769</v>
      </c>
      <c r="N65" s="2">
        <f>Crop!N65*(1+Profit_Margin)/INDEX(Crop!$AB$157:$AG$157,MATCH($A65,Crop!$AB$142:$AG$142,0))</f>
        <v>215.87783786627963</v>
      </c>
      <c r="O65" s="2">
        <f>Crop!O65*(1+Profit_Margin)/INDEX(Crop!$AB$157:$AG$157,MATCH($A65,Crop!$AB$142:$AG$142,0))</f>
        <v>175.99337872039769</v>
      </c>
      <c r="P65" s="2">
        <f>Crop!P65*(1+Profit_Margin)/INDEX(Crop!$AB$157:$AG$157,MATCH($A65,Crop!$AB$142:$AG$142,0))</f>
        <v>215.87783786627963</v>
      </c>
      <c r="Q65" s="2">
        <f>Crop!Q65*(1+Profit_Margin)/INDEX(Crop!$AB$157:$AG$157,MATCH($A65,Crop!$AB$142:$AG$142,0))</f>
        <v>175.99337872039769</v>
      </c>
      <c r="R65" s="2">
        <f>Crop!R65*(1+Profit_Margin)/INDEX(Crop!$AB$157:$AG$157,MATCH($A65,Crop!$AB$142:$AG$142,0))</f>
        <v>215.87783786627963</v>
      </c>
      <c r="S65" s="2">
        <f>Crop!S65*(1+Profit_Margin)/INDEX(Crop!$AB$157:$AG$157,MATCH($A65,Crop!$AB$142:$AG$142,0))</f>
        <v>175.99337872039769</v>
      </c>
      <c r="T65" s="2">
        <f>Crop!T65*(1+Profit_Margin)/INDEX(Crop!$AB$157:$AG$157,MATCH($A65,Crop!$AB$142:$AG$142,0))</f>
        <v>215.87783786627963</v>
      </c>
      <c r="U65" s="2">
        <f>Crop!U65*(1+Profit_Margin)/INDEX(Crop!$AB$157:$AG$157,MATCH($A65,Crop!$AB$142:$AG$142,0))</f>
        <v>175.99337872039769</v>
      </c>
      <c r="V65" s="2">
        <f>Crop!V65*(1+Profit_Margin)/INDEX(Crop!$AB$157:$AG$157,MATCH($A65,Crop!$AB$142:$AG$142,0))</f>
        <v>215.87783786627963</v>
      </c>
      <c r="W65" s="2">
        <f>Crop!W65*(1+Profit_Margin)/INDEX(Crop!$AB$157:$AG$157,MATCH($A65,Crop!$AB$142:$AG$142,0))</f>
        <v>175.99337872039769</v>
      </c>
      <c r="X65" s="2">
        <f>Crop!X65*(1+Profit_Margin)/INDEX(Crop!$AB$157:$AG$157,MATCH($A65,Crop!$AB$142:$AG$142,0))</f>
        <v>215.87783786627963</v>
      </c>
      <c r="Y65" s="2">
        <f>Crop!Y65*(1+Profit_Margin)/INDEX(Crop!$AB$157:$AG$157,MATCH($A65,Crop!$AB$142:$AG$142,0))</f>
        <v>175.99337872039769</v>
      </c>
      <c r="Z65" s="2">
        <f>Crop!Z65*(1+Profit_Margin)/INDEX(Crop!$AB$157:$AG$157,MATCH($A65,Crop!$AB$142:$AG$142,0))</f>
        <v>215.87783786627963</v>
      </c>
      <c r="AA65" s="2">
        <f>Crop!AA65*(1+Profit_Margin)/INDEX(Crop!$AB$157:$AG$157,MATCH($A65,Crop!$AB$142:$AG$142,0))</f>
        <v>175.99337872039769</v>
      </c>
      <c r="AB65" s="2">
        <f>Crop!AB65*(1+Profit_Margin)/INDEX(Crop!$AB$157:$AG$157,MATCH($A65,Crop!$AB$142:$AG$142,0))</f>
        <v>215.87783786627963</v>
      </c>
      <c r="AC65" s="2">
        <f>Crop!AC65*(1+Profit_Margin)/INDEX(Crop!$AB$157:$AG$157,MATCH($A65,Crop!$AB$142:$AG$142,0))</f>
        <v>175.99337872039769</v>
      </c>
      <c r="AD65" s="2">
        <f>Crop!AD65*(1+Profit_Margin)/INDEX(Crop!$AB$157:$AG$157,MATCH($A65,Crop!$AB$142:$AG$142,0))</f>
        <v>215.87783786627963</v>
      </c>
      <c r="AE65" s="2">
        <f>Crop!AE65*(1+Profit_Margin)/INDEX(Crop!$AB$157:$AG$157,MATCH($A65,Crop!$AB$142:$AG$142,0))</f>
        <v>175.99337872039769</v>
      </c>
      <c r="AF65" s="2">
        <f>Crop!AF65*(1+Profit_Margin)/INDEX(Crop!$AB$157:$AG$157,MATCH($A65,Crop!$AB$142:$AG$142,0))</f>
        <v>215.87783786627963</v>
      </c>
      <c r="AG65" s="2">
        <f>Crop!AG65*(1+Profit_Margin)/INDEX(Crop!$AB$157:$AG$157,MATCH($A65,Crop!$AB$142:$AG$142,0))</f>
        <v>175.99337872039769</v>
      </c>
      <c r="AH65" s="2">
        <f>Crop!AH65*(1+Profit_Margin)/INDEX(Crop!$AB$157:$AG$157,MATCH($A65,Crop!$AB$142:$AG$142,0))</f>
        <v>215.87783786627963</v>
      </c>
    </row>
    <row r="66" spans="1:34">
      <c r="A66" t="str">
        <f>CYF!A66</f>
        <v>Coffee</v>
      </c>
      <c r="B66" t="str">
        <f>CYF!B66</f>
        <v>Somali</v>
      </c>
      <c r="C66" s="2">
        <f>Crop!C66*(1+Profit_Margin)/INDEX(Crop!$AB$157:$AG$157,MATCH($A66,Crop!$AB$142:$AG$142,0))</f>
        <v>175.17705195108491</v>
      </c>
      <c r="D66" s="2">
        <f>Crop!D66*(1+Profit_Margin)/INDEX(Crop!$AB$157:$AG$157,MATCH($A66,Crop!$AB$142:$AG$142,0))</f>
        <v>213.98506528512553</v>
      </c>
      <c r="E66" s="2">
        <f>Crop!E66*(1+Profit_Margin)/INDEX(Crop!$AB$157:$AG$157,MATCH($A66,Crop!$AB$142:$AG$142,0))</f>
        <v>175.17705195108491</v>
      </c>
      <c r="F66" s="2">
        <f>Crop!F66*(1+Profit_Margin)/INDEX(Crop!$AB$157:$AG$157,MATCH($A66,Crop!$AB$142:$AG$142,0))</f>
        <v>213.98506528512553</v>
      </c>
      <c r="G66" s="2">
        <f>Crop!G66*(1+Profit_Margin)/INDEX(Crop!$AB$157:$AG$157,MATCH($A66,Crop!$AB$142:$AG$142,0))</f>
        <v>175.17705195108491</v>
      </c>
      <c r="H66" s="2">
        <f>Crop!H66*(1+Profit_Margin)/INDEX(Crop!$AB$157:$AG$157,MATCH($A66,Crop!$AB$142:$AG$142,0))</f>
        <v>213.98506528512553</v>
      </c>
      <c r="I66" s="2">
        <f>Crop!I66*(1+Profit_Margin)/INDEX(Crop!$AB$157:$AG$157,MATCH($A66,Crop!$AB$142:$AG$142,0))</f>
        <v>175.17705195108491</v>
      </c>
      <c r="J66" s="2">
        <f>Crop!J66*(1+Profit_Margin)/INDEX(Crop!$AB$157:$AG$157,MATCH($A66,Crop!$AB$142:$AG$142,0))</f>
        <v>213.98506528512553</v>
      </c>
      <c r="K66" s="2">
        <f>Crop!K66*(1+Profit_Margin)/INDEX(Crop!$AB$157:$AG$157,MATCH($A66,Crop!$AB$142:$AG$142,0))</f>
        <v>175.17705195108491</v>
      </c>
      <c r="L66" s="2">
        <f>Crop!L66*(1+Profit_Margin)/INDEX(Crop!$AB$157:$AG$157,MATCH($A66,Crop!$AB$142:$AG$142,0))</f>
        <v>213.98506528512553</v>
      </c>
      <c r="M66" s="2">
        <f>Crop!M66*(1+Profit_Margin)/INDEX(Crop!$AB$157:$AG$157,MATCH($A66,Crop!$AB$142:$AG$142,0))</f>
        <v>175.17705195108491</v>
      </c>
      <c r="N66" s="2">
        <f>Crop!N66*(1+Profit_Margin)/INDEX(Crop!$AB$157:$AG$157,MATCH($A66,Crop!$AB$142:$AG$142,0))</f>
        <v>213.98506528512553</v>
      </c>
      <c r="O66" s="2">
        <f>Crop!O66*(1+Profit_Margin)/INDEX(Crop!$AB$157:$AG$157,MATCH($A66,Crop!$AB$142:$AG$142,0))</f>
        <v>175.17705195108491</v>
      </c>
      <c r="P66" s="2">
        <f>Crop!P66*(1+Profit_Margin)/INDEX(Crop!$AB$157:$AG$157,MATCH($A66,Crop!$AB$142:$AG$142,0))</f>
        <v>213.98506528512553</v>
      </c>
      <c r="Q66" s="2">
        <f>Crop!Q66*(1+Profit_Margin)/INDEX(Crop!$AB$157:$AG$157,MATCH($A66,Crop!$AB$142:$AG$142,0))</f>
        <v>175.17705195108491</v>
      </c>
      <c r="R66" s="2">
        <f>Crop!R66*(1+Profit_Margin)/INDEX(Crop!$AB$157:$AG$157,MATCH($A66,Crop!$AB$142:$AG$142,0))</f>
        <v>213.98506528512553</v>
      </c>
      <c r="S66" s="2">
        <f>Crop!S66*(1+Profit_Margin)/INDEX(Crop!$AB$157:$AG$157,MATCH($A66,Crop!$AB$142:$AG$142,0))</f>
        <v>175.17705195108491</v>
      </c>
      <c r="T66" s="2">
        <f>Crop!T66*(1+Profit_Margin)/INDEX(Crop!$AB$157:$AG$157,MATCH($A66,Crop!$AB$142:$AG$142,0))</f>
        <v>213.98506528512553</v>
      </c>
      <c r="U66" s="2">
        <f>Crop!U66*(1+Profit_Margin)/INDEX(Crop!$AB$157:$AG$157,MATCH($A66,Crop!$AB$142:$AG$142,0))</f>
        <v>175.17705195108491</v>
      </c>
      <c r="V66" s="2">
        <f>Crop!V66*(1+Profit_Margin)/INDEX(Crop!$AB$157:$AG$157,MATCH($A66,Crop!$AB$142:$AG$142,0))</f>
        <v>213.98506528512553</v>
      </c>
      <c r="W66" s="2">
        <f>Crop!W66*(1+Profit_Margin)/INDEX(Crop!$AB$157:$AG$157,MATCH($A66,Crop!$AB$142:$AG$142,0))</f>
        <v>175.17705195108491</v>
      </c>
      <c r="X66" s="2">
        <f>Crop!X66*(1+Profit_Margin)/INDEX(Crop!$AB$157:$AG$157,MATCH($A66,Crop!$AB$142:$AG$142,0))</f>
        <v>213.98506528512553</v>
      </c>
      <c r="Y66" s="2">
        <f>Crop!Y66*(1+Profit_Margin)/INDEX(Crop!$AB$157:$AG$157,MATCH($A66,Crop!$AB$142:$AG$142,0))</f>
        <v>175.17705195108491</v>
      </c>
      <c r="Z66" s="2">
        <f>Crop!Z66*(1+Profit_Margin)/INDEX(Crop!$AB$157:$AG$157,MATCH($A66,Crop!$AB$142:$AG$142,0))</f>
        <v>213.98506528512553</v>
      </c>
      <c r="AA66" s="2">
        <f>Crop!AA66*(1+Profit_Margin)/INDEX(Crop!$AB$157:$AG$157,MATCH($A66,Crop!$AB$142:$AG$142,0))</f>
        <v>175.17705195108491</v>
      </c>
      <c r="AB66" s="2">
        <f>Crop!AB66*(1+Profit_Margin)/INDEX(Crop!$AB$157:$AG$157,MATCH($A66,Crop!$AB$142:$AG$142,0))</f>
        <v>213.98506528512553</v>
      </c>
      <c r="AC66" s="2">
        <f>Crop!AC66*(1+Profit_Margin)/INDEX(Crop!$AB$157:$AG$157,MATCH($A66,Crop!$AB$142:$AG$142,0))</f>
        <v>175.17705195108491</v>
      </c>
      <c r="AD66" s="2">
        <f>Crop!AD66*(1+Profit_Margin)/INDEX(Crop!$AB$157:$AG$157,MATCH($A66,Crop!$AB$142:$AG$142,0))</f>
        <v>213.98506528512553</v>
      </c>
      <c r="AE66" s="2">
        <f>Crop!AE66*(1+Profit_Margin)/INDEX(Crop!$AB$157:$AG$157,MATCH($A66,Crop!$AB$142:$AG$142,0))</f>
        <v>175.17705195108491</v>
      </c>
      <c r="AF66" s="2">
        <f>Crop!AF66*(1+Profit_Margin)/INDEX(Crop!$AB$157:$AG$157,MATCH($A66,Crop!$AB$142:$AG$142,0))</f>
        <v>213.98506528512553</v>
      </c>
      <c r="AG66" s="2">
        <f>Crop!AG66*(1+Profit_Margin)/INDEX(Crop!$AB$157:$AG$157,MATCH($A66,Crop!$AB$142:$AG$142,0))</f>
        <v>175.17705195108491</v>
      </c>
      <c r="AH66" s="2">
        <f>Crop!AH66*(1+Profit_Margin)/INDEX(Crop!$AB$157:$AG$157,MATCH($A66,Crop!$AB$142:$AG$142,0))</f>
        <v>213.98506528512553</v>
      </c>
    </row>
    <row r="67" spans="1:34">
      <c r="A67" t="str">
        <f>CYF!A67</f>
        <v>Coffee</v>
      </c>
      <c r="B67" t="str">
        <f>CYF!B67</f>
        <v>SNNPR</v>
      </c>
      <c r="C67" s="2">
        <f>Crop!C67*(1+Profit_Margin)/INDEX(Crop!$AB$157:$AG$157,MATCH($A67,Crop!$AB$142:$AG$142,0))</f>
        <v>197.39131325268391</v>
      </c>
      <c r="D67" s="2">
        <f>Crop!D67*(1+Profit_Margin)/INDEX(Crop!$AB$157:$AG$157,MATCH($A67,Crop!$AB$142:$AG$142,0))</f>
        <v>219.89194636318436</v>
      </c>
      <c r="E67" s="2">
        <f>Crop!E67*(1+Profit_Margin)/INDEX(Crop!$AB$157:$AG$157,MATCH($A67,Crop!$AB$142:$AG$142,0))</f>
        <v>197.39131325268391</v>
      </c>
      <c r="F67" s="2">
        <f>Crop!F67*(1+Profit_Margin)/INDEX(Crop!$AB$157:$AG$157,MATCH($A67,Crop!$AB$142:$AG$142,0))</f>
        <v>219.89194636318436</v>
      </c>
      <c r="G67" s="2">
        <f>Crop!G67*(1+Profit_Margin)/INDEX(Crop!$AB$157:$AG$157,MATCH($A67,Crop!$AB$142:$AG$142,0))</f>
        <v>197.39131325268391</v>
      </c>
      <c r="H67" s="2">
        <f>Crop!H67*(1+Profit_Margin)/INDEX(Crop!$AB$157:$AG$157,MATCH($A67,Crop!$AB$142:$AG$142,0))</f>
        <v>219.89194636318436</v>
      </c>
      <c r="I67" s="2">
        <f>Crop!I67*(1+Profit_Margin)/INDEX(Crop!$AB$157:$AG$157,MATCH($A67,Crop!$AB$142:$AG$142,0))</f>
        <v>197.39131325268391</v>
      </c>
      <c r="J67" s="2">
        <f>Crop!J67*(1+Profit_Margin)/INDEX(Crop!$AB$157:$AG$157,MATCH($A67,Crop!$AB$142:$AG$142,0))</f>
        <v>219.89194636318436</v>
      </c>
      <c r="K67" s="2">
        <f>Crop!K67*(1+Profit_Margin)/INDEX(Crop!$AB$157:$AG$157,MATCH($A67,Crop!$AB$142:$AG$142,0))</f>
        <v>197.39131325268391</v>
      </c>
      <c r="L67" s="2">
        <f>Crop!L67*(1+Profit_Margin)/INDEX(Crop!$AB$157:$AG$157,MATCH($A67,Crop!$AB$142:$AG$142,0))</f>
        <v>219.89194636318436</v>
      </c>
      <c r="M67" s="2">
        <f>Crop!M67*(1+Profit_Margin)/INDEX(Crop!$AB$157:$AG$157,MATCH($A67,Crop!$AB$142:$AG$142,0))</f>
        <v>197.39131325268391</v>
      </c>
      <c r="N67" s="2">
        <f>Crop!N67*(1+Profit_Margin)/INDEX(Crop!$AB$157:$AG$157,MATCH($A67,Crop!$AB$142:$AG$142,0))</f>
        <v>219.89194636318436</v>
      </c>
      <c r="O67" s="2">
        <f>Crop!O67*(1+Profit_Margin)/INDEX(Crop!$AB$157:$AG$157,MATCH($A67,Crop!$AB$142:$AG$142,0))</f>
        <v>197.39131325268391</v>
      </c>
      <c r="P67" s="2">
        <f>Crop!P67*(1+Profit_Margin)/INDEX(Crop!$AB$157:$AG$157,MATCH($A67,Crop!$AB$142:$AG$142,0))</f>
        <v>219.89194636318436</v>
      </c>
      <c r="Q67" s="2">
        <f>Crop!Q67*(1+Profit_Margin)/INDEX(Crop!$AB$157:$AG$157,MATCH($A67,Crop!$AB$142:$AG$142,0))</f>
        <v>197.39131325268391</v>
      </c>
      <c r="R67" s="2">
        <f>Crop!R67*(1+Profit_Margin)/INDEX(Crop!$AB$157:$AG$157,MATCH($A67,Crop!$AB$142:$AG$142,0))</f>
        <v>219.89194636318436</v>
      </c>
      <c r="S67" s="2">
        <f>Crop!S67*(1+Profit_Margin)/INDEX(Crop!$AB$157:$AG$157,MATCH($A67,Crop!$AB$142:$AG$142,0))</f>
        <v>197.39131325268391</v>
      </c>
      <c r="T67" s="2">
        <f>Crop!T67*(1+Profit_Margin)/INDEX(Crop!$AB$157:$AG$157,MATCH($A67,Crop!$AB$142:$AG$142,0))</f>
        <v>219.89194636318436</v>
      </c>
      <c r="U67" s="2">
        <f>Crop!U67*(1+Profit_Margin)/INDEX(Crop!$AB$157:$AG$157,MATCH($A67,Crop!$AB$142:$AG$142,0))</f>
        <v>197.39131325268391</v>
      </c>
      <c r="V67" s="2">
        <f>Crop!V67*(1+Profit_Margin)/INDEX(Crop!$AB$157:$AG$157,MATCH($A67,Crop!$AB$142:$AG$142,0))</f>
        <v>219.89194636318436</v>
      </c>
      <c r="W67" s="2">
        <f>Crop!W67*(1+Profit_Margin)/INDEX(Crop!$AB$157:$AG$157,MATCH($A67,Crop!$AB$142:$AG$142,0))</f>
        <v>197.39131325268391</v>
      </c>
      <c r="X67" s="2">
        <f>Crop!X67*(1+Profit_Margin)/INDEX(Crop!$AB$157:$AG$157,MATCH($A67,Crop!$AB$142:$AG$142,0))</f>
        <v>219.89194636318436</v>
      </c>
      <c r="Y67" s="2">
        <f>Crop!Y67*(1+Profit_Margin)/INDEX(Crop!$AB$157:$AG$157,MATCH($A67,Crop!$AB$142:$AG$142,0))</f>
        <v>197.39131325268391</v>
      </c>
      <c r="Z67" s="2">
        <f>Crop!Z67*(1+Profit_Margin)/INDEX(Crop!$AB$157:$AG$157,MATCH($A67,Crop!$AB$142:$AG$142,0))</f>
        <v>219.89194636318436</v>
      </c>
      <c r="AA67" s="2">
        <f>Crop!AA67*(1+Profit_Margin)/INDEX(Crop!$AB$157:$AG$157,MATCH($A67,Crop!$AB$142:$AG$142,0))</f>
        <v>197.39131325268391</v>
      </c>
      <c r="AB67" s="2">
        <f>Crop!AB67*(1+Profit_Margin)/INDEX(Crop!$AB$157:$AG$157,MATCH($A67,Crop!$AB$142:$AG$142,0))</f>
        <v>219.89194636318436</v>
      </c>
      <c r="AC67" s="2">
        <f>Crop!AC67*(1+Profit_Margin)/INDEX(Crop!$AB$157:$AG$157,MATCH($A67,Crop!$AB$142:$AG$142,0))</f>
        <v>197.39131325268391</v>
      </c>
      <c r="AD67" s="2">
        <f>Crop!AD67*(1+Profit_Margin)/INDEX(Crop!$AB$157:$AG$157,MATCH($A67,Crop!$AB$142:$AG$142,0))</f>
        <v>219.89194636318436</v>
      </c>
      <c r="AE67" s="2">
        <f>Crop!AE67*(1+Profit_Margin)/INDEX(Crop!$AB$157:$AG$157,MATCH($A67,Crop!$AB$142:$AG$142,0))</f>
        <v>197.39131325268391</v>
      </c>
      <c r="AF67" s="2">
        <f>Crop!AF67*(1+Profit_Margin)/INDEX(Crop!$AB$157:$AG$157,MATCH($A67,Crop!$AB$142:$AG$142,0))</f>
        <v>219.89194636318436</v>
      </c>
      <c r="AG67" s="2">
        <f>Crop!AG67*(1+Profit_Margin)/INDEX(Crop!$AB$157:$AG$157,MATCH($A67,Crop!$AB$142:$AG$142,0))</f>
        <v>197.39131325268391</v>
      </c>
      <c r="AH67" s="2">
        <f>Crop!AH67*(1+Profit_Margin)/INDEX(Crop!$AB$157:$AG$157,MATCH($A67,Crop!$AB$142:$AG$142,0))</f>
        <v>219.89194636318436</v>
      </c>
    </row>
    <row r="68" spans="1:34">
      <c r="A68" t="str">
        <f>CYF!A68</f>
        <v>Coffee</v>
      </c>
      <c r="B68" t="str">
        <f>CYF!B68</f>
        <v>Tigray</v>
      </c>
      <c r="C68" s="2">
        <f>Crop!C68*(1+Profit_Margin)/INDEX(Crop!$AB$157:$AG$157,MATCH($A68,Crop!$AB$142:$AG$142,0))</f>
        <v>194.09154633971824</v>
      </c>
      <c r="D68" s="2">
        <f>Crop!D68*(1+Profit_Margin)/INDEX(Crop!$AB$157:$AG$157,MATCH($A68,Crop!$AB$142:$AG$142,0))</f>
        <v>211.77709142901372</v>
      </c>
      <c r="E68" s="2">
        <f>Crop!E68*(1+Profit_Margin)/INDEX(Crop!$AB$157:$AG$157,MATCH($A68,Crop!$AB$142:$AG$142,0))</f>
        <v>194.09154633971824</v>
      </c>
      <c r="F68" s="2">
        <f>Crop!F68*(1+Profit_Margin)/INDEX(Crop!$AB$157:$AG$157,MATCH($A68,Crop!$AB$142:$AG$142,0))</f>
        <v>211.77709142901372</v>
      </c>
      <c r="G68" s="2">
        <f>Crop!G68*(1+Profit_Margin)/INDEX(Crop!$AB$157:$AG$157,MATCH($A68,Crop!$AB$142:$AG$142,0))</f>
        <v>194.09154633971824</v>
      </c>
      <c r="H68" s="2">
        <f>Crop!H68*(1+Profit_Margin)/INDEX(Crop!$AB$157:$AG$157,MATCH($A68,Crop!$AB$142:$AG$142,0))</f>
        <v>211.77709142901372</v>
      </c>
      <c r="I68" s="2">
        <f>Crop!I68*(1+Profit_Margin)/INDEX(Crop!$AB$157:$AG$157,MATCH($A68,Crop!$AB$142:$AG$142,0))</f>
        <v>194.09154633971824</v>
      </c>
      <c r="J68" s="2">
        <f>Crop!J68*(1+Profit_Margin)/INDEX(Crop!$AB$157:$AG$157,MATCH($A68,Crop!$AB$142:$AG$142,0))</f>
        <v>211.77709142901372</v>
      </c>
      <c r="K68" s="2">
        <f>Crop!K68*(1+Profit_Margin)/INDEX(Crop!$AB$157:$AG$157,MATCH($A68,Crop!$AB$142:$AG$142,0))</f>
        <v>194.09154633971824</v>
      </c>
      <c r="L68" s="2">
        <f>Crop!L68*(1+Profit_Margin)/INDEX(Crop!$AB$157:$AG$157,MATCH($A68,Crop!$AB$142:$AG$142,0))</f>
        <v>211.77709142901372</v>
      </c>
      <c r="M68" s="2">
        <f>Crop!M68*(1+Profit_Margin)/INDEX(Crop!$AB$157:$AG$157,MATCH($A68,Crop!$AB$142:$AG$142,0))</f>
        <v>194.09154633971824</v>
      </c>
      <c r="N68" s="2">
        <f>Crop!N68*(1+Profit_Margin)/INDEX(Crop!$AB$157:$AG$157,MATCH($A68,Crop!$AB$142:$AG$142,0))</f>
        <v>211.77709142901372</v>
      </c>
      <c r="O68" s="2">
        <f>Crop!O68*(1+Profit_Margin)/INDEX(Crop!$AB$157:$AG$157,MATCH($A68,Crop!$AB$142:$AG$142,0))</f>
        <v>194.09154633971824</v>
      </c>
      <c r="P68" s="2">
        <f>Crop!P68*(1+Profit_Margin)/INDEX(Crop!$AB$157:$AG$157,MATCH($A68,Crop!$AB$142:$AG$142,0))</f>
        <v>211.77709142901372</v>
      </c>
      <c r="Q68" s="2">
        <f>Crop!Q68*(1+Profit_Margin)/INDEX(Crop!$AB$157:$AG$157,MATCH($A68,Crop!$AB$142:$AG$142,0))</f>
        <v>194.09154633971824</v>
      </c>
      <c r="R68" s="2">
        <f>Crop!R68*(1+Profit_Margin)/INDEX(Crop!$AB$157:$AG$157,MATCH($A68,Crop!$AB$142:$AG$142,0))</f>
        <v>211.77709142901372</v>
      </c>
      <c r="S68" s="2">
        <f>Crop!S68*(1+Profit_Margin)/INDEX(Crop!$AB$157:$AG$157,MATCH($A68,Crop!$AB$142:$AG$142,0))</f>
        <v>194.09154633971824</v>
      </c>
      <c r="T68" s="2">
        <f>Crop!T68*(1+Profit_Margin)/INDEX(Crop!$AB$157:$AG$157,MATCH($A68,Crop!$AB$142:$AG$142,0))</f>
        <v>211.77709142901372</v>
      </c>
      <c r="U68" s="2">
        <f>Crop!U68*(1+Profit_Margin)/INDEX(Crop!$AB$157:$AG$157,MATCH($A68,Crop!$AB$142:$AG$142,0))</f>
        <v>194.09154633971824</v>
      </c>
      <c r="V68" s="2">
        <f>Crop!V68*(1+Profit_Margin)/INDEX(Crop!$AB$157:$AG$157,MATCH($A68,Crop!$AB$142:$AG$142,0))</f>
        <v>211.77709142901372</v>
      </c>
      <c r="W68" s="2">
        <f>Crop!W68*(1+Profit_Margin)/INDEX(Crop!$AB$157:$AG$157,MATCH($A68,Crop!$AB$142:$AG$142,0))</f>
        <v>194.09154633971824</v>
      </c>
      <c r="X68" s="2">
        <f>Crop!X68*(1+Profit_Margin)/INDEX(Crop!$AB$157:$AG$157,MATCH($A68,Crop!$AB$142:$AG$142,0))</f>
        <v>211.77709142901372</v>
      </c>
      <c r="Y68" s="2">
        <f>Crop!Y68*(1+Profit_Margin)/INDEX(Crop!$AB$157:$AG$157,MATCH($A68,Crop!$AB$142:$AG$142,0))</f>
        <v>194.09154633971824</v>
      </c>
      <c r="Z68" s="2">
        <f>Crop!Z68*(1+Profit_Margin)/INDEX(Crop!$AB$157:$AG$157,MATCH($A68,Crop!$AB$142:$AG$142,0))</f>
        <v>211.77709142901372</v>
      </c>
      <c r="AA68" s="2">
        <f>Crop!AA68*(1+Profit_Margin)/INDEX(Crop!$AB$157:$AG$157,MATCH($A68,Crop!$AB$142:$AG$142,0))</f>
        <v>194.09154633971824</v>
      </c>
      <c r="AB68" s="2">
        <f>Crop!AB68*(1+Profit_Margin)/INDEX(Crop!$AB$157:$AG$157,MATCH($A68,Crop!$AB$142:$AG$142,0))</f>
        <v>211.77709142901372</v>
      </c>
      <c r="AC68" s="2">
        <f>Crop!AC68*(1+Profit_Margin)/INDEX(Crop!$AB$157:$AG$157,MATCH($A68,Crop!$AB$142:$AG$142,0))</f>
        <v>194.09154633971824</v>
      </c>
      <c r="AD68" s="2">
        <f>Crop!AD68*(1+Profit_Margin)/INDEX(Crop!$AB$157:$AG$157,MATCH($A68,Crop!$AB$142:$AG$142,0))</f>
        <v>211.77709142901372</v>
      </c>
      <c r="AE68" s="2">
        <f>Crop!AE68*(1+Profit_Margin)/INDEX(Crop!$AB$157:$AG$157,MATCH($A68,Crop!$AB$142:$AG$142,0))</f>
        <v>194.09154633971824</v>
      </c>
      <c r="AF68" s="2">
        <f>Crop!AF68*(1+Profit_Margin)/INDEX(Crop!$AB$157:$AG$157,MATCH($A68,Crop!$AB$142:$AG$142,0))</f>
        <v>211.77709142901372</v>
      </c>
      <c r="AG68" s="2">
        <f>Crop!AG68*(1+Profit_Margin)/INDEX(Crop!$AB$157:$AG$157,MATCH($A68,Crop!$AB$142:$AG$142,0))</f>
        <v>194.09154633971824</v>
      </c>
      <c r="AH68" s="2">
        <f>Crop!AH68*(1+Profit_Margin)/INDEX(Crop!$AB$157:$AG$157,MATCH($A68,Crop!$AB$142:$AG$142,0))</f>
        <v>211.77709142901372</v>
      </c>
    </row>
    <row r="69" spans="1:34">
      <c r="A69" t="s">
        <v>22</v>
      </c>
      <c r="B69" t="s">
        <v>5</v>
      </c>
      <c r="C69" s="67">
        <f>Cattle!$B82/INDEX(Cattle!$B$142:$Q$152,MATCH($B69,Cattle!$A$142:$A$152,0),MATCH(C$2,Cattle!$B$141:$Q$141,0))*(1+Profit_Margin)</f>
        <v>43.433007877523806</v>
      </c>
      <c r="D69" s="67">
        <f>Cattle!$B82/INDEX(Cattle!$B$142:$Q$152,MATCH($B69,Cattle!$A$142:$A$152,0),MATCH(D$2,Cattle!$B$141:$Q$141,0))*(1+Profit_Margin)</f>
        <v>43.433007877523806</v>
      </c>
      <c r="E69" s="67">
        <f>Cattle!$B82/INDEX(Cattle!$B$142:$Q$152,MATCH($B69,Cattle!$A$142:$A$152,0),MATCH(E$2,Cattle!$B$141:$Q$141,0))*(1+Profit_Margin)</f>
        <v>44.770632731901522</v>
      </c>
      <c r="F69" s="67">
        <f>Cattle!$B82/INDEX(Cattle!$B$142:$Q$152,MATCH($B69,Cattle!$A$142:$A$152,0),MATCH(F$2,Cattle!$B$141:$Q$141,0))*(1+Profit_Margin)</f>
        <v>44.770632731901522</v>
      </c>
      <c r="G69" s="67">
        <f>Cattle!$B82/INDEX(Cattle!$B$142:$Q$152,MATCH($B69,Cattle!$A$142:$A$152,0),MATCH(G$2,Cattle!$B$141:$Q$141,0))*(1+Profit_Margin)</f>
        <v>43.295589648581959</v>
      </c>
      <c r="H69" s="67">
        <f>Cattle!$B82/INDEX(Cattle!$B$142:$Q$152,MATCH($B69,Cattle!$A$142:$A$152,0),MATCH(H$2,Cattle!$B$141:$Q$141,0))*(1+Profit_Margin)</f>
        <v>43.295589648581959</v>
      </c>
      <c r="I69" s="67">
        <f>Cattle!$B82/INDEX(Cattle!$B$142:$Q$152,MATCH($B69,Cattle!$A$142:$A$152,0),MATCH(I$2,Cattle!$B$141:$Q$141,0))*(1+Profit_Margin)</f>
        <v>38.14454734687606</v>
      </c>
      <c r="J69" s="67">
        <f>Cattle!$B82/INDEX(Cattle!$B$142:$Q$152,MATCH($B69,Cattle!$A$142:$A$152,0),MATCH(J$2,Cattle!$B$141:$Q$141,0))*(1+Profit_Margin)</f>
        <v>38.14454734687606</v>
      </c>
      <c r="K69" s="67">
        <f>Cattle!$B82/INDEX(Cattle!$B$142:$Q$152,MATCH($B69,Cattle!$A$142:$A$152,0),MATCH(K$2,Cattle!$B$141:$Q$141,0))*(1+Profit_Margin)</f>
        <v>37.083100893905147</v>
      </c>
      <c r="L69" s="67">
        <f>Cattle!$B82/INDEX(Cattle!$B$142:$Q$152,MATCH($B69,Cattle!$A$142:$A$152,0),MATCH(L$2,Cattle!$B$141:$Q$141,0))*(1+Profit_Margin)</f>
        <v>37.083100893905147</v>
      </c>
      <c r="M69" s="67">
        <f>Cattle!$B82/INDEX(Cattle!$B$142:$Q$152,MATCH($B69,Cattle!$A$142:$A$152,0),MATCH(M$2,Cattle!$B$141:$Q$141,0))*(1+Profit_Margin)</f>
        <v>35.694178138769267</v>
      </c>
      <c r="N69" s="67">
        <f>Cattle!$B82/INDEX(Cattle!$B$142:$Q$152,MATCH($B69,Cattle!$A$142:$A$152,0),MATCH(N$2,Cattle!$B$141:$Q$141,0))*(1+Profit_Margin)</f>
        <v>35.694178138769267</v>
      </c>
      <c r="O69" s="67">
        <f>Cattle!$B82/INDEX(Cattle!$B$142:$Q$152,MATCH($B69,Cattle!$A$142:$A$152,0),MATCH(O$2,Cattle!$B$141:$Q$141,0))*(1+Profit_Margin)</f>
        <v>35.083344497099844</v>
      </c>
      <c r="P69" s="67">
        <f>Cattle!$B82/INDEX(Cattle!$B$142:$Q$152,MATCH($B69,Cattle!$A$142:$A$152,0),MATCH(P$2,Cattle!$B$141:$Q$141,0))*(1+Profit_Margin)</f>
        <v>35.083344497099844</v>
      </c>
      <c r="Q69" s="67">
        <f>Cattle!$B82/INDEX(Cattle!$B$142:$Q$152,MATCH($B69,Cattle!$A$142:$A$152,0),MATCH(Q$2,Cattle!$B$141:$Q$141,0))*(1+Profit_Margin)</f>
        <v>32.692107547193999</v>
      </c>
      <c r="R69" s="67">
        <f>Cattle!$B82/INDEX(Cattle!$B$142:$Q$152,MATCH($B69,Cattle!$A$142:$A$152,0),MATCH(R$2,Cattle!$B$141:$Q$141,0))*(1+Profit_Margin)</f>
        <v>32.692107547193999</v>
      </c>
      <c r="S69" s="67">
        <f>Cattle!$B82/INDEX(Cattle!$B$142:$Q$152,MATCH($B69,Cattle!$A$142:$A$152,0),MATCH(S$2,Cattle!$B$141:$Q$141,0))*(1+Profit_Margin)</f>
        <v>31.344309437476774</v>
      </c>
      <c r="T69" s="67">
        <f>Cattle!$B82/INDEX(Cattle!$B$142:$Q$152,MATCH($B69,Cattle!$A$142:$A$152,0),MATCH(T$2,Cattle!$B$141:$Q$141,0))*(1+Profit_Margin)</f>
        <v>31.344309437476774</v>
      </c>
      <c r="U69" s="67">
        <f>Cattle!$B82/INDEX(Cattle!$B$142:$Q$152,MATCH($B69,Cattle!$A$142:$A$152,0),MATCH(U$2,Cattle!$B$141:$Q$141,0))*(1+Profit_Margin)</f>
        <v>34.055704428306647</v>
      </c>
      <c r="V69" s="67">
        <f>Cattle!$B82/INDEX(Cattle!$B$142:$Q$152,MATCH($B69,Cattle!$A$142:$A$152,0),MATCH(V$2,Cattle!$B$141:$Q$141,0))*(1+Profit_Margin)</f>
        <v>34.055704428306647</v>
      </c>
      <c r="W69" s="67">
        <f>Cattle!$B82/INDEX(Cattle!$B$142:$Q$152,MATCH($B69,Cattle!$A$142:$A$152,0),MATCH(W$2,Cattle!$B$141:$Q$141,0))*(1+Profit_Margin)</f>
        <v>32.680673018629889</v>
      </c>
      <c r="X69" s="67">
        <f>Cattle!$B82/INDEX(Cattle!$B$142:$Q$152,MATCH($B69,Cattle!$A$142:$A$152,0),MATCH(X$2,Cattle!$B$141:$Q$141,0))*(1+Profit_Margin)</f>
        <v>32.680673018629889</v>
      </c>
      <c r="Y69" s="67">
        <f>Cattle!$B82/INDEX(Cattle!$B$142:$Q$152,MATCH($B69,Cattle!$A$142:$A$152,0),MATCH(Y$2,Cattle!$B$141:$Q$141,0))*(1+Profit_Margin)</f>
        <v>28.468339678097628</v>
      </c>
      <c r="Z69" s="67">
        <f>Cattle!$B82/INDEX(Cattle!$B$142:$Q$152,MATCH($B69,Cattle!$A$142:$A$152,0),MATCH(Z$2,Cattle!$B$141:$Q$141,0))*(1+Profit_Margin)</f>
        <v>28.468339678097628</v>
      </c>
      <c r="AA69" s="67">
        <f>Cattle!$B82/INDEX(Cattle!$B$142:$Q$152,MATCH($B69,Cattle!$A$142:$A$152,0),MATCH(AA$2,Cattle!$B$141:$Q$141,0))*(1+Profit_Margin)</f>
        <v>28.641766480150647</v>
      </c>
      <c r="AB69" s="67">
        <f>Cattle!$B82/INDEX(Cattle!$B$142:$Q$152,MATCH($B69,Cattle!$A$142:$A$152,0),MATCH(AB$2,Cattle!$B$141:$Q$141,0))*(1+Profit_Margin)</f>
        <v>28.641766480150647</v>
      </c>
      <c r="AC69" s="67">
        <f>Cattle!$B82/INDEX(Cattle!$B$142:$Q$152,MATCH($B69,Cattle!$A$142:$A$152,0),MATCH(AC$2,Cattle!$B$141:$Q$141,0))*(1+Profit_Margin)</f>
        <v>28.726522299222211</v>
      </c>
      <c r="AD69" s="67">
        <f>Cattle!$B82/INDEX(Cattle!$B$142:$Q$152,MATCH($B69,Cattle!$A$142:$A$152,0),MATCH(AD$2,Cattle!$B$141:$Q$141,0))*(1+Profit_Margin)</f>
        <v>28.726522299222211</v>
      </c>
      <c r="AE69" s="67">
        <f>Cattle!$B82/INDEX(Cattle!$B$142:$Q$152,MATCH($B69,Cattle!$A$142:$A$152,0),MATCH(AE$2,Cattle!$B$141:$Q$141,0))*(1+Profit_Margin)</f>
        <v>28.802991986519253</v>
      </c>
      <c r="AF69" s="67">
        <f>Cattle!$B82/INDEX(Cattle!$B$142:$Q$152,MATCH($B69,Cattle!$A$142:$A$152,0),MATCH(AF$2,Cattle!$B$141:$Q$141,0))*(1+Profit_Margin)</f>
        <v>28.802991986519253</v>
      </c>
      <c r="AG69" s="67">
        <f>Cattle!$B82/INDEX(Cattle!$B$142:$Q$152,MATCH($B69,Cattle!$A$142:$A$152,0),MATCH(AG$2,Cattle!$B$141:$Q$141,0))*(1+Profit_Margin)</f>
        <v>25.501774483878791</v>
      </c>
      <c r="AH69" s="67">
        <f>Cattle!$B82/INDEX(Cattle!$B$142:$Q$152,MATCH($B69,Cattle!$A$142:$A$152,0),MATCH(AH$2,Cattle!$B$141:$Q$141,0))*(1+Profit_Margin)</f>
        <v>25.501774483878791</v>
      </c>
    </row>
    <row r="70" spans="1:34">
      <c r="A70" t="s">
        <v>22</v>
      </c>
      <c r="B70" t="s">
        <v>6</v>
      </c>
      <c r="C70" s="67">
        <f>Cattle!$B83/INDEX(Cattle!$B$142:$Q$152,MATCH($B70,Cattle!$A$142:$A$152,0),MATCH(C$2,Cattle!$B$141:$Q$141,0))*(1+Profit_Margin)</f>
        <v>52.093956937322901</v>
      </c>
      <c r="D70" s="67">
        <f>Cattle!$B83/INDEX(Cattle!$B$142:$Q$152,MATCH($B70,Cattle!$A$142:$A$152,0),MATCH(D$2,Cattle!$B$141:$Q$141,0))*(1+Profit_Margin)</f>
        <v>52.093956937322901</v>
      </c>
      <c r="E70" s="67">
        <f>Cattle!$B83/INDEX(Cattle!$B$142:$Q$152,MATCH($B70,Cattle!$A$142:$A$152,0),MATCH(E$2,Cattle!$B$141:$Q$141,0))*(1+Profit_Margin)</f>
        <v>44.025885534798945</v>
      </c>
      <c r="F70" s="67">
        <f>Cattle!$B83/INDEX(Cattle!$B$142:$Q$152,MATCH($B70,Cattle!$A$142:$A$152,0),MATCH(F$2,Cattle!$B$141:$Q$141,0))*(1+Profit_Margin)</f>
        <v>44.025885534798945</v>
      </c>
      <c r="G70" s="67">
        <f>Cattle!$B83/INDEX(Cattle!$B$142:$Q$152,MATCH($B70,Cattle!$A$142:$A$152,0),MATCH(G$2,Cattle!$B$141:$Q$141,0))*(1+Profit_Margin)</f>
        <v>43.222370733823205</v>
      </c>
      <c r="H70" s="67">
        <f>Cattle!$B83/INDEX(Cattle!$B$142:$Q$152,MATCH($B70,Cattle!$A$142:$A$152,0),MATCH(H$2,Cattle!$B$141:$Q$141,0))*(1+Profit_Margin)</f>
        <v>43.222370733823205</v>
      </c>
      <c r="I70" s="67">
        <f>Cattle!$B83/INDEX(Cattle!$B$142:$Q$152,MATCH($B70,Cattle!$A$142:$A$152,0),MATCH(I$2,Cattle!$B$141:$Q$141,0))*(1+Profit_Margin)</f>
        <v>41.538333313185781</v>
      </c>
      <c r="J70" s="67">
        <f>Cattle!$B83/INDEX(Cattle!$B$142:$Q$152,MATCH($B70,Cattle!$A$142:$A$152,0),MATCH(J$2,Cattle!$B$141:$Q$141,0))*(1+Profit_Margin)</f>
        <v>41.538333313185781</v>
      </c>
      <c r="K70" s="67">
        <f>Cattle!$B83/INDEX(Cattle!$B$142:$Q$152,MATCH($B70,Cattle!$A$142:$A$152,0),MATCH(K$2,Cattle!$B$141:$Q$141,0))*(1+Profit_Margin)</f>
        <v>37.051242741759566</v>
      </c>
      <c r="L70" s="67">
        <f>Cattle!$B83/INDEX(Cattle!$B$142:$Q$152,MATCH($B70,Cattle!$A$142:$A$152,0),MATCH(L$2,Cattle!$B$141:$Q$141,0))*(1+Profit_Margin)</f>
        <v>37.051242741759566</v>
      </c>
      <c r="M70" s="67">
        <f>Cattle!$B83/INDEX(Cattle!$B$142:$Q$152,MATCH($B70,Cattle!$A$142:$A$152,0),MATCH(M$2,Cattle!$B$141:$Q$141,0))*(1+Profit_Margin)</f>
        <v>36.213342019224953</v>
      </c>
      <c r="N70" s="67">
        <f>Cattle!$B83/INDEX(Cattle!$B$142:$Q$152,MATCH($B70,Cattle!$A$142:$A$152,0),MATCH(N$2,Cattle!$B$141:$Q$141,0))*(1+Profit_Margin)</f>
        <v>36.213342019224953</v>
      </c>
      <c r="O70" s="67">
        <f>Cattle!$B83/INDEX(Cattle!$B$142:$Q$152,MATCH($B70,Cattle!$A$142:$A$152,0),MATCH(O$2,Cattle!$B$141:$Q$141,0))*(1+Profit_Margin)</f>
        <v>35.850483259813146</v>
      </c>
      <c r="P70" s="67">
        <f>Cattle!$B83/INDEX(Cattle!$B$142:$Q$152,MATCH($B70,Cattle!$A$142:$A$152,0),MATCH(P$2,Cattle!$B$141:$Q$141,0))*(1+Profit_Margin)</f>
        <v>35.850483259813146</v>
      </c>
      <c r="Q70" s="67">
        <f>Cattle!$B83/INDEX(Cattle!$B$142:$Q$152,MATCH($B70,Cattle!$A$142:$A$152,0),MATCH(Q$2,Cattle!$B$141:$Q$141,0))*(1+Profit_Margin)</f>
        <v>37.492708351969206</v>
      </c>
      <c r="R70" s="67">
        <f>Cattle!$B83/INDEX(Cattle!$B$142:$Q$152,MATCH($B70,Cattle!$A$142:$A$152,0),MATCH(R$2,Cattle!$B$141:$Q$141,0))*(1+Profit_Margin)</f>
        <v>37.492708351969206</v>
      </c>
      <c r="S70" s="67">
        <f>Cattle!$B83/INDEX(Cattle!$B$142:$Q$152,MATCH($B70,Cattle!$A$142:$A$152,0),MATCH(S$2,Cattle!$B$141:$Q$141,0))*(1+Profit_Margin)</f>
        <v>35.748449774204943</v>
      </c>
      <c r="T70" s="67">
        <f>Cattle!$B83/INDEX(Cattle!$B$142:$Q$152,MATCH($B70,Cattle!$A$142:$A$152,0),MATCH(T$2,Cattle!$B$141:$Q$141,0))*(1+Profit_Margin)</f>
        <v>35.748449774204943</v>
      </c>
      <c r="U70" s="67">
        <f>Cattle!$B83/INDEX(Cattle!$B$142:$Q$152,MATCH($B70,Cattle!$A$142:$A$152,0),MATCH(U$2,Cattle!$B$141:$Q$141,0))*(1+Profit_Margin)</f>
        <v>32.965157510258209</v>
      </c>
      <c r="V70" s="67">
        <f>Cattle!$B83/INDEX(Cattle!$B$142:$Q$152,MATCH($B70,Cattle!$A$142:$A$152,0),MATCH(V$2,Cattle!$B$141:$Q$141,0))*(1+Profit_Margin)</f>
        <v>32.965157510258209</v>
      </c>
      <c r="W70" s="67">
        <f>Cattle!$B83/INDEX(Cattle!$B$142:$Q$152,MATCH($B70,Cattle!$A$142:$A$152,0),MATCH(W$2,Cattle!$B$141:$Q$141,0))*(1+Profit_Margin)</f>
        <v>33.047196816957396</v>
      </c>
      <c r="X70" s="67">
        <f>Cattle!$B83/INDEX(Cattle!$B$142:$Q$152,MATCH($B70,Cattle!$A$142:$A$152,0),MATCH(X$2,Cattle!$B$141:$Q$141,0))*(1+Profit_Margin)</f>
        <v>33.047196816957396</v>
      </c>
      <c r="Y70" s="67">
        <f>Cattle!$B83/INDEX(Cattle!$B$142:$Q$152,MATCH($B70,Cattle!$A$142:$A$152,0),MATCH(Y$2,Cattle!$B$141:$Q$141,0))*(1+Profit_Margin)</f>
        <v>30.097230371030143</v>
      </c>
      <c r="Z70" s="67">
        <f>Cattle!$B83/INDEX(Cattle!$B$142:$Q$152,MATCH($B70,Cattle!$A$142:$A$152,0),MATCH(Z$2,Cattle!$B$141:$Q$141,0))*(1+Profit_Margin)</f>
        <v>30.097230371030143</v>
      </c>
      <c r="AA70" s="67">
        <f>Cattle!$B83/INDEX(Cattle!$B$142:$Q$152,MATCH($B70,Cattle!$A$142:$A$152,0),MATCH(AA$2,Cattle!$B$141:$Q$141,0))*(1+Profit_Margin)</f>
        <v>28.96043516373031</v>
      </c>
      <c r="AB70" s="67">
        <f>Cattle!$B83/INDEX(Cattle!$B$142:$Q$152,MATCH($B70,Cattle!$A$142:$A$152,0),MATCH(AB$2,Cattle!$B$141:$Q$141,0))*(1+Profit_Margin)</f>
        <v>28.96043516373031</v>
      </c>
      <c r="AC70" s="67">
        <f>Cattle!$B83/INDEX(Cattle!$B$142:$Q$152,MATCH($B70,Cattle!$A$142:$A$152,0),MATCH(AC$2,Cattle!$B$141:$Q$141,0))*(1+Profit_Margin)</f>
        <v>29.039316683848678</v>
      </c>
      <c r="AD70" s="67">
        <f>Cattle!$B83/INDEX(Cattle!$B$142:$Q$152,MATCH($B70,Cattle!$A$142:$A$152,0),MATCH(AD$2,Cattle!$B$141:$Q$141,0))*(1+Profit_Margin)</f>
        <v>29.039316683848678</v>
      </c>
      <c r="AE70" s="67">
        <f>Cattle!$B83/INDEX(Cattle!$B$142:$Q$152,MATCH($B70,Cattle!$A$142:$A$152,0),MATCH(AE$2,Cattle!$B$141:$Q$141,0))*(1+Profit_Margin)</f>
        <v>26.678607403550735</v>
      </c>
      <c r="AF70" s="67">
        <f>Cattle!$B83/INDEX(Cattle!$B$142:$Q$152,MATCH($B70,Cattle!$A$142:$A$152,0),MATCH(AF$2,Cattle!$B$141:$Q$141,0))*(1+Profit_Margin)</f>
        <v>26.678607403550735</v>
      </c>
      <c r="AG70" s="67">
        <f>Cattle!$B83/INDEX(Cattle!$B$142:$Q$152,MATCH($B70,Cattle!$A$142:$A$152,0),MATCH(AG$2,Cattle!$B$141:$Q$141,0))*(1+Profit_Margin)</f>
        <v>25.574472633260065</v>
      </c>
      <c r="AH70" s="67">
        <f>Cattle!$B83/INDEX(Cattle!$B$142:$Q$152,MATCH($B70,Cattle!$A$142:$A$152,0),MATCH(AH$2,Cattle!$B$141:$Q$141,0))*(1+Profit_Margin)</f>
        <v>25.574472633260065</v>
      </c>
    </row>
    <row r="71" spans="1:34">
      <c r="A71" t="s">
        <v>22</v>
      </c>
      <c r="B71" t="s">
        <v>7</v>
      </c>
      <c r="C71" s="67">
        <f>Cattle!$B84/INDEX(Cattle!$B$142:$Q$152,MATCH($B71,Cattle!$A$142:$A$152,0),MATCH(C$2,Cattle!$B$141:$Q$141,0))*(1+Profit_Margin)</f>
        <v>45.611994991383355</v>
      </c>
      <c r="D71" s="67">
        <f>Cattle!$B84/INDEX(Cattle!$B$142:$Q$152,MATCH($B71,Cattle!$A$142:$A$152,0),MATCH(D$2,Cattle!$B$141:$Q$141,0))*(1+Profit_Margin)</f>
        <v>45.611994991383355</v>
      </c>
      <c r="E71" s="67">
        <f>Cattle!$B84/INDEX(Cattle!$B$142:$Q$152,MATCH($B71,Cattle!$A$142:$A$152,0),MATCH(E$2,Cattle!$B$141:$Q$141,0))*(1+Profit_Margin)</f>
        <v>46.396805098923309</v>
      </c>
      <c r="F71" s="67">
        <f>Cattle!$B84/INDEX(Cattle!$B$142:$Q$152,MATCH($B71,Cattle!$A$142:$A$152,0),MATCH(F$2,Cattle!$B$141:$Q$141,0))*(1+Profit_Margin)</f>
        <v>46.396805098923309</v>
      </c>
      <c r="G71" s="67">
        <f>Cattle!$B84/INDEX(Cattle!$B$142:$Q$152,MATCH($B71,Cattle!$A$142:$A$152,0),MATCH(G$2,Cattle!$B$141:$Q$141,0))*(1+Profit_Margin)</f>
        <v>39.795919176687477</v>
      </c>
      <c r="H71" s="67">
        <f>Cattle!$B84/INDEX(Cattle!$B$142:$Q$152,MATCH($B71,Cattle!$A$142:$A$152,0),MATCH(H$2,Cattle!$B$141:$Q$141,0))*(1+Profit_Margin)</f>
        <v>39.795919176687477</v>
      </c>
      <c r="I71" s="67">
        <f>Cattle!$B84/INDEX(Cattle!$B$142:$Q$152,MATCH($B71,Cattle!$A$142:$A$152,0),MATCH(I$2,Cattle!$B$141:$Q$141,0))*(1+Profit_Margin)</f>
        <v>43.715990317420491</v>
      </c>
      <c r="J71" s="67">
        <f>Cattle!$B84/INDEX(Cattle!$B$142:$Q$152,MATCH($B71,Cattle!$A$142:$A$152,0),MATCH(J$2,Cattle!$B$141:$Q$141,0))*(1+Profit_Margin)</f>
        <v>43.715990317420491</v>
      </c>
      <c r="K71" s="67">
        <f>Cattle!$B84/INDEX(Cattle!$B$142:$Q$152,MATCH($B71,Cattle!$A$142:$A$152,0),MATCH(K$2,Cattle!$B$141:$Q$141,0))*(1+Profit_Margin)</f>
        <v>41.055395237419944</v>
      </c>
      <c r="L71" s="67">
        <f>Cattle!$B84/INDEX(Cattle!$B$142:$Q$152,MATCH($B71,Cattle!$A$142:$A$152,0),MATCH(L$2,Cattle!$B$141:$Q$141,0))*(1+Profit_Margin)</f>
        <v>41.055395237419944</v>
      </c>
      <c r="M71" s="67">
        <f>Cattle!$B84/INDEX(Cattle!$B$142:$Q$152,MATCH($B71,Cattle!$A$142:$A$152,0),MATCH(M$2,Cattle!$B$141:$Q$141,0))*(1+Profit_Margin)</f>
        <v>38.481054721374456</v>
      </c>
      <c r="N71" s="67">
        <f>Cattle!$B84/INDEX(Cattle!$B$142:$Q$152,MATCH($B71,Cattle!$A$142:$A$152,0),MATCH(N$2,Cattle!$B$141:$Q$141,0))*(1+Profit_Margin)</f>
        <v>38.481054721374456</v>
      </c>
      <c r="O71" s="67">
        <f>Cattle!$B84/INDEX(Cattle!$B$142:$Q$152,MATCH($B71,Cattle!$A$142:$A$152,0),MATCH(O$2,Cattle!$B$141:$Q$141,0))*(1+Profit_Margin)</f>
        <v>36.386427154836852</v>
      </c>
      <c r="P71" s="67">
        <f>Cattle!$B84/INDEX(Cattle!$B$142:$Q$152,MATCH($B71,Cattle!$A$142:$A$152,0),MATCH(P$2,Cattle!$B$141:$Q$141,0))*(1+Profit_Margin)</f>
        <v>36.386427154836852</v>
      </c>
      <c r="Q71" s="67">
        <f>Cattle!$B84/INDEX(Cattle!$B$142:$Q$152,MATCH($B71,Cattle!$A$142:$A$152,0),MATCH(Q$2,Cattle!$B$141:$Q$141,0))*(1+Profit_Margin)</f>
        <v>34.319300146900375</v>
      </c>
      <c r="R71" s="67">
        <f>Cattle!$B84/INDEX(Cattle!$B$142:$Q$152,MATCH($B71,Cattle!$A$142:$A$152,0),MATCH(R$2,Cattle!$B$141:$Q$141,0))*(1+Profit_Margin)</f>
        <v>34.319300146900375</v>
      </c>
      <c r="S71" s="67">
        <f>Cattle!$B84/INDEX(Cattle!$B$142:$Q$152,MATCH($B71,Cattle!$A$142:$A$152,0),MATCH(S$2,Cattle!$B$141:$Q$141,0))*(1+Profit_Margin)</f>
        <v>31.410953730134342</v>
      </c>
      <c r="T71" s="67">
        <f>Cattle!$B84/INDEX(Cattle!$B$142:$Q$152,MATCH($B71,Cattle!$A$142:$A$152,0),MATCH(T$2,Cattle!$B$141:$Q$141,0))*(1+Profit_Margin)</f>
        <v>31.410953730134342</v>
      </c>
      <c r="U71" s="67">
        <f>Cattle!$B84/INDEX(Cattle!$B$142:$Q$152,MATCH($B71,Cattle!$A$142:$A$152,0),MATCH(U$2,Cattle!$B$141:$Q$141,0))*(1+Profit_Margin)</f>
        <v>30.543098777914768</v>
      </c>
      <c r="V71" s="67">
        <f>Cattle!$B84/INDEX(Cattle!$B$142:$Q$152,MATCH($B71,Cattle!$A$142:$A$152,0),MATCH(V$2,Cattle!$B$141:$Q$141,0))*(1+Profit_Margin)</f>
        <v>30.543098777914768</v>
      </c>
      <c r="W71" s="67">
        <f>Cattle!$B84/INDEX(Cattle!$B$142:$Q$152,MATCH($B71,Cattle!$A$142:$A$152,0),MATCH(W$2,Cattle!$B$141:$Q$141,0))*(1+Profit_Margin)</f>
        <v>32.773936574992575</v>
      </c>
      <c r="X71" s="67">
        <f>Cattle!$B84/INDEX(Cattle!$B$142:$Q$152,MATCH($B71,Cattle!$A$142:$A$152,0),MATCH(X$2,Cattle!$B$141:$Q$141,0))*(1+Profit_Margin)</f>
        <v>32.773936574992575</v>
      </c>
      <c r="Y71" s="67">
        <f>Cattle!$B84/INDEX(Cattle!$B$142:$Q$152,MATCH($B71,Cattle!$A$142:$A$152,0),MATCH(Y$2,Cattle!$B$141:$Q$141,0))*(1+Profit_Margin)</f>
        <v>30.953421144226915</v>
      </c>
      <c r="Z71" s="67">
        <f>Cattle!$B84/INDEX(Cattle!$B$142:$Q$152,MATCH($B71,Cattle!$A$142:$A$152,0),MATCH(Z$2,Cattle!$B$141:$Q$141,0))*(1+Profit_Margin)</f>
        <v>30.953421144226915</v>
      </c>
      <c r="AA71" s="67">
        <f>Cattle!$B84/INDEX(Cattle!$B$142:$Q$152,MATCH($B71,Cattle!$A$142:$A$152,0),MATCH(AA$2,Cattle!$B$141:$Q$141,0))*(1+Profit_Margin)</f>
        <v>29.659940566657596</v>
      </c>
      <c r="AB71" s="67">
        <f>Cattle!$B84/INDEX(Cattle!$B$142:$Q$152,MATCH($B71,Cattle!$A$142:$A$152,0),MATCH(AB$2,Cattle!$B$141:$Q$141,0))*(1+Profit_Margin)</f>
        <v>29.659940566657596</v>
      </c>
      <c r="AC71" s="67">
        <f>Cattle!$B84/INDEX(Cattle!$B$142:$Q$152,MATCH($B71,Cattle!$A$142:$A$152,0),MATCH(AC$2,Cattle!$B$141:$Q$141,0))*(1+Profit_Margin)</f>
        <v>29.798903952732545</v>
      </c>
      <c r="AD71" s="67">
        <f>Cattle!$B84/INDEX(Cattle!$B$142:$Q$152,MATCH($B71,Cattle!$A$142:$A$152,0),MATCH(AD$2,Cattle!$B$141:$Q$141,0))*(1+Profit_Margin)</f>
        <v>29.798903952732545</v>
      </c>
      <c r="AE71" s="67">
        <f>Cattle!$B84/INDEX(Cattle!$B$142:$Q$152,MATCH($B71,Cattle!$A$142:$A$152,0),MATCH(AE$2,Cattle!$B$141:$Q$141,0))*(1+Profit_Margin)</f>
        <v>27.058526587504296</v>
      </c>
      <c r="AF71" s="67">
        <f>Cattle!$B84/INDEX(Cattle!$B$142:$Q$152,MATCH($B71,Cattle!$A$142:$A$152,0),MATCH(AF$2,Cattle!$B$141:$Q$141,0))*(1+Profit_Margin)</f>
        <v>27.058526587504296</v>
      </c>
      <c r="AG71" s="67">
        <f>Cattle!$B84/INDEX(Cattle!$B$142:$Q$152,MATCH($B71,Cattle!$A$142:$A$152,0),MATCH(AG$2,Cattle!$B$141:$Q$141,0))*(1+Profit_Margin)</f>
        <v>25.974129611289342</v>
      </c>
      <c r="AH71" s="67">
        <f>Cattle!$B84/INDEX(Cattle!$B$142:$Q$152,MATCH($B71,Cattle!$A$142:$A$152,0),MATCH(AH$2,Cattle!$B$141:$Q$141,0))*(1+Profit_Margin)</f>
        <v>25.974129611289342</v>
      </c>
    </row>
    <row r="72" spans="1:34">
      <c r="A72" t="s">
        <v>22</v>
      </c>
      <c r="B72" t="s">
        <v>8</v>
      </c>
      <c r="C72" s="67">
        <f>Cattle!$B85/INDEX(Cattle!$B$142:$Q$152,MATCH($B72,Cattle!$A$142:$A$152,0),MATCH(C$2,Cattle!$B$141:$Q$141,0))*(1+Profit_Margin)</f>
        <v>48.272236528279308</v>
      </c>
      <c r="D72" s="67">
        <f>Cattle!$B85/INDEX(Cattle!$B$142:$Q$152,MATCH($B72,Cattle!$A$142:$A$152,0),MATCH(D$2,Cattle!$B$141:$Q$141,0))*(1+Profit_Margin)</f>
        <v>48.272236528279308</v>
      </c>
      <c r="E72" s="67">
        <f>Cattle!$B85/INDEX(Cattle!$B$142:$Q$152,MATCH($B72,Cattle!$A$142:$A$152,0),MATCH(E$2,Cattle!$B$141:$Q$141,0))*(1+Profit_Margin)</f>
        <v>43.66017530162533</v>
      </c>
      <c r="F72" s="67">
        <f>Cattle!$B85/INDEX(Cattle!$B$142:$Q$152,MATCH($B72,Cattle!$A$142:$A$152,0),MATCH(F$2,Cattle!$B$141:$Q$141,0))*(1+Profit_Margin)</f>
        <v>43.66017530162533</v>
      </c>
      <c r="G72" s="67">
        <f>Cattle!$B85/INDEX(Cattle!$B$142:$Q$152,MATCH($B72,Cattle!$A$142:$A$152,0),MATCH(G$2,Cattle!$B$141:$Q$141,0))*(1+Profit_Margin)</f>
        <v>43.337751444572113</v>
      </c>
      <c r="H72" s="67">
        <f>Cattle!$B85/INDEX(Cattle!$B$142:$Q$152,MATCH($B72,Cattle!$A$142:$A$152,0),MATCH(H$2,Cattle!$B$141:$Q$141,0))*(1+Profit_Margin)</f>
        <v>43.337751444572113</v>
      </c>
      <c r="I72" s="67">
        <f>Cattle!$B85/INDEX(Cattle!$B$142:$Q$152,MATCH($B72,Cattle!$A$142:$A$152,0),MATCH(I$2,Cattle!$B$141:$Q$141,0))*(1+Profit_Margin)</f>
        <v>44.007766643767837</v>
      </c>
      <c r="J72" s="67">
        <f>Cattle!$B85/INDEX(Cattle!$B$142:$Q$152,MATCH($B72,Cattle!$A$142:$A$152,0),MATCH(J$2,Cattle!$B$141:$Q$141,0))*(1+Profit_Margin)</f>
        <v>44.007766643767837</v>
      </c>
      <c r="K72" s="67">
        <f>Cattle!$B85/INDEX(Cattle!$B$142:$Q$152,MATCH($B72,Cattle!$A$142:$A$152,0),MATCH(K$2,Cattle!$B$141:$Q$141,0))*(1+Profit_Margin)</f>
        <v>38.335336884908472</v>
      </c>
      <c r="L72" s="67">
        <f>Cattle!$B85/INDEX(Cattle!$B$142:$Q$152,MATCH($B72,Cattle!$A$142:$A$152,0),MATCH(L$2,Cattle!$B$141:$Q$141,0))*(1+Profit_Margin)</f>
        <v>38.335336884908472</v>
      </c>
      <c r="M72" s="67">
        <f>Cattle!$B85/INDEX(Cattle!$B$142:$Q$152,MATCH($B72,Cattle!$A$142:$A$152,0),MATCH(M$2,Cattle!$B$141:$Q$141,0))*(1+Profit_Margin)</f>
        <v>39.071557541765863</v>
      </c>
      <c r="N72" s="67">
        <f>Cattle!$B85/INDEX(Cattle!$B$142:$Q$152,MATCH($B72,Cattle!$A$142:$A$152,0),MATCH(N$2,Cattle!$B$141:$Q$141,0))*(1+Profit_Margin)</f>
        <v>39.071557541765863</v>
      </c>
      <c r="O72" s="67">
        <f>Cattle!$B85/INDEX(Cattle!$B$142:$Q$152,MATCH($B72,Cattle!$A$142:$A$152,0),MATCH(O$2,Cattle!$B$141:$Q$141,0))*(1+Profit_Margin)</f>
        <v>35.07342081195069</v>
      </c>
      <c r="P72" s="67">
        <f>Cattle!$B85/INDEX(Cattle!$B$142:$Q$152,MATCH($B72,Cattle!$A$142:$A$152,0),MATCH(P$2,Cattle!$B$141:$Q$141,0))*(1+Profit_Margin)</f>
        <v>35.07342081195069</v>
      </c>
      <c r="Q72" s="67">
        <f>Cattle!$B85/INDEX(Cattle!$B$142:$Q$152,MATCH($B72,Cattle!$A$142:$A$152,0),MATCH(Q$2,Cattle!$B$141:$Q$141,0))*(1+Profit_Margin)</f>
        <v>35.850715425966733</v>
      </c>
      <c r="R72" s="67">
        <f>Cattle!$B85/INDEX(Cattle!$B$142:$Q$152,MATCH($B72,Cattle!$A$142:$A$152,0),MATCH(R$2,Cattle!$B$141:$Q$141,0))*(1+Profit_Margin)</f>
        <v>35.850715425966733</v>
      </c>
      <c r="S72" s="67">
        <f>Cattle!$B85/INDEX(Cattle!$B$142:$Q$152,MATCH($B72,Cattle!$A$142:$A$152,0),MATCH(S$2,Cattle!$B$141:$Q$141,0))*(1+Profit_Margin)</f>
        <v>31.733237679691211</v>
      </c>
      <c r="T72" s="67">
        <f>Cattle!$B85/INDEX(Cattle!$B$142:$Q$152,MATCH($B72,Cattle!$A$142:$A$152,0),MATCH(T$2,Cattle!$B$141:$Q$141,0))*(1+Profit_Margin)</f>
        <v>31.733237679691211</v>
      </c>
      <c r="U72" s="67">
        <f>Cattle!$B85/INDEX(Cattle!$B$142:$Q$152,MATCH($B72,Cattle!$A$142:$A$152,0),MATCH(U$2,Cattle!$B$141:$Q$141,0))*(1+Profit_Margin)</f>
        <v>32.842902957583931</v>
      </c>
      <c r="V72" s="67">
        <f>Cattle!$B85/INDEX(Cattle!$B$142:$Q$152,MATCH($B72,Cattle!$A$142:$A$152,0),MATCH(V$2,Cattle!$B$141:$Q$141,0))*(1+Profit_Margin)</f>
        <v>32.842902957583931</v>
      </c>
      <c r="W72" s="67">
        <f>Cattle!$B85/INDEX(Cattle!$B$142:$Q$152,MATCH($B72,Cattle!$A$142:$A$152,0),MATCH(W$2,Cattle!$B$141:$Q$141,0))*(1+Profit_Margin)</f>
        <v>30.990081599309995</v>
      </c>
      <c r="X72" s="67">
        <f>Cattle!$B85/INDEX(Cattle!$B$142:$Q$152,MATCH($B72,Cattle!$A$142:$A$152,0),MATCH(X$2,Cattle!$B$141:$Q$141,0))*(1+Profit_Margin)</f>
        <v>30.990081599309995</v>
      </c>
      <c r="Y72" s="67">
        <f>Cattle!$B85/INDEX(Cattle!$B$142:$Q$152,MATCH($B72,Cattle!$A$142:$A$152,0),MATCH(Y$2,Cattle!$B$141:$Q$141,0))*(1+Profit_Margin)</f>
        <v>31.69248110512379</v>
      </c>
      <c r="Z72" s="67">
        <f>Cattle!$B85/INDEX(Cattle!$B$142:$Q$152,MATCH($B72,Cattle!$A$142:$A$152,0),MATCH(Z$2,Cattle!$B$141:$Q$141,0))*(1+Profit_Margin)</f>
        <v>31.69248110512379</v>
      </c>
      <c r="AA72" s="67">
        <f>Cattle!$B85/INDEX(Cattle!$B$142:$Q$152,MATCH($B72,Cattle!$A$142:$A$152,0),MATCH(AA$2,Cattle!$B$141:$Q$141,0))*(1+Profit_Margin)</f>
        <v>30.116563749638729</v>
      </c>
      <c r="AB72" s="67">
        <f>Cattle!$B85/INDEX(Cattle!$B$142:$Q$152,MATCH($B72,Cattle!$A$142:$A$152,0),MATCH(AB$2,Cattle!$B$141:$Q$141,0))*(1+Profit_Margin)</f>
        <v>30.116563749638729</v>
      </c>
      <c r="AC72" s="67">
        <f>Cattle!$B85/INDEX(Cattle!$B$142:$Q$152,MATCH($B72,Cattle!$A$142:$A$152,0),MATCH(AC$2,Cattle!$B$141:$Q$141,0))*(1+Profit_Margin)</f>
        <v>29.117705792123253</v>
      </c>
      <c r="AD72" s="67">
        <f>Cattle!$B85/INDEX(Cattle!$B$142:$Q$152,MATCH($B72,Cattle!$A$142:$A$152,0),MATCH(AD$2,Cattle!$B$141:$Q$141,0))*(1+Profit_Margin)</f>
        <v>29.117705792123253</v>
      </c>
      <c r="AE72" s="67">
        <f>Cattle!$B85/INDEX(Cattle!$B$142:$Q$152,MATCH($B72,Cattle!$A$142:$A$152,0),MATCH(AE$2,Cattle!$B$141:$Q$141,0))*(1+Profit_Margin)</f>
        <v>27.758663229394134</v>
      </c>
      <c r="AF72" s="67">
        <f>Cattle!$B85/INDEX(Cattle!$B$142:$Q$152,MATCH($B72,Cattle!$A$142:$A$152,0),MATCH(AF$2,Cattle!$B$141:$Q$141,0))*(1+Profit_Margin)</f>
        <v>27.758663229394134</v>
      </c>
      <c r="AG72" s="67">
        <f>Cattle!$B85/INDEX(Cattle!$B$142:$Q$152,MATCH($B72,Cattle!$A$142:$A$152,0),MATCH(AG$2,Cattle!$B$141:$Q$141,0))*(1+Profit_Margin)</f>
        <v>25.992109704890073</v>
      </c>
      <c r="AH72" s="67">
        <f>Cattle!$B85/INDEX(Cattle!$B$142:$Q$152,MATCH($B72,Cattle!$A$142:$A$152,0),MATCH(AH$2,Cattle!$B$141:$Q$141,0))*(1+Profit_Margin)</f>
        <v>25.992109704890073</v>
      </c>
    </row>
    <row r="73" spans="1:34">
      <c r="A73" t="s">
        <v>22</v>
      </c>
      <c r="B73" t="s">
        <v>9</v>
      </c>
      <c r="C73" s="67">
        <f>Cattle!$B86/INDEX(Cattle!$B$142:$Q$152,MATCH($B73,Cattle!$A$142:$A$152,0),MATCH(C$2,Cattle!$B$141:$Q$141,0))*(1+Profit_Margin)</f>
        <v>46.342784925761102</v>
      </c>
      <c r="D73" s="67">
        <f>Cattle!$B86/INDEX(Cattle!$B$142:$Q$152,MATCH($B73,Cattle!$A$142:$A$152,0),MATCH(D$2,Cattle!$B$141:$Q$141,0))*(1+Profit_Margin)</f>
        <v>46.342784925761102</v>
      </c>
      <c r="E73" s="67">
        <f>Cattle!$B86/INDEX(Cattle!$B$142:$Q$152,MATCH($B73,Cattle!$A$142:$A$152,0),MATCH(E$2,Cattle!$B$141:$Q$141,0))*(1+Profit_Margin)</f>
        <v>42.998772574988749</v>
      </c>
      <c r="F73" s="67">
        <f>Cattle!$B86/INDEX(Cattle!$B$142:$Q$152,MATCH($B73,Cattle!$A$142:$A$152,0),MATCH(F$2,Cattle!$B$141:$Q$141,0))*(1+Profit_Margin)</f>
        <v>42.998772574988749</v>
      </c>
      <c r="G73" s="67">
        <f>Cattle!$B86/INDEX(Cattle!$B$142:$Q$152,MATCH($B73,Cattle!$A$142:$A$152,0),MATCH(G$2,Cattle!$B$141:$Q$141,0))*(1+Profit_Margin)</f>
        <v>40.123981680175717</v>
      </c>
      <c r="H73" s="67">
        <f>Cattle!$B86/INDEX(Cattle!$B$142:$Q$152,MATCH($B73,Cattle!$A$142:$A$152,0),MATCH(H$2,Cattle!$B$141:$Q$141,0))*(1+Profit_Margin)</f>
        <v>40.123981680175717</v>
      </c>
      <c r="I73" s="67">
        <f>Cattle!$B86/INDEX(Cattle!$B$142:$Q$152,MATCH($B73,Cattle!$A$142:$A$152,0),MATCH(I$2,Cattle!$B$141:$Q$141,0))*(1+Profit_Margin)</f>
        <v>42.606504008355024</v>
      </c>
      <c r="J73" s="67">
        <f>Cattle!$B86/INDEX(Cattle!$B$142:$Q$152,MATCH($B73,Cattle!$A$142:$A$152,0),MATCH(J$2,Cattle!$B$141:$Q$141,0))*(1+Profit_Margin)</f>
        <v>42.606504008355024</v>
      </c>
      <c r="K73" s="67">
        <f>Cattle!$B86/INDEX(Cattle!$B$142:$Q$152,MATCH($B73,Cattle!$A$142:$A$152,0),MATCH(K$2,Cattle!$B$141:$Q$141,0))*(1+Profit_Margin)</f>
        <v>42.318443535550252</v>
      </c>
      <c r="L73" s="67">
        <f>Cattle!$B86/INDEX(Cattle!$B$142:$Q$152,MATCH($B73,Cattle!$A$142:$A$152,0),MATCH(L$2,Cattle!$B$141:$Q$141,0))*(1+Profit_Margin)</f>
        <v>42.318443535550252</v>
      </c>
      <c r="M73" s="67">
        <f>Cattle!$B86/INDEX(Cattle!$B$142:$Q$152,MATCH($B73,Cattle!$A$142:$A$152,0),MATCH(M$2,Cattle!$B$141:$Q$141,0))*(1+Profit_Margin)</f>
        <v>39.925392371683792</v>
      </c>
      <c r="N73" s="67">
        <f>Cattle!$B86/INDEX(Cattle!$B$142:$Q$152,MATCH($B73,Cattle!$A$142:$A$152,0),MATCH(N$2,Cattle!$B$141:$Q$141,0))*(1+Profit_Margin)</f>
        <v>39.925392371683792</v>
      </c>
      <c r="O73" s="67">
        <f>Cattle!$B86/INDEX(Cattle!$B$142:$Q$152,MATCH($B73,Cattle!$A$142:$A$152,0),MATCH(O$2,Cattle!$B$141:$Q$141,0))*(1+Profit_Margin)</f>
        <v>35.895488598136865</v>
      </c>
      <c r="P73" s="67">
        <f>Cattle!$B86/INDEX(Cattle!$B$142:$Q$152,MATCH($B73,Cattle!$A$142:$A$152,0),MATCH(P$2,Cattle!$B$141:$Q$141,0))*(1+Profit_Margin)</f>
        <v>35.895488598136865</v>
      </c>
      <c r="Q73" s="67">
        <f>Cattle!$B86/INDEX(Cattle!$B$142:$Q$152,MATCH($B73,Cattle!$A$142:$A$152,0),MATCH(Q$2,Cattle!$B$141:$Q$141,0))*(1+Profit_Margin)</f>
        <v>34.373551129058569</v>
      </c>
      <c r="R73" s="67">
        <f>Cattle!$B86/INDEX(Cattle!$B$142:$Q$152,MATCH($B73,Cattle!$A$142:$A$152,0),MATCH(R$2,Cattle!$B$141:$Q$141,0))*(1+Profit_Margin)</f>
        <v>34.373551129058569</v>
      </c>
      <c r="S73" s="67">
        <f>Cattle!$B86/INDEX(Cattle!$B$142:$Q$152,MATCH($B73,Cattle!$A$142:$A$152,0),MATCH(S$2,Cattle!$B$141:$Q$141,0))*(1+Profit_Margin)</f>
        <v>31.426784524620814</v>
      </c>
      <c r="T73" s="67">
        <f>Cattle!$B86/INDEX(Cattle!$B$142:$Q$152,MATCH($B73,Cattle!$A$142:$A$152,0),MATCH(T$2,Cattle!$B$141:$Q$141,0))*(1+Profit_Margin)</f>
        <v>31.426784524620814</v>
      </c>
      <c r="U73" s="67">
        <f>Cattle!$B86/INDEX(Cattle!$B$142:$Q$152,MATCH($B73,Cattle!$A$142:$A$152,0),MATCH(U$2,Cattle!$B$141:$Q$141,0))*(1+Profit_Margin)</f>
        <v>31.56824380619404</v>
      </c>
      <c r="V73" s="67">
        <f>Cattle!$B86/INDEX(Cattle!$B$142:$Q$152,MATCH($B73,Cattle!$A$142:$A$152,0),MATCH(V$2,Cattle!$B$141:$Q$141,0))*(1+Profit_Margin)</f>
        <v>31.56824380619404</v>
      </c>
      <c r="W73" s="67">
        <f>Cattle!$B86/INDEX(Cattle!$B$142:$Q$152,MATCH($B73,Cattle!$A$142:$A$152,0),MATCH(W$2,Cattle!$B$141:$Q$141,0))*(1+Profit_Margin)</f>
        <v>31.873358024685082</v>
      </c>
      <c r="X73" s="67">
        <f>Cattle!$B86/INDEX(Cattle!$B$142:$Q$152,MATCH($B73,Cattle!$A$142:$A$152,0),MATCH(X$2,Cattle!$B$141:$Q$141,0))*(1+Profit_Margin)</f>
        <v>31.873358024685082</v>
      </c>
      <c r="Y73" s="67">
        <f>Cattle!$B86/INDEX(Cattle!$B$142:$Q$152,MATCH($B73,Cattle!$A$142:$A$152,0),MATCH(Y$2,Cattle!$B$141:$Q$141,0))*(1+Profit_Margin)</f>
        <v>30.857538777967587</v>
      </c>
      <c r="Z73" s="67">
        <f>Cattle!$B86/INDEX(Cattle!$B$142:$Q$152,MATCH($B73,Cattle!$A$142:$A$152,0),MATCH(Z$2,Cattle!$B$141:$Q$141,0))*(1+Profit_Margin)</f>
        <v>30.857538777967587</v>
      </c>
      <c r="AA73" s="67">
        <f>Cattle!$B86/INDEX(Cattle!$B$142:$Q$152,MATCH($B73,Cattle!$A$142:$A$152,0),MATCH(AA$2,Cattle!$B$141:$Q$141,0))*(1+Profit_Margin)</f>
        <v>28.707679441721261</v>
      </c>
      <c r="AB73" s="67">
        <f>Cattle!$B86/INDEX(Cattle!$B$142:$Q$152,MATCH($B73,Cattle!$A$142:$A$152,0),MATCH(AB$2,Cattle!$B$141:$Q$141,0))*(1+Profit_Margin)</f>
        <v>28.707679441721261</v>
      </c>
      <c r="AC73" s="67">
        <f>Cattle!$B86/INDEX(Cattle!$B$142:$Q$152,MATCH($B73,Cattle!$A$142:$A$152,0),MATCH(AC$2,Cattle!$B$141:$Q$141,0))*(1+Profit_Margin)</f>
        <v>29.345037604015666</v>
      </c>
      <c r="AD73" s="67">
        <f>Cattle!$B86/INDEX(Cattle!$B$142:$Q$152,MATCH($B73,Cattle!$A$142:$A$152,0),MATCH(AD$2,Cattle!$B$141:$Q$141,0))*(1+Profit_Margin)</f>
        <v>29.345037604015666</v>
      </c>
      <c r="AE73" s="67">
        <f>Cattle!$B86/INDEX(Cattle!$B$142:$Q$152,MATCH($B73,Cattle!$A$142:$A$152,0),MATCH(AE$2,Cattle!$B$141:$Q$141,0))*(1+Profit_Margin)</f>
        <v>26.517568320586864</v>
      </c>
      <c r="AF73" s="67">
        <f>Cattle!$B86/INDEX(Cattle!$B$142:$Q$152,MATCH($B73,Cattle!$A$142:$A$152,0),MATCH(AF$2,Cattle!$B$141:$Q$141,0))*(1+Profit_Margin)</f>
        <v>26.517568320586864</v>
      </c>
      <c r="AG73" s="67">
        <f>Cattle!$B86/INDEX(Cattle!$B$142:$Q$152,MATCH($B73,Cattle!$A$142:$A$152,0),MATCH(AG$2,Cattle!$B$141:$Q$141,0))*(1+Profit_Margin)</f>
        <v>25.406279508481855</v>
      </c>
      <c r="AH73" s="67">
        <f>Cattle!$B86/INDEX(Cattle!$B$142:$Q$152,MATCH($B73,Cattle!$A$142:$A$152,0),MATCH(AH$2,Cattle!$B$141:$Q$141,0))*(1+Profit_Margin)</f>
        <v>25.406279508481855</v>
      </c>
    </row>
    <row r="74" spans="1:34">
      <c r="A74" t="s">
        <v>22</v>
      </c>
      <c r="B74" t="s">
        <v>10</v>
      </c>
      <c r="C74" s="67">
        <f>Cattle!$B87/INDEX(Cattle!$B$142:$Q$152,MATCH($B74,Cattle!$A$142:$A$152,0),MATCH(C$2,Cattle!$B$141:$Q$141,0))*(1+Profit_Margin)</f>
        <v>48.980399298839345</v>
      </c>
      <c r="D74" s="67">
        <f>Cattle!$B87/INDEX(Cattle!$B$142:$Q$152,MATCH($B74,Cattle!$A$142:$A$152,0),MATCH(D$2,Cattle!$B$141:$Q$141,0))*(1+Profit_Margin)</f>
        <v>48.980399298839345</v>
      </c>
      <c r="E74" s="67">
        <f>Cattle!$B87/INDEX(Cattle!$B$142:$Q$152,MATCH($B74,Cattle!$A$142:$A$152,0),MATCH(E$2,Cattle!$B$141:$Q$141,0))*(1+Profit_Margin)</f>
        <v>42.042530886392193</v>
      </c>
      <c r="F74" s="67">
        <f>Cattle!$B87/INDEX(Cattle!$B$142:$Q$152,MATCH($B74,Cattle!$A$142:$A$152,0),MATCH(F$2,Cattle!$B$141:$Q$141,0))*(1+Profit_Margin)</f>
        <v>42.042530886392193</v>
      </c>
      <c r="G74" s="67">
        <f>Cattle!$B87/INDEX(Cattle!$B$142:$Q$152,MATCH($B74,Cattle!$A$142:$A$152,0),MATCH(G$2,Cattle!$B$141:$Q$141,0))*(1+Profit_Margin)</f>
        <v>41.16386932944247</v>
      </c>
      <c r="H74" s="67">
        <f>Cattle!$B87/INDEX(Cattle!$B$142:$Q$152,MATCH($B74,Cattle!$A$142:$A$152,0),MATCH(H$2,Cattle!$B$141:$Q$141,0))*(1+Profit_Margin)</f>
        <v>41.16386932944247</v>
      </c>
      <c r="I74" s="67">
        <f>Cattle!$B87/INDEX(Cattle!$B$142:$Q$152,MATCH($B74,Cattle!$A$142:$A$152,0),MATCH(I$2,Cattle!$B$141:$Q$141,0))*(1+Profit_Margin)</f>
        <v>40.37903026551718</v>
      </c>
      <c r="J74" s="67">
        <f>Cattle!$B87/INDEX(Cattle!$B$142:$Q$152,MATCH($B74,Cattle!$A$142:$A$152,0),MATCH(J$2,Cattle!$B$141:$Q$141,0))*(1+Profit_Margin)</f>
        <v>40.37903026551718</v>
      </c>
      <c r="K74" s="67">
        <f>Cattle!$B87/INDEX(Cattle!$B$142:$Q$152,MATCH($B74,Cattle!$A$142:$A$152,0),MATCH(K$2,Cattle!$B$141:$Q$141,0))*(1+Profit_Margin)</f>
        <v>42.647205179051028</v>
      </c>
      <c r="L74" s="67">
        <f>Cattle!$B87/INDEX(Cattle!$B$142:$Q$152,MATCH($B74,Cattle!$A$142:$A$152,0),MATCH(L$2,Cattle!$B$141:$Q$141,0))*(1+Profit_Margin)</f>
        <v>42.647205179051028</v>
      </c>
      <c r="M74" s="67">
        <f>Cattle!$B87/INDEX(Cattle!$B$142:$Q$152,MATCH($B74,Cattle!$A$142:$A$152,0),MATCH(M$2,Cattle!$B$141:$Q$141,0))*(1+Profit_Margin)</f>
        <v>39.351786247536658</v>
      </c>
      <c r="N74" s="67">
        <f>Cattle!$B87/INDEX(Cattle!$B$142:$Q$152,MATCH($B74,Cattle!$A$142:$A$152,0),MATCH(N$2,Cattle!$B$141:$Q$141,0))*(1+Profit_Margin)</f>
        <v>39.351786247536658</v>
      </c>
      <c r="O74" s="67">
        <f>Cattle!$B87/INDEX(Cattle!$B$142:$Q$152,MATCH($B74,Cattle!$A$142:$A$152,0),MATCH(O$2,Cattle!$B$141:$Q$141,0))*(1+Profit_Margin)</f>
        <v>34.21091667749748</v>
      </c>
      <c r="P74" s="67">
        <f>Cattle!$B87/INDEX(Cattle!$B$142:$Q$152,MATCH($B74,Cattle!$A$142:$A$152,0),MATCH(P$2,Cattle!$B$141:$Q$141,0))*(1+Profit_Margin)</f>
        <v>34.21091667749748</v>
      </c>
      <c r="Q74" s="67">
        <f>Cattle!$B87/INDEX(Cattle!$B$142:$Q$152,MATCH($B74,Cattle!$A$142:$A$152,0),MATCH(Q$2,Cattle!$B$141:$Q$141,0))*(1+Profit_Margin)</f>
        <v>35.23297782919974</v>
      </c>
      <c r="R74" s="67">
        <f>Cattle!$B87/INDEX(Cattle!$B$142:$Q$152,MATCH($B74,Cattle!$A$142:$A$152,0),MATCH(R$2,Cattle!$B$141:$Q$141,0))*(1+Profit_Margin)</f>
        <v>35.23297782919974</v>
      </c>
      <c r="S74" s="67">
        <f>Cattle!$B87/INDEX(Cattle!$B$142:$Q$152,MATCH($B74,Cattle!$A$142:$A$152,0),MATCH(S$2,Cattle!$B$141:$Q$141,0))*(1+Profit_Margin)</f>
        <v>33.615337745766908</v>
      </c>
      <c r="T74" s="67">
        <f>Cattle!$B87/INDEX(Cattle!$B$142:$Q$152,MATCH($B74,Cattle!$A$142:$A$152,0),MATCH(T$2,Cattle!$B$141:$Q$141,0))*(1+Profit_Margin)</f>
        <v>33.615337745766908</v>
      </c>
      <c r="U74" s="67">
        <f>Cattle!$B87/INDEX(Cattle!$B$142:$Q$152,MATCH($B74,Cattle!$A$142:$A$152,0),MATCH(U$2,Cattle!$B$141:$Q$141,0))*(1+Profit_Margin)</f>
        <v>33.15697872233423</v>
      </c>
      <c r="V74" s="67">
        <f>Cattle!$B87/INDEX(Cattle!$B$142:$Q$152,MATCH($B74,Cattle!$A$142:$A$152,0),MATCH(V$2,Cattle!$B$141:$Q$141,0))*(1+Profit_Margin)</f>
        <v>33.15697872233423</v>
      </c>
      <c r="W74" s="67">
        <f>Cattle!$B87/INDEX(Cattle!$B$142:$Q$152,MATCH($B74,Cattle!$A$142:$A$152,0),MATCH(W$2,Cattle!$B$141:$Q$141,0))*(1+Profit_Margin)</f>
        <v>32.680535729502132</v>
      </c>
      <c r="X74" s="67">
        <f>Cattle!$B87/INDEX(Cattle!$B$142:$Q$152,MATCH($B74,Cattle!$A$142:$A$152,0),MATCH(X$2,Cattle!$B$141:$Q$141,0))*(1+Profit_Margin)</f>
        <v>32.680535729502132</v>
      </c>
      <c r="Y74" s="67">
        <f>Cattle!$B87/INDEX(Cattle!$B$142:$Q$152,MATCH($B74,Cattle!$A$142:$A$152,0),MATCH(Y$2,Cattle!$B$141:$Q$141,0))*(1+Profit_Margin)</f>
        <v>30.356290310456494</v>
      </c>
      <c r="Z74" s="67">
        <f>Cattle!$B87/INDEX(Cattle!$B$142:$Q$152,MATCH($B74,Cattle!$A$142:$A$152,0),MATCH(Z$2,Cattle!$B$141:$Q$141,0))*(1+Profit_Margin)</f>
        <v>30.356290310456494</v>
      </c>
      <c r="AA74" s="67">
        <f>Cattle!$B87/INDEX(Cattle!$B$142:$Q$152,MATCH($B74,Cattle!$A$142:$A$152,0),MATCH(AA$2,Cattle!$B$141:$Q$141,0))*(1+Profit_Margin)</f>
        <v>30.503792331042597</v>
      </c>
      <c r="AB74" s="67">
        <f>Cattle!$B87/INDEX(Cattle!$B$142:$Q$152,MATCH($B74,Cattle!$A$142:$A$152,0),MATCH(AB$2,Cattle!$B$141:$Q$141,0))*(1+Profit_Margin)</f>
        <v>30.503792331042597</v>
      </c>
      <c r="AC74" s="67">
        <f>Cattle!$B87/INDEX(Cattle!$B$142:$Q$152,MATCH($B74,Cattle!$A$142:$A$152,0),MATCH(AC$2,Cattle!$B$141:$Q$141,0))*(1+Profit_Margin)</f>
        <v>28.696889159514448</v>
      </c>
      <c r="AD74" s="67">
        <f>Cattle!$B87/INDEX(Cattle!$B$142:$Q$152,MATCH($B74,Cattle!$A$142:$A$152,0),MATCH(AD$2,Cattle!$B$141:$Q$141,0))*(1+Profit_Margin)</f>
        <v>28.696889159514448</v>
      </c>
      <c r="AE74" s="67">
        <f>Cattle!$B87/INDEX(Cattle!$B$142:$Q$152,MATCH($B74,Cattle!$A$142:$A$152,0),MATCH(AE$2,Cattle!$B$141:$Q$141,0))*(1+Profit_Margin)</f>
        <v>28.888889484182112</v>
      </c>
      <c r="AF74" s="67">
        <f>Cattle!$B87/INDEX(Cattle!$B$142:$Q$152,MATCH($B74,Cattle!$A$142:$A$152,0),MATCH(AF$2,Cattle!$B$141:$Q$141,0))*(1+Profit_Margin)</f>
        <v>28.888889484182112</v>
      </c>
      <c r="AG74" s="67">
        <f>Cattle!$B87/INDEX(Cattle!$B$142:$Q$152,MATCH($B74,Cattle!$A$142:$A$152,0),MATCH(AG$2,Cattle!$B$141:$Q$141,0))*(1+Profit_Margin)</f>
        <v>25.740602712690738</v>
      </c>
      <c r="AH74" s="67">
        <f>Cattle!$B87/INDEX(Cattle!$B$142:$Q$152,MATCH($B74,Cattle!$A$142:$A$152,0),MATCH(AH$2,Cattle!$B$141:$Q$141,0))*(1+Profit_Margin)</f>
        <v>25.740602712690738</v>
      </c>
    </row>
    <row r="75" spans="1:34">
      <c r="A75" t="s">
        <v>22</v>
      </c>
      <c r="B75" t="s">
        <v>11</v>
      </c>
      <c r="C75" s="67">
        <f>Cattle!$B88/INDEX(Cattle!$B$142:$Q$152,MATCH($B75,Cattle!$A$142:$A$152,0),MATCH(C$2,Cattle!$B$141:$Q$141,0))*(1+Profit_Margin)</f>
        <v>43.552159202423333</v>
      </c>
      <c r="D75" s="67">
        <f>Cattle!$B88/INDEX(Cattle!$B$142:$Q$152,MATCH($B75,Cattle!$A$142:$A$152,0),MATCH(D$2,Cattle!$B$141:$Q$141,0))*(1+Profit_Margin)</f>
        <v>43.552159202423333</v>
      </c>
      <c r="E75" s="67">
        <f>Cattle!$B88/INDEX(Cattle!$B$142:$Q$152,MATCH($B75,Cattle!$A$142:$A$152,0),MATCH(E$2,Cattle!$B$141:$Q$141,0))*(1+Profit_Margin)</f>
        <v>41.571773762027846</v>
      </c>
      <c r="F75" s="67">
        <f>Cattle!$B88/INDEX(Cattle!$B$142:$Q$152,MATCH($B75,Cattle!$A$142:$A$152,0),MATCH(F$2,Cattle!$B$141:$Q$141,0))*(1+Profit_Margin)</f>
        <v>41.571773762027846</v>
      </c>
      <c r="G75" s="67">
        <f>Cattle!$B88/INDEX(Cattle!$B$142:$Q$152,MATCH($B75,Cattle!$A$142:$A$152,0),MATCH(G$2,Cattle!$B$141:$Q$141,0))*(1+Profit_Margin)</f>
        <v>41.123460667285748</v>
      </c>
      <c r="H75" s="67">
        <f>Cattle!$B88/INDEX(Cattle!$B$142:$Q$152,MATCH($B75,Cattle!$A$142:$A$152,0),MATCH(H$2,Cattle!$B$141:$Q$141,0))*(1+Profit_Margin)</f>
        <v>41.123460667285748</v>
      </c>
      <c r="I75" s="67">
        <f>Cattle!$B88/INDEX(Cattle!$B$142:$Q$152,MATCH($B75,Cattle!$A$142:$A$152,0),MATCH(I$2,Cattle!$B$141:$Q$141,0))*(1+Profit_Margin)</f>
        <v>39.68508437845189</v>
      </c>
      <c r="J75" s="67">
        <f>Cattle!$B88/INDEX(Cattle!$B$142:$Q$152,MATCH($B75,Cattle!$A$142:$A$152,0),MATCH(J$2,Cattle!$B$141:$Q$141,0))*(1+Profit_Margin)</f>
        <v>39.68508437845189</v>
      </c>
      <c r="K75" s="67">
        <f>Cattle!$B88/INDEX(Cattle!$B$142:$Q$152,MATCH($B75,Cattle!$A$142:$A$152,0),MATCH(K$2,Cattle!$B$141:$Q$141,0))*(1+Profit_Margin)</f>
        <v>37.261235180883865</v>
      </c>
      <c r="L75" s="67">
        <f>Cattle!$B88/INDEX(Cattle!$B$142:$Q$152,MATCH($B75,Cattle!$A$142:$A$152,0),MATCH(L$2,Cattle!$B$141:$Q$141,0))*(1+Profit_Margin)</f>
        <v>37.261235180883865</v>
      </c>
      <c r="M75" s="67">
        <f>Cattle!$B88/INDEX(Cattle!$B$142:$Q$152,MATCH($B75,Cattle!$A$142:$A$152,0),MATCH(M$2,Cattle!$B$141:$Q$141,0))*(1+Profit_Margin)</f>
        <v>37.955637135594031</v>
      </c>
      <c r="N75" s="67">
        <f>Cattle!$B88/INDEX(Cattle!$B$142:$Q$152,MATCH($B75,Cattle!$A$142:$A$152,0),MATCH(N$2,Cattle!$B$141:$Q$141,0))*(1+Profit_Margin)</f>
        <v>37.955637135594031</v>
      </c>
      <c r="O75" s="67">
        <f>Cattle!$B88/INDEX(Cattle!$B$142:$Q$152,MATCH($B75,Cattle!$A$142:$A$152,0),MATCH(O$2,Cattle!$B$141:$Q$141,0))*(1+Profit_Margin)</f>
        <v>36.4589491439067</v>
      </c>
      <c r="P75" s="67">
        <f>Cattle!$B88/INDEX(Cattle!$B$142:$Q$152,MATCH($B75,Cattle!$A$142:$A$152,0),MATCH(P$2,Cattle!$B$141:$Q$141,0))*(1+Profit_Margin)</f>
        <v>36.4589491439067</v>
      </c>
      <c r="Q75" s="67">
        <f>Cattle!$B88/INDEX(Cattle!$B$142:$Q$152,MATCH($B75,Cattle!$A$142:$A$152,0),MATCH(Q$2,Cattle!$B$141:$Q$141,0))*(1+Profit_Margin)</f>
        <v>37.216064203514577</v>
      </c>
      <c r="R75" s="67">
        <f>Cattle!$B88/INDEX(Cattle!$B$142:$Q$152,MATCH($B75,Cattle!$A$142:$A$152,0),MATCH(R$2,Cattle!$B$141:$Q$141,0))*(1+Profit_Margin)</f>
        <v>37.216064203514577</v>
      </c>
      <c r="S75" s="67">
        <f>Cattle!$B88/INDEX(Cattle!$B$142:$Q$152,MATCH($B75,Cattle!$A$142:$A$152,0),MATCH(S$2,Cattle!$B$141:$Q$141,0))*(1+Profit_Margin)</f>
        <v>33.237902189059604</v>
      </c>
      <c r="T75" s="67">
        <f>Cattle!$B88/INDEX(Cattle!$B$142:$Q$152,MATCH($B75,Cattle!$A$142:$A$152,0),MATCH(T$2,Cattle!$B$141:$Q$141,0))*(1+Profit_Margin)</f>
        <v>33.237902189059604</v>
      </c>
      <c r="U75" s="67">
        <f>Cattle!$B88/INDEX(Cattle!$B$142:$Q$152,MATCH($B75,Cattle!$A$142:$A$152,0),MATCH(U$2,Cattle!$B$141:$Q$141,0))*(1+Profit_Margin)</f>
        <v>31.988527877684582</v>
      </c>
      <c r="V75" s="67">
        <f>Cattle!$B88/INDEX(Cattle!$B$142:$Q$152,MATCH($B75,Cattle!$A$142:$A$152,0),MATCH(V$2,Cattle!$B$141:$Q$141,0))*(1+Profit_Margin)</f>
        <v>31.988527877684582</v>
      </c>
      <c r="W75" s="67">
        <f>Cattle!$B88/INDEX(Cattle!$B$142:$Q$152,MATCH($B75,Cattle!$A$142:$A$152,0),MATCH(W$2,Cattle!$B$141:$Q$141,0))*(1+Profit_Margin)</f>
        <v>31.9355423572215</v>
      </c>
      <c r="X75" s="67">
        <f>Cattle!$B88/INDEX(Cattle!$B$142:$Q$152,MATCH($B75,Cattle!$A$142:$A$152,0),MATCH(X$2,Cattle!$B$141:$Q$141,0))*(1+Profit_Margin)</f>
        <v>31.9355423572215</v>
      </c>
      <c r="Y75" s="67">
        <f>Cattle!$B88/INDEX(Cattle!$B$142:$Q$152,MATCH($B75,Cattle!$A$142:$A$152,0),MATCH(Y$2,Cattle!$B$141:$Q$141,0))*(1+Profit_Margin)</f>
        <v>29.605891272676935</v>
      </c>
      <c r="Z75" s="67">
        <f>Cattle!$B88/INDEX(Cattle!$B$142:$Q$152,MATCH($B75,Cattle!$A$142:$A$152,0),MATCH(Z$2,Cattle!$B$141:$Q$141,0))*(1+Profit_Margin)</f>
        <v>29.605891272676935</v>
      </c>
      <c r="AA75" s="67">
        <f>Cattle!$B88/INDEX(Cattle!$B$142:$Q$152,MATCH($B75,Cattle!$A$142:$A$152,0),MATCH(AA$2,Cattle!$B$141:$Q$141,0))*(1+Profit_Margin)</f>
        <v>30.681364384605452</v>
      </c>
      <c r="AB75" s="67">
        <f>Cattle!$B88/INDEX(Cattle!$B$142:$Q$152,MATCH($B75,Cattle!$A$142:$A$152,0),MATCH(AB$2,Cattle!$B$141:$Q$141,0))*(1+Profit_Margin)</f>
        <v>30.681364384605452</v>
      </c>
      <c r="AC75" s="67">
        <f>Cattle!$B88/INDEX(Cattle!$B$142:$Q$152,MATCH($B75,Cattle!$A$142:$A$152,0),MATCH(AC$2,Cattle!$B$141:$Q$141,0))*(1+Profit_Margin)</f>
        <v>29.894655092971739</v>
      </c>
      <c r="AD75" s="67">
        <f>Cattle!$B88/INDEX(Cattle!$B$142:$Q$152,MATCH($B75,Cattle!$A$142:$A$152,0),MATCH(AD$2,Cattle!$B$141:$Q$141,0))*(1+Profit_Margin)</f>
        <v>29.894655092971739</v>
      </c>
      <c r="AE75" s="67">
        <f>Cattle!$B88/INDEX(Cattle!$B$142:$Q$152,MATCH($B75,Cattle!$A$142:$A$152,0),MATCH(AE$2,Cattle!$B$141:$Q$141,0))*(1+Profit_Margin)</f>
        <v>27.215154758761209</v>
      </c>
      <c r="AF75" s="67">
        <f>Cattle!$B88/INDEX(Cattle!$B$142:$Q$152,MATCH($B75,Cattle!$A$142:$A$152,0),MATCH(AF$2,Cattle!$B$141:$Q$141,0))*(1+Profit_Margin)</f>
        <v>27.215154758761209</v>
      </c>
      <c r="AG75" s="67">
        <f>Cattle!$B88/INDEX(Cattle!$B$142:$Q$152,MATCH($B75,Cattle!$A$142:$A$152,0),MATCH(AG$2,Cattle!$B$141:$Q$141,0))*(1+Profit_Margin)</f>
        <v>26.989579228569838</v>
      </c>
      <c r="AH75" s="67">
        <f>Cattle!$B88/INDEX(Cattle!$B$142:$Q$152,MATCH($B75,Cattle!$A$142:$A$152,0),MATCH(AH$2,Cattle!$B$141:$Q$141,0))*(1+Profit_Margin)</f>
        <v>26.989579228569838</v>
      </c>
    </row>
    <row r="76" spans="1:34">
      <c r="A76" t="s">
        <v>22</v>
      </c>
      <c r="B76" t="s">
        <v>12</v>
      </c>
      <c r="C76" s="67">
        <f>Cattle!$B89/INDEX(Cattle!$B$142:$Q$152,MATCH($B76,Cattle!$A$142:$A$152,0),MATCH(C$2,Cattle!$B$141:$Q$141,0))*(1+Profit_Margin)</f>
        <v>46.631597267141593</v>
      </c>
      <c r="D76" s="67">
        <f>Cattle!$B89/INDEX(Cattle!$B$142:$Q$152,MATCH($B76,Cattle!$A$142:$A$152,0),MATCH(D$2,Cattle!$B$141:$Q$141,0))*(1+Profit_Margin)</f>
        <v>46.631597267141593</v>
      </c>
      <c r="E76" s="67">
        <f>Cattle!$B89/INDEX(Cattle!$B$142:$Q$152,MATCH($B76,Cattle!$A$142:$A$152,0),MATCH(E$2,Cattle!$B$141:$Q$141,0))*(1+Profit_Margin)</f>
        <v>47.18231895160114</v>
      </c>
      <c r="F76" s="67">
        <f>Cattle!$B89/INDEX(Cattle!$B$142:$Q$152,MATCH($B76,Cattle!$A$142:$A$152,0),MATCH(F$2,Cattle!$B$141:$Q$141,0))*(1+Profit_Margin)</f>
        <v>47.18231895160114</v>
      </c>
      <c r="G76" s="67">
        <f>Cattle!$B89/INDEX(Cattle!$B$142:$Q$152,MATCH($B76,Cattle!$A$142:$A$152,0),MATCH(G$2,Cattle!$B$141:$Q$141,0))*(1+Profit_Margin)</f>
        <v>42.518255278695726</v>
      </c>
      <c r="H76" s="67">
        <f>Cattle!$B89/INDEX(Cattle!$B$142:$Q$152,MATCH($B76,Cattle!$A$142:$A$152,0),MATCH(H$2,Cattle!$B$141:$Q$141,0))*(1+Profit_Margin)</f>
        <v>42.518255278695726</v>
      </c>
      <c r="I76" s="67">
        <f>Cattle!$B89/INDEX(Cattle!$B$142:$Q$152,MATCH($B76,Cattle!$A$142:$A$152,0),MATCH(I$2,Cattle!$B$141:$Q$141,0))*(1+Profit_Margin)</f>
        <v>40.217158476180018</v>
      </c>
      <c r="J76" s="67">
        <f>Cattle!$B89/INDEX(Cattle!$B$142:$Q$152,MATCH($B76,Cattle!$A$142:$A$152,0),MATCH(J$2,Cattle!$B$141:$Q$141,0))*(1+Profit_Margin)</f>
        <v>40.217158476180018</v>
      </c>
      <c r="K76" s="67">
        <f>Cattle!$B89/INDEX(Cattle!$B$142:$Q$152,MATCH($B76,Cattle!$A$142:$A$152,0),MATCH(K$2,Cattle!$B$141:$Q$141,0))*(1+Profit_Margin)</f>
        <v>38.390802336241762</v>
      </c>
      <c r="L76" s="67">
        <f>Cattle!$B89/INDEX(Cattle!$B$142:$Q$152,MATCH($B76,Cattle!$A$142:$A$152,0),MATCH(L$2,Cattle!$B$141:$Q$141,0))*(1+Profit_Margin)</f>
        <v>38.390802336241762</v>
      </c>
      <c r="M76" s="67">
        <f>Cattle!$B89/INDEX(Cattle!$B$142:$Q$152,MATCH($B76,Cattle!$A$142:$A$152,0),MATCH(M$2,Cattle!$B$141:$Q$141,0))*(1+Profit_Margin)</f>
        <v>38.490215129245051</v>
      </c>
      <c r="N76" s="67">
        <f>Cattle!$B89/INDEX(Cattle!$B$142:$Q$152,MATCH($B76,Cattle!$A$142:$A$152,0),MATCH(N$2,Cattle!$B$141:$Q$141,0))*(1+Profit_Margin)</f>
        <v>38.490215129245051</v>
      </c>
      <c r="O76" s="67">
        <f>Cattle!$B89/INDEX(Cattle!$B$142:$Q$152,MATCH($B76,Cattle!$A$142:$A$152,0),MATCH(O$2,Cattle!$B$141:$Q$141,0))*(1+Profit_Margin)</f>
        <v>34.915454375910663</v>
      </c>
      <c r="P76" s="67">
        <f>Cattle!$B89/INDEX(Cattle!$B$142:$Q$152,MATCH($B76,Cattle!$A$142:$A$152,0),MATCH(P$2,Cattle!$B$141:$Q$141,0))*(1+Profit_Margin)</f>
        <v>34.915454375910663</v>
      </c>
      <c r="Q76" s="67">
        <f>Cattle!$B89/INDEX(Cattle!$B$142:$Q$152,MATCH($B76,Cattle!$A$142:$A$152,0),MATCH(Q$2,Cattle!$B$141:$Q$141,0))*(1+Profit_Margin)</f>
        <v>32.844151214698059</v>
      </c>
      <c r="R76" s="67">
        <f>Cattle!$B89/INDEX(Cattle!$B$142:$Q$152,MATCH($B76,Cattle!$A$142:$A$152,0),MATCH(R$2,Cattle!$B$141:$Q$141,0))*(1+Profit_Margin)</f>
        <v>32.844151214698059</v>
      </c>
      <c r="S76" s="67">
        <f>Cattle!$B89/INDEX(Cattle!$B$142:$Q$152,MATCH($B76,Cattle!$A$142:$A$152,0),MATCH(S$2,Cattle!$B$141:$Q$141,0))*(1+Profit_Margin)</f>
        <v>35.416469971921764</v>
      </c>
      <c r="T76" s="67">
        <f>Cattle!$B89/INDEX(Cattle!$B$142:$Q$152,MATCH($B76,Cattle!$A$142:$A$152,0),MATCH(T$2,Cattle!$B$141:$Q$141,0))*(1+Profit_Margin)</f>
        <v>35.416469971921764</v>
      </c>
      <c r="U76" s="67">
        <f>Cattle!$B89/INDEX(Cattle!$B$142:$Q$152,MATCH($B76,Cattle!$A$142:$A$152,0),MATCH(U$2,Cattle!$B$141:$Q$141,0))*(1+Profit_Margin)</f>
        <v>30.935145786979724</v>
      </c>
      <c r="V76" s="67">
        <f>Cattle!$B89/INDEX(Cattle!$B$142:$Q$152,MATCH($B76,Cattle!$A$142:$A$152,0),MATCH(V$2,Cattle!$B$141:$Q$141,0))*(1+Profit_Margin)</f>
        <v>30.935145786979724</v>
      </c>
      <c r="W76" s="67">
        <f>Cattle!$B89/INDEX(Cattle!$B$142:$Q$152,MATCH($B76,Cattle!$A$142:$A$152,0),MATCH(W$2,Cattle!$B$141:$Q$141,0))*(1+Profit_Margin)</f>
        <v>29.269021842986248</v>
      </c>
      <c r="X76" s="67">
        <f>Cattle!$B89/INDEX(Cattle!$B$142:$Q$152,MATCH($B76,Cattle!$A$142:$A$152,0),MATCH(X$2,Cattle!$B$141:$Q$141,0))*(1+Profit_Margin)</f>
        <v>29.269021842986248</v>
      </c>
      <c r="Y76" s="67">
        <f>Cattle!$B89/INDEX(Cattle!$B$142:$Q$152,MATCH($B76,Cattle!$A$142:$A$152,0),MATCH(Y$2,Cattle!$B$141:$Q$141,0))*(1+Profit_Margin)</f>
        <v>28.54778981930216</v>
      </c>
      <c r="Z76" s="67">
        <f>Cattle!$B89/INDEX(Cattle!$B$142:$Q$152,MATCH($B76,Cattle!$A$142:$A$152,0),MATCH(Z$2,Cattle!$B$141:$Q$141,0))*(1+Profit_Margin)</f>
        <v>28.54778981930216</v>
      </c>
      <c r="AA76" s="67">
        <f>Cattle!$B89/INDEX(Cattle!$B$142:$Q$152,MATCH($B76,Cattle!$A$142:$A$152,0),MATCH(AA$2,Cattle!$B$141:$Q$141,0))*(1+Profit_Margin)</f>
        <v>28.053853033041626</v>
      </c>
      <c r="AB76" s="67">
        <f>Cattle!$B89/INDEX(Cattle!$B$142:$Q$152,MATCH($B76,Cattle!$A$142:$A$152,0),MATCH(AB$2,Cattle!$B$141:$Q$141,0))*(1+Profit_Margin)</f>
        <v>28.053853033041626</v>
      </c>
      <c r="AC76" s="67">
        <f>Cattle!$B89/INDEX(Cattle!$B$142:$Q$152,MATCH($B76,Cattle!$A$142:$A$152,0),MATCH(AC$2,Cattle!$B$141:$Q$141,0))*(1+Profit_Margin)</f>
        <v>27.866235349860432</v>
      </c>
      <c r="AD76" s="67">
        <f>Cattle!$B89/INDEX(Cattle!$B$142:$Q$152,MATCH($B76,Cattle!$A$142:$A$152,0),MATCH(AD$2,Cattle!$B$141:$Q$141,0))*(1+Profit_Margin)</f>
        <v>27.866235349860432</v>
      </c>
      <c r="AE76" s="67">
        <f>Cattle!$B89/INDEX(Cattle!$B$142:$Q$152,MATCH($B76,Cattle!$A$142:$A$152,0),MATCH(AE$2,Cattle!$B$141:$Q$141,0))*(1+Profit_Margin)</f>
        <v>27.613351375298141</v>
      </c>
      <c r="AF76" s="67">
        <f>Cattle!$B89/INDEX(Cattle!$B$142:$Q$152,MATCH($B76,Cattle!$A$142:$A$152,0),MATCH(AF$2,Cattle!$B$141:$Q$141,0))*(1+Profit_Margin)</f>
        <v>27.613351375298141</v>
      </c>
      <c r="AG76" s="67">
        <f>Cattle!$B89/INDEX(Cattle!$B$142:$Q$152,MATCH($B76,Cattle!$A$142:$A$152,0),MATCH(AG$2,Cattle!$B$141:$Q$141,0))*(1+Profit_Margin)</f>
        <v>26.367259448513785</v>
      </c>
      <c r="AH76" s="67">
        <f>Cattle!$B89/INDEX(Cattle!$B$142:$Q$152,MATCH($B76,Cattle!$A$142:$A$152,0),MATCH(AH$2,Cattle!$B$141:$Q$141,0))*(1+Profit_Margin)</f>
        <v>26.367259448513785</v>
      </c>
    </row>
    <row r="77" spans="1:34">
      <c r="A77" t="s">
        <v>22</v>
      </c>
      <c r="B77" t="s">
        <v>13</v>
      </c>
      <c r="C77" s="67">
        <f>Cattle!$B90/INDEX(Cattle!$B$142:$Q$152,MATCH($B77,Cattle!$A$142:$A$152,0),MATCH(C$2,Cattle!$B$141:$Q$141,0))*(1+Profit_Margin)</f>
        <v>45.29274101172949</v>
      </c>
      <c r="D77" s="67">
        <f>Cattle!$B90/INDEX(Cattle!$B$142:$Q$152,MATCH($B77,Cattle!$A$142:$A$152,0),MATCH(D$2,Cattle!$B$141:$Q$141,0))*(1+Profit_Margin)</f>
        <v>45.29274101172949</v>
      </c>
      <c r="E77" s="67">
        <f>Cattle!$B90/INDEX(Cattle!$B$142:$Q$152,MATCH($B77,Cattle!$A$142:$A$152,0),MATCH(E$2,Cattle!$B$141:$Q$141,0))*(1+Profit_Margin)</f>
        <v>42.102384221852041</v>
      </c>
      <c r="F77" s="67">
        <f>Cattle!$B90/INDEX(Cattle!$B$142:$Q$152,MATCH($B77,Cattle!$A$142:$A$152,0),MATCH(F$2,Cattle!$B$141:$Q$141,0))*(1+Profit_Margin)</f>
        <v>42.102384221852041</v>
      </c>
      <c r="G77" s="67">
        <f>Cattle!$B90/INDEX(Cattle!$B$142:$Q$152,MATCH($B77,Cattle!$A$142:$A$152,0),MATCH(G$2,Cattle!$B$141:$Q$141,0))*(1+Profit_Margin)</f>
        <v>40.101031860636738</v>
      </c>
      <c r="H77" s="67">
        <f>Cattle!$B90/INDEX(Cattle!$B$142:$Q$152,MATCH($B77,Cattle!$A$142:$A$152,0),MATCH(H$2,Cattle!$B$141:$Q$141,0))*(1+Profit_Margin)</f>
        <v>40.101031860636738</v>
      </c>
      <c r="I77" s="67">
        <f>Cattle!$B90/INDEX(Cattle!$B$142:$Q$152,MATCH($B77,Cattle!$A$142:$A$152,0),MATCH(I$2,Cattle!$B$141:$Q$141,0))*(1+Profit_Margin)</f>
        <v>40.987931316617278</v>
      </c>
      <c r="J77" s="67">
        <f>Cattle!$B90/INDEX(Cattle!$B$142:$Q$152,MATCH($B77,Cattle!$A$142:$A$152,0),MATCH(J$2,Cattle!$B$141:$Q$141,0))*(1+Profit_Margin)</f>
        <v>40.987931316617278</v>
      </c>
      <c r="K77" s="67">
        <f>Cattle!$B90/INDEX(Cattle!$B$142:$Q$152,MATCH($B77,Cattle!$A$142:$A$152,0),MATCH(K$2,Cattle!$B$141:$Q$141,0))*(1+Profit_Margin)</f>
        <v>36.430886142242727</v>
      </c>
      <c r="L77" s="67">
        <f>Cattle!$B90/INDEX(Cattle!$B$142:$Q$152,MATCH($B77,Cattle!$A$142:$A$152,0),MATCH(L$2,Cattle!$B$141:$Q$141,0))*(1+Profit_Margin)</f>
        <v>36.430886142242727</v>
      </c>
      <c r="M77" s="67">
        <f>Cattle!$B90/INDEX(Cattle!$B$142:$Q$152,MATCH($B77,Cattle!$A$142:$A$152,0),MATCH(M$2,Cattle!$B$141:$Q$141,0))*(1+Profit_Margin)</f>
        <v>36.520040886248566</v>
      </c>
      <c r="N77" s="67">
        <f>Cattle!$B90/INDEX(Cattle!$B$142:$Q$152,MATCH($B77,Cattle!$A$142:$A$152,0),MATCH(N$2,Cattle!$B$141:$Q$141,0))*(1+Profit_Margin)</f>
        <v>36.520040886248566</v>
      </c>
      <c r="O77" s="67">
        <f>Cattle!$B90/INDEX(Cattle!$B$142:$Q$152,MATCH($B77,Cattle!$A$142:$A$152,0),MATCH(O$2,Cattle!$B$141:$Q$141,0))*(1+Profit_Margin)</f>
        <v>36.083394977265343</v>
      </c>
      <c r="P77" s="67">
        <f>Cattle!$B90/INDEX(Cattle!$B$142:$Q$152,MATCH($B77,Cattle!$A$142:$A$152,0),MATCH(P$2,Cattle!$B$141:$Q$141,0))*(1+Profit_Margin)</f>
        <v>36.083394977265343</v>
      </c>
      <c r="Q77" s="67">
        <f>Cattle!$B90/INDEX(Cattle!$B$142:$Q$152,MATCH($B77,Cattle!$A$142:$A$152,0),MATCH(Q$2,Cattle!$B$141:$Q$141,0))*(1+Profit_Margin)</f>
        <v>33.013839793057343</v>
      </c>
      <c r="R77" s="67">
        <f>Cattle!$B90/INDEX(Cattle!$B$142:$Q$152,MATCH($B77,Cattle!$A$142:$A$152,0),MATCH(R$2,Cattle!$B$141:$Q$141,0))*(1+Profit_Margin)</f>
        <v>33.013839793057343</v>
      </c>
      <c r="S77" s="67">
        <f>Cattle!$B90/INDEX(Cattle!$B$142:$Q$152,MATCH($B77,Cattle!$A$142:$A$152,0),MATCH(S$2,Cattle!$B$141:$Q$141,0))*(1+Profit_Margin)</f>
        <v>34.85481333463521</v>
      </c>
      <c r="T77" s="67">
        <f>Cattle!$B90/INDEX(Cattle!$B$142:$Q$152,MATCH($B77,Cattle!$A$142:$A$152,0),MATCH(T$2,Cattle!$B$141:$Q$141,0))*(1+Profit_Margin)</f>
        <v>34.85481333463521</v>
      </c>
      <c r="U77" s="67">
        <f>Cattle!$B90/INDEX(Cattle!$B$142:$Q$152,MATCH($B77,Cattle!$A$142:$A$152,0),MATCH(U$2,Cattle!$B$141:$Q$141,0))*(1+Profit_Margin)</f>
        <v>31.743350915455636</v>
      </c>
      <c r="V77" s="67">
        <f>Cattle!$B90/INDEX(Cattle!$B$142:$Q$152,MATCH($B77,Cattle!$A$142:$A$152,0),MATCH(V$2,Cattle!$B$141:$Q$141,0))*(1+Profit_Margin)</f>
        <v>31.743350915455636</v>
      </c>
      <c r="W77" s="67">
        <f>Cattle!$B90/INDEX(Cattle!$B$142:$Q$152,MATCH($B77,Cattle!$A$142:$A$152,0),MATCH(W$2,Cattle!$B$141:$Q$141,0))*(1+Profit_Margin)</f>
        <v>32.638142056374718</v>
      </c>
      <c r="X77" s="67">
        <f>Cattle!$B90/INDEX(Cattle!$B$142:$Q$152,MATCH($B77,Cattle!$A$142:$A$152,0),MATCH(X$2,Cattle!$B$141:$Q$141,0))*(1+Profit_Margin)</f>
        <v>32.638142056374718</v>
      </c>
      <c r="Y77" s="67">
        <f>Cattle!$B90/INDEX(Cattle!$B$142:$Q$152,MATCH($B77,Cattle!$A$142:$A$152,0),MATCH(Y$2,Cattle!$B$141:$Q$141,0))*(1+Profit_Margin)</f>
        <v>31.395720930444771</v>
      </c>
      <c r="Z77" s="67">
        <f>Cattle!$B90/INDEX(Cattle!$B$142:$Q$152,MATCH($B77,Cattle!$A$142:$A$152,0),MATCH(Z$2,Cattle!$B$141:$Q$141,0))*(1+Profit_Margin)</f>
        <v>31.395720930444771</v>
      </c>
      <c r="AA77" s="67">
        <f>Cattle!$B90/INDEX(Cattle!$B$142:$Q$152,MATCH($B77,Cattle!$A$142:$A$152,0),MATCH(AA$2,Cattle!$B$141:$Q$141,0))*(1+Profit_Margin)</f>
        <v>27.542761702421842</v>
      </c>
      <c r="AB77" s="67">
        <f>Cattle!$B90/INDEX(Cattle!$B$142:$Q$152,MATCH($B77,Cattle!$A$142:$A$152,0),MATCH(AB$2,Cattle!$B$141:$Q$141,0))*(1+Profit_Margin)</f>
        <v>27.542761702421842</v>
      </c>
      <c r="AC77" s="67">
        <f>Cattle!$B90/INDEX(Cattle!$B$142:$Q$152,MATCH($B77,Cattle!$A$142:$A$152,0),MATCH(AC$2,Cattle!$B$141:$Q$141,0))*(1+Profit_Margin)</f>
        <v>29.474874553649837</v>
      </c>
      <c r="AD77" s="67">
        <f>Cattle!$B90/INDEX(Cattle!$B$142:$Q$152,MATCH($B77,Cattle!$A$142:$A$152,0),MATCH(AD$2,Cattle!$B$141:$Q$141,0))*(1+Profit_Margin)</f>
        <v>29.474874553649837</v>
      </c>
      <c r="AE77" s="67">
        <f>Cattle!$B90/INDEX(Cattle!$B$142:$Q$152,MATCH($B77,Cattle!$A$142:$A$152,0),MATCH(AE$2,Cattle!$B$141:$Q$141,0))*(1+Profit_Margin)</f>
        <v>26.939567216200551</v>
      </c>
      <c r="AF77" s="67">
        <f>Cattle!$B90/INDEX(Cattle!$B$142:$Q$152,MATCH($B77,Cattle!$A$142:$A$152,0),MATCH(AF$2,Cattle!$B$141:$Q$141,0))*(1+Profit_Margin)</f>
        <v>26.939567216200551</v>
      </c>
      <c r="AG77" s="67">
        <f>Cattle!$B90/INDEX(Cattle!$B$142:$Q$152,MATCH($B77,Cattle!$A$142:$A$152,0),MATCH(AG$2,Cattle!$B$141:$Q$141,0))*(1+Profit_Margin)</f>
        <v>27.93139983168119</v>
      </c>
      <c r="AH77" s="67">
        <f>Cattle!$B90/INDEX(Cattle!$B$142:$Q$152,MATCH($B77,Cattle!$A$142:$A$152,0),MATCH(AH$2,Cattle!$B$141:$Q$141,0))*(1+Profit_Margin)</f>
        <v>27.93139983168119</v>
      </c>
    </row>
    <row r="78" spans="1:34">
      <c r="A78" t="s">
        <v>22</v>
      </c>
      <c r="B78" t="s">
        <v>19</v>
      </c>
      <c r="C78" s="67">
        <f>Cattle!$B91/INDEX(Cattle!$B$142:$Q$152,MATCH($B78,Cattle!$A$142:$A$152,0),MATCH(C$2,Cattle!$B$141:$Q$141,0))*(1+Profit_Margin)</f>
        <v>50.705703111876119</v>
      </c>
      <c r="D78" s="67">
        <f>Cattle!$B91/INDEX(Cattle!$B$142:$Q$152,MATCH($B78,Cattle!$A$142:$A$152,0),MATCH(D$2,Cattle!$B$141:$Q$141,0))*(1+Profit_Margin)</f>
        <v>50.705703111876119</v>
      </c>
      <c r="E78" s="67">
        <f>Cattle!$B91/INDEX(Cattle!$B$142:$Q$152,MATCH($B78,Cattle!$A$142:$A$152,0),MATCH(E$2,Cattle!$B$141:$Q$141,0))*(1+Profit_Margin)</f>
        <v>47.669444807103417</v>
      </c>
      <c r="F78" s="67">
        <f>Cattle!$B91/INDEX(Cattle!$B$142:$Q$152,MATCH($B78,Cattle!$A$142:$A$152,0),MATCH(F$2,Cattle!$B$141:$Q$141,0))*(1+Profit_Margin)</f>
        <v>47.669444807103417</v>
      </c>
      <c r="G78" s="67">
        <f>Cattle!$B91/INDEX(Cattle!$B$142:$Q$152,MATCH($B78,Cattle!$A$142:$A$152,0),MATCH(G$2,Cattle!$B$141:$Q$141,0))*(1+Profit_Margin)</f>
        <v>39.844002759550989</v>
      </c>
      <c r="H78" s="67">
        <f>Cattle!$B91/INDEX(Cattle!$B$142:$Q$152,MATCH($B78,Cattle!$A$142:$A$152,0),MATCH(H$2,Cattle!$B$141:$Q$141,0))*(1+Profit_Margin)</f>
        <v>39.844002759550989</v>
      </c>
      <c r="I78" s="67">
        <f>Cattle!$B91/INDEX(Cattle!$B$142:$Q$152,MATCH($B78,Cattle!$A$142:$A$152,0),MATCH(I$2,Cattle!$B$141:$Q$141,0))*(1+Profit_Margin)</f>
        <v>44.422706247019406</v>
      </c>
      <c r="J78" s="67">
        <f>Cattle!$B91/INDEX(Cattle!$B$142:$Q$152,MATCH($B78,Cattle!$A$142:$A$152,0),MATCH(J$2,Cattle!$B$141:$Q$141,0))*(1+Profit_Margin)</f>
        <v>44.422706247019406</v>
      </c>
      <c r="K78" s="67">
        <f>Cattle!$B91/INDEX(Cattle!$B$142:$Q$152,MATCH($B78,Cattle!$A$142:$A$152,0),MATCH(K$2,Cattle!$B$141:$Q$141,0))*(1+Profit_Margin)</f>
        <v>36.896900497444136</v>
      </c>
      <c r="L78" s="67">
        <f>Cattle!$B91/INDEX(Cattle!$B$142:$Q$152,MATCH($B78,Cattle!$A$142:$A$152,0),MATCH(L$2,Cattle!$B$141:$Q$141,0))*(1+Profit_Margin)</f>
        <v>36.896900497444136</v>
      </c>
      <c r="M78" s="67">
        <f>Cattle!$B91/INDEX(Cattle!$B$142:$Q$152,MATCH($B78,Cattle!$A$142:$A$152,0),MATCH(M$2,Cattle!$B$141:$Q$141,0))*(1+Profit_Margin)</f>
        <v>37.564607112817036</v>
      </c>
      <c r="N78" s="67">
        <f>Cattle!$B91/INDEX(Cattle!$B$142:$Q$152,MATCH($B78,Cattle!$A$142:$A$152,0),MATCH(N$2,Cattle!$B$141:$Q$141,0))*(1+Profit_Margin)</f>
        <v>37.564607112817036</v>
      </c>
      <c r="O78" s="67">
        <f>Cattle!$B91/INDEX(Cattle!$B$142:$Q$152,MATCH($B78,Cattle!$A$142:$A$152,0),MATCH(O$2,Cattle!$B$141:$Q$141,0))*(1+Profit_Margin)</f>
        <v>33.995125448359076</v>
      </c>
      <c r="P78" s="67">
        <f>Cattle!$B91/INDEX(Cattle!$B$142:$Q$152,MATCH($B78,Cattle!$A$142:$A$152,0),MATCH(P$2,Cattle!$B$141:$Q$141,0))*(1+Profit_Margin)</f>
        <v>33.995125448359076</v>
      </c>
      <c r="Q78" s="67">
        <f>Cattle!$B91/INDEX(Cattle!$B$142:$Q$152,MATCH($B78,Cattle!$A$142:$A$152,0),MATCH(Q$2,Cattle!$B$141:$Q$141,0))*(1+Profit_Margin)</f>
        <v>34.620343168287278</v>
      </c>
      <c r="R78" s="67">
        <f>Cattle!$B91/INDEX(Cattle!$B$142:$Q$152,MATCH($B78,Cattle!$A$142:$A$152,0),MATCH(R$2,Cattle!$B$141:$Q$141,0))*(1+Profit_Margin)</f>
        <v>34.620343168287278</v>
      </c>
      <c r="S78" s="67">
        <f>Cattle!$B91/INDEX(Cattle!$B$142:$Q$152,MATCH($B78,Cattle!$A$142:$A$152,0),MATCH(S$2,Cattle!$B$141:$Q$141,0))*(1+Profit_Margin)</f>
        <v>33.680312249390376</v>
      </c>
      <c r="T78" s="67">
        <f>Cattle!$B91/INDEX(Cattle!$B$142:$Q$152,MATCH($B78,Cattle!$A$142:$A$152,0),MATCH(T$2,Cattle!$B$141:$Q$141,0))*(1+Profit_Margin)</f>
        <v>33.680312249390376</v>
      </c>
      <c r="U78" s="67">
        <f>Cattle!$B91/INDEX(Cattle!$B$142:$Q$152,MATCH($B78,Cattle!$A$142:$A$152,0),MATCH(U$2,Cattle!$B$141:$Q$141,0))*(1+Profit_Margin)</f>
        <v>34.142188239569023</v>
      </c>
      <c r="V78" s="67">
        <f>Cattle!$B91/INDEX(Cattle!$B$142:$Q$152,MATCH($B78,Cattle!$A$142:$A$152,0),MATCH(V$2,Cattle!$B$141:$Q$141,0))*(1+Profit_Margin)</f>
        <v>34.142188239569023</v>
      </c>
      <c r="W78" s="67">
        <f>Cattle!$B91/INDEX(Cattle!$B$142:$Q$152,MATCH($B78,Cattle!$A$142:$A$152,0),MATCH(W$2,Cattle!$B$141:$Q$141,0))*(1+Profit_Margin)</f>
        <v>30.004265799597665</v>
      </c>
      <c r="X78" s="67">
        <f>Cattle!$B91/INDEX(Cattle!$B$142:$Q$152,MATCH($B78,Cattle!$A$142:$A$152,0),MATCH(X$2,Cattle!$B$141:$Q$141,0))*(1+Profit_Margin)</f>
        <v>30.004265799597665</v>
      </c>
      <c r="Y78" s="67">
        <f>Cattle!$B91/INDEX(Cattle!$B$142:$Q$152,MATCH($B78,Cattle!$A$142:$A$152,0),MATCH(Y$2,Cattle!$B$141:$Q$141,0))*(1+Profit_Margin)</f>
        <v>30.225424457973588</v>
      </c>
      <c r="Z78" s="67">
        <f>Cattle!$B91/INDEX(Cattle!$B$142:$Q$152,MATCH($B78,Cattle!$A$142:$A$152,0),MATCH(Z$2,Cattle!$B$141:$Q$141,0))*(1+Profit_Margin)</f>
        <v>30.225424457973588</v>
      </c>
      <c r="AA78" s="67">
        <f>Cattle!$B91/INDEX(Cattle!$B$142:$Q$152,MATCH($B78,Cattle!$A$142:$A$152,0),MATCH(AA$2,Cattle!$B$141:$Q$141,0))*(1+Profit_Margin)</f>
        <v>30.010301425606421</v>
      </c>
      <c r="AB78" s="67">
        <f>Cattle!$B91/INDEX(Cattle!$B$142:$Q$152,MATCH($B78,Cattle!$A$142:$A$152,0),MATCH(AB$2,Cattle!$B$141:$Q$141,0))*(1+Profit_Margin)</f>
        <v>30.010301425606421</v>
      </c>
      <c r="AC78" s="67">
        <f>Cattle!$B91/INDEX(Cattle!$B$142:$Q$152,MATCH($B78,Cattle!$A$142:$A$152,0),MATCH(AC$2,Cattle!$B$141:$Q$141,0))*(1+Profit_Margin)</f>
        <v>26.744491992929632</v>
      </c>
      <c r="AD78" s="67">
        <f>Cattle!$B91/INDEX(Cattle!$B$142:$Q$152,MATCH($B78,Cattle!$A$142:$A$152,0),MATCH(AD$2,Cattle!$B$141:$Q$141,0))*(1+Profit_Margin)</f>
        <v>26.744491992929632</v>
      </c>
      <c r="AE78" s="67">
        <f>Cattle!$B91/INDEX(Cattle!$B$142:$Q$152,MATCH($B78,Cattle!$A$142:$A$152,0),MATCH(AE$2,Cattle!$B$141:$Q$141,0))*(1+Profit_Margin)</f>
        <v>25.928170576572299</v>
      </c>
      <c r="AF78" s="67">
        <f>Cattle!$B91/INDEX(Cattle!$B$142:$Q$152,MATCH($B78,Cattle!$A$142:$A$152,0),MATCH(AF$2,Cattle!$B$141:$Q$141,0))*(1+Profit_Margin)</f>
        <v>25.928170576572299</v>
      </c>
      <c r="AG78" s="67">
        <f>Cattle!$B91/INDEX(Cattle!$B$142:$Q$152,MATCH($B78,Cattle!$A$142:$A$152,0),MATCH(AG$2,Cattle!$B$141:$Q$141,0))*(1+Profit_Margin)</f>
        <v>25.758917724867182</v>
      </c>
      <c r="AH78" s="67">
        <f>Cattle!$B91/INDEX(Cattle!$B$142:$Q$152,MATCH($B78,Cattle!$A$142:$A$152,0),MATCH(AH$2,Cattle!$B$141:$Q$141,0))*(1+Profit_Margin)</f>
        <v>25.758917724867182</v>
      </c>
    </row>
    <row r="79" spans="1:34">
      <c r="A79" t="s">
        <v>22</v>
      </c>
      <c r="B79" t="s">
        <v>14</v>
      </c>
      <c r="C79" s="67">
        <f>Cattle!$B92/INDEX(Cattle!$B$142:$Q$152,MATCH($B79,Cattle!$A$142:$A$152,0),MATCH(C$2,Cattle!$B$141:$Q$141,0))*(1+Profit_Margin)</f>
        <v>52.305501189021491</v>
      </c>
      <c r="D79" s="67">
        <f>Cattle!$B92/INDEX(Cattle!$B$142:$Q$152,MATCH($B79,Cattle!$A$142:$A$152,0),MATCH(D$2,Cattle!$B$141:$Q$141,0))*(1+Profit_Margin)</f>
        <v>52.305501189021491</v>
      </c>
      <c r="E79" s="67">
        <f>Cattle!$B92/INDEX(Cattle!$B$142:$Q$152,MATCH($B79,Cattle!$A$142:$A$152,0),MATCH(E$2,Cattle!$B$141:$Q$141,0))*(1+Profit_Margin)</f>
        <v>41.977279582793379</v>
      </c>
      <c r="F79" s="67">
        <f>Cattle!$B92/INDEX(Cattle!$B$142:$Q$152,MATCH($B79,Cattle!$A$142:$A$152,0),MATCH(F$2,Cattle!$B$141:$Q$141,0))*(1+Profit_Margin)</f>
        <v>41.977279582793379</v>
      </c>
      <c r="G79" s="67">
        <f>Cattle!$B92/INDEX(Cattle!$B$142:$Q$152,MATCH($B79,Cattle!$A$142:$A$152,0),MATCH(G$2,Cattle!$B$141:$Q$141,0))*(1+Profit_Margin)</f>
        <v>43.166520920209301</v>
      </c>
      <c r="H79" s="67">
        <f>Cattle!$B92/INDEX(Cattle!$B$142:$Q$152,MATCH($B79,Cattle!$A$142:$A$152,0),MATCH(H$2,Cattle!$B$141:$Q$141,0))*(1+Profit_Margin)</f>
        <v>43.166520920209301</v>
      </c>
      <c r="I79" s="67">
        <f>Cattle!$B92/INDEX(Cattle!$B$142:$Q$152,MATCH($B79,Cattle!$A$142:$A$152,0),MATCH(I$2,Cattle!$B$141:$Q$141,0))*(1+Profit_Margin)</f>
        <v>39.304632461050623</v>
      </c>
      <c r="J79" s="67">
        <f>Cattle!$B92/INDEX(Cattle!$B$142:$Q$152,MATCH($B79,Cattle!$A$142:$A$152,0),MATCH(J$2,Cattle!$B$141:$Q$141,0))*(1+Profit_Margin)</f>
        <v>39.304632461050623</v>
      </c>
      <c r="K79" s="67">
        <f>Cattle!$B92/INDEX(Cattle!$B$142:$Q$152,MATCH($B79,Cattle!$A$142:$A$152,0),MATCH(K$2,Cattle!$B$141:$Q$141,0))*(1+Profit_Margin)</f>
        <v>40.320421846907678</v>
      </c>
      <c r="L79" s="67">
        <f>Cattle!$B92/INDEX(Cattle!$B$142:$Q$152,MATCH($B79,Cattle!$A$142:$A$152,0),MATCH(L$2,Cattle!$B$141:$Q$141,0))*(1+Profit_Margin)</f>
        <v>40.320421846907678</v>
      </c>
      <c r="M79" s="67">
        <f>Cattle!$B92/INDEX(Cattle!$B$142:$Q$152,MATCH($B79,Cattle!$A$142:$A$152,0),MATCH(M$2,Cattle!$B$141:$Q$141,0))*(1+Profit_Margin)</f>
        <v>37.801164112350939</v>
      </c>
      <c r="N79" s="67">
        <f>Cattle!$B92/INDEX(Cattle!$B$142:$Q$152,MATCH($B79,Cattle!$A$142:$A$152,0),MATCH(N$2,Cattle!$B$141:$Q$141,0))*(1+Profit_Margin)</f>
        <v>37.801164112350939</v>
      </c>
      <c r="O79" s="67">
        <f>Cattle!$B92/INDEX(Cattle!$B$142:$Q$152,MATCH($B79,Cattle!$A$142:$A$152,0),MATCH(O$2,Cattle!$B$141:$Q$141,0))*(1+Profit_Margin)</f>
        <v>37.994835780012977</v>
      </c>
      <c r="P79" s="67">
        <f>Cattle!$B92/INDEX(Cattle!$B$142:$Q$152,MATCH($B79,Cattle!$A$142:$A$152,0),MATCH(P$2,Cattle!$B$141:$Q$141,0))*(1+Profit_Margin)</f>
        <v>37.994835780012977</v>
      </c>
      <c r="Q79" s="67">
        <f>Cattle!$B92/INDEX(Cattle!$B$142:$Q$152,MATCH($B79,Cattle!$A$142:$A$152,0),MATCH(Q$2,Cattle!$B$141:$Q$141,0))*(1+Profit_Margin)</f>
        <v>35.07779980293202</v>
      </c>
      <c r="R79" s="67">
        <f>Cattle!$B92/INDEX(Cattle!$B$142:$Q$152,MATCH($B79,Cattle!$A$142:$A$152,0),MATCH(R$2,Cattle!$B$141:$Q$141,0))*(1+Profit_Margin)</f>
        <v>35.07779980293202</v>
      </c>
      <c r="S79" s="67">
        <f>Cattle!$B92/INDEX(Cattle!$B$142:$Q$152,MATCH($B79,Cattle!$A$142:$A$152,0),MATCH(S$2,Cattle!$B$141:$Q$141,0))*(1+Profit_Margin)</f>
        <v>33.640273697451462</v>
      </c>
      <c r="T79" s="67">
        <f>Cattle!$B92/INDEX(Cattle!$B$142:$Q$152,MATCH($B79,Cattle!$A$142:$A$152,0),MATCH(T$2,Cattle!$B$141:$Q$141,0))*(1+Profit_Margin)</f>
        <v>33.640273697451462</v>
      </c>
      <c r="U79" s="67">
        <f>Cattle!$B92/INDEX(Cattle!$B$142:$Q$152,MATCH($B79,Cattle!$A$142:$A$152,0),MATCH(U$2,Cattle!$B$141:$Q$141,0))*(1+Profit_Margin)</f>
        <v>32.829611711555408</v>
      </c>
      <c r="V79" s="67">
        <f>Cattle!$B92/INDEX(Cattle!$B$142:$Q$152,MATCH($B79,Cattle!$A$142:$A$152,0),MATCH(V$2,Cattle!$B$141:$Q$141,0))*(1+Profit_Margin)</f>
        <v>32.829611711555408</v>
      </c>
      <c r="W79" s="67">
        <f>Cattle!$B92/INDEX(Cattle!$B$142:$Q$152,MATCH($B79,Cattle!$A$142:$A$152,0),MATCH(W$2,Cattle!$B$141:$Q$141,0))*(1+Profit_Margin)</f>
        <v>29.469151378160579</v>
      </c>
      <c r="X79" s="67">
        <f>Cattle!$B92/INDEX(Cattle!$B$142:$Q$152,MATCH($B79,Cattle!$A$142:$A$152,0),MATCH(X$2,Cattle!$B$141:$Q$141,0))*(1+Profit_Margin)</f>
        <v>29.469151378160579</v>
      </c>
      <c r="Y79" s="67">
        <f>Cattle!$B92/INDEX(Cattle!$B$142:$Q$152,MATCH($B79,Cattle!$A$142:$A$152,0),MATCH(Y$2,Cattle!$B$141:$Q$141,0))*(1+Profit_Margin)</f>
        <v>30.887538082372608</v>
      </c>
      <c r="Z79" s="67">
        <f>Cattle!$B92/INDEX(Cattle!$B$142:$Q$152,MATCH($B79,Cattle!$A$142:$A$152,0),MATCH(Z$2,Cattle!$B$141:$Q$141,0))*(1+Profit_Margin)</f>
        <v>30.887538082372608</v>
      </c>
      <c r="AA79" s="67">
        <f>Cattle!$B92/INDEX(Cattle!$B$142:$Q$152,MATCH($B79,Cattle!$A$142:$A$152,0),MATCH(AA$2,Cattle!$B$141:$Q$141,0))*(1+Profit_Margin)</f>
        <v>28.731696246440016</v>
      </c>
      <c r="AB79" s="67">
        <f>Cattle!$B92/INDEX(Cattle!$B$142:$Q$152,MATCH($B79,Cattle!$A$142:$A$152,0),MATCH(AB$2,Cattle!$B$141:$Q$141,0))*(1+Profit_Margin)</f>
        <v>28.731696246440016</v>
      </c>
      <c r="AC79" s="67">
        <f>Cattle!$B92/INDEX(Cattle!$B$142:$Q$152,MATCH($B79,Cattle!$A$142:$A$152,0),MATCH(AC$2,Cattle!$B$141:$Q$141,0))*(1+Profit_Margin)</f>
        <v>29.883964470374799</v>
      </c>
      <c r="AD79" s="67">
        <f>Cattle!$B92/INDEX(Cattle!$B$142:$Q$152,MATCH($B79,Cattle!$A$142:$A$152,0),MATCH(AD$2,Cattle!$B$141:$Q$141,0))*(1+Profit_Margin)</f>
        <v>29.883964470374799</v>
      </c>
      <c r="AE79" s="67">
        <f>Cattle!$B92/INDEX(Cattle!$B$142:$Q$152,MATCH($B79,Cattle!$A$142:$A$152,0),MATCH(AE$2,Cattle!$B$141:$Q$141,0))*(1+Profit_Margin)</f>
        <v>26.568851985519188</v>
      </c>
      <c r="AF79" s="67">
        <f>Cattle!$B92/INDEX(Cattle!$B$142:$Q$152,MATCH($B79,Cattle!$A$142:$A$152,0),MATCH(AF$2,Cattle!$B$141:$Q$141,0))*(1+Profit_Margin)</f>
        <v>26.568851985519188</v>
      </c>
      <c r="AG79" s="67">
        <f>Cattle!$B92/INDEX(Cattle!$B$142:$Q$152,MATCH($B79,Cattle!$A$142:$A$152,0),MATCH(AG$2,Cattle!$B$141:$Q$141,0))*(1+Profit_Margin)</f>
        <v>25.903997432148351</v>
      </c>
      <c r="AH79" s="67">
        <f>Cattle!$B92/INDEX(Cattle!$B$142:$Q$152,MATCH($B79,Cattle!$A$142:$A$152,0),MATCH(AH$2,Cattle!$B$141:$Q$141,0))*(1+Profit_Margin)</f>
        <v>25.903997432148351</v>
      </c>
    </row>
    <row r="80" spans="1:34">
      <c r="A80" t="s">
        <v>23</v>
      </c>
      <c r="B80" t="s">
        <v>5</v>
      </c>
      <c r="C80" s="67">
        <f>Cattle!$B82/INDEX(Cattle!$B$162:$Q$172,MATCH($B80,Cattle!$A$142:$A$152,0),MATCH(C$2,Cattle!$B$141:$Q$141,0))*(1+Profit_Margin)</f>
        <v>39.961694678024159</v>
      </c>
      <c r="D80" s="67">
        <f>Cattle!$B82/INDEX(Cattle!$B$162:$Q$172,MATCH($B80,Cattle!$A$142:$A$152,0),MATCH(D$2,Cattle!$B$141:$Q$141,0))*(1+Profit_Margin)</f>
        <v>39.961694678024159</v>
      </c>
      <c r="E80" s="67">
        <f>Cattle!$B82/INDEX(Cattle!$B$162:$Q$172,MATCH($B80,Cattle!$A$142:$A$152,0),MATCH(E$2,Cattle!$B$141:$Q$141,0))*(1+Profit_Margin)</f>
        <v>42.24863522385953</v>
      </c>
      <c r="F80" s="67">
        <f>Cattle!$B82/INDEX(Cattle!$B$162:$Q$172,MATCH($B80,Cattle!$A$142:$A$152,0),MATCH(F$2,Cattle!$B$141:$Q$141,0))*(1+Profit_Margin)</f>
        <v>42.24863522385953</v>
      </c>
      <c r="G80" s="67">
        <f>Cattle!$B82/INDEX(Cattle!$B$162:$Q$172,MATCH($B80,Cattle!$A$142:$A$152,0),MATCH(G$2,Cattle!$B$141:$Q$141,0))*(1+Profit_Margin)</f>
        <v>42.080975872976452</v>
      </c>
      <c r="H80" s="67">
        <f>Cattle!$B82/INDEX(Cattle!$B$162:$Q$172,MATCH($B80,Cattle!$A$142:$A$152,0),MATCH(H$2,Cattle!$B$141:$Q$141,0))*(1+Profit_Margin)</f>
        <v>42.080975872976452</v>
      </c>
      <c r="I80" s="67">
        <f>Cattle!$B82/INDEX(Cattle!$B$162:$Q$172,MATCH($B80,Cattle!$A$142:$A$152,0),MATCH(I$2,Cattle!$B$141:$Q$141,0))*(1+Profit_Margin)</f>
        <v>38.14454734687606</v>
      </c>
      <c r="J80" s="67">
        <f>Cattle!$B82/INDEX(Cattle!$B$162:$Q$172,MATCH($B80,Cattle!$A$142:$A$152,0),MATCH(J$2,Cattle!$B$141:$Q$141,0))*(1+Profit_Margin)</f>
        <v>38.14454734687606</v>
      </c>
      <c r="K80" s="67">
        <f>Cattle!$B82/INDEX(Cattle!$B$162:$Q$172,MATCH($B80,Cattle!$A$142:$A$152,0),MATCH(K$2,Cattle!$B$141:$Q$141,0))*(1+Profit_Margin)</f>
        <v>38.023110796550895</v>
      </c>
      <c r="L80" s="67">
        <f>Cattle!$B82/INDEX(Cattle!$B$162:$Q$172,MATCH($B80,Cattle!$A$142:$A$152,0),MATCH(L$2,Cattle!$B$141:$Q$141,0))*(1+Profit_Margin)</f>
        <v>38.023110796550895</v>
      </c>
      <c r="M80" s="67">
        <f>Cattle!$B82/INDEX(Cattle!$B$162:$Q$172,MATCH($B80,Cattle!$A$142:$A$152,0),MATCH(M$2,Cattle!$B$141:$Q$141,0))*(1+Profit_Margin)</f>
        <v>37.47783202203513</v>
      </c>
      <c r="N80" s="67">
        <f>Cattle!$B82/INDEX(Cattle!$B$162:$Q$172,MATCH($B80,Cattle!$A$142:$A$152,0),MATCH(N$2,Cattle!$B$141:$Q$141,0))*(1+Profit_Margin)</f>
        <v>37.47783202203513</v>
      </c>
      <c r="O80" s="67">
        <f>Cattle!$B82/INDEX(Cattle!$B$162:$Q$172,MATCH($B80,Cattle!$A$142:$A$152,0),MATCH(O$2,Cattle!$B$141:$Q$141,0))*(1+Profit_Margin)</f>
        <v>37.730789036962122</v>
      </c>
      <c r="P80" s="67">
        <f>Cattle!$B82/INDEX(Cattle!$B$162:$Q$172,MATCH($B80,Cattle!$A$142:$A$152,0),MATCH(P$2,Cattle!$B$141:$Q$141,0))*(1+Profit_Margin)</f>
        <v>37.730789036962122</v>
      </c>
      <c r="Q80" s="67">
        <f>Cattle!$B82/INDEX(Cattle!$B$162:$Q$172,MATCH($B80,Cattle!$A$142:$A$152,0),MATCH(Q$2,Cattle!$B$141:$Q$141,0))*(1+Profit_Margin)</f>
        <v>35.814366541045992</v>
      </c>
      <c r="R80" s="67">
        <f>Cattle!$B82/INDEX(Cattle!$B$162:$Q$172,MATCH($B80,Cattle!$A$142:$A$152,0),MATCH(R$2,Cattle!$B$141:$Q$141,0))*(1+Profit_Margin)</f>
        <v>35.814366541045992</v>
      </c>
      <c r="S80" s="67">
        <f>Cattle!$B82/INDEX(Cattle!$B$162:$Q$172,MATCH($B80,Cattle!$A$142:$A$152,0),MATCH(S$2,Cattle!$B$141:$Q$141,0))*(1+Profit_Margin)</f>
        <v>35.001279189560428</v>
      </c>
      <c r="T80" s="67">
        <f>Cattle!$B82/INDEX(Cattle!$B$162:$Q$172,MATCH($B80,Cattle!$A$142:$A$152,0),MATCH(T$2,Cattle!$B$141:$Q$141,0))*(1+Profit_Margin)</f>
        <v>35.001279189560428</v>
      </c>
      <c r="U80" s="67">
        <f>Cattle!$B82/INDEX(Cattle!$B$162:$Q$172,MATCH($B80,Cattle!$A$142:$A$152,0),MATCH(U$2,Cattle!$B$141:$Q$141,0))*(1+Profit_Margin)</f>
        <v>39.426492302270816</v>
      </c>
      <c r="V80" s="67">
        <f>Cattle!$B82/INDEX(Cattle!$B$162:$Q$172,MATCH($B80,Cattle!$A$142:$A$152,0),MATCH(V$2,Cattle!$B$141:$Q$141,0))*(1+Profit_Margin)</f>
        <v>39.426492302270816</v>
      </c>
      <c r="W80" s="67">
        <f>Cattle!$B82/INDEX(Cattle!$B$162:$Q$172,MATCH($B80,Cattle!$A$142:$A$152,0),MATCH(W$2,Cattle!$B$141:$Q$141,0))*(1+Profit_Margin)</f>
        <v>38.561712341651045</v>
      </c>
      <c r="X80" s="67">
        <f>Cattle!$B82/INDEX(Cattle!$B$162:$Q$172,MATCH($B80,Cattle!$A$142:$A$152,0),MATCH(X$2,Cattle!$B$141:$Q$141,0))*(1+Profit_Margin)</f>
        <v>38.561712341651045</v>
      </c>
      <c r="Y80" s="67">
        <f>Cattle!$B82/INDEX(Cattle!$B$162:$Q$172,MATCH($B80,Cattle!$A$142:$A$152,0),MATCH(Y$2,Cattle!$B$141:$Q$141,0))*(1+Profit_Margin)</f>
        <v>33.564471872071394</v>
      </c>
      <c r="Z80" s="67">
        <f>Cattle!$B82/INDEX(Cattle!$B$162:$Q$172,MATCH($B80,Cattle!$A$142:$A$152,0),MATCH(Z$2,Cattle!$B$141:$Q$141,0))*(1+Profit_Margin)</f>
        <v>33.564471872071394</v>
      </c>
      <c r="AA80" s="67">
        <f>Cattle!$B82/INDEX(Cattle!$B$162:$Q$172,MATCH($B80,Cattle!$A$142:$A$152,0),MATCH(AA$2,Cattle!$B$141:$Q$141,0))*(1+Profit_Margin)</f>
        <v>34.585264979297712</v>
      </c>
      <c r="AB80" s="67">
        <f>Cattle!$B82/INDEX(Cattle!$B$162:$Q$172,MATCH($B80,Cattle!$A$142:$A$152,0),MATCH(AB$2,Cattle!$B$141:$Q$141,0))*(1+Profit_Margin)</f>
        <v>34.585264979297712</v>
      </c>
      <c r="AC80" s="67">
        <f>Cattle!$B82/INDEX(Cattle!$B$162:$Q$172,MATCH($B80,Cattle!$A$142:$A$152,0),MATCH(AC$2,Cattle!$B$141:$Q$141,0))*(1+Profit_Margin)</f>
        <v>35.531085828304697</v>
      </c>
      <c r="AD80" s="67">
        <f>Cattle!$B82/INDEX(Cattle!$B$162:$Q$172,MATCH($B80,Cattle!$A$142:$A$152,0),MATCH(AD$2,Cattle!$B$141:$Q$141,0))*(1+Profit_Margin)</f>
        <v>35.531085828304697</v>
      </c>
      <c r="AE80" s="67">
        <f>Cattle!$B82/INDEX(Cattle!$B$162:$Q$172,MATCH($B80,Cattle!$A$142:$A$152,0),MATCH(AE$2,Cattle!$B$141:$Q$141,0))*(1+Profit_Margin)</f>
        <v>36.515964999834395</v>
      </c>
      <c r="AF80" s="67">
        <f>Cattle!$B82/INDEX(Cattle!$B$162:$Q$172,MATCH($B80,Cattle!$A$142:$A$152,0),MATCH(AF$2,Cattle!$B$141:$Q$141,0))*(1+Profit_Margin)</f>
        <v>36.515964999834395</v>
      </c>
      <c r="AG80" s="67">
        <f>Cattle!$B82/INDEX(Cattle!$B$162:$Q$172,MATCH($B80,Cattle!$A$142:$A$152,0),MATCH(AG$2,Cattle!$B$141:$Q$141,0))*(1+Profit_Margin)</f>
        <v>32.037976496056785</v>
      </c>
      <c r="AH80" s="67">
        <f>Cattle!$B82/INDEX(Cattle!$B$162:$Q$172,MATCH($B80,Cattle!$A$142:$A$152,0),MATCH(AH$2,Cattle!$B$141:$Q$141,0))*(1+Profit_Margin)</f>
        <v>32.037976496056785</v>
      </c>
    </row>
    <row r="81" spans="1:34">
      <c r="A81" t="s">
        <v>23</v>
      </c>
      <c r="B81" t="s">
        <v>6</v>
      </c>
      <c r="C81" s="67">
        <f>Cattle!$B83/INDEX(Cattle!$B$162:$Q$172,MATCH($B81,Cattle!$A$142:$A$152,0),MATCH(C$2,Cattle!$B$141:$Q$141,0))*(1+Profit_Margin)</f>
        <v>47.178524853186296</v>
      </c>
      <c r="D81" s="67">
        <f>Cattle!$B83/INDEX(Cattle!$B$162:$Q$172,MATCH($B81,Cattle!$A$142:$A$152,0),MATCH(D$2,Cattle!$B$141:$Q$141,0))*(1+Profit_Margin)</f>
        <v>47.178524853186296</v>
      </c>
      <c r="E81" s="67">
        <f>Cattle!$B83/INDEX(Cattle!$B$162:$Q$172,MATCH($B81,Cattle!$A$142:$A$152,0),MATCH(E$2,Cattle!$B$141:$Q$141,0))*(1+Profit_Margin)</f>
        <v>41.584808194080097</v>
      </c>
      <c r="F81" s="67">
        <f>Cattle!$B83/INDEX(Cattle!$B$162:$Q$172,MATCH($B81,Cattle!$A$142:$A$152,0),MATCH(F$2,Cattle!$B$141:$Q$141,0))*(1+Profit_Margin)</f>
        <v>41.584808194080097</v>
      </c>
      <c r="G81" s="67">
        <f>Cattle!$B83/INDEX(Cattle!$B$162:$Q$172,MATCH($B81,Cattle!$A$142:$A$152,0),MATCH(G$2,Cattle!$B$141:$Q$141,0))*(1+Profit_Margin)</f>
        <v>42.011804215814706</v>
      </c>
      <c r="H81" s="67">
        <f>Cattle!$B83/INDEX(Cattle!$B$162:$Q$172,MATCH($B81,Cattle!$A$142:$A$152,0),MATCH(H$2,Cattle!$B$141:$Q$141,0))*(1+Profit_Margin)</f>
        <v>42.011804215814706</v>
      </c>
      <c r="I81" s="67">
        <f>Cattle!$B83/INDEX(Cattle!$B$162:$Q$172,MATCH($B81,Cattle!$A$142:$A$152,0),MATCH(I$2,Cattle!$B$141:$Q$141,0))*(1+Profit_Margin)</f>
        <v>41.538333313185781</v>
      </c>
      <c r="J81" s="67">
        <f>Cattle!$B83/INDEX(Cattle!$B$162:$Q$172,MATCH($B81,Cattle!$A$142:$A$152,0),MATCH(J$2,Cattle!$B$141:$Q$141,0))*(1+Profit_Margin)</f>
        <v>41.538333313185781</v>
      </c>
      <c r="K81" s="67">
        <f>Cattle!$B83/INDEX(Cattle!$B$162:$Q$172,MATCH($B81,Cattle!$A$142:$A$152,0),MATCH(K$2,Cattle!$B$141:$Q$141,0))*(1+Profit_Margin)</f>
        <v>37.989617774991487</v>
      </c>
      <c r="L81" s="67">
        <f>Cattle!$B83/INDEX(Cattle!$B$162:$Q$172,MATCH($B81,Cattle!$A$142:$A$152,0),MATCH(L$2,Cattle!$B$141:$Q$141,0))*(1+Profit_Margin)</f>
        <v>37.989617774991487</v>
      </c>
      <c r="M81" s="67">
        <f>Cattle!$B83/INDEX(Cattle!$B$162:$Q$172,MATCH($B81,Cattle!$A$142:$A$152,0),MATCH(M$2,Cattle!$B$141:$Q$141,0))*(1+Profit_Margin)</f>
        <v>38.050594264750515</v>
      </c>
      <c r="N81" s="67">
        <f>Cattle!$B83/INDEX(Cattle!$B$162:$Q$172,MATCH($B81,Cattle!$A$142:$A$152,0),MATCH(N$2,Cattle!$B$141:$Q$141,0))*(1+Profit_Margin)</f>
        <v>38.050594264750515</v>
      </c>
      <c r="O81" s="67">
        <f>Cattle!$B83/INDEX(Cattle!$B$162:$Q$172,MATCH($B81,Cattle!$A$142:$A$152,0),MATCH(O$2,Cattle!$B$141:$Q$141,0))*(1+Profit_Margin)</f>
        <v>38.61954172827555</v>
      </c>
      <c r="P81" s="67">
        <f>Cattle!$B83/INDEX(Cattle!$B$162:$Q$172,MATCH($B81,Cattle!$A$142:$A$152,0),MATCH(P$2,Cattle!$B$141:$Q$141,0))*(1+Profit_Margin)</f>
        <v>38.61954172827555</v>
      </c>
      <c r="Q81" s="67">
        <f>Cattle!$B83/INDEX(Cattle!$B$162:$Q$172,MATCH($B81,Cattle!$A$142:$A$152,0),MATCH(Q$2,Cattle!$B$141:$Q$141,0))*(1+Profit_Margin)</f>
        <v>41.657664826544455</v>
      </c>
      <c r="R81" s="67">
        <f>Cattle!$B83/INDEX(Cattle!$B$162:$Q$172,MATCH($B81,Cattle!$A$142:$A$152,0),MATCH(R$2,Cattle!$B$141:$Q$141,0))*(1+Profit_Margin)</f>
        <v>41.657664826544455</v>
      </c>
      <c r="S81" s="67">
        <f>Cattle!$B83/INDEX(Cattle!$B$162:$Q$172,MATCH($B81,Cattle!$A$142:$A$152,0),MATCH(S$2,Cattle!$B$141:$Q$141,0))*(1+Profit_Margin)</f>
        <v>40.584567708676403</v>
      </c>
      <c r="T81" s="67">
        <f>Cattle!$B83/INDEX(Cattle!$B$162:$Q$172,MATCH($B81,Cattle!$A$142:$A$152,0),MATCH(T$2,Cattle!$B$141:$Q$141,0))*(1+Profit_Margin)</f>
        <v>40.584567708676403</v>
      </c>
      <c r="U81" s="67">
        <f>Cattle!$B83/INDEX(Cattle!$B$162:$Q$172,MATCH($B81,Cattle!$A$142:$A$152,0),MATCH(U$2,Cattle!$B$141:$Q$141,0))*(1+Profit_Margin)</f>
        <v>37.972195077175577</v>
      </c>
      <c r="V81" s="67">
        <f>Cattle!$B83/INDEX(Cattle!$B$162:$Q$172,MATCH($B81,Cattle!$A$142:$A$152,0),MATCH(V$2,Cattle!$B$141:$Q$141,0))*(1+Profit_Margin)</f>
        <v>37.972195077175577</v>
      </c>
      <c r="W81" s="67">
        <f>Cattle!$B83/INDEX(Cattle!$B$162:$Q$172,MATCH($B81,Cattle!$A$142:$A$152,0),MATCH(W$2,Cattle!$B$141:$Q$141,0))*(1+Profit_Margin)</f>
        <v>39.073052869586974</v>
      </c>
      <c r="X81" s="67">
        <f>Cattle!$B83/INDEX(Cattle!$B$162:$Q$172,MATCH($B81,Cattle!$A$142:$A$152,0),MATCH(X$2,Cattle!$B$141:$Q$141,0))*(1+Profit_Margin)</f>
        <v>39.073052869586974</v>
      </c>
      <c r="Y81" s="67">
        <f>Cattle!$B83/INDEX(Cattle!$B$162:$Q$172,MATCH($B81,Cattle!$A$142:$A$152,0),MATCH(Y$2,Cattle!$B$141:$Q$141,0))*(1+Profit_Margin)</f>
        <v>35.852168979430203</v>
      </c>
      <c r="Z81" s="67">
        <f>Cattle!$B83/INDEX(Cattle!$B$162:$Q$172,MATCH($B81,Cattle!$A$142:$A$152,0),MATCH(Z$2,Cattle!$B$141:$Q$141,0))*(1+Profit_Margin)</f>
        <v>35.852168979430203</v>
      </c>
      <c r="AA81" s="67">
        <f>Cattle!$B83/INDEX(Cattle!$B$162:$Q$172,MATCH($B81,Cattle!$A$142:$A$152,0),MATCH(AA$2,Cattle!$B$141:$Q$141,0))*(1+Profit_Margin)</f>
        <v>35.050986010405268</v>
      </c>
      <c r="AB81" s="67">
        <f>Cattle!$B83/INDEX(Cattle!$B$162:$Q$172,MATCH($B81,Cattle!$A$142:$A$152,0),MATCH(AB$2,Cattle!$B$141:$Q$141,0))*(1+Profit_Margin)</f>
        <v>35.050986010405268</v>
      </c>
      <c r="AC81" s="67">
        <f>Cattle!$B83/INDEX(Cattle!$B$162:$Q$172,MATCH($B81,Cattle!$A$142:$A$152,0),MATCH(AC$2,Cattle!$B$141:$Q$141,0))*(1+Profit_Margin)</f>
        <v>36.010853966428272</v>
      </c>
      <c r="AD81" s="67">
        <f>Cattle!$B83/INDEX(Cattle!$B$162:$Q$172,MATCH($B81,Cattle!$A$142:$A$152,0),MATCH(AD$2,Cattle!$B$141:$Q$141,0))*(1+Profit_Margin)</f>
        <v>36.010853966428272</v>
      </c>
      <c r="AE81" s="67">
        <f>Cattle!$B83/INDEX(Cattle!$B$162:$Q$172,MATCH($B81,Cattle!$A$142:$A$152,0),MATCH(AE$2,Cattle!$B$141:$Q$141,0))*(1+Profit_Margin)</f>
        <v>33.167625091204329</v>
      </c>
      <c r="AF81" s="67">
        <f>Cattle!$B83/INDEX(Cattle!$B$162:$Q$172,MATCH($B81,Cattle!$A$142:$A$152,0),MATCH(AF$2,Cattle!$B$141:$Q$141,0))*(1+Profit_Margin)</f>
        <v>33.167625091204329</v>
      </c>
      <c r="AG81" s="67">
        <f>Cattle!$B83/INDEX(Cattle!$B$162:$Q$172,MATCH($B81,Cattle!$A$142:$A$152,0),MATCH(AG$2,Cattle!$B$141:$Q$141,0))*(1+Profit_Margin)</f>
        <v>32.152799827410441</v>
      </c>
      <c r="AH81" s="67">
        <f>Cattle!$B83/INDEX(Cattle!$B$162:$Q$172,MATCH($B81,Cattle!$A$142:$A$152,0),MATCH(AH$2,Cattle!$B$141:$Q$141,0))*(1+Profit_Margin)</f>
        <v>32.152799827410441</v>
      </c>
    </row>
    <row r="82" spans="1:34">
      <c r="A82" t="s">
        <v>23</v>
      </c>
      <c r="B82" t="s">
        <v>7</v>
      </c>
      <c r="C82" s="67">
        <f>Cattle!$B84/INDEX(Cattle!$B$162:$Q$172,MATCH($B82,Cattle!$A$142:$A$152,0),MATCH(C$2,Cattle!$B$141:$Q$141,0))*(1+Profit_Margin)</f>
        <v>41.798929834839583</v>
      </c>
      <c r="D82" s="67">
        <f>Cattle!$B84/INDEX(Cattle!$B$162:$Q$172,MATCH($B82,Cattle!$A$142:$A$152,0),MATCH(D$2,Cattle!$B$141:$Q$141,0))*(1+Profit_Margin)</f>
        <v>41.798929834839583</v>
      </c>
      <c r="E82" s="67">
        <f>Cattle!$B84/INDEX(Cattle!$B$162:$Q$172,MATCH($B82,Cattle!$A$142:$A$152,0),MATCH(E$2,Cattle!$B$141:$Q$141,0))*(1+Profit_Margin)</f>
        <v>43.693801383181274</v>
      </c>
      <c r="F82" s="67">
        <f>Cattle!$B84/INDEX(Cattle!$B$162:$Q$172,MATCH($B82,Cattle!$A$142:$A$152,0),MATCH(F$2,Cattle!$B$141:$Q$141,0))*(1+Profit_Margin)</f>
        <v>43.693801383181274</v>
      </c>
      <c r="G82" s="67">
        <f>Cattle!$B84/INDEX(Cattle!$B$162:$Q$172,MATCH($B82,Cattle!$A$142:$A$152,0),MATCH(G$2,Cattle!$B$141:$Q$141,0))*(1+Profit_Margin)</f>
        <v>38.767396394288987</v>
      </c>
      <c r="H82" s="67">
        <f>Cattle!$B84/INDEX(Cattle!$B$162:$Q$172,MATCH($B82,Cattle!$A$142:$A$152,0),MATCH(H$2,Cattle!$B$141:$Q$141,0))*(1+Profit_Margin)</f>
        <v>38.767396394288987</v>
      </c>
      <c r="I82" s="67">
        <f>Cattle!$B84/INDEX(Cattle!$B$162:$Q$172,MATCH($B82,Cattle!$A$142:$A$152,0),MATCH(I$2,Cattle!$B$141:$Q$141,0))*(1+Profit_Margin)</f>
        <v>43.715990317420491</v>
      </c>
      <c r="J82" s="67">
        <f>Cattle!$B84/INDEX(Cattle!$B$162:$Q$172,MATCH($B82,Cattle!$A$142:$A$152,0),MATCH(J$2,Cattle!$B$141:$Q$141,0))*(1+Profit_Margin)</f>
        <v>43.715990317420491</v>
      </c>
      <c r="K82" s="67">
        <f>Cattle!$B84/INDEX(Cattle!$B$162:$Q$172,MATCH($B82,Cattle!$A$142:$A$152,0),MATCH(K$2,Cattle!$B$141:$Q$141,0))*(1+Profit_Margin)</f>
        <v>42.210713590562669</v>
      </c>
      <c r="L82" s="67">
        <f>Cattle!$B84/INDEX(Cattle!$B$162:$Q$172,MATCH($B82,Cattle!$A$142:$A$152,0),MATCH(L$2,Cattle!$B$141:$Q$141,0))*(1+Profit_Margin)</f>
        <v>42.210713590562669</v>
      </c>
      <c r="M82" s="67">
        <f>Cattle!$B84/INDEX(Cattle!$B$162:$Q$172,MATCH($B82,Cattle!$A$142:$A$152,0),MATCH(M$2,Cattle!$B$141:$Q$141,0))*(1+Profit_Margin)</f>
        <v>40.562224284455525</v>
      </c>
      <c r="N82" s="67">
        <f>Cattle!$B84/INDEX(Cattle!$B$162:$Q$172,MATCH($B82,Cattle!$A$142:$A$152,0),MATCH(N$2,Cattle!$B$141:$Q$141,0))*(1+Profit_Margin)</f>
        <v>40.562224284455525</v>
      </c>
      <c r="O82" s="67">
        <f>Cattle!$B84/INDEX(Cattle!$B$162:$Q$172,MATCH($B82,Cattle!$A$142:$A$152,0),MATCH(O$2,Cattle!$B$141:$Q$141,0))*(1+Profit_Margin)</f>
        <v>39.242193591891585</v>
      </c>
      <c r="P82" s="67">
        <f>Cattle!$B84/INDEX(Cattle!$B$162:$Q$172,MATCH($B82,Cattle!$A$142:$A$152,0),MATCH(P$2,Cattle!$B$141:$Q$141,0))*(1+Profit_Margin)</f>
        <v>39.242193591891585</v>
      </c>
      <c r="Q82" s="67">
        <f>Cattle!$B84/INDEX(Cattle!$B$162:$Q$172,MATCH($B82,Cattle!$A$142:$A$152,0),MATCH(Q$2,Cattle!$B$141:$Q$141,0))*(1+Profit_Margin)</f>
        <v>37.7765384438773</v>
      </c>
      <c r="R82" s="67">
        <f>Cattle!$B84/INDEX(Cattle!$B$162:$Q$172,MATCH($B82,Cattle!$A$142:$A$152,0),MATCH(R$2,Cattle!$B$141:$Q$141,0))*(1+Profit_Margin)</f>
        <v>37.7765384438773</v>
      </c>
      <c r="S82" s="67">
        <f>Cattle!$B84/INDEX(Cattle!$B$162:$Q$172,MATCH($B82,Cattle!$A$142:$A$152,0),MATCH(S$2,Cattle!$B$141:$Q$141,0))*(1+Profit_Margin)</f>
        <v>35.084402174659893</v>
      </c>
      <c r="T82" s="67">
        <f>Cattle!$B84/INDEX(Cattle!$B$162:$Q$172,MATCH($B82,Cattle!$A$142:$A$152,0),MATCH(T$2,Cattle!$B$141:$Q$141,0))*(1+Profit_Margin)</f>
        <v>35.084402174659893</v>
      </c>
      <c r="U82" s="67">
        <f>Cattle!$B84/INDEX(Cattle!$B$162:$Q$172,MATCH($B82,Cattle!$A$142:$A$152,0),MATCH(U$2,Cattle!$B$141:$Q$141,0))*(1+Profit_Margin)</f>
        <v>34.793960235278576</v>
      </c>
      <c r="V82" s="67">
        <f>Cattle!$B84/INDEX(Cattle!$B$162:$Q$172,MATCH($B82,Cattle!$A$142:$A$152,0),MATCH(V$2,Cattle!$B$141:$Q$141,0))*(1+Profit_Margin)</f>
        <v>34.793960235278576</v>
      </c>
      <c r="W82" s="67">
        <f>Cattle!$B84/INDEX(Cattle!$B$162:$Q$172,MATCH($B82,Cattle!$A$142:$A$152,0),MATCH(W$2,Cattle!$B$141:$Q$141,0))*(1+Profit_Margin)</f>
        <v>38.69162925680574</v>
      </c>
      <c r="X82" s="67">
        <f>Cattle!$B84/INDEX(Cattle!$B$162:$Q$172,MATCH($B82,Cattle!$A$142:$A$152,0),MATCH(X$2,Cattle!$B$141:$Q$141,0))*(1+Profit_Margin)</f>
        <v>38.69162925680574</v>
      </c>
      <c r="Y82" s="67">
        <f>Cattle!$B84/INDEX(Cattle!$B$162:$Q$172,MATCH($B82,Cattle!$A$142:$A$152,0),MATCH(Y$2,Cattle!$B$141:$Q$141,0))*(1+Profit_Margin)</f>
        <v>37.07373554224764</v>
      </c>
      <c r="Z82" s="67">
        <f>Cattle!$B84/INDEX(Cattle!$B$162:$Q$172,MATCH($B82,Cattle!$A$142:$A$152,0),MATCH(Z$2,Cattle!$B$141:$Q$141,0))*(1+Profit_Margin)</f>
        <v>37.07373554224764</v>
      </c>
      <c r="AA82" s="67">
        <f>Cattle!$B84/INDEX(Cattle!$B$162:$Q$172,MATCH($B82,Cattle!$A$142:$A$152,0),MATCH(AA$2,Cattle!$B$141:$Q$141,0))*(1+Profit_Margin)</f>
        <v>36.080881344233063</v>
      </c>
      <c r="AB82" s="67">
        <f>Cattle!$B84/INDEX(Cattle!$B$162:$Q$172,MATCH($B82,Cattle!$A$142:$A$152,0),MATCH(AB$2,Cattle!$B$141:$Q$141,0))*(1+Profit_Margin)</f>
        <v>36.080881344233063</v>
      </c>
      <c r="AC82" s="67">
        <f>Cattle!$B84/INDEX(Cattle!$B$162:$Q$172,MATCH($B82,Cattle!$A$142:$A$152,0),MATCH(AC$2,Cattle!$B$141:$Q$141,0))*(1+Profit_Margin)</f>
        <v>37.186313102770534</v>
      </c>
      <c r="AD82" s="67">
        <f>Cattle!$B84/INDEX(Cattle!$B$162:$Q$172,MATCH($B82,Cattle!$A$142:$A$152,0),MATCH(AD$2,Cattle!$B$141:$Q$141,0))*(1+Profit_Margin)</f>
        <v>37.186313102770534</v>
      </c>
      <c r="AE82" s="67">
        <f>Cattle!$B84/INDEX(Cattle!$B$162:$Q$172,MATCH($B82,Cattle!$A$142:$A$152,0),MATCH(AE$2,Cattle!$B$141:$Q$141,0))*(1+Profit_Margin)</f>
        <v>33.756876395543671</v>
      </c>
      <c r="AF82" s="67">
        <f>Cattle!$B84/INDEX(Cattle!$B$162:$Q$172,MATCH($B82,Cattle!$A$142:$A$152,0),MATCH(AF$2,Cattle!$B$141:$Q$141,0))*(1+Profit_Margin)</f>
        <v>33.756876395543671</v>
      </c>
      <c r="AG82" s="67">
        <f>Cattle!$B84/INDEX(Cattle!$B$162:$Q$172,MATCH($B82,Cattle!$A$142:$A$152,0),MATCH(AG$2,Cattle!$B$141:$Q$141,0))*(1+Profit_Margin)</f>
        <v>32.787050380536847</v>
      </c>
      <c r="AH82" s="67">
        <f>Cattle!$B84/INDEX(Cattle!$B$162:$Q$172,MATCH($B82,Cattle!$A$142:$A$152,0),MATCH(AH$2,Cattle!$B$141:$Q$141,0))*(1+Profit_Margin)</f>
        <v>32.787050380536847</v>
      </c>
    </row>
    <row r="83" spans="1:34">
      <c r="A83" t="s">
        <v>23</v>
      </c>
      <c r="B83" t="s">
        <v>8</v>
      </c>
      <c r="C83" s="67">
        <f>Cattle!$B85/INDEX(Cattle!$B$162:$Q$172,MATCH($B83,Cattle!$A$142:$A$152,0),MATCH(C$2,Cattle!$B$141:$Q$141,0))*(1+Profit_Margin)</f>
        <v>44.022142023773156</v>
      </c>
      <c r="D83" s="67">
        <f>Cattle!$B85/INDEX(Cattle!$B$162:$Q$172,MATCH($B83,Cattle!$A$142:$A$152,0),MATCH(D$2,Cattle!$B$141:$Q$141,0))*(1+Profit_Margin)</f>
        <v>44.022142023773156</v>
      </c>
      <c r="E83" s="67">
        <f>Cattle!$B85/INDEX(Cattle!$B$162:$Q$172,MATCH($B83,Cattle!$A$142:$A$152,0),MATCH(E$2,Cattle!$B$141:$Q$141,0))*(1+Profit_Margin)</f>
        <v>41.258377949699224</v>
      </c>
      <c r="F83" s="67">
        <f>Cattle!$B85/INDEX(Cattle!$B$162:$Q$172,MATCH($B83,Cattle!$A$142:$A$152,0),MATCH(F$2,Cattle!$B$141:$Q$141,0))*(1+Profit_Margin)</f>
        <v>41.258377949699224</v>
      </c>
      <c r="G83" s="67">
        <f>Cattle!$B85/INDEX(Cattle!$B$162:$Q$172,MATCH($B83,Cattle!$A$142:$A$152,0),MATCH(G$2,Cattle!$B$141:$Q$141,0))*(1+Profit_Margin)</f>
        <v>42.120804150622007</v>
      </c>
      <c r="H83" s="67">
        <f>Cattle!$B85/INDEX(Cattle!$B$162:$Q$172,MATCH($B83,Cattle!$A$142:$A$152,0),MATCH(H$2,Cattle!$B$141:$Q$141,0))*(1+Profit_Margin)</f>
        <v>42.120804150622007</v>
      </c>
      <c r="I83" s="67">
        <f>Cattle!$B85/INDEX(Cattle!$B$162:$Q$172,MATCH($B83,Cattle!$A$142:$A$152,0),MATCH(I$2,Cattle!$B$141:$Q$141,0))*(1+Profit_Margin)</f>
        <v>44.007766643767837</v>
      </c>
      <c r="J83" s="67">
        <f>Cattle!$B85/INDEX(Cattle!$B$162:$Q$172,MATCH($B83,Cattle!$A$142:$A$152,0),MATCH(J$2,Cattle!$B$141:$Q$141,0))*(1+Profit_Margin)</f>
        <v>44.007766643767837</v>
      </c>
      <c r="K83" s="67">
        <f>Cattle!$B85/INDEX(Cattle!$B$162:$Q$172,MATCH($B83,Cattle!$A$142:$A$152,0),MATCH(K$2,Cattle!$B$141:$Q$141,0))*(1+Profit_Margin)</f>
        <v>39.340764525847277</v>
      </c>
      <c r="L83" s="67">
        <f>Cattle!$B85/INDEX(Cattle!$B$162:$Q$172,MATCH($B83,Cattle!$A$142:$A$152,0),MATCH(L$2,Cattle!$B$141:$Q$141,0))*(1+Profit_Margin)</f>
        <v>39.340764525847277</v>
      </c>
      <c r="M83" s="67">
        <f>Cattle!$B85/INDEX(Cattle!$B$162:$Q$172,MATCH($B83,Cattle!$A$142:$A$152,0),MATCH(M$2,Cattle!$B$141:$Q$141,0))*(1+Profit_Margin)</f>
        <v>41.218871557591314</v>
      </c>
      <c r="N83" s="67">
        <f>Cattle!$B85/INDEX(Cattle!$B$162:$Q$172,MATCH($B83,Cattle!$A$142:$A$152,0),MATCH(N$2,Cattle!$B$141:$Q$141,0))*(1+Profit_Margin)</f>
        <v>41.218871557591314</v>
      </c>
      <c r="O83" s="67">
        <f>Cattle!$B85/INDEX(Cattle!$B$162:$Q$172,MATCH($B83,Cattle!$A$142:$A$152,0),MATCH(O$2,Cattle!$B$141:$Q$141,0))*(1+Profit_Margin)</f>
        <v>37.719311372994781</v>
      </c>
      <c r="P83" s="67">
        <f>Cattle!$B85/INDEX(Cattle!$B$162:$Q$172,MATCH($B83,Cattle!$A$142:$A$152,0),MATCH(P$2,Cattle!$B$141:$Q$141,0))*(1+Profit_Margin)</f>
        <v>37.719311372994781</v>
      </c>
      <c r="Q83" s="67">
        <f>Cattle!$B85/INDEX(Cattle!$B$162:$Q$172,MATCH($B83,Cattle!$A$142:$A$152,0),MATCH(Q$2,Cattle!$B$141:$Q$141,0))*(1+Profit_Margin)</f>
        <v>39.6404146970943</v>
      </c>
      <c r="R83" s="67">
        <f>Cattle!$B85/INDEX(Cattle!$B$162:$Q$172,MATCH($B83,Cattle!$A$142:$A$152,0),MATCH(R$2,Cattle!$B$141:$Q$141,0))*(1+Profit_Margin)</f>
        <v>39.6404146970943</v>
      </c>
      <c r="S83" s="67">
        <f>Cattle!$B85/INDEX(Cattle!$B$162:$Q$172,MATCH($B83,Cattle!$A$142:$A$152,0),MATCH(S$2,Cattle!$B$141:$Q$141,0))*(1+Profit_Margin)</f>
        <v>35.486957912961941</v>
      </c>
      <c r="T83" s="67">
        <f>Cattle!$B85/INDEX(Cattle!$B$162:$Q$172,MATCH($B83,Cattle!$A$142:$A$152,0),MATCH(T$2,Cattle!$B$141:$Q$141,0))*(1+Profit_Margin)</f>
        <v>35.486957912961941</v>
      </c>
      <c r="U83" s="67">
        <f>Cattle!$B85/INDEX(Cattle!$B$162:$Q$172,MATCH($B83,Cattle!$A$142:$A$152,0),MATCH(U$2,Cattle!$B$141:$Q$141,0))*(1+Profit_Margin)</f>
        <v>37.810073219905988</v>
      </c>
      <c r="V83" s="67">
        <f>Cattle!$B85/INDEX(Cattle!$B$162:$Q$172,MATCH($B83,Cattle!$A$142:$A$152,0),MATCH(V$2,Cattle!$B$141:$Q$141,0))*(1+Profit_Margin)</f>
        <v>37.810073219905988</v>
      </c>
      <c r="W83" s="67">
        <f>Cattle!$B85/INDEX(Cattle!$B$162:$Q$172,MATCH($B83,Cattle!$A$142:$A$152,0),MATCH(W$2,Cattle!$B$141:$Q$141,0))*(1+Profit_Margin)</f>
        <v>36.229623553781927</v>
      </c>
      <c r="X83" s="67">
        <f>Cattle!$B85/INDEX(Cattle!$B$162:$Q$172,MATCH($B83,Cattle!$A$142:$A$152,0),MATCH(X$2,Cattle!$B$141:$Q$141,0))*(1+Profit_Margin)</f>
        <v>36.229623553781927</v>
      </c>
      <c r="Y83" s="67">
        <f>Cattle!$B85/INDEX(Cattle!$B$162:$Q$172,MATCH($B83,Cattle!$A$142:$A$152,0),MATCH(Y$2,Cattle!$B$141:$Q$141,0))*(1+Profit_Margin)</f>
        <v>38.138982312015543</v>
      </c>
      <c r="Z83" s="67">
        <f>Cattle!$B85/INDEX(Cattle!$B$162:$Q$172,MATCH($B83,Cattle!$A$142:$A$152,0),MATCH(Z$2,Cattle!$B$141:$Q$141,0))*(1+Profit_Margin)</f>
        <v>38.138982312015543</v>
      </c>
      <c r="AA83" s="67">
        <f>Cattle!$B85/INDEX(Cattle!$B$162:$Q$172,MATCH($B83,Cattle!$A$142:$A$152,0),MATCH(AA$2,Cattle!$B$141:$Q$141,0))*(1+Profit_Margin)</f>
        <v>36.758868608516643</v>
      </c>
      <c r="AB83" s="67">
        <f>Cattle!$B85/INDEX(Cattle!$B$162:$Q$172,MATCH($B83,Cattle!$A$142:$A$152,0),MATCH(AB$2,Cattle!$B$141:$Q$141,0))*(1+Profit_Margin)</f>
        <v>36.758868608516643</v>
      </c>
      <c r="AC83" s="67">
        <f>Cattle!$B85/INDEX(Cattle!$B$162:$Q$172,MATCH($B83,Cattle!$A$142:$A$152,0),MATCH(AC$2,Cattle!$B$141:$Q$141,0))*(1+Profit_Margin)</f>
        <v>36.131477297308685</v>
      </c>
      <c r="AD83" s="67">
        <f>Cattle!$B85/INDEX(Cattle!$B$162:$Q$172,MATCH($B83,Cattle!$A$142:$A$152,0),MATCH(AD$2,Cattle!$B$141:$Q$141,0))*(1+Profit_Margin)</f>
        <v>36.131477297308685</v>
      </c>
      <c r="AE83" s="67">
        <f>Cattle!$B85/INDEX(Cattle!$B$162:$Q$172,MATCH($B83,Cattle!$A$142:$A$152,0),MATCH(AE$2,Cattle!$B$141:$Q$141,0))*(1+Profit_Margin)</f>
        <v>34.853581280066457</v>
      </c>
      <c r="AF83" s="67">
        <f>Cattle!$B85/INDEX(Cattle!$B$162:$Q$172,MATCH($B83,Cattle!$A$142:$A$152,0),MATCH(AF$2,Cattle!$B$141:$Q$141,0))*(1+Profit_Margin)</f>
        <v>34.853581280066457</v>
      </c>
      <c r="AG83" s="67">
        <f>Cattle!$B85/INDEX(Cattle!$B$162:$Q$172,MATCH($B83,Cattle!$A$142:$A$152,0),MATCH(AG$2,Cattle!$B$141:$Q$141,0))*(1+Profit_Margin)</f>
        <v>32.815704924395611</v>
      </c>
      <c r="AH83" s="67">
        <f>Cattle!$B85/INDEX(Cattle!$B$162:$Q$172,MATCH($B83,Cattle!$A$142:$A$152,0),MATCH(AH$2,Cattle!$B$141:$Q$141,0))*(1+Profit_Margin)</f>
        <v>32.815704924395611</v>
      </c>
    </row>
    <row r="84" spans="1:34">
      <c r="A84" t="s">
        <v>23</v>
      </c>
      <c r="B84" t="s">
        <v>9</v>
      </c>
      <c r="C84" s="67">
        <f>Cattle!$B86/INDEX(Cattle!$B$162:$Q$172,MATCH($B84,Cattle!$A$142:$A$152,0),MATCH(C$2,Cattle!$B$141:$Q$141,0))*(1+Profit_Margin)</f>
        <v>42.411821117083406</v>
      </c>
      <c r="D84" s="67">
        <f>Cattle!$B86/INDEX(Cattle!$B$162:$Q$172,MATCH($B84,Cattle!$A$142:$A$152,0),MATCH(D$2,Cattle!$B$141:$Q$141,0))*(1+Profit_Margin)</f>
        <v>42.411821117083406</v>
      </c>
      <c r="E84" s="67">
        <f>Cattle!$B86/INDEX(Cattle!$B$162:$Q$172,MATCH($B84,Cattle!$A$142:$A$152,0),MATCH(E$2,Cattle!$B$141:$Q$141,0))*(1+Profit_Margin)</f>
        <v>40.667250122624836</v>
      </c>
      <c r="F84" s="67">
        <f>Cattle!$B86/INDEX(Cattle!$B$162:$Q$172,MATCH($B84,Cattle!$A$142:$A$152,0),MATCH(F$2,Cattle!$B$141:$Q$141,0))*(1+Profit_Margin)</f>
        <v>40.667250122624836</v>
      </c>
      <c r="G84" s="67">
        <f>Cattle!$B86/INDEX(Cattle!$B$162:$Q$172,MATCH($B84,Cattle!$A$142:$A$152,0),MATCH(G$2,Cattle!$B$141:$Q$141,0))*(1+Profit_Margin)</f>
        <v>39.078654209776388</v>
      </c>
      <c r="H84" s="67">
        <f>Cattle!$B86/INDEX(Cattle!$B$162:$Q$172,MATCH($B84,Cattle!$A$142:$A$152,0),MATCH(H$2,Cattle!$B$141:$Q$141,0))*(1+Profit_Margin)</f>
        <v>39.078654209776388</v>
      </c>
      <c r="I84" s="67">
        <f>Cattle!$B86/INDEX(Cattle!$B$162:$Q$172,MATCH($B84,Cattle!$A$142:$A$152,0),MATCH(I$2,Cattle!$B$141:$Q$141,0))*(1+Profit_Margin)</f>
        <v>42.606504008355024</v>
      </c>
      <c r="J84" s="67">
        <f>Cattle!$B86/INDEX(Cattle!$B$162:$Q$172,MATCH($B84,Cattle!$A$142:$A$152,0),MATCH(J$2,Cattle!$B$141:$Q$141,0))*(1+Profit_Margin)</f>
        <v>42.606504008355024</v>
      </c>
      <c r="K84" s="67">
        <f>Cattle!$B86/INDEX(Cattle!$B$162:$Q$172,MATCH($B84,Cattle!$A$142:$A$152,0),MATCH(K$2,Cattle!$B$141:$Q$141,0))*(1+Profit_Margin)</f>
        <v>43.547004503019167</v>
      </c>
      <c r="L84" s="67">
        <f>Cattle!$B86/INDEX(Cattle!$B$162:$Q$172,MATCH($B84,Cattle!$A$142:$A$152,0),MATCH(L$2,Cattle!$B$141:$Q$141,0))*(1+Profit_Margin)</f>
        <v>43.547004503019167</v>
      </c>
      <c r="M84" s="67">
        <f>Cattle!$B86/INDEX(Cattle!$B$162:$Q$172,MATCH($B84,Cattle!$A$142:$A$152,0),MATCH(M$2,Cattle!$B$141:$Q$141,0))*(1+Profit_Margin)</f>
        <v>42.170278949668983</v>
      </c>
      <c r="N84" s="67">
        <f>Cattle!$B86/INDEX(Cattle!$B$162:$Q$172,MATCH($B84,Cattle!$A$142:$A$152,0),MATCH(N$2,Cattle!$B$141:$Q$141,0))*(1+Profit_Margin)</f>
        <v>42.170278949668983</v>
      </c>
      <c r="O84" s="67">
        <f>Cattle!$B86/INDEX(Cattle!$B$162:$Q$172,MATCH($B84,Cattle!$A$142:$A$152,0),MATCH(O$2,Cattle!$B$141:$Q$141,0))*(1+Profit_Margin)</f>
        <v>38.671772969532014</v>
      </c>
      <c r="P84" s="67">
        <f>Cattle!$B86/INDEX(Cattle!$B$162:$Q$172,MATCH($B84,Cattle!$A$142:$A$152,0),MATCH(P$2,Cattle!$B$141:$Q$141,0))*(1+Profit_Margin)</f>
        <v>38.671772969532014</v>
      </c>
      <c r="Q84" s="67">
        <f>Cattle!$B86/INDEX(Cattle!$B$162:$Q$172,MATCH($B84,Cattle!$A$142:$A$152,0),MATCH(Q$2,Cattle!$B$141:$Q$141,0))*(1+Profit_Margin)</f>
        <v>37.842280645331904</v>
      </c>
      <c r="R84" s="67">
        <f>Cattle!$B86/INDEX(Cattle!$B$162:$Q$172,MATCH($B84,Cattle!$A$142:$A$152,0),MATCH(R$2,Cattle!$B$141:$Q$141,0))*(1+Profit_Margin)</f>
        <v>37.842280645331904</v>
      </c>
      <c r="S84" s="67">
        <f>Cattle!$B86/INDEX(Cattle!$B$162:$Q$172,MATCH($B84,Cattle!$A$142:$A$152,0),MATCH(S$2,Cattle!$B$141:$Q$141,0))*(1+Profit_Margin)</f>
        <v>35.104153408218536</v>
      </c>
      <c r="T84" s="67">
        <f>Cattle!$B86/INDEX(Cattle!$B$162:$Q$172,MATCH($B84,Cattle!$A$142:$A$152,0),MATCH(T$2,Cattle!$B$141:$Q$141,0))*(1+Profit_Margin)</f>
        <v>35.104153408218536</v>
      </c>
      <c r="U84" s="67">
        <f>Cattle!$B86/INDEX(Cattle!$B$162:$Q$172,MATCH($B84,Cattle!$A$142:$A$152,0),MATCH(U$2,Cattle!$B$141:$Q$141,0))*(1+Profit_Margin)</f>
        <v>36.130556696830261</v>
      </c>
      <c r="V84" s="67">
        <f>Cattle!$B86/INDEX(Cattle!$B$162:$Q$172,MATCH($B84,Cattle!$A$142:$A$152,0),MATCH(V$2,Cattle!$B$141:$Q$141,0))*(1+Profit_Margin)</f>
        <v>36.130556696830261</v>
      </c>
      <c r="W84" s="67">
        <f>Cattle!$B86/INDEX(Cattle!$B$162:$Q$172,MATCH($B84,Cattle!$A$142:$A$152,0),MATCH(W$2,Cattle!$B$141:$Q$141,0))*(1+Profit_Margin)</f>
        <v>37.442667980398845</v>
      </c>
      <c r="X84" s="67">
        <f>Cattle!$B86/INDEX(Cattle!$B$162:$Q$172,MATCH($B84,Cattle!$A$142:$A$152,0),MATCH(X$2,Cattle!$B$141:$Q$141,0))*(1+Profit_Margin)</f>
        <v>37.442667980398845</v>
      </c>
      <c r="Y84" s="67">
        <f>Cattle!$B86/INDEX(Cattle!$B$162:$Q$172,MATCH($B84,Cattle!$A$142:$A$152,0),MATCH(Y$2,Cattle!$B$141:$Q$141,0))*(1+Profit_Margin)</f>
        <v>36.936271785642283</v>
      </c>
      <c r="Z84" s="67">
        <f>Cattle!$B86/INDEX(Cattle!$B$162:$Q$172,MATCH($B84,Cattle!$A$142:$A$152,0),MATCH(Z$2,Cattle!$B$141:$Q$141,0))*(1+Profit_Margin)</f>
        <v>36.936271785642283</v>
      </c>
      <c r="AA84" s="67">
        <f>Cattle!$B86/INDEX(Cattle!$B$162:$Q$172,MATCH($B84,Cattle!$A$142:$A$152,0),MATCH(AA$2,Cattle!$B$141:$Q$141,0))*(1+Profit_Margin)</f>
        <v>34.681417546835505</v>
      </c>
      <c r="AB84" s="67">
        <f>Cattle!$B86/INDEX(Cattle!$B$162:$Q$172,MATCH($B84,Cattle!$A$142:$A$152,0),MATCH(AB$2,Cattle!$B$141:$Q$141,0))*(1+Profit_Margin)</f>
        <v>34.681417546835505</v>
      </c>
      <c r="AC84" s="67">
        <f>Cattle!$B86/INDEX(Cattle!$B$162:$Q$172,MATCH($B84,Cattle!$A$142:$A$152,0),MATCH(AC$2,Cattle!$B$141:$Q$141,0))*(1+Profit_Margin)</f>
        <v>36.482176556949057</v>
      </c>
      <c r="AD84" s="67">
        <f>Cattle!$B86/INDEX(Cattle!$B$162:$Q$172,MATCH($B84,Cattle!$A$142:$A$152,0),MATCH(AD$2,Cattle!$B$141:$Q$141,0))*(1+Profit_Margin)</f>
        <v>36.482176556949057</v>
      </c>
      <c r="AE84" s="67">
        <f>Cattle!$B86/INDEX(Cattle!$B$162:$Q$172,MATCH($B84,Cattle!$A$142:$A$152,0),MATCH(AE$2,Cattle!$B$141:$Q$141,0))*(1+Profit_Margin)</f>
        <v>32.919084935286357</v>
      </c>
      <c r="AF84" s="67">
        <f>Cattle!$B86/INDEX(Cattle!$B$162:$Q$172,MATCH($B84,Cattle!$A$142:$A$152,0),MATCH(AF$2,Cattle!$B$141:$Q$141,0))*(1+Profit_Margin)</f>
        <v>32.919084935286357</v>
      </c>
      <c r="AG84" s="67">
        <f>Cattle!$B86/INDEX(Cattle!$B$162:$Q$172,MATCH($B84,Cattle!$A$142:$A$152,0),MATCH(AG$2,Cattle!$B$141:$Q$141,0))*(1+Profit_Margin)</f>
        <v>31.887401363128077</v>
      </c>
      <c r="AH84" s="67">
        <f>Cattle!$B86/INDEX(Cattle!$B$162:$Q$172,MATCH($B84,Cattle!$A$142:$A$152,0),MATCH(AH$2,Cattle!$B$141:$Q$141,0))*(1+Profit_Margin)</f>
        <v>31.887401363128077</v>
      </c>
    </row>
    <row r="85" spans="1:34">
      <c r="A85" t="s">
        <v>23</v>
      </c>
      <c r="B85" t="s">
        <v>10</v>
      </c>
      <c r="C85" s="67">
        <f>Cattle!$B87/INDEX(Cattle!$B$162:$Q$172,MATCH($B85,Cattle!$A$142:$A$152,0),MATCH(C$2,Cattle!$B$141:$Q$141,0))*(1+Profit_Margin)</f>
        <v>44.610335233641642</v>
      </c>
      <c r="D85" s="67">
        <f>Cattle!$B87/INDEX(Cattle!$B$162:$Q$172,MATCH($B85,Cattle!$A$142:$A$152,0),MATCH(D$2,Cattle!$B$141:$Q$141,0))*(1+Profit_Margin)</f>
        <v>44.610335233641642</v>
      </c>
      <c r="E85" s="67">
        <f>Cattle!$B87/INDEX(Cattle!$B$162:$Q$172,MATCH($B85,Cattle!$A$142:$A$152,0),MATCH(E$2,Cattle!$B$141:$Q$141,0))*(1+Profit_Margin)</f>
        <v>39.810864865433558</v>
      </c>
      <c r="F85" s="67">
        <f>Cattle!$B87/INDEX(Cattle!$B$162:$Q$172,MATCH($B85,Cattle!$A$142:$A$152,0),MATCH(F$2,Cattle!$B$141:$Q$141,0))*(1+Profit_Margin)</f>
        <v>39.810864865433558</v>
      </c>
      <c r="G85" s="67">
        <f>Cattle!$B87/INDEX(Cattle!$B$162:$Q$172,MATCH($B85,Cattle!$A$142:$A$152,0),MATCH(G$2,Cattle!$B$141:$Q$141,0))*(1+Profit_Margin)</f>
        <v>40.064398876045018</v>
      </c>
      <c r="H85" s="67">
        <f>Cattle!$B87/INDEX(Cattle!$B$162:$Q$172,MATCH($B85,Cattle!$A$142:$A$152,0),MATCH(H$2,Cattle!$B$141:$Q$141,0))*(1+Profit_Margin)</f>
        <v>40.064398876045018</v>
      </c>
      <c r="I85" s="67">
        <f>Cattle!$B87/INDEX(Cattle!$B$162:$Q$172,MATCH($B85,Cattle!$A$142:$A$152,0),MATCH(I$2,Cattle!$B$141:$Q$141,0))*(1+Profit_Margin)</f>
        <v>40.37903026551718</v>
      </c>
      <c r="J85" s="67">
        <f>Cattle!$B87/INDEX(Cattle!$B$162:$Q$172,MATCH($B85,Cattle!$A$142:$A$152,0),MATCH(J$2,Cattle!$B$141:$Q$141,0))*(1+Profit_Margin)</f>
        <v>40.37903026551718</v>
      </c>
      <c r="K85" s="67">
        <f>Cattle!$B87/INDEX(Cattle!$B$162:$Q$172,MATCH($B85,Cattle!$A$142:$A$152,0),MATCH(K$2,Cattle!$B$141:$Q$141,0))*(1+Profit_Margin)</f>
        <v>43.895210546075106</v>
      </c>
      <c r="L85" s="67">
        <f>Cattle!$B87/INDEX(Cattle!$B$162:$Q$172,MATCH($B85,Cattle!$A$142:$A$152,0),MATCH(L$2,Cattle!$B$141:$Q$141,0))*(1+Profit_Margin)</f>
        <v>43.895210546075106</v>
      </c>
      <c r="M85" s="67">
        <f>Cattle!$B87/INDEX(Cattle!$B$162:$Q$172,MATCH($B85,Cattle!$A$142:$A$152,0),MATCH(M$2,Cattle!$B$141:$Q$141,0))*(1+Profit_Margin)</f>
        <v>41.530871554308732</v>
      </c>
      <c r="N85" s="67">
        <f>Cattle!$B87/INDEX(Cattle!$B$162:$Q$172,MATCH($B85,Cattle!$A$142:$A$152,0),MATCH(N$2,Cattle!$B$141:$Q$141,0))*(1+Profit_Margin)</f>
        <v>41.530871554308732</v>
      </c>
      <c r="O85" s="67">
        <f>Cattle!$B87/INDEX(Cattle!$B$162:$Q$172,MATCH($B85,Cattle!$A$142:$A$152,0),MATCH(O$2,Cattle!$B$141:$Q$141,0))*(1+Profit_Margin)</f>
        <v>36.723613650913499</v>
      </c>
      <c r="P85" s="67">
        <f>Cattle!$B87/INDEX(Cattle!$B$162:$Q$172,MATCH($B85,Cattle!$A$142:$A$152,0),MATCH(P$2,Cattle!$B$141:$Q$141,0))*(1+Profit_Margin)</f>
        <v>36.723613650913499</v>
      </c>
      <c r="Q85" s="67">
        <f>Cattle!$B87/INDEX(Cattle!$B$162:$Q$172,MATCH($B85,Cattle!$A$142:$A$152,0),MATCH(Q$2,Cattle!$B$141:$Q$141,0))*(1+Profit_Margin)</f>
        <v>38.886548204516657</v>
      </c>
      <c r="R85" s="67">
        <f>Cattle!$B87/INDEX(Cattle!$B$162:$Q$172,MATCH($B85,Cattle!$A$142:$A$152,0),MATCH(R$2,Cattle!$B$141:$Q$141,0))*(1+Profit_Margin)</f>
        <v>38.886548204516657</v>
      </c>
      <c r="S85" s="67">
        <f>Cattle!$B87/INDEX(Cattle!$B$162:$Q$172,MATCH($B85,Cattle!$A$142:$A$152,0),MATCH(S$2,Cattle!$B$141:$Q$141,0))*(1+Profit_Margin)</f>
        <v>37.857289674228682</v>
      </c>
      <c r="T85" s="67">
        <f>Cattle!$B87/INDEX(Cattle!$B$162:$Q$172,MATCH($B85,Cattle!$A$142:$A$152,0),MATCH(T$2,Cattle!$B$141:$Q$141,0))*(1+Profit_Margin)</f>
        <v>37.857289674228682</v>
      </c>
      <c r="U85" s="67">
        <f>Cattle!$B87/INDEX(Cattle!$B$162:$Q$172,MATCH($B85,Cattle!$A$142:$A$152,0),MATCH(U$2,Cattle!$B$141:$Q$141,0))*(1+Profit_Margin)</f>
        <v>38.22693777158382</v>
      </c>
      <c r="V85" s="67">
        <f>Cattle!$B87/INDEX(Cattle!$B$162:$Q$172,MATCH($B85,Cattle!$A$142:$A$152,0),MATCH(V$2,Cattle!$B$141:$Q$141,0))*(1+Profit_Margin)</f>
        <v>38.22693777158382</v>
      </c>
      <c r="W85" s="67">
        <f>Cattle!$B87/INDEX(Cattle!$B$162:$Q$172,MATCH($B85,Cattle!$A$142:$A$152,0),MATCH(W$2,Cattle!$B$141:$Q$141,0))*(1+Profit_Margin)</f>
        <v>38.561521195104831</v>
      </c>
      <c r="X85" s="67">
        <f>Cattle!$B87/INDEX(Cattle!$B$162:$Q$172,MATCH($B85,Cattle!$A$142:$A$152,0),MATCH(X$2,Cattle!$B$141:$Q$141,0))*(1+Profit_Margin)</f>
        <v>38.561521195104831</v>
      </c>
      <c r="Y85" s="67">
        <f>Cattle!$B87/INDEX(Cattle!$B$162:$Q$172,MATCH($B85,Cattle!$A$142:$A$152,0),MATCH(Y$2,Cattle!$B$141:$Q$141,0))*(1+Profit_Margin)</f>
        <v>36.220377159578604</v>
      </c>
      <c r="Z85" s="67">
        <f>Cattle!$B87/INDEX(Cattle!$B$162:$Q$172,MATCH($B85,Cattle!$A$142:$A$152,0),MATCH(Z$2,Cattle!$B$141:$Q$141,0))*(1+Profit_Margin)</f>
        <v>36.220377159578604</v>
      </c>
      <c r="AA85" s="67">
        <f>Cattle!$B87/INDEX(Cattle!$B$162:$Q$172,MATCH($B85,Cattle!$A$142:$A$152,0),MATCH(AA$2,Cattle!$B$141:$Q$141,0))*(1+Profit_Margin)</f>
        <v>37.337382993074712</v>
      </c>
      <c r="AB85" s="67">
        <f>Cattle!$B87/INDEX(Cattle!$B$162:$Q$172,MATCH($B85,Cattle!$A$142:$A$152,0),MATCH(AB$2,Cattle!$B$141:$Q$141,0))*(1+Profit_Margin)</f>
        <v>37.337382993074712</v>
      </c>
      <c r="AC85" s="67">
        <f>Cattle!$B87/INDEX(Cattle!$B$162:$Q$172,MATCH($B85,Cattle!$A$142:$A$152,0),MATCH(AC$2,Cattle!$B$141:$Q$141,0))*(1+Profit_Margin)</f>
        <v>35.485762435125494</v>
      </c>
      <c r="AD85" s="67">
        <f>Cattle!$B87/INDEX(Cattle!$B$162:$Q$172,MATCH($B85,Cattle!$A$142:$A$152,0),MATCH(AD$2,Cattle!$B$141:$Q$141,0))*(1+Profit_Margin)</f>
        <v>35.485762435125494</v>
      </c>
      <c r="AE85" s="67">
        <f>Cattle!$B87/INDEX(Cattle!$B$162:$Q$172,MATCH($B85,Cattle!$A$142:$A$152,0),MATCH(AE$2,Cattle!$B$141:$Q$141,0))*(1+Profit_Margin)</f>
        <v>36.654136296676164</v>
      </c>
      <c r="AF85" s="67">
        <f>Cattle!$B87/INDEX(Cattle!$B$162:$Q$172,MATCH($B85,Cattle!$A$142:$A$152,0),MATCH(AF$2,Cattle!$B$141:$Q$141,0))*(1+Profit_Margin)</f>
        <v>36.654136296676164</v>
      </c>
      <c r="AG85" s="67">
        <f>Cattle!$B87/INDEX(Cattle!$B$162:$Q$172,MATCH($B85,Cattle!$A$142:$A$152,0),MATCH(AG$2,Cattle!$B$141:$Q$141,0))*(1+Profit_Margin)</f>
        <v>32.415825876646977</v>
      </c>
      <c r="AH85" s="67">
        <f>Cattle!$B87/INDEX(Cattle!$B$162:$Q$172,MATCH($B85,Cattle!$A$142:$A$152,0),MATCH(AH$2,Cattle!$B$141:$Q$141,0))*(1+Profit_Margin)</f>
        <v>32.415825876646977</v>
      </c>
    </row>
    <row r="86" spans="1:34">
      <c r="A86" t="s">
        <v>23</v>
      </c>
      <c r="B86" t="s">
        <v>11</v>
      </c>
      <c r="C86" s="67">
        <f>Cattle!$B88/INDEX(Cattle!$B$162:$Q$172,MATCH($B86,Cattle!$A$142:$A$152,0),MATCH(C$2,Cattle!$B$141:$Q$141,0))*(1+Profit_Margin)</f>
        <v>40.062539045313727</v>
      </c>
      <c r="D86" s="67">
        <f>Cattle!$B88/INDEX(Cattle!$B$162:$Q$172,MATCH($B86,Cattle!$A$142:$A$152,0),MATCH(D$2,Cattle!$B$141:$Q$141,0))*(1+Profit_Margin)</f>
        <v>40.062539045313727</v>
      </c>
      <c r="E86" s="67">
        <f>Cattle!$B88/INDEX(Cattle!$B$162:$Q$172,MATCH($B86,Cattle!$A$142:$A$152,0),MATCH(E$2,Cattle!$B$141:$Q$141,0))*(1+Profit_Margin)</f>
        <v>39.388506961712672</v>
      </c>
      <c r="F86" s="67">
        <f>Cattle!$B88/INDEX(Cattle!$B$162:$Q$172,MATCH($B86,Cattle!$A$142:$A$152,0),MATCH(F$2,Cattle!$B$141:$Q$141,0))*(1+Profit_Margin)</f>
        <v>39.388506961712672</v>
      </c>
      <c r="G86" s="67">
        <f>Cattle!$B88/INDEX(Cattle!$B$162:$Q$172,MATCH($B86,Cattle!$A$142:$A$152,0),MATCH(G$2,Cattle!$B$141:$Q$141,0))*(1+Profit_Margin)</f>
        <v>40.026118980902254</v>
      </c>
      <c r="H86" s="67">
        <f>Cattle!$B88/INDEX(Cattle!$B$162:$Q$172,MATCH($B86,Cattle!$A$142:$A$152,0),MATCH(H$2,Cattle!$B$141:$Q$141,0))*(1+Profit_Margin)</f>
        <v>40.026118980902254</v>
      </c>
      <c r="I86" s="67">
        <f>Cattle!$B88/INDEX(Cattle!$B$162:$Q$172,MATCH($B86,Cattle!$A$142:$A$152,0),MATCH(I$2,Cattle!$B$141:$Q$141,0))*(1+Profit_Margin)</f>
        <v>39.68508437845189</v>
      </c>
      <c r="J86" s="67">
        <f>Cattle!$B88/INDEX(Cattle!$B$162:$Q$172,MATCH($B86,Cattle!$A$142:$A$152,0),MATCH(J$2,Cattle!$B$141:$Q$141,0))*(1+Profit_Margin)</f>
        <v>39.68508437845189</v>
      </c>
      <c r="K86" s="67">
        <f>Cattle!$B88/INDEX(Cattle!$B$162:$Q$172,MATCH($B86,Cattle!$A$142:$A$152,0),MATCH(K$2,Cattle!$B$141:$Q$141,0))*(1+Profit_Margin)</f>
        <v>38.210413312070415</v>
      </c>
      <c r="L86" s="67">
        <f>Cattle!$B88/INDEX(Cattle!$B$162:$Q$172,MATCH($B86,Cattle!$A$142:$A$152,0),MATCH(L$2,Cattle!$B$141:$Q$141,0))*(1+Profit_Margin)</f>
        <v>38.210413312070415</v>
      </c>
      <c r="M86" s="67">
        <f>Cattle!$B88/INDEX(Cattle!$B$162:$Q$172,MATCH($B86,Cattle!$A$142:$A$152,0),MATCH(M$2,Cattle!$B$141:$Q$141,0))*(1+Profit_Margin)</f>
        <v>39.978868363173071</v>
      </c>
      <c r="N86" s="67">
        <f>Cattle!$B88/INDEX(Cattle!$B$162:$Q$172,MATCH($B86,Cattle!$A$142:$A$152,0),MATCH(N$2,Cattle!$B$141:$Q$141,0))*(1+Profit_Margin)</f>
        <v>39.978868363173071</v>
      </c>
      <c r="O86" s="67">
        <f>Cattle!$B88/INDEX(Cattle!$B$162:$Q$172,MATCH($B86,Cattle!$A$142:$A$152,0),MATCH(O$2,Cattle!$B$141:$Q$141,0))*(1+Profit_Margin)</f>
        <v>39.326559186691554</v>
      </c>
      <c r="P86" s="67">
        <f>Cattle!$B88/INDEX(Cattle!$B$162:$Q$172,MATCH($B86,Cattle!$A$142:$A$152,0),MATCH(P$2,Cattle!$B$141:$Q$141,0))*(1+Profit_Margin)</f>
        <v>39.326559186691554</v>
      </c>
      <c r="Q86" s="67">
        <f>Cattle!$B88/INDEX(Cattle!$B$162:$Q$172,MATCH($B86,Cattle!$A$142:$A$152,0),MATCH(Q$2,Cattle!$B$141:$Q$141,0))*(1+Profit_Margin)</f>
        <v>41.316423302991126</v>
      </c>
      <c r="R86" s="67">
        <f>Cattle!$B88/INDEX(Cattle!$B$162:$Q$172,MATCH($B86,Cattle!$A$142:$A$152,0),MATCH(R$2,Cattle!$B$141:$Q$141,0))*(1+Profit_Margin)</f>
        <v>41.316423302991126</v>
      </c>
      <c r="S86" s="67">
        <f>Cattle!$B88/INDEX(Cattle!$B$162:$Q$172,MATCH($B86,Cattle!$A$142:$A$152,0),MATCH(S$2,Cattle!$B$141:$Q$141,0))*(1+Profit_Margin)</f>
        <v>37.379263165731992</v>
      </c>
      <c r="T86" s="67">
        <f>Cattle!$B88/INDEX(Cattle!$B$162:$Q$172,MATCH($B86,Cattle!$A$142:$A$152,0),MATCH(T$2,Cattle!$B$141:$Q$141,0))*(1+Profit_Margin)</f>
        <v>37.379263165731992</v>
      </c>
      <c r="U86" s="67">
        <f>Cattle!$B88/INDEX(Cattle!$B$162:$Q$172,MATCH($B86,Cattle!$A$142:$A$152,0),MATCH(U$2,Cattle!$B$141:$Q$141,0))*(1+Profit_Margin)</f>
        <v>36.682161225599863</v>
      </c>
      <c r="V86" s="67">
        <f>Cattle!$B88/INDEX(Cattle!$B$162:$Q$172,MATCH($B86,Cattle!$A$142:$A$152,0),MATCH(V$2,Cattle!$B$141:$Q$141,0))*(1+Profit_Margin)</f>
        <v>36.682161225599863</v>
      </c>
      <c r="W86" s="67">
        <f>Cattle!$B88/INDEX(Cattle!$B$162:$Q$172,MATCH($B86,Cattle!$A$142:$A$152,0),MATCH(W$2,Cattle!$B$141:$Q$141,0))*(1+Profit_Margin)</f>
        <v>37.528511395111003</v>
      </c>
      <c r="X86" s="67">
        <f>Cattle!$B88/INDEX(Cattle!$B$162:$Q$172,MATCH($B86,Cattle!$A$142:$A$152,0),MATCH(X$2,Cattle!$B$141:$Q$141,0))*(1+Profit_Margin)</f>
        <v>37.528511395111003</v>
      </c>
      <c r="Y86" s="67">
        <f>Cattle!$B88/INDEX(Cattle!$B$162:$Q$172,MATCH($B86,Cattle!$A$142:$A$152,0),MATCH(Y$2,Cattle!$B$141:$Q$141,0))*(1+Profit_Margin)</f>
        <v>35.157135743509365</v>
      </c>
      <c r="Z86" s="67">
        <f>Cattle!$B88/INDEX(Cattle!$B$162:$Q$172,MATCH($B86,Cattle!$A$142:$A$152,0),MATCH(Z$2,Cattle!$B$141:$Q$141,0))*(1+Profit_Margin)</f>
        <v>35.157135743509365</v>
      </c>
      <c r="AA86" s="67">
        <f>Cattle!$B88/INDEX(Cattle!$B$162:$Q$172,MATCH($B86,Cattle!$A$142:$A$152,0),MATCH(AA$2,Cattle!$B$141:$Q$141,0))*(1+Profit_Margin)</f>
        <v>37.603775150354181</v>
      </c>
      <c r="AB86" s="67">
        <f>Cattle!$B88/INDEX(Cattle!$B$162:$Q$172,MATCH($B86,Cattle!$A$142:$A$152,0),MATCH(AB$2,Cattle!$B$141:$Q$141,0))*(1+Profit_Margin)</f>
        <v>37.603775150354181</v>
      </c>
      <c r="AC86" s="67">
        <f>Cattle!$B88/INDEX(Cattle!$B$162:$Q$172,MATCH($B86,Cattle!$A$142:$A$152,0),MATCH(AC$2,Cattle!$B$141:$Q$141,0))*(1+Profit_Margin)</f>
        <v>37.335542955368986</v>
      </c>
      <c r="AD86" s="67">
        <f>Cattle!$B88/INDEX(Cattle!$B$162:$Q$172,MATCH($B86,Cattle!$A$142:$A$152,0),MATCH(AD$2,Cattle!$B$141:$Q$141,0))*(1+Profit_Margin)</f>
        <v>37.335542955368986</v>
      </c>
      <c r="AE86" s="67">
        <f>Cattle!$B88/INDEX(Cattle!$B$162:$Q$172,MATCH($B86,Cattle!$A$142:$A$152,0),MATCH(AE$2,Cattle!$B$141:$Q$141,0))*(1+Profit_Margin)</f>
        <v>34.000999487454536</v>
      </c>
      <c r="AF86" s="67">
        <f>Cattle!$B88/INDEX(Cattle!$B$162:$Q$172,MATCH($B86,Cattle!$A$142:$A$152,0),MATCH(AF$2,Cattle!$B$141:$Q$141,0))*(1+Profit_Margin)</f>
        <v>34.000999487454536</v>
      </c>
      <c r="AG86" s="67">
        <f>Cattle!$B88/INDEX(Cattle!$B$162:$Q$172,MATCH($B86,Cattle!$A$142:$A$152,0),MATCH(AG$2,Cattle!$B$141:$Q$141,0))*(1+Profit_Margin)</f>
        <v>34.421823485882385</v>
      </c>
      <c r="AH86" s="67">
        <f>Cattle!$B88/INDEX(Cattle!$B$162:$Q$172,MATCH($B86,Cattle!$A$142:$A$152,0),MATCH(AH$2,Cattle!$B$141:$Q$141,0))*(1+Profit_Margin)</f>
        <v>34.421823485882385</v>
      </c>
    </row>
    <row r="87" spans="1:34">
      <c r="A87" t="s">
        <v>23</v>
      </c>
      <c r="B87" t="s">
        <v>12</v>
      </c>
      <c r="C87" s="67">
        <f>Cattle!$B89/INDEX(Cattle!$B$162:$Q$172,MATCH($B87,Cattle!$A$142:$A$152,0),MATCH(C$2,Cattle!$B$141:$Q$141,0))*(1+Profit_Margin)</f>
        <v>42.653587443786662</v>
      </c>
      <c r="D87" s="67">
        <f>Cattle!$B89/INDEX(Cattle!$B$162:$Q$172,MATCH($B87,Cattle!$A$142:$A$152,0),MATCH(D$2,Cattle!$B$141:$Q$141,0))*(1+Profit_Margin)</f>
        <v>42.653587443786662</v>
      </c>
      <c r="E87" s="67">
        <f>Cattle!$B89/INDEX(Cattle!$B$162:$Q$172,MATCH($B87,Cattle!$A$142:$A$152,0),MATCH(E$2,Cattle!$B$141:$Q$141,0))*(1+Profit_Margin)</f>
        <v>44.389769281685822</v>
      </c>
      <c r="F87" s="67">
        <f>Cattle!$B89/INDEX(Cattle!$B$162:$Q$172,MATCH($B87,Cattle!$A$142:$A$152,0),MATCH(F$2,Cattle!$B$141:$Q$141,0))*(1+Profit_Margin)</f>
        <v>44.389769281685822</v>
      </c>
      <c r="G87" s="67">
        <f>Cattle!$B89/INDEX(Cattle!$B$162:$Q$172,MATCH($B87,Cattle!$A$142:$A$152,0),MATCH(G$2,Cattle!$B$141:$Q$141,0))*(1+Profit_Margin)</f>
        <v>41.346274314608067</v>
      </c>
      <c r="H87" s="67">
        <f>Cattle!$B89/INDEX(Cattle!$B$162:$Q$172,MATCH($B87,Cattle!$A$142:$A$152,0),MATCH(H$2,Cattle!$B$141:$Q$141,0))*(1+Profit_Margin)</f>
        <v>41.346274314608067</v>
      </c>
      <c r="I87" s="67">
        <f>Cattle!$B89/INDEX(Cattle!$B$162:$Q$172,MATCH($B87,Cattle!$A$142:$A$152,0),MATCH(I$2,Cattle!$B$141:$Q$141,0))*(1+Profit_Margin)</f>
        <v>40.217158476180018</v>
      </c>
      <c r="J87" s="67">
        <f>Cattle!$B89/INDEX(Cattle!$B$162:$Q$172,MATCH($B87,Cattle!$A$142:$A$152,0),MATCH(J$2,Cattle!$B$141:$Q$141,0))*(1+Profit_Margin)</f>
        <v>40.217158476180018</v>
      </c>
      <c r="K87" s="67">
        <f>Cattle!$B89/INDEX(Cattle!$B$162:$Q$172,MATCH($B87,Cattle!$A$142:$A$152,0),MATCH(K$2,Cattle!$B$141:$Q$141,0))*(1+Profit_Margin)</f>
        <v>39.399179750927026</v>
      </c>
      <c r="L87" s="67">
        <f>Cattle!$B89/INDEX(Cattle!$B$162:$Q$172,MATCH($B87,Cattle!$A$142:$A$152,0),MATCH(L$2,Cattle!$B$141:$Q$141,0))*(1+Profit_Margin)</f>
        <v>39.399179750927026</v>
      </c>
      <c r="M87" s="67">
        <f>Cattle!$B89/INDEX(Cattle!$B$162:$Q$172,MATCH($B87,Cattle!$A$142:$A$152,0),MATCH(M$2,Cattle!$B$141:$Q$141,0))*(1+Profit_Margin)</f>
        <v>40.572402461306382</v>
      </c>
      <c r="N87" s="67">
        <f>Cattle!$B89/INDEX(Cattle!$B$162:$Q$172,MATCH($B87,Cattle!$A$142:$A$152,0),MATCH(N$2,Cattle!$B$141:$Q$141,0))*(1+Profit_Margin)</f>
        <v>40.572402461306382</v>
      </c>
      <c r="O87" s="67">
        <f>Cattle!$B89/INDEX(Cattle!$B$162:$Q$172,MATCH($B87,Cattle!$A$142:$A$152,0),MATCH(O$2,Cattle!$B$141:$Q$141,0))*(1+Profit_Margin)</f>
        <v>37.536674465347147</v>
      </c>
      <c r="P87" s="67">
        <f>Cattle!$B89/INDEX(Cattle!$B$162:$Q$172,MATCH($B87,Cattle!$A$142:$A$152,0),MATCH(P$2,Cattle!$B$141:$Q$141,0))*(1+Profit_Margin)</f>
        <v>37.536674465347147</v>
      </c>
      <c r="Q87" s="67">
        <f>Cattle!$B89/INDEX(Cattle!$B$162:$Q$172,MATCH($B87,Cattle!$A$142:$A$152,0),MATCH(Q$2,Cattle!$B$141:$Q$141,0))*(1+Profit_Margin)</f>
        <v>35.996919968596643</v>
      </c>
      <c r="R87" s="67">
        <f>Cattle!$B89/INDEX(Cattle!$B$162:$Q$172,MATCH($B87,Cattle!$A$142:$A$152,0),MATCH(R$2,Cattle!$B$141:$Q$141,0))*(1+Profit_Margin)</f>
        <v>35.996919968596643</v>
      </c>
      <c r="S87" s="67">
        <f>Cattle!$B89/INDEX(Cattle!$B$162:$Q$172,MATCH($B87,Cattle!$A$142:$A$152,0),MATCH(S$2,Cattle!$B$141:$Q$141,0))*(1+Profit_Margin)</f>
        <v>40.157227437584595</v>
      </c>
      <c r="T87" s="67">
        <f>Cattle!$B89/INDEX(Cattle!$B$162:$Q$172,MATCH($B87,Cattle!$A$142:$A$152,0),MATCH(T$2,Cattle!$B$141:$Q$141,0))*(1+Profit_Margin)</f>
        <v>40.157227437584595</v>
      </c>
      <c r="U87" s="67">
        <f>Cattle!$B89/INDEX(Cattle!$B$162:$Q$172,MATCH($B87,Cattle!$A$142:$A$152,0),MATCH(U$2,Cattle!$B$141:$Q$141,0))*(1+Profit_Margin)</f>
        <v>35.303638616647007</v>
      </c>
      <c r="V87" s="67">
        <f>Cattle!$B89/INDEX(Cattle!$B$162:$Q$172,MATCH($B87,Cattle!$A$142:$A$152,0),MATCH(V$2,Cattle!$B$141:$Q$141,0))*(1+Profit_Margin)</f>
        <v>35.303638616647007</v>
      </c>
      <c r="W87" s="67">
        <f>Cattle!$B89/INDEX(Cattle!$B$162:$Q$172,MATCH($B87,Cattle!$A$142:$A$152,0),MATCH(W$2,Cattle!$B$141:$Q$141,0))*(1+Profit_Margin)</f>
        <v>33.899283190407047</v>
      </c>
      <c r="X87" s="67">
        <f>Cattle!$B89/INDEX(Cattle!$B$162:$Q$172,MATCH($B87,Cattle!$A$142:$A$152,0),MATCH(X$2,Cattle!$B$141:$Q$141,0))*(1+Profit_Margin)</f>
        <v>33.899283190407047</v>
      </c>
      <c r="Y87" s="67">
        <f>Cattle!$B89/INDEX(Cattle!$B$162:$Q$172,MATCH($B87,Cattle!$A$142:$A$152,0),MATCH(Y$2,Cattle!$B$141:$Q$141,0))*(1+Profit_Margin)</f>
        <v>33.674967998457902</v>
      </c>
      <c r="Z87" s="67">
        <f>Cattle!$B89/INDEX(Cattle!$B$162:$Q$172,MATCH($B87,Cattle!$A$142:$A$152,0),MATCH(Z$2,Cattle!$B$141:$Q$141,0))*(1+Profit_Margin)</f>
        <v>33.674967998457902</v>
      </c>
      <c r="AA87" s="67">
        <f>Cattle!$B89/INDEX(Cattle!$B$162:$Q$172,MATCH($B87,Cattle!$A$142:$A$152,0),MATCH(AA$2,Cattle!$B$141:$Q$141,0))*(1+Profit_Margin)</f>
        <v>33.731673498324945</v>
      </c>
      <c r="AB87" s="67">
        <f>Cattle!$B89/INDEX(Cattle!$B$162:$Q$172,MATCH($B87,Cattle!$A$142:$A$152,0),MATCH(AB$2,Cattle!$B$141:$Q$141,0))*(1+Profit_Margin)</f>
        <v>33.731673498324945</v>
      </c>
      <c r="AC87" s="67">
        <f>Cattle!$B89/INDEX(Cattle!$B$162:$Q$172,MATCH($B87,Cattle!$A$142:$A$152,0),MATCH(AC$2,Cattle!$B$141:$Q$141,0))*(1+Profit_Margin)</f>
        <v>34.224240237355922</v>
      </c>
      <c r="AD87" s="67">
        <f>Cattle!$B89/INDEX(Cattle!$B$162:$Q$172,MATCH($B87,Cattle!$A$142:$A$152,0),MATCH(AD$2,Cattle!$B$141:$Q$141,0))*(1+Profit_Margin)</f>
        <v>34.224240237355922</v>
      </c>
      <c r="AE87" s="67">
        <f>Cattle!$B89/INDEX(Cattle!$B$162:$Q$172,MATCH($B87,Cattle!$A$142:$A$152,0),MATCH(AE$2,Cattle!$B$141:$Q$141,0))*(1+Profit_Margin)</f>
        <v>34.624801269497915</v>
      </c>
      <c r="AF87" s="67">
        <f>Cattle!$B89/INDEX(Cattle!$B$162:$Q$172,MATCH($B87,Cattle!$A$142:$A$152,0),MATCH(AF$2,Cattle!$B$141:$Q$141,0))*(1+Profit_Margin)</f>
        <v>34.624801269497915</v>
      </c>
      <c r="AG87" s="67">
        <f>Cattle!$B89/INDEX(Cattle!$B$162:$Q$172,MATCH($B87,Cattle!$A$142:$A$152,0),MATCH(AG$2,Cattle!$B$141:$Q$141,0))*(1+Profit_Margin)</f>
        <v>33.415957141977238</v>
      </c>
      <c r="AH87" s="67">
        <f>Cattle!$B89/INDEX(Cattle!$B$162:$Q$172,MATCH($B87,Cattle!$A$142:$A$152,0),MATCH(AH$2,Cattle!$B$141:$Q$141,0))*(1+Profit_Margin)</f>
        <v>33.415957141977238</v>
      </c>
    </row>
    <row r="88" spans="1:34">
      <c r="A88" t="s">
        <v>23</v>
      </c>
      <c r="B88" t="s">
        <v>13</v>
      </c>
      <c r="C88" s="67">
        <f>Cattle!$B90/INDEX(Cattle!$B$162:$Q$172,MATCH($B88,Cattle!$A$142:$A$152,0),MATCH(C$2,Cattle!$B$141:$Q$141,0))*(1+Profit_Margin)</f>
        <v>41.530665645478692</v>
      </c>
      <c r="D88" s="67">
        <f>Cattle!$B90/INDEX(Cattle!$B$162:$Q$172,MATCH($B88,Cattle!$A$142:$A$152,0),MATCH(D$2,Cattle!$B$141:$Q$141,0))*(1+Profit_Margin)</f>
        <v>41.530665645478692</v>
      </c>
      <c r="E88" s="67">
        <f>Cattle!$B90/INDEX(Cattle!$B$162:$Q$172,MATCH($B88,Cattle!$A$142:$A$152,0),MATCH(E$2,Cattle!$B$141:$Q$141,0))*(1+Profit_Margin)</f>
        <v>39.864528620766038</v>
      </c>
      <c r="F88" s="67">
        <f>Cattle!$B90/INDEX(Cattle!$B$162:$Q$172,MATCH($B88,Cattle!$A$142:$A$152,0),MATCH(F$2,Cattle!$B$141:$Q$141,0))*(1+Profit_Margin)</f>
        <v>39.864528620766038</v>
      </c>
      <c r="G88" s="67">
        <f>Cattle!$B90/INDEX(Cattle!$B$162:$Q$172,MATCH($B88,Cattle!$A$142:$A$152,0),MATCH(G$2,Cattle!$B$141:$Q$141,0))*(1+Profit_Margin)</f>
        <v>39.056884286535691</v>
      </c>
      <c r="H88" s="67">
        <f>Cattle!$B90/INDEX(Cattle!$B$162:$Q$172,MATCH($B88,Cattle!$A$142:$A$152,0),MATCH(H$2,Cattle!$B$141:$Q$141,0))*(1+Profit_Margin)</f>
        <v>39.056884286535691</v>
      </c>
      <c r="I88" s="67">
        <f>Cattle!$B90/INDEX(Cattle!$B$162:$Q$172,MATCH($B88,Cattle!$A$142:$A$152,0),MATCH(I$2,Cattle!$B$141:$Q$141,0))*(1+Profit_Margin)</f>
        <v>40.987931316617278</v>
      </c>
      <c r="J88" s="67">
        <f>Cattle!$B90/INDEX(Cattle!$B$162:$Q$172,MATCH($B88,Cattle!$A$142:$A$152,0),MATCH(J$2,Cattle!$B$141:$Q$141,0))*(1+Profit_Margin)</f>
        <v>40.987931316617278</v>
      </c>
      <c r="K88" s="67">
        <f>Cattle!$B90/INDEX(Cattle!$B$162:$Q$172,MATCH($B88,Cattle!$A$142:$A$152,0),MATCH(K$2,Cattle!$B$141:$Q$141,0))*(1+Profit_Margin)</f>
        <v>37.337716883983873</v>
      </c>
      <c r="L88" s="67">
        <f>Cattle!$B90/INDEX(Cattle!$B$162:$Q$172,MATCH($B88,Cattle!$A$142:$A$152,0),MATCH(L$2,Cattle!$B$141:$Q$141,0))*(1+Profit_Margin)</f>
        <v>37.337716883983873</v>
      </c>
      <c r="M88" s="67">
        <f>Cattle!$B90/INDEX(Cattle!$B$162:$Q$172,MATCH($B88,Cattle!$A$142:$A$152,0),MATCH(M$2,Cattle!$B$141:$Q$141,0))*(1+Profit_Margin)</f>
        <v>38.389348312892949</v>
      </c>
      <c r="N88" s="67">
        <f>Cattle!$B90/INDEX(Cattle!$B$162:$Q$172,MATCH($B88,Cattle!$A$142:$A$152,0),MATCH(N$2,Cattle!$B$141:$Q$141,0))*(1+Profit_Margin)</f>
        <v>38.389348312892949</v>
      </c>
      <c r="O88" s="67">
        <f>Cattle!$B90/INDEX(Cattle!$B$162:$Q$172,MATCH($B88,Cattle!$A$142:$A$152,0),MATCH(O$2,Cattle!$B$141:$Q$141,0))*(1+Profit_Margin)</f>
        <v>38.889958439294325</v>
      </c>
      <c r="P88" s="67">
        <f>Cattle!$B90/INDEX(Cattle!$B$162:$Q$172,MATCH($B88,Cattle!$A$142:$A$152,0),MATCH(P$2,Cattle!$B$141:$Q$141,0))*(1+Profit_Margin)</f>
        <v>38.889958439294325</v>
      </c>
      <c r="Q88" s="67">
        <f>Cattle!$B90/INDEX(Cattle!$B$162:$Q$172,MATCH($B88,Cattle!$A$142:$A$152,0),MATCH(Q$2,Cattle!$B$141:$Q$141,0))*(1+Profit_Margin)</f>
        <v>36.200850686194435</v>
      </c>
      <c r="R88" s="67">
        <f>Cattle!$B90/INDEX(Cattle!$B$162:$Q$172,MATCH($B88,Cattle!$A$142:$A$152,0),MATCH(R$2,Cattle!$B$141:$Q$141,0))*(1+Profit_Margin)</f>
        <v>36.200850686194435</v>
      </c>
      <c r="S88" s="67">
        <f>Cattle!$B90/INDEX(Cattle!$B$162:$Q$172,MATCH($B88,Cattle!$A$142:$A$152,0),MATCH(S$2,Cattle!$B$141:$Q$141,0))*(1+Profit_Margin)</f>
        <v>39.436672910783265</v>
      </c>
      <c r="T88" s="67">
        <f>Cattle!$B90/INDEX(Cattle!$B$162:$Q$172,MATCH($B88,Cattle!$A$142:$A$152,0),MATCH(T$2,Cattle!$B$141:$Q$141,0))*(1+Profit_Margin)</f>
        <v>39.436672910783265</v>
      </c>
      <c r="U88" s="67">
        <f>Cattle!$B90/INDEX(Cattle!$B$162:$Q$172,MATCH($B88,Cattle!$A$142:$A$152,0),MATCH(U$2,Cattle!$B$141:$Q$141,0))*(1+Profit_Margin)</f>
        <v>36.360118979879807</v>
      </c>
      <c r="V88" s="67">
        <f>Cattle!$B90/INDEX(Cattle!$B$162:$Q$172,MATCH($B88,Cattle!$A$142:$A$152,0),MATCH(V$2,Cattle!$B$141:$Q$141,0))*(1+Profit_Margin)</f>
        <v>36.360118979879807</v>
      </c>
      <c r="W88" s="67">
        <f>Cattle!$B90/INDEX(Cattle!$B$162:$Q$172,MATCH($B88,Cattle!$A$142:$A$152,0),MATCH(W$2,Cattle!$B$141:$Q$141,0))*(1+Profit_Margin)</f>
        <v>38.502510645607316</v>
      </c>
      <c r="X88" s="67">
        <f>Cattle!$B90/INDEX(Cattle!$B$162:$Q$172,MATCH($B88,Cattle!$A$142:$A$152,0),MATCH(X$2,Cattle!$B$141:$Q$141,0))*(1+Profit_Margin)</f>
        <v>38.502510645607316</v>
      </c>
      <c r="Y88" s="67">
        <f>Cattle!$B90/INDEX(Cattle!$B$162:$Q$172,MATCH($B88,Cattle!$A$142:$A$152,0),MATCH(Y$2,Cattle!$B$141:$Q$141,0))*(1+Profit_Margin)</f>
        <v>37.710034020498973</v>
      </c>
      <c r="Z88" s="67">
        <f>Cattle!$B90/INDEX(Cattle!$B$162:$Q$172,MATCH($B88,Cattle!$A$142:$A$152,0),MATCH(Z$2,Cattle!$B$141:$Q$141,0))*(1+Profit_Margin)</f>
        <v>37.710034020498973</v>
      </c>
      <c r="AA88" s="67">
        <f>Cattle!$B90/INDEX(Cattle!$B$162:$Q$172,MATCH($B88,Cattle!$A$142:$A$152,0),MATCH(AA$2,Cattle!$B$141:$Q$141,0))*(1+Profit_Margin)</f>
        <v>32.995481868602901</v>
      </c>
      <c r="AB88" s="67">
        <f>Cattle!$B90/INDEX(Cattle!$B$162:$Q$172,MATCH($B88,Cattle!$A$142:$A$152,0),MATCH(AB$2,Cattle!$B$141:$Q$141,0))*(1+Profit_Margin)</f>
        <v>32.995481868602901</v>
      </c>
      <c r="AC88" s="67">
        <f>Cattle!$B90/INDEX(Cattle!$B$162:$Q$172,MATCH($B88,Cattle!$A$142:$A$152,0),MATCH(AC$2,Cattle!$B$141:$Q$141,0))*(1+Profit_Margin)</f>
        <v>36.683066428464457</v>
      </c>
      <c r="AD88" s="67">
        <f>Cattle!$B90/INDEX(Cattle!$B$162:$Q$172,MATCH($B88,Cattle!$A$142:$A$152,0),MATCH(AD$2,Cattle!$B$141:$Q$141,0))*(1+Profit_Margin)</f>
        <v>36.683066428464457</v>
      </c>
      <c r="AE88" s="67">
        <f>Cattle!$B90/INDEX(Cattle!$B$162:$Q$172,MATCH($B88,Cattle!$A$142:$A$152,0),MATCH(AE$2,Cattle!$B$141:$Q$141,0))*(1+Profit_Margin)</f>
        <v>33.571931443291575</v>
      </c>
      <c r="AF88" s="67">
        <f>Cattle!$B90/INDEX(Cattle!$B$162:$Q$172,MATCH($B88,Cattle!$A$142:$A$152,0),MATCH(AF$2,Cattle!$B$141:$Q$141,0))*(1+Profit_Margin)</f>
        <v>33.571931443291575</v>
      </c>
      <c r="AG88" s="67">
        <f>Cattle!$B90/INDEX(Cattle!$B$162:$Q$172,MATCH($B88,Cattle!$A$142:$A$152,0),MATCH(AG$2,Cattle!$B$141:$Q$141,0))*(1+Profit_Margin)</f>
        <v>35.968634274172608</v>
      </c>
      <c r="AH88" s="67">
        <f>Cattle!$B90/INDEX(Cattle!$B$162:$Q$172,MATCH($B88,Cattle!$A$142:$A$152,0),MATCH(AH$2,Cattle!$B$141:$Q$141,0))*(1+Profit_Margin)</f>
        <v>35.968634274172608</v>
      </c>
    </row>
    <row r="89" spans="1:34">
      <c r="A89" t="s">
        <v>23</v>
      </c>
      <c r="B89" t="s">
        <v>19</v>
      </c>
      <c r="C89" s="67">
        <f>Cattle!$B91/INDEX(Cattle!$B$162:$Q$172,MATCH($B89,Cattle!$A$142:$A$152,0),MATCH(C$2,Cattle!$B$141:$Q$141,0))*(1+Profit_Margin)</f>
        <v>46.037023790886032</v>
      </c>
      <c r="D89" s="67">
        <f>Cattle!$B91/INDEX(Cattle!$B$162:$Q$172,MATCH($B89,Cattle!$A$142:$A$152,0),MATCH(D$2,Cattle!$B$141:$Q$141,0))*(1+Profit_Margin)</f>
        <v>46.037023790886032</v>
      </c>
      <c r="E89" s="67">
        <f>Cattle!$B91/INDEX(Cattle!$B$162:$Q$172,MATCH($B89,Cattle!$A$142:$A$152,0),MATCH(E$2,Cattle!$B$141:$Q$141,0))*(1+Profit_Margin)</f>
        <v>44.820675830165861</v>
      </c>
      <c r="F89" s="67">
        <f>Cattle!$B91/INDEX(Cattle!$B$162:$Q$172,MATCH($B89,Cattle!$A$142:$A$152,0),MATCH(F$2,Cattle!$B$141:$Q$141,0))*(1+Profit_Margin)</f>
        <v>44.820675830165861</v>
      </c>
      <c r="G89" s="67">
        <f>Cattle!$B91/INDEX(Cattle!$B$162:$Q$172,MATCH($B89,Cattle!$A$142:$A$152,0),MATCH(G$2,Cattle!$B$141:$Q$141,0))*(1+Profit_Margin)</f>
        <v>38.813025236465478</v>
      </c>
      <c r="H89" s="67">
        <f>Cattle!$B91/INDEX(Cattle!$B$162:$Q$172,MATCH($B89,Cattle!$A$142:$A$152,0),MATCH(H$2,Cattle!$B$141:$Q$141,0))*(1+Profit_Margin)</f>
        <v>38.813025236465478</v>
      </c>
      <c r="I89" s="67">
        <f>Cattle!$B91/INDEX(Cattle!$B$162:$Q$172,MATCH($B89,Cattle!$A$142:$A$152,0),MATCH(I$2,Cattle!$B$141:$Q$141,0))*(1+Profit_Margin)</f>
        <v>44.422706247019406</v>
      </c>
      <c r="J89" s="67">
        <f>Cattle!$B91/INDEX(Cattle!$B$162:$Q$172,MATCH($B89,Cattle!$A$142:$A$152,0),MATCH(J$2,Cattle!$B$141:$Q$141,0))*(1+Profit_Margin)</f>
        <v>44.422706247019406</v>
      </c>
      <c r="K89" s="67">
        <f>Cattle!$B91/INDEX(Cattle!$B$162:$Q$172,MATCH($B89,Cattle!$A$142:$A$152,0),MATCH(K$2,Cattle!$B$141:$Q$141,0))*(1+Profit_Margin)</f>
        <v>37.827375777539686</v>
      </c>
      <c r="L89" s="67">
        <f>Cattle!$B91/INDEX(Cattle!$B$162:$Q$172,MATCH($B89,Cattle!$A$142:$A$152,0),MATCH(L$2,Cattle!$B$141:$Q$141,0))*(1+Profit_Margin)</f>
        <v>37.827375777539686</v>
      </c>
      <c r="M89" s="67">
        <f>Cattle!$B91/INDEX(Cattle!$B$162:$Q$172,MATCH($B89,Cattle!$A$142:$A$152,0),MATCH(M$2,Cattle!$B$141:$Q$141,0))*(1+Profit_Margin)</f>
        <v>39.545277530974879</v>
      </c>
      <c r="N89" s="67">
        <f>Cattle!$B91/INDEX(Cattle!$B$162:$Q$172,MATCH($B89,Cattle!$A$142:$A$152,0),MATCH(N$2,Cattle!$B$141:$Q$141,0))*(1+Profit_Margin)</f>
        <v>39.545277530974879</v>
      </c>
      <c r="O89" s="67">
        <f>Cattle!$B91/INDEX(Cattle!$B$162:$Q$172,MATCH($B89,Cattle!$A$142:$A$152,0),MATCH(O$2,Cattle!$B$141:$Q$141,0))*(1+Profit_Margin)</f>
        <v>36.475074945371482</v>
      </c>
      <c r="P89" s="67">
        <f>Cattle!$B91/INDEX(Cattle!$B$162:$Q$172,MATCH($B89,Cattle!$A$142:$A$152,0),MATCH(P$2,Cattle!$B$141:$Q$141,0))*(1+Profit_Margin)</f>
        <v>36.475074945371482</v>
      </c>
      <c r="Q89" s="67">
        <f>Cattle!$B91/INDEX(Cattle!$B$162:$Q$172,MATCH($B89,Cattle!$A$142:$A$152,0),MATCH(Q$2,Cattle!$B$141:$Q$141,0))*(1+Profit_Margin)</f>
        <v>38.141611660788762</v>
      </c>
      <c r="R89" s="67">
        <f>Cattle!$B91/INDEX(Cattle!$B$162:$Q$172,MATCH($B89,Cattle!$A$142:$A$152,0),MATCH(R$2,Cattle!$B$141:$Q$141,0))*(1+Profit_Margin)</f>
        <v>38.141611660788762</v>
      </c>
      <c r="S89" s="67">
        <f>Cattle!$B91/INDEX(Cattle!$B$162:$Q$172,MATCH($B89,Cattle!$A$142:$A$152,0),MATCH(S$2,Cattle!$B$141:$Q$141,0))*(1+Profit_Margin)</f>
        <v>37.939717338054692</v>
      </c>
      <c r="T89" s="67">
        <f>Cattle!$B91/INDEX(Cattle!$B$162:$Q$172,MATCH($B89,Cattle!$A$142:$A$152,0),MATCH(T$2,Cattle!$B$141:$Q$141,0))*(1+Profit_Margin)</f>
        <v>37.939717338054692</v>
      </c>
      <c r="U89" s="67">
        <f>Cattle!$B91/INDEX(Cattle!$B$162:$Q$172,MATCH($B89,Cattle!$A$142:$A$152,0),MATCH(U$2,Cattle!$B$141:$Q$141,0))*(1+Profit_Margin)</f>
        <v>39.542451534556463</v>
      </c>
      <c r="V89" s="67">
        <f>Cattle!$B91/INDEX(Cattle!$B$162:$Q$172,MATCH($B89,Cattle!$A$142:$A$152,0),MATCH(V$2,Cattle!$B$141:$Q$141,0))*(1+Profit_Margin)</f>
        <v>39.542451534556463</v>
      </c>
      <c r="W89" s="67">
        <f>Cattle!$B91/INDEX(Cattle!$B$162:$Q$172,MATCH($B89,Cattle!$A$142:$A$152,0),MATCH(W$2,Cattle!$B$141:$Q$141,0))*(1+Profit_Margin)</f>
        <v>34.8894887754781</v>
      </c>
      <c r="X89" s="67">
        <f>Cattle!$B91/INDEX(Cattle!$B$162:$Q$172,MATCH($B89,Cattle!$A$142:$A$152,0),MATCH(X$2,Cattle!$B$141:$Q$141,0))*(1+Profit_Margin)</f>
        <v>34.8894887754781</v>
      </c>
      <c r="Y89" s="67">
        <f>Cattle!$B91/INDEX(Cattle!$B$162:$Q$172,MATCH($B89,Cattle!$A$142:$A$152,0),MATCH(Y$2,Cattle!$B$141:$Q$141,0))*(1+Profit_Margin)</f>
        <v>36.034222736501107</v>
      </c>
      <c r="Z89" s="67">
        <f>Cattle!$B91/INDEX(Cattle!$B$162:$Q$172,MATCH($B89,Cattle!$A$142:$A$152,0),MATCH(Z$2,Cattle!$B$141:$Q$141,0))*(1+Profit_Margin)</f>
        <v>36.034222736501107</v>
      </c>
      <c r="AA89" s="67">
        <f>Cattle!$B91/INDEX(Cattle!$B$162:$Q$172,MATCH($B89,Cattle!$A$142:$A$152,0),MATCH(AA$2,Cattle!$B$141:$Q$141,0))*(1+Profit_Margin)</f>
        <v>36.600687391653992</v>
      </c>
      <c r="AB89" s="67">
        <f>Cattle!$B91/INDEX(Cattle!$B$162:$Q$172,MATCH($B89,Cattle!$A$142:$A$152,0),MATCH(AB$2,Cattle!$B$141:$Q$141,0))*(1+Profit_Margin)</f>
        <v>36.600687391653992</v>
      </c>
      <c r="AC89" s="67">
        <f>Cattle!$B91/INDEX(Cattle!$B$162:$Q$172,MATCH($B89,Cattle!$A$142:$A$152,0),MATCH(AC$2,Cattle!$B$141:$Q$141,0))*(1+Profit_Margin)</f>
        <v>32.547622932269455</v>
      </c>
      <c r="AD89" s="67">
        <f>Cattle!$B91/INDEX(Cattle!$B$162:$Q$172,MATCH($B89,Cattle!$A$142:$A$152,0),MATCH(AD$2,Cattle!$B$141:$Q$141,0))*(1+Profit_Margin)</f>
        <v>32.547622932269455</v>
      </c>
      <c r="AE89" s="67">
        <f>Cattle!$B91/INDEX(Cattle!$B$162:$Q$172,MATCH($B89,Cattle!$A$142:$A$152,0),MATCH(AE$2,Cattle!$B$141:$Q$141,0))*(1+Profit_Margin)</f>
        <v>32.015617436660392</v>
      </c>
      <c r="AF89" s="67">
        <f>Cattle!$B91/INDEX(Cattle!$B$162:$Q$172,MATCH($B89,Cattle!$A$142:$A$152,0),MATCH(AF$2,Cattle!$B$141:$Q$141,0))*(1+Profit_Margin)</f>
        <v>32.015617436660392</v>
      </c>
      <c r="AG89" s="67">
        <f>Cattle!$B91/INDEX(Cattle!$B$162:$Q$172,MATCH($B89,Cattle!$A$142:$A$152,0),MATCH(AG$2,Cattle!$B$141:$Q$141,0))*(1+Profit_Margin)</f>
        <v>32.444877079048254</v>
      </c>
      <c r="AH89" s="67">
        <f>Cattle!$B91/INDEX(Cattle!$B$162:$Q$172,MATCH($B89,Cattle!$A$142:$A$152,0),MATCH(AH$2,Cattle!$B$141:$Q$141,0))*(1+Profit_Margin)</f>
        <v>32.444877079048254</v>
      </c>
    </row>
    <row r="90" spans="1:34">
      <c r="A90" t="s">
        <v>23</v>
      </c>
      <c r="B90" t="s">
        <v>14</v>
      </c>
      <c r="C90" s="67">
        <f>Cattle!$B92/INDEX(Cattle!$B$162:$Q$172,MATCH($B90,Cattle!$A$142:$A$152,0),MATCH(C$2,Cattle!$B$141:$Q$141,0))*(1+Profit_Margin)</f>
        <v>47.3519646974514</v>
      </c>
      <c r="D90" s="67">
        <f>Cattle!$B92/INDEX(Cattle!$B$162:$Q$172,MATCH($B90,Cattle!$A$142:$A$152,0),MATCH(D$2,Cattle!$B$141:$Q$141,0))*(1+Profit_Margin)</f>
        <v>47.3519646974514</v>
      </c>
      <c r="E90" s="67">
        <f>Cattle!$B92/INDEX(Cattle!$B$162:$Q$172,MATCH($B90,Cattle!$A$142:$A$152,0),MATCH(E$2,Cattle!$B$141:$Q$141,0))*(1+Profit_Margin)</f>
        <v>39.752352117575875</v>
      </c>
      <c r="F90" s="67">
        <f>Cattle!$B92/INDEX(Cattle!$B$162:$Q$172,MATCH($B90,Cattle!$A$142:$A$152,0),MATCH(F$2,Cattle!$B$141:$Q$141,0))*(1+Profit_Margin)</f>
        <v>39.752352117575875</v>
      </c>
      <c r="G90" s="67">
        <f>Cattle!$B92/INDEX(Cattle!$B$162:$Q$172,MATCH($B90,Cattle!$A$142:$A$152,0),MATCH(G$2,Cattle!$B$141:$Q$141,0))*(1+Profit_Margin)</f>
        <v>41.959037150250552</v>
      </c>
      <c r="H90" s="67">
        <f>Cattle!$B92/INDEX(Cattle!$B$162:$Q$172,MATCH($B90,Cattle!$A$142:$A$152,0),MATCH(H$2,Cattle!$B$141:$Q$141,0))*(1+Profit_Margin)</f>
        <v>41.959037150250552</v>
      </c>
      <c r="I90" s="67">
        <f>Cattle!$B92/INDEX(Cattle!$B$162:$Q$172,MATCH($B90,Cattle!$A$142:$A$152,0),MATCH(I$2,Cattle!$B$141:$Q$141,0))*(1+Profit_Margin)</f>
        <v>39.304632461050623</v>
      </c>
      <c r="J90" s="67">
        <f>Cattle!$B92/INDEX(Cattle!$B$162:$Q$172,MATCH($B90,Cattle!$A$142:$A$152,0),MATCH(J$2,Cattle!$B$141:$Q$141,0))*(1+Profit_Margin)</f>
        <v>39.304632461050623</v>
      </c>
      <c r="K90" s="67">
        <f>Cattle!$B92/INDEX(Cattle!$B$162:$Q$172,MATCH($B90,Cattle!$A$142:$A$152,0),MATCH(K$2,Cattle!$B$141:$Q$141,0))*(1+Profit_Margin)</f>
        <v>41.434184375509744</v>
      </c>
      <c r="L90" s="67">
        <f>Cattle!$B92/INDEX(Cattle!$B$162:$Q$172,MATCH($B90,Cattle!$A$142:$A$152,0),MATCH(L$2,Cattle!$B$141:$Q$141,0))*(1+Profit_Margin)</f>
        <v>41.434184375509744</v>
      </c>
      <c r="M90" s="67">
        <f>Cattle!$B92/INDEX(Cattle!$B$162:$Q$172,MATCH($B90,Cattle!$A$142:$A$152,0),MATCH(M$2,Cattle!$B$141:$Q$141,0))*(1+Profit_Margin)</f>
        <v>39.80752516806362</v>
      </c>
      <c r="N90" s="67">
        <f>Cattle!$B92/INDEX(Cattle!$B$162:$Q$172,MATCH($B90,Cattle!$A$142:$A$152,0),MATCH(N$2,Cattle!$B$141:$Q$141,0))*(1+Profit_Margin)</f>
        <v>39.80752516806362</v>
      </c>
      <c r="O90" s="67">
        <f>Cattle!$B92/INDEX(Cattle!$B$162:$Q$172,MATCH($B90,Cattle!$A$142:$A$152,0),MATCH(O$2,Cattle!$B$141:$Q$141,0))*(1+Profit_Margin)</f>
        <v>41.11949251060912</v>
      </c>
      <c r="P90" s="67">
        <f>Cattle!$B92/INDEX(Cattle!$B$162:$Q$172,MATCH($B90,Cattle!$A$142:$A$152,0),MATCH(P$2,Cattle!$B$141:$Q$141,0))*(1+Profit_Margin)</f>
        <v>41.11949251060912</v>
      </c>
      <c r="Q90" s="67">
        <f>Cattle!$B92/INDEX(Cattle!$B$162:$Q$172,MATCH($B90,Cattle!$A$142:$A$152,0),MATCH(Q$2,Cattle!$B$141:$Q$141,0))*(1+Profit_Margin)</f>
        <v>38.6976046826993</v>
      </c>
      <c r="R90" s="67">
        <f>Cattle!$B92/INDEX(Cattle!$B$162:$Q$172,MATCH($B90,Cattle!$A$142:$A$152,0),MATCH(R$2,Cattle!$B$141:$Q$141,0))*(1+Profit_Margin)</f>
        <v>38.6976046826993</v>
      </c>
      <c r="S90" s="67">
        <f>Cattle!$B92/INDEX(Cattle!$B$162:$Q$172,MATCH($B90,Cattle!$A$142:$A$152,0),MATCH(S$2,Cattle!$B$141:$Q$141,0))*(1+Profit_Margin)</f>
        <v>37.888919054422672</v>
      </c>
      <c r="T90" s="67">
        <f>Cattle!$B92/INDEX(Cattle!$B$162:$Q$172,MATCH($B90,Cattle!$A$142:$A$152,0),MATCH(T$2,Cattle!$B$141:$Q$141,0))*(1+Profit_Margin)</f>
        <v>37.888919054422672</v>
      </c>
      <c r="U90" s="67">
        <f>Cattle!$B92/INDEX(Cattle!$B$162:$Q$172,MATCH($B90,Cattle!$A$142:$A$152,0),MATCH(U$2,Cattle!$B$141:$Q$141,0))*(1+Profit_Margin)</f>
        <v>37.792458689109218</v>
      </c>
      <c r="V90" s="67">
        <f>Cattle!$B92/INDEX(Cattle!$B$162:$Q$172,MATCH($B90,Cattle!$A$142:$A$152,0),MATCH(V$2,Cattle!$B$141:$Q$141,0))*(1+Profit_Margin)</f>
        <v>37.792458689109218</v>
      </c>
      <c r="W90" s="67">
        <f>Cattle!$B92/INDEX(Cattle!$B$162:$Q$172,MATCH($B90,Cattle!$A$142:$A$152,0),MATCH(W$2,Cattle!$B$141:$Q$141,0))*(1+Profit_Margin)</f>
        <v>34.168031550406489</v>
      </c>
      <c r="X90" s="67">
        <f>Cattle!$B92/INDEX(Cattle!$B$162:$Q$172,MATCH($B90,Cattle!$A$142:$A$152,0),MATCH(X$2,Cattle!$B$141:$Q$141,0))*(1+Profit_Margin)</f>
        <v>34.168031550406489</v>
      </c>
      <c r="Y90" s="67">
        <f>Cattle!$B92/INDEX(Cattle!$B$162:$Q$172,MATCH($B90,Cattle!$A$142:$A$152,0),MATCH(Y$2,Cattle!$B$141:$Q$141,0))*(1+Profit_Margin)</f>
        <v>36.979262821951814</v>
      </c>
      <c r="Z90" s="67">
        <f>Cattle!$B92/INDEX(Cattle!$B$162:$Q$172,MATCH($B90,Cattle!$A$142:$A$152,0),MATCH(Z$2,Cattle!$B$141:$Q$141,0))*(1+Profit_Margin)</f>
        <v>36.979262821951814</v>
      </c>
      <c r="AA90" s="67">
        <f>Cattle!$B92/INDEX(Cattle!$B$162:$Q$172,MATCH($B90,Cattle!$A$142:$A$152,0),MATCH(AA$2,Cattle!$B$141:$Q$141,0))*(1+Profit_Margin)</f>
        <v>34.716475644171652</v>
      </c>
      <c r="AB90" s="67">
        <f>Cattle!$B92/INDEX(Cattle!$B$162:$Q$172,MATCH($B90,Cattle!$A$142:$A$152,0),MATCH(AB$2,Cattle!$B$141:$Q$141,0))*(1+Profit_Margin)</f>
        <v>34.716475644171652</v>
      </c>
      <c r="AC90" s="67">
        <f>Cattle!$B92/INDEX(Cattle!$B$162:$Q$172,MATCH($B90,Cattle!$A$142:$A$152,0),MATCH(AC$2,Cattle!$B$141:$Q$141,0))*(1+Profit_Margin)</f>
        <v>37.318869631279497</v>
      </c>
      <c r="AD90" s="67">
        <f>Cattle!$B92/INDEX(Cattle!$B$162:$Q$172,MATCH($B90,Cattle!$A$142:$A$152,0),MATCH(AD$2,Cattle!$B$141:$Q$141,0))*(1+Profit_Margin)</f>
        <v>37.318869631279497</v>
      </c>
      <c r="AE90" s="67">
        <f>Cattle!$B92/INDEX(Cattle!$B$162:$Q$172,MATCH($B90,Cattle!$A$142:$A$152,0),MATCH(AE$2,Cattle!$B$141:$Q$141,0))*(1+Profit_Margin)</f>
        <v>32.998154614297967</v>
      </c>
      <c r="AF90" s="67">
        <f>Cattle!$B92/INDEX(Cattle!$B$162:$Q$172,MATCH($B90,Cattle!$A$142:$A$152,0),MATCH(AF$2,Cattle!$B$141:$Q$141,0))*(1+Profit_Margin)</f>
        <v>32.998154614297967</v>
      </c>
      <c r="AG90" s="67">
        <f>Cattle!$B92/INDEX(Cattle!$B$162:$Q$172,MATCH($B90,Cattle!$A$142:$A$152,0),MATCH(AG$2,Cattle!$B$141:$Q$141,0))*(1+Profit_Margin)</f>
        <v>32.675381398976867</v>
      </c>
      <c r="AH90" s="67">
        <f>Cattle!$B92/INDEX(Cattle!$B$162:$Q$172,MATCH($B90,Cattle!$A$142:$A$152,0),MATCH(AH$2,Cattle!$B$141:$Q$141,0))*(1+Profit_Margin)</f>
        <v>32.675381398976867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G72"/>
  <sheetViews>
    <sheetView tabSelected="1" zoomScale="85" zoomScaleNormal="85" workbookViewId="0">
      <selection activeCell="H29" sqref="H29"/>
    </sheetView>
  </sheetViews>
  <sheetFormatPr defaultRowHeight="15.75"/>
  <cols>
    <col min="1" max="1" width="10.75" bestFit="1" customWidth="1"/>
  </cols>
  <sheetData>
    <row r="1" spans="1:33">
      <c r="B1" t="str">
        <f t="array" ref="B1:C1">TRANSPOSE(Seasons)</f>
        <v>Kremt</v>
      </c>
      <c r="C1" t="str">
        <v>Belg</v>
      </c>
      <c r="D1" t="str">
        <f>B1</f>
        <v>Kremt</v>
      </c>
      <c r="E1" t="str">
        <f t="shared" ref="E1:AG1" si="0">C1</f>
        <v>Belg</v>
      </c>
      <c r="F1" t="str">
        <f t="shared" si="0"/>
        <v>Kremt</v>
      </c>
      <c r="G1" t="str">
        <f t="shared" si="0"/>
        <v>Belg</v>
      </c>
      <c r="H1" t="str">
        <f t="shared" si="0"/>
        <v>Kremt</v>
      </c>
      <c r="I1" t="str">
        <f t="shared" si="0"/>
        <v>Belg</v>
      </c>
      <c r="J1" t="str">
        <f t="shared" si="0"/>
        <v>Kremt</v>
      </c>
      <c r="K1" t="str">
        <f t="shared" si="0"/>
        <v>Belg</v>
      </c>
      <c r="L1" t="str">
        <f t="shared" si="0"/>
        <v>Kremt</v>
      </c>
      <c r="M1" t="str">
        <f t="shared" si="0"/>
        <v>Belg</v>
      </c>
      <c r="N1" t="str">
        <f t="shared" si="0"/>
        <v>Kremt</v>
      </c>
      <c r="O1" t="str">
        <f t="shared" si="0"/>
        <v>Belg</v>
      </c>
      <c r="P1" t="str">
        <f t="shared" si="0"/>
        <v>Kremt</v>
      </c>
      <c r="Q1" t="str">
        <f t="shared" si="0"/>
        <v>Belg</v>
      </c>
      <c r="R1" t="str">
        <f t="shared" si="0"/>
        <v>Kremt</v>
      </c>
      <c r="S1" t="str">
        <f t="shared" si="0"/>
        <v>Belg</v>
      </c>
      <c r="T1" t="str">
        <f t="shared" si="0"/>
        <v>Kremt</v>
      </c>
      <c r="U1" t="str">
        <f t="shared" si="0"/>
        <v>Belg</v>
      </c>
      <c r="V1" t="str">
        <f t="shared" si="0"/>
        <v>Kremt</v>
      </c>
      <c r="W1" t="str">
        <f t="shared" si="0"/>
        <v>Belg</v>
      </c>
      <c r="X1" t="str">
        <f t="shared" si="0"/>
        <v>Kremt</v>
      </c>
      <c r="Y1" t="str">
        <f t="shared" si="0"/>
        <v>Belg</v>
      </c>
      <c r="Z1" t="str">
        <f t="shared" si="0"/>
        <v>Kremt</v>
      </c>
      <c r="AA1" t="str">
        <f t="shared" si="0"/>
        <v>Belg</v>
      </c>
      <c r="AB1" t="str">
        <f t="shared" si="0"/>
        <v>Kremt</v>
      </c>
      <c r="AC1" t="str">
        <f t="shared" si="0"/>
        <v>Belg</v>
      </c>
      <c r="AD1" t="str">
        <f t="shared" si="0"/>
        <v>Kremt</v>
      </c>
      <c r="AE1" t="str">
        <f t="shared" si="0"/>
        <v>Belg</v>
      </c>
      <c r="AF1" t="str">
        <f t="shared" si="0"/>
        <v>Kremt</v>
      </c>
      <c r="AG1" t="str">
        <f t="shared" si="0"/>
        <v>Belg</v>
      </c>
    </row>
    <row r="2" spans="1:33">
      <c r="B2">
        <v>2015</v>
      </c>
      <c r="C2">
        <v>2015</v>
      </c>
      <c r="D2">
        <f>B2+1</f>
        <v>2016</v>
      </c>
      <c r="E2">
        <f t="shared" ref="E2:AG2" si="1">C2+1</f>
        <v>2016</v>
      </c>
      <c r="F2">
        <f t="shared" si="1"/>
        <v>2017</v>
      </c>
      <c r="G2">
        <f t="shared" si="1"/>
        <v>2017</v>
      </c>
      <c r="H2">
        <f t="shared" si="1"/>
        <v>2018</v>
      </c>
      <c r="I2">
        <f t="shared" si="1"/>
        <v>2018</v>
      </c>
      <c r="J2">
        <f t="shared" si="1"/>
        <v>2019</v>
      </c>
      <c r="K2">
        <f t="shared" si="1"/>
        <v>2019</v>
      </c>
      <c r="L2">
        <f t="shared" si="1"/>
        <v>2020</v>
      </c>
      <c r="M2">
        <f t="shared" si="1"/>
        <v>2020</v>
      </c>
      <c r="N2">
        <f t="shared" si="1"/>
        <v>2021</v>
      </c>
      <c r="O2">
        <f t="shared" si="1"/>
        <v>2021</v>
      </c>
      <c r="P2">
        <f t="shared" si="1"/>
        <v>2022</v>
      </c>
      <c r="Q2">
        <f t="shared" si="1"/>
        <v>2022</v>
      </c>
      <c r="R2">
        <f t="shared" si="1"/>
        <v>2023</v>
      </c>
      <c r="S2">
        <f t="shared" si="1"/>
        <v>2023</v>
      </c>
      <c r="T2">
        <f t="shared" si="1"/>
        <v>2024</v>
      </c>
      <c r="U2">
        <f t="shared" si="1"/>
        <v>2024</v>
      </c>
      <c r="V2">
        <f t="shared" si="1"/>
        <v>2025</v>
      </c>
      <c r="W2">
        <f t="shared" si="1"/>
        <v>2025</v>
      </c>
      <c r="X2">
        <f t="shared" si="1"/>
        <v>2026</v>
      </c>
      <c r="Y2">
        <f t="shared" si="1"/>
        <v>2026</v>
      </c>
      <c r="Z2">
        <f t="shared" si="1"/>
        <v>2027</v>
      </c>
      <c r="AA2">
        <f t="shared" si="1"/>
        <v>2027</v>
      </c>
      <c r="AB2">
        <f t="shared" si="1"/>
        <v>2028</v>
      </c>
      <c r="AC2">
        <f t="shared" si="1"/>
        <v>2028</v>
      </c>
      <c r="AD2">
        <f t="shared" si="1"/>
        <v>2029</v>
      </c>
      <c r="AE2">
        <f t="shared" si="1"/>
        <v>2029</v>
      </c>
      <c r="AF2">
        <f t="shared" si="1"/>
        <v>2030</v>
      </c>
      <c r="AG2">
        <f t="shared" si="1"/>
        <v>2030</v>
      </c>
    </row>
    <row r="3" spans="1:33">
      <c r="A3" t="str">
        <f t="array" ref="A3:A13">Nodes</f>
        <v>AddisAbaba</v>
      </c>
      <c r="B3" s="2">
        <v>11.221925961001869</v>
      </c>
      <c r="C3" s="2">
        <v>11.016857565882649</v>
      </c>
      <c r="D3" s="2">
        <v>13.924209786514524</v>
      </c>
      <c r="E3" s="2">
        <v>10.750032809761109</v>
      </c>
      <c r="F3" s="2">
        <v>11.465810275784728</v>
      </c>
      <c r="G3" s="2">
        <v>11.58402402902192</v>
      </c>
      <c r="H3" s="2">
        <v>14.909057723666194</v>
      </c>
      <c r="I3" s="2">
        <v>11.424331330979882</v>
      </c>
      <c r="J3" s="2">
        <v>11.164329776711345</v>
      </c>
      <c r="K3" s="2">
        <v>14.696652433575171</v>
      </c>
      <c r="L3" s="2">
        <v>12.245195236288087</v>
      </c>
      <c r="M3" s="2">
        <v>11.015759139053925</v>
      </c>
      <c r="N3" s="2">
        <v>13.854946087402892</v>
      </c>
      <c r="O3" s="2">
        <v>13.198443937675798</v>
      </c>
      <c r="P3" s="2">
        <v>13.331341729257201</v>
      </c>
      <c r="Q3" s="2">
        <v>15.107237489602724</v>
      </c>
      <c r="R3" s="2">
        <v>13.120123680873627</v>
      </c>
      <c r="S3" s="2">
        <v>14.2323344042287</v>
      </c>
      <c r="T3" s="2">
        <v>13.590658370268338</v>
      </c>
      <c r="U3" s="2">
        <v>11.978286760661641</v>
      </c>
      <c r="V3" s="2">
        <v>11.700035085879659</v>
      </c>
      <c r="W3" s="2">
        <v>12.344790316930846</v>
      </c>
      <c r="X3" s="2">
        <v>11.523085711838347</v>
      </c>
      <c r="Y3" s="2">
        <v>10.124437675491812</v>
      </c>
      <c r="Z3" s="2">
        <v>11.981071243619596</v>
      </c>
      <c r="AA3" s="2">
        <v>14.951255906652989</v>
      </c>
      <c r="AB3" s="2">
        <v>11.025652375373717</v>
      </c>
      <c r="AC3" s="2">
        <v>11.59803621259211</v>
      </c>
      <c r="AD3" s="2">
        <v>12.904081654193025</v>
      </c>
      <c r="AE3" s="2">
        <v>10.33731267905709</v>
      </c>
      <c r="AF3" s="2">
        <v>13.473490857074598</v>
      </c>
      <c r="AG3" s="2">
        <v>13.420704936768116</v>
      </c>
    </row>
    <row r="4" spans="1:33">
      <c r="A4" t="str">
        <v>Afar</v>
      </c>
      <c r="B4" s="2">
        <v>0.64964750174991093</v>
      </c>
      <c r="C4" s="2">
        <v>1.6456428693612897</v>
      </c>
      <c r="D4" s="2">
        <v>1.550705360142755</v>
      </c>
      <c r="E4" s="2">
        <v>2.0163624991413989</v>
      </c>
      <c r="F4" s="2">
        <v>2.3988160847298716</v>
      </c>
      <c r="G4" s="2">
        <v>0.85136814774413261</v>
      </c>
      <c r="H4" s="2">
        <v>4.0016986052368804</v>
      </c>
      <c r="I4" s="2">
        <v>3.1272908713518843</v>
      </c>
      <c r="J4" s="2">
        <v>1.515495390706429</v>
      </c>
      <c r="K4" s="2">
        <v>5.3454601659146599</v>
      </c>
      <c r="L4" s="2">
        <v>2.527688881078908</v>
      </c>
      <c r="M4" s="2">
        <v>5.4289609610244067</v>
      </c>
      <c r="N4" s="2">
        <v>4.2450125084447556</v>
      </c>
      <c r="O4" s="2">
        <v>4.2694933476519017</v>
      </c>
      <c r="P4" s="2">
        <v>1.0959333621684519</v>
      </c>
      <c r="Q4" s="2">
        <v>2.3689292611714681</v>
      </c>
      <c r="R4" s="2">
        <v>0.82913383055168322</v>
      </c>
      <c r="S4" s="2">
        <v>3.2866293279796226</v>
      </c>
      <c r="T4" s="2">
        <v>1.957823745220586</v>
      </c>
      <c r="U4" s="2">
        <v>1.0000211477979248</v>
      </c>
      <c r="V4" s="2">
        <v>5.1952602220869579</v>
      </c>
      <c r="W4" s="2">
        <v>1.9230949192407016</v>
      </c>
      <c r="X4" s="2">
        <v>1.7930477654829424</v>
      </c>
      <c r="Y4" s="2">
        <v>0.87482547429711732</v>
      </c>
      <c r="Z4" s="2">
        <v>1.7389513240777239</v>
      </c>
      <c r="AA4" s="2">
        <v>0.67171782179877126</v>
      </c>
      <c r="AB4" s="2">
        <v>0.91213884432387871</v>
      </c>
      <c r="AC4" s="2">
        <v>4.3235559735906506</v>
      </c>
      <c r="AD4" s="2">
        <v>2.8373938614027008</v>
      </c>
      <c r="AE4" s="2">
        <v>5.4660976361935276</v>
      </c>
      <c r="AF4" s="2">
        <v>2.4030019118636288</v>
      </c>
      <c r="AG4" s="2">
        <v>1.7589957398494143</v>
      </c>
    </row>
    <row r="5" spans="1:33">
      <c r="A5" t="str">
        <v>Amhara</v>
      </c>
      <c r="B5" s="2">
        <v>6.3663950738518302</v>
      </c>
      <c r="C5" s="2">
        <v>9.7042419480770761</v>
      </c>
      <c r="D5" s="2">
        <v>8.617707278693473</v>
      </c>
      <c r="E5" s="2">
        <v>8.3823952835493003</v>
      </c>
      <c r="F5" s="2">
        <v>10.340147335429647</v>
      </c>
      <c r="G5" s="2">
        <v>7.8208088714118906</v>
      </c>
      <c r="H5" s="2">
        <v>7.1716476170861387</v>
      </c>
      <c r="I5" s="2">
        <v>7.1246593444086379</v>
      </c>
      <c r="J5" s="2">
        <v>7.9481401806800722</v>
      </c>
      <c r="K5" s="2">
        <v>9.3062429995810589</v>
      </c>
      <c r="L5" s="2">
        <v>7.3499822789777856</v>
      </c>
      <c r="M5" s="2">
        <v>10.689695375066375</v>
      </c>
      <c r="N5" s="2">
        <v>6.4597446395628211</v>
      </c>
      <c r="O5" s="2">
        <v>6.3706440487831992</v>
      </c>
      <c r="P5" s="2">
        <v>8.2890974696031421</v>
      </c>
      <c r="Q5" s="2">
        <v>9.5525366575209674</v>
      </c>
      <c r="R5" s="2">
        <v>8.4420330597336051</v>
      </c>
      <c r="S5" s="2">
        <v>6.9490466518313152</v>
      </c>
      <c r="T5" s="2">
        <v>6.6950038897511988</v>
      </c>
      <c r="U5" s="2">
        <v>8.5255987251591918</v>
      </c>
      <c r="V5" s="2">
        <v>10.675490674176306</v>
      </c>
      <c r="W5" s="2">
        <v>9.598991296558415</v>
      </c>
      <c r="X5" s="2">
        <v>7.6181787928538212</v>
      </c>
      <c r="Y5" s="2">
        <v>10.861957935185435</v>
      </c>
      <c r="Z5" s="2">
        <v>6.191143569679757</v>
      </c>
      <c r="AA5" s="2">
        <v>6.7056137767658512</v>
      </c>
      <c r="AB5" s="2">
        <v>8.0246916735668368</v>
      </c>
      <c r="AC5" s="2">
        <v>10.062710770593149</v>
      </c>
      <c r="AD5" s="2">
        <v>6.1485453529943745</v>
      </c>
      <c r="AE5" s="2">
        <v>7.6536733679056486</v>
      </c>
      <c r="AF5" s="2">
        <v>10.831792311606975</v>
      </c>
      <c r="AG5" s="2">
        <v>6.3324400703741883</v>
      </c>
    </row>
    <row r="6" spans="1:33">
      <c r="A6" t="str">
        <v>Gumuz</v>
      </c>
      <c r="B6" s="2">
        <v>2.1418402139966917</v>
      </c>
      <c r="C6" s="2">
        <v>2.0529195741576034</v>
      </c>
      <c r="D6" s="2">
        <v>4.8144891152978788</v>
      </c>
      <c r="E6" s="2">
        <v>0.79735375734896741</v>
      </c>
      <c r="F6" s="2">
        <v>4.9603764879617156</v>
      </c>
      <c r="G6" s="2">
        <v>1.8359607756857428</v>
      </c>
      <c r="H6" s="2">
        <v>3.4599732781076651</v>
      </c>
      <c r="I6" s="2">
        <v>1.3941606487849874</v>
      </c>
      <c r="J6" s="2">
        <v>1.254993042871722</v>
      </c>
      <c r="K6" s="2">
        <v>3.5045908670338366</v>
      </c>
      <c r="L6" s="2">
        <v>2.5588078600647575</v>
      </c>
      <c r="M6" s="2">
        <v>5.0887570223833842</v>
      </c>
      <c r="N6" s="2">
        <v>3.5049856747967465</v>
      </c>
      <c r="O6" s="2">
        <v>4.9243723925973653</v>
      </c>
      <c r="P6" s="2">
        <v>2.6836455397701857</v>
      </c>
      <c r="Q6" s="2">
        <v>4.3134775891772934</v>
      </c>
      <c r="R6" s="2">
        <v>4.2477098796269033</v>
      </c>
      <c r="S6" s="2">
        <v>1.1784552349153103</v>
      </c>
      <c r="T6" s="2">
        <v>4.8783288202979334</v>
      </c>
      <c r="U6" s="2">
        <v>0.89223708793943191</v>
      </c>
      <c r="V6" s="2">
        <v>5.1804052638362403</v>
      </c>
      <c r="W6" s="2">
        <v>1.8850040441750733</v>
      </c>
      <c r="X6" s="2">
        <v>0.5352180546812173</v>
      </c>
      <c r="Y6" s="2">
        <v>4.113262785618053</v>
      </c>
      <c r="Z6" s="2">
        <v>0.83499935553236193</v>
      </c>
      <c r="AA6" s="2">
        <v>2.2499096956978466</v>
      </c>
      <c r="AB6" s="2">
        <v>1.3040872255572205</v>
      </c>
      <c r="AC6" s="2">
        <v>4.2468313132325211</v>
      </c>
      <c r="AD6" s="2">
        <v>1.1717765492842374</v>
      </c>
      <c r="AE6" s="2">
        <v>2.6565118500828269</v>
      </c>
      <c r="AF6" s="2">
        <v>3.2037034986204755</v>
      </c>
      <c r="AG6" s="2">
        <v>2.1847569214199773</v>
      </c>
    </row>
    <row r="7" spans="1:33">
      <c r="A7" t="str">
        <v>DireDawa</v>
      </c>
      <c r="B7" s="2">
        <v>2.2702458691014158</v>
      </c>
      <c r="C7" s="2">
        <v>3.5760069648489425</v>
      </c>
      <c r="D7" s="2">
        <v>3.9621705493995991</v>
      </c>
      <c r="E7" s="2">
        <v>3.1950905910472382</v>
      </c>
      <c r="F7" s="2">
        <v>2.3026116859642753</v>
      </c>
      <c r="G7" s="2">
        <v>3.1158471593526675</v>
      </c>
      <c r="H7" s="2">
        <v>2.1709778464679843</v>
      </c>
      <c r="I7" s="2">
        <v>2.1300250982083457</v>
      </c>
      <c r="J7" s="2">
        <v>3.9743905189104298</v>
      </c>
      <c r="K7" s="2">
        <v>4.4917470834283257</v>
      </c>
      <c r="L7" s="2">
        <v>4.9835896624925002</v>
      </c>
      <c r="M7" s="2">
        <v>3.6731561639700301</v>
      </c>
      <c r="N7" s="2">
        <v>3.9190578163458958</v>
      </c>
      <c r="O7" s="2">
        <v>4.8705803284955538</v>
      </c>
      <c r="P7" s="2">
        <v>1.0613391461307287</v>
      </c>
      <c r="Q7" s="2">
        <v>2.447829373123759</v>
      </c>
      <c r="R7" s="2">
        <v>4.797773320023885</v>
      </c>
      <c r="S7" s="2">
        <v>3.4578977512958438</v>
      </c>
      <c r="T7" s="2">
        <v>4.7623568228169297</v>
      </c>
      <c r="U7" s="2">
        <v>5.1061969841055479</v>
      </c>
      <c r="V7" s="2">
        <v>3.6091160982474215</v>
      </c>
      <c r="W7" s="2">
        <v>4.186483184924322</v>
      </c>
      <c r="X7" s="2">
        <v>3.0229161257847359</v>
      </c>
      <c r="Y7" s="2">
        <v>1.0238176047768672</v>
      </c>
      <c r="Z7" s="2">
        <v>2.0734018312920082</v>
      </c>
      <c r="AA7" s="2">
        <v>4.5211024660881494</v>
      </c>
      <c r="AB7" s="2">
        <v>0.83415605158061246</v>
      </c>
      <c r="AC7" s="2">
        <v>0.82258180216316712</v>
      </c>
      <c r="AD7" s="2">
        <v>3.6560789179171245</v>
      </c>
      <c r="AE7" s="2">
        <v>2.4041508334985711</v>
      </c>
      <c r="AF7" s="2">
        <v>3.5581879645008465</v>
      </c>
      <c r="AG7" s="2">
        <v>3.3955601720915061</v>
      </c>
    </row>
    <row r="8" spans="1:33">
      <c r="A8" t="str">
        <v>Gambela</v>
      </c>
      <c r="B8" s="2">
        <v>1.6779029616440764</v>
      </c>
      <c r="C8" s="2">
        <v>0.44316355094401172</v>
      </c>
      <c r="D8" s="2">
        <v>0.28194699188325167</v>
      </c>
      <c r="E8" s="2">
        <v>2.6553696675180709</v>
      </c>
      <c r="F8" s="2">
        <v>3.0986068060168774</v>
      </c>
      <c r="G8" s="2">
        <v>0.3095298875208462</v>
      </c>
      <c r="H8" s="2">
        <v>3.2487193500897913</v>
      </c>
      <c r="I8" s="2">
        <v>0.27864277381802016</v>
      </c>
      <c r="J8" s="2">
        <v>1.9994231747802242</v>
      </c>
      <c r="K8" s="2">
        <v>0.6212456314311342</v>
      </c>
      <c r="L8" s="2">
        <v>2.5547015871799044</v>
      </c>
      <c r="M8" s="2">
        <v>0.25187711235249421</v>
      </c>
      <c r="N8" s="2">
        <v>1.8249139918814286</v>
      </c>
      <c r="O8" s="2">
        <v>4.2519391875669319</v>
      </c>
      <c r="P8" s="2">
        <v>4.1653121112811524</v>
      </c>
      <c r="Q8" s="2">
        <v>0.44486799858719162</v>
      </c>
      <c r="R8" s="2">
        <v>0.82549767690132991</v>
      </c>
      <c r="S8" s="2">
        <v>0.51911877097181636</v>
      </c>
      <c r="T8" s="2">
        <v>5.1052067177522265</v>
      </c>
      <c r="U8" s="2">
        <v>2.3255516327538408</v>
      </c>
      <c r="V8" s="2">
        <v>4.7742766823975611</v>
      </c>
      <c r="W8" s="2">
        <v>0.18322478615065463</v>
      </c>
      <c r="X8" s="2">
        <v>2.662488730730078</v>
      </c>
      <c r="Y8" s="2">
        <v>0.19241757029959994</v>
      </c>
      <c r="Z8" s="2">
        <v>4.333563775830287</v>
      </c>
      <c r="AA8" s="2">
        <v>0.31189275983418685</v>
      </c>
      <c r="AB8" s="2">
        <v>2.2092993130675045</v>
      </c>
      <c r="AC8" s="2">
        <v>2.4928068454058718</v>
      </c>
      <c r="AD8" s="2">
        <v>0.1530668108148574</v>
      </c>
      <c r="AE8" s="2">
        <v>1.3041201960051145</v>
      </c>
      <c r="AF8" s="2">
        <v>3.6783677649818705</v>
      </c>
      <c r="AG8" s="2">
        <v>2.9741283861968095</v>
      </c>
    </row>
    <row r="9" spans="1:33">
      <c r="A9" t="str">
        <v>Harari</v>
      </c>
      <c r="B9" s="2">
        <v>7.1757769129221563E-2</v>
      </c>
      <c r="C9" s="2">
        <v>3.7997562705579697</v>
      </c>
      <c r="D9" s="2">
        <v>0.52416873096555527</v>
      </c>
      <c r="E9" s="2">
        <v>4.8691494750938116</v>
      </c>
      <c r="F9" s="2">
        <v>3.6317481942983907</v>
      </c>
      <c r="G9" s="2">
        <v>1.6167743700642256</v>
      </c>
      <c r="H9" s="2">
        <v>2.7140623448305941</v>
      </c>
      <c r="I9" s="2">
        <v>0.7077135891334253</v>
      </c>
      <c r="J9" s="2">
        <v>1.0822764674587793</v>
      </c>
      <c r="K9" s="2">
        <v>5.0672326833972976</v>
      </c>
      <c r="L9" s="2">
        <v>4.0388523650890091</v>
      </c>
      <c r="M9" s="2">
        <v>2.8785122627757294</v>
      </c>
      <c r="N9" s="2">
        <v>0.73059108805545292</v>
      </c>
      <c r="O9" s="2">
        <v>2.7926855702366566</v>
      </c>
      <c r="P9" s="2">
        <v>3.8526298446741838</v>
      </c>
      <c r="Q9" s="2">
        <v>0.56232088215613329</v>
      </c>
      <c r="R9" s="2">
        <v>1.6734595272278141</v>
      </c>
      <c r="S9" s="2">
        <v>3.1905541230594285</v>
      </c>
      <c r="T9" s="2">
        <v>3.887447283215145</v>
      </c>
      <c r="U9" s="2">
        <v>3.0292376484093095</v>
      </c>
      <c r="V9" s="2">
        <v>0.62776884289517565</v>
      </c>
      <c r="W9" s="2">
        <v>3.8241656389863805</v>
      </c>
      <c r="X9" s="2">
        <v>2.4528947188706707</v>
      </c>
      <c r="Y9" s="2">
        <v>2.9046588744955972</v>
      </c>
      <c r="Z9" s="2">
        <v>1.9817696084837644</v>
      </c>
      <c r="AA9" s="2">
        <v>3.863273333066378</v>
      </c>
      <c r="AB9" s="2">
        <v>0.66615382170990955</v>
      </c>
      <c r="AC9" s="2">
        <v>1.2194934482870712</v>
      </c>
      <c r="AD9" s="2">
        <v>4.0831471496883607</v>
      </c>
      <c r="AE9" s="2">
        <v>3.3650140965845718</v>
      </c>
      <c r="AF9" s="2">
        <v>2.3919976483266026</v>
      </c>
      <c r="AG9" s="2">
        <v>3.4626808596465839</v>
      </c>
    </row>
    <row r="10" spans="1:33">
      <c r="A10" t="str">
        <v>Oromia</v>
      </c>
      <c r="B10" s="2">
        <v>12.909825120091609</v>
      </c>
      <c r="C10" s="2">
        <v>13.53801370188113</v>
      </c>
      <c r="D10" s="2">
        <v>14.524983608752732</v>
      </c>
      <c r="E10" s="2">
        <v>13.866047761263602</v>
      </c>
      <c r="F10" s="2">
        <v>13.83729079323766</v>
      </c>
      <c r="G10" s="2">
        <v>14.658759200238656</v>
      </c>
      <c r="H10" s="2">
        <v>14.258733189702975</v>
      </c>
      <c r="I10" s="2">
        <v>12.959403726099586</v>
      </c>
      <c r="J10" s="2">
        <v>13.358134503913341</v>
      </c>
      <c r="K10" s="2">
        <v>14.508562287084512</v>
      </c>
      <c r="L10" s="2">
        <v>11.124239006312591</v>
      </c>
      <c r="M10" s="2">
        <v>12.187285961383004</v>
      </c>
      <c r="N10" s="2">
        <v>11.958469262327228</v>
      </c>
      <c r="O10" s="2">
        <v>12.762985566272267</v>
      </c>
      <c r="P10" s="2">
        <v>14.617417971178414</v>
      </c>
      <c r="Q10" s="2">
        <v>12.889005333018103</v>
      </c>
      <c r="R10" s="2">
        <v>11.194641582736299</v>
      </c>
      <c r="S10" s="2">
        <v>11.062650943987519</v>
      </c>
      <c r="T10" s="2">
        <v>13.218420442572274</v>
      </c>
      <c r="U10" s="2">
        <v>10.903571473394971</v>
      </c>
      <c r="V10" s="2">
        <v>10.518669777479857</v>
      </c>
      <c r="W10" s="2">
        <v>15.099921545601051</v>
      </c>
      <c r="X10" s="2">
        <v>10.781569158439789</v>
      </c>
      <c r="Y10" s="2">
        <v>14.983162360799279</v>
      </c>
      <c r="Z10" s="2">
        <v>14.951981022903478</v>
      </c>
      <c r="AA10" s="2">
        <v>11.774066617548648</v>
      </c>
      <c r="AB10" s="2">
        <v>13.084897708448061</v>
      </c>
      <c r="AC10" s="2">
        <v>12.925609442479226</v>
      </c>
      <c r="AD10" s="2">
        <v>12.703362925198279</v>
      </c>
      <c r="AE10" s="2">
        <v>11.696007672668445</v>
      </c>
      <c r="AF10" s="2">
        <v>10.713430601609215</v>
      </c>
      <c r="AG10" s="2">
        <v>13.763017591106678</v>
      </c>
    </row>
    <row r="11" spans="1:33">
      <c r="A11" t="str">
        <v>Somali</v>
      </c>
      <c r="B11" s="2">
        <v>5.0002980738500575</v>
      </c>
      <c r="C11" s="2">
        <v>6.4978855169396557</v>
      </c>
      <c r="D11" s="2">
        <v>2.2186360811658639</v>
      </c>
      <c r="E11" s="2">
        <v>5.7309344205741262</v>
      </c>
      <c r="F11" s="2">
        <v>4.3314249085646761</v>
      </c>
      <c r="G11" s="2">
        <v>5.5612680883436676</v>
      </c>
      <c r="H11" s="2">
        <v>5.2795956370858086</v>
      </c>
      <c r="I11" s="2">
        <v>3.9635594438696913</v>
      </c>
      <c r="J11" s="2">
        <v>2.8785640993628165</v>
      </c>
      <c r="K11" s="2">
        <v>3.5928473263174197</v>
      </c>
      <c r="L11" s="2">
        <v>3.954159950616241</v>
      </c>
      <c r="M11" s="2">
        <v>5.9744682039284545</v>
      </c>
      <c r="N11" s="2">
        <v>3.3660582676656068</v>
      </c>
      <c r="O11" s="2">
        <v>3.374349459215046</v>
      </c>
      <c r="P11" s="2">
        <v>4.9163003405209675</v>
      </c>
      <c r="Q11" s="2">
        <v>3.3255133233716596</v>
      </c>
      <c r="R11" s="2">
        <v>3.5687984860866155</v>
      </c>
      <c r="S11" s="2">
        <v>3.8863074717196988</v>
      </c>
      <c r="T11" s="2">
        <v>5.8040674605965794</v>
      </c>
      <c r="U11" s="2">
        <v>2.8048838819370436</v>
      </c>
      <c r="V11" s="2">
        <v>3.5069853998395812</v>
      </c>
      <c r="W11" s="2">
        <v>2.2580157206971809</v>
      </c>
      <c r="X11" s="2">
        <v>3.8461677237093714</v>
      </c>
      <c r="Y11" s="2">
        <v>2.2383828711757099</v>
      </c>
      <c r="Z11" s="2">
        <v>1.687072994741716</v>
      </c>
      <c r="AA11" s="2">
        <v>5.0609335134432856</v>
      </c>
      <c r="AB11" s="2">
        <v>4.4516796578558253</v>
      </c>
      <c r="AC11" s="2">
        <v>4.5777783240683085</v>
      </c>
      <c r="AD11" s="2">
        <v>5.9944396190349014</v>
      </c>
      <c r="AE11" s="2">
        <v>2.8335551184249606</v>
      </c>
      <c r="AF11" s="2">
        <v>3.8926725658539016</v>
      </c>
      <c r="AG11" s="2">
        <v>3.6339004845636507</v>
      </c>
    </row>
    <row r="12" spans="1:33">
      <c r="A12" t="str">
        <v>SNNPR</v>
      </c>
      <c r="B12" s="2">
        <v>8.4346580505829998</v>
      </c>
      <c r="C12" s="2">
        <v>6.4760790219946927</v>
      </c>
      <c r="D12" s="2">
        <v>10.21223783031779</v>
      </c>
      <c r="E12" s="2">
        <v>10.459745724809052</v>
      </c>
      <c r="F12" s="2">
        <v>7.6741471811816524</v>
      </c>
      <c r="G12" s="2">
        <v>10.204681604757033</v>
      </c>
      <c r="H12" s="2">
        <v>10.467678687081328</v>
      </c>
      <c r="I12" s="2">
        <v>7.256619461405859</v>
      </c>
      <c r="J12" s="2">
        <v>8.8642000077389262</v>
      </c>
      <c r="K12" s="2">
        <v>8.5080328785514272</v>
      </c>
      <c r="L12" s="2">
        <v>6.140148775086133</v>
      </c>
      <c r="M12" s="2">
        <v>8.5900252257990477</v>
      </c>
      <c r="N12" s="2">
        <v>9.7827202597208256</v>
      </c>
      <c r="O12" s="2">
        <v>7.2374327162232799</v>
      </c>
      <c r="P12" s="2">
        <v>6.714575939915866</v>
      </c>
      <c r="Q12" s="2">
        <v>9.5278865005200064</v>
      </c>
      <c r="R12" s="2">
        <v>8.5384800897751898</v>
      </c>
      <c r="S12" s="2">
        <v>9.3619017913194629</v>
      </c>
      <c r="T12" s="2">
        <v>5.4962147864026596</v>
      </c>
      <c r="U12" s="2">
        <v>6.3089241607610687</v>
      </c>
      <c r="V12" s="2">
        <v>6.5587933305033577</v>
      </c>
      <c r="W12" s="2">
        <v>8.6718880916282721</v>
      </c>
      <c r="X12" s="2">
        <v>8.0658976332974071</v>
      </c>
      <c r="Y12" s="2">
        <v>6.4765737195794451</v>
      </c>
      <c r="Z12" s="2">
        <v>7.7049170679310004</v>
      </c>
      <c r="AA12" s="2">
        <v>7.2460002788298139</v>
      </c>
      <c r="AB12" s="2">
        <v>10.161955050129887</v>
      </c>
      <c r="AC12" s="2">
        <v>8.6691495572489981</v>
      </c>
      <c r="AD12" s="2">
        <v>6.5500629137902511</v>
      </c>
      <c r="AE12" s="2">
        <v>7.1014828557131731</v>
      </c>
      <c r="AF12" s="2">
        <v>9.9182595687209378</v>
      </c>
      <c r="AG12" s="2">
        <v>8.0866549617306021</v>
      </c>
    </row>
    <row r="13" spans="1:33">
      <c r="A13" t="str">
        <v>Tigray</v>
      </c>
      <c r="B13" s="2">
        <v>4.3860447373183602</v>
      </c>
      <c r="C13" s="2">
        <v>3.7111481933175812</v>
      </c>
      <c r="D13" s="2">
        <v>3.8888738786942953</v>
      </c>
      <c r="E13" s="2">
        <v>4.156287805957426</v>
      </c>
      <c r="F13" s="2">
        <v>3.0162318558945955</v>
      </c>
      <c r="G13" s="2">
        <v>3.2972914465530767</v>
      </c>
      <c r="H13" s="2">
        <v>4.7039456835573352</v>
      </c>
      <c r="I13" s="2">
        <v>4.7814984903548901</v>
      </c>
      <c r="J13" s="2">
        <v>6.4127100865961433</v>
      </c>
      <c r="K13" s="2">
        <v>5.0516822702395565</v>
      </c>
      <c r="L13" s="2">
        <v>2.8694705005756491</v>
      </c>
      <c r="M13" s="2">
        <v>2.5971774071251197</v>
      </c>
      <c r="N13" s="2">
        <v>1.5240442859782175</v>
      </c>
      <c r="O13" s="2">
        <v>4.0670164777973099</v>
      </c>
      <c r="P13" s="2">
        <v>3.1696788452103251</v>
      </c>
      <c r="Q13" s="2">
        <v>3.6944553642831606</v>
      </c>
      <c r="R13" s="2">
        <v>2.3706957568098659</v>
      </c>
      <c r="S13" s="2">
        <v>4.3001697094963474</v>
      </c>
      <c r="T13" s="2">
        <v>1.7600024663170153</v>
      </c>
      <c r="U13" s="2">
        <v>3.4516348252069942</v>
      </c>
      <c r="V13" s="2">
        <v>5.7368752827248439</v>
      </c>
      <c r="W13" s="2">
        <v>3.0623780847273094</v>
      </c>
      <c r="X13" s="2">
        <v>3.221693539976477</v>
      </c>
      <c r="Y13" s="2">
        <v>4.8998596816166788</v>
      </c>
      <c r="Z13" s="2">
        <v>4.7211391182758282</v>
      </c>
      <c r="AA13" s="2">
        <v>3.2887755235324638</v>
      </c>
      <c r="AB13" s="2">
        <v>2.1053133158053532</v>
      </c>
      <c r="AC13" s="2">
        <v>3.4283814646874049</v>
      </c>
      <c r="AD13" s="2">
        <v>2.6526519717027934</v>
      </c>
      <c r="AE13" s="2">
        <v>6.4923951172167857</v>
      </c>
      <c r="AF13" s="2">
        <v>2.4567329952073358</v>
      </c>
      <c r="AG13" s="2">
        <v>6.2023457829750752</v>
      </c>
    </row>
    <row r="40" spans="1:19">
      <c r="R40" s="1" t="s">
        <v>83</v>
      </c>
    </row>
    <row r="41" spans="1:19">
      <c r="A41" t="str">
        <f t="array" ref="A41:A51">Nodes</f>
        <v>AddisAbaba</v>
      </c>
      <c r="B41" s="2">
        <f>B62*0.75</f>
        <v>0.43274999999999997</v>
      </c>
      <c r="F41" t="str">
        <f t="array" ref="F41:F51">Nodes</f>
        <v>AddisAbaba</v>
      </c>
      <c r="G41" s="2">
        <v>0.1</v>
      </c>
      <c r="K41" t="str">
        <f t="array" ref="K41:K51">Nodes</f>
        <v>AddisAbaba</v>
      </c>
      <c r="L41" s="2">
        <v>0</v>
      </c>
      <c r="R41" t="str">
        <f t="array" ref="R41:R51">Nodes</f>
        <v>AddisAbaba</v>
      </c>
      <c r="S41" s="2">
        <v>3.2730000000000001</v>
      </c>
    </row>
    <row r="42" spans="1:19">
      <c r="A42" t="str">
        <v>Afar</v>
      </c>
      <c r="B42" s="2">
        <v>20</v>
      </c>
      <c r="F42" t="str">
        <v>Afar</v>
      </c>
      <c r="G42" s="2">
        <v>0.1</v>
      </c>
      <c r="K42" t="str">
        <v>Afar</v>
      </c>
      <c r="L42" s="2">
        <v>3</v>
      </c>
      <c r="R42" t="str">
        <v>Afar</v>
      </c>
      <c r="S42" s="2">
        <v>1.7230000000000001</v>
      </c>
    </row>
    <row r="43" spans="1:19">
      <c r="A43" t="str">
        <v>Amhara</v>
      </c>
      <c r="B43" s="2">
        <f t="shared" ref="B43:B51" si="2">B64*0.75</f>
        <v>1.9012500000000001</v>
      </c>
      <c r="F43" t="str">
        <v>Amhara</v>
      </c>
      <c r="G43" s="2">
        <v>0.1</v>
      </c>
      <c r="K43" t="str">
        <v>Amhara</v>
      </c>
      <c r="L43" s="2">
        <v>0</v>
      </c>
      <c r="R43" t="str">
        <v>Amhara</v>
      </c>
      <c r="S43" s="2">
        <v>20.401</v>
      </c>
    </row>
    <row r="44" spans="1:19">
      <c r="A44" t="str">
        <v>Gumuz</v>
      </c>
      <c r="B44" s="2">
        <f t="shared" si="2"/>
        <v>4.875</v>
      </c>
      <c r="F44" t="str">
        <v>Gumuz</v>
      </c>
      <c r="G44" s="2">
        <v>0.1</v>
      </c>
      <c r="K44" t="str">
        <v>Gumuz</v>
      </c>
      <c r="L44" s="2">
        <v>0</v>
      </c>
      <c r="R44" t="str">
        <v>Gumuz</v>
      </c>
      <c r="S44" s="2">
        <v>1.0049999999999999</v>
      </c>
    </row>
    <row r="45" spans="1:19">
      <c r="A45" t="str">
        <v>DireDawa</v>
      </c>
      <c r="B45" s="2">
        <f t="shared" si="2"/>
        <v>0</v>
      </c>
      <c r="F45" t="str">
        <v>DireDawa</v>
      </c>
      <c r="G45" s="2">
        <v>0.1</v>
      </c>
      <c r="K45" t="str">
        <v>DireDawa</v>
      </c>
      <c r="L45" s="2">
        <v>0</v>
      </c>
      <c r="R45" t="str">
        <v>DireDawa</v>
      </c>
      <c r="S45" s="2">
        <v>0.44</v>
      </c>
    </row>
    <row r="46" spans="1:19">
      <c r="A46" t="str">
        <v>Gambela</v>
      </c>
      <c r="B46" s="2">
        <f t="shared" si="2"/>
        <v>1.9470000000000001</v>
      </c>
      <c r="F46" t="str">
        <v>Gambela</v>
      </c>
      <c r="G46" s="2">
        <v>0.1</v>
      </c>
      <c r="K46" t="str">
        <v>Gambela</v>
      </c>
      <c r="L46" s="2">
        <v>0</v>
      </c>
      <c r="R46" t="str">
        <v>Gambela</v>
      </c>
      <c r="S46" s="2">
        <v>0.40899999999999997</v>
      </c>
    </row>
    <row r="47" spans="1:19">
      <c r="A47" t="str">
        <v>Harari</v>
      </c>
      <c r="B47" s="2">
        <f t="shared" si="2"/>
        <v>0</v>
      </c>
      <c r="F47" t="str">
        <v>Harari</v>
      </c>
      <c r="G47" s="2">
        <v>0.1</v>
      </c>
      <c r="K47" t="str">
        <v>Harari</v>
      </c>
      <c r="L47" s="2">
        <v>0</v>
      </c>
      <c r="R47" t="str">
        <v>Harari</v>
      </c>
      <c r="S47" s="2">
        <v>0.23200000000000001</v>
      </c>
    </row>
    <row r="48" spans="1:19">
      <c r="A48" t="str">
        <v>Oromia</v>
      </c>
      <c r="B48" s="2">
        <f t="shared" si="2"/>
        <v>2.2064999999999997</v>
      </c>
      <c r="F48" t="str">
        <v>Oromia</v>
      </c>
      <c r="G48" s="2">
        <v>0.1</v>
      </c>
      <c r="K48" t="str">
        <v>Oromia</v>
      </c>
      <c r="L48" s="2">
        <v>0</v>
      </c>
      <c r="R48" t="str">
        <v>Oromia</v>
      </c>
      <c r="S48" s="2">
        <v>33.692</v>
      </c>
    </row>
    <row r="49" spans="1:19">
      <c r="A49" t="str">
        <v>Somali</v>
      </c>
      <c r="B49" s="2">
        <f t="shared" si="2"/>
        <v>0.22499999999999998</v>
      </c>
      <c r="F49" t="str">
        <v>Somali</v>
      </c>
      <c r="G49" s="2">
        <v>0.1</v>
      </c>
      <c r="K49" t="str">
        <v>Somali</v>
      </c>
      <c r="L49" s="2">
        <v>0</v>
      </c>
      <c r="R49" t="str">
        <v>Somali</v>
      </c>
      <c r="S49" s="2">
        <v>5.4530000000000003</v>
      </c>
    </row>
    <row r="50" spans="1:19">
      <c r="A50" t="str">
        <v>SNNPR</v>
      </c>
      <c r="B50" s="2">
        <f t="shared" si="2"/>
        <v>4.3499999999999996</v>
      </c>
      <c r="F50" t="str">
        <v>SNNPR</v>
      </c>
      <c r="G50" s="2">
        <v>0.1</v>
      </c>
      <c r="K50" t="str">
        <v>SNNPR</v>
      </c>
      <c r="L50" s="2">
        <v>0</v>
      </c>
      <c r="R50" t="str">
        <v>SNNPR</v>
      </c>
      <c r="S50" s="2">
        <v>18.276</v>
      </c>
    </row>
    <row r="51" spans="1:19">
      <c r="A51" t="str">
        <v>Tigray</v>
      </c>
      <c r="B51" s="2">
        <f t="shared" si="2"/>
        <v>0.315</v>
      </c>
      <c r="F51" t="str">
        <v>Tigray</v>
      </c>
      <c r="G51" s="2">
        <v>0.1</v>
      </c>
      <c r="K51" t="str">
        <v>Tigray</v>
      </c>
      <c r="L51" s="2">
        <v>0</v>
      </c>
      <c r="R51" t="str">
        <v>Tigray</v>
      </c>
      <c r="S51" s="2">
        <v>5.056</v>
      </c>
    </row>
    <row r="62" spans="1:19">
      <c r="B62">
        <v>0.57699999999999996</v>
      </c>
    </row>
    <row r="63" spans="1:19">
      <c r="B63">
        <v>20</v>
      </c>
    </row>
    <row r="64" spans="1:19">
      <c r="B64">
        <v>2.5350000000000001</v>
      </c>
    </row>
    <row r="65" spans="2:2">
      <c r="B65">
        <v>6.5</v>
      </c>
    </row>
    <row r="66" spans="2:2">
      <c r="B66">
        <v>0</v>
      </c>
    </row>
    <row r="67" spans="2:2">
      <c r="B67">
        <v>2.5960000000000001</v>
      </c>
    </row>
    <row r="68" spans="2:2">
      <c r="B68">
        <v>0</v>
      </c>
    </row>
    <row r="69" spans="2:2">
      <c r="B69">
        <v>2.9419999999999997</v>
      </c>
    </row>
    <row r="70" spans="2:2">
      <c r="B70">
        <v>0.3</v>
      </c>
    </row>
    <row r="71" spans="2:2">
      <c r="B71">
        <v>5.7999999999999989</v>
      </c>
    </row>
    <row r="72" spans="2:2">
      <c r="B72">
        <v>0.42</v>
      </c>
    </row>
  </sheetData>
  <pageMargins left="0.7" right="0.7" top="0.75" bottom="0.75" header="0.3" footer="0.3"/>
  <pageSetup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R53"/>
  <sheetViews>
    <sheetView topLeftCell="A10" zoomScale="85" zoomScaleNormal="85" workbookViewId="0">
      <selection activeCell="R36" sqref="R36"/>
    </sheetView>
  </sheetViews>
  <sheetFormatPr defaultRowHeight="15.75" outlineLevelRow="1"/>
  <cols>
    <col min="1" max="1" width="12.75" bestFit="1" customWidth="1"/>
    <col min="2" max="2" width="12" bestFit="1" customWidth="1"/>
    <col min="3" max="3" width="14.875" customWidth="1"/>
    <col min="4" max="4" width="10.75" bestFit="1" customWidth="1"/>
    <col min="6" max="7" width="11.5" bestFit="1" customWidth="1"/>
    <col min="8" max="8" width="10.25" bestFit="1" customWidth="1"/>
    <col min="9" max="9" width="11.75" bestFit="1" customWidth="1"/>
    <col min="11" max="11" width="11.75" bestFit="1" customWidth="1"/>
    <col min="15" max="15" width="13.375" bestFit="1" customWidth="1"/>
    <col min="19" max="19" width="11.5" bestFit="1" customWidth="1"/>
    <col min="20" max="20" width="10.625" bestFit="1" customWidth="1"/>
    <col min="23" max="23" width="12.125" bestFit="1" customWidth="1"/>
    <col min="28" max="28" width="10.25" bestFit="1" customWidth="1"/>
  </cols>
  <sheetData>
    <row r="1" spans="1:44">
      <c r="B1" t="s">
        <v>105</v>
      </c>
      <c r="C1" s="65">
        <v>0.5</v>
      </c>
    </row>
    <row r="2" spans="1:44">
      <c r="B2" t="s">
        <v>26</v>
      </c>
      <c r="C2" s="5" t="s">
        <v>17</v>
      </c>
      <c r="D2" t="str">
        <f t="array" aca="1" ref="D2:S2" ca="1">IFERROR(IF(TRANSPOSE(INDIRECT(B2))=0,"",TRANSPOSE(INDIRECT(B2))),"")</f>
        <v>Teff</v>
      </c>
      <c r="E2" t="str">
        <f ca="1"/>
        <v>Sorghum</v>
      </c>
      <c r="F2" t="str">
        <f ca="1"/>
        <v>Maize</v>
      </c>
      <c r="G2" t="str">
        <f ca="1"/>
        <v>Lentils</v>
      </c>
      <c r="H2" t="str">
        <f ca="1"/>
        <v>Vegetables</v>
      </c>
      <c r="I2" t="str">
        <f ca="1"/>
        <v>Coffee</v>
      </c>
      <c r="J2" t="str">
        <f ca="1"/>
        <v>Beef</v>
      </c>
      <c r="K2" t="str">
        <f ca="1"/>
        <v>Milk</v>
      </c>
      <c r="L2" t="str">
        <f ca="1"/>
        <v/>
      </c>
      <c r="M2" t="str">
        <f ca="1"/>
        <v/>
      </c>
      <c r="N2" t="str">
        <f ca="1"/>
        <v/>
      </c>
      <c r="O2" t="str">
        <f ca="1"/>
        <v/>
      </c>
      <c r="P2" t="str">
        <f ca="1"/>
        <v/>
      </c>
      <c r="Q2" t="str">
        <f ca="1"/>
        <v/>
      </c>
      <c r="R2" t="str">
        <f ca="1"/>
        <v/>
      </c>
      <c r="S2" t="str">
        <f ca="1"/>
        <v/>
      </c>
    </row>
    <row r="3" spans="1:44">
      <c r="B3" t="s">
        <v>4</v>
      </c>
      <c r="C3" s="5" t="s">
        <v>7</v>
      </c>
      <c r="D3" t="str">
        <f t="array" aca="1" ref="D3:S3" ca="1">IFERROR(IF(TRANSPOSE(INDIRECT(B3))=0,"",TRANSPOSE(INDIRECT(B3))),"")</f>
        <v>AddisAbaba</v>
      </c>
      <c r="E3" t="str">
        <f ca="1"/>
        <v>Afar</v>
      </c>
      <c r="F3" t="str">
        <f ca="1"/>
        <v>Amhara</v>
      </c>
      <c r="G3" t="str">
        <f ca="1"/>
        <v>Gumuz</v>
      </c>
      <c r="H3" t="str">
        <f ca="1"/>
        <v>DireDawa</v>
      </c>
      <c r="I3" t="str">
        <f ca="1"/>
        <v>Gambela</v>
      </c>
      <c r="J3" t="str">
        <f ca="1"/>
        <v>Harari</v>
      </c>
      <c r="K3" t="str">
        <f ca="1"/>
        <v>Oromia</v>
      </c>
      <c r="L3" t="str">
        <f ca="1"/>
        <v>Somali</v>
      </c>
      <c r="M3" t="str">
        <f ca="1"/>
        <v>SNNPR</v>
      </c>
      <c r="N3" t="str">
        <f ca="1"/>
        <v>Tigray</v>
      </c>
      <c r="O3" t="str">
        <f ca="1"/>
        <v/>
      </c>
      <c r="P3" t="str">
        <f ca="1"/>
        <v/>
      </c>
      <c r="Q3" t="str">
        <f ca="1"/>
        <v/>
      </c>
      <c r="R3" t="str">
        <f ca="1"/>
        <v/>
      </c>
      <c r="S3" t="str">
        <f ca="1"/>
        <v/>
      </c>
    </row>
    <row r="4" spans="1:44">
      <c r="B4" t="s">
        <v>1</v>
      </c>
      <c r="C4" s="5" t="s">
        <v>3</v>
      </c>
      <c r="D4" t="str">
        <f t="array" aca="1" ref="D4:S4" ca="1">IFERROR(IF(TRANSPOSE(INDIRECT(B4))=0,"",TRANSPOSE(INDIRECT(B4))),"")</f>
        <v>Kremt</v>
      </c>
      <c r="E4" t="str">
        <f ca="1"/>
        <v>Belg</v>
      </c>
      <c r="F4" t="str">
        <f ca="1"/>
        <v/>
      </c>
      <c r="G4" t="str">
        <f ca="1"/>
        <v/>
      </c>
      <c r="H4" t="str">
        <f ca="1"/>
        <v/>
      </c>
      <c r="I4" t="str">
        <f ca="1"/>
        <v/>
      </c>
      <c r="J4" t="str">
        <f ca="1"/>
        <v/>
      </c>
      <c r="K4" t="str">
        <f ca="1"/>
        <v/>
      </c>
      <c r="L4" t="str">
        <f ca="1"/>
        <v/>
      </c>
      <c r="M4" t="str">
        <f ca="1"/>
        <v/>
      </c>
      <c r="N4" t="str">
        <f ca="1"/>
        <v/>
      </c>
      <c r="O4" t="str">
        <f ca="1"/>
        <v/>
      </c>
      <c r="P4" t="str">
        <f ca="1"/>
        <v/>
      </c>
      <c r="Q4" t="str">
        <f ca="1"/>
        <v/>
      </c>
      <c r="R4" t="str">
        <f ca="1"/>
        <v/>
      </c>
      <c r="S4" t="str">
        <f ca="1"/>
        <v/>
      </c>
    </row>
    <row r="5" spans="1:44">
      <c r="B5" t="s">
        <v>0</v>
      </c>
      <c r="C5" s="5">
        <v>2019</v>
      </c>
      <c r="D5">
        <f t="array" aca="1" ref="D5:S5" ca="1">IFERROR(IF(TRANSPOSE(INDIRECT(B5))=0,"",TRANSPOSE(INDIRECT(B5))),"")</f>
        <v>2015</v>
      </c>
      <c r="E5">
        <f ca="1"/>
        <v>2016</v>
      </c>
      <c r="F5">
        <f ca="1"/>
        <v>2017</v>
      </c>
      <c r="G5">
        <f ca="1"/>
        <v>2018</v>
      </c>
      <c r="H5">
        <f ca="1"/>
        <v>2019</v>
      </c>
      <c r="I5">
        <f ca="1"/>
        <v>2020</v>
      </c>
      <c r="J5">
        <f ca="1"/>
        <v>2021</v>
      </c>
      <c r="K5">
        <f ca="1"/>
        <v>2022</v>
      </c>
      <c r="L5">
        <f ca="1"/>
        <v>2023</v>
      </c>
      <c r="M5">
        <f ca="1"/>
        <v>2024</v>
      </c>
      <c r="N5">
        <f ca="1"/>
        <v>2025</v>
      </c>
      <c r="O5">
        <f ca="1"/>
        <v>2026</v>
      </c>
      <c r="P5">
        <f ca="1"/>
        <v>2027</v>
      </c>
      <c r="Q5">
        <f ca="1"/>
        <v>2028</v>
      </c>
      <c r="R5">
        <f ca="1"/>
        <v>2029</v>
      </c>
      <c r="S5">
        <f ca="1"/>
        <v>2030</v>
      </c>
    </row>
    <row r="7" spans="1:44">
      <c r="B7" t="s">
        <v>100</v>
      </c>
      <c r="C7" s="56">
        <f>VLOOKUP($C$2,DemElas!$A$21:$B$28,2,0)</f>
        <v>-0.8</v>
      </c>
    </row>
    <row r="10" spans="1:44">
      <c r="A10" s="1" t="s">
        <v>104</v>
      </c>
    </row>
    <row r="11" spans="1:44" outlineLevel="1">
      <c r="A11" s="72" t="s">
        <v>96</v>
      </c>
      <c r="C11" s="33" t="s">
        <v>89</v>
      </c>
      <c r="D11" s="34" t="s">
        <v>3</v>
      </c>
      <c r="E11" s="35" t="s">
        <v>2</v>
      </c>
      <c r="F11" s="1"/>
      <c r="G11" s="11" t="s">
        <v>56</v>
      </c>
      <c r="H11" s="34" t="s">
        <v>3</v>
      </c>
      <c r="I11" s="35" t="s">
        <v>2</v>
      </c>
      <c r="J11" s="1"/>
      <c r="K11" s="11" t="s">
        <v>30</v>
      </c>
      <c r="L11" s="34" t="s">
        <v>3</v>
      </c>
      <c r="M11" s="35" t="s">
        <v>2</v>
      </c>
      <c r="N11" s="1"/>
      <c r="O11" s="52" t="s">
        <v>90</v>
      </c>
      <c r="P11" s="53" t="s">
        <v>3</v>
      </c>
      <c r="Q11" s="54" t="s">
        <v>2</v>
      </c>
      <c r="R11" s="1"/>
      <c r="S11" s="11" t="s">
        <v>92</v>
      </c>
      <c r="T11" s="34" t="s">
        <v>3</v>
      </c>
      <c r="U11" s="35" t="s">
        <v>2</v>
      </c>
      <c r="V11" s="1"/>
      <c r="W11" s="52" t="s">
        <v>93</v>
      </c>
      <c r="X11" s="53" t="s">
        <v>3</v>
      </c>
      <c r="Y11" s="54" t="s">
        <v>2</v>
      </c>
      <c r="Z11" s="1"/>
      <c r="AG11" s="1"/>
    </row>
    <row r="12" spans="1:44" outlineLevel="1">
      <c r="A12" s="73"/>
      <c r="C12" s="36" t="str">
        <f t="array" aca="1" ref="C12:C27" ca="1">IFERROR(IF((INDIRECT("Nodes"))=0,"",(INDIRECT("Nodes"))),"")</f>
        <v>AddisAbaba</v>
      </c>
      <c r="D12" s="37">
        <f ca="1">INDEX(Crop!$H$162:$M$172,MATCH($C12,Crop!$A$162:$A$172,0),MATCH($C$2,Crop!$H$161:$M$161,0))</f>
        <v>0</v>
      </c>
      <c r="E12" s="38">
        <f ca="1">INDEX(Crop!$B$162:$M$172,MATCH($C12,Crop!$A$162:$A$172,0),MATCH($C$2,Crop!$B$161:$M$161,0))</f>
        <v>0</v>
      </c>
      <c r="F12" s="31"/>
      <c r="G12" s="36" t="str">
        <f t="array" aca="1" ref="G12:G27" ca="1">IFERROR(IF((INDIRECT("Nodes"))=0,"",(INDIRECT("Nodes"))),"")</f>
        <v>AddisAbaba</v>
      </c>
      <c r="H12" s="42">
        <f ca="1">SUMIFS(OFFSET(aFAO!$C:$C,0,($C$5-$D$5)*2+MATCH(H$11,$D$4:$N$4,0)-1),aFAO!$A:$A,$C$2,aFAO!$B:$B,$G12)</f>
        <v>0</v>
      </c>
      <c r="I12" s="43">
        <f ca="1">SUMIFS(OFFSET(aFAO!$C:$C,0,($C$5-$D$5)*2+MATCH(I$11,$D$4:$N$4,0)-1),aFAO!$A:$A,$C$2,aFAO!$B:$B,$G12)</f>
        <v>0</v>
      </c>
      <c r="J12" s="31"/>
      <c r="K12" s="36" t="str">
        <f t="array" aca="1" ref="K12:K27" ca="1">IFERROR(IF((INDIRECT("Nodes"))=0,"",(INDIRECT("Nodes"))),"")</f>
        <v>AddisAbaba</v>
      </c>
      <c r="L12" s="42">
        <f ca="1">SUMIFS(OFFSET(CYF!$C:$C,0,($C$5-$D$5)*2+MATCH(L$11,$D$4:$N$4,0)-1),CYF!$A:$A,$C$2,CYF!$B:$B,$K12)</f>
        <v>0.2</v>
      </c>
      <c r="M12" s="43">
        <f ca="1">SUMIFS(OFFSET(CYF!$C:$C,0,($C$5-$D$5)*2+MATCH(M$11,$D$4:$N$4,0)-1),CYF!$A:$A,$C$2,CYF!$B:$B,$K12)</f>
        <v>0.18</v>
      </c>
      <c r="O12" s="50" t="str">
        <f t="array" aca="1" ref="O12:O27" ca="1">IFERROR(IF((INDIRECT("Nodes"))=0,"",(INDIRECT("Nodes"))),"")</f>
        <v>AddisAbaba</v>
      </c>
      <c r="P12" s="44">
        <f t="shared" ref="P12:P22" ca="1" si="0">D12*H12*L12</f>
        <v>0</v>
      </c>
      <c r="Q12" s="45">
        <f t="shared" ref="Q12:Q22" ca="1" si="1">E12*I12*M12</f>
        <v>0</v>
      </c>
      <c r="R12" s="31"/>
      <c r="S12" s="36" t="str">
        <f t="array" aca="1" ref="S12:S27" ca="1">IFERROR(IF((INDIRECT("Nodes"))=0,"",(INDIRECT("Nodes"))),"")</f>
        <v>AddisAbaba</v>
      </c>
      <c r="T12" s="42">
        <f ca="1">SUMIFS(OFFSET(Crop!$C:$C,0,($C$5-$D$5)*2+MATCH(T$11,$D$4:$N$4,0)-1),Crop!$A:$A,$C$2,Crop!$B:$B,$K12)</f>
        <v>9.4823676394654335</v>
      </c>
      <c r="U12" s="43">
        <f ca="1">SUMIFS(OFFSET(Crop!$C:$C,0,($C$5-$D$5)*2+MATCH(U$11,$D$4:$N$4,0)-1),Crop!$A:$A,$C$2,Crop!$B:$B,$K12)</f>
        <v>11.729205280251861</v>
      </c>
      <c r="V12" s="31"/>
      <c r="W12" s="50" t="str">
        <f t="array" aca="1" ref="W12:W27" ca="1">IFERROR(IF((INDIRECT("Nodes"))=0,"",(INDIRECT("Nodes"))),"")</f>
        <v>AddisAbaba</v>
      </c>
      <c r="X12" s="44">
        <f t="shared" ref="X12:X22" ca="1" si="2">D12*T12</f>
        <v>0</v>
      </c>
      <c r="Y12" s="45">
        <f t="shared" ref="Y12:Y22" ca="1" si="3">E12*U12</f>
        <v>0</v>
      </c>
    </row>
    <row r="13" spans="1:44" outlineLevel="1">
      <c r="A13" s="73"/>
      <c r="C13" s="36" t="str">
        <f ca="1"/>
        <v>Afar</v>
      </c>
      <c r="D13" s="37">
        <f ca="1">INDEX(Crop!$H$162:$M$172,MATCH($C13,Crop!$A$162:$A$172,0),MATCH($C$2,Crop!$H$161:$M$161,0))</f>
        <v>0</v>
      </c>
      <c r="E13" s="38">
        <f ca="1">INDEX(Crop!$B$162:$M$172,MATCH($C13,Crop!$A$162:$A$172,0),MATCH($C$2,Crop!$B$161:$M$161,0))</f>
        <v>1.1300000000000001</v>
      </c>
      <c r="F13" s="31"/>
      <c r="G13" s="36" t="str">
        <f ca="1"/>
        <v>Afar</v>
      </c>
      <c r="H13" s="42">
        <f ca="1">SUMIFS(OFFSET(aFAO!$C:$C,0,($C$5-$D$5)*2+MATCH(H$11,$D$4:$N$4,0)-1),aFAO!$A:$A,$C$2,aFAO!$B:$B,$G13)</f>
        <v>0</v>
      </c>
      <c r="I13" s="43">
        <f ca="1">SUMIFS(OFFSET(aFAO!$C:$C,0,($C$5-$D$5)*2+MATCH(I$11,$D$4:$N$4,0)-1),aFAO!$A:$A,$C$2,aFAO!$B:$B,$G13)</f>
        <v>2.5000000000000001E-2</v>
      </c>
      <c r="J13" s="31"/>
      <c r="K13" s="36" t="str">
        <f ca="1"/>
        <v>Afar</v>
      </c>
      <c r="L13" s="42">
        <f ca="1">SUMIFS(OFFSET(CYF!$C:$C,0,($C$5-$D$5)*2+MATCH(L$11,$D$4:$N$4,0)-1),CYF!$A:$A,$C$2,CYF!$B:$B,$K13)</f>
        <v>0.2</v>
      </c>
      <c r="M13" s="43">
        <f ca="1">SUMIFS(OFFSET(CYF!$C:$C,0,($C$5-$D$5)*2+MATCH(M$11,$D$4:$N$4,0)-1),CYF!$A:$A,$C$2,CYF!$B:$B,$K13)</f>
        <v>0.18</v>
      </c>
      <c r="O13" s="50" t="str">
        <f ca="1"/>
        <v>Afar</v>
      </c>
      <c r="P13" s="44">
        <f t="shared" ca="1" si="0"/>
        <v>0</v>
      </c>
      <c r="Q13" s="45">
        <f t="shared" ca="1" si="1"/>
        <v>5.085000000000001E-3</v>
      </c>
      <c r="R13" s="31"/>
      <c r="S13" s="36" t="str">
        <f ca="1"/>
        <v>Afar</v>
      </c>
      <c r="T13" s="42">
        <f ca="1">SUMIFS(OFFSET(Crop!$C:$C,0,($C$5-$D$5)*2+MATCH(T$11,$D$4:$N$4,0)-1),Crop!$A:$A,$C$2,Crop!$B:$B,$K13)</f>
        <v>9.6632700849909146</v>
      </c>
      <c r="U13" s="43">
        <f ca="1">SUMIFS(OFFSET(Crop!$C:$C,0,($C$5-$D$5)*2+MATCH(U$11,$D$4:$N$4,0)-1),Crop!$A:$A,$C$2,Crop!$B:$B,$K13)</f>
        <v>12.011498201009323</v>
      </c>
      <c r="V13" s="31"/>
      <c r="W13" s="50" t="str">
        <f ca="1"/>
        <v>Afar</v>
      </c>
      <c r="X13" s="44">
        <f t="shared" ca="1" si="2"/>
        <v>0</v>
      </c>
      <c r="Y13" s="45">
        <f t="shared" ca="1" si="3"/>
        <v>13.572992967140536</v>
      </c>
      <c r="AB13" s="58">
        <f ca="1">'Basic Feasibility'!$R$28</f>
        <v>315.27735970149251</v>
      </c>
      <c r="AC13" s="61">
        <v>2015</v>
      </c>
      <c r="AD13" s="61">
        <v>2016</v>
      </c>
      <c r="AE13" s="61">
        <v>2017</v>
      </c>
      <c r="AF13" s="61">
        <v>2018</v>
      </c>
      <c r="AG13" s="61">
        <v>2019</v>
      </c>
      <c r="AH13" s="61">
        <v>2020</v>
      </c>
      <c r="AI13" s="61">
        <v>2021</v>
      </c>
      <c r="AJ13" s="61">
        <v>2022</v>
      </c>
      <c r="AK13" s="61">
        <v>2023</v>
      </c>
      <c r="AL13" s="61">
        <v>2024</v>
      </c>
      <c r="AM13" s="61">
        <v>2025</v>
      </c>
      <c r="AN13" s="61">
        <v>2026</v>
      </c>
      <c r="AO13" s="61">
        <v>2027</v>
      </c>
      <c r="AP13" s="61">
        <v>2028</v>
      </c>
      <c r="AQ13" s="61">
        <v>2029</v>
      </c>
      <c r="AR13" s="62">
        <v>2030</v>
      </c>
    </row>
    <row r="14" spans="1:44" outlineLevel="1">
      <c r="A14" s="73"/>
      <c r="C14" s="36" t="str">
        <f ca="1"/>
        <v>Amhara</v>
      </c>
      <c r="D14" s="37">
        <f ca="1">INDEX(Crop!$H$162:$M$172,MATCH($C14,Crop!$A$162:$A$172,0),MATCH($C$2,Crop!$H$161:$M$161,0))</f>
        <v>688</v>
      </c>
      <c r="E14" s="38">
        <f ca="1">INDEX(Crop!$B$162:$M$172,MATCH($C14,Crop!$A$162:$A$172,0),MATCH($C$2,Crop!$B$161:$M$161,0))</f>
        <v>13</v>
      </c>
      <c r="F14" s="31"/>
      <c r="G14" s="36" t="str">
        <f ca="1"/>
        <v>Amhara</v>
      </c>
      <c r="H14" s="42">
        <f ca="1">SUMIFS(OFFSET(aFAO!$C:$C,0,($C$5-$D$5)*2+MATCH(H$11,$D$4:$N$4,0)-1),aFAO!$A:$A,$C$2,aFAO!$B:$B,$G14)</f>
        <v>1.1499999999999999</v>
      </c>
      <c r="I14" s="43">
        <f ca="1">SUMIFS(OFFSET(aFAO!$C:$C,0,($C$5-$D$5)*2+MATCH(I$11,$D$4:$N$4,0)-1),aFAO!$A:$A,$C$2,aFAO!$B:$B,$G14)</f>
        <v>0.64849999999999997</v>
      </c>
      <c r="J14" s="31"/>
      <c r="K14" s="36" t="str">
        <f ca="1"/>
        <v>Amhara</v>
      </c>
      <c r="L14" s="42">
        <f ca="1">SUMIFS(OFFSET(CYF!$C:$C,0,($C$5-$D$5)*2+MATCH(L$11,$D$4:$N$4,0)-1),CYF!$A:$A,$C$2,CYF!$B:$B,$K14)</f>
        <v>0.2</v>
      </c>
      <c r="M14" s="43">
        <f ca="1">SUMIFS(OFFSET(CYF!$C:$C,0,($C$5-$D$5)*2+MATCH(M$11,$D$4:$N$4,0)-1),CYF!$A:$A,$C$2,CYF!$B:$B,$K14)</f>
        <v>0.18</v>
      </c>
      <c r="O14" s="50" t="str">
        <f ca="1"/>
        <v>Amhara</v>
      </c>
      <c r="P14" s="44">
        <f t="shared" ca="1" si="0"/>
        <v>158.24</v>
      </c>
      <c r="Q14" s="45">
        <f t="shared" ca="1" si="1"/>
        <v>1.51749</v>
      </c>
      <c r="R14" s="31"/>
      <c r="S14" s="36" t="str">
        <f ca="1"/>
        <v>Amhara</v>
      </c>
      <c r="T14" s="42">
        <f ca="1">SUMIFS(OFFSET(Crop!$C:$C,0,($C$5-$D$5)*2+MATCH(T$11,$D$4:$N$4,0)-1),Crop!$A:$A,$C$2,Crop!$B:$B,$K14)</f>
        <v>9.4990792841971956</v>
      </c>
      <c r="U14" s="43">
        <f ca="1">SUMIFS(OFFSET(Crop!$C:$C,0,($C$5-$D$5)*2+MATCH(U$11,$D$4:$N$4,0)-1),Crop!$A:$A,$C$2,Crop!$B:$B,$K14)</f>
        <v>12.35250899088215</v>
      </c>
      <c r="V14" s="31"/>
      <c r="W14" s="50" t="str">
        <f ca="1"/>
        <v>Amhara</v>
      </c>
      <c r="X14" s="44">
        <f t="shared" ca="1" si="2"/>
        <v>6535.3665475276703</v>
      </c>
      <c r="Y14" s="45">
        <f t="shared" ca="1" si="3"/>
        <v>160.58261688146794</v>
      </c>
      <c r="AB14" s="59" t="s">
        <v>16</v>
      </c>
      <c r="AC14" s="79">
        <f t="dataTable" ref="AC14:AR19" dt2D="1" dtr="1" r1="C5" r2="C2" ca="1"/>
        <v>163.38972000000004</v>
      </c>
      <c r="AD14" s="75">
        <v>163.38972000000004</v>
      </c>
      <c r="AE14" s="75">
        <v>163.38972000000004</v>
      </c>
      <c r="AF14" s="75">
        <v>163.38972000000004</v>
      </c>
      <c r="AG14" s="75">
        <v>163.38972000000004</v>
      </c>
      <c r="AH14" s="75">
        <v>163.38972000000004</v>
      </c>
      <c r="AI14" s="75">
        <v>163.38972000000004</v>
      </c>
      <c r="AJ14" s="75">
        <v>163.38972000000004</v>
      </c>
      <c r="AK14" s="75">
        <v>163.38972000000004</v>
      </c>
      <c r="AL14" s="75">
        <v>163.38972000000004</v>
      </c>
      <c r="AM14" s="75">
        <v>163.38972000000004</v>
      </c>
      <c r="AN14" s="75">
        <v>163.38972000000004</v>
      </c>
      <c r="AO14" s="75">
        <v>163.38972000000004</v>
      </c>
      <c r="AP14" s="75">
        <v>163.38972000000004</v>
      </c>
      <c r="AQ14" s="75">
        <v>163.38972000000004</v>
      </c>
      <c r="AR14" s="76">
        <v>163.38972000000004</v>
      </c>
    </row>
    <row r="15" spans="1:44" outlineLevel="1">
      <c r="A15" s="73"/>
      <c r="C15" s="36" t="str">
        <f ca="1"/>
        <v>Gumuz</v>
      </c>
      <c r="D15" s="37">
        <f ca="1">INDEX(Crop!$H$162:$M$172,MATCH($C15,Crop!$A$162:$A$172,0),MATCH($C$2,Crop!$H$161:$M$161,0))</f>
        <v>73.199999999999989</v>
      </c>
      <c r="E15" s="38">
        <f ca="1">INDEX(Crop!$B$162:$M$172,MATCH($C15,Crop!$A$162:$A$172,0),MATCH($C$2,Crop!$B$161:$M$161,0))</f>
        <v>0.4</v>
      </c>
      <c r="F15" s="31"/>
      <c r="G15" s="36" t="str">
        <f ca="1"/>
        <v>Gumuz</v>
      </c>
      <c r="H15" s="42">
        <f ca="1">SUMIFS(OFFSET(aFAO!$C:$C,0,($C$5-$D$5)*2+MATCH(H$11,$D$4:$N$4,0)-1),aFAO!$A:$A,$C$2,aFAO!$B:$B,$G15)</f>
        <v>1.1000000000000001</v>
      </c>
      <c r="I15" s="43">
        <f ca="1">SUMIFS(OFFSET(aFAO!$C:$C,0,($C$5-$D$5)*2+MATCH(I$11,$D$4:$N$4,0)-1),aFAO!$A:$A,$C$2,aFAO!$B:$B,$G15)</f>
        <v>0.76349999999999996</v>
      </c>
      <c r="J15" s="31"/>
      <c r="K15" s="36" t="str">
        <f ca="1"/>
        <v>Gumuz</v>
      </c>
      <c r="L15" s="42">
        <f ca="1">SUMIFS(OFFSET(CYF!$C:$C,0,($C$5-$D$5)*2+MATCH(L$11,$D$4:$N$4,0)-1),CYF!$A:$A,$C$2,CYF!$B:$B,$K15)</f>
        <v>0.2</v>
      </c>
      <c r="M15" s="43">
        <f ca="1">SUMIFS(OFFSET(CYF!$C:$C,0,($C$5-$D$5)*2+MATCH(M$11,$D$4:$N$4,0)-1),CYF!$A:$A,$C$2,CYF!$B:$B,$K15)</f>
        <v>0.18</v>
      </c>
      <c r="O15" s="50" t="str">
        <f ca="1"/>
        <v>Gumuz</v>
      </c>
      <c r="P15" s="44">
        <f t="shared" ca="1" si="0"/>
        <v>16.103999999999999</v>
      </c>
      <c r="Q15" s="45">
        <f t="shared" ca="1" si="1"/>
        <v>5.4972E-2</v>
      </c>
      <c r="R15" s="31"/>
      <c r="S15" s="36" t="str">
        <f ca="1"/>
        <v>Gumuz</v>
      </c>
      <c r="T15" s="42">
        <f ca="1">SUMIFS(OFFSET(Crop!$C:$C,0,($C$5-$D$5)*2+MATCH(T$11,$D$4:$N$4,0)-1),Crop!$A:$A,$C$2,Crop!$B:$B,$K15)</f>
        <v>9.5158507493276812</v>
      </c>
      <c r="U15" s="43">
        <f ca="1">SUMIFS(OFFSET(Crop!$C:$C,0,($C$5-$D$5)*2+MATCH(U$11,$D$4:$N$4,0)-1),Crop!$A:$A,$C$2,Crop!$B:$B,$K15)</f>
        <v>12.463236218999498</v>
      </c>
      <c r="V15" s="31"/>
      <c r="W15" s="50" t="str">
        <f ca="1"/>
        <v>Gumuz</v>
      </c>
      <c r="X15" s="44">
        <f t="shared" ca="1" si="2"/>
        <v>696.56027485078619</v>
      </c>
      <c r="Y15" s="45">
        <f t="shared" ca="1" si="3"/>
        <v>4.9852944875997993</v>
      </c>
      <c r="AB15" s="59" t="s">
        <v>20</v>
      </c>
      <c r="AC15" s="79">
        <v>376.92666760869565</v>
      </c>
      <c r="AD15" s="75">
        <v>376.92666760869565</v>
      </c>
      <c r="AE15" s="75">
        <v>376.92666760869565</v>
      </c>
      <c r="AF15" s="75">
        <v>376.92666760869565</v>
      </c>
      <c r="AG15" s="75">
        <v>376.92666760869565</v>
      </c>
      <c r="AH15" s="75">
        <v>376.92666760869565</v>
      </c>
      <c r="AI15" s="75">
        <v>376.92666760869565</v>
      </c>
      <c r="AJ15" s="75">
        <v>376.92666760869565</v>
      </c>
      <c r="AK15" s="75">
        <v>376.92666760869565</v>
      </c>
      <c r="AL15" s="75">
        <v>376.92666760869565</v>
      </c>
      <c r="AM15" s="75">
        <v>376.92666760869565</v>
      </c>
      <c r="AN15" s="75">
        <v>376.92666760869565</v>
      </c>
      <c r="AO15" s="75">
        <v>376.92666760869565</v>
      </c>
      <c r="AP15" s="75">
        <v>376.92666760869565</v>
      </c>
      <c r="AQ15" s="75">
        <v>376.92666760869565</v>
      </c>
      <c r="AR15" s="76">
        <v>376.92666760869565</v>
      </c>
    </row>
    <row r="16" spans="1:44" outlineLevel="1">
      <c r="A16" s="73"/>
      <c r="C16" s="36" t="str">
        <f ca="1"/>
        <v>DireDawa</v>
      </c>
      <c r="D16" s="37">
        <f ca="1">INDEX(Crop!$H$162:$M$172,MATCH($C16,Crop!$A$162:$A$172,0),MATCH($C$2,Crop!$H$161:$M$161,0))</f>
        <v>0.3</v>
      </c>
      <c r="E16" s="38">
        <f ca="1">INDEX(Crop!$B$162:$M$172,MATCH($C16,Crop!$A$162:$A$172,0),MATCH($C$2,Crop!$B$161:$M$161,0))</f>
        <v>0.1</v>
      </c>
      <c r="F16" s="31"/>
      <c r="G16" s="36" t="str">
        <f ca="1"/>
        <v>DireDawa</v>
      </c>
      <c r="H16" s="42">
        <f ca="1">SUMIFS(OFFSET(aFAO!$C:$C,0,($C$5-$D$5)*2+MATCH(H$11,$D$4:$N$4,0)-1),aFAO!$A:$A,$C$2,aFAO!$B:$B,$G16)</f>
        <v>0.8</v>
      </c>
      <c r="I16" s="43">
        <f ca="1">SUMIFS(OFFSET(aFAO!$C:$C,0,($C$5-$D$5)*2+MATCH(I$11,$D$4:$N$4,0)-1),aFAO!$A:$A,$C$2,aFAO!$B:$B,$G16)</f>
        <v>0.71599999999999997</v>
      </c>
      <c r="J16" s="31"/>
      <c r="K16" s="36" t="str">
        <f ca="1"/>
        <v>DireDawa</v>
      </c>
      <c r="L16" s="42">
        <f ca="1">SUMIFS(OFFSET(CYF!$C:$C,0,($C$5-$D$5)*2+MATCH(L$11,$D$4:$N$4,0)-1),CYF!$A:$A,$C$2,CYF!$B:$B,$K16)</f>
        <v>0.2</v>
      </c>
      <c r="M16" s="43">
        <f ca="1">SUMIFS(OFFSET(CYF!$C:$C,0,($C$5-$D$5)*2+MATCH(M$11,$D$4:$N$4,0)-1),CYF!$A:$A,$C$2,CYF!$B:$B,$K16)</f>
        <v>0.18</v>
      </c>
      <c r="O16" s="50" t="str">
        <f ca="1"/>
        <v>DireDawa</v>
      </c>
      <c r="P16" s="44">
        <f t="shared" ca="1" si="0"/>
        <v>4.8000000000000001E-2</v>
      </c>
      <c r="Q16" s="45">
        <f t="shared" ca="1" si="1"/>
        <v>1.2887999999999998E-2</v>
      </c>
      <c r="R16" s="31"/>
      <c r="S16" s="36" t="str">
        <f ca="1"/>
        <v>DireDawa</v>
      </c>
      <c r="T16" s="42">
        <f ca="1">SUMIFS(OFFSET(Crop!$C:$C,0,($C$5-$D$5)*2+MATCH(T$11,$D$4:$N$4,0)-1),Crop!$A:$A,$C$2,Crop!$B:$B,$K16)</f>
        <v>11.496394010753693</v>
      </c>
      <c r="U16" s="43">
        <f ca="1">SUMIFS(OFFSET(Crop!$C:$C,0,($C$5-$D$5)*2+MATCH(U$11,$D$4:$N$4,0)-1),Crop!$A:$A,$C$2,Crop!$B:$B,$K16)</f>
        <v>11.795228919641414</v>
      </c>
      <c r="V16" s="31"/>
      <c r="W16" s="50" t="str">
        <f ca="1"/>
        <v>DireDawa</v>
      </c>
      <c r="X16" s="44">
        <f t="shared" ca="1" si="2"/>
        <v>3.4489182032261079</v>
      </c>
      <c r="Y16" s="45">
        <f t="shared" ca="1" si="3"/>
        <v>1.1795228919641414</v>
      </c>
      <c r="AB16" s="59" t="s">
        <v>17</v>
      </c>
      <c r="AC16" s="79">
        <v>315.27735970149251</v>
      </c>
      <c r="AD16" s="75">
        <v>315.27735970149251</v>
      </c>
      <c r="AE16" s="75">
        <v>315.27735970149251</v>
      </c>
      <c r="AF16" s="75">
        <v>315.27735970149251</v>
      </c>
      <c r="AG16" s="75">
        <v>315.27735970149251</v>
      </c>
      <c r="AH16" s="75">
        <v>315.27735970149251</v>
      </c>
      <c r="AI16" s="75">
        <v>315.27735970149251</v>
      </c>
      <c r="AJ16" s="75">
        <v>315.27735970149251</v>
      </c>
      <c r="AK16" s="75">
        <v>315.27735970149251</v>
      </c>
      <c r="AL16" s="75">
        <v>315.27735970149251</v>
      </c>
      <c r="AM16" s="75">
        <v>315.27735970149251</v>
      </c>
      <c r="AN16" s="75">
        <v>315.27735970149251</v>
      </c>
      <c r="AO16" s="75">
        <v>315.27735970149251</v>
      </c>
      <c r="AP16" s="75">
        <v>315.27735970149251</v>
      </c>
      <c r="AQ16" s="75">
        <v>315.27735970149251</v>
      </c>
      <c r="AR16" s="76">
        <v>315.27735970149251</v>
      </c>
    </row>
    <row r="17" spans="1:44" outlineLevel="1">
      <c r="A17" s="73"/>
      <c r="C17" s="36" t="str">
        <f ca="1"/>
        <v>Gambela</v>
      </c>
      <c r="D17" s="37">
        <f ca="1">INDEX(Crop!$H$162:$M$172,MATCH($C17,Crop!$A$162:$A$172,0),MATCH($C$2,Crop!$H$161:$M$161,0))</f>
        <v>6</v>
      </c>
      <c r="E17" s="38">
        <f ca="1">INDEX(Crop!$B$162:$M$172,MATCH($C17,Crop!$A$162:$A$172,0),MATCH($C$2,Crop!$B$161:$M$161,0))</f>
        <v>0</v>
      </c>
      <c r="F17" s="31"/>
      <c r="G17" s="36" t="str">
        <f ca="1"/>
        <v>Gambela</v>
      </c>
      <c r="H17" s="42">
        <f ca="1">SUMIFS(OFFSET(aFAO!$C:$C,0,($C$5-$D$5)*2+MATCH(H$11,$D$4:$N$4,0)-1),aFAO!$A:$A,$C$2,aFAO!$B:$B,$G17)</f>
        <v>0.85</v>
      </c>
      <c r="I17" s="43">
        <f ca="1">SUMIFS(OFFSET(aFAO!$C:$C,0,($C$5-$D$5)*2+MATCH(I$11,$D$4:$N$4,0)-1),aFAO!$A:$A,$C$2,aFAO!$B:$B,$G17)</f>
        <v>0</v>
      </c>
      <c r="J17" s="31"/>
      <c r="K17" s="36" t="str">
        <f ca="1"/>
        <v>Gambela</v>
      </c>
      <c r="L17" s="42">
        <f ca="1">SUMIFS(OFFSET(CYF!$C:$C,0,($C$5-$D$5)*2+MATCH(L$11,$D$4:$N$4,0)-1),CYF!$A:$A,$C$2,CYF!$B:$B,$K17)</f>
        <v>0.2</v>
      </c>
      <c r="M17" s="43">
        <f ca="1">SUMIFS(OFFSET(CYF!$C:$C,0,($C$5-$D$5)*2+MATCH(M$11,$D$4:$N$4,0)-1),CYF!$A:$A,$C$2,CYF!$B:$B,$K17)</f>
        <v>0.18</v>
      </c>
      <c r="O17" s="50" t="str">
        <f ca="1"/>
        <v>Gambela</v>
      </c>
      <c r="P17" s="44">
        <f t="shared" ca="1" si="0"/>
        <v>1.02</v>
      </c>
      <c r="Q17" s="45">
        <f t="shared" ca="1" si="1"/>
        <v>0</v>
      </c>
      <c r="R17" s="31"/>
      <c r="S17" s="36" t="str">
        <f ca="1"/>
        <v>Gambela</v>
      </c>
      <c r="T17" s="42">
        <f ca="1">SUMIFS(OFFSET(Crop!$C:$C,0,($C$5-$D$5)*2+MATCH(T$11,$D$4:$N$4,0)-1),Crop!$A:$A,$C$2,Crop!$B:$B,$K17)</f>
        <v>11.444458250637998</v>
      </c>
      <c r="U17" s="43">
        <f ca="1">SUMIFS(OFFSET(Crop!$C:$C,0,($C$5-$D$5)*2+MATCH(U$11,$D$4:$N$4,0)-1),Crop!$A:$A,$C$2,Crop!$B:$B,$K17)</f>
        <v>11.232499964969191</v>
      </c>
      <c r="V17" s="31"/>
      <c r="W17" s="50" t="str">
        <f ca="1"/>
        <v>Gambela</v>
      </c>
      <c r="X17" s="44">
        <f t="shared" ca="1" si="2"/>
        <v>68.666749503827987</v>
      </c>
      <c r="Y17" s="45">
        <f t="shared" ca="1" si="3"/>
        <v>0</v>
      </c>
      <c r="AB17" s="59" t="s">
        <v>24</v>
      </c>
      <c r="AC17" s="79">
        <v>122.34827999999999</v>
      </c>
      <c r="AD17" s="75">
        <v>122.34827999999999</v>
      </c>
      <c r="AE17" s="75">
        <v>122.34827999999999</v>
      </c>
      <c r="AF17" s="75">
        <v>122.34827999999999</v>
      </c>
      <c r="AG17" s="75">
        <v>122.34827999999999</v>
      </c>
      <c r="AH17" s="75">
        <v>122.34827999999999</v>
      </c>
      <c r="AI17" s="75">
        <v>122.34827999999999</v>
      </c>
      <c r="AJ17" s="75">
        <v>122.34827999999999</v>
      </c>
      <c r="AK17" s="75">
        <v>122.34827999999999</v>
      </c>
      <c r="AL17" s="75">
        <v>122.34827999999999</v>
      </c>
      <c r="AM17" s="75">
        <v>122.34827999999999</v>
      </c>
      <c r="AN17" s="75">
        <v>122.34827999999999</v>
      </c>
      <c r="AO17" s="75">
        <v>122.34827999999999</v>
      </c>
      <c r="AP17" s="75">
        <v>122.34827999999999</v>
      </c>
      <c r="AQ17" s="75">
        <v>122.34827999999999</v>
      </c>
      <c r="AR17" s="76">
        <v>122.34827999999999</v>
      </c>
    </row>
    <row r="18" spans="1:44" outlineLevel="1">
      <c r="A18" s="73"/>
      <c r="C18" s="36" t="str">
        <f ca="1"/>
        <v>Harari</v>
      </c>
      <c r="D18" s="37">
        <f ca="1">INDEX(Crop!$H$162:$M$172,MATCH($C18,Crop!$A$162:$A$172,0),MATCH($C$2,Crop!$H$161:$M$161,0))</f>
        <v>0.1</v>
      </c>
      <c r="E18" s="38">
        <f ca="1">INDEX(Crop!$B$162:$M$172,MATCH($C18,Crop!$A$162:$A$172,0),MATCH($C$2,Crop!$B$161:$M$161,0))</f>
        <v>0</v>
      </c>
      <c r="F18" s="31"/>
      <c r="G18" s="36" t="str">
        <f ca="1"/>
        <v>Harari</v>
      </c>
      <c r="H18" s="42">
        <f ca="1">SUMIFS(OFFSET(aFAO!$C:$C,0,($C$5-$D$5)*2+MATCH(H$11,$D$4:$N$4,0)-1),aFAO!$A:$A,$C$2,aFAO!$B:$B,$G18)</f>
        <v>1</v>
      </c>
      <c r="I18" s="43">
        <f ca="1">SUMIFS(OFFSET(aFAO!$C:$C,0,($C$5-$D$5)*2+MATCH(I$11,$D$4:$N$4,0)-1),aFAO!$A:$A,$C$2,aFAO!$B:$B,$G18)</f>
        <v>2.5000000000000001E-2</v>
      </c>
      <c r="J18" s="31"/>
      <c r="K18" s="36" t="str">
        <f ca="1"/>
        <v>Harari</v>
      </c>
      <c r="L18" s="42">
        <f ca="1">SUMIFS(OFFSET(CYF!$C:$C,0,($C$5-$D$5)*2+MATCH(L$11,$D$4:$N$4,0)-1),CYF!$A:$A,$C$2,CYF!$B:$B,$K18)</f>
        <v>0.2</v>
      </c>
      <c r="M18" s="43">
        <f ca="1">SUMIFS(OFFSET(CYF!$C:$C,0,($C$5-$D$5)*2+MATCH(M$11,$D$4:$N$4,0)-1),CYF!$A:$A,$C$2,CYF!$B:$B,$K18)</f>
        <v>0.18</v>
      </c>
      <c r="O18" s="50" t="str">
        <f ca="1"/>
        <v>Harari</v>
      </c>
      <c r="P18" s="44">
        <f t="shared" ca="1" si="0"/>
        <v>2.0000000000000004E-2</v>
      </c>
      <c r="Q18" s="45">
        <f t="shared" ca="1" si="1"/>
        <v>0</v>
      </c>
      <c r="R18" s="31"/>
      <c r="S18" s="36" t="str">
        <f ca="1"/>
        <v>Harari</v>
      </c>
      <c r="T18" s="42">
        <f ca="1">SUMIFS(OFFSET(Crop!$C:$C,0,($C$5-$D$5)*2+MATCH(T$11,$D$4:$N$4,0)-1),Crop!$A:$A,$C$2,Crop!$B:$B,$K18)</f>
        <v>11.28647234589841</v>
      </c>
      <c r="U18" s="43">
        <f ca="1">SUMIFS(OFFSET(Crop!$C:$C,0,($C$5-$D$5)*2+MATCH(U$11,$D$4:$N$4,0)-1),Crop!$A:$A,$C$2,Crop!$B:$B,$K18)</f>
        <v>12.011753318698069</v>
      </c>
      <c r="V18" s="31"/>
      <c r="W18" s="50" t="str">
        <f ca="1"/>
        <v>Harari</v>
      </c>
      <c r="X18" s="44">
        <f t="shared" ca="1" si="2"/>
        <v>1.1286472345898411</v>
      </c>
      <c r="Y18" s="45">
        <f t="shared" ca="1" si="3"/>
        <v>0</v>
      </c>
      <c r="AB18" s="59" t="s">
        <v>21</v>
      </c>
      <c r="AC18" s="79">
        <v>167.2295</v>
      </c>
      <c r="AD18" s="75">
        <v>167.2295</v>
      </c>
      <c r="AE18" s="75">
        <v>167.2295</v>
      </c>
      <c r="AF18" s="75">
        <v>167.2295</v>
      </c>
      <c r="AG18" s="75">
        <v>167.2295</v>
      </c>
      <c r="AH18" s="75">
        <v>167.2295</v>
      </c>
      <c r="AI18" s="75">
        <v>167.2295</v>
      </c>
      <c r="AJ18" s="75">
        <v>167.2295</v>
      </c>
      <c r="AK18" s="75">
        <v>167.2295</v>
      </c>
      <c r="AL18" s="75">
        <v>167.2295</v>
      </c>
      <c r="AM18" s="75">
        <v>167.2295</v>
      </c>
      <c r="AN18" s="75">
        <v>167.2295</v>
      </c>
      <c r="AO18" s="75">
        <v>167.2295</v>
      </c>
      <c r="AP18" s="75">
        <v>167.2295</v>
      </c>
      <c r="AQ18" s="75">
        <v>167.2295</v>
      </c>
      <c r="AR18" s="76">
        <v>167.2295</v>
      </c>
    </row>
    <row r="19" spans="1:44" outlineLevel="1">
      <c r="A19" s="73"/>
      <c r="C19" s="36" t="str">
        <f ca="1"/>
        <v>Oromia</v>
      </c>
      <c r="D19" s="37">
        <f ca="1">INDEX(Crop!$H$162:$M$172,MATCH($C19,Crop!$A$162:$A$172,0),MATCH($C$2,Crop!$H$161:$M$161,0))</f>
        <v>6</v>
      </c>
      <c r="E19" s="38">
        <f ca="1">INDEX(Crop!$B$162:$M$172,MATCH($C19,Crop!$A$162:$A$172,0),MATCH($C$2,Crop!$B$161:$M$161,0))</f>
        <v>185</v>
      </c>
      <c r="F19" s="31"/>
      <c r="G19" s="36" t="str">
        <f ca="1"/>
        <v>Oromia</v>
      </c>
      <c r="H19" s="42">
        <f ca="1">SUMIFS(OFFSET(aFAO!$C:$C,0,($C$5-$D$5)*2+MATCH(H$11,$D$4:$N$4,0)-1),aFAO!$A:$A,$C$2,aFAO!$B:$B,$G19)</f>
        <v>1.25</v>
      </c>
      <c r="I19" s="43">
        <f ca="1">SUMIFS(OFFSET(aFAO!$C:$C,0,($C$5-$D$5)*2+MATCH(I$11,$D$4:$N$4,0)-1),aFAO!$A:$A,$C$2,aFAO!$B:$B,$G19)</f>
        <v>0.77636815920397995</v>
      </c>
      <c r="J19" s="31"/>
      <c r="K19" s="36" t="str">
        <f ca="1"/>
        <v>Oromia</v>
      </c>
      <c r="L19" s="42">
        <f ca="1">SUMIFS(OFFSET(CYF!$C:$C,0,($C$5-$D$5)*2+MATCH(L$11,$D$4:$N$4,0)-1),CYF!$A:$A,$C$2,CYF!$B:$B,$K19)</f>
        <v>0.2</v>
      </c>
      <c r="M19" s="43">
        <f ca="1">SUMIFS(OFFSET(CYF!$C:$C,0,($C$5-$D$5)*2+MATCH(M$11,$D$4:$N$4,0)-1),CYF!$A:$A,$C$2,CYF!$B:$B,$K19)</f>
        <v>0.18</v>
      </c>
      <c r="O19" s="50" t="str">
        <f ca="1"/>
        <v>Oromia</v>
      </c>
      <c r="P19" s="44">
        <f t="shared" ca="1" si="0"/>
        <v>1.5</v>
      </c>
      <c r="Q19" s="45">
        <f t="shared" ca="1" si="1"/>
        <v>25.85305970149253</v>
      </c>
      <c r="R19" s="31"/>
      <c r="S19" s="36" t="str">
        <f ca="1"/>
        <v>Oromia</v>
      </c>
      <c r="T19" s="42">
        <f ca="1">SUMIFS(OFFSET(Crop!$C:$C,0,($C$5-$D$5)*2+MATCH(T$11,$D$4:$N$4,0)-1),Crop!$A:$A,$C$2,Crop!$B:$B,$K19)</f>
        <v>10.667887822134274</v>
      </c>
      <c r="U19" s="43">
        <f ca="1">SUMIFS(OFFSET(Crop!$C:$C,0,($C$5-$D$5)*2+MATCH(U$11,$D$4:$N$4,0)-1),Crop!$A:$A,$C$2,Crop!$B:$B,$K19)</f>
        <v>11.541984375816543</v>
      </c>
      <c r="V19" s="31"/>
      <c r="W19" s="50" t="str">
        <f ca="1"/>
        <v>Oromia</v>
      </c>
      <c r="X19" s="44">
        <f t="shared" ca="1" si="2"/>
        <v>64.00732693280564</v>
      </c>
      <c r="Y19" s="45">
        <f t="shared" ca="1" si="3"/>
        <v>2135.2671095260607</v>
      </c>
      <c r="AB19" s="60" t="s">
        <v>18</v>
      </c>
      <c r="AC19" s="80">
        <v>48.039585000000002</v>
      </c>
      <c r="AD19" s="77">
        <v>48.039585000000002</v>
      </c>
      <c r="AE19" s="77">
        <v>48.039585000000002</v>
      </c>
      <c r="AF19" s="77">
        <v>48.039585000000002</v>
      </c>
      <c r="AG19" s="77">
        <v>48.039585000000002</v>
      </c>
      <c r="AH19" s="77">
        <v>48.039585000000002</v>
      </c>
      <c r="AI19" s="77">
        <v>48.039585000000002</v>
      </c>
      <c r="AJ19" s="77">
        <v>48.039585000000002</v>
      </c>
      <c r="AK19" s="77">
        <v>48.039585000000002</v>
      </c>
      <c r="AL19" s="77">
        <v>48.039585000000002</v>
      </c>
      <c r="AM19" s="77">
        <v>48.039585000000002</v>
      </c>
      <c r="AN19" s="77">
        <v>48.039585000000002</v>
      </c>
      <c r="AO19" s="77">
        <v>48.039585000000002</v>
      </c>
      <c r="AP19" s="77">
        <v>48.039585000000002</v>
      </c>
      <c r="AQ19" s="77">
        <v>48.039585000000002</v>
      </c>
      <c r="AR19" s="78">
        <v>48.039585000000002</v>
      </c>
    </row>
    <row r="20" spans="1:44" outlineLevel="1">
      <c r="A20" s="73"/>
      <c r="C20" s="36" t="str">
        <f ca="1"/>
        <v>Somali</v>
      </c>
      <c r="D20" s="37">
        <f ca="1">INDEX(Crop!$H$162:$M$172,MATCH($C20,Crop!$A$162:$A$172,0),MATCH($C$2,Crop!$H$161:$M$161,0))</f>
        <v>28</v>
      </c>
      <c r="E20" s="38">
        <f ca="1">INDEX(Crop!$B$162:$M$172,MATCH($C20,Crop!$A$162:$A$172,0),MATCH($C$2,Crop!$B$161:$M$161,0))</f>
        <v>19.5</v>
      </c>
      <c r="F20" s="31"/>
      <c r="G20" s="36" t="str">
        <f ca="1"/>
        <v>Somali</v>
      </c>
      <c r="H20" s="42">
        <f ca="1">SUMIFS(OFFSET(aFAO!$C:$C,0,($C$5-$D$5)*2+MATCH(H$11,$D$4:$N$4,0)-1),aFAO!$A:$A,$C$2,aFAO!$B:$B,$G20)</f>
        <v>0.9</v>
      </c>
      <c r="I20" s="43">
        <f ca="1">SUMIFS(OFFSET(aFAO!$C:$C,0,($C$5-$D$5)*2+MATCH(I$11,$D$4:$N$4,0)-1),aFAO!$A:$A,$C$2,aFAO!$B:$B,$G20)</f>
        <v>0.3115</v>
      </c>
      <c r="J20" s="31"/>
      <c r="K20" s="36" t="str">
        <f ca="1"/>
        <v>Somali</v>
      </c>
      <c r="L20" s="42">
        <f ca="1">SUMIFS(OFFSET(CYF!$C:$C,0,($C$5-$D$5)*2+MATCH(L$11,$D$4:$N$4,0)-1),CYF!$A:$A,$C$2,CYF!$B:$B,$K20)</f>
        <v>0.2</v>
      </c>
      <c r="M20" s="43">
        <f ca="1">SUMIFS(OFFSET(CYF!$C:$C,0,($C$5-$D$5)*2+MATCH(M$11,$D$4:$N$4,0)-1),CYF!$A:$A,$C$2,CYF!$B:$B,$K20)</f>
        <v>0.18</v>
      </c>
      <c r="O20" s="50" t="str">
        <f ca="1"/>
        <v>Somali</v>
      </c>
      <c r="P20" s="44">
        <f t="shared" ca="1" si="0"/>
        <v>5.04</v>
      </c>
      <c r="Q20" s="45">
        <f t="shared" ca="1" si="1"/>
        <v>1.0933649999999999</v>
      </c>
      <c r="R20" s="31"/>
      <c r="S20" s="36" t="str">
        <f ca="1"/>
        <v>Somali</v>
      </c>
      <c r="T20" s="42">
        <f ca="1">SUMIFS(OFFSET(Crop!$C:$C,0,($C$5-$D$5)*2+MATCH(T$11,$D$4:$N$4,0)-1),Crop!$A:$A,$C$2,Crop!$B:$B,$K20)</f>
        <v>10.121742773518056</v>
      </c>
      <c r="U20" s="43">
        <f ca="1">SUMIFS(OFFSET(Crop!$C:$C,0,($C$5-$D$5)*2+MATCH(U$11,$D$4:$N$4,0)-1),Crop!$A:$A,$C$2,Crop!$B:$B,$K20)</f>
        <v>12.279776122714788</v>
      </c>
      <c r="V20" s="31"/>
      <c r="W20" s="50" t="str">
        <f ca="1"/>
        <v>Somali</v>
      </c>
      <c r="X20" s="44">
        <f t="shared" ca="1" si="2"/>
        <v>283.40879765850559</v>
      </c>
      <c r="Y20" s="45">
        <f t="shared" ca="1" si="3"/>
        <v>239.45563439293835</v>
      </c>
    </row>
    <row r="21" spans="1:44" outlineLevel="1">
      <c r="A21" s="73"/>
      <c r="C21" s="36" t="str">
        <f ca="1"/>
        <v>SNNPR</v>
      </c>
      <c r="D21" s="37">
        <f ca="1">INDEX(Crop!$H$162:$M$172,MATCH($C21,Crop!$A$162:$A$172,0),MATCH($C$2,Crop!$H$161:$M$161,0))</f>
        <v>241.10000000000002</v>
      </c>
      <c r="E21" s="38">
        <f ca="1">INDEX(Crop!$B$162:$M$172,MATCH($C21,Crop!$A$162:$A$172,0),MATCH($C$2,Crop!$B$161:$M$161,0))</f>
        <v>203</v>
      </c>
      <c r="F21" s="31"/>
      <c r="G21" s="36" t="str">
        <f ca="1"/>
        <v>SNNPR</v>
      </c>
      <c r="H21" s="42">
        <f ca="1">SUMIFS(OFFSET(aFAO!$C:$C,0,($C$5-$D$5)*2+MATCH(H$11,$D$4:$N$4,0)-1),aFAO!$A:$A,$C$2,aFAO!$B:$B,$G21)</f>
        <v>1.1499999999999999</v>
      </c>
      <c r="I21" s="43">
        <f ca="1">SUMIFS(OFFSET(aFAO!$C:$C,0,($C$5-$D$5)*2+MATCH(I$11,$D$4:$N$4,0)-1),aFAO!$A:$A,$C$2,aFAO!$B:$B,$G21)</f>
        <v>0.60599999999999998</v>
      </c>
      <c r="J21" s="31"/>
      <c r="K21" s="36" t="str">
        <f ca="1"/>
        <v>SNNPR</v>
      </c>
      <c r="L21" s="42">
        <f ca="1">SUMIFS(OFFSET(CYF!$C:$C,0,($C$5-$D$5)*2+MATCH(L$11,$D$4:$N$4,0)-1),CYF!$A:$A,$C$2,CYF!$B:$B,$K21)</f>
        <v>0.2</v>
      </c>
      <c r="M21" s="43">
        <f ca="1">SUMIFS(OFFSET(CYF!$C:$C,0,($C$5-$D$5)*2+MATCH(M$11,$D$4:$N$4,0)-1),CYF!$A:$A,$C$2,CYF!$B:$B,$K21)</f>
        <v>0.18</v>
      </c>
      <c r="O21" s="50" t="str">
        <f ca="1"/>
        <v>SNNPR</v>
      </c>
      <c r="P21" s="44">
        <f t="shared" ca="1" si="0"/>
        <v>55.453000000000003</v>
      </c>
      <c r="Q21" s="45">
        <f t="shared" ca="1" si="1"/>
        <v>22.143239999999999</v>
      </c>
      <c r="R21" s="31"/>
      <c r="S21" s="36" t="str">
        <f ca="1"/>
        <v>SNNPR</v>
      </c>
      <c r="T21" s="42">
        <f ca="1">SUMIFS(OFFSET(Crop!$C:$C,0,($C$5-$D$5)*2+MATCH(T$11,$D$4:$N$4,0)-1),Crop!$A:$A,$C$2,Crop!$B:$B,$K21)</f>
        <v>10.293277128691976</v>
      </c>
      <c r="U21" s="43">
        <f ca="1">SUMIFS(OFFSET(Crop!$C:$C,0,($C$5-$D$5)*2+MATCH(U$11,$D$4:$N$4,0)-1),Crop!$A:$A,$C$2,Crop!$B:$B,$K21)</f>
        <v>12.3841300116847</v>
      </c>
      <c r="V21" s="31"/>
      <c r="W21" s="50" t="str">
        <f ca="1"/>
        <v>SNNPR</v>
      </c>
      <c r="X21" s="44">
        <f t="shared" ca="1" si="2"/>
        <v>2481.7091157276354</v>
      </c>
      <c r="Y21" s="45">
        <f t="shared" ca="1" si="3"/>
        <v>2513.9783923719942</v>
      </c>
    </row>
    <row r="22" spans="1:44" outlineLevel="1">
      <c r="A22" s="73"/>
      <c r="C22" s="36" t="str">
        <f ca="1"/>
        <v>Tigray</v>
      </c>
      <c r="D22" s="37">
        <f ca="1">INDEX(Crop!$H$162:$M$172,MATCH($C22,Crop!$A$162:$A$172,0),MATCH($C$2,Crop!$H$161:$M$161,0))</f>
        <v>135</v>
      </c>
      <c r="E22" s="38">
        <f ca="1">INDEX(Crop!$B$162:$M$172,MATCH($C22,Crop!$A$162:$A$172,0),MATCH($C$2,Crop!$B$161:$M$161,0))</f>
        <v>2</v>
      </c>
      <c r="F22" s="31"/>
      <c r="G22" s="36" t="str">
        <f ca="1"/>
        <v>Tigray</v>
      </c>
      <c r="H22" s="42">
        <f ca="1">SUMIFS(OFFSET(aFAO!$C:$C,0,($C$5-$D$5)*2+MATCH(H$11,$D$4:$N$4,0)-1),aFAO!$A:$A,$C$2,aFAO!$B:$B,$G22)</f>
        <v>1</v>
      </c>
      <c r="I22" s="43">
        <f ca="1">SUMIFS(OFFSET(aFAO!$C:$C,0,($C$5-$D$5)*2+MATCH(I$11,$D$4:$N$4,0)-1),aFAO!$A:$A,$C$2,aFAO!$B:$B,$G22)</f>
        <v>0.47850000000000004</v>
      </c>
      <c r="J22" s="31"/>
      <c r="K22" s="36" t="str">
        <f ca="1"/>
        <v>Tigray</v>
      </c>
      <c r="L22" s="42">
        <f ca="1">SUMIFS(OFFSET(CYF!$C:$C,0,($C$5-$D$5)*2+MATCH(L$11,$D$4:$N$4,0)-1),CYF!$A:$A,$C$2,CYF!$B:$B,$K22)</f>
        <v>0.2</v>
      </c>
      <c r="M22" s="43">
        <f ca="1">SUMIFS(OFFSET(CYF!$C:$C,0,($C$5-$D$5)*2+MATCH(M$11,$D$4:$N$4,0)-1),CYF!$A:$A,$C$2,CYF!$B:$B,$K22)</f>
        <v>0.18</v>
      </c>
      <c r="O22" s="50" t="str">
        <f ca="1"/>
        <v>Tigray</v>
      </c>
      <c r="P22" s="44">
        <f t="shared" ca="1" si="0"/>
        <v>27</v>
      </c>
      <c r="Q22" s="45">
        <f t="shared" ca="1" si="1"/>
        <v>0.17226</v>
      </c>
      <c r="R22" s="31"/>
      <c r="S22" s="36" t="str">
        <f ca="1"/>
        <v>Tigray</v>
      </c>
      <c r="T22" s="42">
        <f ca="1">SUMIFS(OFFSET(Crop!$C:$C,0,($C$5-$D$5)*2+MATCH(T$11,$D$4:$N$4,0)-1),Crop!$A:$A,$C$2,Crop!$B:$B,$K22)</f>
        <v>10.156810593788704</v>
      </c>
      <c r="U22" s="43">
        <f ca="1">SUMIFS(OFFSET(Crop!$C:$C,0,($C$5-$D$5)*2+MATCH(U$11,$D$4:$N$4,0)-1),Crop!$A:$A,$C$2,Crop!$B:$B,$K22)</f>
        <v>12.034443187729797</v>
      </c>
      <c r="V22" s="31"/>
      <c r="W22" s="50" t="str">
        <f ca="1"/>
        <v>Tigray</v>
      </c>
      <c r="X22" s="44">
        <f t="shared" ca="1" si="2"/>
        <v>1371.169430161475</v>
      </c>
      <c r="Y22" s="45">
        <f t="shared" ca="1" si="3"/>
        <v>24.068886375459595</v>
      </c>
    </row>
    <row r="23" spans="1:44" outlineLevel="1">
      <c r="A23" s="73"/>
      <c r="C23" s="36" t="str">
        <f ca="1"/>
        <v/>
      </c>
      <c r="D23" s="39"/>
      <c r="E23" s="13"/>
      <c r="G23" s="36" t="str">
        <f ca="1"/>
        <v/>
      </c>
      <c r="H23" s="39"/>
      <c r="I23" s="13"/>
      <c r="K23" s="36" t="str">
        <f ca="1"/>
        <v/>
      </c>
      <c r="L23" s="39"/>
      <c r="M23" s="13"/>
      <c r="O23" s="50" t="str">
        <f ca="1"/>
        <v/>
      </c>
      <c r="P23" s="46"/>
      <c r="Q23" s="47"/>
      <c r="S23" s="36" t="str">
        <f ca="1"/>
        <v/>
      </c>
      <c r="T23" s="39"/>
      <c r="U23" s="13"/>
      <c r="W23" s="50" t="str">
        <f ca="1"/>
        <v/>
      </c>
      <c r="X23" s="46"/>
      <c r="Y23" s="47"/>
    </row>
    <row r="24" spans="1:44" outlineLevel="1">
      <c r="A24" s="73"/>
      <c r="C24" s="36" t="str">
        <f ca="1"/>
        <v/>
      </c>
      <c r="D24" s="39"/>
      <c r="E24" s="13"/>
      <c r="G24" s="36" t="str">
        <f ca="1"/>
        <v/>
      </c>
      <c r="H24" s="39"/>
      <c r="I24" s="13"/>
      <c r="K24" s="36" t="str">
        <f ca="1"/>
        <v/>
      </c>
      <c r="L24" s="39"/>
      <c r="M24" s="13"/>
      <c r="O24" s="50" t="str">
        <f ca="1"/>
        <v/>
      </c>
      <c r="P24" s="46"/>
      <c r="Q24" s="47"/>
      <c r="S24" s="36" t="str">
        <f ca="1"/>
        <v/>
      </c>
      <c r="T24" s="39"/>
      <c r="U24" s="13"/>
      <c r="W24" s="50" t="str">
        <f ca="1"/>
        <v/>
      </c>
      <c r="X24" s="46"/>
      <c r="Y24" s="47"/>
    </row>
    <row r="25" spans="1:44" outlineLevel="1">
      <c r="A25" s="73"/>
      <c r="C25" s="36" t="str">
        <f ca="1"/>
        <v/>
      </c>
      <c r="D25" s="39"/>
      <c r="E25" s="13"/>
      <c r="G25" s="36" t="str">
        <f ca="1"/>
        <v/>
      </c>
      <c r="H25" s="39"/>
      <c r="I25" s="13"/>
      <c r="K25" s="36" t="str">
        <f ca="1"/>
        <v/>
      </c>
      <c r="L25" s="39"/>
      <c r="M25" s="13"/>
      <c r="O25" s="50" t="str">
        <f ca="1"/>
        <v/>
      </c>
      <c r="P25" s="46"/>
      <c r="Q25" s="47"/>
      <c r="S25" s="36" t="str">
        <f ca="1"/>
        <v/>
      </c>
      <c r="T25" s="39"/>
      <c r="U25" s="13"/>
      <c r="W25" s="50" t="str">
        <f ca="1"/>
        <v/>
      </c>
      <c r="X25" s="46"/>
      <c r="Y25" s="47"/>
    </row>
    <row r="26" spans="1:44" outlineLevel="1">
      <c r="A26" s="73"/>
      <c r="C26" s="36" t="str">
        <f ca="1"/>
        <v/>
      </c>
      <c r="D26" s="39"/>
      <c r="E26" s="13"/>
      <c r="G26" s="36" t="str">
        <f ca="1"/>
        <v/>
      </c>
      <c r="H26" s="39"/>
      <c r="I26" s="13"/>
      <c r="K26" s="36" t="str">
        <f ca="1"/>
        <v/>
      </c>
      <c r="L26" s="39"/>
      <c r="M26" s="13"/>
      <c r="O26" s="50" t="str">
        <f ca="1"/>
        <v/>
      </c>
      <c r="P26" s="46"/>
      <c r="Q26" s="47"/>
      <c r="S26" s="36" t="str">
        <f ca="1"/>
        <v/>
      </c>
      <c r="T26" s="39"/>
      <c r="U26" s="13"/>
      <c r="W26" s="50" t="str">
        <f ca="1"/>
        <v/>
      </c>
      <c r="X26" s="46"/>
      <c r="Y26" s="47"/>
    </row>
    <row r="27" spans="1:44" outlineLevel="1">
      <c r="A27" s="74"/>
      <c r="C27" s="40" t="str">
        <f ca="1"/>
        <v/>
      </c>
      <c r="D27" s="41"/>
      <c r="E27" s="15"/>
      <c r="G27" s="40" t="str">
        <f ca="1"/>
        <v/>
      </c>
      <c r="H27" s="41"/>
      <c r="I27" s="15"/>
      <c r="K27" s="40" t="str">
        <f ca="1"/>
        <v/>
      </c>
      <c r="L27" s="41"/>
      <c r="M27" s="15"/>
      <c r="O27" s="51" t="str">
        <f ca="1"/>
        <v/>
      </c>
      <c r="P27" s="48"/>
      <c r="Q27" s="49"/>
      <c r="S27" s="40" t="str">
        <f ca="1"/>
        <v/>
      </c>
      <c r="T27" s="41"/>
      <c r="U27" s="15"/>
      <c r="W27" s="51" t="str">
        <f ca="1"/>
        <v/>
      </c>
      <c r="X27" s="48"/>
      <c r="Y27" s="49"/>
    </row>
    <row r="28" spans="1:44" outlineLevel="1">
      <c r="O28" s="1" t="s">
        <v>91</v>
      </c>
      <c r="P28" s="31">
        <f ca="1">SUM(P12:P27)</f>
        <v>264.42500000000001</v>
      </c>
      <c r="Q28" s="31">
        <f ca="1">SUM(Q12:Q27)</f>
        <v>50.852359701492524</v>
      </c>
      <c r="R28" s="31">
        <f ca="1">SUM(P28:Q28)</f>
        <v>315.27735970149251</v>
      </c>
      <c r="W28" s="1" t="s">
        <v>91</v>
      </c>
      <c r="X28" s="31">
        <f ca="1">SUM(X12:X27)</f>
        <v>11505.465807800523</v>
      </c>
      <c r="Y28" s="31">
        <f ca="1">SUM(Y12:Y27)</f>
        <v>5093.0904498946247</v>
      </c>
    </row>
    <row r="29" spans="1:44" outlineLevel="1">
      <c r="F29" s="1"/>
      <c r="G29" s="1"/>
      <c r="H29" s="1"/>
      <c r="I29" s="1"/>
      <c r="J29" s="1"/>
      <c r="K29" s="1"/>
      <c r="L29" s="1"/>
      <c r="M29" s="1"/>
      <c r="N29" s="1"/>
      <c r="O29" s="32" t="s">
        <v>94</v>
      </c>
      <c r="P29" s="55">
        <f ca="1">AVERAGE(P12:P27)</f>
        <v>24.038636363636364</v>
      </c>
      <c r="Q29" s="55">
        <f ca="1">AVERAGE(Q12:Q27)</f>
        <v>4.6229417910447745</v>
      </c>
      <c r="R29" s="1"/>
      <c r="S29" s="1"/>
      <c r="T29" s="1"/>
      <c r="U29" s="1"/>
      <c r="V29" s="1"/>
      <c r="W29" s="32" t="s">
        <v>95</v>
      </c>
      <c r="X29" s="55">
        <f ca="1">X28/P28</f>
        <v>43.511263336675889</v>
      </c>
      <c r="Y29" s="55">
        <f ca="1">Y28/Q28</f>
        <v>100.15445654422879</v>
      </c>
      <c r="Z29" s="1"/>
    </row>
    <row r="34" spans="1:24">
      <c r="A34" s="1" t="s">
        <v>98</v>
      </c>
    </row>
    <row r="35" spans="1:24" outlineLevel="1">
      <c r="A35" s="72" t="s">
        <v>97</v>
      </c>
      <c r="C35" s="11" t="s">
        <v>58</v>
      </c>
      <c r="D35" s="35" t="s">
        <v>3</v>
      </c>
      <c r="F35" s="11" t="s">
        <v>59</v>
      </c>
      <c r="G35" s="35" t="s">
        <v>3</v>
      </c>
      <c r="I35" s="11" t="s">
        <v>98</v>
      </c>
      <c r="J35" s="35" t="s">
        <v>3</v>
      </c>
      <c r="L35" s="52" t="s">
        <v>99</v>
      </c>
      <c r="M35" s="54" t="s">
        <v>3</v>
      </c>
      <c r="O35" s="11" t="s">
        <v>103</v>
      </c>
      <c r="P35" s="35" t="s">
        <v>3</v>
      </c>
    </row>
    <row r="36" spans="1:24" outlineLevel="1">
      <c r="A36" s="73"/>
      <c r="C36" s="36" t="str">
        <f t="array" aca="1" ref="C36:C51" ca="1">IFERROR(IF((INDIRECT("Nodes"))=0,"",(INDIRECT("Nodes"))),"")</f>
        <v>AddisAbaba</v>
      </c>
      <c r="D36" s="43">
        <f ca="1">SUMIFS(OFFSET(DemInt!$C:$C,0,($C$5-$D$5)*2+MATCH(C$4,$D$4:$N$4,0)-1),DemInt!$A:$A,$C$2,DemInt!$B:$B,$C36)</f>
        <v>166.22080710136547</v>
      </c>
      <c r="F36" s="36" t="str">
        <f t="array" aca="1" ref="F36:F51" ca="1">IFERROR(IF((INDIRECT("Nodes"))=0,"",(INDIRECT("Nodes"))),"")</f>
        <v>AddisAbaba</v>
      </c>
      <c r="G36" s="43">
        <f ca="1">SUMIFS(OFFSET(DemSlope!$C:$C,0,($C$5-$D$5)*2+MATCH(C$4,$D$4:$N$4,0)-1),DemSlope!$A:$A,$C$2,DemSlope!$B:$B,$C36)</f>
        <v>14.869026779512375</v>
      </c>
      <c r="I36" s="36" t="s">
        <v>5</v>
      </c>
      <c r="J36" s="43">
        <f ca="1">SUMIFS(OFFSET(TargetConsumption!$C:$C,0,($C$5-$D$5)*2+MATCH(C$4,$D$4:$N$4,0)-1),TargetConsumption!$A:$A,$C$2,TargetConsumption!$B:$B,$I36)</f>
        <v>5.9682202636966855</v>
      </c>
      <c r="L36" s="50" t="str">
        <f t="array" aca="1" ref="L36:L51" ca="1">IFERROR(IF((INDIRECT("Nodes"))=0,"",(INDIRECT("Nodes"))),"")</f>
        <v>AddisAbaba</v>
      </c>
      <c r="M36" s="57">
        <f t="shared" ref="M36:M46" ca="1" si="4">D36-G36*J36</f>
        <v>77.47918017443105</v>
      </c>
      <c r="O36" s="36" t="str">
        <f t="array" aca="1" ref="O36:O51" ca="1">IFERROR(IF((INDIRECT("Nodes"))=0,"",(INDIRECT("Nodes"))),"")</f>
        <v>AddisAbaba</v>
      </c>
      <c r="P36" s="43">
        <f ca="1">SUMIFS(OFFSET('Target Price'!$C:$C,0,($C$5-$D$5)*2+MATCH(Q$11,$D$4:$N$4,0)-1),'Target Price'!$A:$A,$C$2,'Target Price'!$B:$B,$C36)</f>
        <v>87.815094179429536</v>
      </c>
      <c r="R36" s="2">
        <f ca="1">P36+J36*G36</f>
        <v>176.55672110636397</v>
      </c>
      <c r="W36" s="2"/>
      <c r="X36" s="2"/>
    </row>
    <row r="37" spans="1:24" outlineLevel="1">
      <c r="A37" s="73"/>
      <c r="C37" s="36" t="str">
        <f ca="1"/>
        <v>Afar</v>
      </c>
      <c r="D37" s="43">
        <f ca="1">SUMIFS(OFFSET(DemInt!$C:$C,0,($C$5-$D$5)*2+MATCH(C$4,$D$4:$N$4,0)-1),DemInt!$A:$A,$C$2,DemInt!$B:$B,$C37)</f>
        <v>169.39192972022568</v>
      </c>
      <c r="F37" s="36" t="str">
        <f ca="1"/>
        <v>Afar</v>
      </c>
      <c r="G37" s="43">
        <f ca="1">SUMIFS(OFFSET(DemSlope!$C:$C,0,($C$5-$D$5)*2+MATCH(C$4,$D$4:$N$4,0)-1),DemSlope!$A:$A,$C$2,DemSlope!$B:$B,$C37)</f>
        <v>28.783963832369757</v>
      </c>
      <c r="I37" s="36" t="s">
        <v>6</v>
      </c>
      <c r="J37" s="43">
        <f ca="1">SUMIFS(OFFSET(TargetConsumption!$C:$C,0,($C$5-$D$5)*2+MATCH(C$4,$D$4:$N$4,0)-1),TargetConsumption!$A:$A,$C$2,TargetConsumption!$B:$B,$I37)</f>
        <v>3.1418403649096818</v>
      </c>
      <c r="L37" s="50" t="str">
        <f ca="1"/>
        <v>Afar</v>
      </c>
      <c r="M37" s="57">
        <f t="shared" ca="1" si="4"/>
        <v>78.95731028958599</v>
      </c>
      <c r="O37" s="36" t="str">
        <f ca="1"/>
        <v>Afar</v>
      </c>
      <c r="P37" s="43">
        <f ca="1">SUMIFS(OFFSET('Target Price'!$C:$C,0,($C$5-$D$5)*2+MATCH(Q$11,$D$4:$N$4,0)-1),'Target Price'!$A:$A,$C$2,'Target Price'!$B:$B,$C37)</f>
        <v>89.928586000076592</v>
      </c>
      <c r="R37" s="2">
        <f t="shared" ref="R37:R46" ca="1" si="5">P37+J37*G37</f>
        <v>180.36320543071628</v>
      </c>
      <c r="W37" s="2"/>
      <c r="X37" s="2"/>
    </row>
    <row r="38" spans="1:24" outlineLevel="1">
      <c r="A38" s="73"/>
      <c r="C38" s="36" t="str">
        <f ca="1"/>
        <v>Amhara</v>
      </c>
      <c r="D38" s="43">
        <f ca="1">SUMIFS(OFFSET(DemInt!$C:$C,0,($C$5-$D$5)*2+MATCH(C$4,$D$4:$N$4,0)-1),DemInt!$A:$A,$C$2,DemInt!$B:$B,$C38)</f>
        <v>166.51375324951351</v>
      </c>
      <c r="F38" s="36" t="str">
        <f ca="1"/>
        <v>Amhara</v>
      </c>
      <c r="G38" s="43">
        <f ca="1">SUMIFS(OFFSET(DemSlope!$C:$C,0,($C$5-$D$5)*2+MATCH(C$4,$D$4:$N$4,0)-1),DemSlope!$A:$A,$C$2,DemSlope!$B:$B,$C38)</f>
        <v>2.3896913763708958</v>
      </c>
      <c r="I38" s="36" t="s">
        <v>7</v>
      </c>
      <c r="J38" s="43">
        <f ca="1">SUMIFS(OFFSET(TargetConsumption!$C:$C,0,($C$5-$D$5)*2+MATCH(C$4,$D$4:$N$4,0)-1),TargetConsumption!$A:$A,$C$2,TargetConsumption!$B:$B,$I38)</f>
        <v>37.200629880744287</v>
      </c>
      <c r="L38" s="50" t="str">
        <f ca="1"/>
        <v>Amhara</v>
      </c>
      <c r="M38" s="57">
        <f t="shared" ca="1" si="4"/>
        <v>77.615728827933424</v>
      </c>
      <c r="O38" s="36" t="str">
        <f ca="1"/>
        <v>Amhara</v>
      </c>
      <c r="P38" s="43">
        <f ca="1">SUMIFS(OFFSET('Target Price'!$C:$C,0,($C$5-$D$5)*2+MATCH(Q$11,$D$4:$N$4,0)-1),'Target Price'!$A:$A,$C$2,'Target Price'!$B:$B,$C38)</f>
        <v>92.48169116904343</v>
      </c>
      <c r="R38" s="2">
        <f t="shared" ca="1" si="5"/>
        <v>181.3797155906235</v>
      </c>
      <c r="W38" s="2"/>
      <c r="X38" s="2"/>
    </row>
    <row r="39" spans="1:24" outlineLevel="1">
      <c r="A39" s="73"/>
      <c r="C39" s="36" t="str">
        <f ca="1"/>
        <v>Gumuz</v>
      </c>
      <c r="D39" s="43">
        <f ca="1">SUMIFS(OFFSET(DemInt!$C:$C,0,($C$5-$D$5)*2+MATCH(C$4,$D$4:$N$4,0)-1),DemInt!$A:$A,$C$2,DemInt!$B:$B,$C39)</f>
        <v>166.80774801709234</v>
      </c>
      <c r="F39" s="36" t="str">
        <f ca="1"/>
        <v>Gumuz</v>
      </c>
      <c r="G39" s="43">
        <f ca="1">SUMIFS(OFFSET(DemSlope!$C:$C,0,($C$5-$D$5)*2+MATCH(C$4,$D$4:$N$4,0)-1),DemSlope!$A:$A,$C$2,DemSlope!$B:$B,$C39)</f>
        <v>48.595193935700912</v>
      </c>
      <c r="I39" s="36" t="s">
        <v>8</v>
      </c>
      <c r="J39" s="43">
        <f ca="1">SUMIFS(OFFSET(TargetConsumption!$C:$C,0,($C$5-$D$5)*2+MATCH(C$4,$D$4:$N$4,0)-1),TargetConsumption!$A:$A,$C$2,TargetConsumption!$B:$B,$I39)</f>
        <v>1.8325882569554437</v>
      </c>
      <c r="L39" s="50" t="str">
        <f ca="1"/>
        <v>Gumuz</v>
      </c>
      <c r="M39" s="57">
        <f t="shared" ca="1" si="4"/>
        <v>77.752766266054451</v>
      </c>
      <c r="O39" s="36" t="str">
        <f ca="1"/>
        <v>Gumuz</v>
      </c>
      <c r="P39" s="43">
        <f ca="1">SUMIFS(OFFSET('Target Price'!$C:$C,0,($C$5-$D$5)*2+MATCH(Q$11,$D$4:$N$4,0)-1),'Target Price'!$A:$A,$C$2,'Target Price'!$B:$B,$C39)</f>
        <v>93.31069208880082</v>
      </c>
      <c r="R39" s="2">
        <f t="shared" ca="1" si="5"/>
        <v>182.36567383983871</v>
      </c>
      <c r="W39" s="2"/>
      <c r="X39" s="2"/>
    </row>
    <row r="40" spans="1:24" outlineLevel="1">
      <c r="A40" s="73"/>
      <c r="C40" s="36" t="str">
        <f ca="1"/>
        <v>DireDawa</v>
      </c>
      <c r="D40" s="43">
        <f ca="1">SUMIFS(OFFSET(DemInt!$C:$C,0,($C$5-$D$5)*2+MATCH(C$4,$D$4:$N$4,0)-1),DemInt!$A:$A,$C$2,DemInt!$B:$B,$C40)</f>
        <v>201.52560667121654</v>
      </c>
      <c r="F40" s="36" t="str">
        <f ca="1"/>
        <v>DireDawa</v>
      </c>
      <c r="G40" s="43">
        <f ca="1">SUMIFS(OFFSET(DemSlope!$C:$C,0,($C$5-$D$5)*2+MATCH(C$4,$D$4:$N$4,0)-1),DemSlope!$A:$A,$C$2,DemSlope!$B:$B,$C40)</f>
        <v>134.09751285388077</v>
      </c>
      <c r="I40" s="36" t="s">
        <v>9</v>
      </c>
      <c r="J40" s="43">
        <f ca="1">SUMIFS(OFFSET(TargetConsumption!$C:$C,0,($C$5-$D$5)*2+MATCH(C$4,$D$4:$N$4,0)-1),TargetConsumption!$A:$A,$C$2,TargetConsumption!$B:$B,$I40)</f>
        <v>0.80232719707502032</v>
      </c>
      <c r="L40" s="50" t="str">
        <f ca="1"/>
        <v>DireDawa</v>
      </c>
      <c r="M40" s="57">
        <f t="shared" ca="1" si="4"/>
        <v>93.935525048430861</v>
      </c>
      <c r="O40" s="36" t="str">
        <f ca="1"/>
        <v>DireDawa</v>
      </c>
      <c r="P40" s="43">
        <f ca="1">SUMIFS(OFFSET('Target Price'!$C:$C,0,($C$5-$D$5)*2+MATCH(Q$11,$D$4:$N$4,0)-1),'Target Price'!$A:$A,$C$2,'Target Price'!$B:$B,$C40)</f>
        <v>88.309404916818011</v>
      </c>
      <c r="R40" s="2">
        <f t="shared" ca="1" si="5"/>
        <v>195.89948653960369</v>
      </c>
      <c r="W40" s="2"/>
      <c r="X40" s="2"/>
    </row>
    <row r="41" spans="1:24" outlineLevel="1">
      <c r="A41" s="73"/>
      <c r="C41" s="36" t="str">
        <f ca="1"/>
        <v>Gambela</v>
      </c>
      <c r="D41" s="43">
        <f ca="1">SUMIFS(OFFSET(DemInt!$C:$C,0,($C$5-$D$5)*2+MATCH(C$4,$D$4:$N$4,0)-1),DemInt!$A:$A,$C$2,DemInt!$B:$B,$C41)</f>
        <v>200.61520071649232</v>
      </c>
      <c r="F41" s="36" t="str">
        <f ca="1"/>
        <v>Gambela</v>
      </c>
      <c r="G41" s="43">
        <f ca="1">SUMIFS(OFFSET(DemSlope!$C:$C,0,($C$5-$D$5)*2+MATCH(C$4,$D$4:$N$4,0)-1),DemSlope!$A:$A,$C$2,DemSlope!$B:$B,$C41)</f>
        <v>143.60967218260916</v>
      </c>
      <c r="I41" s="36" t="s">
        <v>10</v>
      </c>
      <c r="J41" s="43">
        <f ca="1">SUMIFS(OFFSET(TargetConsumption!$C:$C,0,($C$5-$D$5)*2+MATCH(C$4,$D$4:$N$4,0)-1),TargetConsumption!$A:$A,$C$2,TargetConsumption!$B:$B,$I41)</f>
        <v>0.74579959909928006</v>
      </c>
      <c r="L41" s="50" t="str">
        <f ca="1"/>
        <v>Gambela</v>
      </c>
      <c r="M41" s="57">
        <f t="shared" ca="1" si="4"/>
        <v>93.511164775923376</v>
      </c>
      <c r="O41" s="36" t="str">
        <f ca="1"/>
        <v>Gambela</v>
      </c>
      <c r="P41" s="43">
        <f ca="1">SUMIFS(OFFSET('Target Price'!$C:$C,0,($C$5-$D$5)*2+MATCH(Q$11,$D$4:$N$4,0)-1),'Target Price'!$A:$A,$C$2,'Target Price'!$B:$B,$C41)</f>
        <v>84.096323555267148</v>
      </c>
      <c r="R41" s="2">
        <f t="shared" ca="1" si="5"/>
        <v>191.2003594958361</v>
      </c>
      <c r="W41" s="2"/>
      <c r="X41" s="2"/>
    </row>
    <row r="42" spans="1:24" outlineLevel="1">
      <c r="A42" s="73"/>
      <c r="C42" s="36" t="str">
        <f ca="1"/>
        <v>Harari</v>
      </c>
      <c r="D42" s="43">
        <f ca="1">SUMIFS(OFFSET(DemInt!$C:$C,0,($C$5-$D$5)*2+MATCH(C$4,$D$4:$N$4,0)-1),DemInt!$A:$A,$C$2,DemInt!$B:$B,$C42)</f>
        <v>197.845792737924</v>
      </c>
      <c r="F42" s="36" t="str">
        <f ca="1"/>
        <v>Harari</v>
      </c>
      <c r="G42" s="43">
        <f ca="1">SUMIFS(OFFSET(DemSlope!$C:$C,0,($C$5-$D$5)*2+MATCH(C$4,$D$4:$N$4,0)-1),DemSlope!$A:$A,$C$2,DemSlope!$B:$B,$C42)</f>
        <v>249.67898869280035</v>
      </c>
      <c r="I42" s="36" t="s">
        <v>11</v>
      </c>
      <c r="J42" s="43">
        <f ca="1">SUMIFS(OFFSET(TargetConsumption!$C:$C,0,($C$5-$D$5)*2+MATCH(C$4,$D$4:$N$4,0)-1),TargetConsumption!$A:$A,$C$2,TargetConsumption!$B:$B,$I42)</f>
        <v>0.42304524936682886</v>
      </c>
      <c r="L42" s="50" t="str">
        <f ca="1"/>
        <v>Harari</v>
      </c>
      <c r="M42" s="57">
        <f t="shared" ca="1" si="4"/>
        <v>92.220282704720631</v>
      </c>
      <c r="O42" s="36" t="str">
        <f ca="1"/>
        <v>Harari</v>
      </c>
      <c r="P42" s="43">
        <f ca="1">SUMIFS(OFFSET('Target Price'!$C:$C,0,($C$5-$D$5)*2+MATCH(Q$11,$D$4:$N$4,0)-1),'Target Price'!$A:$A,$C$2,'Target Price'!$B:$B,$C42)</f>
        <v>89.930496034331171</v>
      </c>
      <c r="R42" s="2">
        <f t="shared" ca="1" si="5"/>
        <v>195.55600606753455</v>
      </c>
      <c r="W42" s="2"/>
      <c r="X42" s="2"/>
    </row>
    <row r="43" spans="1:24" outlineLevel="1">
      <c r="A43" s="73"/>
      <c r="C43" s="36" t="str">
        <f ca="1"/>
        <v>Oromia</v>
      </c>
      <c r="D43" s="43">
        <f ca="1">SUMIFS(OFFSET(DemInt!$C:$C,0,($C$5-$D$5)*2+MATCH(C$4,$D$4:$N$4,0)-1),DemInt!$A:$A,$C$2,DemInt!$B:$B,$C43)</f>
        <v>187.00233858069996</v>
      </c>
      <c r="F43" s="36" t="str">
        <f ca="1"/>
        <v>Oromia</v>
      </c>
      <c r="G43" s="43">
        <f ca="1">SUMIFS(OFFSET(DemSlope!$C:$C,0,($C$5-$D$5)*2+MATCH(C$4,$D$4:$N$4,0)-1),DemSlope!$A:$A,$C$2,DemSlope!$B:$B,$C43)</f>
        <v>1.625037576688583</v>
      </c>
      <c r="I43" s="36" t="s">
        <v>12</v>
      </c>
      <c r="J43" s="43">
        <f ca="1">SUMIFS(OFFSET(TargetConsumption!$C:$C,0,($C$5-$D$5)*2+MATCH(C$4,$D$4:$N$4,0)-1),TargetConsumption!$A:$A,$C$2,TargetConsumption!$B:$B,$I43)</f>
        <v>61.436381645117223</v>
      </c>
      <c r="L43" s="50" t="str">
        <f ca="1"/>
        <v>Oromia</v>
      </c>
      <c r="M43" s="57">
        <f t="shared" ca="1" si="4"/>
        <v>87.165909831603727</v>
      </c>
      <c r="O43" s="36" t="str">
        <f ca="1"/>
        <v>Oromia</v>
      </c>
      <c r="P43" s="43">
        <f ca="1">SUMIFS(OFFSET('Target Price'!$C:$C,0,($C$5-$D$5)*2+MATCH(Q$11,$D$4:$N$4,0)-1),'Target Price'!$A:$A,$C$2,'Target Price'!$B:$B,$C43)</f>
        <v>86.413394664200979</v>
      </c>
      <c r="R43" s="2">
        <f t="shared" ca="1" si="5"/>
        <v>186.24982341329721</v>
      </c>
      <c r="W43" s="2"/>
      <c r="X43" s="2"/>
    </row>
    <row r="44" spans="1:24" outlineLevel="1">
      <c r="A44" s="73"/>
      <c r="C44" s="36" t="str">
        <f ca="1"/>
        <v>Somali</v>
      </c>
      <c r="D44" s="43">
        <f ca="1">SUMIFS(OFFSET(DemInt!$C:$C,0,($C$5-$D$5)*2+MATCH(C$4,$D$4:$N$4,0)-1),DemInt!$A:$A,$C$2,DemInt!$B:$B,$C44)</f>
        <v>177.42870948013908</v>
      </c>
      <c r="F44" s="36" t="str">
        <f ca="1"/>
        <v>Somali</v>
      </c>
      <c r="G44" s="43">
        <f ca="1">SUMIFS(OFFSET(DemSlope!$C:$C,0,($C$5-$D$5)*2+MATCH(C$4,$D$4:$N$4,0)-1),DemSlope!$A:$A,$C$2,DemSlope!$B:$B,$C44)</f>
        <v>9.5264602189554459</v>
      </c>
      <c r="I44" s="36" t="s">
        <v>13</v>
      </c>
      <c r="J44" s="43">
        <f ca="1">SUMIFS(OFFSET(TargetConsumption!$C:$C,0,($C$5-$D$5)*2+MATCH(C$4,$D$4:$N$4,0)-1),TargetConsumption!$A:$A,$C$2,TargetConsumption!$B:$B,$I44)</f>
        <v>9.9433868310229219</v>
      </c>
      <c r="L44" s="50" t="str">
        <f ca="1"/>
        <v>Somali</v>
      </c>
      <c r="M44" s="57">
        <f t="shared" ca="1" si="4"/>
        <v>82.703430392713756</v>
      </c>
      <c r="O44" s="36" t="str">
        <f ca="1"/>
        <v>Somali</v>
      </c>
      <c r="P44" s="43">
        <f ca="1">SUMIFS(OFFSET('Target Price'!$C:$C,0,($C$5-$D$5)*2+MATCH(Q$11,$D$4:$N$4,0)-1),'Target Price'!$A:$A,$C$2,'Target Price'!$B:$B,$C44)</f>
        <v>91.937149274222079</v>
      </c>
      <c r="R44" s="2">
        <f t="shared" ca="1" si="5"/>
        <v>186.66242836164741</v>
      </c>
      <c r="W44" s="2"/>
      <c r="X44" s="2"/>
    </row>
    <row r="45" spans="1:24" outlineLevel="1">
      <c r="A45" s="73"/>
      <c r="C45" s="36" t="str">
        <f ca="1"/>
        <v>SNNPR</v>
      </c>
      <c r="D45" s="43">
        <f ca="1">SUMIFS(OFFSET(DemInt!$C:$C,0,($C$5-$D$5)*2+MATCH(C$4,$D$4:$N$4,0)-1),DemInt!$A:$A,$C$2,DemInt!$B:$B,$C45)</f>
        <v>180.43561451132058</v>
      </c>
      <c r="F45" s="36" t="str">
        <f ca="1"/>
        <v>SNNPR</v>
      </c>
      <c r="G45" s="43">
        <f ca="1">SUMIFS(OFFSET(DemSlope!$C:$C,0,($C$5-$D$5)*2+MATCH(C$4,$D$4:$N$4,0)-1),DemSlope!$A:$A,$C$2,DemSlope!$B:$B,$C45)</f>
        <v>2.8905752236866649</v>
      </c>
      <c r="I45" s="36" t="s">
        <v>19</v>
      </c>
      <c r="J45" s="43">
        <f ca="1">SUMIFS(OFFSET(TargetConsumption!$C:$C,0,($C$5-$D$5)*2+MATCH(C$4,$D$4:$N$4,0)-1),TargetConsumption!$A:$A,$C$2,TargetConsumption!$B:$B,$I45)</f>
        <v>33.325754213052427</v>
      </c>
      <c r="L45" s="50" t="str">
        <f ca="1"/>
        <v>SNNPR</v>
      </c>
      <c r="M45" s="57">
        <f t="shared" ca="1" si="4"/>
        <v>84.105015072399752</v>
      </c>
      <c r="O45" s="36" t="str">
        <f ca="1"/>
        <v>SNNPR</v>
      </c>
      <c r="P45" s="43">
        <f ca="1">SUMIFS(OFFSET('Target Price'!$C:$C,0,($C$5-$D$5)*2+MATCH(Q$11,$D$4:$N$4,0)-1),'Target Price'!$A:$A,$C$2,'Target Price'!$B:$B,$C45)</f>
        <v>92.718433800234365</v>
      </c>
      <c r="R45" s="2">
        <f t="shared" ca="1" si="5"/>
        <v>189.04903323915519</v>
      </c>
      <c r="W45" s="2"/>
      <c r="X45" s="2"/>
    </row>
    <row r="46" spans="1:24" outlineLevel="1">
      <c r="A46" s="73"/>
      <c r="C46" s="36" t="str">
        <f ca="1"/>
        <v>Tigray</v>
      </c>
      <c r="D46" s="43">
        <f ca="1">SUMIFS(OFFSET(DemInt!$C:$C,0,($C$5-$D$5)*2+MATCH(C$4,$D$4:$N$4,0)-1),DemInt!$A:$A,$C$2,DemInt!$B:$B,$C46)</f>
        <v>178.04342951740202</v>
      </c>
      <c r="F46" s="36" t="str">
        <f ca="1"/>
        <v>Tigray</v>
      </c>
      <c r="G46" s="43">
        <f ca="1">SUMIFS(OFFSET(DemSlope!$C:$C,0,($C$5-$D$5)*2+MATCH(C$4,$D$4:$N$4,0)-1),DemSlope!$A:$A,$C$2,DemSlope!$B:$B,$C46)</f>
        <v>10.310080307374085</v>
      </c>
      <c r="I46" s="36" t="s">
        <v>14</v>
      </c>
      <c r="J46" s="43">
        <f ca="1">SUMIFS(OFFSET(TargetConsumption!$C:$C,0,($C$5-$D$5)*2+MATCH(C$4,$D$4:$N$4,0)-1),TargetConsumption!$A:$A,$C$2,TargetConsumption!$B:$B,$I46)</f>
        <v>9.2194688827529596</v>
      </c>
      <c r="L46" s="50" t="str">
        <f ca="1"/>
        <v>Tigray</v>
      </c>
      <c r="M46" s="57">
        <f t="shared" ca="1" si="4"/>
        <v>82.989964944882573</v>
      </c>
      <c r="O46" s="36" t="str">
        <f ca="1"/>
        <v>Tigray</v>
      </c>
      <c r="P46" s="43">
        <f ca="1">SUMIFS(OFFSET('Target Price'!$C:$C,0,($C$5-$D$5)*2+MATCH(Q$11,$D$4:$N$4,0)-1),'Target Price'!$A:$A,$C$2,'Target Price'!$B:$B,$C46)</f>
        <v>90.100372248305774</v>
      </c>
      <c r="R46" s="2">
        <f t="shared" ca="1" si="5"/>
        <v>185.15383682082523</v>
      </c>
      <c r="W46" s="2"/>
      <c r="X46" s="2"/>
    </row>
    <row r="47" spans="1:24" outlineLevel="1">
      <c r="A47" s="73"/>
      <c r="C47" s="36" t="str">
        <f ca="1"/>
        <v/>
      </c>
      <c r="D47" s="13"/>
      <c r="F47" s="36" t="str">
        <f ca="1"/>
        <v/>
      </c>
      <c r="G47" s="13"/>
      <c r="I47" s="36" t="s">
        <v>101</v>
      </c>
      <c r="J47" s="43"/>
      <c r="L47" s="50" t="str">
        <f ca="1"/>
        <v/>
      </c>
      <c r="M47" s="47"/>
      <c r="O47" s="36" t="str">
        <f ca="1"/>
        <v/>
      </c>
      <c r="P47" s="13"/>
    </row>
    <row r="48" spans="1:24" outlineLevel="1">
      <c r="A48" s="73"/>
      <c r="C48" s="36" t="str">
        <f ca="1"/>
        <v/>
      </c>
      <c r="D48" s="13"/>
      <c r="F48" s="36" t="str">
        <f ca="1"/>
        <v/>
      </c>
      <c r="G48" s="13"/>
      <c r="I48" s="36" t="s">
        <v>101</v>
      </c>
      <c r="J48" s="13"/>
      <c r="L48" s="50" t="str">
        <f ca="1"/>
        <v/>
      </c>
      <c r="M48" s="47"/>
      <c r="O48" s="36" t="str">
        <f ca="1"/>
        <v/>
      </c>
      <c r="P48" s="13"/>
    </row>
    <row r="49" spans="1:16" outlineLevel="1">
      <c r="A49" s="73"/>
      <c r="C49" s="36" t="str">
        <f ca="1"/>
        <v/>
      </c>
      <c r="D49" s="13"/>
      <c r="F49" s="36" t="str">
        <f ca="1"/>
        <v/>
      </c>
      <c r="G49" s="13"/>
      <c r="I49" s="36" t="s">
        <v>101</v>
      </c>
      <c r="J49" s="13"/>
      <c r="L49" s="50" t="str">
        <f ca="1"/>
        <v/>
      </c>
      <c r="M49" s="47"/>
      <c r="O49" s="36" t="str">
        <f ca="1"/>
        <v/>
      </c>
      <c r="P49" s="13"/>
    </row>
    <row r="50" spans="1:16" outlineLevel="1">
      <c r="A50" s="73"/>
      <c r="C50" s="36" t="str">
        <f ca="1"/>
        <v/>
      </c>
      <c r="D50" s="13"/>
      <c r="F50" s="36" t="str">
        <f ca="1"/>
        <v/>
      </c>
      <c r="G50" s="13"/>
      <c r="I50" s="36" t="s">
        <v>101</v>
      </c>
      <c r="J50" s="13"/>
      <c r="L50" s="50" t="str">
        <f ca="1"/>
        <v/>
      </c>
      <c r="M50" s="47"/>
      <c r="O50" s="36" t="str">
        <f ca="1"/>
        <v/>
      </c>
      <c r="P50" s="13"/>
    </row>
    <row r="51" spans="1:16" outlineLevel="1">
      <c r="A51" s="74"/>
      <c r="C51" s="40" t="str">
        <f ca="1"/>
        <v/>
      </c>
      <c r="D51" s="15"/>
      <c r="F51" s="40" t="str">
        <f ca="1"/>
        <v/>
      </c>
      <c r="G51" s="15"/>
      <c r="I51" s="40" t="s">
        <v>101</v>
      </c>
      <c r="J51" s="15"/>
      <c r="L51" s="51" t="str">
        <f ca="1"/>
        <v/>
      </c>
      <c r="M51" s="49"/>
      <c r="O51" s="40" t="str">
        <f ca="1"/>
        <v/>
      </c>
      <c r="P51" s="15"/>
    </row>
    <row r="52" spans="1:16" outlineLevel="1" collapsed="1">
      <c r="L52" s="1" t="s">
        <v>91</v>
      </c>
      <c r="M52" s="64">
        <f ca="1">SUM(M36:M51)</f>
        <v>928.43627832867946</v>
      </c>
    </row>
    <row r="53" spans="1:16" outlineLevel="1">
      <c r="L53" s="32" t="s">
        <v>94</v>
      </c>
      <c r="M53" s="63">
        <f ca="1">AVERAGE(M36:M51)</f>
        <v>84.403298029879949</v>
      </c>
    </row>
  </sheetData>
  <mergeCells count="2">
    <mergeCell ref="A11:A27"/>
    <mergeCell ref="A35:A51"/>
  </mergeCells>
  <dataValidations count="1">
    <dataValidation type="list" allowBlank="1" showInputMessage="1" showErrorMessage="1" sqref="C2:C5">
      <formula1>$D2:$S2</formula1>
    </dataValidation>
  </dataValidation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8</vt:i4>
      </vt:variant>
    </vt:vector>
  </HeadingPairs>
  <TitlesOfParts>
    <vt:vector size="25" baseType="lpstr">
      <vt:lpstr>index</vt:lpstr>
      <vt:lpstr>Explained</vt:lpstr>
      <vt:lpstr>Cattle</vt:lpstr>
      <vt:lpstr>sets</vt:lpstr>
      <vt:lpstr>Roads</vt:lpstr>
      <vt:lpstr>ElecLine</vt:lpstr>
      <vt:lpstr>DiscFact</vt:lpstr>
      <vt:lpstr>Crop</vt:lpstr>
      <vt:lpstr>CYF</vt:lpstr>
      <vt:lpstr>aFAO</vt:lpstr>
      <vt:lpstr>DemInt</vt:lpstr>
      <vt:lpstr>DemSlope</vt:lpstr>
      <vt:lpstr>DemElas</vt:lpstr>
      <vt:lpstr>TargetConsumption</vt:lpstr>
      <vt:lpstr>Target Price</vt:lpstr>
      <vt:lpstr>Elec</vt:lpstr>
      <vt:lpstr>Basic Feasibility</vt:lpstr>
      <vt:lpstr>Crops</vt:lpstr>
      <vt:lpstr>Food</vt:lpstr>
      <vt:lpstr>Nodes</vt:lpstr>
      <vt:lpstr>Profit_Margin</vt:lpstr>
      <vt:lpstr>ElecLine!RoadList</vt:lpstr>
      <vt:lpstr>RoadList</vt:lpstr>
      <vt:lpstr>Seasons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Sriram Sankaranarayanan</dc:creator>
  <cp:lastModifiedBy>Sriram</cp:lastModifiedBy>
  <dcterms:created xsi:type="dcterms:W3CDTF">2017-04-05T21:54:55Z</dcterms:created>
  <dcterms:modified xsi:type="dcterms:W3CDTF">2017-08-31T18:36:45Z</dcterms:modified>
</cp:coreProperties>
</file>