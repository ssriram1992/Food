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/>
  </bookViews>
  <sheets>
    <sheet name="index" sheetId="1" r:id="rId1"/>
    <sheet name="Explained" sheetId="16" r:id="rId2"/>
    <sheet name="Cattle" sheetId="8" r:id="rId3"/>
    <sheet name="sets" sheetId="3" r:id="rId4"/>
    <sheet name="Roads" sheetId="5" r:id="rId5"/>
    <sheet name="ElecLine" sheetId="10" r:id="rId6"/>
    <sheet name="DiscFact" sheetId="6" r:id="rId7"/>
    <sheet name="Crop" sheetId="7" r:id="rId8"/>
    <sheet name="CYF" sheetId="4" r:id="rId9"/>
    <sheet name="aFAO" sheetId="11" r:id="rId10"/>
    <sheet name="DemInt" sheetId="14" r:id="rId11"/>
    <sheet name="DemSlope" sheetId="15" r:id="rId12"/>
    <sheet name="Elec" sheetId="9" r:id="rId13"/>
  </sheets>
  <definedNames>
    <definedName name="_xlnm._FilterDatabase" localSheetId="5" hidden="1">ElecLine!$A$21:$B$86</definedName>
    <definedName name="_xlnm._FilterDatabase" localSheetId="0" hidden="1">index!$A$1:$E$29</definedName>
    <definedName name="_xlnm._FilterDatabase" localSheetId="4" hidden="1">Roads!$A$21:$B$86</definedName>
    <definedName name="_xlnm._FilterDatabase" localSheetId="3" hidden="1">sets!$F$2:$F$13</definedName>
    <definedName name="Crops">sets!$J$3:$J$62</definedName>
    <definedName name="Food">sets!$H$3:$H$62</definedName>
    <definedName name="Nodes">sets!$F$3:$F$62</definedName>
    <definedName name="RoadList" localSheetId="5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H181" i="7" l="1" a="1"/>
  <c r="H181" i="7"/>
  <c r="I181" i="7"/>
  <c r="J181" i="7"/>
  <c r="K181" i="7"/>
  <c r="L181" i="7"/>
  <c r="M181" i="7"/>
  <c r="B181" i="7" a="1"/>
  <c r="B181" i="7"/>
  <c r="C181" i="7"/>
  <c r="D181" i="7"/>
  <c r="E181" i="7"/>
  <c r="F181" i="7"/>
  <c r="G181" i="7"/>
  <c r="A182" i="7" a="1"/>
  <c r="A182" i="7"/>
  <c r="A183" i="7"/>
  <c r="A184" i="7"/>
  <c r="A185" i="7"/>
  <c r="A186" i="7"/>
  <c r="A187" i="7"/>
  <c r="A188" i="7"/>
  <c r="A189" i="7"/>
  <c r="A190" i="7"/>
  <c r="A191" i="7"/>
  <c r="A192" i="7"/>
  <c r="B146" i="7"/>
  <c r="L167" i="7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B3" i="9"/>
  <c r="R41" i="9" a="1"/>
  <c r="R41" i="9"/>
  <c r="R42" i="9"/>
  <c r="R43" i="9"/>
  <c r="R44" i="9"/>
  <c r="R45" i="9"/>
  <c r="R46" i="9"/>
  <c r="R47" i="9"/>
  <c r="R48" i="9"/>
  <c r="R49" i="9"/>
  <c r="R50" i="9"/>
  <c r="R51" i="9"/>
  <c r="O2" i="5"/>
  <c r="AB2" i="5"/>
  <c r="Y12" i="5"/>
  <c r="X12" i="5"/>
  <c r="W12" i="5"/>
  <c r="V12" i="5"/>
  <c r="U12" i="5"/>
  <c r="T12" i="5"/>
  <c r="S12" i="5"/>
  <c r="I35" i="5" a="1"/>
  <c r="I35" i="5"/>
  <c r="I36" i="5" a="1"/>
  <c r="I36" i="5"/>
  <c r="I37" i="5" a="1"/>
  <c r="I38" i="5" a="1"/>
  <c r="I37" i="5"/>
  <c r="I38" i="5"/>
  <c r="E12" i="5"/>
  <c r="R12" i="5"/>
  <c r="Q12" i="5"/>
  <c r="P12" i="5"/>
  <c r="O12" i="5"/>
  <c r="Y11" i="5"/>
  <c r="X11" i="5"/>
  <c r="W11" i="5"/>
  <c r="V11" i="5"/>
  <c r="U11" i="5"/>
  <c r="T11" i="5"/>
  <c r="S11" i="5"/>
  <c r="E11" i="5"/>
  <c r="R11" i="5"/>
  <c r="Q11" i="5"/>
  <c r="P11" i="5"/>
  <c r="O11" i="5"/>
  <c r="Y10" i="5"/>
  <c r="X10" i="5"/>
  <c r="W10" i="5"/>
  <c r="V10" i="5"/>
  <c r="U10" i="5"/>
  <c r="T10" i="5"/>
  <c r="S10" i="5"/>
  <c r="E10" i="5"/>
  <c r="R10" i="5"/>
  <c r="Q10" i="5"/>
  <c r="P10" i="5"/>
  <c r="O10" i="5"/>
  <c r="Y9" i="5"/>
  <c r="X9" i="5"/>
  <c r="W9" i="5"/>
  <c r="V9" i="5"/>
  <c r="U9" i="5"/>
  <c r="T9" i="5"/>
  <c r="S9" i="5"/>
  <c r="E9" i="5"/>
  <c r="R9" i="5"/>
  <c r="Q9" i="5"/>
  <c r="P9" i="5"/>
  <c r="O9" i="5"/>
  <c r="Y8" i="5"/>
  <c r="X8" i="5"/>
  <c r="W8" i="5"/>
  <c r="V8" i="5"/>
  <c r="U8" i="5"/>
  <c r="T8" i="5"/>
  <c r="S8" i="5"/>
  <c r="E8" i="5"/>
  <c r="R8" i="5"/>
  <c r="Q8" i="5"/>
  <c r="P8" i="5"/>
  <c r="O8" i="5"/>
  <c r="Y7" i="5"/>
  <c r="X7" i="5"/>
  <c r="W7" i="5"/>
  <c r="V7" i="5"/>
  <c r="U7" i="5"/>
  <c r="T7" i="5"/>
  <c r="S7" i="5"/>
  <c r="E7" i="5"/>
  <c r="R7" i="5"/>
  <c r="Q7" i="5"/>
  <c r="P7" i="5"/>
  <c r="O7" i="5"/>
  <c r="Y6" i="5"/>
  <c r="X6" i="5"/>
  <c r="W6" i="5"/>
  <c r="V6" i="5"/>
  <c r="U6" i="5"/>
  <c r="T6" i="5"/>
  <c r="S6" i="5"/>
  <c r="E6" i="5"/>
  <c r="R6" i="5"/>
  <c r="Q6" i="5"/>
  <c r="P6" i="5"/>
  <c r="O6" i="5"/>
  <c r="Y5" i="5"/>
  <c r="X5" i="5"/>
  <c r="W5" i="5"/>
  <c r="V5" i="5"/>
  <c r="U5" i="5"/>
  <c r="T5" i="5"/>
  <c r="S5" i="5"/>
  <c r="E5" i="5"/>
  <c r="R5" i="5"/>
  <c r="Q5" i="5"/>
  <c r="P5" i="5"/>
  <c r="O5" i="5"/>
  <c r="Y4" i="5"/>
  <c r="X4" i="5"/>
  <c r="W4" i="5"/>
  <c r="V4" i="5"/>
  <c r="U4" i="5"/>
  <c r="T4" i="5"/>
  <c r="S4" i="5"/>
  <c r="E4" i="5"/>
  <c r="R4" i="5"/>
  <c r="Q4" i="5"/>
  <c r="O4" i="5"/>
  <c r="Y3" i="5"/>
  <c r="X3" i="5"/>
  <c r="W3" i="5"/>
  <c r="V3" i="5"/>
  <c r="U3" i="5"/>
  <c r="T3" i="5"/>
  <c r="S3" i="5"/>
  <c r="E3" i="5"/>
  <c r="R3" i="5"/>
  <c r="Q3" i="5"/>
  <c r="P3" i="5"/>
  <c r="O3" i="5"/>
  <c r="Y2" i="5"/>
  <c r="X2" i="5"/>
  <c r="W2" i="5"/>
  <c r="V2" i="5"/>
  <c r="U2" i="5"/>
  <c r="T2" i="5"/>
  <c r="S2" i="5"/>
  <c r="E2" i="5"/>
  <c r="R2" i="5"/>
  <c r="Q2" i="5"/>
  <c r="P2" i="5"/>
  <c r="P4" i="5"/>
  <c r="K41" i="9" a="1"/>
  <c r="K41" i="9"/>
  <c r="K42" i="9"/>
  <c r="K43" i="9"/>
  <c r="K44" i="9"/>
  <c r="K45" i="9"/>
  <c r="K46" i="9"/>
  <c r="K47" i="9"/>
  <c r="K48" i="9"/>
  <c r="K49" i="9"/>
  <c r="K50" i="9"/>
  <c r="K51" i="9"/>
  <c r="F41" i="9" a="1"/>
  <c r="F41" i="9"/>
  <c r="F42" i="9"/>
  <c r="F43" i="9"/>
  <c r="F44" i="9"/>
  <c r="F45" i="9"/>
  <c r="F46" i="9"/>
  <c r="F47" i="9"/>
  <c r="F48" i="9"/>
  <c r="F49" i="9"/>
  <c r="F50" i="9"/>
  <c r="F51" i="9"/>
  <c r="B51" i="9"/>
  <c r="B41" i="9"/>
  <c r="B44" i="9"/>
  <c r="B48" i="9"/>
  <c r="B46" i="9"/>
  <c r="B43" i="9"/>
  <c r="B50" i="9"/>
  <c r="A41" i="9" a="1"/>
  <c r="A41" i="9"/>
  <c r="A42" i="9"/>
  <c r="A43" i="9"/>
  <c r="A44" i="9"/>
  <c r="A45" i="9"/>
  <c r="A46" i="9"/>
  <c r="A47" i="9"/>
  <c r="A48" i="9"/>
  <c r="A49" i="9"/>
  <c r="A50" i="9"/>
  <c r="A51" i="9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F3" i="11"/>
  <c r="E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21" i="11"/>
  <c r="B145" i="7"/>
  <c r="J168" i="7"/>
  <c r="I168" i="7"/>
  <c r="B150" i="7"/>
  <c r="D171" i="7"/>
  <c r="C171" i="7"/>
  <c r="B171" i="7"/>
  <c r="M171" i="7"/>
  <c r="L171" i="7"/>
  <c r="J171" i="7"/>
  <c r="I171" i="7"/>
  <c r="H171" i="7"/>
  <c r="B144" i="7"/>
  <c r="M165" i="7"/>
  <c r="J165" i="7"/>
  <c r="I165" i="7"/>
  <c r="H165" i="7"/>
  <c r="I170" i="7"/>
  <c r="B149" i="7"/>
  <c r="B2" i="16"/>
  <c r="C2" i="16"/>
  <c r="D2" i="16"/>
  <c r="E2" i="16"/>
  <c r="F2" i="16"/>
  <c r="B3" i="16"/>
  <c r="C3" i="16"/>
  <c r="D3" i="16"/>
  <c r="E3" i="16"/>
  <c r="F3" i="16"/>
  <c r="B4" i="16"/>
  <c r="C4" i="16"/>
  <c r="D4" i="16"/>
  <c r="E4" i="16"/>
  <c r="F4" i="16"/>
  <c r="B5" i="16"/>
  <c r="C5" i="16"/>
  <c r="D5" i="16"/>
  <c r="E5" i="16"/>
  <c r="F5" i="16"/>
  <c r="B6" i="16"/>
  <c r="C6" i="16"/>
  <c r="D6" i="16"/>
  <c r="E6" i="16"/>
  <c r="F6" i="16"/>
  <c r="B7" i="16"/>
  <c r="C7" i="16"/>
  <c r="D7" i="16"/>
  <c r="E7" i="16"/>
  <c r="F7" i="16"/>
  <c r="B8" i="16"/>
  <c r="C8" i="16"/>
  <c r="D8" i="16"/>
  <c r="E8" i="16"/>
  <c r="F8" i="16"/>
  <c r="B9" i="16"/>
  <c r="C9" i="16"/>
  <c r="D9" i="16"/>
  <c r="E9" i="16"/>
  <c r="F9" i="16"/>
  <c r="B10" i="16"/>
  <c r="C10" i="16"/>
  <c r="D10" i="16"/>
  <c r="E10" i="16"/>
  <c r="F10" i="16"/>
  <c r="B11" i="16"/>
  <c r="C11" i="16"/>
  <c r="D11" i="16"/>
  <c r="E11" i="16"/>
  <c r="F11" i="16"/>
  <c r="B12" i="16"/>
  <c r="C12" i="16"/>
  <c r="D12" i="16"/>
  <c r="E12" i="16"/>
  <c r="F12" i="16"/>
  <c r="B13" i="16"/>
  <c r="C13" i="16"/>
  <c r="D13" i="16"/>
  <c r="E13" i="16"/>
  <c r="F13" i="16"/>
  <c r="B14" i="16"/>
  <c r="C14" i="16"/>
  <c r="D14" i="16"/>
  <c r="E14" i="16"/>
  <c r="F14" i="16"/>
  <c r="B15" i="16"/>
  <c r="C15" i="16"/>
  <c r="D15" i="16"/>
  <c r="E15" i="16"/>
  <c r="F15" i="16"/>
  <c r="B16" i="16"/>
  <c r="C16" i="16"/>
  <c r="D16" i="16"/>
  <c r="E16" i="16"/>
  <c r="F16" i="16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1" i="16"/>
  <c r="H169" i="7"/>
  <c r="C169" i="7"/>
  <c r="B169" i="7"/>
  <c r="B148" i="7"/>
  <c r="B143" i="7"/>
  <c r="B151" i="7"/>
  <c r="L164" i="7"/>
  <c r="M164" i="7"/>
  <c r="K164" i="7"/>
  <c r="J164" i="7"/>
  <c r="I164" i="7"/>
  <c r="H164" i="7"/>
  <c r="B164" i="7"/>
  <c r="B142" i="7"/>
  <c r="C163" i="7"/>
  <c r="D163" i="7"/>
  <c r="G163" i="7"/>
  <c r="L172" i="7"/>
  <c r="I172" i="7"/>
  <c r="H172" i="7"/>
  <c r="B153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C14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C4" i="7"/>
  <c r="C5" i="7"/>
  <c r="C6" i="7"/>
  <c r="C7" i="7"/>
  <c r="C8" i="7"/>
  <c r="C9" i="7"/>
  <c r="C10" i="7"/>
  <c r="C11" i="7"/>
  <c r="C12" i="7"/>
  <c r="C13" i="7"/>
  <c r="C3" i="7"/>
  <c r="H161" i="7" a="1"/>
  <c r="H161" i="7"/>
  <c r="I161" i="7"/>
  <c r="J161" i="7"/>
  <c r="K161" i="7"/>
  <c r="L161" i="7"/>
  <c r="M161" i="7"/>
  <c r="A69" i="15"/>
  <c r="B69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A70" i="15"/>
  <c r="B70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A71" i="15"/>
  <c r="B71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A72" i="15"/>
  <c r="B72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A73" i="15"/>
  <c r="B73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A74" i="15"/>
  <c r="B74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A75" i="15"/>
  <c r="B75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A76" i="15"/>
  <c r="B76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A77" i="15"/>
  <c r="B77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78" i="15"/>
  <c r="B78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A79" i="15"/>
  <c r="B79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A80" i="15"/>
  <c r="B80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A81" i="15"/>
  <c r="B81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A82" i="15"/>
  <c r="B82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A83" i="15"/>
  <c r="B83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A84" i="15"/>
  <c r="B84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A85" i="15"/>
  <c r="B85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86" i="15"/>
  <c r="B86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A87" i="15"/>
  <c r="B87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A88" i="15"/>
  <c r="B88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89" i="15"/>
  <c r="B89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A90" i="15"/>
  <c r="B90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A69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70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71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72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73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74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75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76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77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78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79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80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81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82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83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84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85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86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87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88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89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90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G131" i="8"/>
  <c r="G130" i="8"/>
  <c r="G129" i="8"/>
  <c r="G128" i="8"/>
  <c r="G127" i="8"/>
  <c r="G126" i="8"/>
  <c r="G125" i="8"/>
  <c r="G124" i="8"/>
  <c r="G123" i="8"/>
  <c r="G122" i="8"/>
  <c r="G121" i="8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C5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F2" i="7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/>
  <c r="H1" i="7"/>
  <c r="J1" i="7"/>
  <c r="L1" i="7"/>
  <c r="N1" i="7"/>
  <c r="P1" i="7"/>
  <c r="R1" i="7"/>
  <c r="T1" i="7"/>
  <c r="V1" i="7"/>
  <c r="X1" i="7"/>
  <c r="Z1" i="7"/>
  <c r="AB1" i="7"/>
  <c r="AD1" i="7"/>
  <c r="AF1" i="7"/>
  <c r="AH1" i="7"/>
  <c r="C1" i="7"/>
  <c r="E1" i="7"/>
  <c r="G1" i="7"/>
  <c r="I1" i="7"/>
  <c r="K1" i="7"/>
  <c r="M1" i="7"/>
  <c r="O1" i="7"/>
  <c r="Q1" i="7"/>
  <c r="S1" i="7"/>
  <c r="U1" i="7"/>
  <c r="W1" i="7"/>
  <c r="Y1" i="7"/>
  <c r="AA1" i="7"/>
  <c r="AC1" i="7"/>
  <c r="AE1" i="7"/>
  <c r="AG1" i="7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/>
  <c r="F1" i="4"/>
  <c r="H1" i="4"/>
  <c r="J1" i="4"/>
  <c r="L1" i="4"/>
  <c r="N1" i="4"/>
  <c r="P1" i="4"/>
  <c r="R1" i="4"/>
  <c r="T1" i="4"/>
  <c r="V1" i="4"/>
  <c r="X1" i="4"/>
  <c r="Z1" i="4"/>
  <c r="AB1" i="4"/>
  <c r="AD1" i="4"/>
  <c r="AF1" i="4"/>
  <c r="AH1" i="4"/>
  <c r="C1" i="4"/>
  <c r="E1" i="4"/>
  <c r="G1" i="4"/>
  <c r="I1" i="4"/>
  <c r="K1" i="4"/>
  <c r="M1" i="4"/>
  <c r="O1" i="4"/>
  <c r="Q1" i="4"/>
  <c r="S1" i="4"/>
  <c r="U1" i="4"/>
  <c r="W1" i="4"/>
  <c r="Y1" i="4"/>
  <c r="AA1" i="4"/>
  <c r="AC1" i="4"/>
  <c r="AE1" i="4"/>
  <c r="AG1" i="4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/>
  <c r="F1" i="11"/>
  <c r="H1" i="11"/>
  <c r="J1" i="11"/>
  <c r="L1" i="11"/>
  <c r="N1" i="11"/>
  <c r="P1" i="11"/>
  <c r="R1" i="11"/>
  <c r="T1" i="11"/>
  <c r="V1" i="11"/>
  <c r="X1" i="11"/>
  <c r="Z1" i="11"/>
  <c r="AB1" i="11"/>
  <c r="AD1" i="11"/>
  <c r="AF1" i="11"/>
  <c r="AH1" i="11"/>
  <c r="C1" i="11"/>
  <c r="E1" i="11"/>
  <c r="G1" i="11"/>
  <c r="I1" i="11"/>
  <c r="K1" i="11"/>
  <c r="M1" i="11"/>
  <c r="O1" i="11"/>
  <c r="Q1" i="11"/>
  <c r="S1" i="11"/>
  <c r="U1" i="11"/>
  <c r="W1" i="11"/>
  <c r="Y1" i="11"/>
  <c r="AA1" i="11"/>
  <c r="AC1" i="11"/>
  <c r="AE1" i="11"/>
  <c r="AG1" i="1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B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D1" i="15"/>
  <c r="F1" i="15"/>
  <c r="H1" i="15"/>
  <c r="J1" i="15"/>
  <c r="L1" i="15"/>
  <c r="N1" i="15"/>
  <c r="P1" i="15"/>
  <c r="R1" i="15"/>
  <c r="T1" i="15"/>
  <c r="V1" i="15"/>
  <c r="X1" i="15"/>
  <c r="Z1" i="15"/>
  <c r="AB1" i="15"/>
  <c r="AD1" i="15"/>
  <c r="AF1" i="15"/>
  <c r="AH1" i="15"/>
  <c r="C1" i="15"/>
  <c r="E1" i="15"/>
  <c r="G1" i="15"/>
  <c r="I1" i="15"/>
  <c r="K1" i="15"/>
  <c r="M1" i="15"/>
  <c r="O1" i="15"/>
  <c r="Q1" i="15"/>
  <c r="S1" i="15"/>
  <c r="U1" i="15"/>
  <c r="W1" i="15"/>
  <c r="Y1" i="15"/>
  <c r="AA1" i="15"/>
  <c r="AC1" i="15"/>
  <c r="AE1" i="15"/>
  <c r="AG1" i="15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/>
  <c r="F1" i="14"/>
  <c r="H1" i="14"/>
  <c r="J1" i="14"/>
  <c r="L1" i="14"/>
  <c r="N1" i="14"/>
  <c r="P1" i="14"/>
  <c r="R1" i="14"/>
  <c r="T1" i="14"/>
  <c r="V1" i="14"/>
  <c r="X1" i="14"/>
  <c r="Z1" i="14"/>
  <c r="AB1" i="14"/>
  <c r="AD1" i="14"/>
  <c r="AF1" i="14"/>
  <c r="AH1" i="14"/>
  <c r="C1" i="14"/>
  <c r="E1" i="14"/>
  <c r="G1" i="14"/>
  <c r="I1" i="14"/>
  <c r="K1" i="14"/>
  <c r="M1" i="14"/>
  <c r="O1" i="14"/>
  <c r="Q1" i="14"/>
  <c r="S1" i="14"/>
  <c r="U1" i="14"/>
  <c r="W1" i="14"/>
  <c r="Y1" i="14"/>
  <c r="AA1" i="14"/>
  <c r="AC1" i="14"/>
  <c r="AE1" i="14"/>
  <c r="AG1" i="14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C3" i="15"/>
  <c r="B123" i="8"/>
  <c r="B124" i="8"/>
  <c r="B125" i="8"/>
  <c r="B126" i="8"/>
  <c r="B127" i="8"/>
  <c r="B128" i="8"/>
  <c r="B129" i="8"/>
  <c r="B130" i="8"/>
  <c r="B131" i="8"/>
  <c r="B122" i="8"/>
  <c r="AK12" i="5"/>
  <c r="AJ12" i="5"/>
  <c r="AI12" i="5"/>
  <c r="AH12" i="5"/>
  <c r="AG12" i="5"/>
  <c r="AF12" i="5"/>
  <c r="AE12" i="5"/>
  <c r="AD12" i="5"/>
  <c r="AC12" i="5"/>
  <c r="AL11" i="5"/>
  <c r="AJ11" i="5"/>
  <c r="AI11" i="5"/>
  <c r="AH11" i="5"/>
  <c r="AG11" i="5"/>
  <c r="AF11" i="5"/>
  <c r="AE11" i="5"/>
  <c r="AD11" i="5"/>
  <c r="AC11" i="5"/>
  <c r="AL10" i="5"/>
  <c r="AK10" i="5"/>
  <c r="AI10" i="5"/>
  <c r="AH10" i="5"/>
  <c r="AG10" i="5"/>
  <c r="AF10" i="5"/>
  <c r="AE10" i="5"/>
  <c r="AD10" i="5"/>
  <c r="AC10" i="5"/>
  <c r="AL9" i="5"/>
  <c r="AK9" i="5"/>
  <c r="AJ9" i="5"/>
  <c r="AH9" i="5"/>
  <c r="AG9" i="5"/>
  <c r="AF9" i="5"/>
  <c r="AE9" i="5"/>
  <c r="AD9" i="5"/>
  <c r="AC9" i="5"/>
  <c r="AL8" i="5"/>
  <c r="AK8" i="5"/>
  <c r="AJ8" i="5"/>
  <c r="AI8" i="5"/>
  <c r="AG8" i="5"/>
  <c r="AF8" i="5"/>
  <c r="AE8" i="5"/>
  <c r="AD8" i="5"/>
  <c r="AC8" i="5"/>
  <c r="AL7" i="5"/>
  <c r="AK7" i="5"/>
  <c r="AJ7" i="5"/>
  <c r="AI7" i="5"/>
  <c r="AH7" i="5"/>
  <c r="AF7" i="5"/>
  <c r="AE7" i="5"/>
  <c r="AD7" i="5"/>
  <c r="AC7" i="5"/>
  <c r="AL6" i="5"/>
  <c r="AK6" i="5"/>
  <c r="AJ6" i="5"/>
  <c r="AI6" i="5"/>
  <c r="AH6" i="5"/>
  <c r="AG6" i="5"/>
  <c r="AE6" i="5"/>
  <c r="AD6" i="5"/>
  <c r="AC6" i="5"/>
  <c r="AL5" i="5"/>
  <c r="AK5" i="5"/>
  <c r="AJ5" i="5"/>
  <c r="AI5" i="5"/>
  <c r="AH5" i="5"/>
  <c r="AG5" i="5"/>
  <c r="AF5" i="5"/>
  <c r="AD5" i="5"/>
  <c r="AC5" i="5"/>
  <c r="AL4" i="5"/>
  <c r="AK4" i="5"/>
  <c r="AJ4" i="5"/>
  <c r="AI4" i="5"/>
  <c r="AH4" i="5"/>
  <c r="AG4" i="5"/>
  <c r="AF4" i="5"/>
  <c r="AE4" i="5"/>
  <c r="AC4" i="5"/>
  <c r="AL3" i="5"/>
  <c r="AK3" i="5"/>
  <c r="AJ3" i="5"/>
  <c r="AI3" i="5"/>
  <c r="AH3" i="5"/>
  <c r="AG3" i="5"/>
  <c r="AF3" i="5"/>
  <c r="AE3" i="5"/>
  <c r="AD3" i="5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B163" i="8"/>
  <c r="B164" i="8"/>
  <c r="B165" i="8"/>
  <c r="B166" i="8"/>
  <c r="B167" i="8"/>
  <c r="B168" i="8"/>
  <c r="B169" i="8"/>
  <c r="B170" i="8"/>
  <c r="B171" i="8"/>
  <c r="B172" i="8"/>
  <c r="B162" i="8"/>
  <c r="B142" i="8" a="1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F4" i="5"/>
  <c r="G4" i="5"/>
  <c r="H4" i="5"/>
  <c r="I4" i="5"/>
  <c r="J4" i="5"/>
  <c r="K4" i="5"/>
  <c r="L4" i="5"/>
  <c r="B5" i="5"/>
  <c r="C5" i="5"/>
  <c r="D5" i="5"/>
  <c r="F5" i="5"/>
  <c r="G5" i="5"/>
  <c r="H5" i="5"/>
  <c r="I5" i="5"/>
  <c r="J5" i="5"/>
  <c r="K5" i="5"/>
  <c r="L5" i="5"/>
  <c r="B6" i="5"/>
  <c r="C6" i="5"/>
  <c r="D6" i="5"/>
  <c r="F6" i="5"/>
  <c r="G6" i="5"/>
  <c r="H6" i="5"/>
  <c r="I6" i="5"/>
  <c r="J6" i="5"/>
  <c r="K6" i="5"/>
  <c r="L6" i="5"/>
  <c r="B7" i="5"/>
  <c r="C7" i="5"/>
  <c r="D7" i="5"/>
  <c r="F7" i="5"/>
  <c r="G7" i="5"/>
  <c r="H7" i="5"/>
  <c r="I7" i="5"/>
  <c r="J7" i="5"/>
  <c r="K7" i="5"/>
  <c r="L7" i="5"/>
  <c r="B8" i="5"/>
  <c r="C8" i="5"/>
  <c r="D8" i="5"/>
  <c r="F8" i="5"/>
  <c r="G8" i="5"/>
  <c r="H8" i="5"/>
  <c r="I8" i="5"/>
  <c r="J8" i="5"/>
  <c r="K8" i="5"/>
  <c r="L8" i="5"/>
  <c r="B9" i="5"/>
  <c r="C9" i="5"/>
  <c r="D9" i="5"/>
  <c r="F9" i="5"/>
  <c r="G9" i="5"/>
  <c r="H9" i="5"/>
  <c r="I9" i="5"/>
  <c r="J9" i="5"/>
  <c r="K9" i="5"/>
  <c r="L9" i="5"/>
  <c r="B10" i="5"/>
  <c r="C10" i="5"/>
  <c r="D10" i="5"/>
  <c r="F10" i="5"/>
  <c r="G10" i="5"/>
  <c r="H10" i="5"/>
  <c r="I10" i="5"/>
  <c r="J10" i="5"/>
  <c r="K10" i="5"/>
  <c r="L10" i="5"/>
  <c r="B11" i="5"/>
  <c r="C11" i="5"/>
  <c r="D11" i="5"/>
  <c r="F11" i="5"/>
  <c r="G11" i="5"/>
  <c r="H11" i="5"/>
  <c r="I11" i="5"/>
  <c r="J11" i="5"/>
  <c r="K11" i="5"/>
  <c r="L11" i="5"/>
  <c r="B12" i="5"/>
  <c r="C12" i="5"/>
  <c r="D12" i="5"/>
  <c r="F12" i="5"/>
  <c r="G12" i="5"/>
  <c r="H12" i="5"/>
  <c r="I12" i="5"/>
  <c r="J12" i="5"/>
  <c r="K12" i="5"/>
  <c r="L12" i="5"/>
  <c r="C2" i="5"/>
  <c r="D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</calcChain>
</file>

<file path=xl/sharedStrings.xml><?xml version="1.0" encoding="utf-8"?>
<sst xmlns="http://schemas.openxmlformats.org/spreadsheetml/2006/main" count="765" uniqueCount="124">
  <si>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</si>
  <si>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</si>
  <si>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</si>
  <si>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</si>
  <si>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</si>
  <si>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</si>
  <si>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</si>
  <si>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</si>
  <si>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</si>
  <si>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</si>
  <si>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</si>
  <si>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</si>
  <si>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</si>
  <si>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</si>
  <si>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</si>
  <si>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</si>
  <si>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</si>
  <si>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</si>
  <si>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</si>
  <si>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</si>
  <si>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</si>
  <si>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</si>
  <si>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</si>
  <si>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</si>
  <si>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</si>
  <si>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</si>
  <si>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</si>
  <si>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</si>
  <si>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</si>
  <si>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</si>
  <si>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</si>
  <si>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</si>
  <si>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</si>
  <si>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</si>
  <si>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</si>
  <si>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</si>
  <si>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</si>
  <si>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</si>
  <si>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</si>
  <si>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</si>
  <si>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</si>
  <si>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</si>
  <si>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</si>
  <si>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</si>
  <si>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</si>
  <si>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</si>
  <si>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</si>
  <si>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</si>
  <si>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</si>
  <si>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</si>
  <si>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</si>
  <si>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</si>
  <si>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</si>
  <si>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</si>
  <si>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</si>
  <si>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</si>
  <si>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</si>
  <si>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</si>
  <si>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</si>
  <si>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</si>
  <si>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</si>
  <si>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</si>
  <si>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</si>
  <si>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</si>
  <si>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</si>
  <si>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</si>
  <si>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</si>
  <si>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</si>
  <si>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</si>
  <si>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</si>
  <si>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</si>
  <si>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</si>
  <si>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</si>
  <si>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</si>
  <si>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</si>
  <si>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</si>
  <si>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</si>
  <si>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</si>
  <si>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</si>
  <si>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</si>
  <si>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</si>
  <si>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</si>
  <si>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</si>
  <si>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</si>
  <si>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</si>
  <si>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</si>
  <si>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</si>
  <si>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</si>
  <si>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</si>
  <si>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</si>
  <si>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</si>
  <si>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</si>
  <si>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</si>
  <si>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</si>
  <si>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</si>
  <si>
    <t>Crop!A160</t>
  </si>
  <si>
    <t>Teff and Barley</t>
  </si>
  <si>
    <t>and others</t>
  </si>
  <si>
    <t>all pulse</t>
  </si>
  <si>
    <t>and rootcrops</t>
  </si>
  <si>
    <t>and oilseeds</t>
  </si>
  <si>
    <t>and wheat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</si>
  <si>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</si>
  <si>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</si>
  <si>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</si>
  <si>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</si>
  <si>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</si>
  <si>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</si>
  <si>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</si>
  <si>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Location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</si>
  <si>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</si>
  <si>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</si>
  <si>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</si>
  <si>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</si>
  <si>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</si>
  <si>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</si>
  <si>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</si>
  <si>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</si>
  <si>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Elec!A41</t>
  </si>
  <si>
    <t>Elec!K41</t>
  </si>
  <si>
    <t>Elec!F41</t>
  </si>
  <si>
    <t>Population in million</t>
  </si>
  <si>
    <t>qWInit</t>
  </si>
  <si>
    <t>Crop!A181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</si>
</sst>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0" borderId="0"/>
  </cellStyleXfs>
  <cellXfs count="31">
    <xf numFmtId="0" fontId="0" fillId="0" borderId="0" xfId="0"/>
    <xf numFmtId="0" fontId="3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2" fillId="2" borderId="1" xfId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3" borderId="0" xfId="0" applyFill="1"/>
    <xf numFmtId="0" fontId="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1" fillId="0" borderId="0" xfId="2" applyNumberFormat="1"/>
  </cellXfs>
  <cellStyles count="3">
    <cellStyle name="Input" xfId="1" builtinId="20"/>
    <cellStyle name="Normal" xfId="0" builtinId="0"/>
    <cellStyle name="Normal 2" xfId="2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6"/>
  <sheetViews>
    <sheetView tabSelected="1" zoomScale="85" zoomScaleNormal="85" workbookViewId="0">
      <selection activeCell="A36" sqref="A36"/>
    </sheetView>
  </sheetViews>
  <sheetFormatPr defaultColWidth="11" defaultRowHeight="15.75"/>
  <cols>
    <col min="2" max="2" width="14.5" bestFit="1" customWidth="1"/>
    <col min="3" max="3" width="12.37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81</v>
      </c>
      <c r="C2" t="s">
        <v>82</v>
      </c>
      <c r="D2">
        <v>2</v>
      </c>
      <c r="E2">
        <v>2</v>
      </c>
    </row>
    <row r="3" spans="1:5">
      <c r="A3" t="s">
        <v>33</v>
      </c>
      <c r="B3" t="s">
        <v>44</v>
      </c>
      <c r="C3" t="s">
        <v>45</v>
      </c>
      <c r="D3">
        <v>1</v>
      </c>
      <c r="E3">
        <v>1</v>
      </c>
    </row>
    <row r="4" spans="1:5">
      <c r="A4" t="s">
        <v>33</v>
      </c>
      <c r="B4" t="s">
        <v>46</v>
      </c>
      <c r="C4" t="s">
        <v>47</v>
      </c>
      <c r="D4">
        <v>1</v>
      </c>
      <c r="E4">
        <v>1</v>
      </c>
    </row>
    <row r="5" spans="1:5">
      <c r="A5" t="s">
        <v>33</v>
      </c>
      <c r="B5" t="s">
        <v>48</v>
      </c>
      <c r="C5" t="s">
        <v>50</v>
      </c>
      <c r="D5">
        <v>1</v>
      </c>
      <c r="E5">
        <v>1</v>
      </c>
    </row>
    <row r="6" spans="1:5">
      <c r="A6" t="s">
        <v>33</v>
      </c>
      <c r="B6" t="s">
        <v>49</v>
      </c>
      <c r="C6" t="s">
        <v>51</v>
      </c>
      <c r="D6">
        <v>1</v>
      </c>
      <c r="E6">
        <v>1</v>
      </c>
    </row>
    <row r="7" spans="1:5">
      <c r="A7" t="s">
        <v>33</v>
      </c>
      <c r="B7" t="s">
        <v>52</v>
      </c>
      <c r="C7" t="s">
        <v>53</v>
      </c>
      <c r="D7">
        <v>1</v>
      </c>
      <c r="E7">
        <v>1</v>
      </c>
    </row>
    <row r="8" spans="1:5">
      <c r="A8" t="s">
        <v>33</v>
      </c>
      <c r="B8" t="s">
        <v>54</v>
      </c>
      <c r="C8" t="s">
        <v>55</v>
      </c>
      <c r="D8">
        <v>1</v>
      </c>
      <c r="E8">
        <v>1</v>
      </c>
    </row>
    <row r="9" spans="1:5">
      <c r="A9" t="s">
        <v>33</v>
      </c>
      <c r="B9" t="s">
        <v>57</v>
      </c>
      <c r="C9" t="s">
        <v>56</v>
      </c>
      <c r="D9">
        <v>1</v>
      </c>
      <c r="E9">
        <v>0</v>
      </c>
    </row>
    <row r="10" spans="1:5">
      <c r="A10" t="s">
        <v>33</v>
      </c>
      <c r="B10" t="s">
        <v>58</v>
      </c>
      <c r="C10" t="s">
        <v>66</v>
      </c>
      <c r="D10">
        <v>1</v>
      </c>
      <c r="E10">
        <v>0</v>
      </c>
    </row>
    <row r="11" spans="1:5">
      <c r="A11" t="s">
        <v>33</v>
      </c>
      <c r="B11" t="s">
        <v>59</v>
      </c>
      <c r="C11" t="s">
        <v>67</v>
      </c>
      <c r="D11">
        <v>1</v>
      </c>
      <c r="E11">
        <v>0</v>
      </c>
    </row>
    <row r="12" spans="1:5">
      <c r="A12" t="s">
        <v>33</v>
      </c>
      <c r="B12" s="9" t="s">
        <v>92</v>
      </c>
      <c r="C12" t="s">
        <v>93</v>
      </c>
      <c r="D12">
        <v>1</v>
      </c>
      <c r="E12">
        <v>1</v>
      </c>
    </row>
    <row r="13" spans="1:5">
      <c r="A13" t="s">
        <v>33</v>
      </c>
      <c r="B13" s="9" t="s">
        <v>91</v>
      </c>
      <c r="C13" t="s">
        <v>94</v>
      </c>
      <c r="D13">
        <v>1</v>
      </c>
      <c r="E13">
        <v>1</v>
      </c>
    </row>
    <row r="14" spans="1:5">
      <c r="A14" t="s">
        <v>33</v>
      </c>
      <c r="B14" t="s">
        <v>83</v>
      </c>
      <c r="C14" t="s">
        <v>84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64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65</v>
      </c>
      <c r="C18" t="s">
        <v>95</v>
      </c>
      <c r="D18">
        <v>1</v>
      </c>
      <c r="E18">
        <v>2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68</v>
      </c>
      <c r="C21" t="s">
        <v>69</v>
      </c>
      <c r="D21">
        <v>1</v>
      </c>
      <c r="E21">
        <v>1</v>
      </c>
    </row>
    <row r="22" spans="1:5">
      <c r="A22" t="s">
        <v>25</v>
      </c>
      <c r="B22" s="9" t="s">
        <v>80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72</v>
      </c>
      <c r="C23" t="s">
        <v>73</v>
      </c>
      <c r="D23">
        <v>1</v>
      </c>
      <c r="E23">
        <v>1</v>
      </c>
    </row>
    <row r="24" spans="1:5">
      <c r="A24" t="s">
        <v>33</v>
      </c>
      <c r="B24" t="s">
        <v>70</v>
      </c>
      <c r="C24" t="s">
        <v>71</v>
      </c>
      <c r="D24">
        <v>1</v>
      </c>
      <c r="E24">
        <v>1</v>
      </c>
    </row>
    <row r="25" spans="1:5">
      <c r="A25" t="s">
        <v>25</v>
      </c>
      <c r="B25" s="9" t="s">
        <v>74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75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76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77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78</v>
      </c>
      <c r="C29" t="s">
        <v>79</v>
      </c>
      <c r="D29">
        <v>1</v>
      </c>
      <c r="E29">
        <v>0</v>
      </c>
    </row>
    <row r="30" spans="1:5">
      <c r="A30" t="s">
        <v>33</v>
      </c>
      <c r="B30" s="9" t="s">
        <v>85</v>
      </c>
      <c r="C30" t="s">
        <v>87</v>
      </c>
      <c r="D30">
        <v>2</v>
      </c>
      <c r="E30">
        <v>2</v>
      </c>
    </row>
    <row r="31" spans="1:5">
      <c r="A31" t="s">
        <v>33</v>
      </c>
      <c r="B31" s="9" t="s">
        <v>86</v>
      </c>
      <c r="C31" t="s">
        <v>88</v>
      </c>
      <c r="D31">
        <v>2</v>
      </c>
      <c r="E31">
        <v>2</v>
      </c>
    </row>
    <row r="32" spans="1:5">
      <c r="A32" t="s">
        <v>33</v>
      </c>
      <c r="B32" s="9" t="s">
        <v>89</v>
      </c>
      <c r="C32" t="s">
        <v>90</v>
      </c>
      <c r="D32">
        <v>1</v>
      </c>
      <c r="E32">
        <v>2</v>
      </c>
    </row>
    <row r="33" spans="1:5">
      <c r="A33" t="s">
        <v>33</v>
      </c>
      <c r="B33" s="9" t="s">
        <v>117</v>
      </c>
      <c r="C33" t="s">
        <v>118</v>
      </c>
      <c r="D33">
        <v>1</v>
      </c>
      <c r="E33">
        <v>0</v>
      </c>
    </row>
    <row r="34" spans="1:5">
      <c r="A34" t="s">
        <v>33</v>
      </c>
      <c r="B34" s="9" t="s">
        <v>115</v>
      </c>
      <c r="C34" t="s">
        <v>120</v>
      </c>
      <c r="D34">
        <v>1</v>
      </c>
      <c r="E34">
        <v>0</v>
      </c>
    </row>
    <row r="35" spans="1:5">
      <c r="A35" t="s">
        <v>33</v>
      </c>
      <c r="B35" s="9" t="s">
        <v>116</v>
      </c>
      <c r="C35" t="s">
        <v>119</v>
      </c>
      <c r="D35">
        <v>1</v>
      </c>
      <c r="E35">
        <v>0</v>
      </c>
    </row>
    <row r="36" spans="1:5">
      <c r="A36" t="s">
        <v>33</v>
      </c>
      <c r="B36" s="9" t="s">
        <v>122</v>
      </c>
      <c r="C36" t="s">
        <v>123</v>
      </c>
      <c r="D36">
        <v>1</v>
      </c>
      <c r="E36">
        <v>1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48"/>
  <sheetViews>
    <sheetView topLeftCell="B1" zoomScale="85" zoomScaleNormal="85" workbookViewId="0">
      <selection activeCell="M18" sqref="M18"/>
    </sheetView>
  </sheetViews>
  <sheetFormatPr defaultRowHeight="15.75"/>
  <cols>
    <col min="1" max="1" width="3.75" hidden="1" customWidth="1"/>
    <col min="2" max="2" width="14.5" bestFit="1" customWidth="1"/>
    <col min="3" max="3" width="12.375" bestFit="1" customWidth="1"/>
    <col min="4" max="5" width="2" hidden="1" customWidth="1"/>
    <col min="12" max="12" width="16" bestFit="1" customWidth="1"/>
    <col min="13" max="13" width="94" customWidth="1"/>
    <col min="14" max="14" width="73.125" customWidth="1"/>
  </cols>
  <sheetData>
    <row r="1" spans="1:14" s="10" customFormat="1">
      <c r="A1" s="10" t="str">
        <f>IF(index!A1="","",index!A1)</f>
        <v/>
      </c>
      <c r="B1" s="22" t="s">
        <v>108</v>
      </c>
      <c r="C1" s="10" t="s">
        <v>109</v>
      </c>
      <c r="F1" s="19" t="s">
        <v>104</v>
      </c>
      <c r="G1" s="20"/>
      <c r="H1" s="20"/>
      <c r="I1" s="20"/>
      <c r="J1" s="20"/>
      <c r="K1" s="21"/>
      <c r="L1" s="22" t="s">
        <v>105</v>
      </c>
      <c r="M1" s="23" t="s">
        <v>106</v>
      </c>
      <c r="N1" s="22" t="s">
        <v>110</v>
      </c>
    </row>
    <row r="2" spans="1:14">
      <c r="A2" t="str">
        <f>IF(index!A2="","",index!A2)</f>
        <v>par</v>
      </c>
      <c r="B2" s="11" t="str">
        <f>IF(index!B2="","",index!B2)</f>
        <v>aFAO</v>
      </c>
      <c r="C2" s="12" t="str">
        <f>IF(index!C2="","",index!C2)</f>
        <v>aFAO!A1</v>
      </c>
      <c r="D2">
        <f>IF(index!D2="","",index!D2)</f>
        <v>2</v>
      </c>
      <c r="E2">
        <f>IF(index!E2="","",index!E2)</f>
        <v>2</v>
      </c>
      <c r="F2" s="24" t="str">
        <f>IF(index!F2="","",index!F2)</f>
        <v/>
      </c>
      <c r="G2" s="25" t="s">
        <v>78</v>
      </c>
      <c r="H2" s="25"/>
      <c r="I2" s="25" t="s">
        <v>76</v>
      </c>
      <c r="J2" s="25" t="s">
        <v>103</v>
      </c>
      <c r="K2" s="26" t="s">
        <v>74</v>
      </c>
      <c r="L2" s="17"/>
      <c r="M2" s="14" t="s">
        <v>102</v>
      </c>
      <c r="N2" s="17"/>
    </row>
    <row r="3" spans="1:14">
      <c r="A3" t="str">
        <f>IF(index!A3="","",index!A3)</f>
        <v>par</v>
      </c>
      <c r="B3" s="13" t="str">
        <f>IF(index!B3="","",index!B3)</f>
        <v>pr_Hide</v>
      </c>
      <c r="C3" s="14" t="str">
        <f>IF(index!C3="","",index!C3)</f>
        <v>Cattle!A1</v>
      </c>
      <c r="D3">
        <f>IF(index!D3="","",index!D3)</f>
        <v>1</v>
      </c>
      <c r="E3">
        <f>IF(index!E3="","",index!E3)</f>
        <v>1</v>
      </c>
      <c r="F3" s="24" t="str">
        <f>IF(index!F3="","",index!F3)</f>
        <v/>
      </c>
      <c r="G3" s="25"/>
      <c r="H3" s="25"/>
      <c r="I3" s="25" t="s">
        <v>76</v>
      </c>
      <c r="J3" s="25"/>
      <c r="K3" s="26" t="s">
        <v>74</v>
      </c>
      <c r="L3" s="17"/>
      <c r="M3" s="14"/>
      <c r="N3" s="17"/>
    </row>
    <row r="4" spans="1:14">
      <c r="A4" t="str">
        <f>IF(index!A4="","",index!A4)</f>
        <v>par</v>
      </c>
      <c r="B4" s="13" t="str">
        <f>IF(index!B4="","",index!B4)</f>
        <v>Yld_H</v>
      </c>
      <c r="C4" s="14" t="str">
        <f>IF(index!C4="","",index!C4)</f>
        <v>Cattle!A21</v>
      </c>
      <c r="D4">
        <f>IF(index!D4="","",index!D4)</f>
        <v>1</v>
      </c>
      <c r="E4">
        <f>IF(index!E4="","",index!E4)</f>
        <v>1</v>
      </c>
      <c r="F4" s="24" t="str">
        <f>IF(index!F4="","",index!F4)</f>
        <v/>
      </c>
      <c r="G4" s="25"/>
      <c r="H4" s="25"/>
      <c r="I4" s="25" t="s">
        <v>76</v>
      </c>
      <c r="J4" s="25"/>
      <c r="K4" s="26" t="s">
        <v>74</v>
      </c>
      <c r="L4" s="17"/>
      <c r="M4" s="14"/>
      <c r="N4" s="17"/>
    </row>
    <row r="5" spans="1:14">
      <c r="A5" t="str">
        <f>IF(index!A5="","",index!A5)</f>
        <v>par</v>
      </c>
      <c r="B5" s="13" t="str">
        <f>IF(index!B5="","",index!B5)</f>
        <v>k</v>
      </c>
      <c r="C5" s="14" t="str">
        <f>IF(index!C5="","",index!C5)</f>
        <v>Cattle!A41</v>
      </c>
      <c r="D5">
        <f>IF(index!D5="","",index!D5)</f>
        <v>1</v>
      </c>
      <c r="E5">
        <f>IF(index!E5="","",index!E5)</f>
        <v>1</v>
      </c>
      <c r="F5" s="24" t="str">
        <f>IF(index!F5="","",index!F5)</f>
        <v/>
      </c>
      <c r="G5" s="25"/>
      <c r="H5" s="25"/>
      <c r="I5" s="25" t="s">
        <v>76</v>
      </c>
      <c r="J5" s="25"/>
      <c r="K5" s="26" t="s">
        <v>74</v>
      </c>
      <c r="L5" s="17"/>
      <c r="M5" s="14"/>
      <c r="N5" s="17"/>
    </row>
    <row r="6" spans="1:14">
      <c r="A6" t="str">
        <f>IF(index!A6="","",index!A6)</f>
        <v>par</v>
      </c>
      <c r="B6" s="13" t="str">
        <f>IF(index!B6="","",index!B6)</f>
        <v>kappa</v>
      </c>
      <c r="C6" s="14" t="str">
        <f>IF(index!C6="","",index!C6)</f>
        <v>Cattle!A61</v>
      </c>
      <c r="D6">
        <f>IF(index!D6="","",index!D6)</f>
        <v>1</v>
      </c>
      <c r="E6">
        <f>IF(index!E6="","",index!E6)</f>
        <v>1</v>
      </c>
      <c r="F6" s="24" t="str">
        <f>IF(index!F6="","",index!F6)</f>
        <v/>
      </c>
      <c r="G6" s="25"/>
      <c r="H6" s="25"/>
      <c r="I6" s="25" t="s">
        <v>76</v>
      </c>
      <c r="J6" s="25"/>
      <c r="K6" s="26" t="s">
        <v>74</v>
      </c>
      <c r="L6" s="17"/>
      <c r="M6" s="14"/>
      <c r="N6" s="17"/>
    </row>
    <row r="7" spans="1:14">
      <c r="A7" t="str">
        <f>IF(index!A7="","",index!A7)</f>
        <v>par</v>
      </c>
      <c r="B7" s="13" t="str">
        <f>IF(index!B7="","",index!B7)</f>
        <v>C_Cow</v>
      </c>
      <c r="C7" s="14" t="str">
        <f>IF(index!C7="","",index!C7)</f>
        <v>Cattle!A81</v>
      </c>
      <c r="D7">
        <f>IF(index!D7="","",index!D7)</f>
        <v>1</v>
      </c>
      <c r="E7">
        <f>IF(index!E7="","",index!E7)</f>
        <v>1</v>
      </c>
      <c r="F7" s="24" t="str">
        <f>IF(index!F7="","",index!F7)</f>
        <v/>
      </c>
      <c r="G7" s="25"/>
      <c r="H7" s="25"/>
      <c r="I7" s="25" t="s">
        <v>76</v>
      </c>
      <c r="J7" s="25"/>
      <c r="K7" s="26" t="s">
        <v>74</v>
      </c>
      <c r="L7" s="17"/>
      <c r="M7" s="14"/>
      <c r="N7" s="17"/>
    </row>
    <row r="8" spans="1:14">
      <c r="A8" t="str">
        <f>IF(index!A8="","",index!A8)</f>
        <v>par</v>
      </c>
      <c r="B8" s="13" t="str">
        <f>IF(index!B8="","",index!B8)</f>
        <v>CowtranYr1</v>
      </c>
      <c r="C8" s="14" t="str">
        <f>IF(index!C8="","",index!C8)</f>
        <v>Cattle!A101</v>
      </c>
      <c r="D8">
        <f>IF(index!D8="","",index!D8)</f>
        <v>1</v>
      </c>
      <c r="E8">
        <f>IF(index!E8="","",index!E8)</f>
        <v>1</v>
      </c>
      <c r="F8" s="24" t="str">
        <f>IF(index!F8="","",index!F8)</f>
        <v/>
      </c>
      <c r="G8" s="25"/>
      <c r="H8" s="25"/>
      <c r="I8" s="25" t="s">
        <v>76</v>
      </c>
      <c r="J8" s="25"/>
      <c r="K8" s="26" t="s">
        <v>74</v>
      </c>
      <c r="L8" s="17"/>
      <c r="M8" s="14"/>
      <c r="N8" s="17"/>
    </row>
    <row r="9" spans="1:14">
      <c r="A9" t="str">
        <f>IF(index!A9="","",index!A9)</f>
        <v>par</v>
      </c>
      <c r="B9" s="13" t="str">
        <f>IF(index!B9="","",index!B9)</f>
        <v>InitCow</v>
      </c>
      <c r="C9" s="14" t="str">
        <f>IF(index!C9="","",index!C9)</f>
        <v>Cattle!A121</v>
      </c>
      <c r="D9">
        <f>IF(index!D9="","",index!D9)</f>
        <v>1</v>
      </c>
      <c r="E9">
        <f>IF(index!E9="","",index!E9)</f>
        <v>0</v>
      </c>
      <c r="F9" s="24" t="str">
        <f>IF(index!F9="","",index!F9)</f>
        <v/>
      </c>
      <c r="G9" s="25"/>
      <c r="H9" s="25"/>
      <c r="I9" s="25" t="s">
        <v>76</v>
      </c>
      <c r="J9" s="25"/>
      <c r="K9" s="26"/>
      <c r="L9" s="17"/>
      <c r="M9" s="14"/>
      <c r="N9" s="17"/>
    </row>
    <row r="10" spans="1:14">
      <c r="A10" t="str">
        <f>IF(index!A10="","",index!A10)</f>
        <v>par</v>
      </c>
      <c r="B10" s="13" t="str">
        <f>IF(index!B10="","",index!B10)</f>
        <v>Herdsize</v>
      </c>
      <c r="C10" s="14" t="str">
        <f>IF(index!C10="","",index!C10)</f>
        <v>Cattle!F121</v>
      </c>
      <c r="D10">
        <f>IF(index!D10="","",index!D10)</f>
        <v>1</v>
      </c>
      <c r="E10">
        <f>IF(index!E10="","",index!E10)</f>
        <v>0</v>
      </c>
      <c r="F10" s="24" t="str">
        <f>IF(index!F10="","",index!F10)</f>
        <v/>
      </c>
      <c r="G10" s="25"/>
      <c r="H10" s="25"/>
      <c r="I10" s="25" t="s">
        <v>76</v>
      </c>
      <c r="J10" s="25"/>
      <c r="K10" s="26"/>
      <c r="L10" s="17"/>
      <c r="M10" s="14"/>
      <c r="N10" s="17"/>
    </row>
    <row r="11" spans="1:14">
      <c r="A11" t="str">
        <f>IF(index!A11="","",index!A11)</f>
        <v>par</v>
      </c>
      <c r="B11" s="13" t="str">
        <f>IF(index!B11="","",index!B11)</f>
        <v>CowDeath</v>
      </c>
      <c r="C11" s="14" t="str">
        <f>IF(index!C11="","",index!C11)</f>
        <v>Cattle!K121</v>
      </c>
      <c r="D11">
        <f>IF(index!D11="","",index!D11)</f>
        <v>1</v>
      </c>
      <c r="E11">
        <f>IF(index!E11="","",index!E11)</f>
        <v>0</v>
      </c>
      <c r="F11" s="24" t="str">
        <f>IF(index!F11="","",index!F11)</f>
        <v/>
      </c>
      <c r="G11" s="25"/>
      <c r="H11" s="25"/>
      <c r="I11" s="25" t="s">
        <v>76</v>
      </c>
      <c r="J11" s="25"/>
      <c r="K11" s="26"/>
      <c r="L11" s="17"/>
      <c r="M11" s="14"/>
      <c r="N11" s="17"/>
    </row>
    <row r="12" spans="1:14">
      <c r="A12" t="str">
        <f>IF(index!A12="","",index!A12)</f>
        <v>par</v>
      </c>
      <c r="B12" s="13" t="str">
        <f>IF(index!B12="","",index!B12)</f>
        <v>BeefYield</v>
      </c>
      <c r="C12" s="14" t="str">
        <f>IF(index!C12="","",index!C12)</f>
        <v>Cattle!A141</v>
      </c>
      <c r="D12">
        <f>IF(index!D12="","",index!D12)</f>
        <v>1</v>
      </c>
      <c r="E12">
        <f>IF(index!E12="","",index!E12)</f>
        <v>1</v>
      </c>
      <c r="F12" s="24" t="str">
        <f>IF(index!F12="","",index!F12)</f>
        <v/>
      </c>
      <c r="G12" s="25"/>
      <c r="H12" s="25"/>
      <c r="I12" s="25" t="s">
        <v>76</v>
      </c>
      <c r="J12" s="25"/>
      <c r="K12" s="26" t="s">
        <v>74</v>
      </c>
      <c r="L12" s="17"/>
      <c r="M12" s="14"/>
      <c r="N12" s="17"/>
    </row>
    <row r="13" spans="1:14">
      <c r="A13" t="str">
        <f>IF(index!A13="","",index!A13)</f>
        <v>par</v>
      </c>
      <c r="B13" s="13" t="str">
        <f>IF(index!B13="","",index!B13)</f>
        <v>MilkYield</v>
      </c>
      <c r="C13" s="14" t="str">
        <f>IF(index!C13="","",index!C13)</f>
        <v>Cattle!A161</v>
      </c>
      <c r="D13">
        <f>IF(index!D13="","",index!D13)</f>
        <v>1</v>
      </c>
      <c r="E13">
        <f>IF(index!E13="","",index!E13)</f>
        <v>1</v>
      </c>
      <c r="F13" s="24" t="str">
        <f>IF(index!F13="","",index!F13)</f>
        <v/>
      </c>
      <c r="G13" s="25"/>
      <c r="H13" s="25"/>
      <c r="I13" s="25" t="s">
        <v>76</v>
      </c>
      <c r="J13" s="25"/>
      <c r="K13" s="26" t="s">
        <v>74</v>
      </c>
      <c r="L13" s="17"/>
      <c r="M13" s="14"/>
      <c r="N13" s="17"/>
    </row>
    <row r="14" spans="1:14">
      <c r="A14" t="str">
        <f>IF(index!A14="","",index!A14)</f>
        <v>par</v>
      </c>
      <c r="B14" s="13" t="str">
        <f>IF(index!B14="","",index!B14)</f>
        <v>C_prod</v>
      </c>
      <c r="C14" s="14" t="str">
        <f>IF(index!C14="","",index!C14)</f>
        <v>Crop!A1</v>
      </c>
      <c r="D14">
        <f>IF(index!D14="","",index!D14)</f>
        <v>2</v>
      </c>
      <c r="E14">
        <f>IF(index!E14="","",index!E14)</f>
        <v>2</v>
      </c>
      <c r="F14" s="24" t="str">
        <f>IF(index!F14="","",index!F14)</f>
        <v/>
      </c>
      <c r="G14" s="25" t="s">
        <v>78</v>
      </c>
      <c r="H14" s="25"/>
      <c r="I14" s="25" t="s">
        <v>76</v>
      </c>
      <c r="J14" s="25" t="s">
        <v>103</v>
      </c>
      <c r="K14" s="26" t="s">
        <v>74</v>
      </c>
      <c r="L14" s="17"/>
      <c r="M14" s="14"/>
      <c r="N14" s="17"/>
    </row>
    <row r="15" spans="1:14">
      <c r="A15" t="str">
        <f>IF(index!A15="","",index!A15)</f>
        <v>par</v>
      </c>
      <c r="B15" s="13" t="str">
        <f>IF(index!B15="","",index!B15)</f>
        <v>C_convert</v>
      </c>
      <c r="C15" s="14" t="str">
        <f>IF(index!C15="","",index!C15)</f>
        <v>Crop!A101</v>
      </c>
      <c r="D15">
        <f>IF(index!D15="","",index!D15)</f>
        <v>1</v>
      </c>
      <c r="E15">
        <f>IF(index!E15="","",index!E15)</f>
        <v>1</v>
      </c>
      <c r="F15" s="24" t="str">
        <f>IF(index!F15="","",index!F15)</f>
        <v/>
      </c>
      <c r="G15" s="25"/>
      <c r="H15" s="25"/>
      <c r="I15" s="25" t="s">
        <v>76</v>
      </c>
      <c r="J15" s="25"/>
      <c r="K15" s="26" t="s">
        <v>74</v>
      </c>
      <c r="L15" s="17"/>
      <c r="M15" s="14"/>
      <c r="N15" s="17"/>
    </row>
    <row r="16" spans="1:14">
      <c r="A16" t="str">
        <f>IF(index!A16="","",index!A16)</f>
        <v>par</v>
      </c>
      <c r="B16" s="13" t="str">
        <f>IF(index!B16="","",index!B16)</f>
        <v>C_chg</v>
      </c>
      <c r="C16" s="14" t="str">
        <f>IF(index!C16="","",index!C16)</f>
        <v>Crop!A121</v>
      </c>
      <c r="D16">
        <f>IF(index!D16="","",index!D16)</f>
        <v>1</v>
      </c>
      <c r="E16">
        <f>IF(index!E16="","",index!E16)</f>
        <v>1</v>
      </c>
      <c r="F16" s="24" t="str">
        <f>IF(index!F16="","",index!F16)</f>
        <v/>
      </c>
      <c r="G16" s="25"/>
      <c r="H16" s="25"/>
      <c r="I16" s="25" t="s">
        <v>76</v>
      </c>
      <c r="J16" s="25"/>
      <c r="K16" s="26" t="s">
        <v>74</v>
      </c>
      <c r="L16" s="17"/>
      <c r="M16" s="14"/>
      <c r="N16" s="17"/>
    </row>
    <row r="17" spans="1:14">
      <c r="A17" t="str">
        <f>IF(index!A17="","",index!A17)</f>
        <v>par</v>
      </c>
      <c r="B17" s="13" t="str">
        <f>IF(index!B17="","",index!B17)</f>
        <v>TotArea</v>
      </c>
      <c r="C17" s="14" t="str">
        <f>IF(index!C17="","",index!C17)</f>
        <v>Crop!A141</v>
      </c>
      <c r="D17">
        <f>IF(index!D17="","",index!D17)</f>
        <v>1</v>
      </c>
      <c r="E17">
        <f>IF(index!E17="","",index!E17)</f>
        <v>0</v>
      </c>
      <c r="F17" s="24" t="str">
        <f>IF(index!F17="","",index!F17)</f>
        <v/>
      </c>
      <c r="G17" s="25"/>
      <c r="H17" s="25"/>
      <c r="I17" s="25" t="s">
        <v>76</v>
      </c>
      <c r="J17" s="25"/>
      <c r="K17" s="26"/>
      <c r="L17" s="17" t="s">
        <v>107</v>
      </c>
      <c r="M17" s="14"/>
      <c r="N17" s="17" t="s">
        <v>111</v>
      </c>
    </row>
    <row r="18" spans="1:14">
      <c r="A18" t="str">
        <f>IF(index!A18="","",index!A18)</f>
        <v>par</v>
      </c>
      <c r="B18" s="13" t="str">
        <f>IF(index!B18="","",index!B18)</f>
        <v>Area_init</v>
      </c>
      <c r="C18" s="14" t="str">
        <f>IF(index!C18="","",index!C18)</f>
        <v>Crop!A160</v>
      </c>
      <c r="D18">
        <f>IF(index!D18="","",index!D18)</f>
        <v>1</v>
      </c>
      <c r="E18">
        <f>IF(index!E18="","",index!E18)</f>
        <v>2</v>
      </c>
      <c r="F18" s="24" t="str">
        <f>IF(index!F18="","",index!F18)</f>
        <v/>
      </c>
      <c r="G18" s="25" t="s">
        <v>78</v>
      </c>
      <c r="H18" s="25"/>
      <c r="I18" s="25" t="s">
        <v>76</v>
      </c>
      <c r="J18" s="25" t="s">
        <v>103</v>
      </c>
      <c r="K18" s="26"/>
      <c r="L18" s="17" t="s">
        <v>107</v>
      </c>
      <c r="M18" s="14"/>
      <c r="N18" s="17" t="s">
        <v>111</v>
      </c>
    </row>
    <row r="19" spans="1:14">
      <c r="A19" t="str">
        <f>IF(index!A19="","",index!A19)</f>
        <v>par</v>
      </c>
      <c r="B19" s="13" t="str">
        <f>IF(index!B19="","",index!B19)</f>
        <v>CYF</v>
      </c>
      <c r="C19" s="14" t="str">
        <f>IF(index!C19="","",index!C19)</f>
        <v>CYF!A1</v>
      </c>
      <c r="D19">
        <f>IF(index!D19="","",index!D19)</f>
        <v>2</v>
      </c>
      <c r="E19">
        <f>IF(index!E19="","",index!E19)</f>
        <v>2</v>
      </c>
      <c r="F19" s="24" t="str">
        <f>IF(index!F19="","",index!F19)</f>
        <v/>
      </c>
      <c r="G19" s="25" t="s">
        <v>78</v>
      </c>
      <c r="H19" s="25"/>
      <c r="I19" s="25" t="s">
        <v>76</v>
      </c>
      <c r="J19" s="25" t="s">
        <v>103</v>
      </c>
      <c r="K19" s="26" t="s">
        <v>74</v>
      </c>
      <c r="L19" s="17"/>
      <c r="M19" s="14"/>
      <c r="N19" s="17"/>
    </row>
    <row r="20" spans="1:14">
      <c r="A20" t="str">
        <f>IF(index!A20="","",index!A20)</f>
        <v>par</v>
      </c>
      <c r="B20" s="13" t="str">
        <f>IF(index!B20="","",index!B20)</f>
        <v>DiscFact</v>
      </c>
      <c r="C20" s="14" t="str">
        <f>IF(index!C20="","",index!C20)</f>
        <v>DiscFact!A1</v>
      </c>
      <c r="D20">
        <f>IF(index!D20="","",index!D20)</f>
        <v>1</v>
      </c>
      <c r="E20">
        <f>IF(index!E20="","",index!E20)</f>
        <v>0</v>
      </c>
      <c r="F20" s="24" t="str">
        <f>IF(index!F20="","",index!F20)</f>
        <v/>
      </c>
      <c r="G20" s="25"/>
      <c r="H20" s="25"/>
      <c r="I20" s="25"/>
      <c r="J20" s="25"/>
      <c r="K20" s="26" t="s">
        <v>74</v>
      </c>
      <c r="L20" s="17"/>
      <c r="M20" s="14"/>
      <c r="N20" s="17"/>
    </row>
    <row r="21" spans="1:14">
      <c r="A21" t="str">
        <f>IF(index!A21="","",index!A21)</f>
        <v>set</v>
      </c>
      <c r="B21" s="13" t="str">
        <f>IF(index!B21="","",index!B21)</f>
        <v>Eline</v>
      </c>
      <c r="C21" s="14" t="str">
        <f>IF(index!C21="","",index!C21)</f>
        <v>ElecLine!A1</v>
      </c>
      <c r="D21">
        <f>IF(index!D21="","",index!D21)</f>
        <v>1</v>
      </c>
      <c r="E21">
        <f>IF(index!E21="","",index!E21)</f>
        <v>1</v>
      </c>
      <c r="F21" s="24" t="str">
        <f>IF(index!F21="","",index!F21)</f>
        <v/>
      </c>
      <c r="G21" s="25"/>
      <c r="H21" s="25" t="s">
        <v>76</v>
      </c>
      <c r="I21" s="25" t="s">
        <v>76</v>
      </c>
      <c r="J21" s="25"/>
      <c r="K21" s="26"/>
      <c r="L21" s="17"/>
      <c r="M21" s="14"/>
      <c r="N21" s="17"/>
    </row>
    <row r="22" spans="1:14">
      <c r="A22" t="str">
        <f>IF(index!A22="","",index!A22)</f>
        <v>set</v>
      </c>
      <c r="B22" s="13" t="str">
        <f>IF(index!B22="","",index!B22)</f>
        <v>Road</v>
      </c>
      <c r="C22" s="14" t="str">
        <f>IF(index!C22="","",index!C22)</f>
        <v>Roads!A1</v>
      </c>
      <c r="D22">
        <f>IF(index!D22="","",index!D22)</f>
        <v>1</v>
      </c>
      <c r="E22">
        <f>IF(index!E22="","",index!E22)</f>
        <v>1</v>
      </c>
      <c r="F22" s="24" t="str">
        <f>IF(index!F22="","",index!F22)</f>
        <v/>
      </c>
      <c r="G22" s="25"/>
      <c r="H22" s="25" t="s">
        <v>76</v>
      </c>
      <c r="I22" s="25" t="s">
        <v>76</v>
      </c>
      <c r="J22" s="25"/>
      <c r="K22" s="26"/>
      <c r="L22" s="17" t="s">
        <v>112</v>
      </c>
      <c r="M22" s="14"/>
      <c r="N22" s="17" t="s">
        <v>113</v>
      </c>
    </row>
    <row r="23" spans="1:14">
      <c r="A23" t="str">
        <f>IF(index!A23="","",index!A23)</f>
        <v>par</v>
      </c>
      <c r="B23" s="13" t="str">
        <f>IF(index!B23="","",index!B23)</f>
        <v>CF_Road_data</v>
      </c>
      <c r="C23" s="14" t="str">
        <f>IF(index!C23="","",index!C23)</f>
        <v>Roads!AA1</v>
      </c>
      <c r="D23">
        <f>IF(index!D23="","",index!D23)</f>
        <v>1</v>
      </c>
      <c r="E23">
        <f>IF(index!E23="","",index!E23)</f>
        <v>1</v>
      </c>
      <c r="F23" s="24" t="str">
        <f>IF(index!F23="","",index!F23)</f>
        <v/>
      </c>
      <c r="G23" s="25"/>
      <c r="H23" s="25" t="s">
        <v>76</v>
      </c>
      <c r="I23" s="25" t="s">
        <v>76</v>
      </c>
      <c r="J23" s="25"/>
      <c r="K23" s="26"/>
      <c r="L23" s="17"/>
      <c r="M23" s="14"/>
      <c r="N23" s="17"/>
    </row>
    <row r="24" spans="1:14">
      <c r="A24" t="str">
        <f>IF(index!A24="","",index!A24)</f>
        <v>par</v>
      </c>
      <c r="B24" s="13" t="str">
        <f>IF(index!B24="","",index!B24)</f>
        <v>Cap_Road</v>
      </c>
      <c r="C24" s="14" t="str">
        <f>IF(index!C24="","",index!C24)</f>
        <v>Roads!N1</v>
      </c>
      <c r="D24">
        <f>IF(index!D24="","",index!D24)</f>
        <v>1</v>
      </c>
      <c r="E24">
        <f>IF(index!E24="","",index!E24)</f>
        <v>1</v>
      </c>
      <c r="F24" s="24" t="str">
        <f>IF(index!F24="","",index!F24)</f>
        <v/>
      </c>
      <c r="G24" s="25"/>
      <c r="H24" s="25" t="s">
        <v>76</v>
      </c>
      <c r="I24" s="25" t="s">
        <v>76</v>
      </c>
      <c r="J24" s="25"/>
      <c r="K24" s="26"/>
      <c r="L24" s="17"/>
      <c r="M24" s="14"/>
      <c r="N24" s="17"/>
    </row>
    <row r="25" spans="1:14">
      <c r="A25" t="str">
        <f>IF(index!A25="","",index!A25)</f>
        <v>set</v>
      </c>
      <c r="B25" s="13" t="str">
        <f>IF(index!B25="","",index!B25)</f>
        <v>Year</v>
      </c>
      <c r="C25" s="14" t="str">
        <f>IF(index!C25="","",index!C25)</f>
        <v>sets!B3</v>
      </c>
      <c r="D25">
        <f>IF(index!D25="","",index!D25)</f>
        <v>1</v>
      </c>
      <c r="E25">
        <f>IF(index!E25="","",index!E25)</f>
        <v>0</v>
      </c>
      <c r="F25" s="24" t="str">
        <f>IF(index!F25="","",index!F25)</f>
        <v/>
      </c>
      <c r="G25" s="25"/>
      <c r="H25" s="25"/>
      <c r="I25" s="25"/>
      <c r="J25" s="25"/>
      <c r="K25" s="26"/>
      <c r="L25" s="17" t="s">
        <v>112</v>
      </c>
      <c r="M25" s="14"/>
      <c r="N25" s="17" t="s">
        <v>113</v>
      </c>
    </row>
    <row r="26" spans="1:14">
      <c r="A26" t="str">
        <f>IF(index!A26="","",index!A26)</f>
        <v>set</v>
      </c>
      <c r="B26" s="13" t="str">
        <f>IF(index!B26="","",index!B26)</f>
        <v>Season</v>
      </c>
      <c r="C26" s="14" t="str">
        <f>IF(index!C26="","",index!C26)</f>
        <v>sets!d3</v>
      </c>
      <c r="D26">
        <f>IF(index!D26="","",index!D26)</f>
        <v>1</v>
      </c>
      <c r="E26">
        <f>IF(index!E26="","",index!E26)</f>
        <v>0</v>
      </c>
      <c r="F26" s="24" t="str">
        <f>IF(index!F26="","",index!F26)</f>
        <v/>
      </c>
      <c r="G26" s="25"/>
      <c r="H26" s="25"/>
      <c r="I26" s="25"/>
      <c r="J26" s="25"/>
      <c r="K26" s="26"/>
      <c r="L26" s="17"/>
      <c r="M26" s="14"/>
      <c r="N26" s="17"/>
    </row>
    <row r="27" spans="1:14">
      <c r="A27" t="str">
        <f>IF(index!A27="","",index!A27)</f>
        <v>set</v>
      </c>
      <c r="B27" s="13" t="str">
        <f>IF(index!B27="","",index!B27)</f>
        <v>Node</v>
      </c>
      <c r="C27" s="14" t="str">
        <f>IF(index!C27="","",index!C27)</f>
        <v>sets!f3</v>
      </c>
      <c r="D27">
        <f>IF(index!D27="","",index!D27)</f>
        <v>1</v>
      </c>
      <c r="E27">
        <f>IF(index!E27="","",index!E27)</f>
        <v>0</v>
      </c>
      <c r="F27" s="24" t="str">
        <f>IF(index!F27="","",index!F27)</f>
        <v/>
      </c>
      <c r="G27" s="25"/>
      <c r="H27" s="25"/>
      <c r="I27" s="25"/>
      <c r="J27" s="25"/>
      <c r="K27" s="26"/>
      <c r="L27" s="17"/>
      <c r="M27" s="14"/>
      <c r="N27" s="17"/>
    </row>
    <row r="28" spans="1:14">
      <c r="A28" t="str">
        <f>IF(index!A28="","",index!A28)</f>
        <v>set</v>
      </c>
      <c r="B28" s="13" t="str">
        <f>IF(index!B28="","",index!B28)</f>
        <v>FoodItem</v>
      </c>
      <c r="C28" s="14" t="str">
        <f>IF(index!C28="","",index!C28)</f>
        <v>sets!h3</v>
      </c>
      <c r="D28">
        <f>IF(index!D28="","",index!D28)</f>
        <v>1</v>
      </c>
      <c r="E28">
        <f>IF(index!E28="","",index!E28)</f>
        <v>0</v>
      </c>
      <c r="F28" s="24" t="str">
        <f>IF(index!F28="","",index!F28)</f>
        <v/>
      </c>
      <c r="G28" s="25"/>
      <c r="H28" s="25"/>
      <c r="I28" s="25"/>
      <c r="J28" s="25"/>
      <c r="K28" s="26"/>
      <c r="L28" s="17"/>
      <c r="M28" s="14"/>
      <c r="N28" s="17"/>
    </row>
    <row r="29" spans="1:14">
      <c r="A29" t="str">
        <f>IF(index!A29="","",index!A29)</f>
        <v>set</v>
      </c>
      <c r="B29" s="13" t="str">
        <f>IF(index!B29="","",index!B29)</f>
        <v>Crop</v>
      </c>
      <c r="C29" s="14" t="str">
        <f>IF(index!C29="","",index!C29)</f>
        <v>sets!j3</v>
      </c>
      <c r="D29">
        <f>IF(index!D29="","",index!D29)</f>
        <v>1</v>
      </c>
      <c r="E29">
        <f>IF(index!E29="","",index!E29)</f>
        <v>0</v>
      </c>
      <c r="F29" s="24" t="str">
        <f>IF(index!F29="","",index!F29)</f>
        <v/>
      </c>
      <c r="G29" s="25"/>
      <c r="H29" s="25"/>
      <c r="I29" s="25"/>
      <c r="J29" s="25"/>
      <c r="K29" s="26"/>
      <c r="L29" s="17"/>
      <c r="M29" s="14"/>
      <c r="N29" s="17"/>
    </row>
    <row r="30" spans="1:14">
      <c r="A30" t="str">
        <f>IF(index!A30="","",index!A30)</f>
        <v>par</v>
      </c>
      <c r="B30" s="13" t="str">
        <f>IF(index!B30="","",index!B30)</f>
        <v>DemInt</v>
      </c>
      <c r="C30" s="14" t="str">
        <f>IF(index!C30="","",index!C30)</f>
        <v>DemInt!A1</v>
      </c>
      <c r="D30">
        <f>IF(index!D30="","",index!D30)</f>
        <v>2</v>
      </c>
      <c r="E30">
        <f>IF(index!E30="","",index!E30)</f>
        <v>2</v>
      </c>
      <c r="F30" s="24" t="str">
        <f>IF(index!F30="","",index!F30)</f>
        <v/>
      </c>
      <c r="G30" s="25" t="s">
        <v>78</v>
      </c>
      <c r="H30" s="25"/>
      <c r="I30" s="25" t="s">
        <v>76</v>
      </c>
      <c r="J30" s="25" t="s">
        <v>103</v>
      </c>
      <c r="K30" s="26" t="s">
        <v>74</v>
      </c>
      <c r="L30" s="17"/>
      <c r="M30" s="14"/>
      <c r="N30" s="17"/>
    </row>
    <row r="31" spans="1:14">
      <c r="A31" t="str">
        <f>IF(index!A31="","",index!A31)</f>
        <v>par</v>
      </c>
      <c r="B31" s="13" t="str">
        <f>IF(index!B31="","",index!B31)</f>
        <v>DemSlope</v>
      </c>
      <c r="C31" s="14" t="str">
        <f>IF(index!C31="","",index!C31)</f>
        <v>DemSlope!A1</v>
      </c>
      <c r="D31">
        <f>IF(index!D31="","",index!D31)</f>
        <v>2</v>
      </c>
      <c r="E31">
        <f>IF(index!E31="","",index!E31)</f>
        <v>2</v>
      </c>
      <c r="F31" s="24" t="str">
        <f>IF(index!F31="","",index!F31)</f>
        <v/>
      </c>
      <c r="G31" s="25" t="s">
        <v>78</v>
      </c>
      <c r="H31" s="25"/>
      <c r="I31" s="25" t="s">
        <v>76</v>
      </c>
      <c r="J31" s="25" t="s">
        <v>103</v>
      </c>
      <c r="K31" s="26" t="s">
        <v>74</v>
      </c>
      <c r="L31" s="17"/>
      <c r="M31" s="14"/>
      <c r="N31" s="17"/>
    </row>
    <row r="32" spans="1:14">
      <c r="A32" t="str">
        <f>IF(index!A32="","",index!A32)</f>
        <v>par</v>
      </c>
      <c r="B32" s="13" t="str">
        <f>IF(index!B32="","",index!B32)</f>
        <v>Base_Elec_Dem</v>
      </c>
      <c r="C32" s="14" t="str">
        <f>IF(index!C32="","",index!C32)</f>
        <v>Elec!A1</v>
      </c>
      <c r="D32">
        <f>IF(index!D32="","",index!D32)</f>
        <v>1</v>
      </c>
      <c r="E32">
        <f>IF(index!E32="","",index!E32)</f>
        <v>2</v>
      </c>
      <c r="F32" s="24" t="str">
        <f>IF(index!F32="","",index!F32)</f>
        <v/>
      </c>
      <c r="G32" s="25"/>
      <c r="H32" s="25"/>
      <c r="I32" s="25" t="s">
        <v>76</v>
      </c>
      <c r="J32" s="25" t="s">
        <v>103</v>
      </c>
      <c r="K32" s="26" t="s">
        <v>74</v>
      </c>
      <c r="L32" s="17"/>
      <c r="M32" s="14"/>
      <c r="N32" s="17"/>
    </row>
    <row r="33" spans="1:14">
      <c r="A33" t="str">
        <f>IF(index!A33="","",index!A33)</f>
        <v>par</v>
      </c>
      <c r="B33" s="13" t="str">
        <f>IF(index!B33="","",index!B33)</f>
        <v>Cap_Elec1</v>
      </c>
      <c r="C33" s="14" t="str">
        <f>IF(index!C33="","",index!C33)</f>
        <v>Elec!A41</v>
      </c>
      <c r="D33">
        <f>IF(index!D33="","",index!D33)</f>
        <v>1</v>
      </c>
      <c r="E33">
        <f>IF(index!E33="","",index!E33)</f>
        <v>0</v>
      </c>
      <c r="F33" s="24" t="str">
        <f>IF(index!F33="","",index!F33)</f>
        <v/>
      </c>
      <c r="G33" s="25"/>
      <c r="H33" s="25"/>
      <c r="I33" s="25"/>
      <c r="J33" s="25"/>
      <c r="K33" s="26"/>
      <c r="L33" s="17"/>
      <c r="M33" s="14"/>
      <c r="N33" s="17"/>
    </row>
    <row r="34" spans="1:14">
      <c r="A34" t="str">
        <f>IF(index!A34="","",index!A34)</f>
        <v>par</v>
      </c>
      <c r="B34" s="13" t="str">
        <f>IF(index!B34="","",index!B34)</f>
        <v>C_Elec_L1</v>
      </c>
      <c r="C34" s="14" t="str">
        <f>IF(index!C34="","",index!C34)</f>
        <v>Elec!F41</v>
      </c>
      <c r="D34">
        <f>IF(index!D34="","",index!D34)</f>
        <v>1</v>
      </c>
      <c r="E34">
        <f>IF(index!E34="","",index!E34)</f>
        <v>0</v>
      </c>
      <c r="F34" s="24" t="str">
        <f>IF(index!F34="","",index!F34)</f>
        <v/>
      </c>
      <c r="G34" s="25"/>
      <c r="H34" s="25"/>
      <c r="I34" s="25"/>
      <c r="J34" s="25"/>
      <c r="K34" s="26"/>
      <c r="L34" s="17"/>
      <c r="M34" s="14"/>
      <c r="N34" s="17"/>
    </row>
    <row r="35" spans="1:14">
      <c r="A35" t="str">
        <f>IF(index!A35="","",index!A35)</f>
        <v>par</v>
      </c>
      <c r="B35" s="13" t="str">
        <f>IF(index!B35="","",index!B35)</f>
        <v>C_Elec_Q1</v>
      </c>
      <c r="C35" s="14" t="str">
        <f>IF(index!C35="","",index!C35)</f>
        <v>Elec!K41</v>
      </c>
      <c r="D35">
        <f>IF(index!D35="","",index!D35)</f>
        <v>1</v>
      </c>
      <c r="E35">
        <f>IF(index!E35="","",index!E35)</f>
        <v>0</v>
      </c>
      <c r="F35" s="24" t="str">
        <f>IF(index!F35="","",index!F35)</f>
        <v/>
      </c>
      <c r="G35" s="25"/>
      <c r="H35" s="25"/>
      <c r="I35" s="25"/>
      <c r="J35" s="25"/>
      <c r="K35" s="26"/>
      <c r="L35" s="17"/>
      <c r="M35" s="14"/>
      <c r="N35" s="17"/>
    </row>
    <row r="36" spans="1:14">
      <c r="A36" t="str">
        <f>IF(index!A36="","",index!A36)</f>
        <v>par</v>
      </c>
      <c r="B36" s="13" t="str">
        <f>IF(index!B36="","",index!B36)</f>
        <v>qWInit</v>
      </c>
      <c r="C36" s="14" t="str">
        <f>IF(index!C36="","",index!C36)</f>
        <v>Crop!A181</v>
      </c>
      <c r="D36">
        <f>IF(index!D36="","",index!D36)</f>
        <v>1</v>
      </c>
      <c r="E36">
        <f>IF(index!E36="","",index!E36)</f>
        <v>1</v>
      </c>
      <c r="F36" s="24" t="str">
        <f>IF(index!F36="","",index!F36)</f>
        <v/>
      </c>
      <c r="G36" s="25"/>
      <c r="H36" s="25"/>
      <c r="I36" s="25"/>
      <c r="J36" s="25"/>
      <c r="K36" s="26"/>
      <c r="L36" s="17"/>
      <c r="M36" s="14"/>
      <c r="N36" s="17"/>
    </row>
    <row r="37" spans="1:14">
      <c r="A37" t="str">
        <f>IF(index!A37="","",index!A37)</f>
        <v/>
      </c>
      <c r="B37" s="13" t="str">
        <f>IF(index!B37="","",index!B37)</f>
        <v/>
      </c>
      <c r="C37" s="14" t="str">
        <f>IF(index!C37="","",index!C37)</f>
        <v/>
      </c>
      <c r="D37" t="str">
        <f>IF(index!D37="","",index!D37)</f>
        <v/>
      </c>
      <c r="E37" t="str">
        <f>IF(index!E37="","",index!E37)</f>
        <v/>
      </c>
      <c r="F37" s="24" t="str">
        <f>IF(index!F37="","",index!F37)</f>
        <v/>
      </c>
      <c r="G37" s="25"/>
      <c r="H37" s="25"/>
      <c r="I37" s="25"/>
      <c r="J37" s="25"/>
      <c r="K37" s="26"/>
      <c r="L37" s="17"/>
      <c r="M37" s="14"/>
      <c r="N37" s="17"/>
    </row>
    <row r="38" spans="1:14">
      <c r="A38" t="str">
        <f>IF(index!A38="","",index!A38)</f>
        <v/>
      </c>
      <c r="B38" s="13" t="str">
        <f>IF(index!B38="","",index!B38)</f>
        <v/>
      </c>
      <c r="C38" s="14" t="str">
        <f>IF(index!C38="","",index!C38)</f>
        <v/>
      </c>
      <c r="D38" t="str">
        <f>IF(index!D38="","",index!D38)</f>
        <v/>
      </c>
      <c r="E38" t="str">
        <f>IF(index!E38="","",index!E38)</f>
        <v/>
      </c>
      <c r="F38" s="24" t="str">
        <f>IF(index!F38="","",index!F38)</f>
        <v/>
      </c>
      <c r="G38" s="25"/>
      <c r="H38" s="25"/>
      <c r="I38" s="25"/>
      <c r="J38" s="25"/>
      <c r="K38" s="26"/>
      <c r="L38" s="17"/>
      <c r="M38" s="14"/>
      <c r="N38" s="17"/>
    </row>
    <row r="39" spans="1:14">
      <c r="A39" t="str">
        <f>IF(index!A39="","",index!A39)</f>
        <v/>
      </c>
      <c r="B39" s="13" t="str">
        <f>IF(index!B39="","",index!B39)</f>
        <v/>
      </c>
      <c r="C39" s="14" t="str">
        <f>IF(index!C39="","",index!C39)</f>
        <v/>
      </c>
      <c r="D39" t="str">
        <f>IF(index!D39="","",index!D39)</f>
        <v/>
      </c>
      <c r="E39" t="str">
        <f>IF(index!E39="","",index!E39)</f>
        <v/>
      </c>
      <c r="F39" s="24" t="str">
        <f>IF(index!F39="","",index!F39)</f>
        <v/>
      </c>
      <c r="G39" s="25"/>
      <c r="H39" s="25"/>
      <c r="I39" s="25"/>
      <c r="J39" s="25"/>
      <c r="K39" s="26"/>
      <c r="L39" s="17"/>
      <c r="M39" s="14"/>
      <c r="N39" s="17"/>
    </row>
    <row r="40" spans="1:14">
      <c r="A40" t="str">
        <f>IF(index!A40="","",index!A40)</f>
        <v/>
      </c>
      <c r="B40" s="13" t="str">
        <f>IF(index!B40="","",index!B40)</f>
        <v/>
      </c>
      <c r="C40" s="14" t="str">
        <f>IF(index!C40="","",index!C40)</f>
        <v/>
      </c>
      <c r="D40" t="str">
        <f>IF(index!D40="","",index!D40)</f>
        <v/>
      </c>
      <c r="E40" t="str">
        <f>IF(index!E40="","",index!E40)</f>
        <v/>
      </c>
      <c r="F40" s="24" t="str">
        <f>IF(index!F40="","",index!F40)</f>
        <v/>
      </c>
      <c r="G40" s="25"/>
      <c r="H40" s="25"/>
      <c r="I40" s="25"/>
      <c r="J40" s="25"/>
      <c r="K40" s="26"/>
      <c r="L40" s="17"/>
      <c r="M40" s="14"/>
      <c r="N40" s="17"/>
    </row>
    <row r="41" spans="1:14">
      <c r="A41" t="str">
        <f>IF(index!A41="","",index!A41)</f>
        <v/>
      </c>
      <c r="B41" s="13" t="str">
        <f>IF(index!B41="","",index!B41)</f>
        <v/>
      </c>
      <c r="C41" s="14" t="str">
        <f>IF(index!C41="","",index!C41)</f>
        <v/>
      </c>
      <c r="D41" t="str">
        <f>IF(index!D41="","",index!D41)</f>
        <v/>
      </c>
      <c r="E41" t="str">
        <f>IF(index!E41="","",index!E41)</f>
        <v/>
      </c>
      <c r="F41" s="24" t="str">
        <f>IF(index!F41="","",index!F41)</f>
        <v/>
      </c>
      <c r="G41" s="25"/>
      <c r="H41" s="25"/>
      <c r="I41" s="25"/>
      <c r="J41" s="25"/>
      <c r="K41" s="26"/>
      <c r="L41" s="17"/>
      <c r="M41" s="14"/>
      <c r="N41" s="17"/>
    </row>
    <row r="42" spans="1:14">
      <c r="A42" t="str">
        <f>IF(index!A42="","",index!A42)</f>
        <v/>
      </c>
      <c r="B42" s="13" t="str">
        <f>IF(index!B42="","",index!B42)</f>
        <v/>
      </c>
      <c r="C42" s="14" t="str">
        <f>IF(index!C42="","",index!C42)</f>
        <v/>
      </c>
      <c r="D42" t="str">
        <f>IF(index!D42="","",index!D42)</f>
        <v/>
      </c>
      <c r="E42" t="str">
        <f>IF(index!E42="","",index!E42)</f>
        <v/>
      </c>
      <c r="F42" s="24" t="str">
        <f>IF(index!F42="","",index!F42)</f>
        <v/>
      </c>
      <c r="G42" s="25"/>
      <c r="H42" s="25"/>
      <c r="I42" s="25"/>
      <c r="J42" s="25"/>
      <c r="K42" s="26"/>
      <c r="L42" s="17"/>
      <c r="M42" s="14"/>
      <c r="N42" s="17"/>
    </row>
    <row r="43" spans="1:14">
      <c r="A43" t="str">
        <f>IF(index!A43="","",index!A43)</f>
        <v/>
      </c>
      <c r="B43" s="13" t="str">
        <f>IF(index!B43="","",index!B43)</f>
        <v/>
      </c>
      <c r="C43" s="14" t="str">
        <f>IF(index!C43="","",index!C43)</f>
        <v/>
      </c>
      <c r="D43" t="str">
        <f>IF(index!D43="","",index!D43)</f>
        <v/>
      </c>
      <c r="E43" t="str">
        <f>IF(index!E43="","",index!E43)</f>
        <v/>
      </c>
      <c r="F43" s="24" t="str">
        <f>IF(index!F43="","",index!F43)</f>
        <v/>
      </c>
      <c r="G43" s="25"/>
      <c r="H43" s="25"/>
      <c r="I43" s="25"/>
      <c r="J43" s="25"/>
      <c r="K43" s="26"/>
      <c r="L43" s="17"/>
      <c r="M43" s="14"/>
      <c r="N43" s="17"/>
    </row>
    <row r="44" spans="1:14">
      <c r="A44" t="str">
        <f>IF(index!A44="","",index!A44)</f>
        <v/>
      </c>
      <c r="B44" s="13" t="str">
        <f>IF(index!B44="","",index!B44)</f>
        <v/>
      </c>
      <c r="C44" s="14" t="str">
        <f>IF(index!C44="","",index!C44)</f>
        <v/>
      </c>
      <c r="D44" t="str">
        <f>IF(index!D44="","",index!D44)</f>
        <v/>
      </c>
      <c r="E44" t="str">
        <f>IF(index!E44="","",index!E44)</f>
        <v/>
      </c>
      <c r="F44" s="24" t="str">
        <f>IF(index!F44="","",index!F44)</f>
        <v/>
      </c>
      <c r="G44" s="25"/>
      <c r="H44" s="25"/>
      <c r="I44" s="25"/>
      <c r="J44" s="25"/>
      <c r="K44" s="26"/>
      <c r="L44" s="17"/>
      <c r="M44" s="14"/>
      <c r="N44" s="17"/>
    </row>
    <row r="45" spans="1:14">
      <c r="A45" t="str">
        <f>IF(index!A45="","",index!A45)</f>
        <v/>
      </c>
      <c r="B45" s="13" t="str">
        <f>IF(index!B45="","",index!B45)</f>
        <v/>
      </c>
      <c r="C45" s="14" t="str">
        <f>IF(index!C45="","",index!C45)</f>
        <v/>
      </c>
      <c r="D45" t="str">
        <f>IF(index!D45="","",index!D45)</f>
        <v/>
      </c>
      <c r="E45" t="str">
        <f>IF(index!E45="","",index!E45)</f>
        <v/>
      </c>
      <c r="F45" s="24" t="str">
        <f>IF(index!F45="","",index!F45)</f>
        <v/>
      </c>
      <c r="G45" s="25"/>
      <c r="H45" s="25"/>
      <c r="I45" s="25"/>
      <c r="J45" s="25"/>
      <c r="K45" s="26"/>
      <c r="L45" s="17"/>
      <c r="M45" s="14"/>
      <c r="N45" s="17"/>
    </row>
    <row r="46" spans="1:14">
      <c r="A46" t="str">
        <f>IF(index!A46="","",index!A46)</f>
        <v/>
      </c>
      <c r="B46" s="13" t="str">
        <f>IF(index!B46="","",index!B46)</f>
        <v/>
      </c>
      <c r="C46" s="14" t="str">
        <f>IF(index!C46="","",index!C46)</f>
        <v/>
      </c>
      <c r="D46" t="str">
        <f>IF(index!D46="","",index!D46)</f>
        <v/>
      </c>
      <c r="E46" t="str">
        <f>IF(index!E46="","",index!E46)</f>
        <v/>
      </c>
      <c r="F46" s="24" t="str">
        <f>IF(index!F46="","",index!F46)</f>
        <v/>
      </c>
      <c r="G46" s="25"/>
      <c r="H46" s="25"/>
      <c r="I46" s="25"/>
      <c r="J46" s="25"/>
      <c r="K46" s="26"/>
      <c r="L46" s="17"/>
      <c r="M46" s="14"/>
      <c r="N46" s="17"/>
    </row>
    <row r="47" spans="1:14">
      <c r="A47" t="str">
        <f>IF(index!A47="","",index!A47)</f>
        <v/>
      </c>
      <c r="B47" s="13" t="str">
        <f>IF(index!B47="","",index!B47)</f>
        <v/>
      </c>
      <c r="C47" s="14" t="str">
        <f>IF(index!C47="","",index!C47)</f>
        <v/>
      </c>
      <c r="D47" t="str">
        <f>IF(index!D47="","",index!D47)</f>
        <v/>
      </c>
      <c r="E47" t="str">
        <f>IF(index!E47="","",index!E47)</f>
        <v/>
      </c>
      <c r="F47" s="24" t="str">
        <f>IF(index!F47="","",index!F47)</f>
        <v/>
      </c>
      <c r="G47" s="25"/>
      <c r="H47" s="25"/>
      <c r="I47" s="25"/>
      <c r="J47" s="25"/>
      <c r="K47" s="26"/>
      <c r="L47" s="17"/>
      <c r="M47" s="14"/>
      <c r="N47" s="17"/>
    </row>
    <row r="48" spans="1:14">
      <c r="A48" t="str">
        <f>IF(index!A48="","",index!A48)</f>
        <v/>
      </c>
      <c r="B48" s="15" t="str">
        <f>IF(index!B48="","",index!B48)</f>
        <v/>
      </c>
      <c r="C48" s="16" t="str">
        <f>IF(index!C48="","",index!C48)</f>
        <v/>
      </c>
      <c r="D48" t="str">
        <f>IF(index!D48="","",index!D48)</f>
        <v/>
      </c>
      <c r="E48" t="str">
        <f>IF(index!E48="","",index!E48)</f>
        <v/>
      </c>
      <c r="F48" s="27" t="str">
        <f>IF(index!F48="","",index!F48)</f>
        <v/>
      </c>
      <c r="G48" s="28"/>
      <c r="H48" s="28"/>
      <c r="I48" s="28"/>
      <c r="J48" s="28"/>
      <c r="K48" s="29"/>
      <c r="L48" s="18"/>
      <c r="M48" s="16"/>
      <c r="N48" s="18"/>
    </row>
  </sheetData>
  <mergeCells count="1">
    <mergeCell ref="F1:K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zoomScale="85" zoomScaleNormal="85" workbookViewId="0">
      <selection activeCell="A12" sqref="A12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10</v>
      </c>
      <c r="C82">
        <v>10</v>
      </c>
      <c r="D82">
        <v>10</v>
      </c>
      <c r="E82">
        <v>10</v>
      </c>
      <c r="F82">
        <v>10</v>
      </c>
      <c r="G82">
        <v>10</v>
      </c>
      <c r="H82">
        <v>10</v>
      </c>
      <c r="I82">
        <v>10</v>
      </c>
      <c r="J82">
        <v>10</v>
      </c>
      <c r="K82">
        <v>10</v>
      </c>
      <c r="L82">
        <v>10</v>
      </c>
      <c r="M82">
        <v>10</v>
      </c>
      <c r="N82">
        <v>10</v>
      </c>
      <c r="O82">
        <v>10</v>
      </c>
      <c r="P82">
        <v>10</v>
      </c>
      <c r="Q82">
        <v>10</v>
      </c>
    </row>
    <row r="83" spans="1:17">
      <c r="A83" t="str">
        <v>Afar</v>
      </c>
      <c r="B83">
        <v>10</v>
      </c>
      <c r="C83">
        <v>10</v>
      </c>
      <c r="D83">
        <v>10</v>
      </c>
      <c r="E83">
        <v>10</v>
      </c>
      <c r="F83">
        <v>10</v>
      </c>
      <c r="G83">
        <v>10</v>
      </c>
      <c r="H83">
        <v>10</v>
      </c>
      <c r="I83">
        <v>10</v>
      </c>
      <c r="J83">
        <v>10</v>
      </c>
      <c r="K83">
        <v>10</v>
      </c>
      <c r="L83">
        <v>10</v>
      </c>
      <c r="M83">
        <v>10</v>
      </c>
      <c r="N83">
        <v>10</v>
      </c>
      <c r="O83">
        <v>10</v>
      </c>
      <c r="P83">
        <v>10</v>
      </c>
      <c r="Q83">
        <v>10</v>
      </c>
    </row>
    <row r="84" spans="1:17">
      <c r="A84" t="str">
        <v>Amhara</v>
      </c>
      <c r="B84">
        <v>10</v>
      </c>
      <c r="C84">
        <v>10</v>
      </c>
      <c r="D84">
        <v>10</v>
      </c>
      <c r="E84">
        <v>10</v>
      </c>
      <c r="F84">
        <v>10</v>
      </c>
      <c r="G84">
        <v>10</v>
      </c>
      <c r="H84">
        <v>10</v>
      </c>
      <c r="I84">
        <v>10</v>
      </c>
      <c r="J84">
        <v>10</v>
      </c>
      <c r="K84">
        <v>10</v>
      </c>
      <c r="L84">
        <v>10</v>
      </c>
      <c r="M84">
        <v>10</v>
      </c>
      <c r="N84">
        <v>10</v>
      </c>
      <c r="O84">
        <v>10</v>
      </c>
      <c r="P84">
        <v>10</v>
      </c>
      <c r="Q84">
        <v>10</v>
      </c>
    </row>
    <row r="85" spans="1:17">
      <c r="A85" t="str">
        <v>Gumuz</v>
      </c>
      <c r="B85">
        <v>10</v>
      </c>
      <c r="C85">
        <v>10</v>
      </c>
      <c r="D85">
        <v>10</v>
      </c>
      <c r="E85">
        <v>10</v>
      </c>
      <c r="F85">
        <v>10</v>
      </c>
      <c r="G85">
        <v>10</v>
      </c>
      <c r="H85">
        <v>10</v>
      </c>
      <c r="I85">
        <v>10</v>
      </c>
      <c r="J85">
        <v>10</v>
      </c>
      <c r="K85">
        <v>10</v>
      </c>
      <c r="L85">
        <v>10</v>
      </c>
      <c r="M85">
        <v>10</v>
      </c>
      <c r="N85">
        <v>10</v>
      </c>
      <c r="O85">
        <v>10</v>
      </c>
      <c r="P85">
        <v>10</v>
      </c>
      <c r="Q85">
        <v>10</v>
      </c>
    </row>
    <row r="86" spans="1:17">
      <c r="A86" t="str">
        <v>DireDawa</v>
      </c>
      <c r="B86">
        <v>10</v>
      </c>
      <c r="C86">
        <v>10</v>
      </c>
      <c r="D86">
        <v>10</v>
      </c>
      <c r="E86">
        <v>10</v>
      </c>
      <c r="F86">
        <v>10</v>
      </c>
      <c r="G86">
        <v>10</v>
      </c>
      <c r="H86">
        <v>10</v>
      </c>
      <c r="I86">
        <v>10</v>
      </c>
      <c r="J86">
        <v>10</v>
      </c>
      <c r="K86">
        <v>10</v>
      </c>
      <c r="L86">
        <v>10</v>
      </c>
      <c r="M86">
        <v>10</v>
      </c>
      <c r="N86">
        <v>10</v>
      </c>
      <c r="O86">
        <v>10</v>
      </c>
      <c r="P86">
        <v>10</v>
      </c>
      <c r="Q86">
        <v>10</v>
      </c>
    </row>
    <row r="87" spans="1:17">
      <c r="A87" t="str">
        <v>Gambela</v>
      </c>
      <c r="B87">
        <v>10</v>
      </c>
      <c r="C87">
        <v>10</v>
      </c>
      <c r="D87">
        <v>10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</row>
    <row r="88" spans="1:17">
      <c r="A88" t="str">
        <v>Harari</v>
      </c>
      <c r="B88">
        <v>10</v>
      </c>
      <c r="C88">
        <v>10</v>
      </c>
      <c r="D88">
        <v>10</v>
      </c>
      <c r="E88">
        <v>10</v>
      </c>
      <c r="F88">
        <v>10</v>
      </c>
      <c r="G88">
        <v>10</v>
      </c>
      <c r="H88">
        <v>10</v>
      </c>
      <c r="I88">
        <v>10</v>
      </c>
      <c r="J88">
        <v>10</v>
      </c>
      <c r="K88">
        <v>10</v>
      </c>
      <c r="L88">
        <v>10</v>
      </c>
      <c r="M88">
        <v>10</v>
      </c>
      <c r="N88">
        <v>10</v>
      </c>
      <c r="O88">
        <v>10</v>
      </c>
      <c r="P88">
        <v>10</v>
      </c>
      <c r="Q88">
        <v>10</v>
      </c>
    </row>
    <row r="89" spans="1:17">
      <c r="A89" t="str">
        <v>Oromia</v>
      </c>
      <c r="B89">
        <v>10</v>
      </c>
      <c r="C89">
        <v>10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10</v>
      </c>
      <c r="Q89">
        <v>10</v>
      </c>
    </row>
    <row r="90" spans="1:17">
      <c r="A90" t="str">
        <v>Somali</v>
      </c>
      <c r="B90">
        <v>10</v>
      </c>
      <c r="C90">
        <v>10</v>
      </c>
      <c r="D90">
        <v>10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</row>
    <row r="91" spans="1:17">
      <c r="A91" t="str">
        <v>SNNPR</v>
      </c>
      <c r="B91">
        <v>10</v>
      </c>
      <c r="C91">
        <v>10</v>
      </c>
      <c r="D91">
        <v>10</v>
      </c>
      <c r="E91">
        <v>10</v>
      </c>
      <c r="F91">
        <v>10</v>
      </c>
      <c r="G91">
        <v>10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10</v>
      </c>
      <c r="O91">
        <v>10</v>
      </c>
      <c r="P91">
        <v>10</v>
      </c>
      <c r="Q91">
        <v>10</v>
      </c>
    </row>
    <row r="92" spans="1:17">
      <c r="A92" t="str">
        <v>Tigray</v>
      </c>
      <c r="B92">
        <v>10</v>
      </c>
      <c r="C92">
        <v>10</v>
      </c>
      <c r="D92">
        <v>10</v>
      </c>
      <c r="E92">
        <v>10</v>
      </c>
      <c r="F92">
        <v>10</v>
      </c>
      <c r="G92">
        <v>10</v>
      </c>
      <c r="H92">
        <v>10</v>
      </c>
      <c r="I92">
        <v>10</v>
      </c>
      <c r="J92">
        <v>10</v>
      </c>
      <c r="K92">
        <v>10</v>
      </c>
      <c r="L92">
        <v>10</v>
      </c>
      <c r="M92">
        <v>10</v>
      </c>
      <c r="N92">
        <v>10</v>
      </c>
      <c r="O92">
        <v>10</v>
      </c>
      <c r="P92">
        <v>10</v>
      </c>
      <c r="Q92">
        <v>10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10</v>
      </c>
      <c r="F121" t="str">
        <f t="array" ref="F121:F131">Nodes</f>
        <v>AddisAbaba</v>
      </c>
      <c r="G121">
        <f>B121-1</f>
        <v>9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B121+0.5</f>
        <v>10.5</v>
      </c>
      <c r="F122" t="str">
        <v>Afar</v>
      </c>
      <c r="G122">
        <f t="shared" ref="G122:G131" si="0">B122-1</f>
        <v>9.5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B122+0.5</f>
        <v>11</v>
      </c>
      <c r="F123" t="str">
        <v>Amhara</v>
      </c>
      <c r="G123">
        <f t="shared" si="0"/>
        <v>10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11.5</v>
      </c>
      <c r="F124" t="str">
        <v>Gumuz</v>
      </c>
      <c r="G124">
        <f t="shared" si="0"/>
        <v>10.5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12</v>
      </c>
      <c r="F125" t="str">
        <v>DireDawa</v>
      </c>
      <c r="G125">
        <f t="shared" si="0"/>
        <v>11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12.5</v>
      </c>
      <c r="F126" t="str">
        <v>Gambela</v>
      </c>
      <c r="G126">
        <f t="shared" si="0"/>
        <v>11.5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13</v>
      </c>
      <c r="F127" t="str">
        <v>Harari</v>
      </c>
      <c r="G127">
        <f t="shared" si="0"/>
        <v>12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13.5</v>
      </c>
      <c r="F128" t="str">
        <v>Oromia</v>
      </c>
      <c r="G128">
        <f t="shared" si="0"/>
        <v>12.5</v>
      </c>
      <c r="K128" t="str">
        <v>Oromia</v>
      </c>
      <c r="L128">
        <v>0.3</v>
      </c>
    </row>
    <row r="129" spans="1:17">
      <c r="A129" t="str">
        <v>Somali</v>
      </c>
      <c r="B129">
        <f t="shared" si="1"/>
        <v>14</v>
      </c>
      <c r="F129" t="str">
        <v>Somali</v>
      </c>
      <c r="G129">
        <f t="shared" si="0"/>
        <v>13</v>
      </c>
      <c r="K129" t="str">
        <v>Somali</v>
      </c>
      <c r="L129">
        <v>0.3</v>
      </c>
    </row>
    <row r="130" spans="1:17">
      <c r="A130" t="str">
        <v>SNNPR</v>
      </c>
      <c r="B130">
        <f t="shared" si="1"/>
        <v>14.5</v>
      </c>
      <c r="F130" t="str">
        <v>SNNPR</v>
      </c>
      <c r="G130">
        <f t="shared" si="0"/>
        <v>13.5</v>
      </c>
      <c r="K130" t="str">
        <v>SNNPR</v>
      </c>
      <c r="L130">
        <v>0.3</v>
      </c>
    </row>
    <row r="131" spans="1:17">
      <c r="A131" t="str">
        <v>Tigray</v>
      </c>
      <c r="B131">
        <f t="shared" si="1"/>
        <v>15</v>
      </c>
      <c r="F131" t="str">
        <v>Tigray</v>
      </c>
      <c r="G131">
        <f t="shared" si="0"/>
        <v>14</v>
      </c>
      <c r="K131" t="str">
        <v>Tigray</v>
      </c>
      <c r="L131">
        <v>0.3</v>
      </c>
    </row>
    <row r="141" spans="1:17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</row>
    <row r="142" spans="1:17">
      <c r="A142" t="str">
        <f t="array" ref="A142:A152">Nodes</f>
        <v>AddisAbaba</v>
      </c>
      <c r="B142" s="2">
        <f t="array" ref="B142:Q152" ca="1">5+RAND()*3</f>
        <v>7.6849670583319192</v>
      </c>
      <c r="C142" s="2">
        <f ca="1"/>
        <v>5.7795949651243328</v>
      </c>
      <c r="D142" s="2">
        <f ca="1"/>
        <v>6.7681028160637045</v>
      </c>
      <c r="E142" s="2">
        <f ca="1"/>
        <v>6.5123797211305128</v>
      </c>
      <c r="F142" s="2">
        <f ca="1"/>
        <v>5.9238274136663893</v>
      </c>
      <c r="G142" s="2">
        <f ca="1"/>
        <v>6.1969005683812313</v>
      </c>
      <c r="H142" s="2">
        <f ca="1"/>
        <v>7.4957593729776981</v>
      </c>
      <c r="I142" s="2">
        <f ca="1"/>
        <v>7.9606920660768274</v>
      </c>
      <c r="J142" s="2">
        <f ca="1"/>
        <v>7.557489951211747</v>
      </c>
      <c r="K142" s="2">
        <f ca="1"/>
        <v>7.980704151528494</v>
      </c>
      <c r="L142" s="2">
        <f ca="1"/>
        <v>6.4083417669171627</v>
      </c>
      <c r="M142" s="2">
        <f ca="1"/>
        <v>7.9873639486940329</v>
      </c>
      <c r="N142" s="2">
        <f ca="1"/>
        <v>5.0174492837552993</v>
      </c>
      <c r="O142" s="2">
        <f ca="1"/>
        <v>7.3324828652346827</v>
      </c>
      <c r="P142" s="2">
        <f ca="1"/>
        <v>5.9732953364612333</v>
      </c>
      <c r="Q142" s="2">
        <f ca="1"/>
        <v>6.162308584842906</v>
      </c>
    </row>
    <row r="143" spans="1:17">
      <c r="A143" t="str">
        <v>Afar</v>
      </c>
      <c r="B143" s="2">
        <f ca="1"/>
        <v>6.5172278665834833</v>
      </c>
      <c r="C143" s="2">
        <f ca="1"/>
        <v>7.4606394972428074</v>
      </c>
      <c r="D143" s="2">
        <f ca="1"/>
        <v>5.2504345553476739</v>
      </c>
      <c r="E143" s="2">
        <f ca="1"/>
        <v>7.0879831106857658</v>
      </c>
      <c r="F143" s="2">
        <f ca="1"/>
        <v>5.1856758197463835</v>
      </c>
      <c r="G143" s="2">
        <f ca="1"/>
        <v>5.331540424334408</v>
      </c>
      <c r="H143" s="2">
        <f ca="1"/>
        <v>7.5373117891623735</v>
      </c>
      <c r="I143" s="2">
        <f ca="1"/>
        <v>6.0722826771311551</v>
      </c>
      <c r="J143" s="2">
        <f ca="1"/>
        <v>6.2586838480027218</v>
      </c>
      <c r="K143" s="2">
        <f ca="1"/>
        <v>7.5108814726615432</v>
      </c>
      <c r="L143" s="2">
        <f ca="1"/>
        <v>5.3652331730551168</v>
      </c>
      <c r="M143" s="2">
        <f ca="1"/>
        <v>5.3906803535757053</v>
      </c>
      <c r="N143" s="2">
        <f ca="1"/>
        <v>6.8483859775392926</v>
      </c>
      <c r="O143" s="2">
        <f ca="1"/>
        <v>6.7788072196312283</v>
      </c>
      <c r="P143" s="2">
        <f ca="1"/>
        <v>6.3956599868548922</v>
      </c>
      <c r="Q143" s="2">
        <f ca="1"/>
        <v>6.8405900081791629</v>
      </c>
    </row>
    <row r="144" spans="1:17">
      <c r="A144" t="str">
        <v>Amhara</v>
      </c>
      <c r="B144" s="2">
        <f ca="1"/>
        <v>7.2020715323855624</v>
      </c>
      <c r="C144" s="2">
        <f ca="1"/>
        <v>5.3523338702377581</v>
      </c>
      <c r="D144" s="2">
        <f ca="1"/>
        <v>7.0089044173086474</v>
      </c>
      <c r="E144" s="2">
        <f ca="1"/>
        <v>7.5101728199856694</v>
      </c>
      <c r="F144" s="2">
        <f ca="1"/>
        <v>7.9540170298585053</v>
      </c>
      <c r="G144" s="2">
        <f ca="1"/>
        <v>5.3240182364744895</v>
      </c>
      <c r="H144" s="2">
        <f ca="1"/>
        <v>7.9932346241597996</v>
      </c>
      <c r="I144" s="2">
        <f ca="1"/>
        <v>6.6105903071301455</v>
      </c>
      <c r="J144" s="2">
        <f ca="1"/>
        <v>5.0420640177247158</v>
      </c>
      <c r="K144" s="2">
        <f ca="1"/>
        <v>7.0092110321089729</v>
      </c>
      <c r="L144" s="2">
        <f ca="1"/>
        <v>5.5322570027515914</v>
      </c>
      <c r="M144" s="2">
        <f ca="1"/>
        <v>7.6293262126862125</v>
      </c>
      <c r="N144" s="2">
        <f ca="1"/>
        <v>5.9107227495575367</v>
      </c>
      <c r="O144" s="2">
        <f ca="1"/>
        <v>5.9955932176015718</v>
      </c>
      <c r="P144" s="2">
        <f ca="1"/>
        <v>7.8839146372173028</v>
      </c>
      <c r="Q144" s="2">
        <f ca="1"/>
        <v>5.6954874070160582</v>
      </c>
    </row>
    <row r="145" spans="1:17">
      <c r="A145" t="str">
        <v>Gumuz</v>
      </c>
      <c r="B145" s="2">
        <f ca="1"/>
        <v>7.0405454643406626</v>
      </c>
      <c r="C145" s="2">
        <f ca="1"/>
        <v>5.0145636650477554</v>
      </c>
      <c r="D145" s="2">
        <f ca="1"/>
        <v>7.0340432547108591</v>
      </c>
      <c r="E145" s="2">
        <f ca="1"/>
        <v>7.5640135717968828</v>
      </c>
      <c r="F145" s="2">
        <f ca="1"/>
        <v>6.5291203251032535</v>
      </c>
      <c r="G145" s="2">
        <f ca="1"/>
        <v>6.8142129853926416</v>
      </c>
      <c r="H145" s="2">
        <f ca="1"/>
        <v>6.6714502053183127</v>
      </c>
      <c r="I145" s="2">
        <f ca="1"/>
        <v>6.8173587806933007</v>
      </c>
      <c r="J145" s="2">
        <f ca="1"/>
        <v>7.0651032823656772</v>
      </c>
      <c r="K145" s="2">
        <f ca="1"/>
        <v>7.9130842320920607</v>
      </c>
      <c r="L145" s="2">
        <f ca="1"/>
        <v>6.6476917997240772</v>
      </c>
      <c r="M145" s="2">
        <f ca="1"/>
        <v>6.4095066788256982</v>
      </c>
      <c r="N145" s="2">
        <f ca="1"/>
        <v>7.194804986612886</v>
      </c>
      <c r="O145" s="2">
        <f ca="1"/>
        <v>7.4057037966017134</v>
      </c>
      <c r="P145" s="2">
        <f ca="1"/>
        <v>6.6081471746705036</v>
      </c>
      <c r="Q145" s="2">
        <f ca="1"/>
        <v>7.9144864308624063</v>
      </c>
    </row>
    <row r="146" spans="1:17">
      <c r="A146" t="str">
        <v>DireDawa</v>
      </c>
      <c r="B146" s="2">
        <f ca="1"/>
        <v>5.6682738446341023</v>
      </c>
      <c r="C146" s="2">
        <f ca="1"/>
        <v>6.4506897941666566</v>
      </c>
      <c r="D146" s="2">
        <f ca="1"/>
        <v>5.0445590641357612</v>
      </c>
      <c r="E146" s="2">
        <f ca="1"/>
        <v>7.1777888598335107</v>
      </c>
      <c r="F146" s="2">
        <f ca="1"/>
        <v>7.7730092116177367</v>
      </c>
      <c r="G146" s="2">
        <f ca="1"/>
        <v>6.1913459085763884</v>
      </c>
      <c r="H146" s="2">
        <f ca="1"/>
        <v>7.2311682559312773</v>
      </c>
      <c r="I146" s="2">
        <f ca="1"/>
        <v>6.1265899193520728</v>
      </c>
      <c r="J146" s="2">
        <f ca="1"/>
        <v>7.3328651514047181</v>
      </c>
      <c r="K146" s="2">
        <f ca="1"/>
        <v>7.5392273124156066</v>
      </c>
      <c r="L146" s="2">
        <f ca="1"/>
        <v>5.6895118903472053</v>
      </c>
      <c r="M146" s="2">
        <f ca="1"/>
        <v>7.7599224528449469</v>
      </c>
      <c r="N146" s="2">
        <f ca="1"/>
        <v>7.7353679116183969</v>
      </c>
      <c r="O146" s="2">
        <f ca="1"/>
        <v>7.8039804547967453</v>
      </c>
      <c r="P146" s="2">
        <f ca="1"/>
        <v>6.4396917727813232</v>
      </c>
      <c r="Q146" s="2">
        <f ca="1"/>
        <v>5.087025774615757</v>
      </c>
    </row>
    <row r="147" spans="1:17">
      <c r="A147" t="str">
        <v>Gambela</v>
      </c>
      <c r="B147" s="2">
        <f ca="1"/>
        <v>5.7792679037384573</v>
      </c>
      <c r="C147" s="2">
        <f ca="1"/>
        <v>5.7515338671629586</v>
      </c>
      <c r="D147" s="2">
        <f ca="1"/>
        <v>7.1480561807608431</v>
      </c>
      <c r="E147" s="2">
        <f ca="1"/>
        <v>7.5969910888118166</v>
      </c>
      <c r="F147" s="2">
        <f ca="1"/>
        <v>6.7584121486395343</v>
      </c>
      <c r="G147" s="2">
        <f ca="1"/>
        <v>5.4482035981023786</v>
      </c>
      <c r="H147" s="2">
        <f ca="1"/>
        <v>6.4623512528583476</v>
      </c>
      <c r="I147" s="2">
        <f ca="1"/>
        <v>5.0064606169349162</v>
      </c>
      <c r="J147" s="2">
        <f ca="1"/>
        <v>5.9232597713694854</v>
      </c>
      <c r="K147" s="2">
        <f ca="1"/>
        <v>5.4410550493572094</v>
      </c>
      <c r="L147" s="2">
        <f ca="1"/>
        <v>5.8103950622522005</v>
      </c>
      <c r="M147" s="2">
        <f ca="1"/>
        <v>6.8559423796731735</v>
      </c>
      <c r="N147" s="2">
        <f ca="1"/>
        <v>7.4022222712290286</v>
      </c>
      <c r="O147" s="2">
        <f ca="1"/>
        <v>6.3114838662807298</v>
      </c>
      <c r="P147" s="2">
        <f ca="1"/>
        <v>5.940453462631182</v>
      </c>
      <c r="Q147" s="2">
        <f ca="1"/>
        <v>6.9132899270192318</v>
      </c>
    </row>
    <row r="148" spans="1:17">
      <c r="A148" t="str">
        <v>Harari</v>
      </c>
      <c r="B148" s="2">
        <f ca="1"/>
        <v>7.2461762611278209</v>
      </c>
      <c r="C148" s="2">
        <f ca="1"/>
        <v>5.8825309295924955</v>
      </c>
      <c r="D148" s="2">
        <f ca="1"/>
        <v>6.7998556734243207</v>
      </c>
      <c r="E148" s="2">
        <f ca="1"/>
        <v>6.2882621599773358</v>
      </c>
      <c r="F148" s="2">
        <f ca="1"/>
        <v>5.129655447885189</v>
      </c>
      <c r="G148" s="2">
        <f ca="1"/>
        <v>7.4076815509474088</v>
      </c>
      <c r="H148" s="2">
        <f ca="1"/>
        <v>7.3246528582312624</v>
      </c>
      <c r="I148" s="2">
        <f ca="1"/>
        <v>6.5965680603210028</v>
      </c>
      <c r="J148" s="2">
        <f ca="1"/>
        <v>7.865876287327926</v>
      </c>
      <c r="K148" s="2">
        <f ca="1"/>
        <v>5.0002332563870553</v>
      </c>
      <c r="L148" s="2">
        <f ca="1"/>
        <v>7.5201984653713492</v>
      </c>
      <c r="M148" s="2">
        <f ca="1"/>
        <v>6.0699700382278303</v>
      </c>
      <c r="N148" s="2">
        <f ca="1"/>
        <v>5.6305979411809348</v>
      </c>
      <c r="O148" s="2">
        <f ca="1"/>
        <v>5.1417905282986833</v>
      </c>
      <c r="P148" s="2">
        <f ca="1"/>
        <v>6.2120978350376177</v>
      </c>
      <c r="Q148" s="2">
        <f ca="1"/>
        <v>5.2033194189153607</v>
      </c>
    </row>
    <row r="149" spans="1:17">
      <c r="A149" t="str">
        <v>Oromia</v>
      </c>
      <c r="B149" s="2">
        <f ca="1"/>
        <v>7.9935858491810006</v>
      </c>
      <c r="C149" s="2">
        <f ca="1"/>
        <v>7.4186037872823745</v>
      </c>
      <c r="D149" s="2">
        <f ca="1"/>
        <v>5.4412230880471562</v>
      </c>
      <c r="E149" s="2">
        <f ca="1"/>
        <v>6.6843182963971843</v>
      </c>
      <c r="F149" s="2">
        <f ca="1"/>
        <v>5.7615213240695047</v>
      </c>
      <c r="G149" s="2">
        <f ca="1"/>
        <v>7.6834807915412204</v>
      </c>
      <c r="H149" s="2">
        <f ca="1"/>
        <v>6.6558075063364912</v>
      </c>
      <c r="I149" s="2">
        <f ca="1"/>
        <v>7.3856932616076199</v>
      </c>
      <c r="J149" s="2">
        <f ca="1"/>
        <v>5.2627986285459212</v>
      </c>
      <c r="K149" s="2">
        <f ca="1"/>
        <v>5.2170138349573776</v>
      </c>
      <c r="L149" s="2">
        <f ca="1"/>
        <v>5.7648820528322764</v>
      </c>
      <c r="M149" s="2">
        <f ca="1"/>
        <v>7.7237425781079025</v>
      </c>
      <c r="N149" s="2">
        <f ca="1"/>
        <v>6.307855360186915</v>
      </c>
      <c r="O149" s="2">
        <f ca="1"/>
        <v>5.8336181600899772</v>
      </c>
      <c r="P149" s="2">
        <f ca="1"/>
        <v>7.653718463612794</v>
      </c>
      <c r="Q149" s="2">
        <f ca="1"/>
        <v>6.6802564644891103</v>
      </c>
    </row>
    <row r="150" spans="1:17">
      <c r="A150" t="str">
        <v>Somali</v>
      </c>
      <c r="B150" s="2">
        <f ca="1"/>
        <v>7.7734840664464588</v>
      </c>
      <c r="C150" s="2">
        <f ca="1"/>
        <v>5.8932505609297028</v>
      </c>
      <c r="D150" s="2">
        <f ca="1"/>
        <v>5.9413598452881686</v>
      </c>
      <c r="E150" s="2">
        <f ca="1"/>
        <v>7.1651130199589019</v>
      </c>
      <c r="F150" s="2">
        <f ca="1"/>
        <v>7.7776596738242194</v>
      </c>
      <c r="G150" s="2">
        <f ca="1"/>
        <v>5.3083833884843035</v>
      </c>
      <c r="H150" s="2">
        <f ca="1"/>
        <v>6.7899718597953553</v>
      </c>
      <c r="I150" s="2">
        <f ca="1"/>
        <v>7.4637251769596871</v>
      </c>
      <c r="J150" s="2">
        <f ca="1"/>
        <v>6.5803068480351516</v>
      </c>
      <c r="K150" s="2">
        <f ca="1"/>
        <v>6.0630277513714308</v>
      </c>
      <c r="L150" s="2">
        <f ca="1"/>
        <v>7.8433610194856698</v>
      </c>
      <c r="M150" s="2">
        <f ca="1"/>
        <v>7.5765944730204575</v>
      </c>
      <c r="N150" s="2">
        <f ca="1"/>
        <v>5.4307405216733455</v>
      </c>
      <c r="O150" s="2">
        <f ca="1"/>
        <v>5.6170540034366008</v>
      </c>
      <c r="P150" s="2">
        <f ca="1"/>
        <v>5.2808370365231472</v>
      </c>
      <c r="Q150" s="2">
        <f ca="1"/>
        <v>6.5301492853774379</v>
      </c>
    </row>
    <row r="151" spans="1:17">
      <c r="A151" t="str">
        <v>SNNPR</v>
      </c>
      <c r="B151" s="2">
        <f ca="1"/>
        <v>7.7564099392507249</v>
      </c>
      <c r="C151" s="2">
        <f ca="1"/>
        <v>7.2798028594478659</v>
      </c>
      <c r="D151" s="2">
        <f ca="1"/>
        <v>5.2076357213588294</v>
      </c>
      <c r="E151" s="2">
        <f ca="1"/>
        <v>7.2458834102465186</v>
      </c>
      <c r="F151" s="2">
        <f ca="1"/>
        <v>7.294962622570635</v>
      </c>
      <c r="G151" s="2">
        <f ca="1"/>
        <v>6.7172819282509639</v>
      </c>
      <c r="H151" s="2">
        <f ca="1"/>
        <v>5.54492304844144</v>
      </c>
      <c r="I151" s="2">
        <f ca="1"/>
        <v>6.8902352708314529</v>
      </c>
      <c r="J151" s="2">
        <f ca="1"/>
        <v>5.1526052656729995</v>
      </c>
      <c r="K151" s="2">
        <f ca="1"/>
        <v>7.8112368954950657</v>
      </c>
      <c r="L151" s="2">
        <f ca="1"/>
        <v>5.2753516526730699</v>
      </c>
      <c r="M151" s="2">
        <f ca="1"/>
        <v>5.306161067581507</v>
      </c>
      <c r="N151" s="2">
        <f ca="1"/>
        <v>5.3818203215100162</v>
      </c>
      <c r="O151" s="2">
        <f ca="1"/>
        <v>6.1781177706086501</v>
      </c>
      <c r="P151" s="2">
        <f ca="1"/>
        <v>6.6619369546715355</v>
      </c>
      <c r="Q151" s="2">
        <f ca="1"/>
        <v>7.4477141322449034</v>
      </c>
    </row>
    <row r="152" spans="1:17">
      <c r="A152" t="str">
        <v>Tigray</v>
      </c>
      <c r="B152" s="2">
        <f ca="1"/>
        <v>7.7960288327778402</v>
      </c>
      <c r="C152" s="2">
        <f ca="1"/>
        <v>7.8795746166137768</v>
      </c>
      <c r="D152" s="2">
        <f ca="1"/>
        <v>5.3193668687811693</v>
      </c>
      <c r="E152" s="2">
        <f ca="1"/>
        <v>6.5307849829302693</v>
      </c>
      <c r="F152" s="2">
        <f ca="1"/>
        <v>6.9795465273449313</v>
      </c>
      <c r="G152" s="2">
        <f ca="1"/>
        <v>6.929974760537382</v>
      </c>
      <c r="H152" s="2">
        <f ca="1"/>
        <v>6.9946439525539574</v>
      </c>
      <c r="I152" s="2">
        <f ca="1"/>
        <v>6.9462327811969899</v>
      </c>
      <c r="J152" s="2">
        <f ca="1"/>
        <v>7.2299071778034927</v>
      </c>
      <c r="K152" s="2">
        <f ca="1"/>
        <v>7.5902154338849979</v>
      </c>
      <c r="L152" s="2">
        <f ca="1"/>
        <v>7.3011335201479417</v>
      </c>
      <c r="M152" s="2">
        <f ca="1"/>
        <v>6.576971235047762</v>
      </c>
      <c r="N152" s="2">
        <f ca="1"/>
        <v>5.591523232725252</v>
      </c>
      <c r="O152" s="2">
        <f ca="1"/>
        <v>7.7020814056428444</v>
      </c>
      <c r="P152" s="2">
        <f ca="1"/>
        <v>6.9849404484434716</v>
      </c>
      <c r="Q152" s="2">
        <f ca="1"/>
        <v>5.0790510234252073</v>
      </c>
    </row>
    <row r="161" spans="1:17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</row>
    <row r="162" spans="1:17">
      <c r="A162" t="str">
        <f t="array" ref="A162:A172">Nodes</f>
        <v>AddisAbaba</v>
      </c>
      <c r="B162" s="2">
        <f ca="1">2+COLUMN()*2 + ROW()/4-40 +RAND()*2</f>
        <v>6.5907338143753922</v>
      </c>
      <c r="C162" s="2">
        <f t="shared" ref="C162:Q162" ca="1" si="2">2+COLUMN()*2 + ROW()/4-40 +RAND()*2</f>
        <v>9.7089421369439179</v>
      </c>
      <c r="D162" s="2">
        <f t="shared" ca="1" si="2"/>
        <v>11.94002163392754</v>
      </c>
      <c r="E162" s="2">
        <f t="shared" ca="1" si="2"/>
        <v>14.168130552223696</v>
      </c>
      <c r="F162" s="2">
        <f t="shared" ca="1" si="2"/>
        <v>15.196902131354745</v>
      </c>
      <c r="G162" s="2">
        <f t="shared" ca="1" si="2"/>
        <v>17.244842259653609</v>
      </c>
      <c r="H162" s="2">
        <f t="shared" ca="1" si="2"/>
        <v>20.037866090295022</v>
      </c>
      <c r="I162" s="2">
        <f t="shared" ca="1" si="2"/>
        <v>20.811680074443849</v>
      </c>
      <c r="J162" s="2">
        <f t="shared" ca="1" si="2"/>
        <v>23.528210388281575</v>
      </c>
      <c r="K162" s="2">
        <f t="shared" ca="1" si="2"/>
        <v>26.371315385355054</v>
      </c>
      <c r="L162" s="2">
        <f t="shared" ca="1" si="2"/>
        <v>27.946898072535671</v>
      </c>
      <c r="M162" s="2">
        <f t="shared" ca="1" si="2"/>
        <v>29.615453302648699</v>
      </c>
      <c r="N162" s="2">
        <f t="shared" ca="1" si="2"/>
        <v>31.990382840433973</v>
      </c>
      <c r="O162" s="2">
        <f t="shared" ca="1" si="2"/>
        <v>32.661843036007994</v>
      </c>
      <c r="P162" s="2">
        <f t="shared" ca="1" si="2"/>
        <v>35.707054033315544</v>
      </c>
      <c r="Q162" s="2">
        <f t="shared" ca="1" si="2"/>
        <v>37.101761496722254</v>
      </c>
    </row>
    <row r="163" spans="1:17">
      <c r="A163" t="str">
        <v>Afar</v>
      </c>
      <c r="B163" s="2">
        <f t="shared" ref="B163:Q172" ca="1" si="3">2+COLUMN()*2 + ROW()/4-40 +RAND()*2</f>
        <v>7.7399562300981053</v>
      </c>
      <c r="C163" s="2">
        <f t="shared" ca="1" si="3"/>
        <v>9.6329432388488971</v>
      </c>
      <c r="D163" s="2">
        <f t="shared" ca="1" si="3"/>
        <v>11.731870024943932</v>
      </c>
      <c r="E163" s="2">
        <f t="shared" ca="1" si="3"/>
        <v>13.072599441767144</v>
      </c>
      <c r="F163" s="2">
        <f t="shared" ca="1" si="3"/>
        <v>15.636469876210315</v>
      </c>
      <c r="G163" s="2">
        <f t="shared" ca="1" si="3"/>
        <v>17.744258015300389</v>
      </c>
      <c r="H163" s="2">
        <f t="shared" ca="1" si="3"/>
        <v>19.941282453017692</v>
      </c>
      <c r="I163" s="2">
        <f t="shared" ca="1" si="3"/>
        <v>21.256413848500998</v>
      </c>
      <c r="J163" s="2">
        <f t="shared" ca="1" si="3"/>
        <v>22.823686867899298</v>
      </c>
      <c r="K163" s="2">
        <f t="shared" ca="1" si="3"/>
        <v>25.635583006750089</v>
      </c>
      <c r="L163" s="2">
        <f t="shared" ca="1" si="3"/>
        <v>27.955468577468736</v>
      </c>
      <c r="M163" s="2">
        <f t="shared" ca="1" si="3"/>
        <v>30.309806094824086</v>
      </c>
      <c r="N163" s="2">
        <f t="shared" ca="1" si="3"/>
        <v>31.052644703403494</v>
      </c>
      <c r="O163" s="2">
        <f t="shared" ca="1" si="3"/>
        <v>34.131205070881961</v>
      </c>
      <c r="P163" s="2">
        <f t="shared" ca="1" si="3"/>
        <v>35.897256781021696</v>
      </c>
      <c r="Q163" s="2">
        <f t="shared" ca="1" si="3"/>
        <v>37.18839140263178</v>
      </c>
    </row>
    <row r="164" spans="1:17">
      <c r="A164" t="str">
        <v>Amhara</v>
      </c>
      <c r="B164" s="2">
        <f t="shared" ca="1" si="3"/>
        <v>8.8196314377631921</v>
      </c>
      <c r="C164" s="2">
        <f t="shared" ca="1" si="3"/>
        <v>9.9900338526186196</v>
      </c>
      <c r="D164" s="2">
        <f t="shared" ca="1" si="3"/>
        <v>12.087651832151492</v>
      </c>
      <c r="E164" s="2">
        <f t="shared" ca="1" si="3"/>
        <v>14.477657539394979</v>
      </c>
      <c r="F164" s="2">
        <f t="shared" ca="1" si="3"/>
        <v>15.771628123644119</v>
      </c>
      <c r="G164" s="2">
        <f t="shared" ca="1" si="3"/>
        <v>18.615531650777005</v>
      </c>
      <c r="H164" s="2">
        <f t="shared" ca="1" si="3"/>
        <v>20.189740647490446</v>
      </c>
      <c r="I164" s="2">
        <f t="shared" ca="1" si="3"/>
        <v>21.434029090953604</v>
      </c>
      <c r="J164" s="2">
        <f t="shared" ca="1" si="3"/>
        <v>23.563850102450367</v>
      </c>
      <c r="K164" s="2">
        <f t="shared" ca="1" si="3"/>
        <v>25.289462175871858</v>
      </c>
      <c r="L164" s="2">
        <f t="shared" ca="1" si="3"/>
        <v>27.413258795907378</v>
      </c>
      <c r="M164" s="2">
        <f t="shared" ca="1" si="3"/>
        <v>30.621387694552954</v>
      </c>
      <c r="N164" s="2">
        <f t="shared" ca="1" si="3"/>
        <v>32.810931992014417</v>
      </c>
      <c r="O164" s="2">
        <f t="shared" ca="1" si="3"/>
        <v>33.397542738893726</v>
      </c>
      <c r="P164" s="2">
        <f t="shared" ca="1" si="3"/>
        <v>36.312445471373863</v>
      </c>
      <c r="Q164" s="2">
        <f t="shared" ca="1" si="3"/>
        <v>37.114476181720889</v>
      </c>
    </row>
    <row r="165" spans="1:17">
      <c r="A165" t="str">
        <v>Gumuz</v>
      </c>
      <c r="B165" s="2">
        <f t="shared" ca="1" si="3"/>
        <v>7.7958472177065703</v>
      </c>
      <c r="C165" s="2">
        <f t="shared" ca="1" si="3"/>
        <v>10.001898772538306</v>
      </c>
      <c r="D165" s="2">
        <f t="shared" ca="1" si="3"/>
        <v>13.197265949431218</v>
      </c>
      <c r="E165" s="2">
        <f t="shared" ca="1" si="3"/>
        <v>14.926682865745146</v>
      </c>
      <c r="F165" s="2">
        <f t="shared" ca="1" si="3"/>
        <v>16.141778881895714</v>
      </c>
      <c r="G165" s="2">
        <f t="shared" ca="1" si="3"/>
        <v>19.150860934969373</v>
      </c>
      <c r="H165" s="2">
        <f t="shared" ca="1" si="3"/>
        <v>19.267117087362951</v>
      </c>
      <c r="I165" s="2">
        <f t="shared" ca="1" si="3"/>
        <v>22.488141964172936</v>
      </c>
      <c r="J165" s="2">
        <f t="shared" ca="1" si="3"/>
        <v>24.877930543987308</v>
      </c>
      <c r="K165" s="2">
        <f t="shared" ca="1" si="3"/>
        <v>26.433761514921965</v>
      </c>
      <c r="L165" s="2">
        <f t="shared" ca="1" si="3"/>
        <v>27.337462102763087</v>
      </c>
      <c r="M165" s="2">
        <f t="shared" ca="1" si="3"/>
        <v>30.421886626405886</v>
      </c>
      <c r="N165" s="2">
        <f t="shared" ca="1" si="3"/>
        <v>32.315964889896527</v>
      </c>
      <c r="O165" s="2">
        <f t="shared" ca="1" si="3"/>
        <v>34.302950583396523</v>
      </c>
      <c r="P165" s="2">
        <f t="shared" ca="1" si="3"/>
        <v>35.321004447675243</v>
      </c>
      <c r="Q165" s="2">
        <f t="shared" ca="1" si="3"/>
        <v>37.355018124720921</v>
      </c>
    </row>
    <row r="166" spans="1:17">
      <c r="A166" t="str">
        <v>DireDawa</v>
      </c>
      <c r="B166" s="2">
        <f t="shared" ca="1" si="3"/>
        <v>7.5863626874728762</v>
      </c>
      <c r="C166" s="2">
        <f t="shared" ca="1" si="3"/>
        <v>11.233417908250322</v>
      </c>
      <c r="D166" s="2">
        <f t="shared" ca="1" si="3"/>
        <v>12.324339865366413</v>
      </c>
      <c r="E166" s="2">
        <f t="shared" ca="1" si="3"/>
        <v>13.513678837487298</v>
      </c>
      <c r="F166" s="2">
        <f t="shared" ca="1" si="3"/>
        <v>15.862615786542078</v>
      </c>
      <c r="G166" s="2">
        <f t="shared" ca="1" si="3"/>
        <v>18.837104719097027</v>
      </c>
      <c r="H166" s="2">
        <f t="shared" ca="1" si="3"/>
        <v>19.518331084016623</v>
      </c>
      <c r="I166" s="2">
        <f t="shared" ca="1" si="3"/>
        <v>22.726939311727051</v>
      </c>
      <c r="J166" s="2">
        <f t="shared" ca="1" si="3"/>
        <v>23.592275377476401</v>
      </c>
      <c r="K166" s="2">
        <f t="shared" ca="1" si="3"/>
        <v>25.937648450223005</v>
      </c>
      <c r="L166" s="2">
        <f t="shared" ca="1" si="3"/>
        <v>29.317881136208936</v>
      </c>
      <c r="M166" s="2">
        <f t="shared" ca="1" si="3"/>
        <v>31.438413662395959</v>
      </c>
      <c r="N166" s="2">
        <f t="shared" ca="1" si="3"/>
        <v>33.021586854239885</v>
      </c>
      <c r="O166" s="2">
        <f t="shared" ca="1" si="3"/>
        <v>34.035068483079748</v>
      </c>
      <c r="P166" s="2">
        <f t="shared" ca="1" si="3"/>
        <v>36.519767497598437</v>
      </c>
      <c r="Q166" s="2">
        <f t="shared" ca="1" si="3"/>
        <v>37.998249258593852</v>
      </c>
    </row>
    <row r="167" spans="1:17">
      <c r="A167" t="str">
        <v>Gambela</v>
      </c>
      <c r="B167" s="2">
        <f t="shared" ca="1" si="3"/>
        <v>9.3873227046977963</v>
      </c>
      <c r="C167" s="2">
        <f t="shared" ca="1" si="3"/>
        <v>10.300253085122694</v>
      </c>
      <c r="D167" s="2">
        <f t="shared" ca="1" si="3"/>
        <v>13.441486179537957</v>
      </c>
      <c r="E167" s="2">
        <f t="shared" ca="1" si="3"/>
        <v>14.047999399882192</v>
      </c>
      <c r="F167" s="2">
        <f t="shared" ca="1" si="3"/>
        <v>17.730029937694084</v>
      </c>
      <c r="G167" s="2">
        <f t="shared" ca="1" si="3"/>
        <v>18.075546505320297</v>
      </c>
      <c r="H167" s="2">
        <f t="shared" ca="1" si="3"/>
        <v>20.722801862686691</v>
      </c>
      <c r="I167" s="2">
        <f t="shared" ca="1" si="3"/>
        <v>23.156650288525995</v>
      </c>
      <c r="J167" s="2">
        <f t="shared" ca="1" si="3"/>
        <v>25.109312621695263</v>
      </c>
      <c r="K167" s="2">
        <f t="shared" ca="1" si="3"/>
        <v>27.016909545096393</v>
      </c>
      <c r="L167" s="2">
        <f t="shared" ca="1" si="3"/>
        <v>27.903416205595537</v>
      </c>
      <c r="M167" s="2">
        <f t="shared" ca="1" si="3"/>
        <v>31.40599897640832</v>
      </c>
      <c r="N167" s="2">
        <f t="shared" ca="1" si="3"/>
        <v>32.127161177631557</v>
      </c>
      <c r="O167" s="2">
        <f t="shared" ca="1" si="3"/>
        <v>35.65251554013642</v>
      </c>
      <c r="P167" s="2">
        <f t="shared" ca="1" si="3"/>
        <v>36.84394927057253</v>
      </c>
      <c r="Q167" s="2">
        <f t="shared" ca="1" si="3"/>
        <v>38.253360472352647</v>
      </c>
    </row>
    <row r="168" spans="1:17">
      <c r="A168" t="str">
        <v>Harari</v>
      </c>
      <c r="B168" s="2">
        <f t="shared" ca="1" si="3"/>
        <v>8.4232367042439868</v>
      </c>
      <c r="C168" s="2">
        <f t="shared" ca="1" si="3"/>
        <v>11.716801563869943</v>
      </c>
      <c r="D168" s="2">
        <f t="shared" ca="1" si="3"/>
        <v>13.0508212103692</v>
      </c>
      <c r="E168" s="2">
        <f t="shared" ca="1" si="3"/>
        <v>14.951707449164456</v>
      </c>
      <c r="F168" s="2">
        <f t="shared" ca="1" si="3"/>
        <v>17.481669917076655</v>
      </c>
      <c r="G168" s="2">
        <f t="shared" ca="1" si="3"/>
        <v>19.721491980813497</v>
      </c>
      <c r="H168" s="2">
        <f t="shared" ca="1" si="3"/>
        <v>20.344346190429256</v>
      </c>
      <c r="I168" s="2">
        <f t="shared" ca="1" si="3"/>
        <v>23.730893009919203</v>
      </c>
      <c r="J168" s="2">
        <f t="shared" ca="1" si="3"/>
        <v>24.512408861122644</v>
      </c>
      <c r="K168" s="2">
        <f t="shared" ca="1" si="3"/>
        <v>27.917937048445634</v>
      </c>
      <c r="L168" s="2">
        <f t="shared" ca="1" si="3"/>
        <v>28.347544337492184</v>
      </c>
      <c r="M168" s="2">
        <f t="shared" ca="1" si="3"/>
        <v>31.763623994779692</v>
      </c>
      <c r="N168" s="2">
        <f t="shared" ca="1" si="3"/>
        <v>32.185563118535001</v>
      </c>
      <c r="O168" s="2">
        <f t="shared" ca="1" si="3"/>
        <v>34.361524213225074</v>
      </c>
      <c r="P168" s="2">
        <f t="shared" ca="1" si="3"/>
        <v>36.363748279048359</v>
      </c>
      <c r="Q168" s="2">
        <f t="shared" ca="1" si="3"/>
        <v>38.026563181525248</v>
      </c>
    </row>
    <row r="169" spans="1:17">
      <c r="A169" t="str">
        <v>Oromia</v>
      </c>
      <c r="B169" s="2">
        <f t="shared" ca="1" si="3"/>
        <v>8.8632714277409868</v>
      </c>
      <c r="C169" s="2">
        <f t="shared" ca="1" si="3"/>
        <v>11.689201810751024</v>
      </c>
      <c r="D169" s="2">
        <f t="shared" ca="1" si="3"/>
        <v>13.87907771336622</v>
      </c>
      <c r="E169" s="2">
        <f t="shared" ca="1" si="3"/>
        <v>15.121923641157258</v>
      </c>
      <c r="F169" s="2">
        <f t="shared" ca="1" si="3"/>
        <v>17.162901562750321</v>
      </c>
      <c r="G169" s="2">
        <f t="shared" ca="1" si="3"/>
        <v>19.269625640399262</v>
      </c>
      <c r="H169" s="2">
        <f t="shared" ca="1" si="3"/>
        <v>21.7274560958239</v>
      </c>
      <c r="I169" s="2">
        <f t="shared" ca="1" si="3"/>
        <v>22.939066516349367</v>
      </c>
      <c r="J169" s="2">
        <f t="shared" ca="1" si="3"/>
        <v>25.42866790474017</v>
      </c>
      <c r="K169" s="2">
        <f t="shared" ca="1" si="3"/>
        <v>27.187179069629138</v>
      </c>
      <c r="L169" s="2">
        <f t="shared" ca="1" si="3"/>
        <v>29.912155171126329</v>
      </c>
      <c r="M169" s="2">
        <f t="shared" ca="1" si="3"/>
        <v>31.065081473154471</v>
      </c>
      <c r="N169" s="2">
        <f t="shared" ca="1" si="3"/>
        <v>33.702067448074104</v>
      </c>
      <c r="O169" s="2">
        <f t="shared" ca="1" si="3"/>
        <v>35.977023734586368</v>
      </c>
      <c r="P169" s="2">
        <f t="shared" ca="1" si="3"/>
        <v>37.678788335072618</v>
      </c>
      <c r="Q169" s="2">
        <f t="shared" ca="1" si="3"/>
        <v>38.433698042887883</v>
      </c>
    </row>
    <row r="170" spans="1:17">
      <c r="A170" t="str">
        <v>Somali</v>
      </c>
      <c r="B170" s="2">
        <f t="shared" ca="1" si="3"/>
        <v>9.4221033805224543</v>
      </c>
      <c r="C170" s="2">
        <f t="shared" ca="1" si="3"/>
        <v>11.925588312813193</v>
      </c>
      <c r="D170" s="2">
        <f t="shared" ca="1" si="3"/>
        <v>14.062725383682292</v>
      </c>
      <c r="E170" s="2">
        <f t="shared" ca="1" si="3"/>
        <v>15.557561433706477</v>
      </c>
      <c r="F170" s="2">
        <f t="shared" ca="1" si="3"/>
        <v>17.287130200104134</v>
      </c>
      <c r="G170" s="2">
        <f t="shared" ca="1" si="3"/>
        <v>19.893683657148742</v>
      </c>
      <c r="H170" s="2">
        <f t="shared" ca="1" si="3"/>
        <v>22.449439032793229</v>
      </c>
      <c r="I170" s="2">
        <f t="shared" ca="1" si="3"/>
        <v>24.107687058025743</v>
      </c>
      <c r="J170" s="2">
        <f t="shared" ca="1" si="3"/>
        <v>24.853666493715895</v>
      </c>
      <c r="K170" s="2">
        <f t="shared" ca="1" si="3"/>
        <v>27.70664314943479</v>
      </c>
      <c r="L170" s="2">
        <f t="shared" ca="1" si="3"/>
        <v>29.349012828559324</v>
      </c>
      <c r="M170" s="2">
        <f t="shared" ca="1" si="3"/>
        <v>31.684410950965926</v>
      </c>
      <c r="N170" s="2">
        <f t="shared" ca="1" si="3"/>
        <v>33.885249942961757</v>
      </c>
      <c r="O170" s="2">
        <f t="shared" ca="1" si="3"/>
        <v>35.389138561880429</v>
      </c>
      <c r="P170" s="2">
        <f t="shared" ca="1" si="3"/>
        <v>38.304191876168886</v>
      </c>
      <c r="Q170" s="2">
        <f t="shared" ca="1" si="3"/>
        <v>40.271153467366013</v>
      </c>
    </row>
    <row r="171" spans="1:17">
      <c r="A171" t="str">
        <v>SNNPR</v>
      </c>
      <c r="B171" s="2">
        <f t="shared" ca="1" si="3"/>
        <v>10.23335686163141</v>
      </c>
      <c r="C171" s="2">
        <f t="shared" ca="1" si="3"/>
        <v>12.365309653523596</v>
      </c>
      <c r="D171" s="2">
        <f t="shared" ca="1" si="3"/>
        <v>13.189020133770182</v>
      </c>
      <c r="E171" s="2">
        <f t="shared" ca="1" si="3"/>
        <v>15.562106949133302</v>
      </c>
      <c r="F171" s="2">
        <f t="shared" ca="1" si="3"/>
        <v>17.570407614191847</v>
      </c>
      <c r="G171" s="2">
        <f t="shared" ca="1" si="3"/>
        <v>20.583779808487041</v>
      </c>
      <c r="H171" s="2">
        <f t="shared" ca="1" si="3"/>
        <v>22.324118178887627</v>
      </c>
      <c r="I171" s="2">
        <f t="shared" ca="1" si="3"/>
        <v>23.195030497062341</v>
      </c>
      <c r="J171" s="2">
        <f t="shared" ca="1" si="3"/>
        <v>26.465312142743258</v>
      </c>
      <c r="K171" s="2">
        <f t="shared" ca="1" si="3"/>
        <v>27.371553158778021</v>
      </c>
      <c r="L171" s="2">
        <f t="shared" ca="1" si="3"/>
        <v>29.117045575005442</v>
      </c>
      <c r="M171" s="2">
        <f t="shared" ca="1" si="3"/>
        <v>31.399660623532235</v>
      </c>
      <c r="N171" s="2">
        <f t="shared" ca="1" si="3"/>
        <v>33.509321269314789</v>
      </c>
      <c r="O171" s="2">
        <f t="shared" ca="1" si="3"/>
        <v>35.399968634095195</v>
      </c>
      <c r="P171" s="2">
        <f t="shared" ca="1" si="3"/>
        <v>37.174686127613356</v>
      </c>
      <c r="Q171" s="2">
        <f t="shared" ca="1" si="3"/>
        <v>39.753451342254429</v>
      </c>
    </row>
    <row r="172" spans="1:17">
      <c r="A172" t="str">
        <v>Tigray</v>
      </c>
      <c r="B172" s="2">
        <f t="shared" ca="1" si="3"/>
        <v>9.086827646443588</v>
      </c>
      <c r="C172" s="2">
        <f t="shared" ca="1" si="3"/>
        <v>12.844796256667706</v>
      </c>
      <c r="D172" s="2">
        <f t="shared" ca="1" si="3"/>
        <v>14.251424313970013</v>
      </c>
      <c r="E172" s="2">
        <f t="shared" ca="1" si="3"/>
        <v>16.510699470989163</v>
      </c>
      <c r="F172" s="2">
        <f t="shared" ca="1" si="3"/>
        <v>18.168351103635214</v>
      </c>
      <c r="G172" s="2">
        <f t="shared" ca="1" si="3"/>
        <v>19.049717519794648</v>
      </c>
      <c r="H172" s="2">
        <f t="shared" ca="1" si="3"/>
        <v>21.100906060580058</v>
      </c>
      <c r="I172" s="2">
        <f t="shared" ca="1" si="3"/>
        <v>23.488208010050489</v>
      </c>
      <c r="J172" s="2">
        <f t="shared" ca="1" si="3"/>
        <v>25.289287018960273</v>
      </c>
      <c r="K172" s="2">
        <f t="shared" ca="1" si="3"/>
        <v>27.985543386141668</v>
      </c>
      <c r="L172" s="2">
        <f t="shared" ca="1" si="3"/>
        <v>29.728144434047678</v>
      </c>
      <c r="M172" s="2">
        <f t="shared" ca="1" si="3"/>
        <v>31.168519218587772</v>
      </c>
      <c r="N172" s="2">
        <f t="shared" ca="1" si="3"/>
        <v>33.924153191769044</v>
      </c>
      <c r="O172" s="2">
        <f t="shared" ca="1" si="3"/>
        <v>36.140793812763292</v>
      </c>
      <c r="P172" s="2">
        <f t="shared" ca="1" si="3"/>
        <v>38.606384080015125</v>
      </c>
      <c r="Q172" s="2">
        <f t="shared" ca="1" si="3"/>
        <v>40.769723879481887</v>
      </c>
    </row>
  </sheetData>
  <pageMargins left="0.75" right="0.75" top="1" bottom="1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18"/>
  <sheetViews>
    <sheetView zoomScale="85" zoomScaleNormal="85" workbookViewId="0">
      <selection activeCell="L5" sqref="L5"/>
    </sheetView>
  </sheetViews>
  <sheetFormatPr defaultColWidth="11" defaultRowHeight="15.75"/>
  <sheetData>
    <row r="2" spans="2:12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2">
      <c r="B3">
        <v>2015</v>
      </c>
      <c r="D3" t="s">
        <v>2</v>
      </c>
      <c r="F3" t="s">
        <v>5</v>
      </c>
      <c r="H3" t="s">
        <v>16</v>
      </c>
      <c r="J3" t="s">
        <v>16</v>
      </c>
      <c r="L3" t="s">
        <v>96</v>
      </c>
    </row>
    <row r="4" spans="2:12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  <c r="L4" t="s">
        <v>101</v>
      </c>
    </row>
    <row r="5" spans="2:12">
      <c r="B5">
        <f t="shared" ref="B5:B18" si="0">B4+1</f>
        <v>2017</v>
      </c>
      <c r="F5" t="s">
        <v>7</v>
      </c>
      <c r="H5" t="s">
        <v>17</v>
      </c>
      <c r="J5" t="s">
        <v>17</v>
      </c>
      <c r="L5" t="s">
        <v>97</v>
      </c>
    </row>
    <row r="6" spans="2:12">
      <c r="B6">
        <f t="shared" si="0"/>
        <v>2018</v>
      </c>
      <c r="F6" t="s">
        <v>8</v>
      </c>
      <c r="H6" t="s">
        <v>24</v>
      </c>
      <c r="J6" t="s">
        <v>24</v>
      </c>
      <c r="L6" t="s">
        <v>98</v>
      </c>
    </row>
    <row r="7" spans="2:12">
      <c r="B7">
        <f t="shared" si="0"/>
        <v>2019</v>
      </c>
      <c r="F7" t="s">
        <v>9</v>
      </c>
      <c r="H7" t="s">
        <v>21</v>
      </c>
      <c r="J7" t="s">
        <v>21</v>
      </c>
      <c r="L7" t="s">
        <v>99</v>
      </c>
    </row>
    <row r="8" spans="2:12">
      <c r="B8">
        <f t="shared" si="0"/>
        <v>2020</v>
      </c>
      <c r="F8" t="s">
        <v>10</v>
      </c>
      <c r="H8" t="s">
        <v>18</v>
      </c>
      <c r="J8" t="s">
        <v>18</v>
      </c>
      <c r="L8" t="s">
        <v>100</v>
      </c>
    </row>
    <row r="9" spans="2:12">
      <c r="B9">
        <f t="shared" si="0"/>
        <v>2021</v>
      </c>
      <c r="F9" t="s">
        <v>11</v>
      </c>
      <c r="H9" t="s">
        <v>22</v>
      </c>
    </row>
    <row r="10" spans="2:12">
      <c r="B10">
        <f t="shared" si="0"/>
        <v>2022</v>
      </c>
      <c r="F10" t="s">
        <v>12</v>
      </c>
      <c r="H10" t="s">
        <v>23</v>
      </c>
    </row>
    <row r="11" spans="2:12">
      <c r="B11">
        <f t="shared" si="0"/>
        <v>2023</v>
      </c>
      <c r="F11" t="s">
        <v>13</v>
      </c>
    </row>
    <row r="12" spans="2:12">
      <c r="B12">
        <f t="shared" si="0"/>
        <v>2024</v>
      </c>
      <c r="F12" t="s">
        <v>19</v>
      </c>
    </row>
    <row r="13" spans="2:12">
      <c r="B13">
        <f t="shared" si="0"/>
        <v>2025</v>
      </c>
      <c r="F13" t="s">
        <v>14</v>
      </c>
    </row>
    <row r="14" spans="2:12">
      <c r="B14">
        <f t="shared" si="0"/>
        <v>2026</v>
      </c>
    </row>
    <row r="15" spans="2:12">
      <c r="B15">
        <f t="shared" si="0"/>
        <v>2027</v>
      </c>
    </row>
    <row r="16" spans="2:12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>
      <selection activeCell="S2" sqref="S2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No</v>
      </c>
      <c r="D2" s="4" t="str">
        <f t="shared" si="0"/>
        <v>No</v>
      </c>
      <c r="E2" s="4" t="str">
        <f t="shared" si="0"/>
        <v>No</v>
      </c>
      <c r="F2" s="4" t="str">
        <f t="shared" si="0"/>
        <v>No</v>
      </c>
      <c r="G2" s="4" t="str">
        <f t="shared" si="0"/>
        <v>No</v>
      </c>
      <c r="H2" s="4" t="str">
        <f t="shared" si="0"/>
        <v>No</v>
      </c>
      <c r="I2" s="4" t="str">
        <f t="shared" si="0"/>
        <v>Yes</v>
      </c>
      <c r="J2" s="4" t="str">
        <f t="shared" si="0"/>
        <v>No</v>
      </c>
      <c r="K2" s="4" t="str">
        <f t="shared" si="0"/>
        <v>Yes</v>
      </c>
      <c r="L2" s="4" t="str">
        <f t="shared" si="0"/>
        <v>No</v>
      </c>
      <c r="N2" s="1" t="s">
        <v>5</v>
      </c>
      <c r="O2" t="str">
        <f t="shared" ref="O2:O12" ca="1" si="1">IF(B2="Yes",10+5*RAND(),"")</f>
        <v/>
      </c>
      <c r="P2" t="str">
        <f t="shared" ref="P2:P12" ca="1" si="2">IF(C2="Yes",10+5*RAND(),"")</f>
        <v/>
      </c>
      <c r="Q2" t="str">
        <f t="shared" ref="Q2:Q12" ca="1" si="3">IF(D2="Yes",10+5*RAND(),"")</f>
        <v/>
      </c>
      <c r="R2" t="str">
        <f t="shared" ref="R2:R12" ca="1" si="4">IF(E2="Yes",10+5*RAND(),"")</f>
        <v/>
      </c>
      <c r="S2" t="str">
        <f t="shared" ref="S2:S12" ca="1" si="5">IF(F2="Yes",10+5*RAND(),"")</f>
        <v/>
      </c>
      <c r="T2" t="str">
        <f t="shared" ref="T2:T12" ca="1" si="6">IF(G2="Yes",10+5*RAND(),"")</f>
        <v/>
      </c>
      <c r="U2" t="str">
        <f t="shared" ref="U2:U12" ca="1" si="7">IF(H2="Yes",10+5*RAND(),"")</f>
        <v/>
      </c>
      <c r="V2">
        <f t="shared" ref="V2:V12" ca="1" si="8">IF(I2="Yes",10+5*RAND(),"")</f>
        <v>11.829092138880956</v>
      </c>
      <c r="W2" t="str">
        <f t="shared" ref="W2:W12" ca="1" si="9">IF(J2="Yes",10+5*RAND(),"")</f>
        <v/>
      </c>
      <c r="X2">
        <f t="shared" ref="X2:X12" ca="1" si="10">IF(K2="Yes",10+5*RAND(),"")</f>
        <v>10.606284029312546</v>
      </c>
      <c r="Y2" t="str">
        <f t="shared" ref="Y2:Y12" ca="1" si="11">IF(L2="Yes",10+5*RAND(),"")</f>
        <v/>
      </c>
      <c r="AA2" s="1" t="s">
        <v>5</v>
      </c>
      <c r="AB2" t="str">
        <f ca="1">IF(O2="Yes",10+5*RAND(),"")</f>
        <v/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2">IF(ISERROR(MATCH($A3,F$22:F$330,0)),"No","Yes")</f>
        <v>No</v>
      </c>
      <c r="C3" s="4" t="str">
        <f t="shared" ref="C3:C12" si="13">IF(ISERROR(MATCH($A3,G$22:G$330,0)),"No","Yes")</f>
        <v>No</v>
      </c>
      <c r="D3" s="4" t="str">
        <f t="shared" ref="D3:D12" si="14">IF(ISERROR(MATCH($A3,H$22:H$330,0)),"No","Yes")</f>
        <v>Yes</v>
      </c>
      <c r="E3" s="4" t="str">
        <f t="shared" ref="E3:E12" si="15">IF(ISERROR(MATCH($A3,I$22:I$330,0)),"No","Yes")</f>
        <v>No</v>
      </c>
      <c r="F3" s="4" t="str">
        <f t="shared" ref="F3:F12" si="16">IF(ISERROR(MATCH($A3,J$22:J$330,0)),"No","Yes")</f>
        <v>No</v>
      </c>
      <c r="G3" s="4" t="str">
        <f t="shared" ref="G3:G12" si="17">IF(ISERROR(MATCH($A3,K$22:K$330,0)),"No","Yes")</f>
        <v>No</v>
      </c>
      <c r="H3" s="4" t="str">
        <f t="shared" ref="H3:H12" si="18">IF(ISERROR(MATCH($A3,L$22:L$330,0)),"No","Yes")</f>
        <v>No</v>
      </c>
      <c r="I3" s="4" t="str">
        <f t="shared" ref="I3:I12" si="19">IF(ISERROR(MATCH($A3,M$22:M$330,0)),"No","Yes")</f>
        <v>Yes</v>
      </c>
      <c r="J3" s="4" t="str">
        <f t="shared" ref="J3:J12" si="20">IF(ISERROR(MATCH($A3,N$22:N$330,0)),"No","Yes")</f>
        <v>No</v>
      </c>
      <c r="K3" s="4" t="str">
        <f t="shared" ref="K3:K12" si="21">IF(ISERROR(MATCH($A3,O$22:O$330,0)),"No","Yes")</f>
        <v>No</v>
      </c>
      <c r="L3" s="4" t="str">
        <f t="shared" ref="L3:L12" si="22">IF(ISERROR(MATCH($A3,P$22:P$330,0)),"No","Yes")</f>
        <v>Yes</v>
      </c>
      <c r="N3" s="1" t="s">
        <v>6</v>
      </c>
      <c r="O3" t="str">
        <f t="shared" ca="1" si="1"/>
        <v/>
      </c>
      <c r="P3" t="str">
        <f t="shared" ca="1" si="2"/>
        <v/>
      </c>
      <c r="Q3">
        <f t="shared" ca="1" si="3"/>
        <v>14.411209912549836</v>
      </c>
      <c r="R3" t="str">
        <f t="shared" ca="1" si="4"/>
        <v/>
      </c>
      <c r="S3" t="str">
        <f t="shared" ca="1" si="5"/>
        <v/>
      </c>
      <c r="T3" t="str">
        <f t="shared" ca="1" si="6"/>
        <v/>
      </c>
      <c r="U3" t="str">
        <f t="shared" ca="1" si="7"/>
        <v/>
      </c>
      <c r="V3">
        <f t="shared" ca="1" si="8"/>
        <v>12.653357338953073</v>
      </c>
      <c r="W3" t="str">
        <f t="shared" ca="1" si="9"/>
        <v/>
      </c>
      <c r="X3" t="str">
        <f t="shared" ca="1" si="10"/>
        <v/>
      </c>
      <c r="Y3">
        <f t="shared" ca="1" si="11"/>
        <v>12.75929987058586</v>
      </c>
      <c r="AA3" s="1" t="s">
        <v>6</v>
      </c>
      <c r="AB3">
        <v>500</v>
      </c>
      <c r="AD3">
        <f t="shared" ref="AC3:AL12" ca="1" si="23">300-50*RAND()</f>
        <v>267.64387400802292</v>
      </c>
      <c r="AE3">
        <f t="shared" ca="1" si="23"/>
        <v>275.49341485442665</v>
      </c>
      <c r="AF3">
        <f t="shared" ca="1" si="23"/>
        <v>281.74164507032117</v>
      </c>
      <c r="AG3">
        <f t="shared" ca="1" si="23"/>
        <v>268.84481766986528</v>
      </c>
      <c r="AH3">
        <f t="shared" ca="1" si="23"/>
        <v>272.01148260688706</v>
      </c>
      <c r="AI3">
        <f t="shared" ca="1" si="23"/>
        <v>276.20233441593729</v>
      </c>
      <c r="AJ3">
        <f t="shared" ca="1" si="23"/>
        <v>288.12057546791482</v>
      </c>
      <c r="AK3">
        <f t="shared" ca="1" si="23"/>
        <v>299.30193748326093</v>
      </c>
      <c r="AL3">
        <f t="shared" ca="1" si="23"/>
        <v>274.57536247716098</v>
      </c>
    </row>
    <row r="4" spans="1:38">
      <c r="A4" s="1" t="s">
        <v>7</v>
      </c>
      <c r="B4" s="4" t="str">
        <f t="shared" si="12"/>
        <v>No</v>
      </c>
      <c r="C4" s="4" t="str">
        <f t="shared" si="13"/>
        <v>Yes</v>
      </c>
      <c r="D4" s="4" t="str">
        <f t="shared" si="14"/>
        <v>No</v>
      </c>
      <c r="E4" s="4" t="str">
        <f t="shared" si="15"/>
        <v>Yes</v>
      </c>
      <c r="F4" s="4" t="str">
        <f t="shared" si="16"/>
        <v>No</v>
      </c>
      <c r="G4" s="4" t="str">
        <f t="shared" si="17"/>
        <v>No</v>
      </c>
      <c r="H4" s="4" t="str">
        <f t="shared" si="18"/>
        <v>No</v>
      </c>
      <c r="I4" s="4" t="str">
        <f t="shared" si="19"/>
        <v>Yes</v>
      </c>
      <c r="J4" s="4" t="str">
        <f t="shared" si="20"/>
        <v>No</v>
      </c>
      <c r="K4" s="4" t="str">
        <f t="shared" si="21"/>
        <v>No</v>
      </c>
      <c r="L4" s="4" t="str">
        <f t="shared" si="22"/>
        <v>Yes</v>
      </c>
      <c r="N4" s="1" t="s">
        <v>7</v>
      </c>
      <c r="O4" t="str">
        <f t="shared" ca="1" si="1"/>
        <v/>
      </c>
      <c r="P4">
        <f ca="1">IF(C4="Yes",10+5*RAND(),"")</f>
        <v>10.264822100397478</v>
      </c>
      <c r="Q4" t="str">
        <f t="shared" ca="1" si="3"/>
        <v/>
      </c>
      <c r="R4">
        <f t="shared" ca="1" si="4"/>
        <v>12.12427010949818</v>
      </c>
      <c r="S4" t="str">
        <f t="shared" ca="1" si="5"/>
        <v/>
      </c>
      <c r="T4" t="str">
        <f t="shared" ca="1" si="6"/>
        <v/>
      </c>
      <c r="U4" t="str">
        <f t="shared" ca="1" si="7"/>
        <v/>
      </c>
      <c r="V4">
        <f t="shared" ca="1" si="8"/>
        <v>14.186386768636876</v>
      </c>
      <c r="W4" t="str">
        <f t="shared" ca="1" si="9"/>
        <v/>
      </c>
      <c r="X4" t="str">
        <f t="shared" ca="1" si="10"/>
        <v/>
      </c>
      <c r="Y4">
        <f t="shared" ca="1" si="11"/>
        <v>13.54571446691593</v>
      </c>
      <c r="AA4" s="1" t="s">
        <v>7</v>
      </c>
      <c r="AB4">
        <v>500</v>
      </c>
      <c r="AC4">
        <f t="shared" ca="1" si="23"/>
        <v>260.68773297715177</v>
      </c>
      <c r="AE4">
        <f t="shared" ca="1" si="23"/>
        <v>288.75946751693942</v>
      </c>
      <c r="AF4">
        <f t="shared" ca="1" si="23"/>
        <v>294.4897141357398</v>
      </c>
      <c r="AG4">
        <f t="shared" ca="1" si="23"/>
        <v>291.42048207339474</v>
      </c>
      <c r="AH4">
        <f t="shared" ca="1" si="23"/>
        <v>284.7556893121577</v>
      </c>
      <c r="AI4">
        <f t="shared" ca="1" si="23"/>
        <v>289.27362021223468</v>
      </c>
      <c r="AJ4">
        <f t="shared" ca="1" si="23"/>
        <v>278.24586556634159</v>
      </c>
      <c r="AK4">
        <f t="shared" ca="1" si="23"/>
        <v>252.6562036838771</v>
      </c>
      <c r="AL4">
        <f t="shared" ca="1" si="23"/>
        <v>297.38455205253439</v>
      </c>
    </row>
    <row r="5" spans="1:38">
      <c r="A5" s="1" t="s">
        <v>8</v>
      </c>
      <c r="B5" s="4" t="str">
        <f t="shared" si="12"/>
        <v>No</v>
      </c>
      <c r="C5" s="4" t="str">
        <f t="shared" si="13"/>
        <v>No</v>
      </c>
      <c r="D5" s="4" t="str">
        <f t="shared" si="14"/>
        <v>Yes</v>
      </c>
      <c r="E5" s="4" t="str">
        <f t="shared" si="15"/>
        <v>No</v>
      </c>
      <c r="F5" s="4" t="str">
        <f t="shared" si="16"/>
        <v>No</v>
      </c>
      <c r="G5" s="4" t="str">
        <f t="shared" si="17"/>
        <v>No</v>
      </c>
      <c r="H5" s="4" t="str">
        <f t="shared" si="18"/>
        <v>No</v>
      </c>
      <c r="I5" s="4" t="str">
        <f t="shared" si="19"/>
        <v>Yes</v>
      </c>
      <c r="J5" s="4" t="str">
        <f t="shared" si="20"/>
        <v>No</v>
      </c>
      <c r="K5" s="4" t="str">
        <f t="shared" si="21"/>
        <v>No</v>
      </c>
      <c r="L5" s="4" t="str">
        <f t="shared" si="22"/>
        <v>No</v>
      </c>
      <c r="N5" s="1" t="s">
        <v>8</v>
      </c>
      <c r="O5" t="str">
        <f t="shared" ca="1" si="1"/>
        <v/>
      </c>
      <c r="P5" t="str">
        <f t="shared" ref="P5:P12" ca="1" si="24">IF(C5="Yes",10+5*RAND(),"")</f>
        <v/>
      </c>
      <c r="Q5">
        <f t="shared" ca="1" si="3"/>
        <v>11.862566956210001</v>
      </c>
      <c r="R5" t="str">
        <f t="shared" ca="1" si="4"/>
        <v/>
      </c>
      <c r="S5" t="str">
        <f t="shared" ca="1" si="5"/>
        <v/>
      </c>
      <c r="T5" t="str">
        <f t="shared" ca="1" si="6"/>
        <v/>
      </c>
      <c r="U5" t="str">
        <f t="shared" ca="1" si="7"/>
        <v/>
      </c>
      <c r="V5">
        <f t="shared" ca="1" si="8"/>
        <v>12.873662668548054</v>
      </c>
      <c r="W5" t="str">
        <f t="shared" ca="1" si="9"/>
        <v/>
      </c>
      <c r="X5" t="str">
        <f t="shared" ca="1" si="10"/>
        <v/>
      </c>
      <c r="Y5" t="str">
        <f t="shared" ca="1" si="11"/>
        <v/>
      </c>
      <c r="AA5" s="1" t="s">
        <v>8</v>
      </c>
      <c r="AB5">
        <v>500</v>
      </c>
      <c r="AC5">
        <f t="shared" ca="1" si="23"/>
        <v>265.79340098270512</v>
      </c>
      <c r="AD5">
        <f t="shared" ca="1" si="23"/>
        <v>279.12868016451938</v>
      </c>
      <c r="AF5">
        <f t="shared" ca="1" si="23"/>
        <v>297.06067759179166</v>
      </c>
      <c r="AG5">
        <f t="shared" ca="1" si="23"/>
        <v>284.5113422026231</v>
      </c>
      <c r="AH5">
        <f t="shared" ca="1" si="23"/>
        <v>284.90026993166913</v>
      </c>
      <c r="AI5">
        <f t="shared" ca="1" si="23"/>
        <v>256.27436344531884</v>
      </c>
      <c r="AJ5">
        <f t="shared" ca="1" si="23"/>
        <v>255.67853715635295</v>
      </c>
      <c r="AK5">
        <f t="shared" ca="1" si="23"/>
        <v>297.11262663779758</v>
      </c>
      <c r="AL5">
        <f t="shared" ca="1" si="23"/>
        <v>264.8050141562382</v>
      </c>
    </row>
    <row r="6" spans="1:38">
      <c r="A6" s="1" t="s">
        <v>9</v>
      </c>
      <c r="B6" s="4" t="str">
        <f t="shared" si="12"/>
        <v>No</v>
      </c>
      <c r="C6" s="4" t="str">
        <f t="shared" si="13"/>
        <v>No</v>
      </c>
      <c r="D6" s="4" t="str">
        <f t="shared" si="14"/>
        <v>No</v>
      </c>
      <c r="E6" s="4" t="str">
        <f t="shared" si="15"/>
        <v>No</v>
      </c>
      <c r="F6" s="4" t="str">
        <f t="shared" si="16"/>
        <v>No</v>
      </c>
      <c r="G6" s="4" t="str">
        <f t="shared" si="17"/>
        <v>No</v>
      </c>
      <c r="H6" s="4" t="str">
        <f t="shared" si="18"/>
        <v>Yes</v>
      </c>
      <c r="I6" s="4" t="str">
        <f t="shared" si="19"/>
        <v>Yes</v>
      </c>
      <c r="J6" s="4" t="str">
        <f t="shared" si="20"/>
        <v>Yes</v>
      </c>
      <c r="K6" s="4" t="str">
        <f t="shared" si="21"/>
        <v>No</v>
      </c>
      <c r="L6" s="4" t="str">
        <f t="shared" si="22"/>
        <v>No</v>
      </c>
      <c r="N6" s="1" t="s">
        <v>9</v>
      </c>
      <c r="O6" t="str">
        <f t="shared" ca="1" si="1"/>
        <v/>
      </c>
      <c r="P6" t="str">
        <f t="shared" ca="1" si="24"/>
        <v/>
      </c>
      <c r="Q6" t="str">
        <f t="shared" ca="1" si="3"/>
        <v/>
      </c>
      <c r="R6" t="str">
        <f t="shared" ca="1" si="4"/>
        <v/>
      </c>
      <c r="S6" t="str">
        <f t="shared" ca="1" si="5"/>
        <v/>
      </c>
      <c r="T6" t="str">
        <f t="shared" ca="1" si="6"/>
        <v/>
      </c>
      <c r="U6">
        <f t="shared" ca="1" si="7"/>
        <v>11.335803670318683</v>
      </c>
      <c r="V6">
        <f t="shared" ca="1" si="8"/>
        <v>10.701854921939708</v>
      </c>
      <c r="W6">
        <f t="shared" ca="1" si="9"/>
        <v>14.350809400466002</v>
      </c>
      <c r="X6" t="str">
        <f t="shared" ca="1" si="10"/>
        <v/>
      </c>
      <c r="Y6" t="str">
        <f t="shared" ca="1" si="11"/>
        <v/>
      </c>
      <c r="AA6" s="1" t="s">
        <v>9</v>
      </c>
      <c r="AB6">
        <v>500</v>
      </c>
      <c r="AC6">
        <f t="shared" ca="1" si="23"/>
        <v>282.39726172588087</v>
      </c>
      <c r="AD6">
        <f t="shared" ca="1" si="23"/>
        <v>292.4129579928686</v>
      </c>
      <c r="AE6">
        <f t="shared" ca="1" si="23"/>
        <v>263.43295352855216</v>
      </c>
      <c r="AG6">
        <f t="shared" ca="1" si="23"/>
        <v>277.00351276556017</v>
      </c>
      <c r="AH6">
        <f t="shared" ca="1" si="23"/>
        <v>260.55965864943107</v>
      </c>
      <c r="AI6">
        <f t="shared" ca="1" si="23"/>
        <v>293.13676093209807</v>
      </c>
      <c r="AJ6">
        <f t="shared" ca="1" si="23"/>
        <v>269.22062830940484</v>
      </c>
      <c r="AK6">
        <f t="shared" ca="1" si="23"/>
        <v>280.9777612803461</v>
      </c>
      <c r="AL6">
        <f t="shared" ca="1" si="23"/>
        <v>270.40733267204405</v>
      </c>
    </row>
    <row r="7" spans="1:38">
      <c r="A7" s="1" t="s">
        <v>10</v>
      </c>
      <c r="B7" s="4" t="str">
        <f t="shared" si="12"/>
        <v>No</v>
      </c>
      <c r="C7" s="4" t="str">
        <f t="shared" si="13"/>
        <v>No</v>
      </c>
      <c r="D7" s="4" t="str">
        <f t="shared" si="14"/>
        <v>No</v>
      </c>
      <c r="E7" s="4" t="str">
        <f t="shared" si="15"/>
        <v>No</v>
      </c>
      <c r="F7" s="4" t="str">
        <f t="shared" si="16"/>
        <v>No</v>
      </c>
      <c r="G7" s="4" t="str">
        <f t="shared" si="17"/>
        <v>No</v>
      </c>
      <c r="H7" s="4" t="str">
        <f t="shared" si="18"/>
        <v>No</v>
      </c>
      <c r="I7" s="4" t="str">
        <f t="shared" si="19"/>
        <v>Yes</v>
      </c>
      <c r="J7" s="4" t="str">
        <f t="shared" si="20"/>
        <v>No</v>
      </c>
      <c r="K7" s="4" t="str">
        <f t="shared" si="21"/>
        <v>Yes</v>
      </c>
      <c r="L7" s="4" t="str">
        <f t="shared" si="22"/>
        <v>No</v>
      </c>
      <c r="N7" s="1" t="s">
        <v>10</v>
      </c>
      <c r="O7" t="str">
        <f t="shared" ca="1" si="1"/>
        <v/>
      </c>
      <c r="P7" t="str">
        <f t="shared" ca="1" si="24"/>
        <v/>
      </c>
      <c r="Q7" t="str">
        <f t="shared" ca="1" si="3"/>
        <v/>
      </c>
      <c r="R7" t="str">
        <f t="shared" ca="1" si="4"/>
        <v/>
      </c>
      <c r="S7" t="str">
        <f t="shared" ca="1" si="5"/>
        <v/>
      </c>
      <c r="T7" t="str">
        <f t="shared" ca="1" si="6"/>
        <v/>
      </c>
      <c r="U7" t="str">
        <f t="shared" ca="1" si="7"/>
        <v/>
      </c>
      <c r="V7">
        <f t="shared" ca="1" si="8"/>
        <v>12.555728239695911</v>
      </c>
      <c r="W7" t="str">
        <f t="shared" ca="1" si="9"/>
        <v/>
      </c>
      <c r="X7">
        <f t="shared" ca="1" si="10"/>
        <v>10.369086563655671</v>
      </c>
      <c r="Y7" t="str">
        <f t="shared" ca="1" si="11"/>
        <v/>
      </c>
      <c r="AA7" s="1" t="s">
        <v>10</v>
      </c>
      <c r="AB7">
        <v>500</v>
      </c>
      <c r="AC7">
        <f t="shared" ca="1" si="23"/>
        <v>289.79800085171439</v>
      </c>
      <c r="AD7">
        <f t="shared" ca="1" si="23"/>
        <v>254.44917360735715</v>
      </c>
      <c r="AE7">
        <f t="shared" ca="1" si="23"/>
        <v>287.78622600954259</v>
      </c>
      <c r="AF7">
        <f t="shared" ca="1" si="23"/>
        <v>267.80915524946835</v>
      </c>
      <c r="AH7">
        <f t="shared" ca="1" si="23"/>
        <v>286.39847765778347</v>
      </c>
      <c r="AI7">
        <f t="shared" ca="1" si="23"/>
        <v>289.75411708321411</v>
      </c>
      <c r="AJ7">
        <f t="shared" ca="1" si="23"/>
        <v>253.02630609754632</v>
      </c>
      <c r="AK7">
        <f t="shared" ca="1" si="23"/>
        <v>281.99595339402458</v>
      </c>
      <c r="AL7">
        <f t="shared" ca="1" si="23"/>
        <v>294.71345861739525</v>
      </c>
    </row>
    <row r="8" spans="1:38">
      <c r="A8" s="1" t="s">
        <v>11</v>
      </c>
      <c r="B8" s="4" t="str">
        <f t="shared" si="12"/>
        <v>No</v>
      </c>
      <c r="C8" s="4" t="str">
        <f t="shared" si="13"/>
        <v>No</v>
      </c>
      <c r="D8" s="4" t="str">
        <f t="shared" si="14"/>
        <v>No</v>
      </c>
      <c r="E8" s="4" t="str">
        <f t="shared" si="15"/>
        <v>No</v>
      </c>
      <c r="F8" s="4" t="str">
        <f t="shared" si="16"/>
        <v>Yes</v>
      </c>
      <c r="G8" s="4" t="str">
        <f t="shared" si="17"/>
        <v>No</v>
      </c>
      <c r="H8" s="4" t="str">
        <f t="shared" si="18"/>
        <v>No</v>
      </c>
      <c r="I8" s="4" t="str">
        <f t="shared" si="19"/>
        <v>Yes</v>
      </c>
      <c r="J8" s="4" t="str">
        <f t="shared" si="20"/>
        <v>Yes</v>
      </c>
      <c r="K8" s="4" t="str">
        <f t="shared" si="21"/>
        <v>No</v>
      </c>
      <c r="L8" s="4" t="str">
        <f t="shared" si="22"/>
        <v>No</v>
      </c>
      <c r="N8" s="1" t="s">
        <v>11</v>
      </c>
      <c r="O8" t="str">
        <f t="shared" ca="1" si="1"/>
        <v/>
      </c>
      <c r="P8" t="str">
        <f t="shared" ca="1" si="24"/>
        <v/>
      </c>
      <c r="Q8" t="str">
        <f t="shared" ca="1" si="3"/>
        <v/>
      </c>
      <c r="R8" t="str">
        <f t="shared" ca="1" si="4"/>
        <v/>
      </c>
      <c r="S8">
        <f t="shared" ca="1" si="5"/>
        <v>13.973117268109904</v>
      </c>
      <c r="T8" t="str">
        <f t="shared" ca="1" si="6"/>
        <v/>
      </c>
      <c r="U8" t="str">
        <f t="shared" ca="1" si="7"/>
        <v/>
      </c>
      <c r="V8">
        <f t="shared" ca="1" si="8"/>
        <v>12.327006763823402</v>
      </c>
      <c r="W8">
        <f t="shared" ca="1" si="9"/>
        <v>12.650229241738245</v>
      </c>
      <c r="X8" t="str">
        <f t="shared" ca="1" si="10"/>
        <v/>
      </c>
      <c r="Y8" t="str">
        <f t="shared" ca="1" si="11"/>
        <v/>
      </c>
      <c r="AA8" s="1" t="s">
        <v>11</v>
      </c>
      <c r="AB8">
        <v>500</v>
      </c>
      <c r="AC8">
        <f t="shared" ca="1" si="23"/>
        <v>272.70641123718559</v>
      </c>
      <c r="AD8">
        <f t="shared" ca="1" si="23"/>
        <v>285.2327593759822</v>
      </c>
      <c r="AE8">
        <f t="shared" ca="1" si="23"/>
        <v>292.91256114154112</v>
      </c>
      <c r="AF8">
        <f t="shared" ca="1" si="23"/>
        <v>251.40035921676389</v>
      </c>
      <c r="AG8">
        <f t="shared" ca="1" si="23"/>
        <v>297.88056046486741</v>
      </c>
      <c r="AI8">
        <f t="shared" ca="1" si="23"/>
        <v>256.18858132333963</v>
      </c>
      <c r="AJ8">
        <f t="shared" ca="1" si="23"/>
        <v>283.39500978064626</v>
      </c>
      <c r="AK8">
        <f t="shared" ca="1" si="23"/>
        <v>298.56921993894451</v>
      </c>
      <c r="AL8">
        <f t="shared" ca="1" si="23"/>
        <v>277.91678809825004</v>
      </c>
    </row>
    <row r="9" spans="1:38">
      <c r="A9" s="1" t="s">
        <v>12</v>
      </c>
      <c r="B9" s="4" t="str">
        <f t="shared" si="12"/>
        <v>Yes</v>
      </c>
      <c r="C9" s="4" t="str">
        <f t="shared" si="13"/>
        <v>Yes</v>
      </c>
      <c r="D9" s="4" t="str">
        <f t="shared" si="14"/>
        <v>Yes</v>
      </c>
      <c r="E9" s="4" t="str">
        <f t="shared" si="15"/>
        <v>Yes</v>
      </c>
      <c r="F9" s="4" t="str">
        <f t="shared" si="16"/>
        <v>Yes</v>
      </c>
      <c r="G9" s="4" t="str">
        <f t="shared" si="17"/>
        <v>Yes</v>
      </c>
      <c r="H9" s="4" t="str">
        <f t="shared" si="18"/>
        <v>Yes</v>
      </c>
      <c r="I9" s="4" t="str">
        <f t="shared" si="19"/>
        <v>No</v>
      </c>
      <c r="J9" s="4" t="str">
        <f t="shared" si="20"/>
        <v>Yes</v>
      </c>
      <c r="K9" s="4" t="str">
        <f t="shared" si="21"/>
        <v>Yes</v>
      </c>
      <c r="L9" s="4" t="str">
        <f t="shared" si="22"/>
        <v>No</v>
      </c>
      <c r="N9" s="1" t="s">
        <v>12</v>
      </c>
      <c r="O9">
        <f t="shared" ca="1" si="1"/>
        <v>12.737512859921683</v>
      </c>
      <c r="P9">
        <f t="shared" ca="1" si="24"/>
        <v>14.365735664343514</v>
      </c>
      <c r="Q9">
        <f t="shared" ca="1" si="3"/>
        <v>10.96969289435598</v>
      </c>
      <c r="R9">
        <f t="shared" ca="1" si="4"/>
        <v>10.861606721162714</v>
      </c>
      <c r="S9">
        <f t="shared" ca="1" si="5"/>
        <v>11.026236824791155</v>
      </c>
      <c r="T9">
        <f t="shared" ca="1" si="6"/>
        <v>11.053374983931304</v>
      </c>
      <c r="U9">
        <f t="shared" ca="1" si="7"/>
        <v>10.166669747868069</v>
      </c>
      <c r="V9" t="str">
        <f t="shared" ca="1" si="8"/>
        <v/>
      </c>
      <c r="W9">
        <f t="shared" ca="1" si="9"/>
        <v>10.246159657036099</v>
      </c>
      <c r="X9">
        <f t="shared" ca="1" si="10"/>
        <v>14.77588923108571</v>
      </c>
      <c r="Y9" t="str">
        <f t="shared" ca="1" si="11"/>
        <v/>
      </c>
      <c r="AA9" s="1" t="s">
        <v>12</v>
      </c>
      <c r="AB9">
        <v>500</v>
      </c>
      <c r="AC9">
        <f t="shared" ca="1" si="23"/>
        <v>277.11199424544645</v>
      </c>
      <c r="AD9">
        <f t="shared" ca="1" si="23"/>
        <v>288.7647661354888</v>
      </c>
      <c r="AE9">
        <f t="shared" ca="1" si="23"/>
        <v>288.5445985170918</v>
      </c>
      <c r="AF9">
        <f t="shared" ca="1" si="23"/>
        <v>297.53221314421143</v>
      </c>
      <c r="AG9">
        <f t="shared" ca="1" si="23"/>
        <v>271.5097604854281</v>
      </c>
      <c r="AH9">
        <f t="shared" ca="1" si="23"/>
        <v>274.23918962502717</v>
      </c>
      <c r="AJ9">
        <f t="shared" ca="1" si="23"/>
        <v>291.24334397957756</v>
      </c>
      <c r="AK9">
        <f t="shared" ca="1" si="23"/>
        <v>278.48608552717985</v>
      </c>
      <c r="AL9">
        <f t="shared" ca="1" si="23"/>
        <v>266.8603153872196</v>
      </c>
    </row>
    <row r="10" spans="1:38">
      <c r="A10" s="1" t="s">
        <v>13</v>
      </c>
      <c r="B10" s="4" t="str">
        <f t="shared" si="12"/>
        <v>No</v>
      </c>
      <c r="C10" s="4" t="str">
        <f t="shared" si="13"/>
        <v>Yes</v>
      </c>
      <c r="D10" s="4" t="str">
        <f t="shared" si="14"/>
        <v>No</v>
      </c>
      <c r="E10" s="4" t="str">
        <f t="shared" si="15"/>
        <v>No</v>
      </c>
      <c r="F10" s="4" t="str">
        <f t="shared" si="16"/>
        <v>Yes</v>
      </c>
      <c r="G10" s="4" t="str">
        <f t="shared" si="17"/>
        <v>No</v>
      </c>
      <c r="H10" s="4" t="str">
        <f t="shared" si="18"/>
        <v>Yes</v>
      </c>
      <c r="I10" s="4" t="str">
        <f t="shared" si="19"/>
        <v>Yes</v>
      </c>
      <c r="J10" s="4" t="str">
        <f t="shared" si="20"/>
        <v>No</v>
      </c>
      <c r="K10" s="4" t="str">
        <f t="shared" si="21"/>
        <v>No</v>
      </c>
      <c r="L10" s="4" t="str">
        <f t="shared" si="22"/>
        <v>No</v>
      </c>
      <c r="N10" s="1" t="s">
        <v>13</v>
      </c>
      <c r="O10" t="str">
        <f t="shared" ca="1" si="1"/>
        <v/>
      </c>
      <c r="P10">
        <f t="shared" ca="1" si="24"/>
        <v>13.361104316375869</v>
      </c>
      <c r="Q10" t="str">
        <f t="shared" ca="1" si="3"/>
        <v/>
      </c>
      <c r="R10" t="str">
        <f t="shared" ca="1" si="4"/>
        <v/>
      </c>
      <c r="S10">
        <f t="shared" ca="1" si="5"/>
        <v>14.457337217653865</v>
      </c>
      <c r="T10" t="str">
        <f t="shared" ca="1" si="6"/>
        <v/>
      </c>
      <c r="U10">
        <f t="shared" ca="1" si="7"/>
        <v>11.912307947045184</v>
      </c>
      <c r="V10">
        <f t="shared" ca="1" si="8"/>
        <v>11.529980753534691</v>
      </c>
      <c r="W10" t="str">
        <f t="shared" ca="1" si="9"/>
        <v/>
      </c>
      <c r="X10" t="str">
        <f t="shared" ca="1" si="10"/>
        <v/>
      </c>
      <c r="Y10" t="str">
        <f t="shared" ca="1" si="11"/>
        <v/>
      </c>
      <c r="AA10" s="1" t="s">
        <v>13</v>
      </c>
      <c r="AB10">
        <v>500</v>
      </c>
      <c r="AC10">
        <f t="shared" ca="1" si="23"/>
        <v>279.96321403576962</v>
      </c>
      <c r="AD10">
        <f t="shared" ca="1" si="23"/>
        <v>279.56049255233728</v>
      </c>
      <c r="AE10">
        <f t="shared" ca="1" si="23"/>
        <v>258.82271255484528</v>
      </c>
      <c r="AF10">
        <f t="shared" ca="1" si="23"/>
        <v>275.27107397319969</v>
      </c>
      <c r="AG10">
        <f t="shared" ca="1" si="23"/>
        <v>272.99804998264136</v>
      </c>
      <c r="AH10">
        <f t="shared" ca="1" si="23"/>
        <v>275.29602478051106</v>
      </c>
      <c r="AI10">
        <f t="shared" ca="1" si="23"/>
        <v>267.0982561916735</v>
      </c>
      <c r="AK10">
        <f t="shared" ca="1" si="23"/>
        <v>289.04176048326951</v>
      </c>
      <c r="AL10">
        <f t="shared" ca="1" si="23"/>
        <v>291.05572776893786</v>
      </c>
    </row>
    <row r="11" spans="1:38">
      <c r="A11" s="1" t="s">
        <v>19</v>
      </c>
      <c r="B11" s="4" t="str">
        <f t="shared" si="12"/>
        <v>Yes</v>
      </c>
      <c r="C11" s="4" t="str">
        <f t="shared" si="13"/>
        <v>No</v>
      </c>
      <c r="D11" s="4" t="str">
        <f t="shared" si="14"/>
        <v>No</v>
      </c>
      <c r="E11" s="4" t="str">
        <f t="shared" si="15"/>
        <v>No</v>
      </c>
      <c r="F11" s="4" t="str">
        <f t="shared" si="16"/>
        <v>No</v>
      </c>
      <c r="G11" s="4" t="str">
        <f t="shared" si="17"/>
        <v>Yes</v>
      </c>
      <c r="H11" s="4" t="str">
        <f t="shared" si="18"/>
        <v>No</v>
      </c>
      <c r="I11" s="4" t="str">
        <f t="shared" si="19"/>
        <v>Yes</v>
      </c>
      <c r="J11" s="4" t="str">
        <f t="shared" si="20"/>
        <v>No</v>
      </c>
      <c r="K11" s="4" t="str">
        <f t="shared" si="21"/>
        <v>No</v>
      </c>
      <c r="L11" s="4" t="str">
        <f t="shared" si="22"/>
        <v>No</v>
      </c>
      <c r="N11" s="1" t="s">
        <v>19</v>
      </c>
      <c r="O11">
        <f t="shared" ca="1" si="1"/>
        <v>14.730987291044327</v>
      </c>
      <c r="P11" t="str">
        <f t="shared" ca="1" si="24"/>
        <v/>
      </c>
      <c r="Q11" t="str">
        <f t="shared" ca="1" si="3"/>
        <v/>
      </c>
      <c r="R11" t="str">
        <f t="shared" ca="1" si="4"/>
        <v/>
      </c>
      <c r="S11" t="str">
        <f t="shared" ca="1" si="5"/>
        <v/>
      </c>
      <c r="T11">
        <f t="shared" ca="1" si="6"/>
        <v>13.733671335689802</v>
      </c>
      <c r="U11" t="str">
        <f t="shared" ca="1" si="7"/>
        <v/>
      </c>
      <c r="V11">
        <f t="shared" ca="1" si="8"/>
        <v>13.834293942748079</v>
      </c>
      <c r="W11" t="str">
        <f t="shared" ca="1" si="9"/>
        <v/>
      </c>
      <c r="X11" t="str">
        <f t="shared" ca="1" si="10"/>
        <v/>
      </c>
      <c r="Y11" t="str">
        <f t="shared" ca="1" si="11"/>
        <v/>
      </c>
      <c r="AA11" s="1" t="s">
        <v>19</v>
      </c>
      <c r="AB11">
        <v>500</v>
      </c>
      <c r="AC11">
        <f t="shared" ca="1" si="23"/>
        <v>299.83303019612458</v>
      </c>
      <c r="AD11">
        <f t="shared" ca="1" si="23"/>
        <v>262.49875511203032</v>
      </c>
      <c r="AE11">
        <f t="shared" ca="1" si="23"/>
        <v>270.52211437778294</v>
      </c>
      <c r="AF11">
        <f t="shared" ca="1" si="23"/>
        <v>268.04822753744202</v>
      </c>
      <c r="AG11">
        <f t="shared" ca="1" si="23"/>
        <v>271.56310289646103</v>
      </c>
      <c r="AH11">
        <f t="shared" ca="1" si="23"/>
        <v>274.35623679479949</v>
      </c>
      <c r="AI11">
        <f t="shared" ca="1" si="23"/>
        <v>264.49447113170606</v>
      </c>
      <c r="AJ11">
        <f t="shared" ca="1" si="23"/>
        <v>296.0425036335576</v>
      </c>
      <c r="AL11">
        <f t="shared" ca="1" si="23"/>
        <v>271.43801242871456</v>
      </c>
    </row>
    <row r="12" spans="1:38">
      <c r="A12" s="1" t="s">
        <v>14</v>
      </c>
      <c r="B12" s="4" t="str">
        <f t="shared" si="12"/>
        <v>No</v>
      </c>
      <c r="C12" s="4" t="str">
        <f t="shared" si="13"/>
        <v>Yes</v>
      </c>
      <c r="D12" s="4" t="str">
        <f t="shared" si="14"/>
        <v>Yes</v>
      </c>
      <c r="E12" s="4" t="str">
        <f t="shared" si="15"/>
        <v>No</v>
      </c>
      <c r="F12" s="4" t="str">
        <f t="shared" si="16"/>
        <v>No</v>
      </c>
      <c r="G12" s="4" t="str">
        <f t="shared" si="17"/>
        <v>No</v>
      </c>
      <c r="H12" s="4" t="str">
        <f t="shared" si="18"/>
        <v>No</v>
      </c>
      <c r="I12" s="4" t="str">
        <f t="shared" si="19"/>
        <v>No</v>
      </c>
      <c r="J12" s="4" t="str">
        <f t="shared" si="20"/>
        <v>No</v>
      </c>
      <c r="K12" s="4" t="str">
        <f t="shared" si="21"/>
        <v>No</v>
      </c>
      <c r="L12" s="4" t="str">
        <f t="shared" si="22"/>
        <v>No</v>
      </c>
      <c r="N12" s="1" t="s">
        <v>14</v>
      </c>
      <c r="O12" t="str">
        <f t="shared" ca="1" si="1"/>
        <v/>
      </c>
      <c r="P12">
        <f t="shared" ca="1" si="24"/>
        <v>10.206212072198147</v>
      </c>
      <c r="Q12">
        <f t="shared" ca="1" si="3"/>
        <v>11.581690275709578</v>
      </c>
      <c r="R12" t="str">
        <f t="shared" ca="1" si="4"/>
        <v/>
      </c>
      <c r="S12" t="str">
        <f t="shared" ca="1" si="5"/>
        <v/>
      </c>
      <c r="T12" t="str">
        <f t="shared" ca="1" si="6"/>
        <v/>
      </c>
      <c r="U12" t="str">
        <f t="shared" ca="1" si="7"/>
        <v/>
      </c>
      <c r="V12" t="str">
        <f t="shared" ca="1" si="8"/>
        <v/>
      </c>
      <c r="W12" t="str">
        <f t="shared" ca="1" si="9"/>
        <v/>
      </c>
      <c r="X12" t="str">
        <f t="shared" ca="1" si="10"/>
        <v/>
      </c>
      <c r="Y12" t="str">
        <f t="shared" ca="1" si="11"/>
        <v/>
      </c>
      <c r="AA12" s="1" t="s">
        <v>14</v>
      </c>
      <c r="AB12">
        <v>500</v>
      </c>
      <c r="AC12">
        <f t="shared" ca="1" si="23"/>
        <v>265.9031868472922</v>
      </c>
      <c r="AD12">
        <f t="shared" ca="1" si="23"/>
        <v>293.01407731498142</v>
      </c>
      <c r="AE12">
        <f t="shared" ca="1" si="23"/>
        <v>284.23251760959573</v>
      </c>
      <c r="AF12">
        <f t="shared" ca="1" si="23"/>
        <v>299.29096158892628</v>
      </c>
      <c r="AG12">
        <f t="shared" ca="1" si="23"/>
        <v>259.59237884683029</v>
      </c>
      <c r="AH12">
        <f t="shared" ca="1" si="23"/>
        <v>281.67644164400923</v>
      </c>
      <c r="AI12">
        <f t="shared" ca="1" si="23"/>
        <v>265.86676829006706</v>
      </c>
      <c r="AJ12">
        <f t="shared" ca="1" si="23"/>
        <v>260.16585423806873</v>
      </c>
      <c r="AK12">
        <f t="shared" ca="1" si="23"/>
        <v>284.91445067794149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12</v>
      </c>
      <c r="B22" s="5" t="s">
        <v>5</v>
      </c>
      <c r="C22" t="s">
        <v>5</v>
      </c>
      <c r="D22" t="s">
        <v>6</v>
      </c>
      <c r="E22" s="6">
        <v>1</v>
      </c>
      <c r="F22" s="6" t="str">
        <f t="array" ref="F22">IFERROR(INDEX($B$22:$B$610,SMALL(IF($A$22:$A$610=F$21,ROW(Roads!$A$22:$A$610)),Roads!$E22)-ROW(RoadList)),"")</f>
        <v>Oromia</v>
      </c>
      <c r="G22" s="6" t="str">
        <f t="array" ref="G22">IFERROR(INDEX($B$22:$B$610,SMALL(IF($A$22:$A$610=G$21,ROW(Roads!$A$22:$A$610)),Roads!$E22)-ROW(RoadList)),"")</f>
        <v>Oromia</v>
      </c>
      <c r="H22" s="6" t="str">
        <f t="array" ref="H22">IFERROR(INDEX($B$22:$B$610,SMALL(IF($A$22:$A$610=H$21,ROW(Roads!$A$22:$A$610)),Roads!$E22)-ROW(RoadList)),"")</f>
        <v>Oromia</v>
      </c>
      <c r="I22" s="6" t="str">
        <f t="array" ref="I22">IFERROR(INDEX($B$22:$B$610,SMALL(IF($A$22:$A$610=I$21,ROW(Roads!$A$22:$A$610)),Roads!$E22)-ROW(RoadList)),"")</f>
        <v>Oromia</v>
      </c>
      <c r="J22" s="6" t="str">
        <f t="array" ref="J22">IFERROR(INDEX($B$22:$B$610,SMALL(IF($A$22:$A$610=J$21,ROW(Roads!$A$22:$A$610)),Roads!$E22)-ROW(RoadList)),"")</f>
        <v>Oromia</v>
      </c>
      <c r="K22" s="6" t="str">
        <f t="array" ref="K22">IFERROR(INDEX($B$22:$B$610,SMALL(IF($A$22:$A$610=K$21,ROW(Roads!$A$22:$A$610)),Roads!$E22)-ROW(RoadList)),"")</f>
        <v>Oromia</v>
      </c>
      <c r="L22" s="6" t="str">
        <f t="array" ref="L22">IFERROR(INDEX($B$22:$B$610,SMALL(IF($A$22:$A$610=L$21,ROW(Roads!$A$22:$A$610)),Roads!$E22)-ROW(RoadList)),"")</f>
        <v>Oromia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Oromia</v>
      </c>
      <c r="O22" s="6" t="str">
        <f t="array" ref="O22">IFERROR(INDEX($B$22:$B$610,SMALL(IF($A$22:$A$610=O$21,ROW(Roads!$A$22:$A$610)),Roads!$E22)-ROW(RoadList)),"")</f>
        <v>Oromia</v>
      </c>
      <c r="P22" s="6" t="str">
        <f t="array" ref="P22">IFERROR(INDEX($B$22:$B$610,SMALL(IF($A$22:$A$610=P$21,ROW(Roads!$A$22:$A$610)),Roads!$E22)-ROW(RoadList)),"")</f>
        <v>Amhara</v>
      </c>
    </row>
    <row r="23" spans="1:21">
      <c r="A23" s="5" t="s">
        <v>12</v>
      </c>
      <c r="B23" s="5" t="s">
        <v>7</v>
      </c>
      <c r="C23" t="s">
        <v>5</v>
      </c>
      <c r="D23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SNNPR</v>
      </c>
      <c r="G23" s="6" t="str">
        <f t="array" ref="G23">IFERROR(INDEX($B$22:$B$610,SMALL(IF($A$22:$A$610=G$21,ROW(Roads!$A$22:$A$610)),Roads!$E23)-ROW(RoadList)),"")</f>
        <v>Tigray</v>
      </c>
      <c r="H23" s="6" t="str">
        <f t="array" ref="H23">IFERROR(INDEX($B$22:$B$610,SMALL(IF($A$22:$A$610=H$21,ROW(Roads!$A$22:$A$610)),Roads!$E23)-ROW(RoadList)),"")</f>
        <v>Tigray</v>
      </c>
      <c r="I23" s="6" t="str">
        <f t="array" ref="I23">IFERROR(INDEX($B$22:$B$610,SMALL(IF($A$22:$A$610=I$21,ROW(Roads!$A$22:$A$610)),Roads!$E23)-ROW(RoadList)),"")</f>
        <v>Amhara</v>
      </c>
      <c r="J23" s="6" t="str">
        <f t="array" ref="J23">IFERROR(INDEX($B$22:$B$610,SMALL(IF($A$22:$A$610=J$21,ROW(Roads!$A$22:$A$610)),Roads!$E23)-ROW(RoadList)),"")</f>
        <v>Somali</v>
      </c>
      <c r="K23" s="6" t="str">
        <f t="array" ref="K23">IFERROR(INDEX($B$22:$B$610,SMALL(IF($A$22:$A$610=K$21,ROW(Roads!$A$22:$A$610)),Roads!$E23)-ROW(RoadList)),"")</f>
        <v>SNNPR</v>
      </c>
      <c r="L23" s="6" t="str">
        <f t="array" ref="L23">IFERROR(INDEX($B$22:$B$610,SMALL(IF($A$22:$A$610=L$21,ROW(Roads!$A$22:$A$610)),Roads!$E23)-ROW(RoadList)),"")</f>
        <v>DireDawa</v>
      </c>
      <c r="M23" s="6" t="str">
        <f t="array" ref="M23">IFERROR(INDEX($B$22:$B$610,SMALL(IF($A$22:$A$610=M$21,ROW(Roads!$A$22:$A$610)),Roads!$E23)-ROW(RoadList)),"")</f>
        <v>Amhara</v>
      </c>
      <c r="N23" s="6" t="str">
        <f t="array" ref="N23">IFERROR(INDEX($B$22:$B$610,SMALL(IF($A$22:$A$610=N$21,ROW(Roads!$A$22:$A$610)),Roads!$E23)-ROW(RoadList)),"")</f>
        <v>DireDawa</v>
      </c>
      <c r="O23" s="6" t="str">
        <f t="array" ref="O23">IFERROR(INDEX($B$22:$B$610,SMALL(IF($A$22:$A$610=O$21,ROW(Roads!$A$22:$A$610)),Roads!$E23)-ROW(RoadList)),"")</f>
        <v>Gambela</v>
      </c>
      <c r="P23" s="6" t="str">
        <f t="array" ref="P23">IFERROR(INDEX($B$22:$B$610,SMALL(IF($A$22:$A$610=P$21,ROW(Roads!$A$22:$A$610)),Roads!$E23)-ROW(RoadList)),"")</f>
        <v>Afar</v>
      </c>
    </row>
    <row r="24" spans="1:21">
      <c r="A24" s="5" t="s">
        <v>12</v>
      </c>
      <c r="B24" s="5" t="s">
        <v>6</v>
      </c>
      <c r="C24" t="s">
        <v>5</v>
      </c>
      <c r="D24" t="s">
        <v>9</v>
      </c>
      <c r="E24" s="6">
        <f t="shared" ref="E24:E32" si="25">E23+1</f>
        <v>3</v>
      </c>
      <c r="F24" s="6" t="str">
        <f t="array" ref="F24">IFERROR(INDEX($B$22:$B$610,SMALL(IF($A$22:$A$610=F$21,ROW(Roads!$A$22:$A$610)),Roads!$E24)-ROW(RoadList)),"")</f>
        <v/>
      </c>
      <c r="G24" s="6" t="str">
        <f t="array" ref="G24">IFERROR(INDEX($B$22:$B$610,SMALL(IF($A$22:$A$610=G$21,ROW(Roads!$A$22:$A$610)),Roads!$E24)-ROW(RoadList)),"")</f>
        <v>Amhara</v>
      </c>
      <c r="H24" s="6" t="str">
        <f t="array" ref="H24">IFERROR(INDEX($B$22:$B$610,SMALL(IF($A$22:$A$610=H$21,ROW(Roads!$A$22:$A$610)),Roads!$E24)-ROW(RoadList)),"")</f>
        <v>Afar</v>
      </c>
      <c r="I24" s="6" t="str">
        <f t="array" ref="I24">IFERROR(INDEX($B$22:$B$610,SMALL(IF($A$22:$A$610=I$21,ROW(Roads!$A$22:$A$610)),Roads!$E24)-ROW(RoadList)),"")</f>
        <v/>
      </c>
      <c r="J24" s="6" t="str">
        <f t="array" ref="J24">IFERROR(INDEX($B$22:$B$610,SMALL(IF($A$22:$A$610=J$21,ROW(Roads!$A$22:$A$610)),Roads!$E24)-ROW(RoadList)),"")</f>
        <v>Harari</v>
      </c>
      <c r="K24" s="6" t="str">
        <f t="array" ref="K24">IFERROR(INDEX($B$22:$B$610,SMALL(IF($A$22:$A$610=K$21,ROW(Roads!$A$22:$A$610)),Roads!$E24)-ROW(RoadList)),"")</f>
        <v/>
      </c>
      <c r="L24" s="6" t="str">
        <f t="array" ref="L24">IFERROR(INDEX($B$22:$B$610,SMALL(IF($A$22:$A$610=L$21,ROW(Roads!$A$22:$A$610)),Roads!$E24)-ROW(RoadList)),"")</f>
        <v>Somali</v>
      </c>
      <c r="M24" s="6" t="str">
        <f t="array" ref="M24">IFERROR(INDEX($B$22:$B$610,SMALL(IF($A$22:$A$610=M$21,ROW(Roads!$A$22:$A$610)),Roads!$E24)-ROW(RoadList)),"")</f>
        <v>Afar</v>
      </c>
      <c r="N24" s="6" t="str">
        <f t="array" ref="N24">IFERROR(INDEX($B$22:$B$610,SMALL(IF($A$22:$A$610=N$21,ROW(Roads!$A$22:$A$610)),Roads!$E24)-ROW(RoadList)),"")</f>
        <v>Harari</v>
      </c>
      <c r="O24" s="6" t="str">
        <f t="array" ref="O24">IFERROR(INDEX($B$22:$B$610,SMALL(IF($A$22:$A$610=O$21,ROW(Roads!$A$22:$A$610)),Roads!$E24)-ROW(RoadList)),"")</f>
        <v>AddisAbaba</v>
      </c>
      <c r="P24" s="6" t="str">
        <f t="array" ref="P24">IFERROR(INDEX($B$22:$B$610,SMALL(IF($A$22:$A$610=P$21,ROW(Roads!$A$22:$A$610)),Roads!$E24)-ROW(RoadList)),"")</f>
        <v/>
      </c>
    </row>
    <row r="25" spans="1:21">
      <c r="A25" s="5" t="s">
        <v>12</v>
      </c>
      <c r="B25" s="5" t="s">
        <v>11</v>
      </c>
      <c r="C25" t="s">
        <v>5</v>
      </c>
      <c r="D25" t="s">
        <v>10</v>
      </c>
      <c r="E25" s="6">
        <f t="shared" si="25"/>
        <v>4</v>
      </c>
      <c r="F25" s="6" t="str">
        <f t="array" ref="F25">IFERROR(INDEX($B$22:$B$610,SMALL(IF($A$22:$A$610=F$21,ROW(Roads!$A$22:$A$610)),Roads!$E25)-ROW(RoadList)),"")</f>
        <v/>
      </c>
      <c r="G25" s="6" t="str">
        <f t="array" ref="G25">IFERROR(INDEX($B$22:$B$610,SMALL(IF($A$22:$A$610=G$21,ROW(Roads!$A$22:$A$610)),Roads!$E25)-ROW(RoadList)),"")</f>
        <v>Somali</v>
      </c>
      <c r="H25" s="6" t="str">
        <f t="array" ref="H25">IFERROR(INDEX($B$22:$B$610,SMALL(IF($A$22:$A$610=H$21,ROW(Roads!$A$22:$A$610)),Roads!$E25)-ROW(RoadList)),"")</f>
        <v>Gumuz</v>
      </c>
      <c r="I25" s="6" t="str">
        <f t="array" ref="I25">IFERROR(INDEX($B$22:$B$610,SMALL(IF($A$22:$A$610=I$21,ROW(Roads!$A$22:$A$610)),Roads!$E25)-ROW(RoadList)),"")</f>
        <v/>
      </c>
      <c r="J25" s="6" t="str">
        <f t="array" ref="J25">IFERROR(INDEX($B$22:$B$610,SMALL(IF($A$22:$A$610=J$21,ROW(Roads!$A$22:$A$610)),Roads!$E25)-ROW(RoadList)),"")</f>
        <v/>
      </c>
      <c r="K25" s="6" t="str">
        <f t="array" ref="K25">IFERROR(INDEX($B$22:$B$610,SMALL(IF($A$22:$A$610=K$21,ROW(Roads!$A$22:$A$610)),Roads!$E25)-ROW(RoadList)),"")</f>
        <v/>
      </c>
      <c r="L25" s="6" t="str">
        <f t="array" ref="L25">IFERROR(INDEX($B$22:$B$610,SMALL(IF($A$22:$A$610=L$21,ROW(Roads!$A$22:$A$610)),Roads!$E25)-ROW(RoadList)),"")</f>
        <v/>
      </c>
      <c r="M25" s="6" t="str">
        <f t="array" ref="M25">IFERROR(INDEX($B$22:$B$610,SMALL(IF($A$22:$A$610=M$21,ROW(Roads!$A$22:$A$610)),Roads!$E25)-ROW(RoadList)),"")</f>
        <v>Harari</v>
      </c>
      <c r="N25" s="6" t="str">
        <f t="array" ref="N25">IFERROR(INDEX($B$22:$B$610,SMALL(IF($A$22:$A$610=N$21,ROW(Roads!$A$22:$A$610)),Roads!$E25)-ROW(RoadList)),"")</f>
        <v/>
      </c>
      <c r="O25" s="6" t="str">
        <f t="array" ref="O25">IFERROR(INDEX($B$22:$B$610,SMALL(IF($A$22:$A$610=O$21,ROW(Roads!$A$22:$A$610)),Roads!$E25)-ROW(RoadList)),"")</f>
        <v/>
      </c>
      <c r="P25" s="6" t="str">
        <f t="array" ref="P25">IFERROR(INDEX($B$22:$B$610,SMALL(IF($A$22:$A$610=P$21,ROW(Roads!$A$22:$A$610)),Roads!$E25)-ROW(RoadList)),"")</f>
        <v/>
      </c>
    </row>
    <row r="26" spans="1:21">
      <c r="A26" s="5" t="s">
        <v>12</v>
      </c>
      <c r="B26" s="5" t="s">
        <v>9</v>
      </c>
      <c r="C26" t="s">
        <v>5</v>
      </c>
      <c r="D26" t="s">
        <v>8</v>
      </c>
      <c r="E26" s="6">
        <f t="shared" si="25"/>
        <v>5</v>
      </c>
      <c r="F26" s="6" t="str">
        <f t="array" ref="F26">IFERROR(INDEX($B$22:$B$610,SMALL(IF($A$22:$A$610=F$21,ROW(Roads!$A$22:$A$610)),Roads!$E26)-ROW(RoadList)),"")</f>
        <v/>
      </c>
      <c r="G26" s="6" t="str">
        <f t="array" ref="G26">IFERROR(INDEX($B$22:$B$610,SMALL(IF($A$22:$A$610=G$21,ROW(Roads!$A$22:$A$610)),Roads!$E26)-ROW(RoadList)),"")</f>
        <v/>
      </c>
      <c r="H26" s="6" t="str">
        <f t="array" ref="H26">IFERROR(INDEX($B$22:$B$610,SMALL(IF($A$22:$A$610=H$21,ROW(Roads!$A$22:$A$610)),Roads!$E26)-ROW(RoadList)),"")</f>
        <v/>
      </c>
      <c r="I26" s="6" t="str">
        <f t="array" ref="I26">IFERROR(INDEX($B$22:$B$610,SMALL(IF($A$22:$A$610=I$21,ROW(Roads!$A$22:$A$610)),Roads!$E26)-ROW(RoadList)),"")</f>
        <v/>
      </c>
      <c r="J26" s="6" t="str">
        <f t="array" ref="J26">IFERROR(INDEX($B$22:$B$610,SMALL(IF($A$22:$A$610=J$21,ROW(Roads!$A$22:$A$610)),Roads!$E26)-ROW(RoadList)),"")</f>
        <v/>
      </c>
      <c r="K26" s="6" t="str">
        <f t="array" ref="K26">IFERROR(INDEX($B$22:$B$610,SMALL(IF($A$22:$A$610=K$21,ROW(Roads!$A$22:$A$610)),Roads!$E26)-ROW(RoadList)),"")</f>
        <v/>
      </c>
      <c r="L26" s="6" t="str">
        <f t="array" ref="L26">IFERROR(INDEX($B$22:$B$610,SMALL(IF($A$22:$A$610=L$21,ROW(Roads!$A$22:$A$610)),Roads!$E26)-ROW(RoadList)),"")</f>
        <v/>
      </c>
      <c r="M26" s="6" t="str">
        <f t="array" ref="M26">IFERROR(INDEX($B$22:$B$610,SMALL(IF($A$22:$A$610=M$21,ROW(Roads!$A$22:$A$610)),Roads!$E26)-ROW(RoadList)),"")</f>
        <v>DireDawa</v>
      </c>
      <c r="N26" s="6" t="str">
        <f t="array" ref="N26">IFERROR(INDEX($B$22:$B$610,SMALL(IF($A$22:$A$610=N$21,ROW(Roads!$A$22:$A$610)),Roads!$E26)-ROW(RoadList)),"")</f>
        <v/>
      </c>
      <c r="O26" s="6" t="str">
        <f t="array" ref="O26">IFERROR(INDEX($B$22:$B$610,SMALL(IF($A$22:$A$610=O$21,ROW(Roads!$A$22:$A$610)),Roads!$E26)-ROW(RoadList)),"")</f>
        <v/>
      </c>
      <c r="P26" s="6" t="str">
        <f t="array" ref="P26">IFERROR(INDEX($B$22:$B$610,SMALL(IF($A$22:$A$610=P$21,ROW(Roads!$A$22:$A$610)),Roads!$E26)-ROW(RoadList)),"")</f>
        <v/>
      </c>
    </row>
    <row r="27" spans="1:21">
      <c r="A27" s="5" t="s">
        <v>12</v>
      </c>
      <c r="B27" s="5" t="s">
        <v>13</v>
      </c>
      <c r="C27" t="s">
        <v>5</v>
      </c>
      <c r="D27" t="s">
        <v>11</v>
      </c>
      <c r="E27" s="6">
        <f t="shared" si="25"/>
        <v>6</v>
      </c>
      <c r="F27" s="6" t="str">
        <f t="array" ref="F27">IFERROR(INDEX($B$22:$B$610,SMALL(IF($A$22:$A$610=F$21,ROW(Roads!$A$22:$A$610)),Roads!$E27)-ROW(RoadList)),"")</f>
        <v/>
      </c>
      <c r="G27" s="6" t="str">
        <f t="array" ref="G27">IFERROR(INDEX($B$22:$B$610,SMALL(IF($A$22:$A$610=G$21,ROW(Roads!$A$22:$A$610)),Roads!$E27)-ROW(RoadList)),"")</f>
        <v/>
      </c>
      <c r="H27" s="6" t="str">
        <f t="array" ref="H27">IFERROR(INDEX($B$22:$B$610,SMALL(IF($A$22:$A$610=H$21,ROW(Roads!$A$22:$A$610)),Roads!$E27)-ROW(RoadList)),"")</f>
        <v/>
      </c>
      <c r="I27" s="6" t="str">
        <f t="array" ref="I27">IFERROR(INDEX($B$22:$B$610,SMALL(IF($A$22:$A$610=I$21,ROW(Roads!$A$22:$A$610)),Roads!$E27)-ROW(RoadList)),"")</f>
        <v/>
      </c>
      <c r="J27" s="6" t="str">
        <f t="array" ref="J27">IFERROR(INDEX($B$22:$B$610,SMALL(IF($A$22:$A$610=J$21,ROW(Roads!$A$22:$A$610)),Roads!$E27)-ROW(RoadList)),"")</f>
        <v/>
      </c>
      <c r="K27" s="6" t="str">
        <f t="array" ref="K27">IFERROR(INDEX($B$22:$B$610,SMALL(IF($A$22:$A$610=K$21,ROW(Roads!$A$22:$A$610)),Roads!$E27)-ROW(RoadList)),"")</f>
        <v/>
      </c>
      <c r="L27" s="6" t="str">
        <f t="array" ref="L27">IFERROR(INDEX($B$22:$B$610,SMALL(IF($A$22:$A$610=L$21,ROW(Roads!$A$22:$A$610)),Roads!$E27)-ROW(RoadList)),"")</f>
        <v/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/>
      </c>
      <c r="O27" s="6" t="str">
        <f t="array" ref="O27">IFERROR(INDEX($B$22:$B$610,SMALL(IF($A$22:$A$610=O$21,ROW(Roads!$A$22:$A$610)),Roads!$E27)-ROW(RoadList)),"")</f>
        <v/>
      </c>
      <c r="P27" s="6" t="str">
        <f t="array" ref="P27">IFERROR(INDEX($B$22:$B$610,SMALL(IF($A$22:$A$610=P$21,ROW(Roads!$A$22:$A$610)),Roads!$E27)-ROW(RoadList)),"")</f>
        <v/>
      </c>
    </row>
    <row r="28" spans="1:21">
      <c r="A28" s="5" t="s">
        <v>12</v>
      </c>
      <c r="B28" s="5" t="s">
        <v>19</v>
      </c>
      <c r="C28" t="s">
        <v>5</v>
      </c>
      <c r="D28" t="s">
        <v>12</v>
      </c>
      <c r="E28" s="6">
        <f t="shared" si="25"/>
        <v>7</v>
      </c>
      <c r="F28" s="6" t="str">
        <f t="array" ref="F28">IFERROR(INDEX($B$22:$B$610,SMALL(IF($A$22:$A$610=F$21,ROW(Roads!$A$22:$A$610)),Roads!$E28)-ROW(RoadList)),"")</f>
        <v/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/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>SNNPR</v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/>
      </c>
      <c r="P28" s="6" t="str">
        <f t="array" ref="P28">IFERROR(INDEX($B$22:$B$610,SMALL(IF($A$22:$A$610=P$21,ROW(Roads!$A$22:$A$610)),Roads!$E28)-ROW(RoadList)),"")</f>
        <v/>
      </c>
    </row>
    <row r="29" spans="1:21">
      <c r="A29" s="5" t="s">
        <v>12</v>
      </c>
      <c r="B29" s="5" t="s">
        <v>10</v>
      </c>
      <c r="C29" t="s">
        <v>5</v>
      </c>
      <c r="D29" t="s">
        <v>19</v>
      </c>
      <c r="E29" s="6">
        <f t="shared" si="25"/>
        <v>8</v>
      </c>
      <c r="F29" s="6" t="str">
        <f t="array" ref="F29">IFERROR(INDEX($B$22:$B$610,SMALL(IF($A$22:$A$610=F$21,ROW(Roads!$A$22:$A$610)),Roads!$E29)-ROW(RoadList)),"")</f>
        <v/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>Gambela</v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12</v>
      </c>
      <c r="B30" s="5" t="s">
        <v>8</v>
      </c>
      <c r="C30" t="s">
        <v>5</v>
      </c>
      <c r="D30" t="s">
        <v>13</v>
      </c>
      <c r="E30" s="6">
        <f t="shared" si="25"/>
        <v>9</v>
      </c>
      <c r="F30" s="6" t="str">
        <f t="array" ref="F30">IFERROR(INDEX($B$22:$B$610,SMALL(IF($A$22:$A$610=F$21,ROW(Roads!$A$22:$A$610)),Roads!$E30)-ROW(RoadList)),"")</f>
        <v/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>Gumuz</v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12</v>
      </c>
      <c r="C31" t="s">
        <v>5</v>
      </c>
      <c r="D31" t="s">
        <v>14</v>
      </c>
      <c r="E31" s="6">
        <f t="shared" si="25"/>
        <v>10</v>
      </c>
      <c r="F31" s="6" t="str">
        <f t="array" ref="F31">IFERROR(INDEX($B$22:$B$610,SMALL(IF($A$22:$A$610=F$21,ROW(Roads!$A$22:$A$610)),Roads!$E31)-ROW(RoadList)),"")</f>
        <v/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7</v>
      </c>
      <c r="B32" s="5" t="s">
        <v>12</v>
      </c>
      <c r="C32" t="s">
        <v>6</v>
      </c>
      <c r="D32" t="s">
        <v>5</v>
      </c>
      <c r="E32" s="6">
        <f t="shared" si="25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12</v>
      </c>
      <c r="C33" t="s">
        <v>6</v>
      </c>
      <c r="D33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11</v>
      </c>
      <c r="B34" s="5" t="s">
        <v>12</v>
      </c>
      <c r="C34" t="s">
        <v>6</v>
      </c>
      <c r="D34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9</v>
      </c>
      <c r="B35" s="5" t="s">
        <v>12</v>
      </c>
      <c r="C35" t="s">
        <v>6</v>
      </c>
      <c r="D3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13</v>
      </c>
      <c r="B36" s="5" t="s">
        <v>12</v>
      </c>
      <c r="C36" t="s">
        <v>6</v>
      </c>
      <c r="D36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19</v>
      </c>
      <c r="B37" s="5" t="s">
        <v>12</v>
      </c>
      <c r="C37" t="s">
        <v>6</v>
      </c>
      <c r="D37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10</v>
      </c>
      <c r="B38" s="5" t="s">
        <v>12</v>
      </c>
      <c r="C38" t="s">
        <v>7</v>
      </c>
      <c r="D38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8</v>
      </c>
      <c r="B39" s="5" t="s">
        <v>12</v>
      </c>
      <c r="C39" t="s">
        <v>7</v>
      </c>
      <c r="D39" t="s">
        <v>8</v>
      </c>
    </row>
    <row r="40" spans="1:16">
      <c r="A40" s="5" t="s">
        <v>6</v>
      </c>
      <c r="B40" s="5" t="s">
        <v>14</v>
      </c>
      <c r="C40" t="s">
        <v>7</v>
      </c>
      <c r="D40" t="s">
        <v>11</v>
      </c>
    </row>
    <row r="41" spans="1:16">
      <c r="A41" s="5" t="s">
        <v>6</v>
      </c>
      <c r="B41" s="5" t="s">
        <v>7</v>
      </c>
      <c r="C41" t="s">
        <v>7</v>
      </c>
      <c r="D41" t="s">
        <v>19</v>
      </c>
    </row>
    <row r="42" spans="1:16">
      <c r="A42" s="5" t="s">
        <v>6</v>
      </c>
      <c r="B42" s="5" t="s">
        <v>13</v>
      </c>
      <c r="C42" t="s">
        <v>7</v>
      </c>
      <c r="D42" t="s">
        <v>13</v>
      </c>
    </row>
    <row r="43" spans="1:16">
      <c r="A43" s="5" t="s">
        <v>7</v>
      </c>
      <c r="B43" s="5" t="s">
        <v>14</v>
      </c>
      <c r="C43" t="s">
        <v>7</v>
      </c>
      <c r="D43" t="s">
        <v>14</v>
      </c>
    </row>
    <row r="44" spans="1:16">
      <c r="A44" s="5" t="s">
        <v>7</v>
      </c>
      <c r="B44" s="5" t="s">
        <v>6</v>
      </c>
      <c r="C44" t="s">
        <v>9</v>
      </c>
      <c r="D44" t="s">
        <v>5</v>
      </c>
    </row>
    <row r="45" spans="1:16">
      <c r="A45" s="5" t="s">
        <v>7</v>
      </c>
      <c r="B45" s="5" t="s">
        <v>8</v>
      </c>
      <c r="C45" t="s">
        <v>9</v>
      </c>
      <c r="D45" t="s">
        <v>10</v>
      </c>
    </row>
    <row r="46" spans="1:16">
      <c r="A46" s="5" t="s">
        <v>8</v>
      </c>
      <c r="B46" s="5" t="s">
        <v>7</v>
      </c>
      <c r="C46" t="s">
        <v>9</v>
      </c>
      <c r="D46" t="s">
        <v>8</v>
      </c>
    </row>
    <row r="47" spans="1:16">
      <c r="A47" s="5" t="s">
        <v>9</v>
      </c>
      <c r="B47" s="5" t="s">
        <v>13</v>
      </c>
      <c r="C47" t="s">
        <v>9</v>
      </c>
      <c r="D47" t="s">
        <v>11</v>
      </c>
    </row>
    <row r="48" spans="1:16">
      <c r="A48" s="5" t="s">
        <v>9</v>
      </c>
      <c r="B48" s="5" t="s">
        <v>11</v>
      </c>
      <c r="C48" t="s">
        <v>9</v>
      </c>
      <c r="D48" t="s">
        <v>12</v>
      </c>
    </row>
    <row r="49" spans="1:4">
      <c r="A49" s="5" t="s">
        <v>10</v>
      </c>
      <c r="B49" s="5" t="s">
        <v>19</v>
      </c>
      <c r="C49" t="s">
        <v>9</v>
      </c>
      <c r="D49" t="s">
        <v>14</v>
      </c>
    </row>
    <row r="50" spans="1:4">
      <c r="A50" s="5" t="s">
        <v>11</v>
      </c>
      <c r="B50" s="5" t="s">
        <v>9</v>
      </c>
      <c r="C50" t="s">
        <v>10</v>
      </c>
      <c r="D50" t="s">
        <v>5</v>
      </c>
    </row>
    <row r="51" spans="1:4">
      <c r="A51" s="5" t="s">
        <v>13</v>
      </c>
      <c r="B51" s="5" t="s">
        <v>9</v>
      </c>
      <c r="C51" t="s">
        <v>10</v>
      </c>
      <c r="D51" t="s">
        <v>6</v>
      </c>
    </row>
    <row r="52" spans="1:4">
      <c r="A52" s="5" t="s">
        <v>13</v>
      </c>
      <c r="B52" s="5" t="s">
        <v>11</v>
      </c>
      <c r="C52" t="s">
        <v>10</v>
      </c>
      <c r="D52" t="s">
        <v>9</v>
      </c>
    </row>
    <row r="53" spans="1:4">
      <c r="A53" s="5" t="s">
        <v>11</v>
      </c>
      <c r="B53" s="5" t="s">
        <v>13</v>
      </c>
      <c r="C53" t="s">
        <v>10</v>
      </c>
      <c r="D53" t="s">
        <v>12</v>
      </c>
    </row>
    <row r="54" spans="1:4">
      <c r="A54" s="5" t="s">
        <v>19</v>
      </c>
      <c r="B54" s="5" t="s">
        <v>10</v>
      </c>
      <c r="C54" t="s">
        <v>10</v>
      </c>
      <c r="D54" t="s">
        <v>19</v>
      </c>
    </row>
    <row r="55" spans="1:4">
      <c r="A55" s="5" t="s">
        <v>19</v>
      </c>
      <c r="B55" s="5" t="s">
        <v>5</v>
      </c>
      <c r="C55" t="s">
        <v>10</v>
      </c>
      <c r="D55" t="s">
        <v>13</v>
      </c>
    </row>
    <row r="56" spans="1:4">
      <c r="A56" s="5" t="s">
        <v>5</v>
      </c>
      <c r="B56" s="5" t="s">
        <v>19</v>
      </c>
      <c r="C56" t="s">
        <v>10</v>
      </c>
      <c r="D56" t="s">
        <v>14</v>
      </c>
    </row>
    <row r="57" spans="1:4">
      <c r="A57" s="5" t="s">
        <v>14</v>
      </c>
      <c r="B57" s="5" t="s">
        <v>7</v>
      </c>
      <c r="C57" t="s">
        <v>8</v>
      </c>
      <c r="D57" t="s">
        <v>5</v>
      </c>
    </row>
    <row r="58" spans="1:4">
      <c r="A58" s="5" t="s">
        <v>14</v>
      </c>
      <c r="B58" s="5" t="s">
        <v>6</v>
      </c>
      <c r="C58" t="s">
        <v>8</v>
      </c>
      <c r="D58" t="s">
        <v>6</v>
      </c>
    </row>
    <row r="59" spans="1:4">
      <c r="A59" s="5"/>
      <c r="B59" s="5"/>
      <c r="C59" t="s">
        <v>8</v>
      </c>
      <c r="D59" t="s">
        <v>7</v>
      </c>
    </row>
    <row r="60" spans="1:4">
      <c r="A60" s="5"/>
      <c r="B60" s="5"/>
      <c r="C60" t="s">
        <v>8</v>
      </c>
      <c r="D60" t="s">
        <v>9</v>
      </c>
    </row>
    <row r="61" spans="1:4">
      <c r="A61" s="5"/>
      <c r="B61" s="5"/>
      <c r="C61" t="s">
        <v>8</v>
      </c>
      <c r="D61" t="s">
        <v>12</v>
      </c>
    </row>
    <row r="62" spans="1:4">
      <c r="A62" s="5"/>
      <c r="B62" s="5"/>
      <c r="C62" t="s">
        <v>8</v>
      </c>
      <c r="D62" t="s">
        <v>14</v>
      </c>
    </row>
    <row r="63" spans="1:4">
      <c r="A63" s="5"/>
      <c r="B63" s="5"/>
      <c r="C63" t="s">
        <v>11</v>
      </c>
      <c r="D63" t="s">
        <v>5</v>
      </c>
    </row>
    <row r="64" spans="1:4">
      <c r="A64" s="5"/>
      <c r="B64" s="5"/>
      <c r="C64" t="s">
        <v>11</v>
      </c>
      <c r="D64" t="s">
        <v>6</v>
      </c>
    </row>
    <row r="65" spans="1:4">
      <c r="A65" s="5"/>
      <c r="B65" s="5"/>
      <c r="C65" t="s">
        <v>11</v>
      </c>
      <c r="D65" t="s">
        <v>7</v>
      </c>
    </row>
    <row r="66" spans="1:4">
      <c r="A66" s="5"/>
      <c r="B66" s="5"/>
      <c r="C66" t="s">
        <v>11</v>
      </c>
      <c r="D66" t="s">
        <v>9</v>
      </c>
    </row>
    <row r="67" spans="1:4">
      <c r="A67" s="5"/>
      <c r="B67" s="5"/>
      <c r="C67" t="s">
        <v>11</v>
      </c>
      <c r="D67" t="s">
        <v>19</v>
      </c>
    </row>
    <row r="68" spans="1:4">
      <c r="A68" s="5"/>
      <c r="B68" s="5"/>
      <c r="C68" t="s">
        <v>11</v>
      </c>
      <c r="D68" t="s">
        <v>13</v>
      </c>
    </row>
    <row r="69" spans="1:4">
      <c r="A69" s="5"/>
      <c r="B69" s="5"/>
      <c r="C69" t="s">
        <v>12</v>
      </c>
      <c r="D69" t="s">
        <v>5</v>
      </c>
    </row>
    <row r="70" spans="1:4">
      <c r="A70" s="5"/>
      <c r="B70" s="5"/>
      <c r="C70" t="s">
        <v>12</v>
      </c>
      <c r="D70" t="s">
        <v>6</v>
      </c>
    </row>
    <row r="71" spans="1:4">
      <c r="A71" s="5"/>
      <c r="B71" s="5"/>
      <c r="C71" t="s">
        <v>12</v>
      </c>
      <c r="D71" t="s">
        <v>9</v>
      </c>
    </row>
    <row r="72" spans="1:4">
      <c r="A72" s="5"/>
      <c r="B72" s="5"/>
      <c r="C72" t="s">
        <v>12</v>
      </c>
      <c r="D72" t="s">
        <v>10</v>
      </c>
    </row>
    <row r="73" spans="1:4">
      <c r="A73" s="5"/>
      <c r="B73" s="5"/>
      <c r="C73" t="s">
        <v>12</v>
      </c>
      <c r="D73" t="s">
        <v>8</v>
      </c>
    </row>
    <row r="74" spans="1:4">
      <c r="A74" s="5"/>
      <c r="B74" s="5"/>
      <c r="C74" t="s">
        <v>12</v>
      </c>
      <c r="D74" t="s">
        <v>13</v>
      </c>
    </row>
    <row r="75" spans="1:4">
      <c r="A75" s="5"/>
      <c r="B75" s="5"/>
      <c r="C75" t="s">
        <v>19</v>
      </c>
      <c r="D75" t="s">
        <v>5</v>
      </c>
    </row>
    <row r="76" spans="1:4">
      <c r="A76" s="5"/>
      <c r="B76" s="5"/>
      <c r="C76" t="s">
        <v>19</v>
      </c>
      <c r="D76" t="s">
        <v>6</v>
      </c>
    </row>
    <row r="77" spans="1:4">
      <c r="A77" s="5"/>
      <c r="B77" s="5"/>
      <c r="C77" t="s">
        <v>19</v>
      </c>
      <c r="D77" t="s">
        <v>7</v>
      </c>
    </row>
    <row r="78" spans="1:4">
      <c r="A78" s="5"/>
      <c r="B78" s="5"/>
      <c r="C78" t="s">
        <v>19</v>
      </c>
      <c r="D78" t="s">
        <v>10</v>
      </c>
    </row>
    <row r="79" spans="1:4">
      <c r="A79" s="5"/>
      <c r="B79" s="5"/>
      <c r="C79" t="s">
        <v>19</v>
      </c>
      <c r="D79" t="s">
        <v>11</v>
      </c>
    </row>
    <row r="80" spans="1:4">
      <c r="A80" s="5"/>
      <c r="B80" s="5"/>
      <c r="C80" t="s">
        <v>19</v>
      </c>
      <c r="D80" t="s">
        <v>13</v>
      </c>
    </row>
    <row r="81" spans="1:4">
      <c r="A81" s="5"/>
      <c r="B81" s="5"/>
      <c r="C81" t="s">
        <v>19</v>
      </c>
      <c r="D81" t="s">
        <v>14</v>
      </c>
    </row>
    <row r="82" spans="1:4">
      <c r="A82" s="5"/>
      <c r="B82" s="5"/>
      <c r="C82" t="s">
        <v>13</v>
      </c>
      <c r="D82" t="s">
        <v>5</v>
      </c>
    </row>
    <row r="83" spans="1:4">
      <c r="A83" s="5"/>
      <c r="B83" s="5"/>
      <c r="C83" t="s">
        <v>13</v>
      </c>
      <c r="D83" t="s">
        <v>7</v>
      </c>
    </row>
    <row r="84" spans="1:4">
      <c r="A84" s="5"/>
      <c r="B84" s="5"/>
      <c r="C84" t="s">
        <v>13</v>
      </c>
      <c r="D84" t="s">
        <v>10</v>
      </c>
    </row>
    <row r="85" spans="1:4">
      <c r="A85" s="5"/>
      <c r="B85" s="5"/>
      <c r="C85" t="s">
        <v>13</v>
      </c>
      <c r="D85" t="s">
        <v>11</v>
      </c>
    </row>
    <row r="86" spans="1:4">
      <c r="A86" s="5"/>
      <c r="B86" s="5"/>
      <c r="C86" t="s">
        <v>13</v>
      </c>
      <c r="D86" t="s">
        <v>12</v>
      </c>
    </row>
    <row r="87" spans="1:4">
      <c r="A87" s="5"/>
      <c r="B87" s="5"/>
      <c r="C87" t="s">
        <v>13</v>
      </c>
      <c r="D87" t="s">
        <v>19</v>
      </c>
    </row>
    <row r="88" spans="1:4">
      <c r="A88" s="5"/>
      <c r="B88" s="5"/>
      <c r="C88" t="s">
        <v>14</v>
      </c>
      <c r="D88" t="s">
        <v>5</v>
      </c>
    </row>
    <row r="89" spans="1:4">
      <c r="A89" s="5"/>
      <c r="B89" s="5"/>
      <c r="C89" t="s">
        <v>14</v>
      </c>
      <c r="D89" t="s">
        <v>7</v>
      </c>
    </row>
    <row r="90" spans="1:4">
      <c r="A90" s="5"/>
      <c r="B90" s="5"/>
      <c r="C90" t="s">
        <v>14</v>
      </c>
      <c r="D90" t="s">
        <v>9</v>
      </c>
    </row>
    <row r="91" spans="1:4">
      <c r="A91" s="5"/>
      <c r="B91" s="5"/>
      <c r="C91" t="s">
        <v>14</v>
      </c>
      <c r="D91" t="s">
        <v>10</v>
      </c>
    </row>
    <row r="92" spans="1:4">
      <c r="A92" s="5"/>
      <c r="B92" s="5"/>
      <c r="C92" t="s">
        <v>14</v>
      </c>
      <c r="D92" t="s">
        <v>8</v>
      </c>
    </row>
    <row r="93" spans="1:4">
      <c r="A93" s="5"/>
      <c r="B93" s="5"/>
      <c r="C93" t="s">
        <v>14</v>
      </c>
      <c r="D93" t="s">
        <v>11</v>
      </c>
    </row>
    <row r="94" spans="1:4">
      <c r="A94" s="5"/>
      <c r="B94" s="5"/>
      <c r="C94" t="s">
        <v>14</v>
      </c>
      <c r="D94" t="s">
        <v>19</v>
      </c>
    </row>
    <row r="95" spans="1:4">
      <c r="A95" s="5"/>
      <c r="B95" s="5"/>
    </row>
    <row r="96" spans="1:4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11.458340654894307</v>
      </c>
      <c r="R3">
        <f t="shared" ca="1" si="2"/>
        <v>13.541565341791935</v>
      </c>
      <c r="S3">
        <f t="shared" ca="1" si="2"/>
        <v>11.452752233455573</v>
      </c>
      <c r="T3">
        <f t="shared" ca="1" si="2"/>
        <v>11.361922590239766</v>
      </c>
      <c r="U3">
        <f t="shared" ca="1" si="2"/>
        <v>13.967410240987562</v>
      </c>
      <c r="V3">
        <f t="shared" ca="1" si="2"/>
        <v>14.890256502808676</v>
      </c>
      <c r="W3">
        <f t="shared" ca="1" si="2"/>
        <v>13.786898122822674</v>
      </c>
      <c r="X3">
        <f t="shared" ca="1" si="2"/>
        <v>14.093381621274105</v>
      </c>
      <c r="Y3">
        <f t="shared" ca="1" si="2"/>
        <v>13.915258212556321</v>
      </c>
      <c r="AA3" s="1" t="s">
        <v>6</v>
      </c>
      <c r="AB3">
        <v>500</v>
      </c>
      <c r="AD3">
        <f t="shared" ref="AC3:AL12" ca="1" si="3">300-50*RAND()</f>
        <v>298.69895980543544</v>
      </c>
      <c r="AE3">
        <f t="shared" ca="1" si="3"/>
        <v>291.67946673999847</v>
      </c>
      <c r="AF3">
        <f t="shared" ca="1" si="3"/>
        <v>253.07454610351073</v>
      </c>
      <c r="AG3">
        <f t="shared" ca="1" si="3"/>
        <v>279.01376995064169</v>
      </c>
      <c r="AH3">
        <f t="shared" ca="1" si="3"/>
        <v>268.41093903193337</v>
      </c>
      <c r="AI3">
        <f t="shared" ca="1" si="3"/>
        <v>280.65023290632934</v>
      </c>
      <c r="AJ3">
        <f t="shared" ca="1" si="3"/>
        <v>276.65698390892243</v>
      </c>
      <c r="AK3">
        <f t="shared" ca="1" si="3"/>
        <v>299.17335521690836</v>
      </c>
      <c r="AL3">
        <f t="shared" ca="1" si="3"/>
        <v>290.57553135695508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10.179712866521321</v>
      </c>
      <c r="R4">
        <f t="shared" ca="1" si="2"/>
        <v>14.556256384646261</v>
      </c>
      <c r="S4">
        <f t="shared" ca="1" si="2"/>
        <v>12.736297207824041</v>
      </c>
      <c r="T4">
        <f t="shared" ca="1" si="2"/>
        <v>12.070072396943671</v>
      </c>
      <c r="U4">
        <f t="shared" ca="1" si="2"/>
        <v>12.724844358609255</v>
      </c>
      <c r="V4">
        <f t="shared" ca="1" si="2"/>
        <v>14.717348007207354</v>
      </c>
      <c r="W4">
        <f t="shared" ca="1" si="2"/>
        <v>10.173173612228336</v>
      </c>
      <c r="X4">
        <f t="shared" ca="1" si="2"/>
        <v>12.108674544445142</v>
      </c>
      <c r="Y4">
        <f t="shared" ca="1" si="2"/>
        <v>14.911536204527394</v>
      </c>
      <c r="AA4" s="1" t="s">
        <v>7</v>
      </c>
      <c r="AB4">
        <v>500</v>
      </c>
      <c r="AC4">
        <f t="shared" ca="1" si="3"/>
        <v>274.29326683005235</v>
      </c>
      <c r="AE4">
        <f t="shared" ca="1" si="3"/>
        <v>269.44759931492712</v>
      </c>
      <c r="AF4">
        <f t="shared" ca="1" si="3"/>
        <v>297.20703772814045</v>
      </c>
      <c r="AG4">
        <f t="shared" ca="1" si="3"/>
        <v>258.11419278412308</v>
      </c>
      <c r="AH4">
        <f t="shared" ca="1" si="3"/>
        <v>269.85345082724712</v>
      </c>
      <c r="AI4">
        <f t="shared" ca="1" si="3"/>
        <v>256.2894083834525</v>
      </c>
      <c r="AJ4">
        <f t="shared" ca="1" si="3"/>
        <v>270.71229785048968</v>
      </c>
      <c r="AK4">
        <f t="shared" ca="1" si="3"/>
        <v>255.79090301310509</v>
      </c>
      <c r="AL4">
        <f t="shared" ca="1" si="3"/>
        <v>293.86803564779569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13.114013463387638</v>
      </c>
      <c r="Q5">
        <f t="shared" ca="1" si="2"/>
        <v>11.657102087343238</v>
      </c>
      <c r="S5">
        <f t="shared" ca="1" si="2"/>
        <v>14.548228809772462</v>
      </c>
      <c r="T5">
        <f t="shared" ca="1" si="2"/>
        <v>11.22916134610125</v>
      </c>
      <c r="U5">
        <f t="shared" ca="1" si="2"/>
        <v>13.00423254954943</v>
      </c>
      <c r="V5">
        <f t="shared" ca="1" si="2"/>
        <v>10.922713062903393</v>
      </c>
      <c r="W5">
        <f t="shared" ca="1" si="2"/>
        <v>12.605031838460889</v>
      </c>
      <c r="X5">
        <f t="shared" ca="1" si="2"/>
        <v>10.76813139247812</v>
      </c>
      <c r="Y5">
        <f t="shared" ca="1" si="2"/>
        <v>14.55305615326777</v>
      </c>
      <c r="AA5" s="1" t="s">
        <v>8</v>
      </c>
      <c r="AB5">
        <v>500</v>
      </c>
      <c r="AC5">
        <f t="shared" ca="1" si="3"/>
        <v>283.60947443977568</v>
      </c>
      <c r="AD5">
        <f t="shared" ca="1" si="3"/>
        <v>265.92920519639438</v>
      </c>
      <c r="AF5">
        <f t="shared" ca="1" si="3"/>
        <v>267.29996327871436</v>
      </c>
      <c r="AG5">
        <f t="shared" ca="1" si="3"/>
        <v>268.17699509870175</v>
      </c>
      <c r="AH5">
        <f t="shared" ca="1" si="3"/>
        <v>299.71988723684655</v>
      </c>
      <c r="AI5">
        <f t="shared" ca="1" si="3"/>
        <v>285.46307619457559</v>
      </c>
      <c r="AJ5">
        <f t="shared" ca="1" si="3"/>
        <v>299.65452039388913</v>
      </c>
      <c r="AK5">
        <f t="shared" ca="1" si="3"/>
        <v>250.95656768831284</v>
      </c>
      <c r="AL5">
        <f t="shared" ca="1" si="3"/>
        <v>297.11186710220818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14.110270727624474</v>
      </c>
      <c r="Q6">
        <f t="shared" ca="1" si="2"/>
        <v>11.915435041811355</v>
      </c>
      <c r="R6">
        <f t="shared" ca="1" si="2"/>
        <v>11.334613816521118</v>
      </c>
      <c r="T6">
        <f t="shared" ca="1" si="2"/>
        <v>11.46384138537414</v>
      </c>
      <c r="U6">
        <f t="shared" ca="1" si="2"/>
        <v>14.241715303774342</v>
      </c>
      <c r="V6">
        <f t="shared" ca="1" si="2"/>
        <v>11.270382404500072</v>
      </c>
      <c r="W6">
        <f t="shared" ca="1" si="2"/>
        <v>11.53326625305947</v>
      </c>
      <c r="X6">
        <f t="shared" ca="1" si="2"/>
        <v>10.416508747270905</v>
      </c>
      <c r="Y6">
        <f t="shared" ca="1" si="2"/>
        <v>12.340483700588031</v>
      </c>
      <c r="AA6" s="1" t="s">
        <v>9</v>
      </c>
      <c r="AB6">
        <v>500</v>
      </c>
      <c r="AC6">
        <f t="shared" ca="1" si="3"/>
        <v>299.96462180201792</v>
      </c>
      <c r="AD6">
        <f t="shared" ca="1" si="3"/>
        <v>290.81559376921115</v>
      </c>
      <c r="AE6">
        <f t="shared" ca="1" si="3"/>
        <v>298.07213521642177</v>
      </c>
      <c r="AG6">
        <f t="shared" ca="1" si="3"/>
        <v>293.87835126862808</v>
      </c>
      <c r="AH6">
        <f t="shared" ca="1" si="3"/>
        <v>254.75286804281498</v>
      </c>
      <c r="AI6">
        <f t="shared" ca="1" si="3"/>
        <v>290.39123944996817</v>
      </c>
      <c r="AJ6">
        <f t="shared" ca="1" si="3"/>
        <v>268.32643096702242</v>
      </c>
      <c r="AK6">
        <f t="shared" ca="1" si="3"/>
        <v>272.52119887649167</v>
      </c>
      <c r="AL6">
        <f t="shared" ca="1" si="3"/>
        <v>273.24845695898222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14.272437857793971</v>
      </c>
      <c r="Q7">
        <f t="shared" ca="1" si="2"/>
        <v>11.296525368349615</v>
      </c>
      <c r="R7">
        <f t="shared" ca="1" si="2"/>
        <v>12.073621029486826</v>
      </c>
      <c r="S7">
        <f t="shared" ca="1" si="2"/>
        <v>12.548170515959596</v>
      </c>
      <c r="U7">
        <f t="shared" ca="1" si="2"/>
        <v>11.670570567792542</v>
      </c>
      <c r="V7">
        <f t="shared" ca="1" si="2"/>
        <v>13.430540334383389</v>
      </c>
      <c r="W7">
        <f t="shared" ca="1" si="2"/>
        <v>12.471664500062008</v>
      </c>
      <c r="X7">
        <f t="shared" ca="1" si="2"/>
        <v>13.999488706991087</v>
      </c>
      <c r="Y7">
        <f t="shared" ca="1" si="2"/>
        <v>12.107626098838228</v>
      </c>
      <c r="AA7" s="1" t="s">
        <v>10</v>
      </c>
      <c r="AB7">
        <v>500</v>
      </c>
      <c r="AC7">
        <f t="shared" ca="1" si="3"/>
        <v>267.95994484806516</v>
      </c>
      <c r="AD7">
        <f t="shared" ca="1" si="3"/>
        <v>263.25473446776846</v>
      </c>
      <c r="AE7">
        <f t="shared" ca="1" si="3"/>
        <v>285.96735972535237</v>
      </c>
      <c r="AF7">
        <f t="shared" ca="1" si="3"/>
        <v>281.61197988866081</v>
      </c>
      <c r="AH7">
        <f t="shared" ca="1" si="3"/>
        <v>251.83928265984332</v>
      </c>
      <c r="AI7">
        <f t="shared" ca="1" si="3"/>
        <v>255.02798865870167</v>
      </c>
      <c r="AJ7">
        <f t="shared" ca="1" si="3"/>
        <v>299.80845793177764</v>
      </c>
      <c r="AK7">
        <f t="shared" ca="1" si="3"/>
        <v>289.07283532176359</v>
      </c>
      <c r="AL7">
        <f t="shared" ca="1" si="3"/>
        <v>250.02483518900988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13.957080794135655</v>
      </c>
      <c r="Q8">
        <f t="shared" ca="1" si="2"/>
        <v>13.010357759227306</v>
      </c>
      <c r="R8">
        <f t="shared" ca="1" si="2"/>
        <v>10.199407566165313</v>
      </c>
      <c r="S8">
        <f t="shared" ca="1" si="2"/>
        <v>12.544994426447506</v>
      </c>
      <c r="T8">
        <f t="shared" ca="1" si="2"/>
        <v>11.434543961357516</v>
      </c>
      <c r="V8">
        <f t="shared" ca="1" si="2"/>
        <v>14.639498004439247</v>
      </c>
      <c r="W8">
        <f t="shared" ca="1" si="2"/>
        <v>14.11855391324772</v>
      </c>
      <c r="X8">
        <f t="shared" ca="1" si="2"/>
        <v>14.247817481482983</v>
      </c>
      <c r="Y8">
        <f t="shared" ca="1" si="2"/>
        <v>13.383348653625879</v>
      </c>
      <c r="AA8" s="1" t="s">
        <v>11</v>
      </c>
      <c r="AB8">
        <v>500</v>
      </c>
      <c r="AC8">
        <f t="shared" ca="1" si="3"/>
        <v>289.95917555000506</v>
      </c>
      <c r="AD8">
        <f t="shared" ca="1" si="3"/>
        <v>290.82448971002873</v>
      </c>
      <c r="AE8">
        <f t="shared" ca="1" si="3"/>
        <v>276.29534059113274</v>
      </c>
      <c r="AF8">
        <f t="shared" ca="1" si="3"/>
        <v>286.36624695658378</v>
      </c>
      <c r="AG8">
        <f t="shared" ca="1" si="3"/>
        <v>284.65376447682269</v>
      </c>
      <c r="AI8">
        <f t="shared" ca="1" si="3"/>
        <v>255.30118993555226</v>
      </c>
      <c r="AJ8">
        <f t="shared" ca="1" si="3"/>
        <v>282.55672925542609</v>
      </c>
      <c r="AK8">
        <f t="shared" ca="1" si="3"/>
        <v>250.25279074890938</v>
      </c>
      <c r="AL8">
        <f t="shared" ca="1" si="3"/>
        <v>293.38954379536921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12.552637681187083</v>
      </c>
      <c r="Q9">
        <f t="shared" ca="1" si="2"/>
        <v>14.844915783938326</v>
      </c>
      <c r="R9">
        <f t="shared" ca="1" si="2"/>
        <v>14.06507715271713</v>
      </c>
      <c r="S9">
        <f t="shared" ca="1" si="2"/>
        <v>14.580633409997944</v>
      </c>
      <c r="T9">
        <f t="shared" ca="1" si="2"/>
        <v>11.71044268617363</v>
      </c>
      <c r="U9">
        <f t="shared" ca="1" si="2"/>
        <v>10.928108979420982</v>
      </c>
      <c r="W9">
        <f t="shared" ca="1" si="2"/>
        <v>11.518723024323512</v>
      </c>
      <c r="X9">
        <f t="shared" ca="1" si="2"/>
        <v>11.392249873657121</v>
      </c>
      <c r="Y9">
        <f t="shared" ca="1" si="2"/>
        <v>13.570393066259907</v>
      </c>
      <c r="AA9" s="1" t="s">
        <v>12</v>
      </c>
      <c r="AB9">
        <v>500</v>
      </c>
      <c r="AC9">
        <f t="shared" ca="1" si="3"/>
        <v>291.90239347588869</v>
      </c>
      <c r="AD9">
        <f t="shared" ca="1" si="3"/>
        <v>278.3725385569623</v>
      </c>
      <c r="AE9">
        <f t="shared" ca="1" si="3"/>
        <v>291.75335213792715</v>
      </c>
      <c r="AF9">
        <f t="shared" ca="1" si="3"/>
        <v>254.10419908551631</v>
      </c>
      <c r="AG9">
        <f t="shared" ca="1" si="3"/>
        <v>256.88868078940789</v>
      </c>
      <c r="AH9">
        <f t="shared" ca="1" si="3"/>
        <v>270.24734455947851</v>
      </c>
      <c r="AJ9">
        <f t="shared" ca="1" si="3"/>
        <v>256.07730596085707</v>
      </c>
      <c r="AK9">
        <f t="shared" ca="1" si="3"/>
        <v>258.81299664174406</v>
      </c>
      <c r="AL9">
        <f t="shared" ca="1" si="3"/>
        <v>251.92464103792989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12.907803378216112</v>
      </c>
      <c r="Q10">
        <f t="shared" ca="1" si="2"/>
        <v>11.508464516354733</v>
      </c>
      <c r="R10">
        <f t="shared" ca="1" si="2"/>
        <v>12.3974756703455</v>
      </c>
      <c r="S10">
        <f t="shared" ca="1" si="2"/>
        <v>14.372995567760686</v>
      </c>
      <c r="T10">
        <f t="shared" ca="1" si="2"/>
        <v>12.234499206316311</v>
      </c>
      <c r="U10">
        <f t="shared" ca="1" si="2"/>
        <v>11.249738963566568</v>
      </c>
      <c r="V10">
        <f t="shared" ca="1" si="2"/>
        <v>13.063626472398852</v>
      </c>
      <c r="X10">
        <f t="shared" ca="1" si="2"/>
        <v>13.406281128468102</v>
      </c>
      <c r="Y10">
        <f t="shared" ca="1" si="2"/>
        <v>10.674338292551734</v>
      </c>
      <c r="AA10" s="1" t="s">
        <v>13</v>
      </c>
      <c r="AB10">
        <v>500</v>
      </c>
      <c r="AC10">
        <f t="shared" ca="1" si="3"/>
        <v>282.12689693862649</v>
      </c>
      <c r="AD10">
        <f t="shared" ca="1" si="3"/>
        <v>265.38747973937552</v>
      </c>
      <c r="AE10">
        <f t="shared" ca="1" si="3"/>
        <v>298.88721781023895</v>
      </c>
      <c r="AF10">
        <f t="shared" ca="1" si="3"/>
        <v>250.56358084791543</v>
      </c>
      <c r="AG10">
        <f t="shared" ca="1" si="3"/>
        <v>254.95126150534335</v>
      </c>
      <c r="AH10">
        <f t="shared" ca="1" si="3"/>
        <v>283.01938358233525</v>
      </c>
      <c r="AI10">
        <f t="shared" ca="1" si="3"/>
        <v>272.52001489677605</v>
      </c>
      <c r="AK10">
        <f t="shared" ca="1" si="3"/>
        <v>290.42248229600278</v>
      </c>
      <c r="AL10">
        <f t="shared" ca="1" si="3"/>
        <v>254.51747767226925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12.58037454028014</v>
      </c>
      <c r="Q11">
        <f t="shared" ca="1" si="2"/>
        <v>12.088851121785005</v>
      </c>
      <c r="R11">
        <f t="shared" ca="1" si="2"/>
        <v>12.488468441602819</v>
      </c>
      <c r="S11">
        <f t="shared" ca="1" si="2"/>
        <v>13.15711317451483</v>
      </c>
      <c r="T11">
        <f t="shared" ca="1" si="2"/>
        <v>10.334991376466968</v>
      </c>
      <c r="U11">
        <f t="shared" ca="1" si="2"/>
        <v>12.120008234211122</v>
      </c>
      <c r="V11">
        <f t="shared" ca="1" si="2"/>
        <v>14.614071962731032</v>
      </c>
      <c r="W11">
        <f t="shared" ca="1" si="2"/>
        <v>10.782776377204161</v>
      </c>
      <c r="Y11">
        <f t="shared" ca="1" si="2"/>
        <v>11.892460507910489</v>
      </c>
      <c r="AA11" s="1" t="s">
        <v>19</v>
      </c>
      <c r="AB11">
        <v>500</v>
      </c>
      <c r="AC11">
        <f t="shared" ca="1" si="3"/>
        <v>250.55597365625883</v>
      </c>
      <c r="AD11">
        <f t="shared" ca="1" si="3"/>
        <v>283.58700496415332</v>
      </c>
      <c r="AE11">
        <f t="shared" ca="1" si="3"/>
        <v>297.49448201588865</v>
      </c>
      <c r="AF11">
        <f t="shared" ca="1" si="3"/>
        <v>269.51388677444407</v>
      </c>
      <c r="AG11">
        <f t="shared" ca="1" si="3"/>
        <v>275.85824624552095</v>
      </c>
      <c r="AH11">
        <f t="shared" ca="1" si="3"/>
        <v>292.02998127282638</v>
      </c>
      <c r="AI11">
        <f t="shared" ca="1" si="3"/>
        <v>286.18960429408622</v>
      </c>
      <c r="AJ11">
        <f t="shared" ca="1" si="3"/>
        <v>263.55614458024945</v>
      </c>
      <c r="AL11">
        <f t="shared" ca="1" si="3"/>
        <v>294.89493915755065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11.725788217876456</v>
      </c>
      <c r="Q12">
        <f t="shared" ca="1" si="2"/>
        <v>11.074470805710178</v>
      </c>
      <c r="R12">
        <f t="shared" ca="1" si="2"/>
        <v>13.444377436125746</v>
      </c>
      <c r="S12">
        <f t="shared" ca="1" si="2"/>
        <v>12.254852251987604</v>
      </c>
      <c r="T12">
        <f t="shared" ca="1" si="2"/>
        <v>12.781711619451617</v>
      </c>
      <c r="U12">
        <f t="shared" ca="1" si="2"/>
        <v>14.640552181338739</v>
      </c>
      <c r="V12">
        <f t="shared" ca="1" si="2"/>
        <v>13.219398138730151</v>
      </c>
      <c r="W12">
        <f t="shared" ca="1" si="2"/>
        <v>10.221295664961705</v>
      </c>
      <c r="X12">
        <f t="shared" ca="1" si="2"/>
        <v>14.514984166618166</v>
      </c>
      <c r="AA12" s="1" t="s">
        <v>14</v>
      </c>
      <c r="AB12">
        <v>500</v>
      </c>
      <c r="AC12">
        <f t="shared" ca="1" si="3"/>
        <v>279.88908120948577</v>
      </c>
      <c r="AD12">
        <f t="shared" ca="1" si="3"/>
        <v>288.58666274556322</v>
      </c>
      <c r="AE12">
        <f t="shared" ca="1" si="3"/>
        <v>278.40948778663341</v>
      </c>
      <c r="AF12">
        <f t="shared" ca="1" si="3"/>
        <v>252.05681752771454</v>
      </c>
      <c r="AG12">
        <f t="shared" ca="1" si="3"/>
        <v>261.49386855837724</v>
      </c>
      <c r="AH12">
        <f t="shared" ca="1" si="3"/>
        <v>276.051156366398</v>
      </c>
      <c r="AI12">
        <f t="shared" ca="1" si="3"/>
        <v>256.65379734510611</v>
      </c>
      <c r="AJ12">
        <f t="shared" ca="1" si="3"/>
        <v>293.43608317274891</v>
      </c>
      <c r="AK12">
        <f t="shared" ca="1" si="3"/>
        <v>274.20260373054884</v>
      </c>
    </row>
    <row r="18" spans="1:21">
      <c r="A18" t="s">
        <v>61</v>
      </c>
    </row>
    <row r="19" spans="1:21">
      <c r="A19" t="s">
        <v>60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82"/>
  <sheetViews>
    <sheetView topLeftCell="B1" zoomScale="85" zoomScaleNormal="85" workbookViewId="0">
      <selection activeCell="W17" sqref="W17:W82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  <row r="17" spans="23:23">
      <c r="W17" s="30"/>
    </row>
    <row r="18" spans="23:23">
      <c r="W18" s="30"/>
    </row>
    <row r="19" spans="23:23">
      <c r="W19" s="30"/>
    </row>
    <row r="20" spans="23:23">
      <c r="W20" s="30"/>
    </row>
    <row r="21" spans="23:23">
      <c r="W21" s="30"/>
    </row>
    <row r="22" spans="23:23">
      <c r="W22" s="30"/>
    </row>
    <row r="23" spans="23:23">
      <c r="W23" s="30"/>
    </row>
    <row r="24" spans="23:23">
      <c r="W24" s="30"/>
    </row>
    <row r="25" spans="23:23">
      <c r="W25" s="30"/>
    </row>
    <row r="26" spans="23:23">
      <c r="W26" s="30"/>
    </row>
    <row r="27" spans="23:23">
      <c r="W27" s="30"/>
    </row>
    <row r="28" spans="23:23">
      <c r="W28" s="30"/>
    </row>
    <row r="29" spans="23:23">
      <c r="W29" s="30"/>
    </row>
    <row r="30" spans="23:23">
      <c r="W30" s="30"/>
    </row>
    <row r="31" spans="23:23">
      <c r="W31" s="30"/>
    </row>
    <row r="32" spans="23:23">
      <c r="W32" s="30"/>
    </row>
    <row r="33" spans="23:23">
      <c r="W33" s="30"/>
    </row>
    <row r="34" spans="23:23">
      <c r="W34" s="30"/>
    </row>
    <row r="35" spans="23:23">
      <c r="W35" s="30"/>
    </row>
    <row r="36" spans="23:23">
      <c r="W36" s="30"/>
    </row>
    <row r="37" spans="23:23">
      <c r="W37" s="30"/>
    </row>
    <row r="38" spans="23:23">
      <c r="W38" s="30"/>
    </row>
    <row r="39" spans="23:23">
      <c r="W39" s="30"/>
    </row>
    <row r="40" spans="23:23">
      <c r="W40" s="30"/>
    </row>
    <row r="41" spans="23:23">
      <c r="W41" s="30"/>
    </row>
    <row r="42" spans="23:23">
      <c r="W42" s="30"/>
    </row>
    <row r="43" spans="23:23">
      <c r="W43" s="30"/>
    </row>
    <row r="44" spans="23:23">
      <c r="W44" s="30"/>
    </row>
    <row r="45" spans="23:23">
      <c r="W45" s="30"/>
    </row>
    <row r="46" spans="23:23">
      <c r="W46" s="30"/>
    </row>
    <row r="47" spans="23:23">
      <c r="W47" s="30"/>
    </row>
    <row r="48" spans="23:23">
      <c r="W48" s="30"/>
    </row>
    <row r="49" spans="23:23">
      <c r="W49" s="30"/>
    </row>
    <row r="50" spans="23:23">
      <c r="W50" s="30"/>
    </row>
    <row r="51" spans="23:23">
      <c r="W51" s="30"/>
    </row>
    <row r="52" spans="23:23">
      <c r="W52" s="30"/>
    </row>
    <row r="53" spans="23:23">
      <c r="W53" s="30"/>
    </row>
    <row r="54" spans="23:23">
      <c r="W54" s="30"/>
    </row>
    <row r="55" spans="23:23">
      <c r="W55" s="30"/>
    </row>
    <row r="56" spans="23:23">
      <c r="W56" s="30"/>
    </row>
    <row r="57" spans="23:23">
      <c r="W57" s="30"/>
    </row>
    <row r="58" spans="23:23">
      <c r="W58" s="30"/>
    </row>
    <row r="59" spans="23:23">
      <c r="W59" s="30"/>
    </row>
    <row r="60" spans="23:23">
      <c r="W60" s="30"/>
    </row>
    <row r="61" spans="23:23">
      <c r="W61" s="30"/>
    </row>
    <row r="62" spans="23:23">
      <c r="W62" s="30"/>
    </row>
    <row r="63" spans="23:23">
      <c r="W63" s="30"/>
    </row>
    <row r="64" spans="23:23">
      <c r="W64" s="30"/>
    </row>
    <row r="65" spans="23:23">
      <c r="W65" s="30"/>
    </row>
    <row r="66" spans="23:23">
      <c r="W66" s="30"/>
    </row>
    <row r="67" spans="23:23">
      <c r="W67" s="30"/>
    </row>
    <row r="68" spans="23:23">
      <c r="W68" s="30"/>
    </row>
    <row r="69" spans="23:23">
      <c r="W69" s="30"/>
    </row>
    <row r="70" spans="23:23">
      <c r="W70" s="30"/>
    </row>
    <row r="71" spans="23:23">
      <c r="W71" s="30"/>
    </row>
    <row r="72" spans="23:23">
      <c r="W72" s="30"/>
    </row>
    <row r="73" spans="23:23">
      <c r="W73" s="30"/>
    </row>
    <row r="74" spans="23:23">
      <c r="W74" s="30"/>
    </row>
    <row r="75" spans="23:23">
      <c r="W75" s="30"/>
    </row>
    <row r="76" spans="23:23">
      <c r="W76" s="30"/>
    </row>
    <row r="77" spans="23:23">
      <c r="W77" s="30"/>
    </row>
    <row r="78" spans="23:23">
      <c r="W78" s="30"/>
    </row>
    <row r="79" spans="23:23">
      <c r="W79" s="30"/>
    </row>
    <row r="80" spans="23:23">
      <c r="W80" s="30"/>
    </row>
    <row r="81" spans="23:23">
      <c r="W81" s="30"/>
    </row>
    <row r="82" spans="23:23">
      <c r="W82" s="30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92"/>
  <sheetViews>
    <sheetView topLeftCell="A154" zoomScale="85" zoomScaleNormal="85" workbookViewId="0">
      <selection activeCell="A181" sqref="A181"/>
    </sheetView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f ca="1">IF(1-MOD(COLUMN(),2),20-RAND()*3,(10+RAND()*5)+2)/2</f>
        <v>8.4789591927115389</v>
      </c>
      <c r="D3">
        <f t="shared" ref="D3:AH11" ca="1" si="2">IF(1-MOD(COLUMN(),2),20-RAND()*3,(10+RAND()*5)+2)/2</f>
        <v>9.268203576251377</v>
      </c>
      <c r="E3">
        <f t="shared" ca="1" si="2"/>
        <v>8.1720084700758537</v>
      </c>
      <c r="F3">
        <f t="shared" ca="1" si="2"/>
        <v>9.3742845847112122</v>
      </c>
      <c r="G3">
        <f t="shared" ca="1" si="2"/>
        <v>6.9792160430360308</v>
      </c>
      <c r="H3">
        <f t="shared" ca="1" si="2"/>
        <v>8.76822369549906</v>
      </c>
      <c r="I3">
        <f t="shared" ca="1" si="2"/>
        <v>7.2398989260884061</v>
      </c>
      <c r="J3">
        <f t="shared" ca="1" si="2"/>
        <v>8.6517800008807857</v>
      </c>
      <c r="K3">
        <f t="shared" ca="1" si="2"/>
        <v>7.4322723373313213</v>
      </c>
      <c r="L3">
        <f t="shared" ca="1" si="2"/>
        <v>8.9497789094914442</v>
      </c>
      <c r="M3">
        <f t="shared" ca="1" si="2"/>
        <v>6.3518248202004273</v>
      </c>
      <c r="N3">
        <f t="shared" ca="1" si="2"/>
        <v>9.2164133331955824</v>
      </c>
      <c r="O3">
        <f t="shared" ca="1" si="2"/>
        <v>7.0420430292010838</v>
      </c>
      <c r="P3">
        <f t="shared" ca="1" si="2"/>
        <v>9.4504513799913124</v>
      </c>
      <c r="Q3">
        <f t="shared" ca="1" si="2"/>
        <v>7.330183410803099</v>
      </c>
      <c r="R3">
        <f t="shared" ca="1" si="2"/>
        <v>9.783297667009144</v>
      </c>
      <c r="S3">
        <f t="shared" ca="1" si="2"/>
        <v>7.3003806373514903</v>
      </c>
      <c r="T3">
        <f t="shared" ca="1" si="2"/>
        <v>9.0313890667351053</v>
      </c>
      <c r="U3">
        <f t="shared" ca="1" si="2"/>
        <v>7.2966971167651211</v>
      </c>
      <c r="V3">
        <f t="shared" ca="1" si="2"/>
        <v>8.7775219555426656</v>
      </c>
      <c r="W3">
        <f t="shared" ca="1" si="2"/>
        <v>6.750777623308978</v>
      </c>
      <c r="X3">
        <f t="shared" ca="1" si="2"/>
        <v>8.6845927432342744</v>
      </c>
      <c r="Y3">
        <f t="shared" ca="1" si="2"/>
        <v>7.5282066855580254</v>
      </c>
      <c r="Z3">
        <f t="shared" ca="1" si="2"/>
        <v>8.9088892260445469</v>
      </c>
      <c r="AA3">
        <f t="shared" ca="1" si="2"/>
        <v>7.6158694412886403</v>
      </c>
      <c r="AB3">
        <f t="shared" ca="1" si="2"/>
        <v>9.8597336599911642</v>
      </c>
      <c r="AC3">
        <f t="shared" ca="1" si="2"/>
        <v>7.0483959290597156</v>
      </c>
      <c r="AD3">
        <f t="shared" ca="1" si="2"/>
        <v>8.5464876437744426</v>
      </c>
      <c r="AE3">
        <f t="shared" ca="1" si="2"/>
        <v>6.508720191399461</v>
      </c>
      <c r="AF3">
        <f t="shared" ca="1" si="2"/>
        <v>9.9085560560235386</v>
      </c>
      <c r="AG3">
        <f t="shared" ca="1" si="2"/>
        <v>6.1806027175840814</v>
      </c>
      <c r="AH3">
        <f t="shared" ca="1" si="2"/>
        <v>8.6416721748558363</v>
      </c>
    </row>
    <row r="4" spans="1:34">
      <c r="A4" t="str">
        <f>CYF!A4</f>
        <v>Teff</v>
      </c>
      <c r="B4" t="str">
        <f>CYF!B4</f>
        <v>Afar</v>
      </c>
      <c r="C4">
        <f t="shared" ref="C4:R13" ca="1" si="3">IF(1-MOD(COLUMN(),2),20-RAND()*3,(10+RAND()*5)+2)/2</f>
        <v>6.9897924200477828</v>
      </c>
      <c r="D4">
        <f t="shared" ca="1" si="3"/>
        <v>9.5393263663380701</v>
      </c>
      <c r="E4">
        <f t="shared" ca="1" si="3"/>
        <v>8.3356968726367366</v>
      </c>
      <c r="F4">
        <f t="shared" ca="1" si="3"/>
        <v>9.465391842124026</v>
      </c>
      <c r="G4">
        <f t="shared" ca="1" si="3"/>
        <v>8.4949582950104414</v>
      </c>
      <c r="H4">
        <f t="shared" ca="1" si="3"/>
        <v>9.848205885956526</v>
      </c>
      <c r="I4">
        <f t="shared" ca="1" si="3"/>
        <v>8.0491437437228939</v>
      </c>
      <c r="J4">
        <f t="shared" ca="1" si="3"/>
        <v>9.7835109267148237</v>
      </c>
      <c r="K4">
        <f t="shared" ca="1" si="3"/>
        <v>7.0184717633352367</v>
      </c>
      <c r="L4">
        <f t="shared" ca="1" si="3"/>
        <v>9.352890897634877</v>
      </c>
      <c r="M4">
        <f t="shared" ca="1" si="3"/>
        <v>6.9990267044742822</v>
      </c>
      <c r="N4">
        <f t="shared" ca="1" si="3"/>
        <v>9.4549173068167836</v>
      </c>
      <c r="O4">
        <f t="shared" ca="1" si="3"/>
        <v>7.320252602539993</v>
      </c>
      <c r="P4">
        <f t="shared" ca="1" si="3"/>
        <v>8.6315042654266563</v>
      </c>
      <c r="Q4">
        <f t="shared" ca="1" si="3"/>
        <v>8.2126474936842069</v>
      </c>
      <c r="R4">
        <f t="shared" ca="1" si="3"/>
        <v>8.8984291440522671</v>
      </c>
      <c r="S4">
        <f t="shared" ca="1" si="2"/>
        <v>8.1738197046599446</v>
      </c>
      <c r="T4">
        <f t="shared" ca="1" si="2"/>
        <v>9.8667125903775581</v>
      </c>
      <c r="U4">
        <f t="shared" ca="1" si="2"/>
        <v>7.6754598015099749</v>
      </c>
      <c r="V4">
        <f t="shared" ca="1" si="2"/>
        <v>9.9347201536666283</v>
      </c>
      <c r="W4">
        <f t="shared" ca="1" si="2"/>
        <v>8.4987728330525201</v>
      </c>
      <c r="X4">
        <f t="shared" ca="1" si="2"/>
        <v>9.9377342109689675</v>
      </c>
      <c r="Y4">
        <f t="shared" ca="1" si="2"/>
        <v>7.4142528246181696</v>
      </c>
      <c r="Z4">
        <f t="shared" ca="1" si="2"/>
        <v>8.9603942347679375</v>
      </c>
      <c r="AA4">
        <f t="shared" ca="1" si="2"/>
        <v>6.0757381766888967</v>
      </c>
      <c r="AB4">
        <f t="shared" ca="1" si="2"/>
        <v>9.9546926445293344</v>
      </c>
      <c r="AC4">
        <f t="shared" ca="1" si="2"/>
        <v>7.7219843583315111</v>
      </c>
      <c r="AD4">
        <f t="shared" ca="1" si="2"/>
        <v>9.8505968206752801</v>
      </c>
      <c r="AE4">
        <f t="shared" ca="1" si="2"/>
        <v>7.0942765729144055</v>
      </c>
      <c r="AF4">
        <f t="shared" ca="1" si="2"/>
        <v>9.5418319659038406</v>
      </c>
      <c r="AG4">
        <f t="shared" ca="1" si="2"/>
        <v>6.8977676298562933</v>
      </c>
      <c r="AH4">
        <f t="shared" ca="1" si="2"/>
        <v>8.5788026168310161</v>
      </c>
    </row>
    <row r="5" spans="1:34">
      <c r="A5" t="str">
        <f>CYF!A5</f>
        <v>Teff</v>
      </c>
      <c r="B5" t="str">
        <f>CYF!B5</f>
        <v>Amhara</v>
      </c>
      <c r="C5">
        <f t="shared" ca="1" si="3"/>
        <v>7.6666932918715949</v>
      </c>
      <c r="D5">
        <f t="shared" ca="1" si="2"/>
        <v>9.019438949914365</v>
      </c>
      <c r="E5">
        <f t="shared" ca="1" si="2"/>
        <v>6.7246594035437637</v>
      </c>
      <c r="F5">
        <f t="shared" ca="1" si="2"/>
        <v>9.1605276717820772</v>
      </c>
      <c r="G5">
        <f t="shared" ca="1" si="2"/>
        <v>6.8792623445269996</v>
      </c>
      <c r="H5">
        <f t="shared" ca="1" si="2"/>
        <v>9.2883458893250399</v>
      </c>
      <c r="I5">
        <f t="shared" ca="1" si="2"/>
        <v>6.5990507899356796</v>
      </c>
      <c r="J5">
        <f t="shared" ca="1" si="2"/>
        <v>9.9853772554888582</v>
      </c>
      <c r="K5">
        <f t="shared" ca="1" si="2"/>
        <v>6.9308430364975475</v>
      </c>
      <c r="L5">
        <f t="shared" ca="1" si="2"/>
        <v>8.6686343236242962</v>
      </c>
      <c r="M5">
        <f t="shared" ca="1" si="2"/>
        <v>6.5866654774429882</v>
      </c>
      <c r="N5">
        <f t="shared" ca="1" si="2"/>
        <v>9.1512807283592252</v>
      </c>
      <c r="O5">
        <f t="shared" ca="1" si="2"/>
        <v>7.1020630646152449</v>
      </c>
      <c r="P5">
        <f t="shared" ca="1" si="2"/>
        <v>9.6306760424494886</v>
      </c>
      <c r="Q5">
        <f t="shared" ca="1" si="2"/>
        <v>8.4530373953312665</v>
      </c>
      <c r="R5">
        <f t="shared" ca="1" si="2"/>
        <v>9.9415364552271992</v>
      </c>
      <c r="S5">
        <f t="shared" ca="1" si="2"/>
        <v>7.939793267923938</v>
      </c>
      <c r="T5">
        <f t="shared" ca="1" si="2"/>
        <v>9.4967674604439232</v>
      </c>
      <c r="U5">
        <f t="shared" ca="1" si="2"/>
        <v>8.0818469266473763</v>
      </c>
      <c r="V5">
        <f t="shared" ca="1" si="2"/>
        <v>9.0993727729698861</v>
      </c>
      <c r="W5">
        <f t="shared" ca="1" si="2"/>
        <v>6.3200841563799539</v>
      </c>
      <c r="X5">
        <f t="shared" ca="1" si="2"/>
        <v>8.5393095137521264</v>
      </c>
      <c r="Y5">
        <f t="shared" ca="1" si="2"/>
        <v>6.4867884735897654</v>
      </c>
      <c r="Z5">
        <f t="shared" ca="1" si="2"/>
        <v>8.8767412094946305</v>
      </c>
      <c r="AA5">
        <f t="shared" ca="1" si="2"/>
        <v>7.7401187521906749</v>
      </c>
      <c r="AB5">
        <f t="shared" ca="1" si="2"/>
        <v>9.2958514976265434</v>
      </c>
      <c r="AC5">
        <f t="shared" ca="1" si="2"/>
        <v>7.454647613354588</v>
      </c>
      <c r="AD5">
        <f t="shared" ca="1" si="2"/>
        <v>9.2055475744273014</v>
      </c>
      <c r="AE5">
        <f t="shared" ca="1" si="2"/>
        <v>8.2234533563964352</v>
      </c>
      <c r="AF5">
        <f t="shared" ca="1" si="2"/>
        <v>9.7297007050173132</v>
      </c>
      <c r="AG5">
        <f t="shared" ca="1" si="2"/>
        <v>7.1980043892682755</v>
      </c>
      <c r="AH5">
        <f t="shared" ca="1" si="2"/>
        <v>8.5159359273357502</v>
      </c>
    </row>
    <row r="6" spans="1:34">
      <c r="A6" t="str">
        <f>CYF!A6</f>
        <v>Teff</v>
      </c>
      <c r="B6" t="str">
        <f>CYF!B6</f>
        <v>Gumuz</v>
      </c>
      <c r="C6">
        <f t="shared" ca="1" si="3"/>
        <v>7.2549338732851512</v>
      </c>
      <c r="D6">
        <f t="shared" ca="1" si="2"/>
        <v>8.7955664020544688</v>
      </c>
      <c r="E6">
        <f t="shared" ca="1" si="2"/>
        <v>7.6655908934963204</v>
      </c>
      <c r="F6">
        <f t="shared" ca="1" si="2"/>
        <v>9.5628274760794749</v>
      </c>
      <c r="G6">
        <f t="shared" ca="1" si="2"/>
        <v>6.8372356442149984</v>
      </c>
      <c r="H6">
        <f t="shared" ca="1" si="2"/>
        <v>9.1641586286088437</v>
      </c>
      <c r="I6">
        <f t="shared" ca="1" si="2"/>
        <v>8.1653566526232133</v>
      </c>
      <c r="J6">
        <f t="shared" ca="1" si="2"/>
        <v>8.578258516375902</v>
      </c>
      <c r="K6">
        <f t="shared" ca="1" si="2"/>
        <v>8.0801172819653573</v>
      </c>
      <c r="L6">
        <f t="shared" ca="1" si="2"/>
        <v>8.6237365868728286</v>
      </c>
      <c r="M6">
        <f t="shared" ca="1" si="2"/>
        <v>7.3508970042476722</v>
      </c>
      <c r="N6">
        <f t="shared" ca="1" si="2"/>
        <v>9.9828123302680574</v>
      </c>
      <c r="O6">
        <f t="shared" ca="1" si="2"/>
        <v>7.9968075232243354</v>
      </c>
      <c r="P6">
        <f t="shared" ca="1" si="2"/>
        <v>8.7268923937950209</v>
      </c>
      <c r="Q6">
        <f t="shared" ca="1" si="2"/>
        <v>6.1726255102793299</v>
      </c>
      <c r="R6">
        <f t="shared" ca="1" si="2"/>
        <v>9.0154872394904881</v>
      </c>
      <c r="S6">
        <f t="shared" ca="1" si="2"/>
        <v>7.7992337907703639</v>
      </c>
      <c r="T6">
        <f t="shared" ca="1" si="2"/>
        <v>9.2211012326560091</v>
      </c>
      <c r="U6">
        <f t="shared" ca="1" si="2"/>
        <v>7.9045847163165135</v>
      </c>
      <c r="V6">
        <f t="shared" ca="1" si="2"/>
        <v>9.6594683438138862</v>
      </c>
      <c r="W6">
        <f t="shared" ca="1" si="2"/>
        <v>6.7401016188819423</v>
      </c>
      <c r="X6">
        <f t="shared" ca="1" si="2"/>
        <v>9.7104468880437373</v>
      </c>
      <c r="Y6">
        <f t="shared" ca="1" si="2"/>
        <v>7.7984431623259116</v>
      </c>
      <c r="Z6">
        <f t="shared" ca="1" si="2"/>
        <v>9.2974758500209624</v>
      </c>
      <c r="AA6">
        <f t="shared" ca="1" si="2"/>
        <v>8.2047431923017839</v>
      </c>
      <c r="AB6">
        <f t="shared" ca="1" si="2"/>
        <v>9.920303760175381</v>
      </c>
      <c r="AC6">
        <f t="shared" ca="1" si="2"/>
        <v>7.0506113229729426</v>
      </c>
      <c r="AD6">
        <f t="shared" ca="1" si="2"/>
        <v>9.0375847299236387</v>
      </c>
      <c r="AE6">
        <f t="shared" ca="1" si="2"/>
        <v>7.2079558935294443</v>
      </c>
      <c r="AF6">
        <f t="shared" ca="1" si="2"/>
        <v>8.5744838972797481</v>
      </c>
      <c r="AG6">
        <f t="shared" ca="1" si="2"/>
        <v>6.5514969876403226</v>
      </c>
      <c r="AH6">
        <f t="shared" ca="1" si="2"/>
        <v>8.8523683230433221</v>
      </c>
    </row>
    <row r="7" spans="1:34">
      <c r="A7" t="str">
        <f>CYF!A7</f>
        <v>Teff</v>
      </c>
      <c r="B7" t="str">
        <f>CYF!B7</f>
        <v>DireDawa</v>
      </c>
      <c r="C7">
        <f t="shared" ca="1" si="3"/>
        <v>7.3087970370255739</v>
      </c>
      <c r="D7">
        <f t="shared" ca="1" si="2"/>
        <v>9.7475840749127798</v>
      </c>
      <c r="E7">
        <f t="shared" ca="1" si="2"/>
        <v>7.5465541702409036</v>
      </c>
      <c r="F7">
        <f t="shared" ca="1" si="2"/>
        <v>8.6672079784563412</v>
      </c>
      <c r="G7">
        <f t="shared" ca="1" si="2"/>
        <v>8.1624525942494035</v>
      </c>
      <c r="H7">
        <f t="shared" ca="1" si="2"/>
        <v>9.1237440156130418</v>
      </c>
      <c r="I7">
        <f t="shared" ca="1" si="2"/>
        <v>6.020096092463004</v>
      </c>
      <c r="J7">
        <f t="shared" ca="1" si="2"/>
        <v>9.0784262816128187</v>
      </c>
      <c r="K7">
        <f t="shared" ca="1" si="2"/>
        <v>7.1241524291656244</v>
      </c>
      <c r="L7">
        <f t="shared" ca="1" si="2"/>
        <v>9.1183168185104435</v>
      </c>
      <c r="M7">
        <f t="shared" ca="1" si="2"/>
        <v>6.1414294589091361</v>
      </c>
      <c r="N7">
        <f t="shared" ca="1" si="2"/>
        <v>9.2950389217534166</v>
      </c>
      <c r="O7">
        <f t="shared" ca="1" si="2"/>
        <v>6.3565149484091101</v>
      </c>
      <c r="P7">
        <f t="shared" ca="1" si="2"/>
        <v>9.6607453474966274</v>
      </c>
      <c r="Q7">
        <f t="shared" ca="1" si="2"/>
        <v>6.3183044711696015</v>
      </c>
      <c r="R7">
        <f t="shared" ca="1" si="2"/>
        <v>9.6590228441780237</v>
      </c>
      <c r="S7">
        <f t="shared" ca="1" si="2"/>
        <v>7.1735978502395517</v>
      </c>
      <c r="T7">
        <f t="shared" ca="1" si="2"/>
        <v>9.2203019126473151</v>
      </c>
      <c r="U7">
        <f t="shared" ca="1" si="2"/>
        <v>6.3325303080689244</v>
      </c>
      <c r="V7">
        <f t="shared" ca="1" si="2"/>
        <v>8.511779531755586</v>
      </c>
      <c r="W7">
        <f t="shared" ca="1" si="2"/>
        <v>7.7281023955039965</v>
      </c>
      <c r="X7">
        <f t="shared" ca="1" si="2"/>
        <v>9.6573846363391684</v>
      </c>
      <c r="Y7">
        <f t="shared" ca="1" si="2"/>
        <v>7.5270767394605471</v>
      </c>
      <c r="Z7">
        <f t="shared" ca="1" si="2"/>
        <v>8.6954889118466951</v>
      </c>
      <c r="AA7">
        <f t="shared" ca="1" si="2"/>
        <v>8.1122761473268881</v>
      </c>
      <c r="AB7">
        <f t="shared" ca="1" si="2"/>
        <v>9.7023812556200681</v>
      </c>
      <c r="AC7">
        <f t="shared" ca="1" si="2"/>
        <v>7.4601253335004358</v>
      </c>
      <c r="AD7">
        <f t="shared" ca="1" si="2"/>
        <v>8.6918957723732824</v>
      </c>
      <c r="AE7">
        <f t="shared" ca="1" si="2"/>
        <v>7.8229232996185711</v>
      </c>
      <c r="AF7">
        <f t="shared" ca="1" si="2"/>
        <v>9.6874134270143557</v>
      </c>
      <c r="AG7">
        <f t="shared" ca="1" si="2"/>
        <v>6.4284314728345953</v>
      </c>
      <c r="AH7">
        <f t="shared" ca="1" si="2"/>
        <v>9.4195732486641113</v>
      </c>
    </row>
    <row r="8" spans="1:34">
      <c r="A8" t="str">
        <f>CYF!A8</f>
        <v>Teff</v>
      </c>
      <c r="B8" t="str">
        <f>CYF!B8</f>
        <v>Gambela</v>
      </c>
      <c r="C8">
        <f t="shared" ca="1" si="3"/>
        <v>7.694034126247054</v>
      </c>
      <c r="D8">
        <f t="shared" ca="1" si="2"/>
        <v>9.8396115371365127</v>
      </c>
      <c r="E8">
        <f t="shared" ca="1" si="2"/>
        <v>7.1266656353711966</v>
      </c>
      <c r="F8">
        <f t="shared" ca="1" si="2"/>
        <v>9.311023141984677</v>
      </c>
      <c r="G8">
        <f t="shared" ca="1" si="2"/>
        <v>7.7557342240354368</v>
      </c>
      <c r="H8">
        <f t="shared" ca="1" si="2"/>
        <v>9.8382256935817143</v>
      </c>
      <c r="I8">
        <f t="shared" ca="1" si="2"/>
        <v>7.461706552338903</v>
      </c>
      <c r="J8">
        <f t="shared" ca="1" si="2"/>
        <v>9.4192965959459123</v>
      </c>
      <c r="K8">
        <f t="shared" ca="1" si="2"/>
        <v>6.5423925234615972</v>
      </c>
      <c r="L8">
        <f t="shared" ca="1" si="2"/>
        <v>8.6892028169359747</v>
      </c>
      <c r="M8">
        <f t="shared" ca="1" si="2"/>
        <v>8.4162741596370836</v>
      </c>
      <c r="N8">
        <f t="shared" ca="1" si="2"/>
        <v>8.7687016261481698</v>
      </c>
      <c r="O8">
        <f t="shared" ca="1" si="2"/>
        <v>6.7358053854855378</v>
      </c>
      <c r="P8">
        <f t="shared" ca="1" si="2"/>
        <v>8.7614151159381279</v>
      </c>
      <c r="Q8">
        <f t="shared" ca="1" si="2"/>
        <v>7.8567211624599569</v>
      </c>
      <c r="R8">
        <f t="shared" ca="1" si="2"/>
        <v>9.0308207656180333</v>
      </c>
      <c r="S8">
        <f t="shared" ca="1" si="2"/>
        <v>6.516100423259962</v>
      </c>
      <c r="T8">
        <f t="shared" ca="1" si="2"/>
        <v>9.749705074244428</v>
      </c>
      <c r="U8">
        <f t="shared" ca="1" si="2"/>
        <v>8.2224236040373277</v>
      </c>
      <c r="V8">
        <f t="shared" ca="1" si="2"/>
        <v>9.3317803181721217</v>
      </c>
      <c r="W8">
        <f t="shared" ca="1" si="2"/>
        <v>7.33228333681358</v>
      </c>
      <c r="X8">
        <f t="shared" ca="1" si="2"/>
        <v>9.0003473646714856</v>
      </c>
      <c r="Y8">
        <f t="shared" ca="1" si="2"/>
        <v>6.2753575378958795</v>
      </c>
      <c r="Z8">
        <f t="shared" ca="1" si="2"/>
        <v>8.9865153200976167</v>
      </c>
      <c r="AA8">
        <f t="shared" ca="1" si="2"/>
        <v>6.452350752260382</v>
      </c>
      <c r="AB8">
        <f t="shared" ca="1" si="2"/>
        <v>9.2470845837256039</v>
      </c>
      <c r="AC8">
        <f t="shared" ca="1" si="2"/>
        <v>6.8144989195891821</v>
      </c>
      <c r="AD8">
        <f t="shared" ca="1" si="2"/>
        <v>9.9598442513096419</v>
      </c>
      <c r="AE8">
        <f t="shared" ca="1" si="2"/>
        <v>6.6450654284160278</v>
      </c>
      <c r="AF8">
        <f t="shared" ca="1" si="2"/>
        <v>9.5564528068627776</v>
      </c>
      <c r="AG8">
        <f t="shared" ca="1" si="2"/>
        <v>6.6144314320872386</v>
      </c>
      <c r="AH8">
        <f t="shared" ca="1" si="2"/>
        <v>9.5811049110326323</v>
      </c>
    </row>
    <row r="9" spans="1:34">
      <c r="A9" t="str">
        <f>CYF!A9</f>
        <v>Teff</v>
      </c>
      <c r="B9" t="str">
        <f>CYF!B9</f>
        <v>Harari</v>
      </c>
      <c r="C9">
        <f t="shared" ca="1" si="3"/>
        <v>8.1808143740619279</v>
      </c>
      <c r="D9">
        <f t="shared" ca="1" si="2"/>
        <v>9.2161530937438521</v>
      </c>
      <c r="E9">
        <f t="shared" ca="1" si="2"/>
        <v>7.8691445292206783</v>
      </c>
      <c r="F9">
        <f t="shared" ca="1" si="2"/>
        <v>9.0586903787945783</v>
      </c>
      <c r="G9">
        <f t="shared" ca="1" si="2"/>
        <v>7.9305824480540625</v>
      </c>
      <c r="H9">
        <f t="shared" ca="1" si="2"/>
        <v>9.5722190789209609</v>
      </c>
      <c r="I9">
        <f t="shared" ca="1" si="2"/>
        <v>6.1272972933608614</v>
      </c>
      <c r="J9">
        <f t="shared" ca="1" si="2"/>
        <v>9.8602620728067318</v>
      </c>
      <c r="K9">
        <f t="shared" ca="1" si="2"/>
        <v>7.5685730221510452</v>
      </c>
      <c r="L9">
        <f t="shared" ca="1" si="2"/>
        <v>9.6929626176624364</v>
      </c>
      <c r="M9">
        <f t="shared" ca="1" si="2"/>
        <v>8.1751749314799618</v>
      </c>
      <c r="N9">
        <f t="shared" ca="1" si="2"/>
        <v>9.4253833706637149</v>
      </c>
      <c r="O9">
        <f t="shared" ca="1" si="2"/>
        <v>6.6802119577515473</v>
      </c>
      <c r="P9">
        <f t="shared" ca="1" si="2"/>
        <v>9.7378443515109456</v>
      </c>
      <c r="Q9">
        <f t="shared" ca="1" si="2"/>
        <v>7.7772108915282363</v>
      </c>
      <c r="R9">
        <f t="shared" ca="1" si="2"/>
        <v>8.6837711489802523</v>
      </c>
      <c r="S9">
        <f t="shared" ca="1" si="2"/>
        <v>7.7078954545453744</v>
      </c>
      <c r="T9">
        <f t="shared" ca="1" si="2"/>
        <v>9.1159675125116024</v>
      </c>
      <c r="U9">
        <f t="shared" ca="1" si="2"/>
        <v>7.1044762945979114</v>
      </c>
      <c r="V9">
        <f t="shared" ca="1" si="2"/>
        <v>9.941256232864756</v>
      </c>
      <c r="W9">
        <f t="shared" ca="1" si="2"/>
        <v>6.3031350522651248</v>
      </c>
      <c r="X9">
        <f t="shared" ca="1" si="2"/>
        <v>9.6302141785154163</v>
      </c>
      <c r="Y9">
        <f t="shared" ca="1" si="2"/>
        <v>7.2047569775870492</v>
      </c>
      <c r="Z9">
        <f t="shared" ca="1" si="2"/>
        <v>9.4932490956642344</v>
      </c>
      <c r="AA9">
        <f t="shared" ca="1" si="2"/>
        <v>8.4241517495063931</v>
      </c>
      <c r="AB9">
        <f t="shared" ca="1" si="2"/>
        <v>9.2433197746044904</v>
      </c>
      <c r="AC9">
        <f t="shared" ca="1" si="2"/>
        <v>6.3232653557169396</v>
      </c>
      <c r="AD9">
        <f t="shared" ca="1" si="2"/>
        <v>8.5727352055622674</v>
      </c>
      <c r="AE9">
        <f t="shared" ca="1" si="2"/>
        <v>8.0886084848159765</v>
      </c>
      <c r="AF9">
        <f t="shared" ca="1" si="2"/>
        <v>9.2557722378651501</v>
      </c>
      <c r="AG9">
        <f t="shared" ca="1" si="2"/>
        <v>6.2358754705658654</v>
      </c>
      <c r="AH9">
        <f t="shared" ca="1" si="2"/>
        <v>8.8726379878156507</v>
      </c>
    </row>
    <row r="10" spans="1:34">
      <c r="A10" t="str">
        <f>CYF!A10</f>
        <v>Teff</v>
      </c>
      <c r="B10" t="str">
        <f>CYF!B10</f>
        <v>Oromia</v>
      </c>
      <c r="C10">
        <f t="shared" ca="1" si="3"/>
        <v>6.3426876541004162</v>
      </c>
      <c r="D10">
        <f t="shared" ca="1" si="2"/>
        <v>9.5997810320594468</v>
      </c>
      <c r="E10">
        <f t="shared" ca="1" si="2"/>
        <v>6.2085763254306698</v>
      </c>
      <c r="F10">
        <f t="shared" ca="1" si="2"/>
        <v>9.9180807455595019</v>
      </c>
      <c r="G10">
        <f t="shared" ca="1" si="2"/>
        <v>8.1887511773086459</v>
      </c>
      <c r="H10">
        <f t="shared" ca="1" si="2"/>
        <v>8.6862457190930584</v>
      </c>
      <c r="I10">
        <f t="shared" ca="1" si="2"/>
        <v>8.2382943291552611</v>
      </c>
      <c r="J10">
        <f t="shared" ca="1" si="2"/>
        <v>8.5357823279313614</v>
      </c>
      <c r="K10">
        <f t="shared" ca="1" si="2"/>
        <v>7.4476057765620123</v>
      </c>
      <c r="L10">
        <f t="shared" ca="1" si="2"/>
        <v>8.8966640014075757</v>
      </c>
      <c r="M10">
        <f t="shared" ca="1" si="2"/>
        <v>7.7015585333741239</v>
      </c>
      <c r="N10">
        <f t="shared" ca="1" si="2"/>
        <v>9.3632873726997374</v>
      </c>
      <c r="O10">
        <f t="shared" ca="1" si="2"/>
        <v>6.2383783876530385</v>
      </c>
      <c r="P10">
        <f t="shared" ca="1" si="2"/>
        <v>9.0704679445681258</v>
      </c>
      <c r="Q10">
        <f t="shared" ca="1" si="2"/>
        <v>7.0182344376158285</v>
      </c>
      <c r="R10">
        <f t="shared" ca="1" si="2"/>
        <v>9.5220625758367543</v>
      </c>
      <c r="S10">
        <f t="shared" ca="1" si="2"/>
        <v>6.039061944976706</v>
      </c>
      <c r="T10">
        <f t="shared" ca="1" si="2"/>
        <v>9.1567873251284535</v>
      </c>
      <c r="U10">
        <f t="shared" ca="1" si="2"/>
        <v>6.3308620443673593</v>
      </c>
      <c r="V10">
        <f t="shared" ca="1" si="2"/>
        <v>8.5348387923445621</v>
      </c>
      <c r="W10">
        <f t="shared" ca="1" si="2"/>
        <v>7.6109710448504</v>
      </c>
      <c r="X10">
        <f t="shared" ca="1" si="2"/>
        <v>8.8007925464131436</v>
      </c>
      <c r="Y10">
        <f t="shared" ca="1" si="2"/>
        <v>7.1738447270030186</v>
      </c>
      <c r="Z10">
        <f t="shared" ca="1" si="2"/>
        <v>8.9874983440672764</v>
      </c>
      <c r="AA10">
        <f t="shared" ca="1" si="2"/>
        <v>7.118984452326762</v>
      </c>
      <c r="AB10">
        <f t="shared" ca="1" si="2"/>
        <v>8.5756809330012373</v>
      </c>
      <c r="AC10">
        <f t="shared" ca="1" si="2"/>
        <v>8.0328833957618144</v>
      </c>
      <c r="AD10">
        <f t="shared" ca="1" si="2"/>
        <v>9.1989303436543608</v>
      </c>
      <c r="AE10">
        <f t="shared" ca="1" si="2"/>
        <v>6.7658517435274756</v>
      </c>
      <c r="AF10">
        <f t="shared" ca="1" si="2"/>
        <v>9.7244844080668269</v>
      </c>
      <c r="AG10">
        <f t="shared" ca="1" si="2"/>
        <v>6.2926000601318526</v>
      </c>
      <c r="AH10">
        <f t="shared" ca="1" si="2"/>
        <v>9.8659529332083657</v>
      </c>
    </row>
    <row r="11" spans="1:34">
      <c r="A11" t="str">
        <f>CYF!A11</f>
        <v>Teff</v>
      </c>
      <c r="B11" t="str">
        <f>CYF!B11</f>
        <v>Somali</v>
      </c>
      <c r="C11">
        <f t="shared" ca="1" si="3"/>
        <v>8.4002252101824677</v>
      </c>
      <c r="D11">
        <f t="shared" ca="1" si="2"/>
        <v>9.4550979654932998</v>
      </c>
      <c r="E11">
        <f t="shared" ca="1" si="2"/>
        <v>7.8742442883531494</v>
      </c>
      <c r="F11">
        <f t="shared" ca="1" si="2"/>
        <v>8.6277477737333896</v>
      </c>
      <c r="G11">
        <f t="shared" ca="1" si="2"/>
        <v>7.9751715483823098</v>
      </c>
      <c r="H11">
        <f t="shared" ca="1" si="2"/>
        <v>9.349812147991722</v>
      </c>
      <c r="I11">
        <f t="shared" ca="1" si="2"/>
        <v>7.6422696407289425</v>
      </c>
      <c r="J11">
        <f t="shared" ca="1" si="2"/>
        <v>9.5474907376825939</v>
      </c>
      <c r="K11">
        <f t="shared" ca="1" si="2"/>
        <v>6.4025471818578552</v>
      </c>
      <c r="L11">
        <f t="shared" ca="1" si="2"/>
        <v>8.5303233822286533</v>
      </c>
      <c r="M11">
        <f t="shared" ca="1" si="2"/>
        <v>8.4662021117122315</v>
      </c>
      <c r="N11">
        <f t="shared" ca="1" si="2"/>
        <v>9.2178147856061354</v>
      </c>
      <c r="O11">
        <f t="shared" ca="1" si="2"/>
        <v>7.177235320642871</v>
      </c>
      <c r="P11">
        <f t="shared" ca="1" si="2"/>
        <v>8.6036222107755034</v>
      </c>
      <c r="Q11">
        <f t="shared" ca="1" si="2"/>
        <v>7.622294456916392</v>
      </c>
      <c r="R11">
        <f t="shared" ca="1" si="2"/>
        <v>9.4271330383902043</v>
      </c>
      <c r="S11">
        <f t="shared" ca="1" si="2"/>
        <v>7.888948356857556</v>
      </c>
      <c r="T11">
        <f t="shared" ca="1" si="2"/>
        <v>9.040038623215727</v>
      </c>
      <c r="U11">
        <f t="shared" ca="1" si="2"/>
        <v>7.2288754615130761</v>
      </c>
      <c r="V11">
        <f t="shared" ca="1" si="2"/>
        <v>9.7065788275172125</v>
      </c>
      <c r="W11">
        <f t="shared" ca="1" si="2"/>
        <v>6.2514630303860708</v>
      </c>
      <c r="X11">
        <f t="shared" ca="1" si="2"/>
        <v>8.6969246920186087</v>
      </c>
      <c r="Y11">
        <f t="shared" ca="1" si="2"/>
        <v>7.8680214583441144</v>
      </c>
      <c r="Z11">
        <f t="shared" ref="D11:AH13" ca="1" si="4">IF(1-MOD(COLUMN(),2),20-RAND()*3,(10+RAND()*5)+2)/2</f>
        <v>9.2892640510803872</v>
      </c>
      <c r="AA11">
        <f t="shared" ca="1" si="4"/>
        <v>6.7866386678703394</v>
      </c>
      <c r="AB11">
        <f t="shared" ca="1" si="4"/>
        <v>8.9476336859124483</v>
      </c>
      <c r="AC11">
        <f t="shared" ca="1" si="4"/>
        <v>6.6429382739540603</v>
      </c>
      <c r="AD11">
        <f t="shared" ca="1" si="4"/>
        <v>9.7977553870501595</v>
      </c>
      <c r="AE11">
        <f t="shared" ca="1" si="4"/>
        <v>8.4163926271712661</v>
      </c>
      <c r="AF11">
        <f t="shared" ca="1" si="4"/>
        <v>9.3790722273437517</v>
      </c>
      <c r="AG11">
        <f t="shared" ca="1" si="4"/>
        <v>8.192980913903499</v>
      </c>
      <c r="AH11">
        <f t="shared" ca="1" si="4"/>
        <v>9.3871129928597128</v>
      </c>
    </row>
    <row r="12" spans="1:34">
      <c r="A12" t="str">
        <f>CYF!A12</f>
        <v>Teff</v>
      </c>
      <c r="B12" t="str">
        <f>CYF!B12</f>
        <v>SNNPR</v>
      </c>
      <c r="C12">
        <f t="shared" ca="1" si="3"/>
        <v>6.5132460956625966</v>
      </c>
      <c r="D12">
        <f t="shared" ca="1" si="4"/>
        <v>9.7194324157565823</v>
      </c>
      <c r="E12">
        <f t="shared" ca="1" si="4"/>
        <v>7.4752133972051631</v>
      </c>
      <c r="F12">
        <f t="shared" ca="1" si="4"/>
        <v>9.1277497070497127</v>
      </c>
      <c r="G12">
        <f t="shared" ca="1" si="4"/>
        <v>6.6666782688845982</v>
      </c>
      <c r="H12">
        <f t="shared" ca="1" si="4"/>
        <v>9.7710680378430297</v>
      </c>
      <c r="I12">
        <f t="shared" ca="1" si="4"/>
        <v>6.0892964976997295</v>
      </c>
      <c r="J12">
        <f t="shared" ca="1" si="4"/>
        <v>8.9367604689573188</v>
      </c>
      <c r="K12">
        <f t="shared" ca="1" si="4"/>
        <v>6.2498517355583063</v>
      </c>
      <c r="L12">
        <f t="shared" ca="1" si="4"/>
        <v>8.5168383885205223</v>
      </c>
      <c r="M12">
        <f t="shared" ca="1" si="4"/>
        <v>8.0457258788841202</v>
      </c>
      <c r="N12">
        <f t="shared" ca="1" si="4"/>
        <v>9.9496544732502255</v>
      </c>
      <c r="O12">
        <f t="shared" ca="1" si="4"/>
        <v>7.8705077457179078</v>
      </c>
      <c r="P12">
        <f t="shared" ca="1" si="4"/>
        <v>8.6731253733656697</v>
      </c>
      <c r="Q12">
        <f t="shared" ca="1" si="4"/>
        <v>6.6191254560512611</v>
      </c>
      <c r="R12">
        <f t="shared" ca="1" si="4"/>
        <v>8.8594532837814395</v>
      </c>
      <c r="S12">
        <f t="shared" ca="1" si="4"/>
        <v>6.8081214967655885</v>
      </c>
      <c r="T12">
        <f t="shared" ca="1" si="4"/>
        <v>9.5041045229948988</v>
      </c>
      <c r="U12">
        <f t="shared" ca="1" si="4"/>
        <v>7.4569655593598485</v>
      </c>
      <c r="V12">
        <f t="shared" ca="1" si="4"/>
        <v>8.5391746598174514</v>
      </c>
      <c r="W12">
        <f t="shared" ca="1" si="4"/>
        <v>6.963007234283582</v>
      </c>
      <c r="X12">
        <f t="shared" ca="1" si="4"/>
        <v>9.1111483624342409</v>
      </c>
      <c r="Y12">
        <f t="shared" ca="1" si="4"/>
        <v>7.7069176463780487</v>
      </c>
      <c r="Z12">
        <f t="shared" ca="1" si="4"/>
        <v>8.9927996642940347</v>
      </c>
      <c r="AA12">
        <f t="shared" ca="1" si="4"/>
        <v>6.6914509017558332</v>
      </c>
      <c r="AB12">
        <f t="shared" ca="1" si="4"/>
        <v>9.9712751814815572</v>
      </c>
      <c r="AC12">
        <f t="shared" ca="1" si="4"/>
        <v>7.5721628001419887</v>
      </c>
      <c r="AD12">
        <f t="shared" ca="1" si="4"/>
        <v>9.4431826573123008</v>
      </c>
      <c r="AE12">
        <f t="shared" ca="1" si="4"/>
        <v>7.6869530738945482</v>
      </c>
      <c r="AF12">
        <f t="shared" ca="1" si="4"/>
        <v>9.5544041641172104</v>
      </c>
      <c r="AG12">
        <f t="shared" ca="1" si="4"/>
        <v>8.0120142210698777</v>
      </c>
      <c r="AH12">
        <f t="shared" ca="1" si="4"/>
        <v>8.6049908402494637</v>
      </c>
    </row>
    <row r="13" spans="1:34">
      <c r="A13" t="str">
        <f>CYF!A13</f>
        <v>Teff</v>
      </c>
      <c r="B13" t="str">
        <f>CYF!B13</f>
        <v>Tigray</v>
      </c>
      <c r="C13">
        <f t="shared" ca="1" si="3"/>
        <v>6.4654198547247219</v>
      </c>
      <c r="D13">
        <f t="shared" ca="1" si="4"/>
        <v>9.1665909541993535</v>
      </c>
      <c r="E13">
        <f t="shared" ca="1" si="4"/>
        <v>7.0496215328619796</v>
      </c>
      <c r="F13">
        <f t="shared" ca="1" si="4"/>
        <v>9.0059048877947099</v>
      </c>
      <c r="G13">
        <f t="shared" ca="1" si="4"/>
        <v>7.985750546859788</v>
      </c>
      <c r="H13">
        <f t="shared" ca="1" si="4"/>
        <v>9.497415751476904</v>
      </c>
      <c r="I13">
        <f t="shared" ca="1" si="4"/>
        <v>7.4013540356586009</v>
      </c>
      <c r="J13">
        <f t="shared" ca="1" si="4"/>
        <v>9.9387724948630964</v>
      </c>
      <c r="K13">
        <f t="shared" ca="1" si="4"/>
        <v>8.3623870521394217</v>
      </c>
      <c r="L13">
        <f t="shared" ca="1" si="4"/>
        <v>8.6365964617954631</v>
      </c>
      <c r="M13">
        <f t="shared" ca="1" si="4"/>
        <v>6.7152191243679393</v>
      </c>
      <c r="N13">
        <f t="shared" ca="1" si="4"/>
        <v>8.6043407647918393</v>
      </c>
      <c r="O13">
        <f t="shared" ca="1" si="4"/>
        <v>6.7395394933993904</v>
      </c>
      <c r="P13">
        <f t="shared" ca="1" si="4"/>
        <v>8.6443950818783328</v>
      </c>
      <c r="Q13">
        <f t="shared" ca="1" si="4"/>
        <v>8.0898351398828758</v>
      </c>
      <c r="R13">
        <f t="shared" ca="1" si="4"/>
        <v>9.843923142601767</v>
      </c>
      <c r="S13">
        <f t="shared" ca="1" si="4"/>
        <v>6.521865419446323</v>
      </c>
      <c r="T13">
        <f t="shared" ca="1" si="4"/>
        <v>8.9017213595556868</v>
      </c>
      <c r="U13">
        <f t="shared" ca="1" si="4"/>
        <v>7.3748507247712851</v>
      </c>
      <c r="V13">
        <f t="shared" ca="1" si="4"/>
        <v>9.2381706018864591</v>
      </c>
      <c r="W13">
        <f t="shared" ca="1" si="4"/>
        <v>6.4563376949448585</v>
      </c>
      <c r="X13">
        <f t="shared" ca="1" si="4"/>
        <v>9.0979722670552139</v>
      </c>
      <c r="Y13">
        <f t="shared" ca="1" si="4"/>
        <v>6.9860516733058216</v>
      </c>
      <c r="Z13">
        <f t="shared" ca="1" si="4"/>
        <v>8.6839079514403537</v>
      </c>
      <c r="AA13">
        <f t="shared" ca="1" si="4"/>
        <v>8.1515529691409689</v>
      </c>
      <c r="AB13">
        <f t="shared" ca="1" si="4"/>
        <v>9.0410775599320896</v>
      </c>
      <c r="AC13">
        <f t="shared" ca="1" si="4"/>
        <v>7.8428143912622819</v>
      </c>
      <c r="AD13">
        <f t="shared" ca="1" si="4"/>
        <v>9.5791766340169389</v>
      </c>
      <c r="AE13">
        <f t="shared" ca="1" si="4"/>
        <v>8.3498322689501734</v>
      </c>
      <c r="AF13">
        <f t="shared" ca="1" si="4"/>
        <v>8.9948945011941301</v>
      </c>
      <c r="AG13">
        <f t="shared" ca="1" si="4"/>
        <v>6.3599681655541769</v>
      </c>
      <c r="AH13">
        <f t="shared" ca="1" si="4"/>
        <v>9.1685248254937246</v>
      </c>
    </row>
    <row r="14" spans="1:34">
      <c r="A14" t="str">
        <f>CYF!A14</f>
        <v>Sorghum</v>
      </c>
      <c r="B14" t="str">
        <f>CYF!B14</f>
        <v>AddisAbaba</v>
      </c>
      <c r="C14">
        <f ca="1">IF(1-MOD(COLUMN(),2),25-RAND()*3,(18+RAND()*5))/2</f>
        <v>11.328558565817801</v>
      </c>
      <c r="D14">
        <f t="shared" ref="D14:AH22" ca="1" si="5">IF(1-MOD(COLUMN(),2),25-RAND()*3,(18+RAND()*5))/2</f>
        <v>11.296041664134103</v>
      </c>
      <c r="E14">
        <f t="shared" ca="1" si="5"/>
        <v>10.258868972017986</v>
      </c>
      <c r="F14">
        <f t="shared" ca="1" si="5"/>
        <v>12.250523783244075</v>
      </c>
      <c r="G14">
        <f t="shared" ca="1" si="5"/>
        <v>10.269244132638425</v>
      </c>
      <c r="H14">
        <f t="shared" ca="1" si="5"/>
        <v>11.423424227401991</v>
      </c>
      <c r="I14">
        <f t="shared" ca="1" si="5"/>
        <v>11.172535870276716</v>
      </c>
      <c r="J14">
        <f t="shared" ca="1" si="5"/>
        <v>11.902179289879591</v>
      </c>
      <c r="K14">
        <f t="shared" ca="1" si="5"/>
        <v>11.013410304635133</v>
      </c>
      <c r="L14">
        <f t="shared" ca="1" si="5"/>
        <v>12.242912094905872</v>
      </c>
      <c r="M14">
        <f t="shared" ca="1" si="5"/>
        <v>9.5188865539318321</v>
      </c>
      <c r="N14">
        <f t="shared" ca="1" si="5"/>
        <v>11.670292435080819</v>
      </c>
      <c r="O14">
        <f t="shared" ca="1" si="5"/>
        <v>10.860540849027446</v>
      </c>
      <c r="P14">
        <f t="shared" ca="1" si="5"/>
        <v>11.585168098858757</v>
      </c>
      <c r="Q14">
        <f t="shared" ca="1" si="5"/>
        <v>11.350580617113909</v>
      </c>
      <c r="R14">
        <f t="shared" ca="1" si="5"/>
        <v>11.875896219119607</v>
      </c>
      <c r="S14">
        <f t="shared" ca="1" si="5"/>
        <v>9.5668438113223413</v>
      </c>
      <c r="T14">
        <f t="shared" ca="1" si="5"/>
        <v>11.144916204571004</v>
      </c>
      <c r="U14">
        <f t="shared" ca="1" si="5"/>
        <v>9.9940755206248664</v>
      </c>
      <c r="V14">
        <f t="shared" ca="1" si="5"/>
        <v>11.851270249431833</v>
      </c>
      <c r="W14">
        <f t="shared" ca="1" si="5"/>
        <v>9.2907687310976232</v>
      </c>
      <c r="X14">
        <f t="shared" ca="1" si="5"/>
        <v>11.985059125103438</v>
      </c>
      <c r="Y14">
        <f t="shared" ca="1" si="5"/>
        <v>10.708359922732804</v>
      </c>
      <c r="Z14">
        <f t="shared" ca="1" si="5"/>
        <v>11.520953113670117</v>
      </c>
      <c r="AA14">
        <f t="shared" ca="1" si="5"/>
        <v>10.798007142584954</v>
      </c>
      <c r="AB14">
        <f t="shared" ca="1" si="5"/>
        <v>11.578531043445619</v>
      </c>
      <c r="AC14">
        <f t="shared" ca="1" si="5"/>
        <v>9.7846843871650151</v>
      </c>
      <c r="AD14">
        <f t="shared" ca="1" si="5"/>
        <v>11.775793799280571</v>
      </c>
      <c r="AE14">
        <f t="shared" ca="1" si="5"/>
        <v>9.7860946997961022</v>
      </c>
      <c r="AF14">
        <f t="shared" ca="1" si="5"/>
        <v>12.251942685144432</v>
      </c>
      <c r="AG14">
        <f t="shared" ca="1" si="5"/>
        <v>10.88010209079164</v>
      </c>
      <c r="AH14">
        <f t="shared" ca="1" si="5"/>
        <v>11.485728910920368</v>
      </c>
    </row>
    <row r="15" spans="1:34">
      <c r="A15" t="str">
        <f>CYF!A15</f>
        <v>Sorghum</v>
      </c>
      <c r="B15" t="str">
        <f>CYF!B15</f>
        <v>Afar</v>
      </c>
      <c r="C15">
        <f t="shared" ref="C15:R38" ca="1" si="6">IF(1-MOD(COLUMN(),2),25-RAND()*3,(18+RAND()*5))/2</f>
        <v>11.352617660670818</v>
      </c>
      <c r="D15">
        <f t="shared" ca="1" si="5"/>
        <v>12.23170669573787</v>
      </c>
      <c r="E15">
        <f t="shared" ca="1" si="5"/>
        <v>10.851567289339757</v>
      </c>
      <c r="F15">
        <f t="shared" ca="1" si="5"/>
        <v>11.321430010589077</v>
      </c>
      <c r="G15">
        <f t="shared" ca="1" si="5"/>
        <v>11.134189318098313</v>
      </c>
      <c r="H15">
        <f t="shared" ca="1" si="5"/>
        <v>12.236081074021415</v>
      </c>
      <c r="I15">
        <f t="shared" ca="1" si="5"/>
        <v>10.52123595207062</v>
      </c>
      <c r="J15">
        <f t="shared" ca="1" si="5"/>
        <v>11.78360929314143</v>
      </c>
      <c r="K15">
        <f t="shared" ca="1" si="5"/>
        <v>10.188750998868496</v>
      </c>
      <c r="L15">
        <f t="shared" ca="1" si="5"/>
        <v>12.325533445399246</v>
      </c>
      <c r="M15">
        <f t="shared" ca="1" si="5"/>
        <v>9.351191748594081</v>
      </c>
      <c r="N15">
        <f t="shared" ca="1" si="5"/>
        <v>12.455639822938977</v>
      </c>
      <c r="O15">
        <f t="shared" ca="1" si="5"/>
        <v>11.466438513378428</v>
      </c>
      <c r="P15">
        <f t="shared" ca="1" si="5"/>
        <v>12.107553031376957</v>
      </c>
      <c r="Q15">
        <f t="shared" ca="1" si="5"/>
        <v>10.234007370413078</v>
      </c>
      <c r="R15">
        <f t="shared" ca="1" si="5"/>
        <v>11.308816317029155</v>
      </c>
      <c r="S15">
        <f t="shared" ca="1" si="5"/>
        <v>11.13896737590678</v>
      </c>
      <c r="T15">
        <f t="shared" ca="1" si="5"/>
        <v>11.128548025163399</v>
      </c>
      <c r="U15">
        <f t="shared" ca="1" si="5"/>
        <v>9.4526110227667441</v>
      </c>
      <c r="V15">
        <f t="shared" ca="1" si="5"/>
        <v>12.29708780122696</v>
      </c>
      <c r="W15">
        <f t="shared" ca="1" si="5"/>
        <v>11.135287095229973</v>
      </c>
      <c r="X15">
        <f t="shared" ca="1" si="5"/>
        <v>12.463935564630587</v>
      </c>
      <c r="Y15">
        <f t="shared" ca="1" si="5"/>
        <v>9.7764190084233302</v>
      </c>
      <c r="Z15">
        <f t="shared" ca="1" si="5"/>
        <v>11.20282372368397</v>
      </c>
      <c r="AA15">
        <f t="shared" ca="1" si="5"/>
        <v>9.1328667588195334</v>
      </c>
      <c r="AB15">
        <f t="shared" ca="1" si="5"/>
        <v>11.470335905448612</v>
      </c>
      <c r="AC15">
        <f t="shared" ca="1" si="5"/>
        <v>9.4601868391743089</v>
      </c>
      <c r="AD15">
        <f t="shared" ca="1" si="5"/>
        <v>11.624519746198699</v>
      </c>
      <c r="AE15">
        <f t="shared" ca="1" si="5"/>
        <v>9.1041039435132465</v>
      </c>
      <c r="AF15">
        <f t="shared" ca="1" si="5"/>
        <v>12.189481792273256</v>
      </c>
      <c r="AG15">
        <f t="shared" ca="1" si="5"/>
        <v>10.511632452789049</v>
      </c>
      <c r="AH15">
        <f t="shared" ca="1" si="5"/>
        <v>12.28223789359541</v>
      </c>
    </row>
    <row r="16" spans="1:34">
      <c r="A16" t="str">
        <f>CYF!A16</f>
        <v>Sorghum</v>
      </c>
      <c r="B16" t="str">
        <f>CYF!B16</f>
        <v>Amhara</v>
      </c>
      <c r="C16">
        <f t="shared" ca="1" si="6"/>
        <v>10.883055440703131</v>
      </c>
      <c r="D16">
        <f t="shared" ca="1" si="5"/>
        <v>11.161139206057404</v>
      </c>
      <c r="E16">
        <f t="shared" ca="1" si="5"/>
        <v>11.101245881257555</v>
      </c>
      <c r="F16">
        <f t="shared" ca="1" si="5"/>
        <v>11.412149384122971</v>
      </c>
      <c r="G16">
        <f t="shared" ca="1" si="5"/>
        <v>10.91424294001069</v>
      </c>
      <c r="H16">
        <f t="shared" ca="1" si="5"/>
        <v>11.946339049714679</v>
      </c>
      <c r="I16">
        <f t="shared" ca="1" si="5"/>
        <v>10.277410202435476</v>
      </c>
      <c r="J16">
        <f t="shared" ca="1" si="5"/>
        <v>11.148437656627699</v>
      </c>
      <c r="K16">
        <f t="shared" ca="1" si="5"/>
        <v>9.122607275629889</v>
      </c>
      <c r="L16">
        <f t="shared" ca="1" si="5"/>
        <v>12.345293081718195</v>
      </c>
      <c r="M16">
        <f t="shared" ca="1" si="5"/>
        <v>10.566876841277306</v>
      </c>
      <c r="N16">
        <f t="shared" ca="1" si="5"/>
        <v>11.252569350323334</v>
      </c>
      <c r="O16">
        <f t="shared" ca="1" si="5"/>
        <v>10.819059710220351</v>
      </c>
      <c r="P16">
        <f t="shared" ca="1" si="5"/>
        <v>12.430208589992835</v>
      </c>
      <c r="Q16">
        <f t="shared" ca="1" si="5"/>
        <v>10.418118001300552</v>
      </c>
      <c r="R16">
        <f t="shared" ca="1" si="5"/>
        <v>12.397808295929797</v>
      </c>
      <c r="S16">
        <f t="shared" ca="1" si="5"/>
        <v>9.7884495549787118</v>
      </c>
      <c r="T16">
        <f t="shared" ca="1" si="5"/>
        <v>11.305993824534081</v>
      </c>
      <c r="U16">
        <f t="shared" ca="1" si="5"/>
        <v>10.502660467991069</v>
      </c>
      <c r="V16">
        <f t="shared" ca="1" si="5"/>
        <v>12.16921694063358</v>
      </c>
      <c r="W16">
        <f t="shared" ca="1" si="5"/>
        <v>10.461105038750393</v>
      </c>
      <c r="X16">
        <f t="shared" ca="1" si="5"/>
        <v>12.138598424427734</v>
      </c>
      <c r="Y16">
        <f t="shared" ca="1" si="5"/>
        <v>10.081472195754635</v>
      </c>
      <c r="Z16">
        <f t="shared" ca="1" si="5"/>
        <v>11.648572683906394</v>
      </c>
      <c r="AA16">
        <f t="shared" ca="1" si="5"/>
        <v>10.88849977221043</v>
      </c>
      <c r="AB16">
        <f t="shared" ca="1" si="5"/>
        <v>11.912527670159866</v>
      </c>
      <c r="AC16">
        <f t="shared" ca="1" si="5"/>
        <v>9.2700207133975887</v>
      </c>
      <c r="AD16">
        <f t="shared" ca="1" si="5"/>
        <v>11.767087043351756</v>
      </c>
      <c r="AE16">
        <f t="shared" ca="1" si="5"/>
        <v>10.369533692142342</v>
      </c>
      <c r="AF16">
        <f t="shared" ca="1" si="5"/>
        <v>12.266774141424818</v>
      </c>
      <c r="AG16">
        <f t="shared" ca="1" si="5"/>
        <v>9.1564920093650191</v>
      </c>
      <c r="AH16">
        <f t="shared" ca="1" si="5"/>
        <v>11.399783278904538</v>
      </c>
    </row>
    <row r="17" spans="1:34">
      <c r="A17" t="str">
        <f>CYF!A17</f>
        <v>Sorghum</v>
      </c>
      <c r="B17" t="str">
        <f>CYF!B17</f>
        <v>Gumuz</v>
      </c>
      <c r="C17">
        <f t="shared" ca="1" si="6"/>
        <v>9.5477232829921199</v>
      </c>
      <c r="D17">
        <f t="shared" ca="1" si="5"/>
        <v>11.185453127398894</v>
      </c>
      <c r="E17">
        <f t="shared" ca="1" si="5"/>
        <v>10.251383976269269</v>
      </c>
      <c r="F17">
        <f t="shared" ca="1" si="5"/>
        <v>11.493814096041504</v>
      </c>
      <c r="G17">
        <f t="shared" ca="1" si="5"/>
        <v>9.7958580651654508</v>
      </c>
      <c r="H17">
        <f t="shared" ca="1" si="5"/>
        <v>12.088908614756797</v>
      </c>
      <c r="I17">
        <f t="shared" ca="1" si="5"/>
        <v>10.426564224097399</v>
      </c>
      <c r="J17">
        <f t="shared" ca="1" si="5"/>
        <v>12.42477921490091</v>
      </c>
      <c r="K17">
        <f t="shared" ca="1" si="5"/>
        <v>10.632515584588257</v>
      </c>
      <c r="L17">
        <f t="shared" ca="1" si="5"/>
        <v>11.644612784281414</v>
      </c>
      <c r="M17">
        <f t="shared" ca="1" si="5"/>
        <v>11.258072150500753</v>
      </c>
      <c r="N17">
        <f t="shared" ca="1" si="5"/>
        <v>12.142965967472817</v>
      </c>
      <c r="O17">
        <f t="shared" ca="1" si="5"/>
        <v>11.49334336706929</v>
      </c>
      <c r="P17">
        <f t="shared" ca="1" si="5"/>
        <v>12.029425829286142</v>
      </c>
      <c r="Q17">
        <f t="shared" ca="1" si="5"/>
        <v>9.1231922840365289</v>
      </c>
      <c r="R17">
        <f t="shared" ca="1" si="5"/>
        <v>11.583107294634784</v>
      </c>
      <c r="S17">
        <f t="shared" ca="1" si="5"/>
        <v>9.7077169199473587</v>
      </c>
      <c r="T17">
        <f t="shared" ca="1" si="5"/>
        <v>11.105448770733314</v>
      </c>
      <c r="U17">
        <f t="shared" ca="1" si="5"/>
        <v>9.8632678757857715</v>
      </c>
      <c r="V17">
        <f t="shared" ca="1" si="5"/>
        <v>11.337418267885209</v>
      </c>
      <c r="W17">
        <f t="shared" ca="1" si="5"/>
        <v>9.9888605578252321</v>
      </c>
      <c r="X17">
        <f t="shared" ca="1" si="5"/>
        <v>12.222572005245466</v>
      </c>
      <c r="Y17">
        <f t="shared" ca="1" si="5"/>
        <v>10.141288841315033</v>
      </c>
      <c r="Z17">
        <f t="shared" ca="1" si="5"/>
        <v>11.288086393075183</v>
      </c>
      <c r="AA17">
        <f t="shared" ca="1" si="5"/>
        <v>11.018201639544044</v>
      </c>
      <c r="AB17">
        <f t="shared" ca="1" si="5"/>
        <v>11.341676799247036</v>
      </c>
      <c r="AC17">
        <f t="shared" ca="1" si="5"/>
        <v>9.4884243733826334</v>
      </c>
      <c r="AD17">
        <f t="shared" ca="1" si="5"/>
        <v>11.018131891666677</v>
      </c>
      <c r="AE17">
        <f t="shared" ca="1" si="5"/>
        <v>11.410531525273015</v>
      </c>
      <c r="AF17">
        <f t="shared" ca="1" si="5"/>
        <v>11.289935286885097</v>
      </c>
      <c r="AG17">
        <f t="shared" ca="1" si="5"/>
        <v>9.371430111330028</v>
      </c>
      <c r="AH17">
        <f t="shared" ca="1" si="5"/>
        <v>12.037295057788992</v>
      </c>
    </row>
    <row r="18" spans="1:34">
      <c r="A18" t="str">
        <f>CYF!A18</f>
        <v>Sorghum</v>
      </c>
      <c r="B18" t="str">
        <f>CYF!B18</f>
        <v>DireDawa</v>
      </c>
      <c r="C18">
        <f t="shared" ca="1" si="6"/>
        <v>10.905517493652486</v>
      </c>
      <c r="D18">
        <f t="shared" ca="1" si="5"/>
        <v>11.977241653338204</v>
      </c>
      <c r="E18">
        <f t="shared" ca="1" si="5"/>
        <v>9.1115376530702079</v>
      </c>
      <c r="F18">
        <f t="shared" ca="1" si="5"/>
        <v>12.371975082972398</v>
      </c>
      <c r="G18">
        <f t="shared" ca="1" si="5"/>
        <v>10.608437868714736</v>
      </c>
      <c r="H18">
        <f t="shared" ca="1" si="5"/>
        <v>12.136618820693581</v>
      </c>
      <c r="I18">
        <f t="shared" ca="1" si="5"/>
        <v>9.2342832561915422</v>
      </c>
      <c r="J18">
        <f t="shared" ca="1" si="5"/>
        <v>11.5530262397992</v>
      </c>
      <c r="K18">
        <f t="shared" ca="1" si="5"/>
        <v>9.2102222302107339</v>
      </c>
      <c r="L18">
        <f t="shared" ca="1" si="5"/>
        <v>11.828756450277565</v>
      </c>
      <c r="M18">
        <f t="shared" ca="1" si="5"/>
        <v>10.059668892543041</v>
      </c>
      <c r="N18">
        <f t="shared" ca="1" si="5"/>
        <v>12.057939858422548</v>
      </c>
      <c r="O18">
        <f t="shared" ca="1" si="5"/>
        <v>9.9103517048712657</v>
      </c>
      <c r="P18">
        <f t="shared" ca="1" si="5"/>
        <v>11.898955652463229</v>
      </c>
      <c r="Q18">
        <f t="shared" ca="1" si="5"/>
        <v>9.6061338394604903</v>
      </c>
      <c r="R18">
        <f t="shared" ca="1" si="5"/>
        <v>11.187083013892519</v>
      </c>
      <c r="S18">
        <f t="shared" ca="1" si="5"/>
        <v>9.9718925634719966</v>
      </c>
      <c r="T18">
        <f t="shared" ca="1" si="5"/>
        <v>12.498576341368667</v>
      </c>
      <c r="U18">
        <f t="shared" ca="1" si="5"/>
        <v>10.492120826636452</v>
      </c>
      <c r="V18">
        <f t="shared" ca="1" si="5"/>
        <v>11.510832135361085</v>
      </c>
      <c r="W18">
        <f t="shared" ca="1" si="5"/>
        <v>9.6967236468560216</v>
      </c>
      <c r="X18">
        <f t="shared" ca="1" si="5"/>
        <v>11.041603829119953</v>
      </c>
      <c r="Y18">
        <f t="shared" ca="1" si="5"/>
        <v>11.092149453132983</v>
      </c>
      <c r="Z18">
        <f t="shared" ca="1" si="5"/>
        <v>12.302133942891782</v>
      </c>
      <c r="AA18">
        <f t="shared" ca="1" si="5"/>
        <v>9.441350128730722</v>
      </c>
      <c r="AB18">
        <f t="shared" ca="1" si="5"/>
        <v>11.845537020105693</v>
      </c>
      <c r="AC18">
        <f t="shared" ca="1" si="5"/>
        <v>10.758740424404404</v>
      </c>
      <c r="AD18">
        <f t="shared" ca="1" si="5"/>
        <v>11.465736338091792</v>
      </c>
      <c r="AE18">
        <f t="shared" ca="1" si="5"/>
        <v>10.130274264474547</v>
      </c>
      <c r="AF18">
        <f t="shared" ca="1" si="5"/>
        <v>11.599517786778865</v>
      </c>
      <c r="AG18">
        <f t="shared" ca="1" si="5"/>
        <v>9.9869619218833119</v>
      </c>
      <c r="AH18">
        <f t="shared" ca="1" si="5"/>
        <v>11.727575524759278</v>
      </c>
    </row>
    <row r="19" spans="1:34">
      <c r="A19" t="str">
        <f>CYF!A19</f>
        <v>Sorghum</v>
      </c>
      <c r="B19" t="str">
        <f>CYF!B19</f>
        <v>Gambela</v>
      </c>
      <c r="C19">
        <f t="shared" ca="1" si="6"/>
        <v>9.4536222545671436</v>
      </c>
      <c r="D19">
        <f t="shared" ca="1" si="5"/>
        <v>11.586461864670405</v>
      </c>
      <c r="E19">
        <f t="shared" ca="1" si="5"/>
        <v>11.239255550986336</v>
      </c>
      <c r="F19">
        <f t="shared" ca="1" si="5"/>
        <v>11.490205764630693</v>
      </c>
      <c r="G19">
        <f t="shared" ca="1" si="5"/>
        <v>9.8698261119379644</v>
      </c>
      <c r="H19">
        <f t="shared" ca="1" si="5"/>
        <v>12.435925155017355</v>
      </c>
      <c r="I19">
        <f t="shared" ca="1" si="5"/>
        <v>9.7906343392772346</v>
      </c>
      <c r="J19">
        <f t="shared" ca="1" si="5"/>
        <v>11.011250741684663</v>
      </c>
      <c r="K19">
        <f t="shared" ca="1" si="5"/>
        <v>11.288771787585045</v>
      </c>
      <c r="L19">
        <f t="shared" ca="1" si="5"/>
        <v>11.558463798120927</v>
      </c>
      <c r="M19">
        <f t="shared" ca="1" si="5"/>
        <v>9.2091125991277067</v>
      </c>
      <c r="N19">
        <f t="shared" ca="1" si="5"/>
        <v>11.161245136712104</v>
      </c>
      <c r="O19">
        <f t="shared" ca="1" si="5"/>
        <v>9.6814200164094135</v>
      </c>
      <c r="P19">
        <f t="shared" ca="1" si="5"/>
        <v>11.31010997714549</v>
      </c>
      <c r="Q19">
        <f t="shared" ca="1" si="5"/>
        <v>11.465380903117266</v>
      </c>
      <c r="R19">
        <f t="shared" ca="1" si="5"/>
        <v>12.416248127995456</v>
      </c>
      <c r="S19">
        <f t="shared" ca="1" si="5"/>
        <v>10.193985350652994</v>
      </c>
      <c r="T19">
        <f t="shared" ca="1" si="5"/>
        <v>11.012388885217224</v>
      </c>
      <c r="U19">
        <f t="shared" ca="1" si="5"/>
        <v>10.528471777678842</v>
      </c>
      <c r="V19">
        <f t="shared" ca="1" si="5"/>
        <v>12.280270610856542</v>
      </c>
      <c r="W19">
        <f t="shared" ca="1" si="5"/>
        <v>9.2615107596944846</v>
      </c>
      <c r="X19">
        <f t="shared" ca="1" si="5"/>
        <v>11.394704613374003</v>
      </c>
      <c r="Y19">
        <f t="shared" ca="1" si="5"/>
        <v>10.69491456280104</v>
      </c>
      <c r="Z19">
        <f t="shared" ca="1" si="5"/>
        <v>12.132146786713101</v>
      </c>
      <c r="AA19">
        <f t="shared" ca="1" si="5"/>
        <v>11.201295916428668</v>
      </c>
      <c r="AB19">
        <f t="shared" ca="1" si="5"/>
        <v>12.464260795078191</v>
      </c>
      <c r="AC19">
        <f t="shared" ca="1" si="5"/>
        <v>11.431303829856182</v>
      </c>
      <c r="AD19">
        <f t="shared" ca="1" si="5"/>
        <v>12.342018120081903</v>
      </c>
      <c r="AE19">
        <f t="shared" ca="1" si="5"/>
        <v>11.412684474886703</v>
      </c>
      <c r="AF19">
        <f t="shared" ca="1" si="5"/>
        <v>11.662015868292519</v>
      </c>
      <c r="AG19">
        <f t="shared" ca="1" si="5"/>
        <v>10.683516069520447</v>
      </c>
      <c r="AH19">
        <f t="shared" ca="1" si="5"/>
        <v>12.086787102108531</v>
      </c>
    </row>
    <row r="20" spans="1:34">
      <c r="A20" t="str">
        <f>CYF!A20</f>
        <v>Sorghum</v>
      </c>
      <c r="B20" t="str">
        <f>CYF!B20</f>
        <v>Harari</v>
      </c>
      <c r="C20">
        <f t="shared" ca="1" si="6"/>
        <v>10.296186102141924</v>
      </c>
      <c r="D20">
        <f t="shared" ca="1" si="5"/>
        <v>11.955505998574361</v>
      </c>
      <c r="E20">
        <f t="shared" ca="1" si="5"/>
        <v>10.475028446446238</v>
      </c>
      <c r="F20">
        <f t="shared" ca="1" si="5"/>
        <v>12.397404084268857</v>
      </c>
      <c r="G20">
        <f t="shared" ca="1" si="5"/>
        <v>9.6133096439856516</v>
      </c>
      <c r="H20">
        <f t="shared" ca="1" si="5"/>
        <v>11.57585306022432</v>
      </c>
      <c r="I20">
        <f t="shared" ca="1" si="5"/>
        <v>11.458152382622343</v>
      </c>
      <c r="J20">
        <f t="shared" ca="1" si="5"/>
        <v>11.496995697298397</v>
      </c>
      <c r="K20">
        <f t="shared" ca="1" si="5"/>
        <v>10.038262406876674</v>
      </c>
      <c r="L20">
        <f t="shared" ca="1" si="5"/>
        <v>12.458391990468911</v>
      </c>
      <c r="M20">
        <f t="shared" ca="1" si="5"/>
        <v>10.520499578034942</v>
      </c>
      <c r="N20">
        <f t="shared" ca="1" si="5"/>
        <v>12.084364190072034</v>
      </c>
      <c r="O20">
        <f t="shared" ca="1" si="5"/>
        <v>9.4953499858737178</v>
      </c>
      <c r="P20">
        <f t="shared" ca="1" si="5"/>
        <v>11.556087440271957</v>
      </c>
      <c r="Q20">
        <f t="shared" ca="1" si="5"/>
        <v>9.6928241188408553</v>
      </c>
      <c r="R20">
        <f t="shared" ca="1" si="5"/>
        <v>11.836276337187341</v>
      </c>
      <c r="S20">
        <f t="shared" ca="1" si="5"/>
        <v>11.311793606970532</v>
      </c>
      <c r="T20">
        <f t="shared" ca="1" si="5"/>
        <v>11.11670942036096</v>
      </c>
      <c r="U20">
        <f t="shared" ca="1" si="5"/>
        <v>11.345167527276043</v>
      </c>
      <c r="V20">
        <f t="shared" ca="1" si="5"/>
        <v>12.312406313753263</v>
      </c>
      <c r="W20">
        <f t="shared" ca="1" si="5"/>
        <v>10.665346389091059</v>
      </c>
      <c r="X20">
        <f t="shared" ca="1" si="5"/>
        <v>11.364274730701474</v>
      </c>
      <c r="Y20">
        <f t="shared" ca="1" si="5"/>
        <v>10.67624673570718</v>
      </c>
      <c r="Z20">
        <f t="shared" ca="1" si="5"/>
        <v>11.340062431535685</v>
      </c>
      <c r="AA20">
        <f t="shared" ca="1" si="5"/>
        <v>9.5552111906265402</v>
      </c>
      <c r="AB20">
        <f t="shared" ca="1" si="5"/>
        <v>12.344348899901185</v>
      </c>
      <c r="AC20">
        <f t="shared" ca="1" si="5"/>
        <v>11.098474962604413</v>
      </c>
      <c r="AD20">
        <f t="shared" ca="1" si="5"/>
        <v>11.941665958085325</v>
      </c>
      <c r="AE20">
        <f t="shared" ca="1" si="5"/>
        <v>10.328259975372708</v>
      </c>
      <c r="AF20">
        <f t="shared" ca="1" si="5"/>
        <v>12.346192453044544</v>
      </c>
      <c r="AG20">
        <f t="shared" ca="1" si="5"/>
        <v>10.555077645227971</v>
      </c>
      <c r="AH20">
        <f t="shared" ca="1" si="5"/>
        <v>11.677386971011137</v>
      </c>
    </row>
    <row r="21" spans="1:34">
      <c r="A21" t="str">
        <f>CYF!A21</f>
        <v>Sorghum</v>
      </c>
      <c r="B21" t="str">
        <f>CYF!B21</f>
        <v>Oromia</v>
      </c>
      <c r="C21">
        <f t="shared" ca="1" si="6"/>
        <v>10.036275376505351</v>
      </c>
      <c r="D21">
        <f t="shared" ca="1" si="5"/>
        <v>11.466492948396542</v>
      </c>
      <c r="E21">
        <f t="shared" ca="1" si="5"/>
        <v>10.573356725025976</v>
      </c>
      <c r="F21">
        <f t="shared" ca="1" si="5"/>
        <v>11.73337222323455</v>
      </c>
      <c r="G21">
        <f t="shared" ca="1" si="5"/>
        <v>10.082470171548072</v>
      </c>
      <c r="H21">
        <f t="shared" ca="1" si="5"/>
        <v>11.818292419350746</v>
      </c>
      <c r="I21">
        <f t="shared" ca="1" si="5"/>
        <v>11.136134444238769</v>
      </c>
      <c r="J21">
        <f t="shared" ca="1" si="5"/>
        <v>11.293320228386669</v>
      </c>
      <c r="K21">
        <f t="shared" ca="1" si="5"/>
        <v>11.21463840867818</v>
      </c>
      <c r="L21">
        <f t="shared" ca="1" si="5"/>
        <v>12.470670165031283</v>
      </c>
      <c r="M21">
        <f t="shared" ca="1" si="5"/>
        <v>10.02924673560763</v>
      </c>
      <c r="N21">
        <f t="shared" ca="1" si="5"/>
        <v>11.361986589926694</v>
      </c>
      <c r="O21">
        <f t="shared" ca="1" si="5"/>
        <v>9.9266432932507875</v>
      </c>
      <c r="P21">
        <f t="shared" ca="1" si="5"/>
        <v>12.098493066070015</v>
      </c>
      <c r="Q21">
        <f t="shared" ca="1" si="5"/>
        <v>11.139767193778709</v>
      </c>
      <c r="R21">
        <f t="shared" ca="1" si="5"/>
        <v>11.250876046103548</v>
      </c>
      <c r="S21">
        <f t="shared" ca="1" si="5"/>
        <v>10.752957104666979</v>
      </c>
      <c r="T21">
        <f t="shared" ca="1" si="5"/>
        <v>11.491822517701074</v>
      </c>
      <c r="U21">
        <f t="shared" ca="1" si="5"/>
        <v>10.28678559130196</v>
      </c>
      <c r="V21">
        <f t="shared" ca="1" si="5"/>
        <v>11.983557656372943</v>
      </c>
      <c r="W21">
        <f t="shared" ca="1" si="5"/>
        <v>9.401951866658699</v>
      </c>
      <c r="X21">
        <f t="shared" ca="1" si="5"/>
        <v>12.216910239625298</v>
      </c>
      <c r="Y21">
        <f t="shared" ca="1" si="5"/>
        <v>9.8944489124079027</v>
      </c>
      <c r="Z21">
        <f t="shared" ca="1" si="5"/>
        <v>11.864551912329619</v>
      </c>
      <c r="AA21">
        <f t="shared" ca="1" si="5"/>
        <v>10.115033212790355</v>
      </c>
      <c r="AB21">
        <f t="shared" ca="1" si="5"/>
        <v>12.120951068974181</v>
      </c>
      <c r="AC21">
        <f t="shared" ca="1" si="5"/>
        <v>11.12838982539877</v>
      </c>
      <c r="AD21">
        <f t="shared" ca="1" si="5"/>
        <v>12.238186920242313</v>
      </c>
      <c r="AE21">
        <f t="shared" ca="1" si="5"/>
        <v>10.656992739191542</v>
      </c>
      <c r="AF21">
        <f t="shared" ca="1" si="5"/>
        <v>11.422266069864396</v>
      </c>
      <c r="AG21">
        <f t="shared" ca="1" si="5"/>
        <v>9.0473531551797919</v>
      </c>
      <c r="AH21">
        <f t="shared" ca="1" si="5"/>
        <v>11.82793511630773</v>
      </c>
    </row>
    <row r="22" spans="1:34">
      <c r="A22" t="str">
        <f>CYF!A22</f>
        <v>Sorghum</v>
      </c>
      <c r="B22" t="str">
        <f>CYF!B22</f>
        <v>Somali</v>
      </c>
      <c r="C22">
        <f t="shared" ca="1" si="6"/>
        <v>9.8868031002241672</v>
      </c>
      <c r="D22">
        <f t="shared" ca="1" si="5"/>
        <v>12.157313180924433</v>
      </c>
      <c r="E22">
        <f t="shared" ca="1" si="5"/>
        <v>10.534131024742564</v>
      </c>
      <c r="F22">
        <f t="shared" ca="1" si="5"/>
        <v>12.491266537132836</v>
      </c>
      <c r="G22">
        <f t="shared" ca="1" si="5"/>
        <v>10.269641744110265</v>
      </c>
      <c r="H22">
        <f t="shared" ca="1" si="5"/>
        <v>11.251175170081202</v>
      </c>
      <c r="I22">
        <f t="shared" ca="1" si="5"/>
        <v>9.3449789879694354</v>
      </c>
      <c r="J22">
        <f t="shared" ca="1" si="5"/>
        <v>12.111627885534055</v>
      </c>
      <c r="K22">
        <f t="shared" ref="K22:Z53" ca="1" si="7">IF(1-MOD(COLUMN(),2),25-RAND()*3,(18+RAND()*5))/2</f>
        <v>10.295079735247995</v>
      </c>
      <c r="L22">
        <f t="shared" ca="1" si="7"/>
        <v>11.290100756246074</v>
      </c>
      <c r="M22">
        <f t="shared" ca="1" si="7"/>
        <v>9.0664809273781657</v>
      </c>
      <c r="N22">
        <f t="shared" ca="1" si="7"/>
        <v>12.173633771670728</v>
      </c>
      <c r="O22">
        <f t="shared" ca="1" si="7"/>
        <v>11.26714424440857</v>
      </c>
      <c r="P22">
        <f t="shared" ca="1" si="7"/>
        <v>11.341452855595364</v>
      </c>
      <c r="Q22">
        <f t="shared" ca="1" si="7"/>
        <v>11.21253053232261</v>
      </c>
      <c r="R22">
        <f t="shared" ca="1" si="7"/>
        <v>12.19998809698321</v>
      </c>
      <c r="S22">
        <f t="shared" ca="1" si="7"/>
        <v>11.200407906615114</v>
      </c>
      <c r="T22">
        <f t="shared" ca="1" si="7"/>
        <v>11.024247751049856</v>
      </c>
      <c r="U22">
        <f t="shared" ca="1" si="7"/>
        <v>9.2433522121772658</v>
      </c>
      <c r="V22">
        <f t="shared" ca="1" si="7"/>
        <v>11.910823158853685</v>
      </c>
      <c r="W22">
        <f t="shared" ca="1" si="7"/>
        <v>10.476212467954003</v>
      </c>
      <c r="X22">
        <f t="shared" ca="1" si="7"/>
        <v>11.193363314920662</v>
      </c>
      <c r="Y22">
        <f t="shared" ca="1" si="7"/>
        <v>9.0317026179204056</v>
      </c>
      <c r="Z22">
        <f t="shared" ca="1" si="7"/>
        <v>12.230684025186616</v>
      </c>
      <c r="AA22">
        <f t="shared" ref="AA22:AH53" ca="1" si="8">IF(1-MOD(COLUMN(),2),25-RAND()*3,(18+RAND()*5))/2</f>
        <v>9.7170497574942729</v>
      </c>
      <c r="AB22">
        <f t="shared" ca="1" si="8"/>
        <v>12.385534125210016</v>
      </c>
      <c r="AC22">
        <f t="shared" ca="1" si="8"/>
        <v>10.600045992009711</v>
      </c>
      <c r="AD22">
        <f t="shared" ca="1" si="8"/>
        <v>11.595743541229862</v>
      </c>
      <c r="AE22">
        <f t="shared" ca="1" si="8"/>
        <v>10.635391198714998</v>
      </c>
      <c r="AF22">
        <f t="shared" ca="1" si="8"/>
        <v>12.169007956374571</v>
      </c>
      <c r="AG22">
        <f t="shared" ca="1" si="8"/>
        <v>10.379714618384842</v>
      </c>
      <c r="AH22">
        <f t="shared" ca="1" si="8"/>
        <v>11.570385139553597</v>
      </c>
    </row>
    <row r="23" spans="1:34">
      <c r="A23" t="str">
        <f>CYF!A23</f>
        <v>Sorghum</v>
      </c>
      <c r="B23" t="str">
        <f>CYF!B23</f>
        <v>SNNPR</v>
      </c>
      <c r="C23">
        <f t="shared" ca="1" si="6"/>
        <v>9.5699773206257657</v>
      </c>
      <c r="D23">
        <f t="shared" ca="1" si="6"/>
        <v>11.628357709872459</v>
      </c>
      <c r="E23">
        <f t="shared" ca="1" si="6"/>
        <v>11.452458224934363</v>
      </c>
      <c r="F23">
        <f t="shared" ca="1" si="6"/>
        <v>11.333051727804026</v>
      </c>
      <c r="G23">
        <f t="shared" ca="1" si="6"/>
        <v>11.396303437407894</v>
      </c>
      <c r="H23">
        <f t="shared" ca="1" si="6"/>
        <v>12.472022281827465</v>
      </c>
      <c r="I23">
        <f t="shared" ca="1" si="6"/>
        <v>9.1600366214824511</v>
      </c>
      <c r="J23">
        <f t="shared" ca="1" si="6"/>
        <v>11.076966387132309</v>
      </c>
      <c r="K23">
        <f t="shared" ca="1" si="6"/>
        <v>10.536544871859466</v>
      </c>
      <c r="L23">
        <f t="shared" ca="1" si="6"/>
        <v>11.164220099690917</v>
      </c>
      <c r="M23">
        <f t="shared" ca="1" si="6"/>
        <v>9.3815010356937361</v>
      </c>
      <c r="N23">
        <f t="shared" ca="1" si="6"/>
        <v>12.22761931420882</v>
      </c>
      <c r="O23">
        <f t="shared" ca="1" si="6"/>
        <v>9.9416206733001111</v>
      </c>
      <c r="P23">
        <f t="shared" ca="1" si="6"/>
        <v>11.603612949085909</v>
      </c>
      <c r="Q23">
        <f t="shared" ca="1" si="6"/>
        <v>10.659925428974478</v>
      </c>
      <c r="R23">
        <f t="shared" ca="1" si="6"/>
        <v>11.479506992857997</v>
      </c>
      <c r="S23">
        <f t="shared" ca="1" si="7"/>
        <v>9.0453088477663304</v>
      </c>
      <c r="T23">
        <f t="shared" ca="1" si="7"/>
        <v>11.866098492010318</v>
      </c>
      <c r="U23">
        <f t="shared" ca="1" si="7"/>
        <v>10.928060340174525</v>
      </c>
      <c r="V23">
        <f t="shared" ca="1" si="7"/>
        <v>12.355947835900233</v>
      </c>
      <c r="W23">
        <f t="shared" ca="1" si="7"/>
        <v>10.414079873762683</v>
      </c>
      <c r="X23">
        <f t="shared" ca="1" si="7"/>
        <v>11.343846855220779</v>
      </c>
      <c r="Y23">
        <f t="shared" ca="1" si="7"/>
        <v>11.490719055532908</v>
      </c>
      <c r="Z23">
        <f t="shared" ca="1" si="7"/>
        <v>11.302139282201955</v>
      </c>
      <c r="AA23">
        <f t="shared" ca="1" si="8"/>
        <v>9.5215123522433807</v>
      </c>
      <c r="AB23">
        <f t="shared" ca="1" si="8"/>
        <v>11.727390410924544</v>
      </c>
      <c r="AC23">
        <f t="shared" ca="1" si="8"/>
        <v>9.5847868644777119</v>
      </c>
      <c r="AD23">
        <f t="shared" ca="1" si="8"/>
        <v>11.971665784995599</v>
      </c>
      <c r="AE23">
        <f t="shared" ca="1" si="8"/>
        <v>9.0945959162588395</v>
      </c>
      <c r="AF23">
        <f t="shared" ca="1" si="8"/>
        <v>11.642503497706333</v>
      </c>
      <c r="AG23">
        <f t="shared" ca="1" si="8"/>
        <v>9.6134102969497235</v>
      </c>
      <c r="AH23">
        <f t="shared" ca="1" si="8"/>
        <v>11.070295696477521</v>
      </c>
    </row>
    <row r="24" spans="1:34">
      <c r="A24" t="str">
        <f>CYF!A24</f>
        <v>Sorghum</v>
      </c>
      <c r="B24" t="str">
        <f>CYF!B24</f>
        <v>Tigray</v>
      </c>
      <c r="C24">
        <f t="shared" ca="1" si="6"/>
        <v>9.6994397033180846</v>
      </c>
      <c r="D24">
        <f t="shared" ca="1" si="6"/>
        <v>12.121205249632926</v>
      </c>
      <c r="E24">
        <f t="shared" ca="1" si="6"/>
        <v>9.706744797502612</v>
      </c>
      <c r="F24">
        <f t="shared" ca="1" si="6"/>
        <v>12.06073830726725</v>
      </c>
      <c r="G24">
        <f t="shared" ca="1" si="6"/>
        <v>9.712647454175741</v>
      </c>
      <c r="H24">
        <f t="shared" ca="1" si="6"/>
        <v>11.798746178820634</v>
      </c>
      <c r="I24">
        <f t="shared" ca="1" si="6"/>
        <v>11.352997965316533</v>
      </c>
      <c r="J24">
        <f t="shared" ca="1" si="6"/>
        <v>11.130885866419835</v>
      </c>
      <c r="K24">
        <f t="shared" ca="1" si="6"/>
        <v>10.013961092734375</v>
      </c>
      <c r="L24">
        <f t="shared" ca="1" si="6"/>
        <v>11.28030686883125</v>
      </c>
      <c r="M24">
        <f t="shared" ca="1" si="6"/>
        <v>9.8352745983097982</v>
      </c>
      <c r="N24">
        <f t="shared" ca="1" si="6"/>
        <v>12.097837437523234</v>
      </c>
      <c r="O24">
        <f t="shared" ca="1" si="6"/>
        <v>10.494979161899195</v>
      </c>
      <c r="P24">
        <f t="shared" ca="1" si="6"/>
        <v>11.567073344496006</v>
      </c>
      <c r="Q24">
        <f t="shared" ca="1" si="6"/>
        <v>9.0222433762813505</v>
      </c>
      <c r="R24">
        <f t="shared" ca="1" si="6"/>
        <v>11.513190530919106</v>
      </c>
      <c r="S24">
        <f t="shared" ca="1" si="7"/>
        <v>10.950495609316082</v>
      </c>
      <c r="T24">
        <f t="shared" ca="1" si="7"/>
        <v>11.62623753761366</v>
      </c>
      <c r="U24">
        <f t="shared" ca="1" si="7"/>
        <v>9.7626763710547895</v>
      </c>
      <c r="V24">
        <f t="shared" ca="1" si="7"/>
        <v>11.297062590481049</v>
      </c>
      <c r="W24">
        <f t="shared" ca="1" si="7"/>
        <v>10.468583223600282</v>
      </c>
      <c r="X24">
        <f t="shared" ca="1" si="7"/>
        <v>11.114511881396881</v>
      </c>
      <c r="Y24">
        <f t="shared" ca="1" si="7"/>
        <v>10.773491992719148</v>
      </c>
      <c r="Z24">
        <f t="shared" ca="1" si="7"/>
        <v>12.424327458220199</v>
      </c>
      <c r="AA24">
        <f t="shared" ca="1" si="8"/>
        <v>10.39909700585287</v>
      </c>
      <c r="AB24">
        <f t="shared" ca="1" si="8"/>
        <v>11.7196743584448</v>
      </c>
      <c r="AC24">
        <f t="shared" ca="1" si="8"/>
        <v>9.290158390598183</v>
      </c>
      <c r="AD24">
        <f t="shared" ca="1" si="8"/>
        <v>11.313034250947663</v>
      </c>
      <c r="AE24">
        <f t="shared" ca="1" si="8"/>
        <v>10.460050452280372</v>
      </c>
      <c r="AF24">
        <f t="shared" ca="1" si="8"/>
        <v>11.034424206104458</v>
      </c>
      <c r="AG24">
        <f t="shared" ca="1" si="8"/>
        <v>11.368827808811899</v>
      </c>
      <c r="AH24">
        <f t="shared" ca="1" si="8"/>
        <v>11.004180922108214</v>
      </c>
    </row>
    <row r="25" spans="1:34">
      <c r="A25" t="str">
        <f>CYF!A25</f>
        <v>Maize</v>
      </c>
      <c r="B25" t="str">
        <f>CYF!B25</f>
        <v>AddisAbaba</v>
      </c>
      <c r="C25">
        <f t="shared" ca="1" si="6"/>
        <v>9.3295370414414762</v>
      </c>
      <c r="D25">
        <f t="shared" ca="1" si="6"/>
        <v>12.262961294830607</v>
      </c>
      <c r="E25">
        <f t="shared" ca="1" si="6"/>
        <v>9.14845551828836</v>
      </c>
      <c r="F25">
        <f t="shared" ca="1" si="6"/>
        <v>12.38519063494531</v>
      </c>
      <c r="G25">
        <f t="shared" ca="1" si="6"/>
        <v>9.4954818009681468</v>
      </c>
      <c r="H25">
        <f t="shared" ca="1" si="6"/>
        <v>12.402913861037698</v>
      </c>
      <c r="I25">
        <f t="shared" ca="1" si="6"/>
        <v>11.07918853155711</v>
      </c>
      <c r="J25">
        <f t="shared" ca="1" si="6"/>
        <v>11.662095648955919</v>
      </c>
      <c r="K25">
        <f t="shared" ca="1" si="6"/>
        <v>10.908049033503142</v>
      </c>
      <c r="L25">
        <f t="shared" ca="1" si="6"/>
        <v>11.631438718325212</v>
      </c>
      <c r="M25">
        <f t="shared" ca="1" si="6"/>
        <v>9.8521425290792148</v>
      </c>
      <c r="N25">
        <f t="shared" ca="1" si="6"/>
        <v>12.14780518963846</v>
      </c>
      <c r="O25">
        <f t="shared" ca="1" si="6"/>
        <v>9.9043188371197388</v>
      </c>
      <c r="P25">
        <f t="shared" ca="1" si="6"/>
        <v>11.366937136872522</v>
      </c>
      <c r="Q25">
        <f t="shared" ca="1" si="6"/>
        <v>10.528989285722449</v>
      </c>
      <c r="R25">
        <f t="shared" ca="1" si="6"/>
        <v>12.260487398177489</v>
      </c>
      <c r="S25">
        <f t="shared" ca="1" si="7"/>
        <v>9.1847202821628073</v>
      </c>
      <c r="T25">
        <f t="shared" ca="1" si="7"/>
        <v>11.777804850235947</v>
      </c>
      <c r="U25">
        <f t="shared" ca="1" si="7"/>
        <v>10.978789087124696</v>
      </c>
      <c r="V25">
        <f t="shared" ca="1" si="7"/>
        <v>11.051255004569754</v>
      </c>
      <c r="W25">
        <f t="shared" ca="1" si="7"/>
        <v>10.078847744330368</v>
      </c>
      <c r="X25">
        <f t="shared" ca="1" si="7"/>
        <v>11.941180294198203</v>
      </c>
      <c r="Y25">
        <f t="shared" ca="1" si="7"/>
        <v>11.243615436247175</v>
      </c>
      <c r="Z25">
        <f t="shared" ca="1" si="7"/>
        <v>12.300456529262267</v>
      </c>
      <c r="AA25">
        <f t="shared" ca="1" si="8"/>
        <v>11.005000266100041</v>
      </c>
      <c r="AB25">
        <f t="shared" ca="1" si="8"/>
        <v>11.705437933663749</v>
      </c>
      <c r="AC25">
        <f t="shared" ca="1" si="8"/>
        <v>10.597451433846832</v>
      </c>
      <c r="AD25">
        <f t="shared" ca="1" si="8"/>
        <v>12.435733439835293</v>
      </c>
      <c r="AE25">
        <f t="shared" ca="1" si="8"/>
        <v>11.456776541564993</v>
      </c>
      <c r="AF25">
        <f t="shared" ca="1" si="8"/>
        <v>12.323182990570421</v>
      </c>
      <c r="AG25">
        <f t="shared" ca="1" si="8"/>
        <v>9.0477745277660446</v>
      </c>
      <c r="AH25">
        <f t="shared" ca="1" si="8"/>
        <v>12.086825248654792</v>
      </c>
    </row>
    <row r="26" spans="1:34">
      <c r="A26" t="str">
        <f>CYF!A26</f>
        <v>Maize</v>
      </c>
      <c r="B26" t="str">
        <f>CYF!B26</f>
        <v>Afar</v>
      </c>
      <c r="C26">
        <f t="shared" ca="1" si="6"/>
        <v>10.853254380459672</v>
      </c>
      <c r="D26">
        <f t="shared" ca="1" si="6"/>
        <v>11.123585801960335</v>
      </c>
      <c r="E26">
        <f t="shared" ca="1" si="6"/>
        <v>10.281298599318335</v>
      </c>
      <c r="F26">
        <f t="shared" ca="1" si="6"/>
        <v>12.385913274595588</v>
      </c>
      <c r="G26">
        <f t="shared" ca="1" si="6"/>
        <v>11.027050352230507</v>
      </c>
      <c r="H26">
        <f t="shared" ca="1" si="6"/>
        <v>11.888441030750313</v>
      </c>
      <c r="I26">
        <f t="shared" ca="1" si="6"/>
        <v>11.361305209645243</v>
      </c>
      <c r="J26">
        <f t="shared" ca="1" si="6"/>
        <v>11.264897946938353</v>
      </c>
      <c r="K26">
        <f t="shared" ca="1" si="6"/>
        <v>11.041747001379361</v>
      </c>
      <c r="L26">
        <f t="shared" ca="1" si="6"/>
        <v>11.386929022338212</v>
      </c>
      <c r="M26">
        <f t="shared" ca="1" si="6"/>
        <v>9.0807978857405551</v>
      </c>
      <c r="N26">
        <f t="shared" ca="1" si="6"/>
        <v>12.331134682810136</v>
      </c>
      <c r="O26">
        <f t="shared" ca="1" si="6"/>
        <v>10.277122296065285</v>
      </c>
      <c r="P26">
        <f t="shared" ca="1" si="6"/>
        <v>12.399182854761486</v>
      </c>
      <c r="Q26">
        <f t="shared" ca="1" si="6"/>
        <v>9.5778842300195386</v>
      </c>
      <c r="R26">
        <f t="shared" ca="1" si="6"/>
        <v>11.383591828377011</v>
      </c>
      <c r="S26">
        <f t="shared" ca="1" si="7"/>
        <v>9.0232740609151616</v>
      </c>
      <c r="T26">
        <f t="shared" ca="1" si="7"/>
        <v>11.538224566491818</v>
      </c>
      <c r="U26">
        <f t="shared" ca="1" si="7"/>
        <v>11.2112241166183</v>
      </c>
      <c r="V26">
        <f t="shared" ca="1" si="7"/>
        <v>11.446952116971682</v>
      </c>
      <c r="W26">
        <f t="shared" ca="1" si="7"/>
        <v>10.511482099691472</v>
      </c>
      <c r="X26">
        <f t="shared" ca="1" si="7"/>
        <v>12.366505119730965</v>
      </c>
      <c r="Y26">
        <f t="shared" ca="1" si="7"/>
        <v>9.3786342342242772</v>
      </c>
      <c r="Z26">
        <f t="shared" ca="1" si="7"/>
        <v>11.263215266012109</v>
      </c>
      <c r="AA26">
        <f t="shared" ca="1" si="8"/>
        <v>11.316028954361443</v>
      </c>
      <c r="AB26">
        <f t="shared" ca="1" si="8"/>
        <v>11.712557070858125</v>
      </c>
      <c r="AC26">
        <f t="shared" ca="1" si="8"/>
        <v>9.9175474662215137</v>
      </c>
      <c r="AD26">
        <f t="shared" ca="1" si="8"/>
        <v>11.762801640512661</v>
      </c>
      <c r="AE26">
        <f t="shared" ca="1" si="8"/>
        <v>11.24534771810389</v>
      </c>
      <c r="AF26">
        <f t="shared" ca="1" si="8"/>
        <v>11.265135642553021</v>
      </c>
      <c r="AG26">
        <f t="shared" ca="1" si="8"/>
        <v>11.072545380389887</v>
      </c>
      <c r="AH26">
        <f t="shared" ca="1" si="8"/>
        <v>11.365557925834958</v>
      </c>
    </row>
    <row r="27" spans="1:34">
      <c r="A27" t="str">
        <f>CYF!A27</f>
        <v>Maize</v>
      </c>
      <c r="B27" t="str">
        <f>CYF!B27</f>
        <v>Amhara</v>
      </c>
      <c r="C27">
        <f t="shared" ca="1" si="6"/>
        <v>9.6457103938257305</v>
      </c>
      <c r="D27">
        <f t="shared" ca="1" si="6"/>
        <v>12.259459539782307</v>
      </c>
      <c r="E27">
        <f t="shared" ca="1" si="6"/>
        <v>9.2506277905511567</v>
      </c>
      <c r="F27">
        <f t="shared" ca="1" si="6"/>
        <v>11.07162958312697</v>
      </c>
      <c r="G27">
        <f t="shared" ca="1" si="6"/>
        <v>10.969525837990981</v>
      </c>
      <c r="H27">
        <f t="shared" ca="1" si="6"/>
        <v>11.817952076649695</v>
      </c>
      <c r="I27">
        <f t="shared" ca="1" si="6"/>
        <v>9.68581267275278</v>
      </c>
      <c r="J27">
        <f t="shared" ca="1" si="6"/>
        <v>11.01311053621464</v>
      </c>
      <c r="K27">
        <f t="shared" ca="1" si="6"/>
        <v>10.470372938004221</v>
      </c>
      <c r="L27">
        <f t="shared" ca="1" si="6"/>
        <v>11.726617738421211</v>
      </c>
      <c r="M27">
        <f t="shared" ca="1" si="6"/>
        <v>10.52314924457683</v>
      </c>
      <c r="N27">
        <f t="shared" ca="1" si="6"/>
        <v>12.31477790254511</v>
      </c>
      <c r="O27">
        <f t="shared" ca="1" si="6"/>
        <v>10.084399962063038</v>
      </c>
      <c r="P27">
        <f t="shared" ca="1" si="6"/>
        <v>11.817429364061461</v>
      </c>
      <c r="Q27">
        <f t="shared" ca="1" si="6"/>
        <v>11.391584228400692</v>
      </c>
      <c r="R27">
        <f t="shared" ca="1" si="6"/>
        <v>11.392273821556136</v>
      </c>
      <c r="S27">
        <f t="shared" ca="1" si="7"/>
        <v>11.193882710974396</v>
      </c>
      <c r="T27">
        <f t="shared" ca="1" si="7"/>
        <v>12.31717977856019</v>
      </c>
      <c r="U27">
        <f t="shared" ca="1" si="7"/>
        <v>10.798214681905161</v>
      </c>
      <c r="V27">
        <f t="shared" ca="1" si="7"/>
        <v>11.595378028753503</v>
      </c>
      <c r="W27">
        <f t="shared" ca="1" si="7"/>
        <v>10.272274954942855</v>
      </c>
      <c r="X27">
        <f t="shared" ca="1" si="7"/>
        <v>11.107607348445841</v>
      </c>
      <c r="Y27">
        <f t="shared" ca="1" si="7"/>
        <v>9.16354595785252</v>
      </c>
      <c r="Z27">
        <f t="shared" ca="1" si="7"/>
        <v>12.224371591292543</v>
      </c>
      <c r="AA27">
        <f t="shared" ca="1" si="8"/>
        <v>10.765782222529735</v>
      </c>
      <c r="AB27">
        <f t="shared" ca="1" si="8"/>
        <v>11.1635096061827</v>
      </c>
      <c r="AC27">
        <f t="shared" ca="1" si="8"/>
        <v>11.138241561822756</v>
      </c>
      <c r="AD27">
        <f t="shared" ca="1" si="8"/>
        <v>12.194497091152392</v>
      </c>
      <c r="AE27">
        <f t="shared" ca="1" si="8"/>
        <v>10.629400790381162</v>
      </c>
      <c r="AF27">
        <f t="shared" ca="1" si="8"/>
        <v>11.190998511644915</v>
      </c>
      <c r="AG27">
        <f t="shared" ca="1" si="8"/>
        <v>10.023283298207902</v>
      </c>
      <c r="AH27">
        <f t="shared" ca="1" si="8"/>
        <v>11.323154686463837</v>
      </c>
    </row>
    <row r="28" spans="1:34">
      <c r="A28" t="str">
        <f>CYF!A28</f>
        <v>Maize</v>
      </c>
      <c r="B28" t="str">
        <f>CYF!B28</f>
        <v>Gumuz</v>
      </c>
      <c r="C28">
        <f t="shared" ca="1" si="6"/>
        <v>9.3121158082507769</v>
      </c>
      <c r="D28">
        <f t="shared" ca="1" si="6"/>
        <v>11.972571347910872</v>
      </c>
      <c r="E28">
        <f t="shared" ca="1" si="6"/>
        <v>9.7249972852062516</v>
      </c>
      <c r="F28">
        <f t="shared" ca="1" si="6"/>
        <v>12.066582385444272</v>
      </c>
      <c r="G28">
        <f t="shared" ca="1" si="6"/>
        <v>9.4719813276513953</v>
      </c>
      <c r="H28">
        <f t="shared" ca="1" si="6"/>
        <v>12.253006735561209</v>
      </c>
      <c r="I28">
        <f t="shared" ca="1" si="6"/>
        <v>11.449987543436803</v>
      </c>
      <c r="J28">
        <f t="shared" ca="1" si="6"/>
        <v>12.078423035546638</v>
      </c>
      <c r="K28">
        <f t="shared" ca="1" si="6"/>
        <v>10.315359796849751</v>
      </c>
      <c r="L28">
        <f t="shared" ca="1" si="6"/>
        <v>11.370753886401877</v>
      </c>
      <c r="M28">
        <f t="shared" ca="1" si="6"/>
        <v>10.237598313189785</v>
      </c>
      <c r="N28">
        <f t="shared" ca="1" si="6"/>
        <v>11.803116475445929</v>
      </c>
      <c r="O28">
        <f t="shared" ca="1" si="6"/>
        <v>11.386540255147375</v>
      </c>
      <c r="P28">
        <f t="shared" ca="1" si="6"/>
        <v>11.796645673791296</v>
      </c>
      <c r="Q28">
        <f t="shared" ca="1" si="6"/>
        <v>11.13660648460043</v>
      </c>
      <c r="R28">
        <f t="shared" ca="1" si="6"/>
        <v>12.311480154087795</v>
      </c>
      <c r="S28">
        <f t="shared" ca="1" si="7"/>
        <v>10.164534534102648</v>
      </c>
      <c r="T28">
        <f t="shared" ca="1" si="7"/>
        <v>11.455472454110556</v>
      </c>
      <c r="U28">
        <f t="shared" ca="1" si="7"/>
        <v>9.8838465662141743</v>
      </c>
      <c r="V28">
        <f t="shared" ca="1" si="7"/>
        <v>12.233855640064673</v>
      </c>
      <c r="W28">
        <f t="shared" ca="1" si="7"/>
        <v>10.698329866057117</v>
      </c>
      <c r="X28">
        <f t="shared" ca="1" si="7"/>
        <v>11.975316714696584</v>
      </c>
      <c r="Y28">
        <f t="shared" ca="1" si="7"/>
        <v>11.306840069426046</v>
      </c>
      <c r="Z28">
        <f t="shared" ca="1" si="7"/>
        <v>11.835265670274051</v>
      </c>
      <c r="AA28">
        <f t="shared" ca="1" si="8"/>
        <v>9.566320366878772</v>
      </c>
      <c r="AB28">
        <f t="shared" ca="1" si="8"/>
        <v>11.709726010278871</v>
      </c>
      <c r="AC28">
        <f t="shared" ca="1" si="8"/>
        <v>11.215656341099017</v>
      </c>
      <c r="AD28">
        <f t="shared" ca="1" si="8"/>
        <v>11.402462796200703</v>
      </c>
      <c r="AE28">
        <f t="shared" ca="1" si="8"/>
        <v>10.982165257684485</v>
      </c>
      <c r="AF28">
        <f t="shared" ca="1" si="8"/>
        <v>11.064354121863033</v>
      </c>
      <c r="AG28">
        <f t="shared" ca="1" si="8"/>
        <v>11.233744203904136</v>
      </c>
      <c r="AH28">
        <f t="shared" ca="1" si="8"/>
        <v>11.450780677304126</v>
      </c>
    </row>
    <row r="29" spans="1:34">
      <c r="A29" t="str">
        <f>CYF!A29</f>
        <v>Maize</v>
      </c>
      <c r="B29" t="str">
        <f>CYF!B29</f>
        <v>DireDawa</v>
      </c>
      <c r="C29">
        <f t="shared" ca="1" si="6"/>
        <v>9.5156379759223029</v>
      </c>
      <c r="D29">
        <f t="shared" ca="1" si="6"/>
        <v>12.269600922283701</v>
      </c>
      <c r="E29">
        <f t="shared" ca="1" si="6"/>
        <v>10.818017253410156</v>
      </c>
      <c r="F29">
        <f t="shared" ca="1" si="6"/>
        <v>12.382202163253867</v>
      </c>
      <c r="G29">
        <f t="shared" ca="1" si="6"/>
        <v>9.3106311315166064</v>
      </c>
      <c r="H29">
        <f t="shared" ca="1" si="6"/>
        <v>12.239964671919315</v>
      </c>
      <c r="I29">
        <f t="shared" ca="1" si="6"/>
        <v>9.7113773673674935</v>
      </c>
      <c r="J29">
        <f t="shared" ca="1" si="6"/>
        <v>11.507491054127639</v>
      </c>
      <c r="K29">
        <f t="shared" ca="1" si="6"/>
        <v>9.6028360262492072</v>
      </c>
      <c r="L29">
        <f t="shared" ca="1" si="6"/>
        <v>12.360621023445793</v>
      </c>
      <c r="M29">
        <f t="shared" ca="1" si="6"/>
        <v>11.183494687299051</v>
      </c>
      <c r="N29">
        <f t="shared" ca="1" si="6"/>
        <v>11.641944705709045</v>
      </c>
      <c r="O29">
        <f t="shared" ca="1" si="6"/>
        <v>11.240873587252576</v>
      </c>
      <c r="P29">
        <f t="shared" ca="1" si="6"/>
        <v>11.886484187297203</v>
      </c>
      <c r="Q29">
        <f t="shared" ca="1" si="6"/>
        <v>10.966677600029573</v>
      </c>
      <c r="R29">
        <f t="shared" ca="1" si="6"/>
        <v>12.408117415015939</v>
      </c>
      <c r="S29">
        <f t="shared" ca="1" si="7"/>
        <v>9.6678976976877316</v>
      </c>
      <c r="T29">
        <f t="shared" ca="1" si="7"/>
        <v>11.73361935865406</v>
      </c>
      <c r="U29">
        <f t="shared" ca="1" si="7"/>
        <v>9.6092444657058316</v>
      </c>
      <c r="V29">
        <f t="shared" ca="1" si="7"/>
        <v>11.752471248219811</v>
      </c>
      <c r="W29">
        <f t="shared" ca="1" si="7"/>
        <v>10.737188942828057</v>
      </c>
      <c r="X29">
        <f t="shared" ca="1" si="7"/>
        <v>12.013919119208754</v>
      </c>
      <c r="Y29">
        <f t="shared" ca="1" si="7"/>
        <v>11.114179471320529</v>
      </c>
      <c r="Z29">
        <f t="shared" ca="1" si="7"/>
        <v>11.09223810401331</v>
      </c>
      <c r="AA29">
        <f t="shared" ca="1" si="8"/>
        <v>9.6455168384209884</v>
      </c>
      <c r="AB29">
        <f t="shared" ca="1" si="8"/>
        <v>11.221834633721238</v>
      </c>
      <c r="AC29">
        <f t="shared" ca="1" si="8"/>
        <v>10.492676701364687</v>
      </c>
      <c r="AD29">
        <f t="shared" ca="1" si="8"/>
        <v>11.659019806952024</v>
      </c>
      <c r="AE29">
        <f t="shared" ca="1" si="8"/>
        <v>10.933877071921184</v>
      </c>
      <c r="AF29">
        <f t="shared" ca="1" si="8"/>
        <v>11.762924128603725</v>
      </c>
      <c r="AG29">
        <f t="shared" ca="1" si="8"/>
        <v>9.6944298005004672</v>
      </c>
      <c r="AH29">
        <f t="shared" ca="1" si="8"/>
        <v>11.581313445185854</v>
      </c>
    </row>
    <row r="30" spans="1:34">
      <c r="A30" t="str">
        <f>CYF!A30</f>
        <v>Maize</v>
      </c>
      <c r="B30" t="str">
        <f>CYF!B30</f>
        <v>Gambela</v>
      </c>
      <c r="C30">
        <f t="shared" ca="1" si="6"/>
        <v>9.4880603907174095</v>
      </c>
      <c r="D30">
        <f t="shared" ca="1" si="6"/>
        <v>12.070247438895123</v>
      </c>
      <c r="E30">
        <f t="shared" ca="1" si="6"/>
        <v>9.6426385820259437</v>
      </c>
      <c r="F30">
        <f t="shared" ca="1" si="6"/>
        <v>12.023935468957699</v>
      </c>
      <c r="G30">
        <f t="shared" ca="1" si="6"/>
        <v>10.893318199344849</v>
      </c>
      <c r="H30">
        <f t="shared" ca="1" si="6"/>
        <v>11.657058007016174</v>
      </c>
      <c r="I30">
        <f t="shared" ca="1" si="6"/>
        <v>11.269899333156843</v>
      </c>
      <c r="J30">
        <f t="shared" ca="1" si="6"/>
        <v>12.202412435086854</v>
      </c>
      <c r="K30">
        <f t="shared" ca="1" si="6"/>
        <v>10.021880684870943</v>
      </c>
      <c r="L30">
        <f t="shared" ca="1" si="6"/>
        <v>11.22082612913775</v>
      </c>
      <c r="M30">
        <f t="shared" ca="1" si="6"/>
        <v>9.5609364645976918</v>
      </c>
      <c r="N30">
        <f t="shared" ca="1" si="6"/>
        <v>11.596938561317206</v>
      </c>
      <c r="O30">
        <f t="shared" ca="1" si="6"/>
        <v>9.1794668599117326</v>
      </c>
      <c r="P30">
        <f t="shared" ca="1" si="6"/>
        <v>11.879071319147611</v>
      </c>
      <c r="Q30">
        <f t="shared" ca="1" si="6"/>
        <v>9.0701914528522067</v>
      </c>
      <c r="R30">
        <f t="shared" ca="1" si="6"/>
        <v>11.715916608392529</v>
      </c>
      <c r="S30">
        <f t="shared" ca="1" si="7"/>
        <v>9.9751585051894445</v>
      </c>
      <c r="T30">
        <f t="shared" ca="1" si="7"/>
        <v>11.558053004733695</v>
      </c>
      <c r="U30">
        <f t="shared" ca="1" si="7"/>
        <v>9.1151593273651166</v>
      </c>
      <c r="V30">
        <f t="shared" ca="1" si="7"/>
        <v>11.068734314099862</v>
      </c>
      <c r="W30">
        <f t="shared" ca="1" si="7"/>
        <v>10.080699463290848</v>
      </c>
      <c r="X30">
        <f t="shared" ca="1" si="7"/>
        <v>11.000545827557769</v>
      </c>
      <c r="Y30">
        <f t="shared" ca="1" si="7"/>
        <v>10.392489349115328</v>
      </c>
      <c r="Z30">
        <f t="shared" ca="1" si="7"/>
        <v>11.653190604877819</v>
      </c>
      <c r="AA30">
        <f t="shared" ca="1" si="8"/>
        <v>11.391312640138121</v>
      </c>
      <c r="AB30">
        <f t="shared" ca="1" si="8"/>
        <v>11.215800267584457</v>
      </c>
      <c r="AC30">
        <f t="shared" ca="1" si="8"/>
        <v>9.5924485826848986</v>
      </c>
      <c r="AD30">
        <f t="shared" ca="1" si="8"/>
        <v>11.73366385326624</v>
      </c>
      <c r="AE30">
        <f t="shared" ca="1" si="8"/>
        <v>9.8486846436823807</v>
      </c>
      <c r="AF30">
        <f t="shared" ca="1" si="8"/>
        <v>12.404020457120724</v>
      </c>
      <c r="AG30">
        <f t="shared" ca="1" si="8"/>
        <v>11.420839494437621</v>
      </c>
      <c r="AH30">
        <f t="shared" ca="1" si="8"/>
        <v>12.417767189303062</v>
      </c>
    </row>
    <row r="31" spans="1:34">
      <c r="A31" t="str">
        <f>CYF!A31</f>
        <v>Maize</v>
      </c>
      <c r="B31" t="str">
        <f>CYF!B31</f>
        <v>Harari</v>
      </c>
      <c r="C31">
        <f t="shared" ca="1" si="6"/>
        <v>9.0761471149714819</v>
      </c>
      <c r="D31">
        <f t="shared" ca="1" si="6"/>
        <v>11.326602858885934</v>
      </c>
      <c r="E31">
        <f t="shared" ca="1" si="6"/>
        <v>9.2608255280105567</v>
      </c>
      <c r="F31">
        <f t="shared" ca="1" si="6"/>
        <v>11.817822525081088</v>
      </c>
      <c r="G31">
        <f t="shared" ca="1" si="6"/>
        <v>10.860839863262743</v>
      </c>
      <c r="H31">
        <f t="shared" ca="1" si="6"/>
        <v>11.61308385181648</v>
      </c>
      <c r="I31">
        <f t="shared" ca="1" si="6"/>
        <v>10.834410451707967</v>
      </c>
      <c r="J31">
        <f t="shared" ca="1" si="6"/>
        <v>11.88092065838117</v>
      </c>
      <c r="K31">
        <f t="shared" ca="1" si="6"/>
        <v>10.103934762164769</v>
      </c>
      <c r="L31">
        <f t="shared" ca="1" si="6"/>
        <v>11.813541368043024</v>
      </c>
      <c r="M31">
        <f t="shared" ca="1" si="6"/>
        <v>11.380609663233116</v>
      </c>
      <c r="N31">
        <f t="shared" ca="1" si="6"/>
        <v>11.46533478661339</v>
      </c>
      <c r="O31">
        <f t="shared" ca="1" si="6"/>
        <v>9.7533662161060093</v>
      </c>
      <c r="P31">
        <f t="shared" ca="1" si="6"/>
        <v>11.309587054900767</v>
      </c>
      <c r="Q31">
        <f t="shared" ca="1" si="6"/>
        <v>9.0546571518859214</v>
      </c>
      <c r="R31">
        <f t="shared" ca="1" si="6"/>
        <v>12.046415478125349</v>
      </c>
      <c r="S31">
        <f t="shared" ca="1" si="7"/>
        <v>10.457133381209271</v>
      </c>
      <c r="T31">
        <f t="shared" ca="1" si="7"/>
        <v>11.84461399596851</v>
      </c>
      <c r="U31">
        <f t="shared" ca="1" si="7"/>
        <v>9.2612546553104149</v>
      </c>
      <c r="V31">
        <f t="shared" ca="1" si="7"/>
        <v>12.174318287188033</v>
      </c>
      <c r="W31">
        <f t="shared" ca="1" si="7"/>
        <v>10.552910830191999</v>
      </c>
      <c r="X31">
        <f t="shared" ca="1" si="7"/>
        <v>12.157461925353793</v>
      </c>
      <c r="Y31">
        <f t="shared" ca="1" si="7"/>
        <v>11.453610304288848</v>
      </c>
      <c r="Z31">
        <f t="shared" ca="1" si="7"/>
        <v>12.02048275395005</v>
      </c>
      <c r="AA31">
        <f t="shared" ca="1" si="8"/>
        <v>11.451864765805308</v>
      </c>
      <c r="AB31">
        <f t="shared" ca="1" si="8"/>
        <v>11.336222747006595</v>
      </c>
      <c r="AC31">
        <f t="shared" ca="1" si="8"/>
        <v>10.428207912836617</v>
      </c>
      <c r="AD31">
        <f t="shared" ca="1" si="8"/>
        <v>12.464827342297546</v>
      </c>
      <c r="AE31">
        <f t="shared" ca="1" si="8"/>
        <v>9.2170930185056505</v>
      </c>
      <c r="AF31">
        <f t="shared" ca="1" si="8"/>
        <v>12.265336282556209</v>
      </c>
      <c r="AG31">
        <f t="shared" ca="1" si="8"/>
        <v>10.003824756957894</v>
      </c>
      <c r="AH31">
        <f t="shared" ca="1" si="8"/>
        <v>11.265600835510616</v>
      </c>
    </row>
    <row r="32" spans="1:34">
      <c r="A32" t="str">
        <f>CYF!A32</f>
        <v>Maize</v>
      </c>
      <c r="B32" t="str">
        <f>CYF!B32</f>
        <v>Oromia</v>
      </c>
      <c r="C32">
        <f t="shared" ca="1" si="6"/>
        <v>10.416231740305745</v>
      </c>
      <c r="D32">
        <f t="shared" ca="1" si="6"/>
        <v>11.356883244600656</v>
      </c>
      <c r="E32">
        <f t="shared" ca="1" si="6"/>
        <v>11.323107375586471</v>
      </c>
      <c r="F32">
        <f t="shared" ca="1" si="6"/>
        <v>11.525555658304645</v>
      </c>
      <c r="G32">
        <f t="shared" ca="1" si="6"/>
        <v>9.889912271352566</v>
      </c>
      <c r="H32">
        <f t="shared" ca="1" si="6"/>
        <v>11.366234313649118</v>
      </c>
      <c r="I32">
        <f t="shared" ca="1" si="6"/>
        <v>10.107408178826756</v>
      </c>
      <c r="J32">
        <f t="shared" ca="1" si="6"/>
        <v>11.475829005481483</v>
      </c>
      <c r="K32">
        <f t="shared" ca="1" si="6"/>
        <v>11.327038165323813</v>
      </c>
      <c r="L32">
        <f t="shared" ca="1" si="6"/>
        <v>11.284918668918507</v>
      </c>
      <c r="M32">
        <f t="shared" ca="1" si="6"/>
        <v>10.312828665235065</v>
      </c>
      <c r="N32">
        <f t="shared" ca="1" si="6"/>
        <v>12.290295226615747</v>
      </c>
      <c r="O32">
        <f t="shared" ca="1" si="6"/>
        <v>9.2830808712958177</v>
      </c>
      <c r="P32">
        <f t="shared" ca="1" si="6"/>
        <v>11.161024076555806</v>
      </c>
      <c r="Q32">
        <f t="shared" ca="1" si="6"/>
        <v>10.676786810801394</v>
      </c>
      <c r="R32">
        <f t="shared" ca="1" si="6"/>
        <v>12.016326482321563</v>
      </c>
      <c r="S32">
        <f t="shared" ca="1" si="7"/>
        <v>9.365588494239006</v>
      </c>
      <c r="T32">
        <f t="shared" ca="1" si="7"/>
        <v>11.17462155104009</v>
      </c>
      <c r="U32">
        <f t="shared" ca="1" si="7"/>
        <v>9.3541994853186292</v>
      </c>
      <c r="V32">
        <f t="shared" ca="1" si="7"/>
        <v>12.078107002417582</v>
      </c>
      <c r="W32">
        <f t="shared" ca="1" si="7"/>
        <v>10.471483746348298</v>
      </c>
      <c r="X32">
        <f t="shared" ca="1" si="7"/>
        <v>12.078994590400262</v>
      </c>
      <c r="Y32">
        <f t="shared" ca="1" si="7"/>
        <v>9.2231463632879027</v>
      </c>
      <c r="Z32">
        <f t="shared" ca="1" si="7"/>
        <v>11.975511225908951</v>
      </c>
      <c r="AA32">
        <f t="shared" ca="1" si="8"/>
        <v>9.1644343077872641</v>
      </c>
      <c r="AB32">
        <f t="shared" ca="1" si="8"/>
        <v>12.160912275421225</v>
      </c>
      <c r="AC32">
        <f t="shared" ca="1" si="8"/>
        <v>10.29475395279154</v>
      </c>
      <c r="AD32">
        <f t="shared" ca="1" si="8"/>
        <v>11.254905993690633</v>
      </c>
      <c r="AE32">
        <f t="shared" ca="1" si="8"/>
        <v>9.1050495615119473</v>
      </c>
      <c r="AF32">
        <f t="shared" ca="1" si="8"/>
        <v>11.415761994156602</v>
      </c>
      <c r="AG32">
        <f t="shared" ca="1" si="8"/>
        <v>9.3630913475727535</v>
      </c>
      <c r="AH32">
        <f t="shared" ca="1" si="8"/>
        <v>11.04903620297334</v>
      </c>
    </row>
    <row r="33" spans="1:34">
      <c r="A33" t="str">
        <f>CYF!A33</f>
        <v>Maize</v>
      </c>
      <c r="B33" t="str">
        <f>CYF!B33</f>
        <v>Somali</v>
      </c>
      <c r="C33">
        <f t="shared" ca="1" si="6"/>
        <v>11.110839020457961</v>
      </c>
      <c r="D33">
        <f t="shared" ca="1" si="6"/>
        <v>12.366322552924133</v>
      </c>
      <c r="E33">
        <f t="shared" ca="1" si="6"/>
        <v>11.196104862651797</v>
      </c>
      <c r="F33">
        <f t="shared" ca="1" si="6"/>
        <v>11.393561464470363</v>
      </c>
      <c r="G33">
        <f t="shared" ca="1" si="6"/>
        <v>10.577417547088828</v>
      </c>
      <c r="H33">
        <f t="shared" ca="1" si="6"/>
        <v>11.541218890181447</v>
      </c>
      <c r="I33">
        <f t="shared" ca="1" si="6"/>
        <v>10.126416921740136</v>
      </c>
      <c r="J33">
        <f t="shared" ca="1" si="6"/>
        <v>11.316600737964238</v>
      </c>
      <c r="K33">
        <f t="shared" ca="1" si="6"/>
        <v>11.103572835438692</v>
      </c>
      <c r="L33">
        <f t="shared" ca="1" si="6"/>
        <v>12.276622275203801</v>
      </c>
      <c r="M33">
        <f t="shared" ca="1" si="6"/>
        <v>11.127532877704127</v>
      </c>
      <c r="N33">
        <f t="shared" ca="1" si="6"/>
        <v>11.00483960447508</v>
      </c>
      <c r="O33">
        <f t="shared" ca="1" si="6"/>
        <v>9.4355030474986883</v>
      </c>
      <c r="P33">
        <f t="shared" ca="1" si="6"/>
        <v>11.303897306474907</v>
      </c>
      <c r="Q33">
        <f t="shared" ca="1" si="6"/>
        <v>10.367653814949183</v>
      </c>
      <c r="R33">
        <f t="shared" ca="1" si="6"/>
        <v>11.71083008330444</v>
      </c>
      <c r="S33">
        <f t="shared" ca="1" si="7"/>
        <v>10.08557722157706</v>
      </c>
      <c r="T33">
        <f t="shared" ca="1" si="7"/>
        <v>11.401202468645375</v>
      </c>
      <c r="U33">
        <f t="shared" ca="1" si="7"/>
        <v>11.373335156508507</v>
      </c>
      <c r="V33">
        <f t="shared" ca="1" si="7"/>
        <v>12.025051111112647</v>
      </c>
      <c r="W33">
        <f t="shared" ca="1" si="7"/>
        <v>9.235117053545979</v>
      </c>
      <c r="X33">
        <f t="shared" ca="1" si="7"/>
        <v>11.331911824545312</v>
      </c>
      <c r="Y33">
        <f t="shared" ca="1" si="7"/>
        <v>9.0279418033927854</v>
      </c>
      <c r="Z33">
        <f t="shared" ca="1" si="7"/>
        <v>11.231192670528824</v>
      </c>
      <c r="AA33">
        <f t="shared" ca="1" si="8"/>
        <v>9.0235360933496978</v>
      </c>
      <c r="AB33">
        <f t="shared" ca="1" si="8"/>
        <v>11.490581054124492</v>
      </c>
      <c r="AC33">
        <f t="shared" ca="1" si="8"/>
        <v>11.050417923034228</v>
      </c>
      <c r="AD33">
        <f t="shared" ca="1" si="8"/>
        <v>11.304343508448671</v>
      </c>
      <c r="AE33">
        <f t="shared" ca="1" si="8"/>
        <v>10.863683371318874</v>
      </c>
      <c r="AF33">
        <f t="shared" ca="1" si="8"/>
        <v>11.872136559919442</v>
      </c>
      <c r="AG33">
        <f t="shared" ca="1" si="8"/>
        <v>10.729164947546977</v>
      </c>
      <c r="AH33">
        <f t="shared" ca="1" si="8"/>
        <v>11.678597852339479</v>
      </c>
    </row>
    <row r="34" spans="1:34">
      <c r="A34" t="str">
        <f>CYF!A34</f>
        <v>Maize</v>
      </c>
      <c r="B34" t="str">
        <f>CYF!B34</f>
        <v>SNNPR</v>
      </c>
      <c r="C34">
        <f t="shared" ca="1" si="6"/>
        <v>11.193423535429275</v>
      </c>
      <c r="D34">
        <f t="shared" ca="1" si="6"/>
        <v>12.260931602456726</v>
      </c>
      <c r="E34">
        <f t="shared" ca="1" si="6"/>
        <v>11.375777630328965</v>
      </c>
      <c r="F34">
        <f t="shared" ca="1" si="6"/>
        <v>11.336952447729544</v>
      </c>
      <c r="G34">
        <f t="shared" ca="1" si="6"/>
        <v>9.2000135644847347</v>
      </c>
      <c r="H34">
        <f t="shared" ca="1" si="6"/>
        <v>11.236294259609883</v>
      </c>
      <c r="I34">
        <f t="shared" ca="1" si="6"/>
        <v>9.4423197001587784</v>
      </c>
      <c r="J34">
        <f t="shared" ca="1" si="6"/>
        <v>11.65431280459234</v>
      </c>
      <c r="K34">
        <f t="shared" ca="1" si="6"/>
        <v>10.49984958657109</v>
      </c>
      <c r="L34">
        <f t="shared" ca="1" si="6"/>
        <v>12.094097517467437</v>
      </c>
      <c r="M34">
        <f t="shared" ca="1" si="6"/>
        <v>9.899245057630953</v>
      </c>
      <c r="N34">
        <f t="shared" ca="1" si="6"/>
        <v>12.282837398425803</v>
      </c>
      <c r="O34">
        <f t="shared" ca="1" si="6"/>
        <v>11.393258400441372</v>
      </c>
      <c r="P34">
        <f t="shared" ca="1" si="6"/>
        <v>11.0173255159678</v>
      </c>
      <c r="Q34">
        <f t="shared" ca="1" si="6"/>
        <v>11.301038328097428</v>
      </c>
      <c r="R34">
        <f t="shared" ca="1" si="6"/>
        <v>11.31905878927717</v>
      </c>
      <c r="S34">
        <f t="shared" ca="1" si="7"/>
        <v>9.043758661894346</v>
      </c>
      <c r="T34">
        <f t="shared" ca="1" si="7"/>
        <v>11.202278565406642</v>
      </c>
      <c r="U34">
        <f t="shared" ca="1" si="7"/>
        <v>10.313066461090134</v>
      </c>
      <c r="V34">
        <f t="shared" ca="1" si="7"/>
        <v>12.000401009254023</v>
      </c>
      <c r="W34">
        <f t="shared" ca="1" si="7"/>
        <v>9.709711335676884</v>
      </c>
      <c r="X34">
        <f t="shared" ca="1" si="7"/>
        <v>11.657448468819503</v>
      </c>
      <c r="Y34">
        <f t="shared" ca="1" si="7"/>
        <v>9.6234876927664921</v>
      </c>
      <c r="Z34">
        <f t="shared" ca="1" si="7"/>
        <v>11.527422585593017</v>
      </c>
      <c r="AA34">
        <f t="shared" ca="1" si="8"/>
        <v>10.483760627976746</v>
      </c>
      <c r="AB34">
        <f t="shared" ca="1" si="8"/>
        <v>12.223565859675995</v>
      </c>
      <c r="AC34">
        <f t="shared" ca="1" si="8"/>
        <v>10.890172504579546</v>
      </c>
      <c r="AD34">
        <f t="shared" ca="1" si="8"/>
        <v>12.05479182516147</v>
      </c>
      <c r="AE34">
        <f t="shared" ca="1" si="8"/>
        <v>10.168197756072503</v>
      </c>
      <c r="AF34">
        <f t="shared" ca="1" si="8"/>
        <v>12.356494528104927</v>
      </c>
      <c r="AG34">
        <f t="shared" ca="1" si="8"/>
        <v>11.388619908511075</v>
      </c>
      <c r="AH34">
        <f t="shared" ca="1" si="8"/>
        <v>12.00554137259663</v>
      </c>
    </row>
    <row r="35" spans="1:34">
      <c r="A35" t="str">
        <f>CYF!A35</f>
        <v>Maize</v>
      </c>
      <c r="B35" t="str">
        <f>CYF!B35</f>
        <v>Tigray</v>
      </c>
      <c r="C35">
        <f t="shared" ca="1" si="6"/>
        <v>11.102759497910796</v>
      </c>
      <c r="D35">
        <f t="shared" ca="1" si="6"/>
        <v>11.034543080562907</v>
      </c>
      <c r="E35">
        <f t="shared" ca="1" si="6"/>
        <v>10.719388182879335</v>
      </c>
      <c r="F35">
        <f t="shared" ca="1" si="6"/>
        <v>11.902677066535936</v>
      </c>
      <c r="G35">
        <f t="shared" ca="1" si="6"/>
        <v>10.954215503640492</v>
      </c>
      <c r="H35">
        <f t="shared" ca="1" si="6"/>
        <v>11.717954610063561</v>
      </c>
      <c r="I35">
        <f t="shared" ca="1" si="6"/>
        <v>9.8574309415983361</v>
      </c>
      <c r="J35">
        <f t="shared" ca="1" si="6"/>
        <v>11.179183991170646</v>
      </c>
      <c r="K35">
        <f t="shared" ca="1" si="6"/>
        <v>9.7036142203931952</v>
      </c>
      <c r="L35">
        <f t="shared" ca="1" si="6"/>
        <v>11.242533631017883</v>
      </c>
      <c r="M35">
        <f t="shared" ca="1" si="6"/>
        <v>9.9681400681920014</v>
      </c>
      <c r="N35">
        <f t="shared" ca="1" si="6"/>
        <v>11.358522169329069</v>
      </c>
      <c r="O35">
        <f t="shared" ca="1" si="6"/>
        <v>11.220343570748231</v>
      </c>
      <c r="P35">
        <f t="shared" ca="1" si="6"/>
        <v>11.836608553232027</v>
      </c>
      <c r="Q35">
        <f t="shared" ca="1" si="6"/>
        <v>11.429499460231995</v>
      </c>
      <c r="R35">
        <f t="shared" ca="1" si="6"/>
        <v>11.618324490031005</v>
      </c>
      <c r="S35">
        <f t="shared" ca="1" si="7"/>
        <v>10.650175712340335</v>
      </c>
      <c r="T35">
        <f t="shared" ca="1" si="7"/>
        <v>11.315465544559506</v>
      </c>
      <c r="U35">
        <f t="shared" ca="1" si="7"/>
        <v>10.995664611023118</v>
      </c>
      <c r="V35">
        <f t="shared" ca="1" si="7"/>
        <v>11.55227908567927</v>
      </c>
      <c r="W35">
        <f t="shared" ca="1" si="7"/>
        <v>9.3024985005732219</v>
      </c>
      <c r="X35">
        <f t="shared" ca="1" si="7"/>
        <v>11.527906654767632</v>
      </c>
      <c r="Y35">
        <f t="shared" ca="1" si="7"/>
        <v>10.80533054538552</v>
      </c>
      <c r="Z35">
        <f t="shared" ca="1" si="7"/>
        <v>12.06899307193653</v>
      </c>
      <c r="AA35">
        <f t="shared" ca="1" si="8"/>
        <v>10.044763352294549</v>
      </c>
      <c r="AB35">
        <f t="shared" ca="1" si="8"/>
        <v>11.25687674052396</v>
      </c>
      <c r="AC35">
        <f t="shared" ca="1" si="8"/>
        <v>11.088073116683102</v>
      </c>
      <c r="AD35">
        <f t="shared" ca="1" si="8"/>
        <v>12.436270632597477</v>
      </c>
      <c r="AE35">
        <f t="shared" ca="1" si="8"/>
        <v>10.46673693241879</v>
      </c>
      <c r="AF35">
        <f t="shared" ca="1" si="8"/>
        <v>11.854990150380505</v>
      </c>
      <c r="AG35">
        <f t="shared" ca="1" si="8"/>
        <v>10.628949675641129</v>
      </c>
      <c r="AH35">
        <f t="shared" ca="1" si="8"/>
        <v>12.221964119805394</v>
      </c>
    </row>
    <row r="36" spans="1:34">
      <c r="A36" t="str">
        <f>CYF!A36</f>
        <v>Lentils</v>
      </c>
      <c r="B36" t="str">
        <f>CYF!B36</f>
        <v>AddisAbaba</v>
      </c>
      <c r="C36">
        <f t="shared" ca="1" si="6"/>
        <v>10.494121882715108</v>
      </c>
      <c r="D36">
        <f t="shared" ca="1" si="6"/>
        <v>11.073364520403542</v>
      </c>
      <c r="E36">
        <f t="shared" ca="1" si="6"/>
        <v>10.595663835645002</v>
      </c>
      <c r="F36">
        <f t="shared" ca="1" si="6"/>
        <v>11.451620002359601</v>
      </c>
      <c r="G36">
        <f t="shared" ca="1" si="6"/>
        <v>9.8656947515716116</v>
      </c>
      <c r="H36">
        <f t="shared" ca="1" si="6"/>
        <v>11.312676906872479</v>
      </c>
      <c r="I36">
        <f t="shared" ca="1" si="6"/>
        <v>9.8778836567551984</v>
      </c>
      <c r="J36">
        <f t="shared" ca="1" si="6"/>
        <v>11.070724873372571</v>
      </c>
      <c r="K36">
        <f t="shared" ca="1" si="6"/>
        <v>10.498364328457857</v>
      </c>
      <c r="L36">
        <f t="shared" ca="1" si="6"/>
        <v>11.602897351438415</v>
      </c>
      <c r="M36">
        <f t="shared" ca="1" si="6"/>
        <v>10.902923898960621</v>
      </c>
      <c r="N36">
        <f t="shared" ca="1" si="6"/>
        <v>11.630258242012719</v>
      </c>
      <c r="O36">
        <f t="shared" ca="1" si="6"/>
        <v>10.255780352802462</v>
      </c>
      <c r="P36">
        <f t="shared" ca="1" si="6"/>
        <v>11.618811404682363</v>
      </c>
      <c r="Q36">
        <f t="shared" ca="1" si="6"/>
        <v>11.138757948732767</v>
      </c>
      <c r="R36">
        <f t="shared" ca="1" si="6"/>
        <v>11.192597956962075</v>
      </c>
      <c r="S36">
        <f t="shared" ca="1" si="7"/>
        <v>11.417624965286748</v>
      </c>
      <c r="T36">
        <f t="shared" ca="1" si="7"/>
        <v>11.2323110903379</v>
      </c>
      <c r="U36">
        <f t="shared" ca="1" si="7"/>
        <v>11.26375300685387</v>
      </c>
      <c r="V36">
        <f t="shared" ca="1" si="7"/>
        <v>11.517455272875811</v>
      </c>
      <c r="W36">
        <f t="shared" ca="1" si="7"/>
        <v>10.225773639922625</v>
      </c>
      <c r="X36">
        <f t="shared" ca="1" si="7"/>
        <v>11.916481112719964</v>
      </c>
      <c r="Y36">
        <f t="shared" ca="1" si="7"/>
        <v>10.383034666328978</v>
      </c>
      <c r="Z36">
        <f t="shared" ca="1" si="7"/>
        <v>12.252700705984036</v>
      </c>
      <c r="AA36">
        <f t="shared" ca="1" si="8"/>
        <v>10.553226271998527</v>
      </c>
      <c r="AB36">
        <f t="shared" ca="1" si="8"/>
        <v>12.208589408366207</v>
      </c>
      <c r="AC36">
        <f t="shared" ca="1" si="8"/>
        <v>11.383731993373146</v>
      </c>
      <c r="AD36">
        <f t="shared" ca="1" si="8"/>
        <v>12.204944807475895</v>
      </c>
      <c r="AE36">
        <f t="shared" ca="1" si="8"/>
        <v>9.0640335818708717</v>
      </c>
      <c r="AF36">
        <f t="shared" ca="1" si="8"/>
        <v>12.474916165451964</v>
      </c>
      <c r="AG36">
        <f t="shared" ca="1" si="8"/>
        <v>10.556761517581558</v>
      </c>
      <c r="AH36">
        <f t="shared" ca="1" si="8"/>
        <v>12.250515048316531</v>
      </c>
    </row>
    <row r="37" spans="1:34">
      <c r="A37" t="str">
        <f>CYF!A37</f>
        <v>Lentils</v>
      </c>
      <c r="B37" t="str">
        <f>CYF!B37</f>
        <v>Afar</v>
      </c>
      <c r="C37">
        <f t="shared" ca="1" si="6"/>
        <v>9.784295373646323</v>
      </c>
      <c r="D37">
        <f t="shared" ca="1" si="6"/>
        <v>12.251898111763676</v>
      </c>
      <c r="E37">
        <f t="shared" ca="1" si="6"/>
        <v>10.414567643957414</v>
      </c>
      <c r="F37">
        <f t="shared" ca="1" si="6"/>
        <v>12.309065274307386</v>
      </c>
      <c r="G37">
        <f t="shared" ca="1" si="6"/>
        <v>10.322164129052787</v>
      </c>
      <c r="H37">
        <f t="shared" ca="1" si="6"/>
        <v>11.814495556206387</v>
      </c>
      <c r="I37">
        <f t="shared" ca="1" si="6"/>
        <v>9.4929801887890051</v>
      </c>
      <c r="J37">
        <f t="shared" ca="1" si="6"/>
        <v>11.382607693622433</v>
      </c>
      <c r="K37">
        <f t="shared" ca="1" si="6"/>
        <v>9.5238068475466839</v>
      </c>
      <c r="L37">
        <f t="shared" ca="1" si="6"/>
        <v>11.273067549643503</v>
      </c>
      <c r="M37">
        <f t="shared" ca="1" si="6"/>
        <v>9.1924356326814873</v>
      </c>
      <c r="N37">
        <f t="shared" ca="1" si="6"/>
        <v>12.252518485693912</v>
      </c>
      <c r="O37">
        <f t="shared" ca="1" si="6"/>
        <v>9.2709020359622372</v>
      </c>
      <c r="P37">
        <f t="shared" ca="1" si="6"/>
        <v>11.801853221706617</v>
      </c>
      <c r="Q37">
        <f t="shared" ca="1" si="6"/>
        <v>10.956052803190445</v>
      </c>
      <c r="R37">
        <f t="shared" ca="1" si="6"/>
        <v>12.455738787894656</v>
      </c>
      <c r="S37">
        <f t="shared" ca="1" si="7"/>
        <v>9.9722195289798226</v>
      </c>
      <c r="T37">
        <f t="shared" ca="1" si="7"/>
        <v>11.199067654739455</v>
      </c>
      <c r="U37">
        <f t="shared" ca="1" si="7"/>
        <v>10.139817230948625</v>
      </c>
      <c r="V37">
        <f t="shared" ca="1" si="7"/>
        <v>11.225736481974675</v>
      </c>
      <c r="W37">
        <f t="shared" ca="1" si="7"/>
        <v>10.039596931270845</v>
      </c>
      <c r="X37">
        <f t="shared" ca="1" si="7"/>
        <v>11.089530937840056</v>
      </c>
      <c r="Y37">
        <f t="shared" ca="1" si="7"/>
        <v>10.205818636961041</v>
      </c>
      <c r="Z37">
        <f t="shared" ca="1" si="7"/>
        <v>11.474091611635885</v>
      </c>
      <c r="AA37">
        <f t="shared" ca="1" si="8"/>
        <v>10.159941369758025</v>
      </c>
      <c r="AB37">
        <f t="shared" ca="1" si="8"/>
        <v>11.830151890043609</v>
      </c>
      <c r="AC37">
        <f t="shared" ca="1" si="8"/>
        <v>9.9679176912661536</v>
      </c>
      <c r="AD37">
        <f t="shared" ca="1" si="8"/>
        <v>11.75258133016797</v>
      </c>
      <c r="AE37">
        <f t="shared" ca="1" si="8"/>
        <v>11.217606807282358</v>
      </c>
      <c r="AF37">
        <f t="shared" ca="1" si="8"/>
        <v>11.767986347697398</v>
      </c>
      <c r="AG37">
        <f t="shared" ca="1" si="8"/>
        <v>11.031158222145269</v>
      </c>
      <c r="AH37">
        <f t="shared" ca="1" si="8"/>
        <v>11.56295554265041</v>
      </c>
    </row>
    <row r="38" spans="1:34">
      <c r="A38" t="str">
        <f>CYF!A38</f>
        <v>Lentils</v>
      </c>
      <c r="B38" t="str">
        <f>CYF!B38</f>
        <v>Amhara</v>
      </c>
      <c r="C38">
        <f t="shared" ca="1" si="6"/>
        <v>9.8425215720082004</v>
      </c>
      <c r="D38">
        <f t="shared" ca="1" si="6"/>
        <v>12.137944402003967</v>
      </c>
      <c r="E38">
        <f t="shared" ca="1" si="6"/>
        <v>10.435118530963214</v>
      </c>
      <c r="F38">
        <f t="shared" ca="1" si="6"/>
        <v>11.713591764805987</v>
      </c>
      <c r="G38">
        <f t="shared" ca="1" si="6"/>
        <v>10.806328156419191</v>
      </c>
      <c r="H38">
        <f t="shared" ca="1" si="6"/>
        <v>11.657761490931296</v>
      </c>
      <c r="I38">
        <f t="shared" ca="1" si="6"/>
        <v>9.3921007322804844</v>
      </c>
      <c r="J38">
        <f t="shared" ref="J38:Y53" ca="1" si="9">IF(1-MOD(COLUMN(),2),25-RAND()*3,(18+RAND()*5))/2</f>
        <v>11.097682549752212</v>
      </c>
      <c r="K38">
        <f t="shared" ca="1" si="9"/>
        <v>9.2107896706860473</v>
      </c>
      <c r="L38">
        <f t="shared" ca="1" si="9"/>
        <v>11.960872707988077</v>
      </c>
      <c r="M38">
        <f t="shared" ca="1" si="9"/>
        <v>10.468858254576043</v>
      </c>
      <c r="N38">
        <f t="shared" ca="1" si="9"/>
        <v>11.994077185836964</v>
      </c>
      <c r="O38">
        <f t="shared" ca="1" si="9"/>
        <v>11.131086320307295</v>
      </c>
      <c r="P38">
        <f t="shared" ca="1" si="9"/>
        <v>11.41501713391537</v>
      </c>
      <c r="Q38">
        <f t="shared" ca="1" si="9"/>
        <v>10.988164814058564</v>
      </c>
      <c r="R38">
        <f t="shared" ca="1" si="9"/>
        <v>11.529054061523835</v>
      </c>
      <c r="S38">
        <f t="shared" ca="1" si="9"/>
        <v>10.608059223140952</v>
      </c>
      <c r="T38">
        <f t="shared" ca="1" si="9"/>
        <v>12.225020432110206</v>
      </c>
      <c r="U38">
        <f t="shared" ca="1" si="9"/>
        <v>11.160233459439088</v>
      </c>
      <c r="V38">
        <f t="shared" ca="1" si="9"/>
        <v>12.317942620302118</v>
      </c>
      <c r="W38">
        <f t="shared" ca="1" si="9"/>
        <v>9.8528677295918428</v>
      </c>
      <c r="X38">
        <f t="shared" ca="1" si="9"/>
        <v>11.67604287194634</v>
      </c>
      <c r="Y38">
        <f t="shared" ca="1" si="9"/>
        <v>10.878606564277618</v>
      </c>
      <c r="Z38">
        <f t="shared" ca="1" si="7"/>
        <v>11.792534366778998</v>
      </c>
      <c r="AA38">
        <f t="shared" ca="1" si="8"/>
        <v>9.8836173063756334</v>
      </c>
      <c r="AB38">
        <f t="shared" ca="1" si="8"/>
        <v>11.812323413214722</v>
      </c>
      <c r="AC38">
        <f t="shared" ca="1" si="8"/>
        <v>10.116707129095708</v>
      </c>
      <c r="AD38">
        <f t="shared" ca="1" si="8"/>
        <v>11.775015113694488</v>
      </c>
      <c r="AE38">
        <f t="shared" ca="1" si="8"/>
        <v>9.5167228290565138</v>
      </c>
      <c r="AF38">
        <f t="shared" ca="1" si="8"/>
        <v>11.063057499608641</v>
      </c>
      <c r="AG38">
        <f t="shared" ca="1" si="8"/>
        <v>9.7298158042879486</v>
      </c>
      <c r="AH38">
        <f t="shared" ca="1" si="8"/>
        <v>12.227957531581328</v>
      </c>
    </row>
    <row r="39" spans="1:34">
      <c r="A39" t="str">
        <f>CYF!A39</f>
        <v>Lentils</v>
      </c>
      <c r="B39" t="str">
        <f>CYF!B39</f>
        <v>Gumuz</v>
      </c>
      <c r="C39">
        <f t="shared" ref="C39:R63" ca="1" si="10">IF(1-MOD(COLUMN(),2),25-RAND()*3,(18+RAND()*5))/2</f>
        <v>11.097867859045097</v>
      </c>
      <c r="D39">
        <f t="shared" ca="1" si="10"/>
        <v>11.707989736833817</v>
      </c>
      <c r="E39">
        <f t="shared" ca="1" si="10"/>
        <v>9.7762723244810417</v>
      </c>
      <c r="F39">
        <f t="shared" ca="1" si="10"/>
        <v>11.852423237579766</v>
      </c>
      <c r="G39">
        <f t="shared" ca="1" si="10"/>
        <v>9.4154858311525746</v>
      </c>
      <c r="H39">
        <f t="shared" ca="1" si="10"/>
        <v>11.841523544697578</v>
      </c>
      <c r="I39">
        <f t="shared" ca="1" si="10"/>
        <v>10.48555034564434</v>
      </c>
      <c r="J39">
        <f t="shared" ca="1" si="10"/>
        <v>12.470118478298414</v>
      </c>
      <c r="K39">
        <f t="shared" ca="1" si="10"/>
        <v>11.341436770319669</v>
      </c>
      <c r="L39">
        <f t="shared" ca="1" si="10"/>
        <v>11.02206160302719</v>
      </c>
      <c r="M39">
        <f t="shared" ca="1" si="10"/>
        <v>9.5374653727213214</v>
      </c>
      <c r="N39">
        <f t="shared" ca="1" si="10"/>
        <v>11.502570454063303</v>
      </c>
      <c r="O39">
        <f t="shared" ca="1" si="10"/>
        <v>9.2482262934684574</v>
      </c>
      <c r="P39">
        <f t="shared" ca="1" si="10"/>
        <v>11.237702268266466</v>
      </c>
      <c r="Q39">
        <f t="shared" ca="1" si="10"/>
        <v>11.204960674226854</v>
      </c>
      <c r="R39">
        <f t="shared" ca="1" si="10"/>
        <v>11.599440943287803</v>
      </c>
      <c r="S39">
        <f t="shared" ca="1" si="9"/>
        <v>11.395105175907652</v>
      </c>
      <c r="T39">
        <f t="shared" ca="1" si="9"/>
        <v>12.241350173873577</v>
      </c>
      <c r="U39">
        <f t="shared" ca="1" si="9"/>
        <v>10.794475130854845</v>
      </c>
      <c r="V39">
        <f t="shared" ca="1" si="9"/>
        <v>11.082447146059538</v>
      </c>
      <c r="W39">
        <f t="shared" ca="1" si="9"/>
        <v>10.742588153581281</v>
      </c>
      <c r="X39">
        <f t="shared" ca="1" si="9"/>
        <v>11.981449354895066</v>
      </c>
      <c r="Y39">
        <f t="shared" ca="1" si="9"/>
        <v>9.9040811096821901</v>
      </c>
      <c r="Z39">
        <f t="shared" ca="1" si="7"/>
        <v>11.312723187152454</v>
      </c>
      <c r="AA39">
        <f t="shared" ca="1" si="8"/>
        <v>10.622964077131854</v>
      </c>
      <c r="AB39">
        <f t="shared" ca="1" si="8"/>
        <v>12.128352684473981</v>
      </c>
      <c r="AC39">
        <f t="shared" ca="1" si="8"/>
        <v>9.3119598969291992</v>
      </c>
      <c r="AD39">
        <f t="shared" ca="1" si="8"/>
        <v>12.291672532793735</v>
      </c>
      <c r="AE39">
        <f t="shared" ca="1" si="8"/>
        <v>9.513457972547803</v>
      </c>
      <c r="AF39">
        <f t="shared" ca="1" si="8"/>
        <v>11.938443675893852</v>
      </c>
      <c r="AG39">
        <f t="shared" ca="1" si="8"/>
        <v>10.362914565318873</v>
      </c>
      <c r="AH39">
        <f t="shared" ca="1" si="8"/>
        <v>11.742940305424931</v>
      </c>
    </row>
    <row r="40" spans="1:34">
      <c r="A40" t="str">
        <f>CYF!A40</f>
        <v>Lentils</v>
      </c>
      <c r="B40" t="str">
        <f>CYF!B40</f>
        <v>DireDawa</v>
      </c>
      <c r="C40">
        <f t="shared" ca="1" si="10"/>
        <v>9.7493871437864623</v>
      </c>
      <c r="D40">
        <f t="shared" ca="1" si="10"/>
        <v>11.459950700988088</v>
      </c>
      <c r="E40">
        <f t="shared" ca="1" si="10"/>
        <v>9.4220169564130529</v>
      </c>
      <c r="F40">
        <f t="shared" ca="1" si="10"/>
        <v>11.490712850755331</v>
      </c>
      <c r="G40">
        <f t="shared" ca="1" si="10"/>
        <v>10.290210748405347</v>
      </c>
      <c r="H40">
        <f t="shared" ca="1" si="10"/>
        <v>11.742847714401989</v>
      </c>
      <c r="I40">
        <f t="shared" ca="1" si="10"/>
        <v>9.9455857000252159</v>
      </c>
      <c r="J40">
        <f t="shared" ca="1" si="10"/>
        <v>11.468223045724836</v>
      </c>
      <c r="K40">
        <f t="shared" ca="1" si="10"/>
        <v>11.156279016828194</v>
      </c>
      <c r="L40">
        <f t="shared" ca="1" si="10"/>
        <v>12.006082906915641</v>
      </c>
      <c r="M40">
        <f t="shared" ca="1" si="10"/>
        <v>11.112978157179345</v>
      </c>
      <c r="N40">
        <f t="shared" ca="1" si="10"/>
        <v>12.286682408053931</v>
      </c>
      <c r="O40">
        <f t="shared" ca="1" si="10"/>
        <v>9.059262811872804</v>
      </c>
      <c r="P40">
        <f t="shared" ca="1" si="10"/>
        <v>12.077029303864599</v>
      </c>
      <c r="Q40">
        <f t="shared" ca="1" si="10"/>
        <v>9.1594100270332284</v>
      </c>
      <c r="R40">
        <f t="shared" ca="1" si="10"/>
        <v>12.298497707069625</v>
      </c>
      <c r="S40">
        <f t="shared" ca="1" si="9"/>
        <v>9.6026408784230739</v>
      </c>
      <c r="T40">
        <f t="shared" ca="1" si="9"/>
        <v>12.250147596160977</v>
      </c>
      <c r="U40">
        <f t="shared" ca="1" si="9"/>
        <v>10.200273692933461</v>
      </c>
      <c r="V40">
        <f t="shared" ca="1" si="9"/>
        <v>12.14552413626615</v>
      </c>
      <c r="W40">
        <f t="shared" ca="1" si="9"/>
        <v>9.3414150881272082</v>
      </c>
      <c r="X40">
        <f t="shared" ca="1" si="9"/>
        <v>11.360512773519499</v>
      </c>
      <c r="Y40">
        <f t="shared" ca="1" si="9"/>
        <v>10.951930512525509</v>
      </c>
      <c r="Z40">
        <f t="shared" ca="1" si="7"/>
        <v>12.392412581111623</v>
      </c>
      <c r="AA40">
        <f t="shared" ca="1" si="8"/>
        <v>9.7549067770173892</v>
      </c>
      <c r="AB40">
        <f t="shared" ca="1" si="8"/>
        <v>12.358530779820693</v>
      </c>
      <c r="AC40">
        <f t="shared" ca="1" si="8"/>
        <v>11.11603382089671</v>
      </c>
      <c r="AD40">
        <f t="shared" ca="1" si="8"/>
        <v>11.546191692416317</v>
      </c>
      <c r="AE40">
        <f t="shared" ca="1" si="8"/>
        <v>10.715863240157903</v>
      </c>
      <c r="AF40">
        <f t="shared" ca="1" si="8"/>
        <v>12.416723671649256</v>
      </c>
      <c r="AG40">
        <f t="shared" ca="1" si="8"/>
        <v>10.110770856161031</v>
      </c>
      <c r="AH40">
        <f t="shared" ca="1" si="8"/>
        <v>12.25789988349276</v>
      </c>
    </row>
    <row r="41" spans="1:34">
      <c r="A41" t="str">
        <f>CYF!A41</f>
        <v>Lentils</v>
      </c>
      <c r="B41" t="str">
        <f>CYF!B41</f>
        <v>Gambela</v>
      </c>
      <c r="C41">
        <f t="shared" ca="1" si="10"/>
        <v>11.106625192147003</v>
      </c>
      <c r="D41">
        <f t="shared" ca="1" si="10"/>
        <v>11.450068155788228</v>
      </c>
      <c r="E41">
        <f t="shared" ca="1" si="10"/>
        <v>9.32661401378666</v>
      </c>
      <c r="F41">
        <f t="shared" ca="1" si="10"/>
        <v>12.05374439583875</v>
      </c>
      <c r="G41">
        <f t="shared" ca="1" si="10"/>
        <v>11.327210086152377</v>
      </c>
      <c r="H41">
        <f t="shared" ca="1" si="10"/>
        <v>11.380133126306859</v>
      </c>
      <c r="I41">
        <f t="shared" ca="1" si="10"/>
        <v>10.197838445898029</v>
      </c>
      <c r="J41">
        <f t="shared" ca="1" si="10"/>
        <v>12.346209181694165</v>
      </c>
      <c r="K41">
        <f t="shared" ca="1" si="10"/>
        <v>10.155657571733947</v>
      </c>
      <c r="L41">
        <f t="shared" ca="1" si="10"/>
        <v>11.670593111493883</v>
      </c>
      <c r="M41">
        <f t="shared" ca="1" si="10"/>
        <v>11.00654876297855</v>
      </c>
      <c r="N41">
        <f t="shared" ca="1" si="10"/>
        <v>12.368504004364492</v>
      </c>
      <c r="O41">
        <f t="shared" ca="1" si="10"/>
        <v>9.7309399472394258</v>
      </c>
      <c r="P41">
        <f t="shared" ca="1" si="10"/>
        <v>12.117152362271609</v>
      </c>
      <c r="Q41">
        <f t="shared" ca="1" si="10"/>
        <v>10.608383064917275</v>
      </c>
      <c r="R41">
        <f t="shared" ca="1" si="10"/>
        <v>11.652524099994411</v>
      </c>
      <c r="S41">
        <f t="shared" ca="1" si="9"/>
        <v>11.166309822641585</v>
      </c>
      <c r="T41">
        <f t="shared" ca="1" si="9"/>
        <v>12.185856557221037</v>
      </c>
      <c r="U41">
        <f t="shared" ca="1" si="9"/>
        <v>10.600174648686744</v>
      </c>
      <c r="V41">
        <f t="shared" ca="1" si="9"/>
        <v>12.238968568840978</v>
      </c>
      <c r="W41">
        <f t="shared" ca="1" si="9"/>
        <v>10.627307950435164</v>
      </c>
      <c r="X41">
        <f t="shared" ca="1" si="9"/>
        <v>12.461045507455458</v>
      </c>
      <c r="Y41">
        <f t="shared" ca="1" si="9"/>
        <v>9.4908538390688779</v>
      </c>
      <c r="Z41">
        <f t="shared" ca="1" si="7"/>
        <v>11.168683144845927</v>
      </c>
      <c r="AA41">
        <f t="shared" ca="1" si="8"/>
        <v>10.585800257603804</v>
      </c>
      <c r="AB41">
        <f t="shared" ca="1" si="8"/>
        <v>11.69474780993937</v>
      </c>
      <c r="AC41">
        <f t="shared" ca="1" si="8"/>
        <v>9.4450738126384479</v>
      </c>
      <c r="AD41">
        <f t="shared" ca="1" si="8"/>
        <v>12.125805553178743</v>
      </c>
      <c r="AE41">
        <f t="shared" ca="1" si="8"/>
        <v>9.93656706915956</v>
      </c>
      <c r="AF41">
        <f t="shared" ca="1" si="8"/>
        <v>12.123773054558779</v>
      </c>
      <c r="AG41">
        <f t="shared" ca="1" si="8"/>
        <v>9.9037590363340335</v>
      </c>
      <c r="AH41">
        <f t="shared" ca="1" si="8"/>
        <v>12.081332107455465</v>
      </c>
    </row>
    <row r="42" spans="1:34">
      <c r="A42" t="str">
        <f>CYF!A42</f>
        <v>Lentils</v>
      </c>
      <c r="B42" t="str">
        <f>CYF!B42</f>
        <v>Harari</v>
      </c>
      <c r="C42">
        <f t="shared" ca="1" si="10"/>
        <v>10.291628050309409</v>
      </c>
      <c r="D42">
        <f t="shared" ca="1" si="10"/>
        <v>11.161024427005756</v>
      </c>
      <c r="E42">
        <f t="shared" ca="1" si="10"/>
        <v>10.383695608639986</v>
      </c>
      <c r="F42">
        <f t="shared" ca="1" si="10"/>
        <v>11.248341003845725</v>
      </c>
      <c r="G42">
        <f t="shared" ca="1" si="10"/>
        <v>9.6093125358606617</v>
      </c>
      <c r="H42">
        <f t="shared" ca="1" si="10"/>
        <v>11.782303360262887</v>
      </c>
      <c r="I42">
        <f t="shared" ca="1" si="10"/>
        <v>9.0648657841858071</v>
      </c>
      <c r="J42">
        <f t="shared" ca="1" si="10"/>
        <v>11.741597689413087</v>
      </c>
      <c r="K42">
        <f t="shared" ca="1" si="10"/>
        <v>10.96358114049151</v>
      </c>
      <c r="L42">
        <f t="shared" ca="1" si="10"/>
        <v>11.616039628050441</v>
      </c>
      <c r="M42">
        <f t="shared" ca="1" si="10"/>
        <v>11.309429371932605</v>
      </c>
      <c r="N42">
        <f t="shared" ca="1" si="10"/>
        <v>12.225175974841553</v>
      </c>
      <c r="O42">
        <f t="shared" ca="1" si="10"/>
        <v>10.584954037240538</v>
      </c>
      <c r="P42">
        <f t="shared" ca="1" si="10"/>
        <v>12.491471095934971</v>
      </c>
      <c r="Q42">
        <f t="shared" ca="1" si="10"/>
        <v>9.9612802761456347</v>
      </c>
      <c r="R42">
        <f t="shared" ca="1" si="10"/>
        <v>11.020665475149034</v>
      </c>
      <c r="S42">
        <f t="shared" ca="1" si="9"/>
        <v>10.129572219549749</v>
      </c>
      <c r="T42">
        <f t="shared" ca="1" si="9"/>
        <v>12.13504098848027</v>
      </c>
      <c r="U42">
        <f t="shared" ca="1" si="9"/>
        <v>10.405242956523919</v>
      </c>
      <c r="V42">
        <f t="shared" ca="1" si="9"/>
        <v>11.400623303114171</v>
      </c>
      <c r="W42">
        <f t="shared" ca="1" si="9"/>
        <v>10.584169197217706</v>
      </c>
      <c r="X42">
        <f t="shared" ca="1" si="9"/>
        <v>11.121020947626979</v>
      </c>
      <c r="Y42">
        <f t="shared" ca="1" si="9"/>
        <v>10.892568579997613</v>
      </c>
      <c r="Z42">
        <f t="shared" ca="1" si="7"/>
        <v>11.258978321578066</v>
      </c>
      <c r="AA42">
        <f t="shared" ca="1" si="8"/>
        <v>10.05222375944907</v>
      </c>
      <c r="AB42">
        <f t="shared" ca="1" si="8"/>
        <v>11.405509732692924</v>
      </c>
      <c r="AC42">
        <f t="shared" ca="1" si="8"/>
        <v>10.073680418569614</v>
      </c>
      <c r="AD42">
        <f t="shared" ca="1" si="8"/>
        <v>11.104961303348945</v>
      </c>
      <c r="AE42">
        <f t="shared" ca="1" si="8"/>
        <v>11.118974817568141</v>
      </c>
      <c r="AF42">
        <f t="shared" ca="1" si="8"/>
        <v>11.333186903421431</v>
      </c>
      <c r="AG42">
        <f t="shared" ca="1" si="8"/>
        <v>11.377324000744903</v>
      </c>
      <c r="AH42">
        <f t="shared" ca="1" si="8"/>
        <v>12.202197910089771</v>
      </c>
    </row>
    <row r="43" spans="1:34">
      <c r="A43" t="str">
        <f>CYF!A43</f>
        <v>Lentils</v>
      </c>
      <c r="B43" t="str">
        <f>CYF!B43</f>
        <v>Oromia</v>
      </c>
      <c r="C43">
        <f t="shared" ca="1" si="10"/>
        <v>10.68146143084204</v>
      </c>
      <c r="D43">
        <f t="shared" ca="1" si="10"/>
        <v>11.342739030086756</v>
      </c>
      <c r="E43">
        <f t="shared" ca="1" si="10"/>
        <v>9.5201889643490976</v>
      </c>
      <c r="F43">
        <f t="shared" ca="1" si="10"/>
        <v>11.695588401773971</v>
      </c>
      <c r="G43">
        <f t="shared" ca="1" si="10"/>
        <v>11.272250484692069</v>
      </c>
      <c r="H43">
        <f t="shared" ca="1" si="10"/>
        <v>11.08925242351452</v>
      </c>
      <c r="I43">
        <f t="shared" ca="1" si="10"/>
        <v>11.458774164862691</v>
      </c>
      <c r="J43">
        <f t="shared" ca="1" si="10"/>
        <v>11.138144803712663</v>
      </c>
      <c r="K43">
        <f t="shared" ca="1" si="10"/>
        <v>9.667519794242784</v>
      </c>
      <c r="L43">
        <f t="shared" ca="1" si="10"/>
        <v>12.326999310397591</v>
      </c>
      <c r="M43">
        <f t="shared" ca="1" si="10"/>
        <v>10.866020915612697</v>
      </c>
      <c r="N43">
        <f t="shared" ca="1" si="10"/>
        <v>12.028577348522967</v>
      </c>
      <c r="O43">
        <f t="shared" ca="1" si="10"/>
        <v>11.438995466900398</v>
      </c>
      <c r="P43">
        <f t="shared" ca="1" si="10"/>
        <v>11.214916164270345</v>
      </c>
      <c r="Q43">
        <f t="shared" ca="1" si="10"/>
        <v>9.9813642525528383</v>
      </c>
      <c r="R43">
        <f t="shared" ca="1" si="10"/>
        <v>12.301580701943543</v>
      </c>
      <c r="S43">
        <f t="shared" ca="1" si="9"/>
        <v>10.125771635131487</v>
      </c>
      <c r="T43">
        <f t="shared" ca="1" si="9"/>
        <v>12.19819090637094</v>
      </c>
      <c r="U43">
        <f t="shared" ca="1" si="9"/>
        <v>9.0344066999083896</v>
      </c>
      <c r="V43">
        <f t="shared" ca="1" si="9"/>
        <v>11.998793815961122</v>
      </c>
      <c r="W43">
        <f t="shared" ca="1" si="9"/>
        <v>10.146834120915681</v>
      </c>
      <c r="X43">
        <f t="shared" ca="1" si="9"/>
        <v>12.293289278905732</v>
      </c>
      <c r="Y43">
        <f t="shared" ca="1" si="9"/>
        <v>10.550443889007887</v>
      </c>
      <c r="Z43">
        <f t="shared" ca="1" si="7"/>
        <v>12.368348694088251</v>
      </c>
      <c r="AA43">
        <f t="shared" ca="1" si="8"/>
        <v>9.3663119581909484</v>
      </c>
      <c r="AB43">
        <f t="shared" ca="1" si="8"/>
        <v>11.331606872779016</v>
      </c>
      <c r="AC43">
        <f t="shared" ca="1" si="8"/>
        <v>11.387435479572357</v>
      </c>
      <c r="AD43">
        <f t="shared" ca="1" si="8"/>
        <v>11.363876437096202</v>
      </c>
      <c r="AE43">
        <f t="shared" ca="1" si="8"/>
        <v>10.394754657252228</v>
      </c>
      <c r="AF43">
        <f t="shared" ca="1" si="8"/>
        <v>12.299922872831829</v>
      </c>
      <c r="AG43">
        <f t="shared" ca="1" si="8"/>
        <v>10.466877171030102</v>
      </c>
      <c r="AH43">
        <f t="shared" ca="1" si="8"/>
        <v>11.090492196917975</v>
      </c>
    </row>
    <row r="44" spans="1:34">
      <c r="A44" t="str">
        <f>CYF!A44</f>
        <v>Lentils</v>
      </c>
      <c r="B44" t="str">
        <f>CYF!B44</f>
        <v>Somali</v>
      </c>
      <c r="C44">
        <f t="shared" ca="1" si="10"/>
        <v>9.6645957005182481</v>
      </c>
      <c r="D44">
        <f t="shared" ca="1" si="10"/>
        <v>11.811212199917785</v>
      </c>
      <c r="E44">
        <f t="shared" ca="1" si="10"/>
        <v>10.473633909508264</v>
      </c>
      <c r="F44">
        <f t="shared" ca="1" si="10"/>
        <v>11.546562216707169</v>
      </c>
      <c r="G44">
        <f t="shared" ca="1" si="10"/>
        <v>10.772583961185537</v>
      </c>
      <c r="H44">
        <f t="shared" ca="1" si="10"/>
        <v>11.404040686634154</v>
      </c>
      <c r="I44">
        <f t="shared" ca="1" si="10"/>
        <v>9.2758304342565925</v>
      </c>
      <c r="J44">
        <f t="shared" ca="1" si="10"/>
        <v>12.270395650448769</v>
      </c>
      <c r="K44">
        <f t="shared" ca="1" si="10"/>
        <v>11.015705395769928</v>
      </c>
      <c r="L44">
        <f t="shared" ca="1" si="10"/>
        <v>12.205319378124962</v>
      </c>
      <c r="M44">
        <f t="shared" ca="1" si="10"/>
        <v>11.469368482533397</v>
      </c>
      <c r="N44">
        <f t="shared" ca="1" si="10"/>
        <v>12.273319189170543</v>
      </c>
      <c r="O44">
        <f t="shared" ca="1" si="10"/>
        <v>10.380473777369534</v>
      </c>
      <c r="P44">
        <f t="shared" ca="1" si="10"/>
        <v>12.002521913668376</v>
      </c>
      <c r="Q44">
        <f t="shared" ca="1" si="10"/>
        <v>9.2202502736638827</v>
      </c>
      <c r="R44">
        <f t="shared" ca="1" si="10"/>
        <v>12.22173477709164</v>
      </c>
      <c r="S44">
        <f t="shared" ca="1" si="9"/>
        <v>9.9154081501289877</v>
      </c>
      <c r="T44">
        <f t="shared" ca="1" si="9"/>
        <v>11.223060277076563</v>
      </c>
      <c r="U44">
        <f t="shared" ca="1" si="9"/>
        <v>9.1071233346188105</v>
      </c>
      <c r="V44">
        <f t="shared" ca="1" si="9"/>
        <v>11.713106250602758</v>
      </c>
      <c r="W44">
        <f t="shared" ca="1" si="9"/>
        <v>11.424454606753674</v>
      </c>
      <c r="X44">
        <f t="shared" ca="1" si="9"/>
        <v>11.445958531241402</v>
      </c>
      <c r="Y44">
        <f t="shared" ca="1" si="9"/>
        <v>10.684127846905483</v>
      </c>
      <c r="Z44">
        <f t="shared" ca="1" si="7"/>
        <v>11.828926423576011</v>
      </c>
      <c r="AA44">
        <f t="shared" ca="1" si="8"/>
        <v>11.013742788777291</v>
      </c>
      <c r="AB44">
        <f t="shared" ca="1" si="8"/>
        <v>12.114322733531784</v>
      </c>
      <c r="AC44">
        <f t="shared" ca="1" si="8"/>
        <v>9.5642383290966801</v>
      </c>
      <c r="AD44">
        <f t="shared" ca="1" si="8"/>
        <v>12.208343467399901</v>
      </c>
      <c r="AE44">
        <f t="shared" ca="1" si="8"/>
        <v>10.250963196943939</v>
      </c>
      <c r="AF44">
        <f t="shared" ca="1" si="8"/>
        <v>11.447410171999904</v>
      </c>
      <c r="AG44">
        <f t="shared" ca="1" si="8"/>
        <v>9.8444657319722104</v>
      </c>
      <c r="AH44">
        <f t="shared" ca="1" si="8"/>
        <v>11.412880525175639</v>
      </c>
    </row>
    <row r="45" spans="1:34">
      <c r="A45" t="str">
        <f>CYF!A45</f>
        <v>Lentils</v>
      </c>
      <c r="B45" t="str">
        <f>CYF!B45</f>
        <v>SNNPR</v>
      </c>
      <c r="C45">
        <f t="shared" ca="1" si="10"/>
        <v>10.112707094582966</v>
      </c>
      <c r="D45">
        <f t="shared" ca="1" si="10"/>
        <v>12.172278007670437</v>
      </c>
      <c r="E45">
        <f t="shared" ca="1" si="10"/>
        <v>10.815641614907996</v>
      </c>
      <c r="F45">
        <f t="shared" ca="1" si="10"/>
        <v>11.464012076156219</v>
      </c>
      <c r="G45">
        <f t="shared" ca="1" si="10"/>
        <v>9.4317471440624203</v>
      </c>
      <c r="H45">
        <f t="shared" ca="1" si="10"/>
        <v>11.000769683525746</v>
      </c>
      <c r="I45">
        <f t="shared" ca="1" si="10"/>
        <v>10.774055545318211</v>
      </c>
      <c r="J45">
        <f t="shared" ca="1" si="10"/>
        <v>11.990258633782171</v>
      </c>
      <c r="K45">
        <f t="shared" ca="1" si="10"/>
        <v>10.522668009488271</v>
      </c>
      <c r="L45">
        <f t="shared" ca="1" si="10"/>
        <v>12.029608969497373</v>
      </c>
      <c r="M45">
        <f t="shared" ca="1" si="10"/>
        <v>9.8712593447725236</v>
      </c>
      <c r="N45">
        <f t="shared" ca="1" si="10"/>
        <v>12.202896754896592</v>
      </c>
      <c r="O45">
        <f t="shared" ca="1" si="10"/>
        <v>10.475069488116125</v>
      </c>
      <c r="P45">
        <f t="shared" ca="1" si="10"/>
        <v>12.106497912081574</v>
      </c>
      <c r="Q45">
        <f t="shared" ca="1" si="10"/>
        <v>10.453179436135887</v>
      </c>
      <c r="R45">
        <f t="shared" ca="1" si="10"/>
        <v>12.379557314250784</v>
      </c>
      <c r="S45">
        <f t="shared" ca="1" si="9"/>
        <v>9.3136946094909927</v>
      </c>
      <c r="T45">
        <f t="shared" ca="1" si="9"/>
        <v>12.095272018462987</v>
      </c>
      <c r="U45">
        <f t="shared" ca="1" si="9"/>
        <v>10.733847738310686</v>
      </c>
      <c r="V45">
        <f t="shared" ca="1" si="9"/>
        <v>12.130436641471739</v>
      </c>
      <c r="W45">
        <f t="shared" ca="1" si="9"/>
        <v>9.7616905697949594</v>
      </c>
      <c r="X45">
        <f t="shared" ca="1" si="9"/>
        <v>11.711079300017506</v>
      </c>
      <c r="Y45">
        <f t="shared" ca="1" si="9"/>
        <v>10.657970280690257</v>
      </c>
      <c r="Z45">
        <f t="shared" ca="1" si="7"/>
        <v>11.555358966612911</v>
      </c>
      <c r="AA45">
        <f t="shared" ca="1" si="8"/>
        <v>9.2438457222205113</v>
      </c>
      <c r="AB45">
        <f t="shared" ca="1" si="8"/>
        <v>12.06978224174788</v>
      </c>
      <c r="AC45">
        <f t="shared" ca="1" si="8"/>
        <v>10.528764499055843</v>
      </c>
      <c r="AD45">
        <f t="shared" ca="1" si="8"/>
        <v>11.939794304777246</v>
      </c>
      <c r="AE45">
        <f t="shared" ca="1" si="8"/>
        <v>9.5983418988573792</v>
      </c>
      <c r="AF45">
        <f t="shared" ca="1" si="8"/>
        <v>11.518599854338335</v>
      </c>
      <c r="AG45">
        <f t="shared" ca="1" si="8"/>
        <v>9.102398538928389</v>
      </c>
      <c r="AH45">
        <f t="shared" ca="1" si="8"/>
        <v>11.961147871683485</v>
      </c>
    </row>
    <row r="46" spans="1:34">
      <c r="A46" t="str">
        <f>CYF!A46</f>
        <v>Lentils</v>
      </c>
      <c r="B46" t="str">
        <f>CYF!B46</f>
        <v>Tigray</v>
      </c>
      <c r="C46">
        <f t="shared" ca="1" si="10"/>
        <v>9.5630523732962711</v>
      </c>
      <c r="D46">
        <f t="shared" ca="1" si="10"/>
        <v>12.242785253426225</v>
      </c>
      <c r="E46">
        <f t="shared" ca="1" si="10"/>
        <v>9.788070425311183</v>
      </c>
      <c r="F46">
        <f t="shared" ca="1" si="10"/>
        <v>11.548137830399465</v>
      </c>
      <c r="G46">
        <f t="shared" ca="1" si="10"/>
        <v>9.0422561097895304</v>
      </c>
      <c r="H46">
        <f t="shared" ca="1" si="10"/>
        <v>11.842890511437467</v>
      </c>
      <c r="I46">
        <f t="shared" ca="1" si="10"/>
        <v>10.692921054938227</v>
      </c>
      <c r="J46">
        <f t="shared" ca="1" si="10"/>
        <v>11.713752293038072</v>
      </c>
      <c r="K46">
        <f t="shared" ca="1" si="10"/>
        <v>9.3519030621175432</v>
      </c>
      <c r="L46">
        <f t="shared" ca="1" si="10"/>
        <v>12.329206329008716</v>
      </c>
      <c r="M46">
        <f t="shared" ca="1" si="10"/>
        <v>10.337958845667053</v>
      </c>
      <c r="N46">
        <f t="shared" ca="1" si="10"/>
        <v>11.730525761993512</v>
      </c>
      <c r="O46">
        <f t="shared" ca="1" si="10"/>
        <v>10.841138424992794</v>
      </c>
      <c r="P46">
        <f t="shared" ca="1" si="10"/>
        <v>11.756936563913127</v>
      </c>
      <c r="Q46">
        <f t="shared" ca="1" si="10"/>
        <v>10.615955335553862</v>
      </c>
      <c r="R46">
        <f t="shared" ca="1" si="10"/>
        <v>11.008853949115336</v>
      </c>
      <c r="S46">
        <f t="shared" ca="1" si="9"/>
        <v>10.661094312794793</v>
      </c>
      <c r="T46">
        <f t="shared" ca="1" si="9"/>
        <v>11.115649440961572</v>
      </c>
      <c r="U46">
        <f t="shared" ca="1" si="9"/>
        <v>11.405898307546044</v>
      </c>
      <c r="V46">
        <f t="shared" ca="1" si="9"/>
        <v>12.164138680428616</v>
      </c>
      <c r="W46">
        <f t="shared" ca="1" si="9"/>
        <v>11.077619319561247</v>
      </c>
      <c r="X46">
        <f t="shared" ca="1" si="9"/>
        <v>11.066459573325654</v>
      </c>
      <c r="Y46">
        <f t="shared" ca="1" si="9"/>
        <v>9.3261846520730174</v>
      </c>
      <c r="Z46">
        <f t="shared" ca="1" si="7"/>
        <v>11.043437959520213</v>
      </c>
      <c r="AA46">
        <f t="shared" ca="1" si="8"/>
        <v>10.917275448616598</v>
      </c>
      <c r="AB46">
        <f t="shared" ca="1" si="8"/>
        <v>11.794240519565623</v>
      </c>
      <c r="AC46">
        <f t="shared" ca="1" si="8"/>
        <v>9.3793531897963724</v>
      </c>
      <c r="AD46">
        <f t="shared" ca="1" si="8"/>
        <v>11.838062131731402</v>
      </c>
      <c r="AE46">
        <f t="shared" ca="1" si="8"/>
        <v>9.031283713282324</v>
      </c>
      <c r="AF46">
        <f t="shared" ca="1" si="8"/>
        <v>11.464198998829106</v>
      </c>
      <c r="AG46">
        <f t="shared" ca="1" si="8"/>
        <v>9.9252757650261323</v>
      </c>
      <c r="AH46">
        <f t="shared" ca="1" si="8"/>
        <v>11.736343377717803</v>
      </c>
    </row>
    <row r="47" spans="1:34">
      <c r="A47" t="str">
        <f>CYF!A47</f>
        <v>Vegetables</v>
      </c>
      <c r="B47" t="str">
        <f>CYF!B47</f>
        <v>AddisAbaba</v>
      </c>
      <c r="C47">
        <f t="shared" ca="1" si="10"/>
        <v>9.3847863894369521</v>
      </c>
      <c r="D47">
        <f t="shared" ca="1" si="10"/>
        <v>11.21235211649411</v>
      </c>
      <c r="E47">
        <f t="shared" ca="1" si="10"/>
        <v>9.8976261396791827</v>
      </c>
      <c r="F47">
        <f t="shared" ca="1" si="10"/>
        <v>11.10248875597717</v>
      </c>
      <c r="G47">
        <f t="shared" ca="1" si="10"/>
        <v>10.532139837177573</v>
      </c>
      <c r="H47">
        <f t="shared" ca="1" si="10"/>
        <v>12.037570788306516</v>
      </c>
      <c r="I47">
        <f t="shared" ca="1" si="10"/>
        <v>10.592244380539302</v>
      </c>
      <c r="J47">
        <f t="shared" ca="1" si="10"/>
        <v>12.487437951043319</v>
      </c>
      <c r="K47">
        <f t="shared" ca="1" si="10"/>
        <v>10.865820214271107</v>
      </c>
      <c r="L47">
        <f t="shared" ca="1" si="10"/>
        <v>11.560854753526925</v>
      </c>
      <c r="M47">
        <f t="shared" ca="1" si="10"/>
        <v>10.394165738210813</v>
      </c>
      <c r="N47">
        <f t="shared" ca="1" si="10"/>
        <v>11.829891173741567</v>
      </c>
      <c r="O47">
        <f t="shared" ca="1" si="10"/>
        <v>10.114710368261612</v>
      </c>
      <c r="P47">
        <f t="shared" ca="1" si="10"/>
        <v>11.161292324290914</v>
      </c>
      <c r="Q47">
        <f t="shared" ca="1" si="10"/>
        <v>10.791656649542837</v>
      </c>
      <c r="R47">
        <f t="shared" ca="1" si="10"/>
        <v>11.046834534771028</v>
      </c>
      <c r="S47">
        <f t="shared" ca="1" si="9"/>
        <v>11.326766394634181</v>
      </c>
      <c r="T47">
        <f t="shared" ca="1" si="9"/>
        <v>12.123041233886287</v>
      </c>
      <c r="U47">
        <f t="shared" ca="1" si="9"/>
        <v>10.918709380907371</v>
      </c>
      <c r="V47">
        <f t="shared" ca="1" si="9"/>
        <v>11.243527272868549</v>
      </c>
      <c r="W47">
        <f t="shared" ca="1" si="9"/>
        <v>10.353610280517326</v>
      </c>
      <c r="X47">
        <f t="shared" ca="1" si="9"/>
        <v>11.073909429456654</v>
      </c>
      <c r="Y47">
        <f t="shared" ca="1" si="9"/>
        <v>11.097455723101998</v>
      </c>
      <c r="Z47">
        <f t="shared" ca="1" si="7"/>
        <v>12.190261384569649</v>
      </c>
      <c r="AA47">
        <f t="shared" ca="1" si="8"/>
        <v>9.9416778789421159</v>
      </c>
      <c r="AB47">
        <f t="shared" ca="1" si="8"/>
        <v>11.748636578546213</v>
      </c>
      <c r="AC47">
        <f t="shared" ca="1" si="8"/>
        <v>10.231062237670702</v>
      </c>
      <c r="AD47">
        <f t="shared" ca="1" si="8"/>
        <v>11.451460111322168</v>
      </c>
      <c r="AE47">
        <f t="shared" ca="1" si="8"/>
        <v>10.112757962631102</v>
      </c>
      <c r="AF47">
        <f t="shared" ca="1" si="8"/>
        <v>11.127179172842565</v>
      </c>
      <c r="AG47">
        <f t="shared" ca="1" si="8"/>
        <v>11.31533838632877</v>
      </c>
      <c r="AH47">
        <f t="shared" ca="1" si="8"/>
        <v>11.518822716036258</v>
      </c>
    </row>
    <row r="48" spans="1:34">
      <c r="A48" t="str">
        <f>CYF!A48</f>
        <v>Vegetables</v>
      </c>
      <c r="B48" t="str">
        <f>CYF!B48</f>
        <v>Afar</v>
      </c>
      <c r="C48">
        <f t="shared" ca="1" si="10"/>
        <v>10.217122673493703</v>
      </c>
      <c r="D48">
        <f t="shared" ca="1" si="10"/>
        <v>11.125341607490352</v>
      </c>
      <c r="E48">
        <f t="shared" ca="1" si="10"/>
        <v>9.3214478583796936</v>
      </c>
      <c r="F48">
        <f t="shared" ca="1" si="10"/>
        <v>12.117891205307748</v>
      </c>
      <c r="G48">
        <f t="shared" ca="1" si="10"/>
        <v>11.432245809090787</v>
      </c>
      <c r="H48">
        <f t="shared" ca="1" si="10"/>
        <v>12.33064858235673</v>
      </c>
      <c r="I48">
        <f t="shared" ca="1" si="10"/>
        <v>10.823145317161121</v>
      </c>
      <c r="J48">
        <f t="shared" ca="1" si="10"/>
        <v>11.977104315212243</v>
      </c>
      <c r="K48">
        <f t="shared" ca="1" si="10"/>
        <v>10.237818342285232</v>
      </c>
      <c r="L48">
        <f t="shared" ca="1" si="10"/>
        <v>11.615461284917647</v>
      </c>
      <c r="M48">
        <f t="shared" ca="1" si="10"/>
        <v>10.079914078406974</v>
      </c>
      <c r="N48">
        <f t="shared" ca="1" si="10"/>
        <v>11.908687592353223</v>
      </c>
      <c r="O48">
        <f t="shared" ca="1" si="10"/>
        <v>9.8736879123384984</v>
      </c>
      <c r="P48">
        <f t="shared" ca="1" si="10"/>
        <v>11.314501116523116</v>
      </c>
      <c r="Q48">
        <f t="shared" ca="1" si="10"/>
        <v>10.954248875757905</v>
      </c>
      <c r="R48">
        <f t="shared" ca="1" si="10"/>
        <v>11.360336733610534</v>
      </c>
      <c r="S48">
        <f t="shared" ca="1" si="9"/>
        <v>10.102015004219506</v>
      </c>
      <c r="T48">
        <f t="shared" ca="1" si="9"/>
        <v>11.829300011714992</v>
      </c>
      <c r="U48">
        <f t="shared" ca="1" si="9"/>
        <v>9.8237542553791926</v>
      </c>
      <c r="V48">
        <f t="shared" ca="1" si="9"/>
        <v>11.778991852863342</v>
      </c>
      <c r="W48">
        <f t="shared" ca="1" si="9"/>
        <v>9.0940756996799301</v>
      </c>
      <c r="X48">
        <f t="shared" ca="1" si="9"/>
        <v>12.317730842459733</v>
      </c>
      <c r="Y48">
        <f t="shared" ca="1" si="9"/>
        <v>10.940969519924614</v>
      </c>
      <c r="Z48">
        <f t="shared" ca="1" si="7"/>
        <v>12.22059862582293</v>
      </c>
      <c r="AA48">
        <f t="shared" ca="1" si="8"/>
        <v>11.247129289707217</v>
      </c>
      <c r="AB48">
        <f t="shared" ca="1" si="8"/>
        <v>11.116722680823344</v>
      </c>
      <c r="AC48">
        <f t="shared" ca="1" si="8"/>
        <v>10.082485026311621</v>
      </c>
      <c r="AD48">
        <f t="shared" ca="1" si="8"/>
        <v>11.821526786427661</v>
      </c>
      <c r="AE48">
        <f t="shared" ca="1" si="8"/>
        <v>11.152763224863248</v>
      </c>
      <c r="AF48">
        <f t="shared" ca="1" si="8"/>
        <v>11.106533855406722</v>
      </c>
      <c r="AG48">
        <f t="shared" ca="1" si="8"/>
        <v>9.0109489347200533</v>
      </c>
      <c r="AH48">
        <f t="shared" ca="1" si="8"/>
        <v>12.131485648908845</v>
      </c>
    </row>
    <row r="49" spans="1:34">
      <c r="A49" t="str">
        <f>CYF!A49</f>
        <v>Vegetables</v>
      </c>
      <c r="B49" t="str">
        <f>CYF!B49</f>
        <v>Amhara</v>
      </c>
      <c r="C49">
        <f t="shared" ca="1" si="10"/>
        <v>10.910405019460454</v>
      </c>
      <c r="D49">
        <f t="shared" ca="1" si="10"/>
        <v>11.007063604970467</v>
      </c>
      <c r="E49">
        <f t="shared" ca="1" si="10"/>
        <v>11.203612313158082</v>
      </c>
      <c r="F49">
        <f t="shared" ca="1" si="10"/>
        <v>11.159366451800608</v>
      </c>
      <c r="G49">
        <f t="shared" ca="1" si="10"/>
        <v>10.699855453925784</v>
      </c>
      <c r="H49">
        <f t="shared" ca="1" si="10"/>
        <v>11.234803387993292</v>
      </c>
      <c r="I49">
        <f t="shared" ca="1" si="10"/>
        <v>10.546130718091577</v>
      </c>
      <c r="J49">
        <f t="shared" ca="1" si="10"/>
        <v>12.461508101911814</v>
      </c>
      <c r="K49">
        <f t="shared" ca="1" si="10"/>
        <v>10.622662154544457</v>
      </c>
      <c r="L49">
        <f t="shared" ca="1" si="10"/>
        <v>11.700499579309639</v>
      </c>
      <c r="M49">
        <f t="shared" ca="1" si="10"/>
        <v>9.5105059557698191</v>
      </c>
      <c r="N49">
        <f t="shared" ca="1" si="10"/>
        <v>11.834785873447139</v>
      </c>
      <c r="O49">
        <f t="shared" ca="1" si="10"/>
        <v>9.8298385846678311</v>
      </c>
      <c r="P49">
        <f t="shared" ca="1" si="10"/>
        <v>11.911467956412892</v>
      </c>
      <c r="Q49">
        <f t="shared" ca="1" si="10"/>
        <v>10.567967095668823</v>
      </c>
      <c r="R49">
        <f t="shared" ca="1" si="10"/>
        <v>11.562568634168375</v>
      </c>
      <c r="S49">
        <f t="shared" ca="1" si="9"/>
        <v>10.304955706397307</v>
      </c>
      <c r="T49">
        <f t="shared" ca="1" si="9"/>
        <v>11.787628780371712</v>
      </c>
      <c r="U49">
        <f t="shared" ca="1" si="9"/>
        <v>9.3450122433228966</v>
      </c>
      <c r="V49">
        <f t="shared" ca="1" si="9"/>
        <v>12.249522540440754</v>
      </c>
      <c r="W49">
        <f t="shared" ca="1" si="9"/>
        <v>10.24152942425196</v>
      </c>
      <c r="X49">
        <f t="shared" ca="1" si="9"/>
        <v>11.543285633708978</v>
      </c>
      <c r="Y49">
        <f t="shared" ca="1" si="9"/>
        <v>9.3034124062174008</v>
      </c>
      <c r="Z49">
        <f t="shared" ca="1" si="7"/>
        <v>11.515500756945514</v>
      </c>
      <c r="AA49">
        <f t="shared" ca="1" si="8"/>
        <v>9.2503872540578804</v>
      </c>
      <c r="AB49">
        <f t="shared" ca="1" si="8"/>
        <v>11.53849483063545</v>
      </c>
      <c r="AC49">
        <f t="shared" ca="1" si="8"/>
        <v>10.756476086394102</v>
      </c>
      <c r="AD49">
        <f t="shared" ca="1" si="8"/>
        <v>12.142952187320988</v>
      </c>
      <c r="AE49">
        <f t="shared" ca="1" si="8"/>
        <v>11.060446292636193</v>
      </c>
      <c r="AF49">
        <f t="shared" ca="1" si="8"/>
        <v>12.189115469654471</v>
      </c>
      <c r="AG49">
        <f t="shared" ca="1" si="8"/>
        <v>11.076314171366995</v>
      </c>
      <c r="AH49">
        <f t="shared" ca="1" si="8"/>
        <v>11.858948963034273</v>
      </c>
    </row>
    <row r="50" spans="1:34">
      <c r="A50" t="str">
        <f>CYF!A50</f>
        <v>Vegetables</v>
      </c>
      <c r="B50" t="str">
        <f>CYF!B50</f>
        <v>Gumuz</v>
      </c>
      <c r="C50">
        <f t="shared" ca="1" si="10"/>
        <v>11.378154700092313</v>
      </c>
      <c r="D50">
        <f t="shared" ca="1" si="10"/>
        <v>12.27131625780825</v>
      </c>
      <c r="E50">
        <f t="shared" ca="1" si="10"/>
        <v>11.075402420792603</v>
      </c>
      <c r="F50">
        <f t="shared" ca="1" si="10"/>
        <v>12.262964769674349</v>
      </c>
      <c r="G50">
        <f t="shared" ca="1" si="10"/>
        <v>9.1475081111710956</v>
      </c>
      <c r="H50">
        <f t="shared" ca="1" si="10"/>
        <v>11.731048083017653</v>
      </c>
      <c r="I50">
        <f t="shared" ca="1" si="10"/>
        <v>10.433516916287084</v>
      </c>
      <c r="J50">
        <f t="shared" ca="1" si="10"/>
        <v>12.265757148043361</v>
      </c>
      <c r="K50">
        <f t="shared" ca="1" si="10"/>
        <v>9.5227603754157748</v>
      </c>
      <c r="L50">
        <f t="shared" ca="1" si="10"/>
        <v>12.445438085003653</v>
      </c>
      <c r="M50">
        <f t="shared" ca="1" si="10"/>
        <v>10.245277355951661</v>
      </c>
      <c r="N50">
        <f t="shared" ca="1" si="10"/>
        <v>12.354718756672936</v>
      </c>
      <c r="O50">
        <f t="shared" ca="1" si="10"/>
        <v>9.3146568188089436</v>
      </c>
      <c r="P50">
        <f t="shared" ca="1" si="10"/>
        <v>11.90763785979183</v>
      </c>
      <c r="Q50">
        <f t="shared" ca="1" si="10"/>
        <v>10.969808447541373</v>
      </c>
      <c r="R50">
        <f t="shared" ca="1" si="10"/>
        <v>12.49726220165198</v>
      </c>
      <c r="S50">
        <f t="shared" ca="1" si="9"/>
        <v>9.2291723390160225</v>
      </c>
      <c r="T50">
        <f t="shared" ca="1" si="9"/>
        <v>11.215891530586074</v>
      </c>
      <c r="U50">
        <f t="shared" ca="1" si="9"/>
        <v>9.659527770991172</v>
      </c>
      <c r="V50">
        <f t="shared" ca="1" si="9"/>
        <v>11.966026593221988</v>
      </c>
      <c r="W50">
        <f t="shared" ca="1" si="9"/>
        <v>10.690735710417368</v>
      </c>
      <c r="X50">
        <f t="shared" ca="1" si="9"/>
        <v>11.308505515655696</v>
      </c>
      <c r="Y50">
        <f t="shared" ca="1" si="9"/>
        <v>9.9677215400417527</v>
      </c>
      <c r="Z50">
        <f t="shared" ca="1" si="7"/>
        <v>12.246727124626</v>
      </c>
      <c r="AA50">
        <f t="shared" ca="1" si="8"/>
        <v>9.773299325906434</v>
      </c>
      <c r="AB50">
        <f t="shared" ca="1" si="8"/>
        <v>11.548019682491271</v>
      </c>
      <c r="AC50">
        <f t="shared" ca="1" si="8"/>
        <v>10.246993409429537</v>
      </c>
      <c r="AD50">
        <f t="shared" ca="1" si="8"/>
        <v>11.645088766524944</v>
      </c>
      <c r="AE50">
        <f t="shared" ca="1" si="8"/>
        <v>10.34477319602367</v>
      </c>
      <c r="AF50">
        <f t="shared" ca="1" si="8"/>
        <v>12.07926683770124</v>
      </c>
      <c r="AG50">
        <f t="shared" ca="1" si="8"/>
        <v>10.49846687076745</v>
      </c>
      <c r="AH50">
        <f t="shared" ca="1" si="8"/>
        <v>12.056655116210266</v>
      </c>
    </row>
    <row r="51" spans="1:34">
      <c r="A51" t="str">
        <f>CYF!A51</f>
        <v>Vegetables</v>
      </c>
      <c r="B51" t="str">
        <f>CYF!B51</f>
        <v>DireDawa</v>
      </c>
      <c r="C51">
        <f t="shared" ca="1" si="10"/>
        <v>11.147841227823623</v>
      </c>
      <c r="D51">
        <f t="shared" ca="1" si="10"/>
        <v>12.064301254056332</v>
      </c>
      <c r="E51">
        <f t="shared" ca="1" si="10"/>
        <v>10.435228155288417</v>
      </c>
      <c r="F51">
        <f t="shared" ca="1" si="10"/>
        <v>11.643950922537083</v>
      </c>
      <c r="G51">
        <f t="shared" ca="1" si="10"/>
        <v>10.271575592121389</v>
      </c>
      <c r="H51">
        <f t="shared" ca="1" si="10"/>
        <v>11.067854081347145</v>
      </c>
      <c r="I51">
        <f t="shared" ca="1" si="10"/>
        <v>9.8364879776153096</v>
      </c>
      <c r="J51">
        <f t="shared" ca="1" si="10"/>
        <v>11.381454755503027</v>
      </c>
      <c r="K51">
        <f t="shared" ca="1" si="10"/>
        <v>9.7479311416258927</v>
      </c>
      <c r="L51">
        <f t="shared" ca="1" si="10"/>
        <v>11.763436222231711</v>
      </c>
      <c r="M51">
        <f t="shared" ca="1" si="10"/>
        <v>10.039365625062848</v>
      </c>
      <c r="N51">
        <f t="shared" ca="1" si="10"/>
        <v>12.152972112217435</v>
      </c>
      <c r="O51">
        <f t="shared" ca="1" si="10"/>
        <v>10.559308555730937</v>
      </c>
      <c r="P51">
        <f t="shared" ca="1" si="10"/>
        <v>12.423417100617293</v>
      </c>
      <c r="Q51">
        <f t="shared" ca="1" si="10"/>
        <v>10.556568234120288</v>
      </c>
      <c r="R51">
        <f t="shared" ca="1" si="10"/>
        <v>11.100234965879274</v>
      </c>
      <c r="S51">
        <f t="shared" ca="1" si="9"/>
        <v>9.3587077923478521</v>
      </c>
      <c r="T51">
        <f t="shared" ca="1" si="9"/>
        <v>12.200181874564453</v>
      </c>
      <c r="U51">
        <f t="shared" ca="1" si="9"/>
        <v>11.220247024282411</v>
      </c>
      <c r="V51">
        <f t="shared" ca="1" si="9"/>
        <v>11.209610752261481</v>
      </c>
      <c r="W51">
        <f t="shared" ca="1" si="9"/>
        <v>10.25789385222668</v>
      </c>
      <c r="X51">
        <f t="shared" ca="1" si="9"/>
        <v>11.343233912458649</v>
      </c>
      <c r="Y51">
        <f t="shared" ca="1" si="9"/>
        <v>10.640172692223635</v>
      </c>
      <c r="Z51">
        <f t="shared" ca="1" si="7"/>
        <v>11.635378738040851</v>
      </c>
      <c r="AA51">
        <f t="shared" ca="1" si="8"/>
        <v>9.2363400915720977</v>
      </c>
      <c r="AB51">
        <f t="shared" ca="1" si="8"/>
        <v>11.892138962496203</v>
      </c>
      <c r="AC51">
        <f t="shared" ca="1" si="8"/>
        <v>10.486048478910563</v>
      </c>
      <c r="AD51">
        <f t="shared" ca="1" si="8"/>
        <v>11.523575902604028</v>
      </c>
      <c r="AE51">
        <f t="shared" ca="1" si="8"/>
        <v>9.8351449720805206</v>
      </c>
      <c r="AF51">
        <f t="shared" ca="1" si="8"/>
        <v>12.392600287998807</v>
      </c>
      <c r="AG51">
        <f t="shared" ca="1" si="8"/>
        <v>11.181968597135938</v>
      </c>
      <c r="AH51">
        <f t="shared" ca="1" si="8"/>
        <v>11.277274358962043</v>
      </c>
    </row>
    <row r="52" spans="1:34">
      <c r="A52" t="str">
        <f>CYF!A52</f>
        <v>Vegetables</v>
      </c>
      <c r="B52" t="str">
        <f>CYF!B52</f>
        <v>Gambela</v>
      </c>
      <c r="C52">
        <f t="shared" ca="1" si="10"/>
        <v>11.155156562349571</v>
      </c>
      <c r="D52">
        <f t="shared" ca="1" si="10"/>
        <v>11.609971642394331</v>
      </c>
      <c r="E52">
        <f t="shared" ca="1" si="10"/>
        <v>9.1372046523475419</v>
      </c>
      <c r="F52">
        <f t="shared" ca="1" si="10"/>
        <v>11.748355423929393</v>
      </c>
      <c r="G52">
        <f t="shared" ca="1" si="10"/>
        <v>10.734880952722598</v>
      </c>
      <c r="H52">
        <f t="shared" ca="1" si="10"/>
        <v>11.948812577445059</v>
      </c>
      <c r="I52">
        <f t="shared" ca="1" si="10"/>
        <v>11.231033430027075</v>
      </c>
      <c r="J52">
        <f t="shared" ca="1" si="10"/>
        <v>11.619822687371055</v>
      </c>
      <c r="K52">
        <f t="shared" ca="1" si="10"/>
        <v>10.953663436647206</v>
      </c>
      <c r="L52">
        <f t="shared" ca="1" si="10"/>
        <v>12.332937973276865</v>
      </c>
      <c r="M52">
        <f t="shared" ca="1" si="10"/>
        <v>11.160131351940173</v>
      </c>
      <c r="N52">
        <f t="shared" ca="1" si="10"/>
        <v>11.852959122334861</v>
      </c>
      <c r="O52">
        <f t="shared" ca="1" si="10"/>
        <v>11.161821381143586</v>
      </c>
      <c r="P52">
        <f t="shared" ca="1" si="10"/>
        <v>11.299576588351652</v>
      </c>
      <c r="Q52">
        <f t="shared" ca="1" si="10"/>
        <v>10.001456967727243</v>
      </c>
      <c r="R52">
        <f t="shared" ca="1" si="10"/>
        <v>11.215330743902685</v>
      </c>
      <c r="S52">
        <f t="shared" ca="1" si="9"/>
        <v>9.366945807174357</v>
      </c>
      <c r="T52">
        <f t="shared" ca="1" si="9"/>
        <v>12.279726919240977</v>
      </c>
      <c r="U52">
        <f t="shared" ca="1" si="9"/>
        <v>11.384850276828526</v>
      </c>
      <c r="V52">
        <f t="shared" ca="1" si="9"/>
        <v>11.113145799578932</v>
      </c>
      <c r="W52">
        <f t="shared" ca="1" si="9"/>
        <v>9.3932336341729314</v>
      </c>
      <c r="X52">
        <f t="shared" ca="1" si="9"/>
        <v>12.363242298587243</v>
      </c>
      <c r="Y52">
        <f t="shared" ca="1" si="9"/>
        <v>10.945707699268336</v>
      </c>
      <c r="Z52">
        <f t="shared" ca="1" si="7"/>
        <v>11.414343970266749</v>
      </c>
      <c r="AA52">
        <f t="shared" ca="1" si="8"/>
        <v>10.321451941773065</v>
      </c>
      <c r="AB52">
        <f t="shared" ca="1" si="8"/>
        <v>11.734917862836385</v>
      </c>
      <c r="AC52">
        <f t="shared" ca="1" si="8"/>
        <v>11.057865928531136</v>
      </c>
      <c r="AD52">
        <f t="shared" ca="1" si="8"/>
        <v>11.682746200014682</v>
      </c>
      <c r="AE52">
        <f t="shared" ca="1" si="8"/>
        <v>10.665912984285594</v>
      </c>
      <c r="AF52">
        <f t="shared" ca="1" si="8"/>
        <v>12.053812452121241</v>
      </c>
      <c r="AG52">
        <f t="shared" ca="1" si="8"/>
        <v>9.1089061109757488</v>
      </c>
      <c r="AH52">
        <f t="shared" ca="1" si="8"/>
        <v>11.241414064826337</v>
      </c>
    </row>
    <row r="53" spans="1:34">
      <c r="A53" t="str">
        <f>CYF!A53</f>
        <v>Vegetables</v>
      </c>
      <c r="B53" t="str">
        <f>CYF!B53</f>
        <v>Harari</v>
      </c>
      <c r="C53">
        <f t="shared" ca="1" si="10"/>
        <v>9.9340188923827935</v>
      </c>
      <c r="D53">
        <f t="shared" ca="1" si="10"/>
        <v>12.360536844780613</v>
      </c>
      <c r="E53">
        <f t="shared" ca="1" si="10"/>
        <v>11.040231108263637</v>
      </c>
      <c r="F53">
        <f t="shared" ca="1" si="10"/>
        <v>11.512339168967392</v>
      </c>
      <c r="G53">
        <f t="shared" ca="1" si="10"/>
        <v>10.309375140690308</v>
      </c>
      <c r="H53">
        <f t="shared" ca="1" si="10"/>
        <v>12.269312728436757</v>
      </c>
      <c r="I53">
        <f t="shared" ca="1" si="10"/>
        <v>11.301579455134984</v>
      </c>
      <c r="J53">
        <f t="shared" ca="1" si="10"/>
        <v>11.368041041430885</v>
      </c>
      <c r="K53">
        <f t="shared" ca="1" si="10"/>
        <v>10.42463652214137</v>
      </c>
      <c r="L53">
        <f t="shared" ca="1" si="10"/>
        <v>11.197953771562899</v>
      </c>
      <c r="M53">
        <f t="shared" ca="1" si="10"/>
        <v>10.494887598164452</v>
      </c>
      <c r="N53">
        <f t="shared" ca="1" si="10"/>
        <v>11.222897587340611</v>
      </c>
      <c r="O53">
        <f t="shared" ca="1" si="10"/>
        <v>9.6589882389978126</v>
      </c>
      <c r="P53">
        <f t="shared" ca="1" si="10"/>
        <v>11.317851937629472</v>
      </c>
      <c r="Q53">
        <f t="shared" ca="1" si="10"/>
        <v>10.126463123181171</v>
      </c>
      <c r="R53">
        <f t="shared" ca="1" si="10"/>
        <v>11.755692731554765</v>
      </c>
      <c r="S53">
        <f t="shared" ca="1" si="9"/>
        <v>9.4367274956098299</v>
      </c>
      <c r="T53">
        <f t="shared" ca="1" si="9"/>
        <v>11.685275875186392</v>
      </c>
      <c r="U53">
        <f t="shared" ca="1" si="9"/>
        <v>10.129999339271333</v>
      </c>
      <c r="V53">
        <f t="shared" ca="1" si="9"/>
        <v>11.138837500350759</v>
      </c>
      <c r="W53">
        <f t="shared" ca="1" si="9"/>
        <v>10.623263283284855</v>
      </c>
      <c r="X53">
        <f t="shared" ca="1" si="9"/>
        <v>12.340229570200385</v>
      </c>
      <c r="Y53">
        <f t="shared" ca="1" si="9"/>
        <v>9.7724663023008418</v>
      </c>
      <c r="Z53">
        <f t="shared" ca="1" si="7"/>
        <v>11.791387795909273</v>
      </c>
      <c r="AA53">
        <f t="shared" ca="1" si="8"/>
        <v>9.6920265296378343</v>
      </c>
      <c r="AB53">
        <f t="shared" ca="1" si="8"/>
        <v>11.831213715004935</v>
      </c>
      <c r="AC53">
        <f t="shared" ca="1" si="8"/>
        <v>10.621885214301853</v>
      </c>
      <c r="AD53">
        <f t="shared" ca="1" si="8"/>
        <v>11.807002578768586</v>
      </c>
      <c r="AE53">
        <f t="shared" ca="1" si="8"/>
        <v>9.6062260443486807</v>
      </c>
      <c r="AF53">
        <f t="shared" ca="1" si="8"/>
        <v>11.225052221311289</v>
      </c>
      <c r="AG53">
        <f t="shared" ca="1" si="8"/>
        <v>11.166340941719202</v>
      </c>
      <c r="AH53">
        <f t="shared" ref="D53:AH62" ca="1" si="11">IF(1-MOD(COLUMN(),2),25-RAND()*3,(18+RAND()*5))/2</f>
        <v>11.13213930316077</v>
      </c>
    </row>
    <row r="54" spans="1:34">
      <c r="A54" t="str">
        <f>CYF!A54</f>
        <v>Vegetables</v>
      </c>
      <c r="B54" t="str">
        <f>CYF!B54</f>
        <v>Oromia</v>
      </c>
      <c r="C54">
        <f t="shared" ca="1" si="10"/>
        <v>10.533042095203111</v>
      </c>
      <c r="D54">
        <f t="shared" ca="1" si="11"/>
        <v>11.381314282151736</v>
      </c>
      <c r="E54">
        <f t="shared" ca="1" si="11"/>
        <v>10.09691697143651</v>
      </c>
      <c r="F54">
        <f t="shared" ca="1" si="11"/>
        <v>11.21246372631385</v>
      </c>
      <c r="G54">
        <f t="shared" ca="1" si="11"/>
        <v>9.0775203625761396</v>
      </c>
      <c r="H54">
        <f t="shared" ca="1" si="11"/>
        <v>11.649570224196491</v>
      </c>
      <c r="I54">
        <f t="shared" ca="1" si="11"/>
        <v>11.283665498365828</v>
      </c>
      <c r="J54">
        <f t="shared" ca="1" si="11"/>
        <v>11.778328918585595</v>
      </c>
      <c r="K54">
        <f t="shared" ca="1" si="11"/>
        <v>9.2635547964109897</v>
      </c>
      <c r="L54">
        <f t="shared" ca="1" si="11"/>
        <v>11.63522121903533</v>
      </c>
      <c r="M54">
        <f t="shared" ca="1" si="11"/>
        <v>10.860770445927473</v>
      </c>
      <c r="N54">
        <f t="shared" ca="1" si="11"/>
        <v>12.20970219447768</v>
      </c>
      <c r="O54">
        <f t="shared" ca="1" si="11"/>
        <v>10.380334021840316</v>
      </c>
      <c r="P54">
        <f t="shared" ca="1" si="11"/>
        <v>12.063393392020545</v>
      </c>
      <c r="Q54">
        <f t="shared" ca="1" si="11"/>
        <v>10.938291847687829</v>
      </c>
      <c r="R54">
        <f t="shared" ca="1" si="11"/>
        <v>11.094814720097308</v>
      </c>
      <c r="S54">
        <f t="shared" ca="1" si="11"/>
        <v>11.150355844179236</v>
      </c>
      <c r="T54">
        <f t="shared" ca="1" si="11"/>
        <v>11.469093769876181</v>
      </c>
      <c r="U54">
        <f t="shared" ca="1" si="11"/>
        <v>9.5011294846206464</v>
      </c>
      <c r="V54">
        <f t="shared" ca="1" si="11"/>
        <v>11.798525590448254</v>
      </c>
      <c r="W54">
        <f t="shared" ca="1" si="11"/>
        <v>9.0842607541849905</v>
      </c>
      <c r="X54">
        <f t="shared" ca="1" si="11"/>
        <v>11.134371202633043</v>
      </c>
      <c r="Y54">
        <f t="shared" ca="1" si="11"/>
        <v>9.6441540988543153</v>
      </c>
      <c r="Z54">
        <f t="shared" ca="1" si="11"/>
        <v>11.217545844117094</v>
      </c>
      <c r="AA54">
        <f t="shared" ca="1" si="11"/>
        <v>9.931050276104008</v>
      </c>
      <c r="AB54">
        <f t="shared" ca="1" si="11"/>
        <v>12.459141151183744</v>
      </c>
      <c r="AC54">
        <f t="shared" ca="1" si="11"/>
        <v>10.663207203604358</v>
      </c>
      <c r="AD54">
        <f t="shared" ca="1" si="11"/>
        <v>11.424616678425034</v>
      </c>
      <c r="AE54">
        <f t="shared" ca="1" si="11"/>
        <v>9.7011787178384665</v>
      </c>
      <c r="AF54">
        <f t="shared" ca="1" si="11"/>
        <v>11.872552762919689</v>
      </c>
      <c r="AG54">
        <f t="shared" ca="1" si="11"/>
        <v>10.987599655361283</v>
      </c>
      <c r="AH54">
        <f t="shared" ca="1" si="11"/>
        <v>11.658188379714664</v>
      </c>
    </row>
    <row r="55" spans="1:34">
      <c r="A55" t="str">
        <f>CYF!A55</f>
        <v>Vegetables</v>
      </c>
      <c r="B55" t="str">
        <f>CYF!B55</f>
        <v>Somali</v>
      </c>
      <c r="C55">
        <f t="shared" ca="1" si="10"/>
        <v>10.516522843984719</v>
      </c>
      <c r="D55">
        <f t="shared" ca="1" si="11"/>
        <v>11.630496243114155</v>
      </c>
      <c r="E55">
        <f t="shared" ca="1" si="11"/>
        <v>11.462772763550999</v>
      </c>
      <c r="F55">
        <f t="shared" ca="1" si="11"/>
        <v>11.590334077088912</v>
      </c>
      <c r="G55">
        <f t="shared" ca="1" si="11"/>
        <v>10.737305040013919</v>
      </c>
      <c r="H55">
        <f t="shared" ca="1" si="11"/>
        <v>11.461249494566495</v>
      </c>
      <c r="I55">
        <f t="shared" ca="1" si="11"/>
        <v>9.2266061055918236</v>
      </c>
      <c r="J55">
        <f t="shared" ca="1" si="11"/>
        <v>12.356235759974215</v>
      </c>
      <c r="K55">
        <f t="shared" ca="1" si="11"/>
        <v>10.794628521258874</v>
      </c>
      <c r="L55">
        <f t="shared" ca="1" si="11"/>
        <v>12.445432819669357</v>
      </c>
      <c r="M55">
        <f t="shared" ca="1" si="11"/>
        <v>9.5468099586638449</v>
      </c>
      <c r="N55">
        <f t="shared" ca="1" si="11"/>
        <v>12.165271956223908</v>
      </c>
      <c r="O55">
        <f t="shared" ca="1" si="11"/>
        <v>11.197606635427093</v>
      </c>
      <c r="P55">
        <f t="shared" ca="1" si="11"/>
        <v>11.114771064208023</v>
      </c>
      <c r="Q55">
        <f t="shared" ca="1" si="11"/>
        <v>11.223250618087313</v>
      </c>
      <c r="R55">
        <f t="shared" ca="1" si="11"/>
        <v>11.379926897504699</v>
      </c>
      <c r="S55">
        <f t="shared" ca="1" si="11"/>
        <v>9.9356881289184997</v>
      </c>
      <c r="T55">
        <f t="shared" ca="1" si="11"/>
        <v>11.010356806714531</v>
      </c>
      <c r="U55">
        <f t="shared" ca="1" si="11"/>
        <v>9.8881848103865568</v>
      </c>
      <c r="V55">
        <f t="shared" ca="1" si="11"/>
        <v>11.027963641746853</v>
      </c>
      <c r="W55">
        <f t="shared" ca="1" si="11"/>
        <v>11.026879088142367</v>
      </c>
      <c r="X55">
        <f t="shared" ca="1" si="11"/>
        <v>11.383170007488923</v>
      </c>
      <c r="Y55">
        <f t="shared" ca="1" si="11"/>
        <v>9.0139687596482592</v>
      </c>
      <c r="Z55">
        <f t="shared" ca="1" si="11"/>
        <v>11.783052314789472</v>
      </c>
      <c r="AA55">
        <f t="shared" ca="1" si="11"/>
        <v>9.460890092601721</v>
      </c>
      <c r="AB55">
        <f t="shared" ca="1" si="11"/>
        <v>11.774328258132384</v>
      </c>
      <c r="AC55">
        <f t="shared" ca="1" si="11"/>
        <v>10.083197566404646</v>
      </c>
      <c r="AD55">
        <f t="shared" ca="1" si="11"/>
        <v>12.263190722287204</v>
      </c>
      <c r="AE55">
        <f t="shared" ca="1" si="11"/>
        <v>9.3312052715548042</v>
      </c>
      <c r="AF55">
        <f t="shared" ca="1" si="11"/>
        <v>12.283998620181439</v>
      </c>
      <c r="AG55">
        <f t="shared" ca="1" si="11"/>
        <v>10.297325583522566</v>
      </c>
      <c r="AH55">
        <f t="shared" ca="1" si="11"/>
        <v>11.530015942901676</v>
      </c>
    </row>
    <row r="56" spans="1:34">
      <c r="A56" t="str">
        <f>CYF!A56</f>
        <v>Vegetables</v>
      </c>
      <c r="B56" t="str">
        <f>CYF!B56</f>
        <v>SNNPR</v>
      </c>
      <c r="C56">
        <f t="shared" ca="1" si="10"/>
        <v>10.619511644752315</v>
      </c>
      <c r="D56">
        <f t="shared" ca="1" si="11"/>
        <v>11.360097397734624</v>
      </c>
      <c r="E56">
        <f t="shared" ca="1" si="11"/>
        <v>9.2666082371668033</v>
      </c>
      <c r="F56">
        <f t="shared" ca="1" si="11"/>
        <v>11.412878678005541</v>
      </c>
      <c r="G56">
        <f t="shared" ca="1" si="11"/>
        <v>9.3232219532205942</v>
      </c>
      <c r="H56">
        <f t="shared" ca="1" si="11"/>
        <v>12.135039914065542</v>
      </c>
      <c r="I56">
        <f t="shared" ca="1" si="11"/>
        <v>11.198261389965932</v>
      </c>
      <c r="J56">
        <f t="shared" ca="1" si="11"/>
        <v>11.133179986008903</v>
      </c>
      <c r="K56">
        <f t="shared" ca="1" si="11"/>
        <v>9.5149158546057393</v>
      </c>
      <c r="L56">
        <f t="shared" ca="1" si="11"/>
        <v>11.37734169806072</v>
      </c>
      <c r="M56">
        <f t="shared" ca="1" si="11"/>
        <v>9.2224608435501363</v>
      </c>
      <c r="N56">
        <f t="shared" ca="1" si="11"/>
        <v>11.542632238046783</v>
      </c>
      <c r="O56">
        <f t="shared" ca="1" si="11"/>
        <v>10.261157865040703</v>
      </c>
      <c r="P56">
        <f t="shared" ca="1" si="11"/>
        <v>12.202090350775023</v>
      </c>
      <c r="Q56">
        <f t="shared" ca="1" si="11"/>
        <v>11.171435069906604</v>
      </c>
      <c r="R56">
        <f t="shared" ca="1" si="11"/>
        <v>11.157861540220058</v>
      </c>
      <c r="S56">
        <f t="shared" ca="1" si="11"/>
        <v>10.70235633379261</v>
      </c>
      <c r="T56">
        <f t="shared" ca="1" si="11"/>
        <v>11.329890690255134</v>
      </c>
      <c r="U56">
        <f t="shared" ca="1" si="11"/>
        <v>10.900321473512486</v>
      </c>
      <c r="V56">
        <f t="shared" ca="1" si="11"/>
        <v>11.666747064283896</v>
      </c>
      <c r="W56">
        <f t="shared" ca="1" si="11"/>
        <v>10.271860189624073</v>
      </c>
      <c r="X56">
        <f t="shared" ca="1" si="11"/>
        <v>12.281449377375186</v>
      </c>
      <c r="Y56">
        <f t="shared" ca="1" si="11"/>
        <v>10.176378625009548</v>
      </c>
      <c r="Z56">
        <f t="shared" ca="1" si="11"/>
        <v>11.811912894262111</v>
      </c>
      <c r="AA56">
        <f t="shared" ca="1" si="11"/>
        <v>10.944093117521055</v>
      </c>
      <c r="AB56">
        <f t="shared" ca="1" si="11"/>
        <v>11.448979702303095</v>
      </c>
      <c r="AC56">
        <f t="shared" ca="1" si="11"/>
        <v>10.616619067853058</v>
      </c>
      <c r="AD56">
        <f t="shared" ca="1" si="11"/>
        <v>12.259189113190464</v>
      </c>
      <c r="AE56">
        <f t="shared" ca="1" si="11"/>
        <v>9.826768682582518</v>
      </c>
      <c r="AF56">
        <f t="shared" ca="1" si="11"/>
        <v>12.194393070116</v>
      </c>
      <c r="AG56">
        <f t="shared" ca="1" si="11"/>
        <v>9.4749536611138261</v>
      </c>
      <c r="AH56">
        <f t="shared" ca="1" si="11"/>
        <v>12.40163866755862</v>
      </c>
    </row>
    <row r="57" spans="1:34">
      <c r="A57" t="str">
        <f>CYF!A57</f>
        <v>Vegetables</v>
      </c>
      <c r="B57" t="str">
        <f>CYF!B57</f>
        <v>Tigray</v>
      </c>
      <c r="C57">
        <f t="shared" ca="1" si="10"/>
        <v>10.017344397819389</v>
      </c>
      <c r="D57">
        <f t="shared" ca="1" si="11"/>
        <v>11.427011021161531</v>
      </c>
      <c r="E57">
        <f t="shared" ca="1" si="11"/>
        <v>10.041509377624894</v>
      </c>
      <c r="F57">
        <f t="shared" ca="1" si="11"/>
        <v>12.427595686832461</v>
      </c>
      <c r="G57">
        <f t="shared" ca="1" si="11"/>
        <v>10.685165527164699</v>
      </c>
      <c r="H57">
        <f t="shared" ca="1" si="11"/>
        <v>11.743513811419785</v>
      </c>
      <c r="I57">
        <f t="shared" ca="1" si="11"/>
        <v>9.4077644853220583</v>
      </c>
      <c r="J57">
        <f t="shared" ca="1" si="11"/>
        <v>11.813462957612055</v>
      </c>
      <c r="K57">
        <f t="shared" ca="1" si="11"/>
        <v>10.660433326987187</v>
      </c>
      <c r="L57">
        <f t="shared" ca="1" si="11"/>
        <v>12.129988878659836</v>
      </c>
      <c r="M57">
        <f t="shared" ca="1" si="11"/>
        <v>9.0253164390929488</v>
      </c>
      <c r="N57">
        <f t="shared" ca="1" si="11"/>
        <v>11.336792703819599</v>
      </c>
      <c r="O57">
        <f t="shared" ca="1" si="11"/>
        <v>9.8733739586508715</v>
      </c>
      <c r="P57">
        <f t="shared" ca="1" si="11"/>
        <v>11.10651644927618</v>
      </c>
      <c r="Q57">
        <f t="shared" ca="1" si="11"/>
        <v>9.1665882096908664</v>
      </c>
      <c r="R57">
        <f t="shared" ca="1" si="11"/>
        <v>12.112657995922461</v>
      </c>
      <c r="S57">
        <f t="shared" ca="1" si="11"/>
        <v>10.494737233589504</v>
      </c>
      <c r="T57">
        <f t="shared" ca="1" si="11"/>
        <v>12.375776198768882</v>
      </c>
      <c r="U57">
        <f t="shared" ca="1" si="11"/>
        <v>9.667826550778825</v>
      </c>
      <c r="V57">
        <f t="shared" ca="1" si="11"/>
        <v>11.379419939782425</v>
      </c>
      <c r="W57">
        <f t="shared" ca="1" si="11"/>
        <v>10.465254673045758</v>
      </c>
      <c r="X57">
        <f t="shared" ca="1" si="11"/>
        <v>12.34424226091882</v>
      </c>
      <c r="Y57">
        <f t="shared" ca="1" si="11"/>
        <v>11.34445394700384</v>
      </c>
      <c r="Z57">
        <f t="shared" ca="1" si="11"/>
        <v>11.197050478591827</v>
      </c>
      <c r="AA57">
        <f t="shared" ca="1" si="11"/>
        <v>10.685540204816345</v>
      </c>
      <c r="AB57">
        <f t="shared" ca="1" si="11"/>
        <v>12.419490766730778</v>
      </c>
      <c r="AC57">
        <f t="shared" ca="1" si="11"/>
        <v>9.8601193057861547</v>
      </c>
      <c r="AD57">
        <f t="shared" ca="1" si="11"/>
        <v>11.281964620024739</v>
      </c>
      <c r="AE57">
        <f t="shared" ca="1" si="11"/>
        <v>10.928163177521819</v>
      </c>
      <c r="AF57">
        <f t="shared" ca="1" si="11"/>
        <v>11.29301601924287</v>
      </c>
      <c r="AG57">
        <f t="shared" ca="1" si="11"/>
        <v>10.801245596257209</v>
      </c>
      <c r="AH57">
        <f t="shared" ca="1" si="11"/>
        <v>12.36936974690177</v>
      </c>
    </row>
    <row r="58" spans="1:34">
      <c r="A58" t="str">
        <f>CYF!A58</f>
        <v>Coffee</v>
      </c>
      <c r="B58" t="str">
        <f>CYF!B58</f>
        <v>AddisAbaba</v>
      </c>
      <c r="C58">
        <f t="shared" ca="1" si="10"/>
        <v>9.4087367736375178</v>
      </c>
      <c r="D58">
        <f t="shared" ca="1" si="11"/>
        <v>12.102849245729841</v>
      </c>
      <c r="E58">
        <f t="shared" ca="1" si="11"/>
        <v>10.673208246918096</v>
      </c>
      <c r="F58">
        <f t="shared" ca="1" si="11"/>
        <v>11.466039457618017</v>
      </c>
      <c r="G58">
        <f t="shared" ca="1" si="11"/>
        <v>11.180713816180059</v>
      </c>
      <c r="H58">
        <f t="shared" ca="1" si="11"/>
        <v>12.075701487183904</v>
      </c>
      <c r="I58">
        <f t="shared" ca="1" si="11"/>
        <v>11.149770326576967</v>
      </c>
      <c r="J58">
        <f t="shared" ca="1" si="11"/>
        <v>11.948024167396984</v>
      </c>
      <c r="K58">
        <f t="shared" ca="1" si="11"/>
        <v>9.3166428804572412</v>
      </c>
      <c r="L58">
        <f t="shared" ca="1" si="11"/>
        <v>11.237441908623772</v>
      </c>
      <c r="M58">
        <f t="shared" ca="1" si="11"/>
        <v>9.0637222988316655</v>
      </c>
      <c r="N58">
        <f t="shared" ca="1" si="11"/>
        <v>11.180233187343239</v>
      </c>
      <c r="O58">
        <f t="shared" ca="1" si="11"/>
        <v>9.9083275236981603</v>
      </c>
      <c r="P58">
        <f t="shared" ca="1" si="11"/>
        <v>12.477347940207117</v>
      </c>
      <c r="Q58">
        <f t="shared" ca="1" si="11"/>
        <v>9.1830604849190856</v>
      </c>
      <c r="R58">
        <f t="shared" ca="1" si="11"/>
        <v>11.545438033808708</v>
      </c>
      <c r="S58">
        <f t="shared" ca="1" si="11"/>
        <v>9.5796047466846748</v>
      </c>
      <c r="T58">
        <f t="shared" ca="1" si="11"/>
        <v>11.171794854874726</v>
      </c>
      <c r="U58">
        <f t="shared" ca="1" si="11"/>
        <v>11.042356157446264</v>
      </c>
      <c r="V58">
        <f t="shared" ca="1" si="11"/>
        <v>11.265989149318298</v>
      </c>
      <c r="W58">
        <f t="shared" ca="1" si="11"/>
        <v>10.400787501908134</v>
      </c>
      <c r="X58">
        <f t="shared" ca="1" si="11"/>
        <v>11.312343787974697</v>
      </c>
      <c r="Y58">
        <f t="shared" ca="1" si="11"/>
        <v>9.5564741936904696</v>
      </c>
      <c r="Z58">
        <f t="shared" ca="1" si="11"/>
        <v>11.696389912846367</v>
      </c>
      <c r="AA58">
        <f t="shared" ca="1" si="11"/>
        <v>11.378186430285345</v>
      </c>
      <c r="AB58">
        <f t="shared" ca="1" si="11"/>
        <v>11.335616558393431</v>
      </c>
      <c r="AC58">
        <f t="shared" ca="1" si="11"/>
        <v>10.488992767329925</v>
      </c>
      <c r="AD58">
        <f t="shared" ca="1" si="11"/>
        <v>11.96758922651474</v>
      </c>
      <c r="AE58">
        <f t="shared" ca="1" si="11"/>
        <v>10.171511824825156</v>
      </c>
      <c r="AF58">
        <f t="shared" ca="1" si="11"/>
        <v>12.388872136157708</v>
      </c>
      <c r="AG58">
        <f t="shared" ca="1" si="11"/>
        <v>10.389138204279883</v>
      </c>
      <c r="AH58">
        <f t="shared" ca="1" si="11"/>
        <v>11.446153137780433</v>
      </c>
    </row>
    <row r="59" spans="1:34">
      <c r="A59" t="str">
        <f>CYF!A59</f>
        <v>Coffee</v>
      </c>
      <c r="B59" t="str">
        <f>CYF!B59</f>
        <v>Afar</v>
      </c>
      <c r="C59">
        <f t="shared" ca="1" si="10"/>
        <v>10.587801931479595</v>
      </c>
      <c r="D59">
        <f t="shared" ca="1" si="11"/>
        <v>11.187626189296777</v>
      </c>
      <c r="E59">
        <f t="shared" ca="1" si="11"/>
        <v>9.4350584885322863</v>
      </c>
      <c r="F59">
        <f t="shared" ca="1" si="11"/>
        <v>12.454072712413094</v>
      </c>
      <c r="G59">
        <f t="shared" ca="1" si="11"/>
        <v>10.746845986979064</v>
      </c>
      <c r="H59">
        <f t="shared" ca="1" si="11"/>
        <v>11.934392956116321</v>
      </c>
      <c r="I59">
        <f t="shared" ca="1" si="11"/>
        <v>9.888989441091681</v>
      </c>
      <c r="J59">
        <f t="shared" ca="1" si="11"/>
        <v>12.040668450739801</v>
      </c>
      <c r="K59">
        <f t="shared" ca="1" si="11"/>
        <v>9.771950339006013</v>
      </c>
      <c r="L59">
        <f t="shared" ca="1" si="11"/>
        <v>12.033657253344558</v>
      </c>
      <c r="M59">
        <f t="shared" ca="1" si="11"/>
        <v>10.878245928419116</v>
      </c>
      <c r="N59">
        <f t="shared" ca="1" si="11"/>
        <v>12.16452189201507</v>
      </c>
      <c r="O59">
        <f t="shared" ca="1" si="11"/>
        <v>9.4870251658105076</v>
      </c>
      <c r="P59">
        <f t="shared" ca="1" si="11"/>
        <v>12.324665533347746</v>
      </c>
      <c r="Q59">
        <f t="shared" ca="1" si="11"/>
        <v>10.344323471061278</v>
      </c>
      <c r="R59">
        <f t="shared" ca="1" si="11"/>
        <v>11.443869964403966</v>
      </c>
      <c r="S59">
        <f t="shared" ca="1" si="11"/>
        <v>9.252438974513062</v>
      </c>
      <c r="T59">
        <f t="shared" ca="1" si="11"/>
        <v>12.364144400738628</v>
      </c>
      <c r="U59">
        <f t="shared" ca="1" si="11"/>
        <v>9.5164405733397714</v>
      </c>
      <c r="V59">
        <f t="shared" ca="1" si="11"/>
        <v>12.20281724013298</v>
      </c>
      <c r="W59">
        <f t="shared" ca="1" si="11"/>
        <v>10.7523925721358</v>
      </c>
      <c r="X59">
        <f t="shared" ca="1" si="11"/>
        <v>11.823169101928627</v>
      </c>
      <c r="Y59">
        <f t="shared" ca="1" si="11"/>
        <v>11.084372008357281</v>
      </c>
      <c r="Z59">
        <f t="shared" ca="1" si="11"/>
        <v>12.431677194511014</v>
      </c>
      <c r="AA59">
        <f t="shared" ca="1" si="11"/>
        <v>10.270078631143686</v>
      </c>
      <c r="AB59">
        <f t="shared" ca="1" si="11"/>
        <v>12.11566189200677</v>
      </c>
      <c r="AC59">
        <f t="shared" ca="1" si="11"/>
        <v>11.402099608113053</v>
      </c>
      <c r="AD59">
        <f t="shared" ca="1" si="11"/>
        <v>11.569647260246313</v>
      </c>
      <c r="AE59">
        <f t="shared" ca="1" si="11"/>
        <v>9.2266396382707931</v>
      </c>
      <c r="AF59">
        <f t="shared" ca="1" si="11"/>
        <v>11.16059303914089</v>
      </c>
      <c r="AG59">
        <f t="shared" ca="1" si="11"/>
        <v>11.026875001313694</v>
      </c>
      <c r="AH59">
        <f t="shared" ca="1" si="11"/>
        <v>11.908888997092564</v>
      </c>
    </row>
    <row r="60" spans="1:34">
      <c r="A60" t="str">
        <f>CYF!A60</f>
        <v>Coffee</v>
      </c>
      <c r="B60" t="str">
        <f>CYF!B60</f>
        <v>Amhara</v>
      </c>
      <c r="C60">
        <f t="shared" ca="1" si="10"/>
        <v>10.443068013815765</v>
      </c>
      <c r="D60">
        <f t="shared" ca="1" si="11"/>
        <v>12.272208827190932</v>
      </c>
      <c r="E60">
        <f t="shared" ca="1" si="11"/>
        <v>10.102413090723958</v>
      </c>
      <c r="F60">
        <f t="shared" ca="1" si="11"/>
        <v>11.538900484988002</v>
      </c>
      <c r="G60">
        <f t="shared" ca="1" si="11"/>
        <v>9.8741409580425206</v>
      </c>
      <c r="H60">
        <f t="shared" ca="1" si="11"/>
        <v>12.345291946131148</v>
      </c>
      <c r="I60">
        <f t="shared" ca="1" si="11"/>
        <v>10.425998484334944</v>
      </c>
      <c r="J60">
        <f t="shared" ca="1" si="11"/>
        <v>12.318696843198628</v>
      </c>
      <c r="K60">
        <f t="shared" ca="1" si="11"/>
        <v>10.831103912368993</v>
      </c>
      <c r="L60">
        <f t="shared" ca="1" si="11"/>
        <v>11.935225773599798</v>
      </c>
      <c r="M60">
        <f t="shared" ca="1" si="11"/>
        <v>10.315830772527772</v>
      </c>
      <c r="N60">
        <f t="shared" ca="1" si="11"/>
        <v>12.1732506880305</v>
      </c>
      <c r="O60">
        <f t="shared" ca="1" si="11"/>
        <v>9.9096515225047579</v>
      </c>
      <c r="P60">
        <f t="shared" ca="1" si="11"/>
        <v>11.661472046558464</v>
      </c>
      <c r="Q60">
        <f t="shared" ca="1" si="11"/>
        <v>10.001471987540116</v>
      </c>
      <c r="R60">
        <f t="shared" ca="1" si="11"/>
        <v>12.352428193303004</v>
      </c>
      <c r="S60">
        <f t="shared" ca="1" si="11"/>
        <v>10.154199071882154</v>
      </c>
      <c r="T60">
        <f t="shared" ca="1" si="11"/>
        <v>11.024468608853216</v>
      </c>
      <c r="U60">
        <f t="shared" ca="1" si="11"/>
        <v>10.721055740280603</v>
      </c>
      <c r="V60">
        <f t="shared" ca="1" si="11"/>
        <v>11.315845571836789</v>
      </c>
      <c r="W60">
        <f t="shared" ca="1" si="11"/>
        <v>10.20935146133089</v>
      </c>
      <c r="X60">
        <f t="shared" ca="1" si="11"/>
        <v>11.052750749441875</v>
      </c>
      <c r="Y60">
        <f t="shared" ca="1" si="11"/>
        <v>9.3691429920162559</v>
      </c>
      <c r="Z60">
        <f t="shared" ca="1" si="11"/>
        <v>12.173131159758489</v>
      </c>
      <c r="AA60">
        <f t="shared" ca="1" si="11"/>
        <v>10.522065157082947</v>
      </c>
      <c r="AB60">
        <f t="shared" ca="1" si="11"/>
        <v>11.33398090494534</v>
      </c>
      <c r="AC60">
        <f t="shared" ca="1" si="11"/>
        <v>9.4686320111869673</v>
      </c>
      <c r="AD60">
        <f t="shared" ca="1" si="11"/>
        <v>11.452424602707193</v>
      </c>
      <c r="AE60">
        <f t="shared" ca="1" si="11"/>
        <v>10.381869013623048</v>
      </c>
      <c r="AF60">
        <f t="shared" ca="1" si="11"/>
        <v>11.545482385329516</v>
      </c>
      <c r="AG60">
        <f t="shared" ca="1" si="11"/>
        <v>10.890846888929451</v>
      </c>
      <c r="AH60">
        <f t="shared" ca="1" si="11"/>
        <v>12.45435456392153</v>
      </c>
    </row>
    <row r="61" spans="1:34">
      <c r="A61" t="str">
        <f>CYF!A61</f>
        <v>Coffee</v>
      </c>
      <c r="B61" t="str">
        <f>CYF!B61</f>
        <v>Gumuz</v>
      </c>
      <c r="C61">
        <f t="shared" ca="1" si="10"/>
        <v>9.3725503411425848</v>
      </c>
      <c r="D61">
        <f t="shared" ca="1" si="11"/>
        <v>11.436839627734287</v>
      </c>
      <c r="E61">
        <f t="shared" ca="1" si="11"/>
        <v>9.343601515380648</v>
      </c>
      <c r="F61">
        <f t="shared" ca="1" si="11"/>
        <v>11.937466922327015</v>
      </c>
      <c r="G61">
        <f t="shared" ca="1" si="11"/>
        <v>10.644275713378525</v>
      </c>
      <c r="H61">
        <f t="shared" ca="1" si="11"/>
        <v>11.712496762888918</v>
      </c>
      <c r="I61">
        <f t="shared" ca="1" si="11"/>
        <v>10.635129114735534</v>
      </c>
      <c r="J61">
        <f t="shared" ca="1" si="11"/>
        <v>11.191673239252495</v>
      </c>
      <c r="K61">
        <f t="shared" ca="1" si="11"/>
        <v>10.314576309125282</v>
      </c>
      <c r="L61">
        <f t="shared" ca="1" si="11"/>
        <v>12.165468492153924</v>
      </c>
      <c r="M61">
        <f t="shared" ca="1" si="11"/>
        <v>9.5557313899770318</v>
      </c>
      <c r="N61">
        <f t="shared" ca="1" si="11"/>
        <v>11.593358809607986</v>
      </c>
      <c r="O61">
        <f t="shared" ca="1" si="11"/>
        <v>9.4212366349244228</v>
      </c>
      <c r="P61">
        <f t="shared" ca="1" si="11"/>
        <v>12.469874807129228</v>
      </c>
      <c r="Q61">
        <f t="shared" ca="1" si="11"/>
        <v>9.8814771194831437</v>
      </c>
      <c r="R61">
        <f t="shared" ca="1" si="11"/>
        <v>11.397881833966753</v>
      </c>
      <c r="S61">
        <f t="shared" ca="1" si="11"/>
        <v>9.2978868321330648</v>
      </c>
      <c r="T61">
        <f t="shared" ca="1" si="11"/>
        <v>12.157138099799711</v>
      </c>
      <c r="U61">
        <f t="shared" ca="1" si="11"/>
        <v>9.1383635853233187</v>
      </c>
      <c r="V61">
        <f t="shared" ca="1" si="11"/>
        <v>12.144619483063137</v>
      </c>
      <c r="W61">
        <f t="shared" ca="1" si="11"/>
        <v>9.9638043653551964</v>
      </c>
      <c r="X61">
        <f t="shared" ca="1" si="11"/>
        <v>11.134822674101599</v>
      </c>
      <c r="Y61">
        <f t="shared" ca="1" si="11"/>
        <v>11.183832445922572</v>
      </c>
      <c r="Z61">
        <f t="shared" ca="1" si="11"/>
        <v>11.489613367091337</v>
      </c>
      <c r="AA61">
        <f t="shared" ca="1" si="11"/>
        <v>10.602711637681093</v>
      </c>
      <c r="AB61">
        <f t="shared" ca="1" si="11"/>
        <v>12.202814197138064</v>
      </c>
      <c r="AC61">
        <f t="shared" ca="1" si="11"/>
        <v>9.4415791684739556</v>
      </c>
      <c r="AD61">
        <f t="shared" ca="1" si="11"/>
        <v>11.449117463263471</v>
      </c>
      <c r="AE61">
        <f t="shared" ca="1" si="11"/>
        <v>10.400153282721327</v>
      </c>
      <c r="AF61">
        <f t="shared" ca="1" si="11"/>
        <v>11.680943823028713</v>
      </c>
      <c r="AG61">
        <f t="shared" ca="1" si="11"/>
        <v>10.948588294471977</v>
      </c>
      <c r="AH61">
        <f t="shared" ca="1" si="11"/>
        <v>12.208728585130769</v>
      </c>
    </row>
    <row r="62" spans="1:34">
      <c r="A62" t="str">
        <f>CYF!A62</f>
        <v>Coffee</v>
      </c>
      <c r="B62" t="str">
        <f>CYF!B62</f>
        <v>DireDawa</v>
      </c>
      <c r="C62">
        <f t="shared" ca="1" si="10"/>
        <v>9.6829592638004609</v>
      </c>
      <c r="D62">
        <f t="shared" ca="1" si="11"/>
        <v>11.072591043436704</v>
      </c>
      <c r="E62">
        <f t="shared" ca="1" si="11"/>
        <v>11.394596326417545</v>
      </c>
      <c r="F62">
        <f t="shared" ca="1" si="11"/>
        <v>12.133936404903258</v>
      </c>
      <c r="G62">
        <f t="shared" ca="1" si="11"/>
        <v>10.247559708228875</v>
      </c>
      <c r="H62">
        <f t="shared" ca="1" si="11"/>
        <v>11.849929989781012</v>
      </c>
      <c r="I62">
        <f t="shared" ca="1" si="11"/>
        <v>9.2767684833518089</v>
      </c>
      <c r="J62">
        <f t="shared" ref="J62:Y68" ca="1" si="12">IF(1-MOD(COLUMN(),2),25-RAND()*3,(18+RAND()*5))/2</f>
        <v>11.379362542350819</v>
      </c>
      <c r="K62">
        <f t="shared" ca="1" si="12"/>
        <v>10.037385364272936</v>
      </c>
      <c r="L62">
        <f t="shared" ca="1" si="12"/>
        <v>12.336474564356802</v>
      </c>
      <c r="M62">
        <f t="shared" ca="1" si="12"/>
        <v>10.918217425325002</v>
      </c>
      <c r="N62">
        <f t="shared" ca="1" si="12"/>
        <v>11.574701959177876</v>
      </c>
      <c r="O62">
        <f t="shared" ca="1" si="12"/>
        <v>9.8005551446836581</v>
      </c>
      <c r="P62">
        <f t="shared" ca="1" si="12"/>
        <v>12.04337236646454</v>
      </c>
      <c r="Q62">
        <f t="shared" ca="1" si="12"/>
        <v>11.160778568467418</v>
      </c>
      <c r="R62">
        <f t="shared" ca="1" si="12"/>
        <v>12.322049596674978</v>
      </c>
      <c r="S62">
        <f t="shared" ca="1" si="12"/>
        <v>10.868067285992394</v>
      </c>
      <c r="T62">
        <f t="shared" ca="1" si="12"/>
        <v>11.522088938469713</v>
      </c>
      <c r="U62">
        <f t="shared" ca="1" si="12"/>
        <v>10.570303094604682</v>
      </c>
      <c r="V62">
        <f t="shared" ca="1" si="12"/>
        <v>11.984106698487784</v>
      </c>
      <c r="W62">
        <f t="shared" ca="1" si="12"/>
        <v>10.031584389154858</v>
      </c>
      <c r="X62">
        <f t="shared" ca="1" si="12"/>
        <v>12.00983811222552</v>
      </c>
      <c r="Y62">
        <f t="shared" ca="1" si="12"/>
        <v>10.120386340478364</v>
      </c>
      <c r="Z62">
        <f t="shared" ref="Z62:AH68" ca="1" si="13">IF(1-MOD(COLUMN(),2),25-RAND()*3,(18+RAND()*5))/2</f>
        <v>11.474978963899902</v>
      </c>
      <c r="AA62">
        <f t="shared" ca="1" si="13"/>
        <v>10.754512253349294</v>
      </c>
      <c r="AB62">
        <f t="shared" ca="1" si="13"/>
        <v>12.464082769061291</v>
      </c>
      <c r="AC62">
        <f t="shared" ca="1" si="13"/>
        <v>9.9650547262036575</v>
      </c>
      <c r="AD62">
        <f t="shared" ca="1" si="13"/>
        <v>11.286779519189787</v>
      </c>
      <c r="AE62">
        <f t="shared" ca="1" si="13"/>
        <v>10.028915902173644</v>
      </c>
      <c r="AF62">
        <f t="shared" ca="1" si="13"/>
        <v>11.432611423208302</v>
      </c>
      <c r="AG62">
        <f t="shared" ca="1" si="13"/>
        <v>10.957658790306585</v>
      </c>
      <c r="AH62">
        <f t="shared" ca="1" si="13"/>
        <v>11.84724863529013</v>
      </c>
    </row>
    <row r="63" spans="1:34">
      <c r="A63" t="str">
        <f>CYF!A63</f>
        <v>Coffee</v>
      </c>
      <c r="B63" t="str">
        <f>CYF!B63</f>
        <v>Gambela</v>
      </c>
      <c r="C63">
        <f t="shared" ca="1" si="10"/>
        <v>9.0554862001137657</v>
      </c>
      <c r="D63">
        <f t="shared" ca="1" si="10"/>
        <v>12.484392328272738</v>
      </c>
      <c r="E63">
        <f t="shared" ca="1" si="10"/>
        <v>9.9091151054599127</v>
      </c>
      <c r="F63">
        <f t="shared" ca="1" si="10"/>
        <v>12.379680430285539</v>
      </c>
      <c r="G63">
        <f t="shared" ca="1" si="10"/>
        <v>9.7398302844794493</v>
      </c>
      <c r="H63">
        <f t="shared" ca="1" si="10"/>
        <v>12.398816614015717</v>
      </c>
      <c r="I63">
        <f t="shared" ref="I63:X68" ca="1" si="14">IF(1-MOD(COLUMN(),2),25-RAND()*3,(18+RAND()*5))/2</f>
        <v>9.2829375157041802</v>
      </c>
      <c r="J63">
        <f t="shared" ca="1" si="14"/>
        <v>12.133942271907268</v>
      </c>
      <c r="K63">
        <f t="shared" ca="1" si="14"/>
        <v>9.9241180090198675</v>
      </c>
      <c r="L63">
        <f t="shared" ca="1" si="14"/>
        <v>11.818789718229361</v>
      </c>
      <c r="M63">
        <f t="shared" ca="1" si="14"/>
        <v>9.9412374950405678</v>
      </c>
      <c r="N63">
        <f t="shared" ca="1" si="14"/>
        <v>11.003951356479675</v>
      </c>
      <c r="O63">
        <f t="shared" ca="1" si="14"/>
        <v>9.5386484559799687</v>
      </c>
      <c r="P63">
        <f t="shared" ca="1" si="14"/>
        <v>12.1395075878957</v>
      </c>
      <c r="Q63">
        <f t="shared" ca="1" si="14"/>
        <v>9.5199122453798264</v>
      </c>
      <c r="R63">
        <f t="shared" ca="1" si="14"/>
        <v>11.495950548048476</v>
      </c>
      <c r="S63">
        <f t="shared" ca="1" si="14"/>
        <v>9.8514020906746325</v>
      </c>
      <c r="T63">
        <f t="shared" ca="1" si="14"/>
        <v>11.820060036260791</v>
      </c>
      <c r="U63">
        <f t="shared" ca="1" si="14"/>
        <v>11.308066993579576</v>
      </c>
      <c r="V63">
        <f t="shared" ca="1" si="14"/>
        <v>11.429133873957847</v>
      </c>
      <c r="W63">
        <f t="shared" ca="1" si="14"/>
        <v>9.4413141116346253</v>
      </c>
      <c r="X63">
        <f t="shared" ca="1" si="14"/>
        <v>11.312359363658498</v>
      </c>
      <c r="Y63">
        <f t="shared" ca="1" si="12"/>
        <v>10.558086463739057</v>
      </c>
      <c r="Z63">
        <f t="shared" ca="1" si="13"/>
        <v>12.316478538812591</v>
      </c>
      <c r="AA63">
        <f t="shared" ca="1" si="13"/>
        <v>11.321804346996998</v>
      </c>
      <c r="AB63">
        <f t="shared" ca="1" si="13"/>
        <v>11.688736315397396</v>
      </c>
      <c r="AC63">
        <f t="shared" ca="1" si="13"/>
        <v>9.8427507903907951</v>
      </c>
      <c r="AD63">
        <f t="shared" ca="1" si="13"/>
        <v>11.048924966584654</v>
      </c>
      <c r="AE63">
        <f t="shared" ca="1" si="13"/>
        <v>11.336260872973506</v>
      </c>
      <c r="AF63">
        <f t="shared" ca="1" si="13"/>
        <v>11.997712028364306</v>
      </c>
      <c r="AG63">
        <f t="shared" ca="1" si="13"/>
        <v>9.5176124078112156</v>
      </c>
      <c r="AH63">
        <f t="shared" ca="1" si="13"/>
        <v>11.561948969323668</v>
      </c>
    </row>
    <row r="64" spans="1:34">
      <c r="A64" t="str">
        <f>CYF!A64</f>
        <v>Coffee</v>
      </c>
      <c r="B64" t="str">
        <f>CYF!B64</f>
        <v>Harari</v>
      </c>
      <c r="C64">
        <f t="shared" ref="C64:R68" ca="1" si="15">IF(1-MOD(COLUMN(),2),25-RAND()*3,(18+RAND()*5))/2</f>
        <v>9.5089655603335395</v>
      </c>
      <c r="D64">
        <f t="shared" ca="1" si="15"/>
        <v>11.200142005976883</v>
      </c>
      <c r="E64">
        <f t="shared" ca="1" si="15"/>
        <v>10.171302207057689</v>
      </c>
      <c r="F64">
        <f t="shared" ca="1" si="15"/>
        <v>11.581933765092773</v>
      </c>
      <c r="G64">
        <f t="shared" ca="1" si="15"/>
        <v>9.2331834831998147</v>
      </c>
      <c r="H64">
        <f t="shared" ca="1" si="15"/>
        <v>11.457603860507533</v>
      </c>
      <c r="I64">
        <f t="shared" ca="1" si="15"/>
        <v>9.5565314953243075</v>
      </c>
      <c r="J64">
        <f t="shared" ca="1" si="15"/>
        <v>11.051085157912929</v>
      </c>
      <c r="K64">
        <f t="shared" ca="1" si="15"/>
        <v>9.928593281246858</v>
      </c>
      <c r="L64">
        <f t="shared" ca="1" si="15"/>
        <v>11.761924497451677</v>
      </c>
      <c r="M64">
        <f t="shared" ca="1" si="15"/>
        <v>9.6505329498107777</v>
      </c>
      <c r="N64">
        <f t="shared" ca="1" si="15"/>
        <v>12.296784991151442</v>
      </c>
      <c r="O64">
        <f t="shared" ca="1" si="15"/>
        <v>10.97959870745451</v>
      </c>
      <c r="P64">
        <f t="shared" ca="1" si="15"/>
        <v>12.378673390558468</v>
      </c>
      <c r="Q64">
        <f t="shared" ca="1" si="15"/>
        <v>9.6121163462390786</v>
      </c>
      <c r="R64">
        <f t="shared" ca="1" si="15"/>
        <v>12.333983036248684</v>
      </c>
      <c r="S64">
        <f t="shared" ca="1" si="14"/>
        <v>11.189307412613553</v>
      </c>
      <c r="T64">
        <f t="shared" ca="1" si="14"/>
        <v>12.182628709070359</v>
      </c>
      <c r="U64">
        <f t="shared" ca="1" si="14"/>
        <v>9.6967396600247699</v>
      </c>
      <c r="V64">
        <f t="shared" ca="1" si="14"/>
        <v>12.391136330176099</v>
      </c>
      <c r="W64">
        <f t="shared" ca="1" si="14"/>
        <v>10.408615813102013</v>
      </c>
      <c r="X64">
        <f t="shared" ca="1" si="14"/>
        <v>11.894473360861475</v>
      </c>
      <c r="Y64">
        <f t="shared" ca="1" si="12"/>
        <v>9.3629542174561262</v>
      </c>
      <c r="Z64">
        <f t="shared" ca="1" si="13"/>
        <v>11.364535566393187</v>
      </c>
      <c r="AA64">
        <f t="shared" ca="1" si="13"/>
        <v>9.4155218674462287</v>
      </c>
      <c r="AB64">
        <f t="shared" ca="1" si="13"/>
        <v>11.107671944590933</v>
      </c>
      <c r="AC64">
        <f t="shared" ca="1" si="13"/>
        <v>10.673493479675646</v>
      </c>
      <c r="AD64">
        <f t="shared" ca="1" si="13"/>
        <v>11.49504042870082</v>
      </c>
      <c r="AE64">
        <f t="shared" ca="1" si="13"/>
        <v>9.2328222682192393</v>
      </c>
      <c r="AF64">
        <f t="shared" ca="1" si="13"/>
        <v>11.615488994142167</v>
      </c>
      <c r="AG64">
        <f t="shared" ca="1" si="13"/>
        <v>11.096935177397528</v>
      </c>
      <c r="AH64">
        <f t="shared" ca="1" si="13"/>
        <v>11.084556783735893</v>
      </c>
    </row>
    <row r="65" spans="1:34">
      <c r="A65" t="str">
        <f>CYF!A65</f>
        <v>Coffee</v>
      </c>
      <c r="B65" t="str">
        <f>CYF!B65</f>
        <v>Oromia</v>
      </c>
      <c r="C65">
        <f t="shared" ca="1" si="15"/>
        <v>9.7681321627208817</v>
      </c>
      <c r="D65">
        <f t="shared" ca="1" si="15"/>
        <v>11.298375696726159</v>
      </c>
      <c r="E65">
        <f t="shared" ca="1" si="15"/>
        <v>10.396128725191922</v>
      </c>
      <c r="F65">
        <f t="shared" ca="1" si="15"/>
        <v>11.090346372560477</v>
      </c>
      <c r="G65">
        <f t="shared" ca="1" si="15"/>
        <v>9.2372585615454561</v>
      </c>
      <c r="H65">
        <f t="shared" ca="1" si="15"/>
        <v>12.406823211793274</v>
      </c>
      <c r="I65">
        <f t="shared" ca="1" si="15"/>
        <v>9.1834021841169484</v>
      </c>
      <c r="J65">
        <f t="shared" ca="1" si="15"/>
        <v>12.273766945578341</v>
      </c>
      <c r="K65">
        <f t="shared" ca="1" si="15"/>
        <v>9.2634998862433982</v>
      </c>
      <c r="L65">
        <f t="shared" ca="1" si="15"/>
        <v>11.578381338808038</v>
      </c>
      <c r="M65">
        <f t="shared" ca="1" si="15"/>
        <v>9.3416045527105513</v>
      </c>
      <c r="N65">
        <f t="shared" ca="1" si="15"/>
        <v>11.292701241364416</v>
      </c>
      <c r="O65">
        <f t="shared" ca="1" si="15"/>
        <v>9.2716249901426036</v>
      </c>
      <c r="P65">
        <f t="shared" ca="1" si="15"/>
        <v>12.455978718878809</v>
      </c>
      <c r="Q65">
        <f t="shared" ca="1" si="15"/>
        <v>11.430970901830154</v>
      </c>
      <c r="R65">
        <f t="shared" ca="1" si="15"/>
        <v>11.210411558435061</v>
      </c>
      <c r="S65">
        <f t="shared" ca="1" si="14"/>
        <v>10.298217452553995</v>
      </c>
      <c r="T65">
        <f t="shared" ca="1" si="14"/>
        <v>11.933160697018407</v>
      </c>
      <c r="U65">
        <f t="shared" ca="1" si="14"/>
        <v>9.2339643029039404</v>
      </c>
      <c r="V65">
        <f t="shared" ca="1" si="14"/>
        <v>11.811415961520931</v>
      </c>
      <c r="W65">
        <f t="shared" ca="1" si="14"/>
        <v>10.347468620096219</v>
      </c>
      <c r="X65">
        <f t="shared" ca="1" si="14"/>
        <v>11.840216342302893</v>
      </c>
      <c r="Y65">
        <f t="shared" ca="1" si="12"/>
        <v>9.293422191521751</v>
      </c>
      <c r="Z65">
        <f t="shared" ca="1" si="13"/>
        <v>11.183390046376854</v>
      </c>
      <c r="AA65">
        <f t="shared" ca="1" si="13"/>
        <v>9.3672172689674671</v>
      </c>
      <c r="AB65">
        <f t="shared" ca="1" si="13"/>
        <v>11.656515755350341</v>
      </c>
      <c r="AC65">
        <f t="shared" ca="1" si="13"/>
        <v>10.070424674359241</v>
      </c>
      <c r="AD65">
        <f t="shared" ca="1" si="13"/>
        <v>11.433839586805684</v>
      </c>
      <c r="AE65">
        <f t="shared" ca="1" si="13"/>
        <v>10.211768316122972</v>
      </c>
      <c r="AF65">
        <f t="shared" ca="1" si="13"/>
        <v>12.452452379442489</v>
      </c>
      <c r="AG65">
        <f t="shared" ca="1" si="13"/>
        <v>9.9027086302185339</v>
      </c>
      <c r="AH65">
        <f t="shared" ca="1" si="13"/>
        <v>11.299495819638974</v>
      </c>
    </row>
    <row r="66" spans="1:34">
      <c r="A66" t="str">
        <f>CYF!A66</f>
        <v>Coffee</v>
      </c>
      <c r="B66" t="str">
        <f>CYF!B66</f>
        <v>Somali</v>
      </c>
      <c r="C66">
        <f t="shared" ca="1" si="15"/>
        <v>9.6966472838455431</v>
      </c>
      <c r="D66">
        <f t="shared" ca="1" si="15"/>
        <v>11.103608726469636</v>
      </c>
      <c r="E66">
        <f t="shared" ca="1" si="15"/>
        <v>10.082987549122663</v>
      </c>
      <c r="F66">
        <f t="shared" ca="1" si="15"/>
        <v>11.630750939417522</v>
      </c>
      <c r="G66">
        <f t="shared" ca="1" si="15"/>
        <v>10.584289844464335</v>
      </c>
      <c r="H66">
        <f t="shared" ca="1" si="15"/>
        <v>11.129648221172481</v>
      </c>
      <c r="I66">
        <f t="shared" ca="1" si="15"/>
        <v>10.738574664041405</v>
      </c>
      <c r="J66">
        <f t="shared" ca="1" si="15"/>
        <v>11.153103473697804</v>
      </c>
      <c r="K66">
        <f t="shared" ca="1" si="15"/>
        <v>9.167159774623272</v>
      </c>
      <c r="L66">
        <f t="shared" ca="1" si="15"/>
        <v>11.154854129416144</v>
      </c>
      <c r="M66">
        <f t="shared" ca="1" si="15"/>
        <v>11.131970507895819</v>
      </c>
      <c r="N66">
        <f t="shared" ca="1" si="15"/>
        <v>11.070316047555993</v>
      </c>
      <c r="O66">
        <f t="shared" ca="1" si="15"/>
        <v>10.591159754294187</v>
      </c>
      <c r="P66">
        <f t="shared" ca="1" si="15"/>
        <v>12.023419739501097</v>
      </c>
      <c r="Q66">
        <f t="shared" ca="1" si="15"/>
        <v>9.193835871634672</v>
      </c>
      <c r="R66">
        <f t="shared" ca="1" si="15"/>
        <v>11.671519542103052</v>
      </c>
      <c r="S66">
        <f t="shared" ca="1" si="14"/>
        <v>9.1527909454201382</v>
      </c>
      <c r="T66">
        <f t="shared" ca="1" si="14"/>
        <v>11.320028112397086</v>
      </c>
      <c r="U66">
        <f t="shared" ca="1" si="14"/>
        <v>10.960011548898992</v>
      </c>
      <c r="V66">
        <f t="shared" ca="1" si="14"/>
        <v>11.431767105856942</v>
      </c>
      <c r="W66">
        <f t="shared" ca="1" si="14"/>
        <v>10.399105203053978</v>
      </c>
      <c r="X66">
        <f t="shared" ca="1" si="14"/>
        <v>11.298647352045535</v>
      </c>
      <c r="Y66">
        <f t="shared" ca="1" si="12"/>
        <v>10.368957906583896</v>
      </c>
      <c r="Z66">
        <f t="shared" ca="1" si="13"/>
        <v>11.679289179062462</v>
      </c>
      <c r="AA66">
        <f t="shared" ca="1" si="13"/>
        <v>10.549427180566202</v>
      </c>
      <c r="AB66">
        <f t="shared" ca="1" si="13"/>
        <v>12.459971238953404</v>
      </c>
      <c r="AC66">
        <f t="shared" ca="1" si="13"/>
        <v>10.076886181489821</v>
      </c>
      <c r="AD66">
        <f t="shared" ca="1" si="13"/>
        <v>11.774389449454603</v>
      </c>
      <c r="AE66">
        <f t="shared" ca="1" si="13"/>
        <v>9.2479531481743678</v>
      </c>
      <c r="AF66">
        <f t="shared" ca="1" si="13"/>
        <v>11.750432350395254</v>
      </c>
      <c r="AG66">
        <f t="shared" ca="1" si="13"/>
        <v>10.958470725329509</v>
      </c>
      <c r="AH66">
        <f t="shared" ca="1" si="13"/>
        <v>11.225218287198601</v>
      </c>
    </row>
    <row r="67" spans="1:34">
      <c r="A67" t="str">
        <f>CYF!A67</f>
        <v>Coffee</v>
      </c>
      <c r="B67" t="str">
        <f>CYF!B67</f>
        <v>SNNPR</v>
      </c>
      <c r="C67">
        <f t="shared" ca="1" si="15"/>
        <v>10.235393554223506</v>
      </c>
      <c r="D67">
        <f t="shared" ca="1" si="15"/>
        <v>12.362837014605848</v>
      </c>
      <c r="E67">
        <f t="shared" ca="1" si="15"/>
        <v>9.4449145753529038</v>
      </c>
      <c r="F67">
        <f t="shared" ca="1" si="15"/>
        <v>11.002282523937613</v>
      </c>
      <c r="G67">
        <f t="shared" ca="1" si="15"/>
        <v>10.856904347902676</v>
      </c>
      <c r="H67">
        <f t="shared" ca="1" si="15"/>
        <v>11.223951865676911</v>
      </c>
      <c r="I67">
        <f t="shared" ca="1" si="15"/>
        <v>9.4885387090879458</v>
      </c>
      <c r="J67">
        <f t="shared" ca="1" si="15"/>
        <v>12.433288747897157</v>
      </c>
      <c r="K67">
        <f t="shared" ca="1" si="15"/>
        <v>10.849231301353038</v>
      </c>
      <c r="L67">
        <f t="shared" ca="1" si="15"/>
        <v>11.972082179132427</v>
      </c>
      <c r="M67">
        <f t="shared" ca="1" si="15"/>
        <v>11.447261456850471</v>
      </c>
      <c r="N67">
        <f t="shared" ca="1" si="15"/>
        <v>11.068682312105853</v>
      </c>
      <c r="O67">
        <f t="shared" ca="1" si="15"/>
        <v>11.122748718153781</v>
      </c>
      <c r="P67">
        <f t="shared" ca="1" si="15"/>
        <v>11.288077080650899</v>
      </c>
      <c r="Q67">
        <f t="shared" ca="1" si="15"/>
        <v>9.749089995787223</v>
      </c>
      <c r="R67">
        <f t="shared" ca="1" si="15"/>
        <v>11.745163449494072</v>
      </c>
      <c r="S67">
        <f t="shared" ca="1" si="14"/>
        <v>10.537318460651171</v>
      </c>
      <c r="T67">
        <f t="shared" ca="1" si="14"/>
        <v>12.144077653881215</v>
      </c>
      <c r="U67">
        <f t="shared" ca="1" si="14"/>
        <v>11.193449405847456</v>
      </c>
      <c r="V67">
        <f t="shared" ca="1" si="14"/>
        <v>11.34701822345323</v>
      </c>
      <c r="W67">
        <f t="shared" ca="1" si="14"/>
        <v>10.250217331304443</v>
      </c>
      <c r="X67">
        <f t="shared" ca="1" si="14"/>
        <v>12.298727243551816</v>
      </c>
      <c r="Y67">
        <f t="shared" ca="1" si="12"/>
        <v>11.183299557249285</v>
      </c>
      <c r="Z67">
        <f t="shared" ca="1" si="13"/>
        <v>11.823610317616531</v>
      </c>
      <c r="AA67">
        <f t="shared" ca="1" si="13"/>
        <v>10.907488029531772</v>
      </c>
      <c r="AB67">
        <f t="shared" ca="1" si="13"/>
        <v>11.035923537066065</v>
      </c>
      <c r="AC67">
        <f t="shared" ca="1" si="13"/>
        <v>11.342964365878522</v>
      </c>
      <c r="AD67">
        <f t="shared" ca="1" si="13"/>
        <v>11.016354428420875</v>
      </c>
      <c r="AE67">
        <f t="shared" ca="1" si="13"/>
        <v>10.970388525650097</v>
      </c>
      <c r="AF67">
        <f t="shared" ca="1" si="13"/>
        <v>11.786373465240057</v>
      </c>
      <c r="AG67">
        <f t="shared" ca="1" si="13"/>
        <v>11.421339010490911</v>
      </c>
      <c r="AH67">
        <f t="shared" ca="1" si="13"/>
        <v>11.877437500867851</v>
      </c>
    </row>
    <row r="68" spans="1:34">
      <c r="A68" t="str">
        <f>CYF!A68</f>
        <v>Coffee</v>
      </c>
      <c r="B68" t="str">
        <f>CYF!B68</f>
        <v>Tigray</v>
      </c>
      <c r="C68">
        <f t="shared" ca="1" si="15"/>
        <v>11.483951902001937</v>
      </c>
      <c r="D68">
        <f t="shared" ca="1" si="15"/>
        <v>11.081393953228215</v>
      </c>
      <c r="E68">
        <f t="shared" ca="1" si="15"/>
        <v>9.2053754666313594</v>
      </c>
      <c r="F68">
        <f t="shared" ca="1" si="15"/>
        <v>11.260617929352167</v>
      </c>
      <c r="G68">
        <f t="shared" ca="1" si="15"/>
        <v>10.719451009355364</v>
      </c>
      <c r="H68">
        <f t="shared" ca="1" si="15"/>
        <v>11.166995575023648</v>
      </c>
      <c r="I68">
        <f t="shared" ca="1" si="15"/>
        <v>10.591145545658053</v>
      </c>
      <c r="J68">
        <f t="shared" ca="1" si="15"/>
        <v>12.203240966183545</v>
      </c>
      <c r="K68">
        <f t="shared" ca="1" si="15"/>
        <v>10.17425617681401</v>
      </c>
      <c r="L68">
        <f t="shared" ca="1" si="15"/>
        <v>11.737727728284199</v>
      </c>
      <c r="M68">
        <f t="shared" ca="1" si="15"/>
        <v>10.333797753147442</v>
      </c>
      <c r="N68">
        <f t="shared" ca="1" si="15"/>
        <v>11.343124734714282</v>
      </c>
      <c r="O68">
        <f t="shared" ca="1" si="15"/>
        <v>10.192506197246928</v>
      </c>
      <c r="P68">
        <f t="shared" ca="1" si="15"/>
        <v>11.882237527357576</v>
      </c>
      <c r="Q68">
        <f t="shared" ca="1" si="15"/>
        <v>9.903229789952956</v>
      </c>
      <c r="R68">
        <f t="shared" ca="1" si="15"/>
        <v>12.292708250243608</v>
      </c>
      <c r="S68">
        <f t="shared" ca="1" si="14"/>
        <v>10.272413119155674</v>
      </c>
      <c r="T68">
        <f t="shared" ca="1" si="14"/>
        <v>12.403287078540687</v>
      </c>
      <c r="U68">
        <f t="shared" ca="1" si="14"/>
        <v>10.09660245032091</v>
      </c>
      <c r="V68">
        <f t="shared" ca="1" si="14"/>
        <v>11.951729228714338</v>
      </c>
      <c r="W68">
        <f t="shared" ca="1" si="14"/>
        <v>10.299506067265561</v>
      </c>
      <c r="X68">
        <f t="shared" ca="1" si="14"/>
        <v>12.071506392395575</v>
      </c>
      <c r="Y68">
        <f t="shared" ca="1" si="12"/>
        <v>11.204060712933895</v>
      </c>
      <c r="Z68">
        <f t="shared" ca="1" si="13"/>
        <v>12.434025616984293</v>
      </c>
      <c r="AA68">
        <f t="shared" ca="1" si="13"/>
        <v>9.4478135980597777</v>
      </c>
      <c r="AB68">
        <f t="shared" ca="1" si="13"/>
        <v>11.573272450846535</v>
      </c>
      <c r="AC68">
        <f t="shared" ca="1" si="13"/>
        <v>11.227238825396586</v>
      </c>
      <c r="AD68">
        <f t="shared" ca="1" si="13"/>
        <v>12.499138861601338</v>
      </c>
      <c r="AE68">
        <f t="shared" ca="1" si="13"/>
        <v>10.465562516431634</v>
      </c>
      <c r="AF68">
        <f t="shared" ca="1" si="13"/>
        <v>11.340830712427852</v>
      </c>
      <c r="AG68">
        <f t="shared" ca="1" si="13"/>
        <v>10.650470304757658</v>
      </c>
      <c r="AH68">
        <f t="shared" ca="1" si="13"/>
        <v>11.318529846680915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  <c r="P122">
        <v>5</v>
      </c>
      <c r="Q122">
        <v>5</v>
      </c>
    </row>
    <row r="123" spans="1:17">
      <c r="A123" t="str">
        <v>Afar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</row>
    <row r="124" spans="1:17">
      <c r="A124" t="str">
        <v>Amhara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</row>
    <row r="125" spans="1:17">
      <c r="A125" t="str">
        <v>Gumuz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  <c r="P125">
        <v>5</v>
      </c>
      <c r="Q125">
        <v>5</v>
      </c>
    </row>
    <row r="126" spans="1:17">
      <c r="A126" t="str">
        <v>DireDawa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</row>
    <row r="127" spans="1:17">
      <c r="A127" t="str">
        <v>Gambela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  <c r="P127">
        <v>5</v>
      </c>
      <c r="Q127">
        <v>5</v>
      </c>
    </row>
    <row r="128" spans="1:17">
      <c r="A128" t="str">
        <v>Harari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</row>
    <row r="129" spans="1:17">
      <c r="A129" t="str">
        <v>Oromia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</row>
    <row r="130" spans="1:17">
      <c r="A130" t="str">
        <v>Somali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</row>
    <row r="131" spans="1:17">
      <c r="A131" t="str">
        <v>SNNPR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</row>
    <row r="132" spans="1:17">
      <c r="A132" t="str">
        <v>Tigray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</row>
    <row r="141" spans="1:17">
      <c r="A141" t="str">
        <f t="array" ref="A141:A151">Nodes</f>
        <v>AddisAbaba</v>
      </c>
      <c r="B141" s="3">
        <v>0</v>
      </c>
    </row>
    <row r="142" spans="1:17">
      <c r="A142" t="str">
        <v>Afar</v>
      </c>
      <c r="B142" s="3">
        <f>9.3+2</f>
        <v>11.3</v>
      </c>
    </row>
    <row r="143" spans="1:17">
      <c r="A143" t="str">
        <v>Amhara</v>
      </c>
      <c r="B143" s="3">
        <f>4149+143+66+L164</f>
        <v>4424</v>
      </c>
    </row>
    <row r="144" spans="1:17">
      <c r="A144" t="str">
        <v>Gumuz</v>
      </c>
      <c r="B144" s="3">
        <f>1.7+227.5+L165</f>
        <v>231.6</v>
      </c>
    </row>
    <row r="145" spans="1:13">
      <c r="A145" t="str">
        <v>DireDawa</v>
      </c>
      <c r="B145" s="3">
        <f>9.6+1</f>
        <v>10.6</v>
      </c>
    </row>
    <row r="146" spans="1:13">
      <c r="A146" t="str">
        <v>Gambela</v>
      </c>
      <c r="B146" s="2">
        <f>9.7+M167+L167</f>
        <v>13.49</v>
      </c>
    </row>
    <row r="147" spans="1:13">
      <c r="A147" t="str">
        <v>Harari</v>
      </c>
      <c r="B147" s="3">
        <v>9.4</v>
      </c>
    </row>
    <row r="148" spans="1:13">
      <c r="A148" t="str">
        <v>Oromia</v>
      </c>
      <c r="B148" s="3">
        <f>56+592</f>
        <v>648</v>
      </c>
    </row>
    <row r="149" spans="1:13">
      <c r="A149" t="str">
        <v>Somali</v>
      </c>
      <c r="B149" s="3">
        <f>70+20</f>
        <v>90</v>
      </c>
    </row>
    <row r="150" spans="1:13">
      <c r="A150" t="str">
        <v>SNNPR</v>
      </c>
      <c r="B150" s="3">
        <f>345+1067+L171+M171</f>
        <v>1676</v>
      </c>
    </row>
    <row r="151" spans="1:13">
      <c r="A151" t="str">
        <v>Tigray</v>
      </c>
      <c r="B151" s="3">
        <f>19+834+L172</f>
        <v>858.1</v>
      </c>
    </row>
    <row r="153" spans="1:13">
      <c r="B153">
        <f>11822+1125</f>
        <v>12947</v>
      </c>
    </row>
    <row r="160" spans="1:13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3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</row>
    <row r="161" spans="1:13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  <c r="H161" t="str">
        <f t="array" ref="H161:M161">TRANSPOSE(Crops)</f>
        <v>Teff</v>
      </c>
      <c r="I161" t="str">
        <v>Sorghum</v>
      </c>
      <c r="J161" t="str">
        <v>Maize</v>
      </c>
      <c r="K161" t="str">
        <v>Lentils</v>
      </c>
      <c r="L161" t="str">
        <v>Vegetables</v>
      </c>
      <c r="M161" t="str">
        <v>Coffee</v>
      </c>
    </row>
    <row r="162" spans="1:13">
      <c r="A162" t="str">
        <f t="array" ref="A162:A172">Nodes</f>
        <v>AddisAbaba</v>
      </c>
      <c r="B162" s="2">
        <v>0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</row>
    <row r="163" spans="1:13">
      <c r="A163" t="str">
        <v>Afar</v>
      </c>
      <c r="B163" s="2">
        <v>1</v>
      </c>
      <c r="C163" s="2">
        <f t="shared" ref="B163:G163" si="16">$B142/6*0.6</f>
        <v>1.1300000000000001</v>
      </c>
      <c r="D163" s="2">
        <f t="shared" si="16"/>
        <v>1.1300000000000001</v>
      </c>
      <c r="E163" s="2">
        <v>0.6</v>
      </c>
      <c r="F163" s="2">
        <v>0</v>
      </c>
      <c r="G163" s="2">
        <f t="shared" si="16"/>
        <v>1.1300000000000001</v>
      </c>
      <c r="H163" s="2">
        <v>1</v>
      </c>
      <c r="I163" s="2">
        <v>2.7</v>
      </c>
      <c r="J163" s="2">
        <v>0</v>
      </c>
      <c r="K163" s="2">
        <v>0.1</v>
      </c>
      <c r="L163" s="2">
        <v>0</v>
      </c>
      <c r="M163" s="2">
        <v>0</v>
      </c>
    </row>
    <row r="164" spans="1:13">
      <c r="A164" t="str">
        <v>Amhara</v>
      </c>
      <c r="B164" s="2">
        <f>27+58</f>
        <v>85</v>
      </c>
      <c r="C164" s="2">
        <v>9</v>
      </c>
      <c r="D164" s="2">
        <v>13</v>
      </c>
      <c r="E164" s="2">
        <v>34</v>
      </c>
      <c r="F164" s="2">
        <v>0</v>
      </c>
      <c r="G164" s="2">
        <v>0</v>
      </c>
      <c r="H164" s="2">
        <f>1014+328</f>
        <v>1342</v>
      </c>
      <c r="I164" s="2">
        <f>498+710</f>
        <v>1208</v>
      </c>
      <c r="J164" s="2">
        <f>472+216</f>
        <v>688</v>
      </c>
      <c r="K164" s="2">
        <f>553</f>
        <v>553</v>
      </c>
      <c r="L164" s="2">
        <f>32+34</f>
        <v>66</v>
      </c>
      <c r="M164" s="2">
        <f>325+12</f>
        <v>337</v>
      </c>
    </row>
    <row r="165" spans="1:13">
      <c r="A165" t="str">
        <v>Gumuz</v>
      </c>
      <c r="B165" s="2">
        <v>0</v>
      </c>
      <c r="C165" s="2">
        <v>0</v>
      </c>
      <c r="D165" s="2">
        <v>0.4</v>
      </c>
      <c r="E165" s="2">
        <v>1.2</v>
      </c>
      <c r="F165" s="2">
        <v>0</v>
      </c>
      <c r="G165" s="2">
        <v>0</v>
      </c>
      <c r="H165" s="2">
        <f>23.6+1.2</f>
        <v>24.8</v>
      </c>
      <c r="I165" s="2">
        <f>66.5+2.7</f>
        <v>69.2</v>
      </c>
      <c r="J165" s="2">
        <f>43.8+29.4</f>
        <v>73.199999999999989</v>
      </c>
      <c r="K165" s="2">
        <v>11</v>
      </c>
      <c r="L165" s="2">
        <v>2.4</v>
      </c>
      <c r="M165" s="2">
        <f>48.4+0.8</f>
        <v>49.199999999999996</v>
      </c>
    </row>
    <row r="166" spans="1:13">
      <c r="A166" t="str">
        <v>DireDawa</v>
      </c>
      <c r="B166" s="2">
        <v>0</v>
      </c>
      <c r="C166" s="2">
        <v>0</v>
      </c>
      <c r="D166" s="2">
        <v>0.1</v>
      </c>
      <c r="E166" s="2">
        <v>0</v>
      </c>
      <c r="F166" s="2">
        <v>0</v>
      </c>
      <c r="G166" s="2">
        <v>0</v>
      </c>
      <c r="H166" s="2">
        <v>0</v>
      </c>
      <c r="I166" s="2">
        <v>8.8000000000000007</v>
      </c>
      <c r="J166" s="2">
        <v>0.3</v>
      </c>
      <c r="K166" s="2">
        <v>0.27</v>
      </c>
      <c r="L166" s="2">
        <v>0.2</v>
      </c>
      <c r="M166" s="2">
        <v>0.3</v>
      </c>
    </row>
    <row r="167" spans="1:13">
      <c r="A167" t="str">
        <v>Gambela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3.5</v>
      </c>
      <c r="J167" s="2">
        <v>6</v>
      </c>
      <c r="K167" s="2">
        <v>0.16</v>
      </c>
      <c r="L167" s="2">
        <f>0.13+0.26</f>
        <v>0.39</v>
      </c>
      <c r="M167" s="2">
        <v>3.4</v>
      </c>
    </row>
    <row r="168" spans="1:13">
      <c r="A168" t="str">
        <v>Harari</v>
      </c>
      <c r="B168" s="2">
        <v>0</v>
      </c>
      <c r="C168" s="2">
        <v>0</v>
      </c>
      <c r="D168" s="2">
        <v>0</v>
      </c>
      <c r="E168" s="2">
        <v>0.2</v>
      </c>
      <c r="F168" s="2">
        <v>0</v>
      </c>
      <c r="G168" s="2">
        <v>0</v>
      </c>
      <c r="H168" s="2">
        <v>0</v>
      </c>
      <c r="I168" s="2">
        <f>6.7+0.12</f>
        <v>6.82</v>
      </c>
      <c r="J168" s="2">
        <f>0.1</f>
        <v>0.1</v>
      </c>
      <c r="K168" s="2">
        <v>0</v>
      </c>
      <c r="L168" s="2">
        <v>0</v>
      </c>
      <c r="M168" s="2">
        <v>1.6</v>
      </c>
    </row>
    <row r="169" spans="1:13">
      <c r="A169" t="str">
        <v>Oromia</v>
      </c>
      <c r="B169" s="2">
        <f>53+135</f>
        <v>188</v>
      </c>
      <c r="C169" s="2">
        <f>15+99</f>
        <v>114</v>
      </c>
      <c r="D169" s="2">
        <v>185</v>
      </c>
      <c r="E169" s="2">
        <v>82</v>
      </c>
      <c r="F169" s="2">
        <v>0</v>
      </c>
      <c r="G169" s="2">
        <v>0</v>
      </c>
      <c r="H169" s="2">
        <f>9.7+0.7</f>
        <v>10.399999999999999</v>
      </c>
      <c r="I169" s="2">
        <v>35</v>
      </c>
      <c r="J169" s="2">
        <v>6</v>
      </c>
      <c r="K169" s="2">
        <v>2.2999999999999998</v>
      </c>
      <c r="L169" s="2">
        <v>0.3</v>
      </c>
      <c r="M169" s="2">
        <v>0</v>
      </c>
    </row>
    <row r="170" spans="1:13">
      <c r="A170" t="str">
        <v>Somali</v>
      </c>
      <c r="B170" s="2">
        <v>0</v>
      </c>
      <c r="C170" s="2">
        <v>0.4</v>
      </c>
      <c r="D170" s="2">
        <v>19.5</v>
      </c>
      <c r="E170" s="2">
        <v>0.3</v>
      </c>
      <c r="F170" s="2">
        <v>0</v>
      </c>
      <c r="G170" s="2">
        <v>0</v>
      </c>
      <c r="H170" s="2">
        <v>0</v>
      </c>
      <c r="I170" s="2">
        <f>34.6+4.3</f>
        <v>38.9</v>
      </c>
      <c r="J170" s="2">
        <v>28</v>
      </c>
      <c r="K170" s="2">
        <v>0</v>
      </c>
      <c r="L170" s="2">
        <v>0</v>
      </c>
      <c r="M170" s="2">
        <v>0</v>
      </c>
    </row>
    <row r="171" spans="1:13">
      <c r="A171" t="str">
        <v>SNNPR</v>
      </c>
      <c r="B171" s="2">
        <f>18+15</f>
        <v>33</v>
      </c>
      <c r="C171" s="2">
        <f>28</f>
        <v>28</v>
      </c>
      <c r="D171" s="2">
        <f>202+1</f>
        <v>203</v>
      </c>
      <c r="E171" s="2">
        <v>77</v>
      </c>
      <c r="F171" s="2">
        <v>0</v>
      </c>
      <c r="G171" s="2">
        <v>1</v>
      </c>
      <c r="H171" s="2">
        <f>265.3+111.7</f>
        <v>377</v>
      </c>
      <c r="I171" s="2">
        <f>107.7+131.16</f>
        <v>238.86</v>
      </c>
      <c r="J171" s="2">
        <f>237.3+3.8</f>
        <v>241.10000000000002</v>
      </c>
      <c r="K171" s="2">
        <v>202</v>
      </c>
      <c r="L171" s="2">
        <f>38+91</f>
        <v>129</v>
      </c>
      <c r="M171" s="2">
        <f>130+5</f>
        <v>135</v>
      </c>
    </row>
    <row r="172" spans="1:13">
      <c r="A172" t="str">
        <v>Tigray</v>
      </c>
      <c r="B172" s="2">
        <v>15</v>
      </c>
      <c r="C172" s="2">
        <v>0</v>
      </c>
      <c r="D172" s="2">
        <v>2</v>
      </c>
      <c r="E172" s="2">
        <v>0</v>
      </c>
      <c r="F172" s="2">
        <v>0.6</v>
      </c>
      <c r="G172" s="2">
        <v>0</v>
      </c>
      <c r="H172" s="2">
        <f>165+90</f>
        <v>255</v>
      </c>
      <c r="I172" s="2">
        <f>100+216</f>
        <v>316</v>
      </c>
      <c r="J172" s="2">
        <v>135</v>
      </c>
      <c r="K172" s="2">
        <v>37</v>
      </c>
      <c r="L172" s="2">
        <f>2.8+2.3</f>
        <v>5.0999999999999996</v>
      </c>
      <c r="M172" s="2">
        <v>70</v>
      </c>
    </row>
    <row r="181" spans="1:13">
      <c r="B181" t="str">
        <f t="array" ref="B181:G181">TRANSPOSE(Crops)</f>
        <v>Teff</v>
      </c>
      <c r="C181" t="str">
        <v>Sorghum</v>
      </c>
      <c r="D181" t="str">
        <v>Maize</v>
      </c>
      <c r="E181" t="str">
        <v>Lentils</v>
      </c>
      <c r="F181" t="str">
        <v>Vegetables</v>
      </c>
      <c r="G181" t="str">
        <v>Coffee</v>
      </c>
      <c r="H181" t="str">
        <f t="array" ref="H181:M181">TRANSPOSE(Crops)</f>
        <v>Teff</v>
      </c>
      <c r="I181" t="str">
        <v>Sorghum</v>
      </c>
      <c r="J181" t="str">
        <v>Maize</v>
      </c>
      <c r="K181" t="str">
        <v>Lentils</v>
      </c>
      <c r="L181" t="str">
        <v>Vegetables</v>
      </c>
      <c r="M181" t="str">
        <v>Coffee</v>
      </c>
    </row>
    <row r="182" spans="1:13">
      <c r="A182" t="str">
        <f t="array" ref="A182:A192">Nodes</f>
        <v>AddisAbaba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</row>
    <row r="183" spans="1:13">
      <c r="A183" t="str">
        <v>Afar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</row>
    <row r="184" spans="1:13">
      <c r="A184" t="str">
        <v>Amhara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</row>
    <row r="185" spans="1:13">
      <c r="A185" t="str">
        <v>Gumuz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</row>
    <row r="186" spans="1:13">
      <c r="A186" t="str">
        <v>DireDawa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</row>
    <row r="187" spans="1:13">
      <c r="A187" t="str">
        <v>Gambela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</row>
    <row r="188" spans="1:13">
      <c r="A188" t="str">
        <v>Harari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</row>
    <row r="189" spans="1:13">
      <c r="A189" t="str">
        <v>Oromia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</row>
    <row r="190" spans="1:13">
      <c r="A190" t="str">
        <v>Somali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</row>
    <row r="191" spans="1:13">
      <c r="A191" t="str">
        <v>SNNPR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</row>
    <row r="192" spans="1:13">
      <c r="A192" t="str">
        <v>Tigray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/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0.2</v>
      </c>
      <c r="E3" s="2">
        <v>0.2</v>
      </c>
      <c r="F3" s="2">
        <v>0.2</v>
      </c>
      <c r="G3" s="2">
        <v>0.2</v>
      </c>
      <c r="H3" s="2">
        <v>0.2</v>
      </c>
      <c r="I3" s="2">
        <v>0.2</v>
      </c>
      <c r="J3" s="2">
        <v>0.2</v>
      </c>
      <c r="K3" s="2">
        <v>0.2</v>
      </c>
      <c r="L3" s="2">
        <v>0.2</v>
      </c>
      <c r="M3" s="2">
        <v>0.2</v>
      </c>
      <c r="N3" s="2">
        <v>0.2</v>
      </c>
      <c r="O3" s="2">
        <v>0.2</v>
      </c>
      <c r="P3" s="2">
        <v>0.2</v>
      </c>
      <c r="Q3" s="2">
        <v>0.2</v>
      </c>
      <c r="R3" s="2">
        <v>0.2</v>
      </c>
      <c r="S3" s="2">
        <v>0.2</v>
      </c>
      <c r="T3" s="2">
        <v>0.2</v>
      </c>
      <c r="U3" s="2">
        <v>0.2</v>
      </c>
      <c r="V3" s="2">
        <v>0.2</v>
      </c>
      <c r="W3" s="2">
        <v>0.2</v>
      </c>
      <c r="X3" s="2">
        <v>0.2</v>
      </c>
      <c r="Y3" s="2">
        <v>0.2</v>
      </c>
      <c r="Z3" s="2">
        <v>0.2</v>
      </c>
      <c r="AA3" s="2">
        <v>0.2</v>
      </c>
      <c r="AB3" s="2">
        <v>0.2</v>
      </c>
      <c r="AC3" s="2">
        <v>0.2</v>
      </c>
      <c r="AD3" s="2">
        <v>0.2</v>
      </c>
      <c r="AE3" s="2">
        <v>0.2</v>
      </c>
      <c r="AF3" s="2">
        <v>0.2</v>
      </c>
      <c r="AG3" s="2">
        <v>0.2</v>
      </c>
      <c r="AH3" s="2">
        <v>0.2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0.2</v>
      </c>
      <c r="E4" s="2">
        <v>0.2</v>
      </c>
      <c r="F4" s="2">
        <v>0.2</v>
      </c>
      <c r="G4" s="2">
        <v>0.2</v>
      </c>
      <c r="H4" s="2">
        <v>0.2</v>
      </c>
      <c r="I4" s="2">
        <v>0.2</v>
      </c>
      <c r="J4" s="2">
        <v>0.2</v>
      </c>
      <c r="K4" s="2">
        <v>0.2</v>
      </c>
      <c r="L4" s="2">
        <v>0.2</v>
      </c>
      <c r="M4" s="2">
        <v>0.2</v>
      </c>
      <c r="N4" s="2">
        <v>0.2</v>
      </c>
      <c r="O4" s="2">
        <v>0.2</v>
      </c>
      <c r="P4" s="2">
        <v>0.2</v>
      </c>
      <c r="Q4" s="2">
        <v>0.2</v>
      </c>
      <c r="R4" s="2">
        <v>0.2</v>
      </c>
      <c r="S4" s="2">
        <v>0.2</v>
      </c>
      <c r="T4" s="2">
        <v>0.2</v>
      </c>
      <c r="U4" s="2">
        <v>0.2</v>
      </c>
      <c r="V4" s="2">
        <v>0.2</v>
      </c>
      <c r="W4" s="2">
        <v>0.2</v>
      </c>
      <c r="X4" s="2">
        <v>0.2</v>
      </c>
      <c r="Y4" s="2">
        <v>0.2</v>
      </c>
      <c r="Z4" s="2">
        <v>0.2</v>
      </c>
      <c r="AA4" s="2">
        <v>0.2</v>
      </c>
      <c r="AB4" s="2">
        <v>0.2</v>
      </c>
      <c r="AC4" s="2">
        <v>0.2</v>
      </c>
      <c r="AD4" s="2">
        <v>0.2</v>
      </c>
      <c r="AE4" s="2">
        <v>0.2</v>
      </c>
      <c r="AF4" s="2">
        <v>0.2</v>
      </c>
      <c r="AG4" s="2">
        <v>0.2</v>
      </c>
      <c r="AH4" s="2">
        <v>0.2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0.2</v>
      </c>
      <c r="E5" s="2">
        <v>0.2</v>
      </c>
      <c r="F5" s="2">
        <v>0.2</v>
      </c>
      <c r="G5" s="2">
        <v>0.2</v>
      </c>
      <c r="H5" s="2">
        <v>0.2</v>
      </c>
      <c r="I5" s="2">
        <v>0.2</v>
      </c>
      <c r="J5" s="2">
        <v>0.2</v>
      </c>
      <c r="K5" s="2">
        <v>0.2</v>
      </c>
      <c r="L5" s="2">
        <v>0.2</v>
      </c>
      <c r="M5" s="2">
        <v>0.2</v>
      </c>
      <c r="N5" s="2">
        <v>0.2</v>
      </c>
      <c r="O5" s="2">
        <v>0.2</v>
      </c>
      <c r="P5" s="2">
        <v>0.2</v>
      </c>
      <c r="Q5" s="2">
        <v>0.2</v>
      </c>
      <c r="R5" s="2">
        <v>0.2</v>
      </c>
      <c r="S5" s="2">
        <v>0.2</v>
      </c>
      <c r="T5" s="2">
        <v>0.2</v>
      </c>
      <c r="U5" s="2">
        <v>0.2</v>
      </c>
      <c r="V5" s="2">
        <v>0.2</v>
      </c>
      <c r="W5" s="2">
        <v>0.2</v>
      </c>
      <c r="X5" s="2">
        <v>0.2</v>
      </c>
      <c r="Y5" s="2">
        <v>0.2</v>
      </c>
      <c r="Z5" s="2">
        <v>0.2</v>
      </c>
      <c r="AA5" s="2">
        <v>0.2</v>
      </c>
      <c r="AB5" s="2">
        <v>0.2</v>
      </c>
      <c r="AC5" s="2">
        <v>0.2</v>
      </c>
      <c r="AD5" s="2">
        <v>0.2</v>
      </c>
      <c r="AE5" s="2">
        <v>0.2</v>
      </c>
      <c r="AF5" s="2">
        <v>0.2</v>
      </c>
      <c r="AG5" s="2">
        <v>0.2</v>
      </c>
      <c r="AH5" s="2">
        <v>0.2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0.2</v>
      </c>
      <c r="E6" s="2">
        <v>0.2</v>
      </c>
      <c r="F6" s="2">
        <v>0.2</v>
      </c>
      <c r="G6" s="2">
        <v>0.2</v>
      </c>
      <c r="H6" s="2">
        <v>0.2</v>
      </c>
      <c r="I6" s="2">
        <v>0.2</v>
      </c>
      <c r="J6" s="2">
        <v>0.2</v>
      </c>
      <c r="K6" s="2">
        <v>0.2</v>
      </c>
      <c r="L6" s="2">
        <v>0.2</v>
      </c>
      <c r="M6" s="2">
        <v>0.2</v>
      </c>
      <c r="N6" s="2">
        <v>0.2</v>
      </c>
      <c r="O6" s="2">
        <v>0.2</v>
      </c>
      <c r="P6" s="2">
        <v>0.2</v>
      </c>
      <c r="Q6" s="2">
        <v>0.2</v>
      </c>
      <c r="R6" s="2">
        <v>0.2</v>
      </c>
      <c r="S6" s="2">
        <v>0.2</v>
      </c>
      <c r="T6" s="2">
        <v>0.2</v>
      </c>
      <c r="U6" s="2">
        <v>0.2</v>
      </c>
      <c r="V6" s="2">
        <v>0.2</v>
      </c>
      <c r="W6" s="2">
        <v>0.2</v>
      </c>
      <c r="X6" s="2">
        <v>0.2</v>
      </c>
      <c r="Y6" s="2">
        <v>0.2</v>
      </c>
      <c r="Z6" s="2">
        <v>0.2</v>
      </c>
      <c r="AA6" s="2">
        <v>0.2</v>
      </c>
      <c r="AB6" s="2">
        <v>0.2</v>
      </c>
      <c r="AC6" s="2">
        <v>0.2</v>
      </c>
      <c r="AD6" s="2">
        <v>0.2</v>
      </c>
      <c r="AE6" s="2">
        <v>0.2</v>
      </c>
      <c r="AF6" s="2">
        <v>0.2</v>
      </c>
      <c r="AG6" s="2">
        <v>0.2</v>
      </c>
      <c r="AH6" s="2">
        <v>0.2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0.2</v>
      </c>
      <c r="E7" s="2">
        <v>0.2</v>
      </c>
      <c r="F7" s="2">
        <v>0.2</v>
      </c>
      <c r="G7" s="2">
        <v>0.2</v>
      </c>
      <c r="H7" s="2">
        <v>0.2</v>
      </c>
      <c r="I7" s="2">
        <v>0.2</v>
      </c>
      <c r="J7" s="2">
        <v>0.2</v>
      </c>
      <c r="K7" s="2">
        <v>0.2</v>
      </c>
      <c r="L7" s="2">
        <v>0.2</v>
      </c>
      <c r="M7" s="2">
        <v>0.2</v>
      </c>
      <c r="N7" s="2">
        <v>0.2</v>
      </c>
      <c r="O7" s="2">
        <v>0.2</v>
      </c>
      <c r="P7" s="2">
        <v>0.2</v>
      </c>
      <c r="Q7" s="2">
        <v>0.2</v>
      </c>
      <c r="R7" s="2">
        <v>0.2</v>
      </c>
      <c r="S7" s="2">
        <v>0.2</v>
      </c>
      <c r="T7" s="2">
        <v>0.2</v>
      </c>
      <c r="U7" s="2">
        <v>0.2</v>
      </c>
      <c r="V7" s="2">
        <v>0.2</v>
      </c>
      <c r="W7" s="2">
        <v>0.2</v>
      </c>
      <c r="X7" s="2">
        <v>0.2</v>
      </c>
      <c r="Y7" s="2">
        <v>0.2</v>
      </c>
      <c r="Z7" s="2">
        <v>0.2</v>
      </c>
      <c r="AA7" s="2">
        <v>0.2</v>
      </c>
      <c r="AB7" s="2">
        <v>0.2</v>
      </c>
      <c r="AC7" s="2">
        <v>0.2</v>
      </c>
      <c r="AD7" s="2">
        <v>0.2</v>
      </c>
      <c r="AE7" s="2">
        <v>0.2</v>
      </c>
      <c r="AF7" s="2">
        <v>0.2</v>
      </c>
      <c r="AG7" s="2">
        <v>0.2</v>
      </c>
      <c r="AH7" s="2">
        <v>0.2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0.2</v>
      </c>
      <c r="E8" s="2">
        <v>0.2</v>
      </c>
      <c r="F8" s="2">
        <v>0.2</v>
      </c>
      <c r="G8" s="2">
        <v>0.2</v>
      </c>
      <c r="H8" s="2">
        <v>0.2</v>
      </c>
      <c r="I8" s="2">
        <v>0.2</v>
      </c>
      <c r="J8" s="2">
        <v>0.2</v>
      </c>
      <c r="K8" s="2">
        <v>0.2</v>
      </c>
      <c r="L8" s="2">
        <v>0.2</v>
      </c>
      <c r="M8" s="2">
        <v>0.2</v>
      </c>
      <c r="N8" s="2">
        <v>0.2</v>
      </c>
      <c r="O8" s="2">
        <v>0.2</v>
      </c>
      <c r="P8" s="2">
        <v>0.2</v>
      </c>
      <c r="Q8" s="2">
        <v>0.2</v>
      </c>
      <c r="R8" s="2">
        <v>0.2</v>
      </c>
      <c r="S8" s="2">
        <v>0.2</v>
      </c>
      <c r="T8" s="2">
        <v>0.2</v>
      </c>
      <c r="U8" s="2">
        <v>0.2</v>
      </c>
      <c r="V8" s="2">
        <v>0.2</v>
      </c>
      <c r="W8" s="2">
        <v>0.2</v>
      </c>
      <c r="X8" s="2">
        <v>0.2</v>
      </c>
      <c r="Y8" s="2">
        <v>0.2</v>
      </c>
      <c r="Z8" s="2">
        <v>0.2</v>
      </c>
      <c r="AA8" s="2">
        <v>0.2</v>
      </c>
      <c r="AB8" s="2">
        <v>0.2</v>
      </c>
      <c r="AC8" s="2">
        <v>0.2</v>
      </c>
      <c r="AD8" s="2">
        <v>0.2</v>
      </c>
      <c r="AE8" s="2">
        <v>0.2</v>
      </c>
      <c r="AF8" s="2">
        <v>0.2</v>
      </c>
      <c r="AG8" s="2">
        <v>0.2</v>
      </c>
      <c r="AH8" s="2">
        <v>0.2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0.2</v>
      </c>
      <c r="E9" s="2">
        <v>0.2</v>
      </c>
      <c r="F9" s="2">
        <v>0.2</v>
      </c>
      <c r="G9" s="2">
        <v>0.2</v>
      </c>
      <c r="H9" s="2">
        <v>0.2</v>
      </c>
      <c r="I9" s="2">
        <v>0.2</v>
      </c>
      <c r="J9" s="2">
        <v>0.2</v>
      </c>
      <c r="K9" s="2">
        <v>0.2</v>
      </c>
      <c r="L9" s="2">
        <v>0.2</v>
      </c>
      <c r="M9" s="2">
        <v>0.2</v>
      </c>
      <c r="N9" s="2">
        <v>0.2</v>
      </c>
      <c r="O9" s="2">
        <v>0.2</v>
      </c>
      <c r="P9" s="2">
        <v>0.2</v>
      </c>
      <c r="Q9" s="2">
        <v>0.2</v>
      </c>
      <c r="R9" s="2">
        <v>0.2</v>
      </c>
      <c r="S9" s="2">
        <v>0.2</v>
      </c>
      <c r="T9" s="2">
        <v>0.2</v>
      </c>
      <c r="U9" s="2">
        <v>0.2</v>
      </c>
      <c r="V9" s="2">
        <v>0.2</v>
      </c>
      <c r="W9" s="2">
        <v>0.2</v>
      </c>
      <c r="X9" s="2">
        <v>0.2</v>
      </c>
      <c r="Y9" s="2">
        <v>0.2</v>
      </c>
      <c r="Z9" s="2">
        <v>0.2</v>
      </c>
      <c r="AA9" s="2">
        <v>0.2</v>
      </c>
      <c r="AB9" s="2">
        <v>0.2</v>
      </c>
      <c r="AC9" s="2">
        <v>0.2</v>
      </c>
      <c r="AD9" s="2">
        <v>0.2</v>
      </c>
      <c r="AE9" s="2">
        <v>0.2</v>
      </c>
      <c r="AF9" s="2">
        <v>0.2</v>
      </c>
      <c r="AG9" s="2">
        <v>0.2</v>
      </c>
      <c r="AH9" s="2">
        <v>0.2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0.2</v>
      </c>
      <c r="E10" s="2">
        <v>0.2</v>
      </c>
      <c r="F10" s="2">
        <v>0.2</v>
      </c>
      <c r="G10" s="2">
        <v>0.2</v>
      </c>
      <c r="H10" s="2">
        <v>0.2</v>
      </c>
      <c r="I10" s="2">
        <v>0.2</v>
      </c>
      <c r="J10" s="2">
        <v>0.2</v>
      </c>
      <c r="K10" s="2">
        <v>0.2</v>
      </c>
      <c r="L10" s="2">
        <v>0.2</v>
      </c>
      <c r="M10" s="2">
        <v>0.2</v>
      </c>
      <c r="N10" s="2">
        <v>0.2</v>
      </c>
      <c r="O10" s="2">
        <v>0.2</v>
      </c>
      <c r="P10" s="2">
        <v>0.2</v>
      </c>
      <c r="Q10" s="2">
        <v>0.2</v>
      </c>
      <c r="R10" s="2">
        <v>0.2</v>
      </c>
      <c r="S10" s="2">
        <v>0.2</v>
      </c>
      <c r="T10" s="2">
        <v>0.2</v>
      </c>
      <c r="U10" s="2">
        <v>0.2</v>
      </c>
      <c r="V10" s="2">
        <v>0.2</v>
      </c>
      <c r="W10" s="2">
        <v>0.2</v>
      </c>
      <c r="X10" s="2">
        <v>0.2</v>
      </c>
      <c r="Y10" s="2">
        <v>0.2</v>
      </c>
      <c r="Z10" s="2">
        <v>0.2</v>
      </c>
      <c r="AA10" s="2">
        <v>0.2</v>
      </c>
      <c r="AB10" s="2">
        <v>0.2</v>
      </c>
      <c r="AC10" s="2">
        <v>0.2</v>
      </c>
      <c r="AD10" s="2">
        <v>0.2</v>
      </c>
      <c r="AE10" s="2">
        <v>0.2</v>
      </c>
      <c r="AF10" s="2">
        <v>0.2</v>
      </c>
      <c r="AG10" s="2">
        <v>0.2</v>
      </c>
      <c r="AH10" s="2">
        <v>0.2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0.2</v>
      </c>
      <c r="E11" s="2">
        <v>0.2</v>
      </c>
      <c r="F11" s="2">
        <v>0.2</v>
      </c>
      <c r="G11" s="2">
        <v>0.2</v>
      </c>
      <c r="H11" s="2">
        <v>0.2</v>
      </c>
      <c r="I11" s="2">
        <v>0.2</v>
      </c>
      <c r="J11" s="2">
        <v>0.2</v>
      </c>
      <c r="K11" s="2">
        <v>0.2</v>
      </c>
      <c r="L11" s="2">
        <v>0.2</v>
      </c>
      <c r="M11" s="2">
        <v>0.2</v>
      </c>
      <c r="N11" s="2">
        <v>0.2</v>
      </c>
      <c r="O11" s="2">
        <v>0.2</v>
      </c>
      <c r="P11" s="2">
        <v>0.2</v>
      </c>
      <c r="Q11" s="2">
        <v>0.2</v>
      </c>
      <c r="R11" s="2">
        <v>0.2</v>
      </c>
      <c r="S11" s="2">
        <v>0.2</v>
      </c>
      <c r="T11" s="2">
        <v>0.2</v>
      </c>
      <c r="U11" s="2">
        <v>0.2</v>
      </c>
      <c r="V11" s="2">
        <v>0.2</v>
      </c>
      <c r="W11" s="2">
        <v>0.2</v>
      </c>
      <c r="X11" s="2">
        <v>0.2</v>
      </c>
      <c r="Y11" s="2">
        <v>0.2</v>
      </c>
      <c r="Z11" s="2">
        <v>0.2</v>
      </c>
      <c r="AA11" s="2">
        <v>0.2</v>
      </c>
      <c r="AB11" s="2">
        <v>0.2</v>
      </c>
      <c r="AC11" s="2">
        <v>0.2</v>
      </c>
      <c r="AD11" s="2">
        <v>0.2</v>
      </c>
      <c r="AE11" s="2">
        <v>0.2</v>
      </c>
      <c r="AF11" s="2">
        <v>0.2</v>
      </c>
      <c r="AG11" s="2">
        <v>0.2</v>
      </c>
      <c r="AH11" s="2">
        <v>0.2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0.2</v>
      </c>
      <c r="E12" s="2">
        <v>0.2</v>
      </c>
      <c r="F12" s="2">
        <v>0.2</v>
      </c>
      <c r="G12" s="2">
        <v>0.2</v>
      </c>
      <c r="H12" s="2">
        <v>0.2</v>
      </c>
      <c r="I12" s="2">
        <v>0.2</v>
      </c>
      <c r="J12" s="2">
        <v>0.2</v>
      </c>
      <c r="K12" s="2">
        <v>0.2</v>
      </c>
      <c r="L12" s="2">
        <v>0.2</v>
      </c>
      <c r="M12" s="2">
        <v>0.2</v>
      </c>
      <c r="N12" s="2">
        <v>0.2</v>
      </c>
      <c r="O12" s="2">
        <v>0.2</v>
      </c>
      <c r="P12" s="2">
        <v>0.2</v>
      </c>
      <c r="Q12" s="2">
        <v>0.2</v>
      </c>
      <c r="R12" s="2">
        <v>0.2</v>
      </c>
      <c r="S12" s="2">
        <v>0.2</v>
      </c>
      <c r="T12" s="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>
        <v>0.2</v>
      </c>
      <c r="AG12" s="2">
        <v>0.2</v>
      </c>
      <c r="AH12" s="2">
        <v>0.2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0.2</v>
      </c>
      <c r="E13" s="2">
        <v>0.2</v>
      </c>
      <c r="F13" s="2">
        <v>0.2</v>
      </c>
      <c r="G13" s="2">
        <v>0.2</v>
      </c>
      <c r="H13" s="2">
        <v>0.2</v>
      </c>
      <c r="I13" s="2">
        <v>0.2</v>
      </c>
      <c r="J13" s="2">
        <v>0.2</v>
      </c>
      <c r="K13" s="2">
        <v>0.2</v>
      </c>
      <c r="L13" s="2">
        <v>0.2</v>
      </c>
      <c r="M13" s="2">
        <v>0.2</v>
      </c>
      <c r="N13" s="2">
        <v>0.2</v>
      </c>
      <c r="O13" s="2">
        <v>0.2</v>
      </c>
      <c r="P13" s="2">
        <v>0.2</v>
      </c>
      <c r="Q13" s="2">
        <v>0.2</v>
      </c>
      <c r="R13" s="2">
        <v>0.2</v>
      </c>
      <c r="S13" s="2">
        <v>0.2</v>
      </c>
      <c r="T13" s="2">
        <v>0.2</v>
      </c>
      <c r="U13" s="2">
        <v>0.2</v>
      </c>
      <c r="V13" s="2">
        <v>0.2</v>
      </c>
      <c r="W13" s="2">
        <v>0.2</v>
      </c>
      <c r="X13" s="2">
        <v>0.2</v>
      </c>
      <c r="Y13" s="2">
        <v>0.2</v>
      </c>
      <c r="Z13" s="2">
        <v>0.2</v>
      </c>
      <c r="AA13" s="2">
        <v>0.2</v>
      </c>
      <c r="AB13" s="2">
        <v>0.2</v>
      </c>
      <c r="AC13" s="2">
        <v>0.2</v>
      </c>
      <c r="AD13" s="2">
        <v>0.2</v>
      </c>
      <c r="AE13" s="2">
        <v>0.2</v>
      </c>
      <c r="AF13" s="2">
        <v>0.2</v>
      </c>
      <c r="AG13" s="2">
        <v>0.2</v>
      </c>
      <c r="AH13" s="2">
        <v>0.2</v>
      </c>
    </row>
    <row r="14" spans="1:34">
      <c r="A14" t="str">
        <f t="shared" ref="A14:A45" si="2">INDEX(Food,MATCH(A3,Food,0)+1)</f>
        <v>Sorghum</v>
      </c>
      <c r="B14" t="str">
        <f>B3</f>
        <v>AddisAbaba</v>
      </c>
      <c r="C14" s="2">
        <v>0.2</v>
      </c>
      <c r="D14" s="2">
        <v>0.2</v>
      </c>
      <c r="E14" s="2">
        <v>0.2</v>
      </c>
      <c r="F14" s="2">
        <v>0.2</v>
      </c>
      <c r="G14" s="2">
        <v>0.2</v>
      </c>
      <c r="H14" s="2">
        <v>0.2</v>
      </c>
      <c r="I14" s="2">
        <v>0.2</v>
      </c>
      <c r="J14" s="2">
        <v>0.2</v>
      </c>
      <c r="K14" s="2">
        <v>0.2</v>
      </c>
      <c r="L14" s="2">
        <v>0.2</v>
      </c>
      <c r="M14" s="2">
        <v>0.2</v>
      </c>
      <c r="N14" s="2">
        <v>0.2</v>
      </c>
      <c r="O14" s="2">
        <v>0.2</v>
      </c>
      <c r="P14" s="2">
        <v>0.2</v>
      </c>
      <c r="Q14" s="2">
        <v>0.2</v>
      </c>
      <c r="R14" s="2">
        <v>0.2</v>
      </c>
      <c r="S14" s="2">
        <v>0.2</v>
      </c>
      <c r="T14" s="2">
        <v>0.2</v>
      </c>
      <c r="U14" s="2">
        <v>0.2</v>
      </c>
      <c r="V14" s="2">
        <v>0.2</v>
      </c>
      <c r="W14" s="2">
        <v>0.2</v>
      </c>
      <c r="X14" s="2">
        <v>0.2</v>
      </c>
      <c r="Y14" s="2">
        <v>0.2</v>
      </c>
      <c r="Z14" s="2">
        <v>0.2</v>
      </c>
      <c r="AA14" s="2">
        <v>0.2</v>
      </c>
      <c r="AB14" s="2">
        <v>0.2</v>
      </c>
      <c r="AC14" s="2">
        <v>0.2</v>
      </c>
      <c r="AD14" s="2">
        <v>0.2</v>
      </c>
      <c r="AE14" s="2">
        <v>0.2</v>
      </c>
      <c r="AF14" s="2">
        <v>0.2</v>
      </c>
      <c r="AG14" s="2">
        <v>0.2</v>
      </c>
      <c r="AH14" s="2">
        <v>0.2</v>
      </c>
    </row>
    <row r="15" spans="1:34">
      <c r="A15" t="str">
        <f t="shared" si="2"/>
        <v>Sorghum</v>
      </c>
      <c r="B15" t="str">
        <f t="shared" ref="B15:B68" si="3">B4</f>
        <v>Afar</v>
      </c>
      <c r="C15" s="2">
        <v>0.2</v>
      </c>
      <c r="D15" s="2">
        <v>0.2</v>
      </c>
      <c r="E15" s="2">
        <v>0.2</v>
      </c>
      <c r="F15" s="2">
        <v>0.2</v>
      </c>
      <c r="G15" s="2">
        <v>0.2</v>
      </c>
      <c r="H15" s="2">
        <v>0.2</v>
      </c>
      <c r="I15" s="2">
        <v>0.2</v>
      </c>
      <c r="J15" s="2">
        <v>0.2</v>
      </c>
      <c r="K15" s="2">
        <v>0.2</v>
      </c>
      <c r="L15" s="2">
        <v>0.2</v>
      </c>
      <c r="M15" s="2">
        <v>0.2</v>
      </c>
      <c r="N15" s="2">
        <v>0.2</v>
      </c>
      <c r="O15" s="2">
        <v>0.2</v>
      </c>
      <c r="P15" s="2">
        <v>0.2</v>
      </c>
      <c r="Q15" s="2">
        <v>0.2</v>
      </c>
      <c r="R15" s="2">
        <v>0.2</v>
      </c>
      <c r="S15" s="2">
        <v>0.2</v>
      </c>
      <c r="T15" s="2">
        <v>0.2</v>
      </c>
      <c r="U15" s="2">
        <v>0.2</v>
      </c>
      <c r="V15" s="2">
        <v>0.2</v>
      </c>
      <c r="W15" s="2">
        <v>0.2</v>
      </c>
      <c r="X15" s="2">
        <v>0.2</v>
      </c>
      <c r="Y15" s="2">
        <v>0.2</v>
      </c>
      <c r="Z15" s="2">
        <v>0.2</v>
      </c>
      <c r="AA15" s="2">
        <v>0.2</v>
      </c>
      <c r="AB15" s="2">
        <v>0.2</v>
      </c>
      <c r="AC15" s="2">
        <v>0.2</v>
      </c>
      <c r="AD15" s="2">
        <v>0.2</v>
      </c>
      <c r="AE15" s="2">
        <v>0.2</v>
      </c>
      <c r="AF15" s="2">
        <v>0.2</v>
      </c>
      <c r="AG15" s="2">
        <v>0.2</v>
      </c>
      <c r="AH15" s="2">
        <v>0.2</v>
      </c>
    </row>
    <row r="16" spans="1:34">
      <c r="A16" t="str">
        <f t="shared" si="2"/>
        <v>Sorghum</v>
      </c>
      <c r="B16" t="str">
        <f t="shared" si="3"/>
        <v>Amhara</v>
      </c>
      <c r="C16" s="2">
        <v>0.2</v>
      </c>
      <c r="D16" s="2">
        <v>0.2</v>
      </c>
      <c r="E16" s="2">
        <v>0.2</v>
      </c>
      <c r="F16" s="2">
        <v>0.2</v>
      </c>
      <c r="G16" s="2">
        <v>0.2</v>
      </c>
      <c r="H16" s="2">
        <v>0.2</v>
      </c>
      <c r="I16" s="2">
        <v>0.2</v>
      </c>
      <c r="J16" s="2">
        <v>0.2</v>
      </c>
      <c r="K16" s="2">
        <v>0.2</v>
      </c>
      <c r="L16" s="2">
        <v>0.2</v>
      </c>
      <c r="M16" s="2">
        <v>0.2</v>
      </c>
      <c r="N16" s="2">
        <v>0.2</v>
      </c>
      <c r="O16" s="2">
        <v>0.2</v>
      </c>
      <c r="P16" s="2">
        <v>0.2</v>
      </c>
      <c r="Q16" s="2">
        <v>0.2</v>
      </c>
      <c r="R16" s="2">
        <v>0.2</v>
      </c>
      <c r="S16" s="2">
        <v>0.2</v>
      </c>
      <c r="T16" s="2">
        <v>0.2</v>
      </c>
      <c r="U16" s="2">
        <v>0.2</v>
      </c>
      <c r="V16" s="2">
        <v>0.2</v>
      </c>
      <c r="W16" s="2">
        <v>0.2</v>
      </c>
      <c r="X16" s="2">
        <v>0.2</v>
      </c>
      <c r="Y16" s="2">
        <v>0.2</v>
      </c>
      <c r="Z16" s="2">
        <v>0.2</v>
      </c>
      <c r="AA16" s="2">
        <v>0.2</v>
      </c>
      <c r="AB16" s="2">
        <v>0.2</v>
      </c>
      <c r="AC16" s="2">
        <v>0.2</v>
      </c>
      <c r="AD16" s="2">
        <v>0.2</v>
      </c>
      <c r="AE16" s="2">
        <v>0.2</v>
      </c>
      <c r="AF16" s="2">
        <v>0.2</v>
      </c>
      <c r="AG16" s="2">
        <v>0.2</v>
      </c>
      <c r="AH16" s="2">
        <v>0.2</v>
      </c>
    </row>
    <row r="17" spans="1:34">
      <c r="A17" t="str">
        <f t="shared" si="2"/>
        <v>Sorghum</v>
      </c>
      <c r="B17" t="str">
        <f t="shared" si="3"/>
        <v>Gumuz</v>
      </c>
      <c r="C17" s="2">
        <v>0.2</v>
      </c>
      <c r="D17" s="2">
        <v>0.2</v>
      </c>
      <c r="E17" s="2">
        <v>0.2</v>
      </c>
      <c r="F17" s="2">
        <v>0.2</v>
      </c>
      <c r="G17" s="2">
        <v>0.2</v>
      </c>
      <c r="H17" s="2">
        <v>0.2</v>
      </c>
      <c r="I17" s="2">
        <v>0.2</v>
      </c>
      <c r="J17" s="2">
        <v>0.2</v>
      </c>
      <c r="K17" s="2">
        <v>0.2</v>
      </c>
      <c r="L17" s="2">
        <v>0.2</v>
      </c>
      <c r="M17" s="2">
        <v>0.2</v>
      </c>
      <c r="N17" s="2">
        <v>0.2</v>
      </c>
      <c r="O17" s="2">
        <v>0.2</v>
      </c>
      <c r="P17" s="2">
        <v>0.2</v>
      </c>
      <c r="Q17" s="2">
        <v>0.2</v>
      </c>
      <c r="R17" s="2">
        <v>0.2</v>
      </c>
      <c r="S17" s="2">
        <v>0.2</v>
      </c>
      <c r="T17" s="2">
        <v>0.2</v>
      </c>
      <c r="U17" s="2">
        <v>0.2</v>
      </c>
      <c r="V17" s="2">
        <v>0.2</v>
      </c>
      <c r="W17" s="2">
        <v>0.2</v>
      </c>
      <c r="X17" s="2">
        <v>0.2</v>
      </c>
      <c r="Y17" s="2">
        <v>0.2</v>
      </c>
      <c r="Z17" s="2">
        <v>0.2</v>
      </c>
      <c r="AA17" s="2">
        <v>0.2</v>
      </c>
      <c r="AB17" s="2">
        <v>0.2</v>
      </c>
      <c r="AC17" s="2">
        <v>0.2</v>
      </c>
      <c r="AD17" s="2">
        <v>0.2</v>
      </c>
      <c r="AE17" s="2">
        <v>0.2</v>
      </c>
      <c r="AF17" s="2">
        <v>0.2</v>
      </c>
      <c r="AG17" s="2">
        <v>0.2</v>
      </c>
      <c r="AH17" s="2">
        <v>0.2</v>
      </c>
    </row>
    <row r="18" spans="1:34">
      <c r="A18" t="str">
        <f t="shared" si="2"/>
        <v>Sorghum</v>
      </c>
      <c r="B18" t="str">
        <f t="shared" si="3"/>
        <v>DireDawa</v>
      </c>
      <c r="C18" s="2">
        <v>0.2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  <c r="J18" s="2">
        <v>0.2</v>
      </c>
      <c r="K18" s="2">
        <v>0.2</v>
      </c>
      <c r="L18" s="2">
        <v>0.2</v>
      </c>
      <c r="M18" s="2">
        <v>0.2</v>
      </c>
      <c r="N18" s="2">
        <v>0.2</v>
      </c>
      <c r="O18" s="2">
        <v>0.2</v>
      </c>
      <c r="P18" s="2">
        <v>0.2</v>
      </c>
      <c r="Q18" s="2">
        <v>0.2</v>
      </c>
      <c r="R18" s="2">
        <v>0.2</v>
      </c>
      <c r="S18" s="2">
        <v>0.2</v>
      </c>
      <c r="T18" s="2">
        <v>0.2</v>
      </c>
      <c r="U18" s="2">
        <v>0.2</v>
      </c>
      <c r="V18" s="2">
        <v>0.2</v>
      </c>
      <c r="W18" s="2">
        <v>0.2</v>
      </c>
      <c r="X18" s="2">
        <v>0.2</v>
      </c>
      <c r="Y18" s="2">
        <v>0.2</v>
      </c>
      <c r="Z18" s="2">
        <v>0.2</v>
      </c>
      <c r="AA18" s="2">
        <v>0.2</v>
      </c>
      <c r="AB18" s="2">
        <v>0.2</v>
      </c>
      <c r="AC18" s="2">
        <v>0.2</v>
      </c>
      <c r="AD18" s="2">
        <v>0.2</v>
      </c>
      <c r="AE18" s="2">
        <v>0.2</v>
      </c>
      <c r="AF18" s="2">
        <v>0.2</v>
      </c>
      <c r="AG18" s="2">
        <v>0.2</v>
      </c>
      <c r="AH18" s="2">
        <v>0.2</v>
      </c>
    </row>
    <row r="19" spans="1:34">
      <c r="A19" t="str">
        <f t="shared" si="2"/>
        <v>Sorghum</v>
      </c>
      <c r="B19" t="str">
        <f t="shared" si="3"/>
        <v>Gambela</v>
      </c>
      <c r="C19" s="2">
        <v>0.2</v>
      </c>
      <c r="D19" s="2">
        <v>0.2</v>
      </c>
      <c r="E19" s="2">
        <v>0.2</v>
      </c>
      <c r="F19" s="2">
        <v>0.2</v>
      </c>
      <c r="G19" s="2">
        <v>0.2</v>
      </c>
      <c r="H19" s="2">
        <v>0.2</v>
      </c>
      <c r="I19" s="2">
        <v>0.2</v>
      </c>
      <c r="J19" s="2">
        <v>0.2</v>
      </c>
      <c r="K19" s="2">
        <v>0.2</v>
      </c>
      <c r="L19" s="2">
        <v>0.2</v>
      </c>
      <c r="M19" s="2">
        <v>0.2</v>
      </c>
      <c r="N19" s="2">
        <v>0.2</v>
      </c>
      <c r="O19" s="2">
        <v>0.2</v>
      </c>
      <c r="P19" s="2">
        <v>0.2</v>
      </c>
      <c r="Q19" s="2">
        <v>0.2</v>
      </c>
      <c r="R19" s="2">
        <v>0.2</v>
      </c>
      <c r="S19" s="2">
        <v>0.2</v>
      </c>
      <c r="T19" s="2">
        <v>0.2</v>
      </c>
      <c r="U19" s="2">
        <v>0.2</v>
      </c>
      <c r="V19" s="2">
        <v>0.2</v>
      </c>
      <c r="W19" s="2">
        <v>0.2</v>
      </c>
      <c r="X19" s="2">
        <v>0.2</v>
      </c>
      <c r="Y19" s="2">
        <v>0.2</v>
      </c>
      <c r="Z19" s="2">
        <v>0.2</v>
      </c>
      <c r="AA19" s="2">
        <v>0.2</v>
      </c>
      <c r="AB19" s="2">
        <v>0.2</v>
      </c>
      <c r="AC19" s="2">
        <v>0.2</v>
      </c>
      <c r="AD19" s="2">
        <v>0.2</v>
      </c>
      <c r="AE19" s="2">
        <v>0.2</v>
      </c>
      <c r="AF19" s="2">
        <v>0.2</v>
      </c>
      <c r="AG19" s="2">
        <v>0.2</v>
      </c>
      <c r="AH19" s="2">
        <v>0.2</v>
      </c>
    </row>
    <row r="20" spans="1:34">
      <c r="A20" t="str">
        <f t="shared" si="2"/>
        <v>Sorghum</v>
      </c>
      <c r="B20" t="str">
        <f t="shared" si="3"/>
        <v>Harari</v>
      </c>
      <c r="C20" s="2">
        <v>0.2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  <c r="J20" s="2">
        <v>0.2</v>
      </c>
      <c r="K20" s="2">
        <v>0.2</v>
      </c>
      <c r="L20" s="2">
        <v>0.2</v>
      </c>
      <c r="M20" s="2">
        <v>0.2</v>
      </c>
      <c r="N20" s="2">
        <v>0.2</v>
      </c>
      <c r="O20" s="2">
        <v>0.2</v>
      </c>
      <c r="P20" s="2">
        <v>0.2</v>
      </c>
      <c r="Q20" s="2">
        <v>0.2</v>
      </c>
      <c r="R20" s="2">
        <v>0.2</v>
      </c>
      <c r="S20" s="2">
        <v>0.2</v>
      </c>
      <c r="T20" s="2">
        <v>0.2</v>
      </c>
      <c r="U20" s="2">
        <v>0.2</v>
      </c>
      <c r="V20" s="2">
        <v>0.2</v>
      </c>
      <c r="W20" s="2">
        <v>0.2</v>
      </c>
      <c r="X20" s="2">
        <v>0.2</v>
      </c>
      <c r="Y20" s="2">
        <v>0.2</v>
      </c>
      <c r="Z20" s="2">
        <v>0.2</v>
      </c>
      <c r="AA20" s="2">
        <v>0.2</v>
      </c>
      <c r="AB20" s="2">
        <v>0.2</v>
      </c>
      <c r="AC20" s="2">
        <v>0.2</v>
      </c>
      <c r="AD20" s="2">
        <v>0.2</v>
      </c>
      <c r="AE20" s="2">
        <v>0.2</v>
      </c>
      <c r="AF20" s="2">
        <v>0.2</v>
      </c>
      <c r="AG20" s="2">
        <v>0.2</v>
      </c>
      <c r="AH20" s="2">
        <v>0.2</v>
      </c>
    </row>
    <row r="21" spans="1:34">
      <c r="A21" t="str">
        <f t="shared" si="2"/>
        <v>Sorghum</v>
      </c>
      <c r="B21" t="str">
        <f t="shared" si="3"/>
        <v>Oromia</v>
      </c>
      <c r="C21" s="2">
        <v>0.2</v>
      </c>
      <c r="D21" s="2">
        <v>0.2</v>
      </c>
      <c r="E21" s="2">
        <v>0.2</v>
      </c>
      <c r="F21" s="2">
        <v>0.2</v>
      </c>
      <c r="G21" s="2">
        <v>0.2</v>
      </c>
      <c r="H21" s="2">
        <v>0.2</v>
      </c>
      <c r="I21" s="2">
        <v>0.2</v>
      </c>
      <c r="J21" s="2">
        <v>0.2</v>
      </c>
      <c r="K21" s="2">
        <v>0.2</v>
      </c>
      <c r="L21" s="2">
        <v>0.2</v>
      </c>
      <c r="M21" s="2">
        <v>0.2</v>
      </c>
      <c r="N21" s="2">
        <v>0.2</v>
      </c>
      <c r="O21" s="2">
        <v>0.2</v>
      </c>
      <c r="P21" s="2">
        <v>0.2</v>
      </c>
      <c r="Q21" s="2">
        <v>0.2</v>
      </c>
      <c r="R21" s="2">
        <v>0.2</v>
      </c>
      <c r="S21" s="2">
        <v>0.2</v>
      </c>
      <c r="T21" s="2">
        <v>0.2</v>
      </c>
      <c r="U21" s="2">
        <v>0.2</v>
      </c>
      <c r="V21" s="2">
        <v>0.2</v>
      </c>
      <c r="W21" s="2">
        <v>0.2</v>
      </c>
      <c r="X21" s="2">
        <v>0.2</v>
      </c>
      <c r="Y21" s="2">
        <v>0.2</v>
      </c>
      <c r="Z21" s="2">
        <v>0.2</v>
      </c>
      <c r="AA21" s="2">
        <v>0.2</v>
      </c>
      <c r="AB21" s="2">
        <v>0.2</v>
      </c>
      <c r="AC21" s="2">
        <v>0.2</v>
      </c>
      <c r="AD21" s="2">
        <v>0.2</v>
      </c>
      <c r="AE21" s="2">
        <v>0.2</v>
      </c>
      <c r="AF21" s="2">
        <v>0.2</v>
      </c>
      <c r="AG21" s="2">
        <v>0.2</v>
      </c>
      <c r="AH21" s="2">
        <v>0.2</v>
      </c>
    </row>
    <row r="22" spans="1:34">
      <c r="A22" t="str">
        <f t="shared" si="2"/>
        <v>Sorghum</v>
      </c>
      <c r="B22" t="str">
        <f t="shared" si="3"/>
        <v>Somali</v>
      </c>
      <c r="C22" s="2">
        <v>0.2</v>
      </c>
      <c r="D22" s="2">
        <v>0.2</v>
      </c>
      <c r="E22" s="2">
        <v>0.2</v>
      </c>
      <c r="F22" s="2">
        <v>0.2</v>
      </c>
      <c r="G22" s="2">
        <v>0.2</v>
      </c>
      <c r="H22" s="2">
        <v>0.2</v>
      </c>
      <c r="I22" s="2">
        <v>0.2</v>
      </c>
      <c r="J22" s="2">
        <v>0.2</v>
      </c>
      <c r="K22" s="2">
        <v>0.2</v>
      </c>
      <c r="L22" s="2">
        <v>0.2</v>
      </c>
      <c r="M22" s="2">
        <v>0.2</v>
      </c>
      <c r="N22" s="2">
        <v>0.2</v>
      </c>
      <c r="O22" s="2">
        <v>0.2</v>
      </c>
      <c r="P22" s="2">
        <v>0.2</v>
      </c>
      <c r="Q22" s="2">
        <v>0.2</v>
      </c>
      <c r="R22" s="2">
        <v>0.2</v>
      </c>
      <c r="S22" s="2">
        <v>0.2</v>
      </c>
      <c r="T22" s="2">
        <v>0.2</v>
      </c>
      <c r="U22" s="2">
        <v>0.2</v>
      </c>
      <c r="V22" s="2">
        <v>0.2</v>
      </c>
      <c r="W22" s="2">
        <v>0.2</v>
      </c>
      <c r="X22" s="2">
        <v>0.2</v>
      </c>
      <c r="Y22" s="2">
        <v>0.2</v>
      </c>
      <c r="Z22" s="2">
        <v>0.2</v>
      </c>
      <c r="AA22" s="2">
        <v>0.2</v>
      </c>
      <c r="AB22" s="2">
        <v>0.2</v>
      </c>
      <c r="AC22" s="2">
        <v>0.2</v>
      </c>
      <c r="AD22" s="2">
        <v>0.2</v>
      </c>
      <c r="AE22" s="2">
        <v>0.2</v>
      </c>
      <c r="AF22" s="2">
        <v>0.2</v>
      </c>
      <c r="AG22" s="2">
        <v>0.2</v>
      </c>
      <c r="AH22" s="2">
        <v>0.2</v>
      </c>
    </row>
    <row r="23" spans="1:34">
      <c r="A23" t="str">
        <f t="shared" si="2"/>
        <v>Sorghum</v>
      </c>
      <c r="B23" t="str">
        <f t="shared" si="3"/>
        <v>SNNPR</v>
      </c>
      <c r="C23" s="2">
        <v>0.2</v>
      </c>
      <c r="D23" s="2">
        <v>0.2</v>
      </c>
      <c r="E23" s="2">
        <v>0.2</v>
      </c>
      <c r="F23" s="2">
        <v>0.2</v>
      </c>
      <c r="G23" s="2">
        <v>0.2</v>
      </c>
      <c r="H23" s="2">
        <v>0.2</v>
      </c>
      <c r="I23" s="2">
        <v>0.2</v>
      </c>
      <c r="J23" s="2">
        <v>0.2</v>
      </c>
      <c r="K23" s="2">
        <v>0.2</v>
      </c>
      <c r="L23" s="2">
        <v>0.2</v>
      </c>
      <c r="M23" s="2">
        <v>0.2</v>
      </c>
      <c r="N23" s="2">
        <v>0.2</v>
      </c>
      <c r="O23" s="2">
        <v>0.2</v>
      </c>
      <c r="P23" s="2">
        <v>0.2</v>
      </c>
      <c r="Q23" s="2">
        <v>0.2</v>
      </c>
      <c r="R23" s="2">
        <v>0.2</v>
      </c>
      <c r="S23" s="2">
        <v>0.2</v>
      </c>
      <c r="T23" s="2">
        <v>0.2</v>
      </c>
      <c r="U23" s="2">
        <v>0.2</v>
      </c>
      <c r="V23" s="2">
        <v>0.2</v>
      </c>
      <c r="W23" s="2">
        <v>0.2</v>
      </c>
      <c r="X23" s="2">
        <v>0.2</v>
      </c>
      <c r="Y23" s="2">
        <v>0.2</v>
      </c>
      <c r="Z23" s="2">
        <v>0.2</v>
      </c>
      <c r="AA23" s="2">
        <v>0.2</v>
      </c>
      <c r="AB23" s="2">
        <v>0.2</v>
      </c>
      <c r="AC23" s="2">
        <v>0.2</v>
      </c>
      <c r="AD23" s="2">
        <v>0.2</v>
      </c>
      <c r="AE23" s="2">
        <v>0.2</v>
      </c>
      <c r="AF23" s="2">
        <v>0.2</v>
      </c>
      <c r="AG23" s="2">
        <v>0.2</v>
      </c>
      <c r="AH23" s="2">
        <v>0.2</v>
      </c>
    </row>
    <row r="24" spans="1:34">
      <c r="A24" t="str">
        <f t="shared" si="2"/>
        <v>Sorghum</v>
      </c>
      <c r="B24" t="str">
        <f t="shared" si="3"/>
        <v>Tigray</v>
      </c>
      <c r="C24" s="2">
        <v>0.2</v>
      </c>
      <c r="D24" s="2">
        <v>0.2</v>
      </c>
      <c r="E24" s="2">
        <v>0.2</v>
      </c>
      <c r="F24" s="2">
        <v>0.2</v>
      </c>
      <c r="G24" s="2">
        <v>0.2</v>
      </c>
      <c r="H24" s="2">
        <v>0.2</v>
      </c>
      <c r="I24" s="2">
        <v>0.2</v>
      </c>
      <c r="J24" s="2">
        <v>0.2</v>
      </c>
      <c r="K24" s="2">
        <v>0.2</v>
      </c>
      <c r="L24" s="2">
        <v>0.2</v>
      </c>
      <c r="M24" s="2">
        <v>0.2</v>
      </c>
      <c r="N24" s="2">
        <v>0.2</v>
      </c>
      <c r="O24" s="2">
        <v>0.2</v>
      </c>
      <c r="P24" s="2">
        <v>0.2</v>
      </c>
      <c r="Q24" s="2">
        <v>0.2</v>
      </c>
      <c r="R24" s="2">
        <v>0.2</v>
      </c>
      <c r="S24" s="2">
        <v>0.2</v>
      </c>
      <c r="T24" s="2">
        <v>0.2</v>
      </c>
      <c r="U24" s="2">
        <v>0.2</v>
      </c>
      <c r="V24" s="2">
        <v>0.2</v>
      </c>
      <c r="W24" s="2">
        <v>0.2</v>
      </c>
      <c r="X24" s="2">
        <v>0.2</v>
      </c>
      <c r="Y24" s="2">
        <v>0.2</v>
      </c>
      <c r="Z24" s="2">
        <v>0.2</v>
      </c>
      <c r="AA24" s="2">
        <v>0.2</v>
      </c>
      <c r="AB24" s="2">
        <v>0.2</v>
      </c>
      <c r="AC24" s="2">
        <v>0.2</v>
      </c>
      <c r="AD24" s="2">
        <v>0.2</v>
      </c>
      <c r="AE24" s="2">
        <v>0.2</v>
      </c>
      <c r="AF24" s="2">
        <v>0.2</v>
      </c>
      <c r="AG24" s="2">
        <v>0.2</v>
      </c>
      <c r="AH24" s="2">
        <v>0.2</v>
      </c>
    </row>
    <row r="25" spans="1:34">
      <c r="A25" t="str">
        <f t="shared" si="2"/>
        <v>Maize</v>
      </c>
      <c r="B25" t="str">
        <f t="shared" si="3"/>
        <v>AddisAbaba</v>
      </c>
      <c r="C25" s="2">
        <v>0.2</v>
      </c>
      <c r="D25" s="2">
        <v>0.2</v>
      </c>
      <c r="E25" s="2">
        <v>0.2</v>
      </c>
      <c r="F25" s="2">
        <v>0.2</v>
      </c>
      <c r="G25" s="2">
        <v>0.2</v>
      </c>
      <c r="H25" s="2">
        <v>0.2</v>
      </c>
      <c r="I25" s="2">
        <v>0.2</v>
      </c>
      <c r="J25" s="2">
        <v>0.2</v>
      </c>
      <c r="K25" s="2">
        <v>0.2</v>
      </c>
      <c r="L25" s="2">
        <v>0.2</v>
      </c>
      <c r="M25" s="2">
        <v>0.2</v>
      </c>
      <c r="N25" s="2">
        <v>0.2</v>
      </c>
      <c r="O25" s="2">
        <v>0.2</v>
      </c>
      <c r="P25" s="2">
        <v>0.2</v>
      </c>
      <c r="Q25" s="2">
        <v>0.2</v>
      </c>
      <c r="R25" s="2">
        <v>0.2</v>
      </c>
      <c r="S25" s="2">
        <v>0.2</v>
      </c>
      <c r="T25" s="2">
        <v>0.2</v>
      </c>
      <c r="U25" s="2">
        <v>0.2</v>
      </c>
      <c r="V25" s="2">
        <v>0.2</v>
      </c>
      <c r="W25" s="2">
        <v>0.2</v>
      </c>
      <c r="X25" s="2">
        <v>0.2</v>
      </c>
      <c r="Y25" s="2">
        <v>0.2</v>
      </c>
      <c r="Z25" s="2">
        <v>0.2</v>
      </c>
      <c r="AA25" s="2">
        <v>0.2</v>
      </c>
      <c r="AB25" s="2">
        <v>0.2</v>
      </c>
      <c r="AC25" s="2">
        <v>0.2</v>
      </c>
      <c r="AD25" s="2">
        <v>0.2</v>
      </c>
      <c r="AE25" s="2">
        <v>0.2</v>
      </c>
      <c r="AF25" s="2">
        <v>0.2</v>
      </c>
      <c r="AG25" s="2">
        <v>0.2</v>
      </c>
      <c r="AH25" s="2">
        <v>0.2</v>
      </c>
    </row>
    <row r="26" spans="1:34">
      <c r="A26" t="str">
        <f t="shared" si="2"/>
        <v>Maize</v>
      </c>
      <c r="B26" t="str">
        <f t="shared" si="3"/>
        <v>Afar</v>
      </c>
      <c r="C26" s="2">
        <v>0.2</v>
      </c>
      <c r="D26" s="2">
        <v>0.2</v>
      </c>
      <c r="E26" s="2">
        <v>0.2</v>
      </c>
      <c r="F26" s="2">
        <v>0.2</v>
      </c>
      <c r="G26" s="2">
        <v>0.2</v>
      </c>
      <c r="H26" s="2">
        <v>0.2</v>
      </c>
      <c r="I26" s="2">
        <v>0.2</v>
      </c>
      <c r="J26" s="2">
        <v>0.2</v>
      </c>
      <c r="K26" s="2">
        <v>0.2</v>
      </c>
      <c r="L26" s="2">
        <v>0.2</v>
      </c>
      <c r="M26" s="2">
        <v>0.2</v>
      </c>
      <c r="N26" s="2">
        <v>0.2</v>
      </c>
      <c r="O26" s="2">
        <v>0.2</v>
      </c>
      <c r="P26" s="2">
        <v>0.2</v>
      </c>
      <c r="Q26" s="2">
        <v>0.2</v>
      </c>
      <c r="R26" s="2">
        <v>0.2</v>
      </c>
      <c r="S26" s="2">
        <v>0.2</v>
      </c>
      <c r="T26" s="2">
        <v>0.2</v>
      </c>
      <c r="U26" s="2">
        <v>0.2</v>
      </c>
      <c r="V26" s="2">
        <v>0.2</v>
      </c>
      <c r="W26" s="2">
        <v>0.2</v>
      </c>
      <c r="X26" s="2">
        <v>0.2</v>
      </c>
      <c r="Y26" s="2">
        <v>0.2</v>
      </c>
      <c r="Z26" s="2">
        <v>0.2</v>
      </c>
      <c r="AA26" s="2">
        <v>0.2</v>
      </c>
      <c r="AB26" s="2">
        <v>0.2</v>
      </c>
      <c r="AC26" s="2">
        <v>0.2</v>
      </c>
      <c r="AD26" s="2">
        <v>0.2</v>
      </c>
      <c r="AE26" s="2">
        <v>0.2</v>
      </c>
      <c r="AF26" s="2">
        <v>0.2</v>
      </c>
      <c r="AG26" s="2">
        <v>0.2</v>
      </c>
      <c r="AH26" s="2">
        <v>0.2</v>
      </c>
    </row>
    <row r="27" spans="1:34">
      <c r="A27" t="str">
        <f t="shared" si="2"/>
        <v>Maize</v>
      </c>
      <c r="B27" t="str">
        <f t="shared" si="3"/>
        <v>Amhara</v>
      </c>
      <c r="C27" s="2">
        <v>0.2</v>
      </c>
      <c r="D27" s="2">
        <v>0.2</v>
      </c>
      <c r="E27" s="2">
        <v>0.2</v>
      </c>
      <c r="F27" s="2">
        <v>0.2</v>
      </c>
      <c r="G27" s="2">
        <v>0.2</v>
      </c>
      <c r="H27" s="2">
        <v>0.2</v>
      </c>
      <c r="I27" s="2">
        <v>0.2</v>
      </c>
      <c r="J27" s="2">
        <v>0.2</v>
      </c>
      <c r="K27" s="2">
        <v>0.2</v>
      </c>
      <c r="L27" s="2">
        <v>0.2</v>
      </c>
      <c r="M27" s="2">
        <v>0.2</v>
      </c>
      <c r="N27" s="2">
        <v>0.2</v>
      </c>
      <c r="O27" s="2">
        <v>0.2</v>
      </c>
      <c r="P27" s="2">
        <v>0.2</v>
      </c>
      <c r="Q27" s="2">
        <v>0.2</v>
      </c>
      <c r="R27" s="2">
        <v>0.2</v>
      </c>
      <c r="S27" s="2">
        <v>0.2</v>
      </c>
      <c r="T27" s="2">
        <v>0.2</v>
      </c>
      <c r="U27" s="2">
        <v>0.2</v>
      </c>
      <c r="V27" s="2">
        <v>0.2</v>
      </c>
      <c r="W27" s="2">
        <v>0.2</v>
      </c>
      <c r="X27" s="2">
        <v>0.2</v>
      </c>
      <c r="Y27" s="2">
        <v>0.2</v>
      </c>
      <c r="Z27" s="2">
        <v>0.2</v>
      </c>
      <c r="AA27" s="2">
        <v>0.2</v>
      </c>
      <c r="AB27" s="2">
        <v>0.2</v>
      </c>
      <c r="AC27" s="2">
        <v>0.2</v>
      </c>
      <c r="AD27" s="2">
        <v>0.2</v>
      </c>
      <c r="AE27" s="2">
        <v>0.2</v>
      </c>
      <c r="AF27" s="2">
        <v>0.2</v>
      </c>
      <c r="AG27" s="2">
        <v>0.2</v>
      </c>
      <c r="AH27" s="2">
        <v>0.2</v>
      </c>
    </row>
    <row r="28" spans="1:34">
      <c r="A28" t="str">
        <f t="shared" si="2"/>
        <v>Maize</v>
      </c>
      <c r="B28" t="str">
        <f t="shared" si="3"/>
        <v>Gumuz</v>
      </c>
      <c r="C28" s="2">
        <v>0.2</v>
      </c>
      <c r="D28" s="2">
        <v>0.2</v>
      </c>
      <c r="E28" s="2">
        <v>0.2</v>
      </c>
      <c r="F28" s="2">
        <v>0.2</v>
      </c>
      <c r="G28" s="2">
        <v>0.2</v>
      </c>
      <c r="H28" s="2">
        <v>0.2</v>
      </c>
      <c r="I28" s="2">
        <v>0.2</v>
      </c>
      <c r="J28" s="2">
        <v>0.2</v>
      </c>
      <c r="K28" s="2">
        <v>0.2</v>
      </c>
      <c r="L28" s="2">
        <v>0.2</v>
      </c>
      <c r="M28" s="2">
        <v>0.2</v>
      </c>
      <c r="N28" s="2">
        <v>0.2</v>
      </c>
      <c r="O28" s="2">
        <v>0.2</v>
      </c>
      <c r="P28" s="2">
        <v>0.2</v>
      </c>
      <c r="Q28" s="2">
        <v>0.2</v>
      </c>
      <c r="R28" s="2">
        <v>0.2</v>
      </c>
      <c r="S28" s="2">
        <v>0.2</v>
      </c>
      <c r="T28" s="2">
        <v>0.2</v>
      </c>
      <c r="U28" s="2">
        <v>0.2</v>
      </c>
      <c r="V28" s="2">
        <v>0.2</v>
      </c>
      <c r="W28" s="2">
        <v>0.2</v>
      </c>
      <c r="X28" s="2">
        <v>0.2</v>
      </c>
      <c r="Y28" s="2">
        <v>0.2</v>
      </c>
      <c r="Z28" s="2">
        <v>0.2</v>
      </c>
      <c r="AA28" s="2">
        <v>0.2</v>
      </c>
      <c r="AB28" s="2">
        <v>0.2</v>
      </c>
      <c r="AC28" s="2">
        <v>0.2</v>
      </c>
      <c r="AD28" s="2">
        <v>0.2</v>
      </c>
      <c r="AE28" s="2">
        <v>0.2</v>
      </c>
      <c r="AF28" s="2">
        <v>0.2</v>
      </c>
      <c r="AG28" s="2">
        <v>0.2</v>
      </c>
      <c r="AH28" s="2">
        <v>0.2</v>
      </c>
    </row>
    <row r="29" spans="1:34">
      <c r="A29" t="str">
        <f t="shared" si="2"/>
        <v>Maize</v>
      </c>
      <c r="B29" t="str">
        <f t="shared" si="3"/>
        <v>DireDawa</v>
      </c>
      <c r="C29" s="2">
        <v>0.2</v>
      </c>
      <c r="D29" s="2">
        <v>0.2</v>
      </c>
      <c r="E29" s="2">
        <v>0.2</v>
      </c>
      <c r="F29" s="2">
        <v>0.2</v>
      </c>
      <c r="G29" s="2">
        <v>0.2</v>
      </c>
      <c r="H29" s="2">
        <v>0.2</v>
      </c>
      <c r="I29" s="2">
        <v>0.2</v>
      </c>
      <c r="J29" s="2">
        <v>0.2</v>
      </c>
      <c r="K29" s="2">
        <v>0.2</v>
      </c>
      <c r="L29" s="2">
        <v>0.2</v>
      </c>
      <c r="M29" s="2">
        <v>0.2</v>
      </c>
      <c r="N29" s="2">
        <v>0.2</v>
      </c>
      <c r="O29" s="2">
        <v>0.2</v>
      </c>
      <c r="P29" s="2">
        <v>0.2</v>
      </c>
      <c r="Q29" s="2">
        <v>0.2</v>
      </c>
      <c r="R29" s="2">
        <v>0.2</v>
      </c>
      <c r="S29" s="2">
        <v>0.2</v>
      </c>
      <c r="T29" s="2">
        <v>0.2</v>
      </c>
      <c r="U29" s="2">
        <v>0.2</v>
      </c>
      <c r="V29" s="2">
        <v>0.2</v>
      </c>
      <c r="W29" s="2">
        <v>0.2</v>
      </c>
      <c r="X29" s="2">
        <v>0.2</v>
      </c>
      <c r="Y29" s="2">
        <v>0.2</v>
      </c>
      <c r="Z29" s="2">
        <v>0.2</v>
      </c>
      <c r="AA29" s="2">
        <v>0.2</v>
      </c>
      <c r="AB29" s="2">
        <v>0.2</v>
      </c>
      <c r="AC29" s="2">
        <v>0.2</v>
      </c>
      <c r="AD29" s="2">
        <v>0.2</v>
      </c>
      <c r="AE29" s="2">
        <v>0.2</v>
      </c>
      <c r="AF29" s="2">
        <v>0.2</v>
      </c>
      <c r="AG29" s="2">
        <v>0.2</v>
      </c>
      <c r="AH29" s="2">
        <v>0.2</v>
      </c>
    </row>
    <row r="30" spans="1:34">
      <c r="A30" t="str">
        <f t="shared" si="2"/>
        <v>Maize</v>
      </c>
      <c r="B30" t="str">
        <f t="shared" si="3"/>
        <v>Gambela</v>
      </c>
      <c r="C30" s="2">
        <v>0.2</v>
      </c>
      <c r="D30" s="2">
        <v>0.2</v>
      </c>
      <c r="E30" s="2">
        <v>0.2</v>
      </c>
      <c r="F30" s="2">
        <v>0.2</v>
      </c>
      <c r="G30" s="2">
        <v>0.2</v>
      </c>
      <c r="H30" s="2">
        <v>0.2</v>
      </c>
      <c r="I30" s="2">
        <v>0.2</v>
      </c>
      <c r="J30" s="2">
        <v>0.2</v>
      </c>
      <c r="K30" s="2">
        <v>0.2</v>
      </c>
      <c r="L30" s="2">
        <v>0.2</v>
      </c>
      <c r="M30" s="2">
        <v>0.2</v>
      </c>
      <c r="N30" s="2">
        <v>0.2</v>
      </c>
      <c r="O30" s="2">
        <v>0.2</v>
      </c>
      <c r="P30" s="2">
        <v>0.2</v>
      </c>
      <c r="Q30" s="2">
        <v>0.2</v>
      </c>
      <c r="R30" s="2">
        <v>0.2</v>
      </c>
      <c r="S30" s="2">
        <v>0.2</v>
      </c>
      <c r="T30" s="2">
        <v>0.2</v>
      </c>
      <c r="U30" s="2">
        <v>0.2</v>
      </c>
      <c r="V30" s="2">
        <v>0.2</v>
      </c>
      <c r="W30" s="2">
        <v>0.2</v>
      </c>
      <c r="X30" s="2">
        <v>0.2</v>
      </c>
      <c r="Y30" s="2">
        <v>0.2</v>
      </c>
      <c r="Z30" s="2">
        <v>0.2</v>
      </c>
      <c r="AA30" s="2">
        <v>0.2</v>
      </c>
      <c r="AB30" s="2">
        <v>0.2</v>
      </c>
      <c r="AC30" s="2">
        <v>0.2</v>
      </c>
      <c r="AD30" s="2">
        <v>0.2</v>
      </c>
      <c r="AE30" s="2">
        <v>0.2</v>
      </c>
      <c r="AF30" s="2">
        <v>0.2</v>
      </c>
      <c r="AG30" s="2">
        <v>0.2</v>
      </c>
      <c r="AH30" s="2">
        <v>0.2</v>
      </c>
    </row>
    <row r="31" spans="1:34">
      <c r="A31" t="str">
        <f t="shared" si="2"/>
        <v>Maize</v>
      </c>
      <c r="B31" t="str">
        <f t="shared" si="3"/>
        <v>Harari</v>
      </c>
      <c r="C31" s="2">
        <v>0.2</v>
      </c>
      <c r="D31" s="2">
        <v>0.2</v>
      </c>
      <c r="E31" s="2">
        <v>0.2</v>
      </c>
      <c r="F31" s="2">
        <v>0.2</v>
      </c>
      <c r="G31" s="2">
        <v>0.2</v>
      </c>
      <c r="H31" s="2">
        <v>0.2</v>
      </c>
      <c r="I31" s="2">
        <v>0.2</v>
      </c>
      <c r="J31" s="2">
        <v>0.2</v>
      </c>
      <c r="K31" s="2">
        <v>0.2</v>
      </c>
      <c r="L31" s="2">
        <v>0.2</v>
      </c>
      <c r="M31" s="2">
        <v>0.2</v>
      </c>
      <c r="N31" s="2">
        <v>0.2</v>
      </c>
      <c r="O31" s="2">
        <v>0.2</v>
      </c>
      <c r="P31" s="2">
        <v>0.2</v>
      </c>
      <c r="Q31" s="2">
        <v>0.2</v>
      </c>
      <c r="R31" s="2">
        <v>0.2</v>
      </c>
      <c r="S31" s="2">
        <v>0.2</v>
      </c>
      <c r="T31" s="2">
        <v>0.2</v>
      </c>
      <c r="U31" s="2">
        <v>0.2</v>
      </c>
      <c r="V31" s="2">
        <v>0.2</v>
      </c>
      <c r="W31" s="2">
        <v>0.2</v>
      </c>
      <c r="X31" s="2">
        <v>0.2</v>
      </c>
      <c r="Y31" s="2">
        <v>0.2</v>
      </c>
      <c r="Z31" s="2">
        <v>0.2</v>
      </c>
      <c r="AA31" s="2">
        <v>0.2</v>
      </c>
      <c r="AB31" s="2">
        <v>0.2</v>
      </c>
      <c r="AC31" s="2">
        <v>0.2</v>
      </c>
      <c r="AD31" s="2">
        <v>0.2</v>
      </c>
      <c r="AE31" s="2">
        <v>0.2</v>
      </c>
      <c r="AF31" s="2">
        <v>0.2</v>
      </c>
      <c r="AG31" s="2">
        <v>0.2</v>
      </c>
      <c r="AH31" s="2">
        <v>0.2</v>
      </c>
    </row>
    <row r="32" spans="1:34">
      <c r="A32" t="str">
        <f t="shared" si="2"/>
        <v>Maize</v>
      </c>
      <c r="B32" t="str">
        <f t="shared" si="3"/>
        <v>Oromia</v>
      </c>
      <c r="C32" s="2">
        <v>0.2</v>
      </c>
      <c r="D32" s="2">
        <v>0.2</v>
      </c>
      <c r="E32" s="2">
        <v>0.2</v>
      </c>
      <c r="F32" s="2">
        <v>0.2</v>
      </c>
      <c r="G32" s="2">
        <v>0.2</v>
      </c>
      <c r="H32" s="2">
        <v>0.2</v>
      </c>
      <c r="I32" s="2">
        <v>0.2</v>
      </c>
      <c r="J32" s="2">
        <v>0.2</v>
      </c>
      <c r="K32" s="2">
        <v>0.2</v>
      </c>
      <c r="L32" s="2">
        <v>0.2</v>
      </c>
      <c r="M32" s="2">
        <v>0.2</v>
      </c>
      <c r="N32" s="2">
        <v>0.2</v>
      </c>
      <c r="O32" s="2">
        <v>0.2</v>
      </c>
      <c r="P32" s="2">
        <v>0.2</v>
      </c>
      <c r="Q32" s="2">
        <v>0.2</v>
      </c>
      <c r="R32" s="2">
        <v>0.2</v>
      </c>
      <c r="S32" s="2">
        <v>0.2</v>
      </c>
      <c r="T32" s="2">
        <v>0.2</v>
      </c>
      <c r="U32" s="2">
        <v>0.2</v>
      </c>
      <c r="V32" s="2">
        <v>0.2</v>
      </c>
      <c r="W32" s="2">
        <v>0.2</v>
      </c>
      <c r="X32" s="2">
        <v>0.2</v>
      </c>
      <c r="Y32" s="2">
        <v>0.2</v>
      </c>
      <c r="Z32" s="2">
        <v>0.2</v>
      </c>
      <c r="AA32" s="2">
        <v>0.2</v>
      </c>
      <c r="AB32" s="2">
        <v>0.2</v>
      </c>
      <c r="AC32" s="2">
        <v>0.2</v>
      </c>
      <c r="AD32" s="2">
        <v>0.2</v>
      </c>
      <c r="AE32" s="2">
        <v>0.2</v>
      </c>
      <c r="AF32" s="2">
        <v>0.2</v>
      </c>
      <c r="AG32" s="2">
        <v>0.2</v>
      </c>
      <c r="AH32" s="2">
        <v>0.2</v>
      </c>
    </row>
    <row r="33" spans="1:34">
      <c r="A33" t="str">
        <f t="shared" si="2"/>
        <v>Maize</v>
      </c>
      <c r="B33" t="str">
        <f t="shared" si="3"/>
        <v>Somali</v>
      </c>
      <c r="C33" s="2">
        <v>0.2</v>
      </c>
      <c r="D33" s="2">
        <v>0.2</v>
      </c>
      <c r="E33" s="2">
        <v>0.2</v>
      </c>
      <c r="F33" s="2">
        <v>0.2</v>
      </c>
      <c r="G33" s="2">
        <v>0.2</v>
      </c>
      <c r="H33" s="2">
        <v>0.2</v>
      </c>
      <c r="I33" s="2">
        <v>0.2</v>
      </c>
      <c r="J33" s="2">
        <v>0.2</v>
      </c>
      <c r="K33" s="2">
        <v>0.2</v>
      </c>
      <c r="L33" s="2">
        <v>0.2</v>
      </c>
      <c r="M33" s="2">
        <v>0.2</v>
      </c>
      <c r="N33" s="2">
        <v>0.2</v>
      </c>
      <c r="O33" s="2">
        <v>0.2</v>
      </c>
      <c r="P33" s="2">
        <v>0.2</v>
      </c>
      <c r="Q33" s="2">
        <v>0.2</v>
      </c>
      <c r="R33" s="2">
        <v>0.2</v>
      </c>
      <c r="S33" s="2">
        <v>0.2</v>
      </c>
      <c r="T33" s="2">
        <v>0.2</v>
      </c>
      <c r="U33" s="2">
        <v>0.2</v>
      </c>
      <c r="V33" s="2">
        <v>0.2</v>
      </c>
      <c r="W33" s="2">
        <v>0.2</v>
      </c>
      <c r="X33" s="2">
        <v>0.2</v>
      </c>
      <c r="Y33" s="2">
        <v>0.2</v>
      </c>
      <c r="Z33" s="2">
        <v>0.2</v>
      </c>
      <c r="AA33" s="2">
        <v>0.2</v>
      </c>
      <c r="AB33" s="2">
        <v>0.2</v>
      </c>
      <c r="AC33" s="2">
        <v>0.2</v>
      </c>
      <c r="AD33" s="2">
        <v>0.2</v>
      </c>
      <c r="AE33" s="2">
        <v>0.2</v>
      </c>
      <c r="AF33" s="2">
        <v>0.2</v>
      </c>
      <c r="AG33" s="2">
        <v>0.2</v>
      </c>
      <c r="AH33" s="2">
        <v>0.2</v>
      </c>
    </row>
    <row r="34" spans="1:34">
      <c r="A34" t="str">
        <f t="shared" si="2"/>
        <v>Maize</v>
      </c>
      <c r="B34" t="str">
        <f t="shared" si="3"/>
        <v>SNNPR</v>
      </c>
      <c r="C34" s="2">
        <v>0.2</v>
      </c>
      <c r="D34" s="2">
        <v>0.2</v>
      </c>
      <c r="E34" s="2">
        <v>0.2</v>
      </c>
      <c r="F34" s="2">
        <v>0.2</v>
      </c>
      <c r="G34" s="2">
        <v>0.2</v>
      </c>
      <c r="H34" s="2">
        <v>0.2</v>
      </c>
      <c r="I34" s="2">
        <v>0.2</v>
      </c>
      <c r="J34" s="2">
        <v>0.2</v>
      </c>
      <c r="K34" s="2">
        <v>0.2</v>
      </c>
      <c r="L34" s="2">
        <v>0.2</v>
      </c>
      <c r="M34" s="2">
        <v>0.2</v>
      </c>
      <c r="N34" s="2">
        <v>0.2</v>
      </c>
      <c r="O34" s="2">
        <v>0.2</v>
      </c>
      <c r="P34" s="2">
        <v>0.2</v>
      </c>
      <c r="Q34" s="2">
        <v>0.2</v>
      </c>
      <c r="R34" s="2">
        <v>0.2</v>
      </c>
      <c r="S34" s="2">
        <v>0.2</v>
      </c>
      <c r="T34" s="2">
        <v>0.2</v>
      </c>
      <c r="U34" s="2">
        <v>0.2</v>
      </c>
      <c r="V34" s="2">
        <v>0.2</v>
      </c>
      <c r="W34" s="2">
        <v>0.2</v>
      </c>
      <c r="X34" s="2">
        <v>0.2</v>
      </c>
      <c r="Y34" s="2">
        <v>0.2</v>
      </c>
      <c r="Z34" s="2">
        <v>0.2</v>
      </c>
      <c r="AA34" s="2">
        <v>0.2</v>
      </c>
      <c r="AB34" s="2">
        <v>0.2</v>
      </c>
      <c r="AC34" s="2">
        <v>0.2</v>
      </c>
      <c r="AD34" s="2">
        <v>0.2</v>
      </c>
      <c r="AE34" s="2">
        <v>0.2</v>
      </c>
      <c r="AF34" s="2">
        <v>0.2</v>
      </c>
      <c r="AG34" s="2">
        <v>0.2</v>
      </c>
      <c r="AH34" s="2">
        <v>0.2</v>
      </c>
    </row>
    <row r="35" spans="1:34">
      <c r="A35" t="str">
        <f t="shared" si="2"/>
        <v>Maize</v>
      </c>
      <c r="B35" t="str">
        <f t="shared" si="3"/>
        <v>Tigray</v>
      </c>
      <c r="C35" s="2">
        <v>0.2</v>
      </c>
      <c r="D35" s="2">
        <v>0.2</v>
      </c>
      <c r="E35" s="2">
        <v>0.2</v>
      </c>
      <c r="F35" s="2">
        <v>0.2</v>
      </c>
      <c r="G35" s="2">
        <v>0.2</v>
      </c>
      <c r="H35" s="2">
        <v>0.2</v>
      </c>
      <c r="I35" s="2">
        <v>0.2</v>
      </c>
      <c r="J35" s="2">
        <v>0.2</v>
      </c>
      <c r="K35" s="2">
        <v>0.2</v>
      </c>
      <c r="L35" s="2">
        <v>0.2</v>
      </c>
      <c r="M35" s="2">
        <v>0.2</v>
      </c>
      <c r="N35" s="2">
        <v>0.2</v>
      </c>
      <c r="O35" s="2">
        <v>0.2</v>
      </c>
      <c r="P35" s="2">
        <v>0.2</v>
      </c>
      <c r="Q35" s="2">
        <v>0.2</v>
      </c>
      <c r="R35" s="2">
        <v>0.2</v>
      </c>
      <c r="S35" s="2">
        <v>0.2</v>
      </c>
      <c r="T35" s="2">
        <v>0.2</v>
      </c>
      <c r="U35" s="2">
        <v>0.2</v>
      </c>
      <c r="V35" s="2">
        <v>0.2</v>
      </c>
      <c r="W35" s="2">
        <v>0.2</v>
      </c>
      <c r="X35" s="2">
        <v>0.2</v>
      </c>
      <c r="Y35" s="2">
        <v>0.2</v>
      </c>
      <c r="Z35" s="2">
        <v>0.2</v>
      </c>
      <c r="AA35" s="2">
        <v>0.2</v>
      </c>
      <c r="AB35" s="2">
        <v>0.2</v>
      </c>
      <c r="AC35" s="2">
        <v>0.2</v>
      </c>
      <c r="AD35" s="2">
        <v>0.2</v>
      </c>
      <c r="AE35" s="2">
        <v>0.2</v>
      </c>
      <c r="AF35" s="2">
        <v>0.2</v>
      </c>
      <c r="AG35" s="2">
        <v>0.2</v>
      </c>
      <c r="AH35" s="2">
        <v>0.2</v>
      </c>
    </row>
    <row r="36" spans="1:34">
      <c r="A36" t="str">
        <f t="shared" si="2"/>
        <v>Lentils</v>
      </c>
      <c r="B36" t="str">
        <f t="shared" si="3"/>
        <v>AddisAbaba</v>
      </c>
      <c r="C36" s="2">
        <v>0.2</v>
      </c>
      <c r="D36" s="2">
        <v>0.2</v>
      </c>
      <c r="E36" s="2">
        <v>0.2</v>
      </c>
      <c r="F36" s="2">
        <v>0.2</v>
      </c>
      <c r="G36" s="2">
        <v>0.2</v>
      </c>
      <c r="H36" s="2">
        <v>0.2</v>
      </c>
      <c r="I36" s="2">
        <v>0.2</v>
      </c>
      <c r="J36" s="2">
        <v>0.2</v>
      </c>
      <c r="K36" s="2">
        <v>0.2</v>
      </c>
      <c r="L36" s="2">
        <v>0.2</v>
      </c>
      <c r="M36" s="2">
        <v>0.2</v>
      </c>
      <c r="N36" s="2">
        <v>0.2</v>
      </c>
      <c r="O36" s="2">
        <v>0.2</v>
      </c>
      <c r="P36" s="2">
        <v>0.2</v>
      </c>
      <c r="Q36" s="2">
        <v>0.2</v>
      </c>
      <c r="R36" s="2">
        <v>0.2</v>
      </c>
      <c r="S36" s="2">
        <v>0.2</v>
      </c>
      <c r="T36" s="2">
        <v>0.2</v>
      </c>
      <c r="U36" s="2">
        <v>0.2</v>
      </c>
      <c r="V36" s="2">
        <v>0.2</v>
      </c>
      <c r="W36" s="2">
        <v>0.2</v>
      </c>
      <c r="X36" s="2">
        <v>0.2</v>
      </c>
      <c r="Y36" s="2">
        <v>0.2</v>
      </c>
      <c r="Z36" s="2">
        <v>0.2</v>
      </c>
      <c r="AA36" s="2">
        <v>0.2</v>
      </c>
      <c r="AB36" s="2">
        <v>0.2</v>
      </c>
      <c r="AC36" s="2">
        <v>0.2</v>
      </c>
      <c r="AD36" s="2">
        <v>0.2</v>
      </c>
      <c r="AE36" s="2">
        <v>0.2</v>
      </c>
      <c r="AF36" s="2">
        <v>0.2</v>
      </c>
      <c r="AG36" s="2">
        <v>0.2</v>
      </c>
      <c r="AH36" s="2">
        <v>0.2</v>
      </c>
    </row>
    <row r="37" spans="1:34">
      <c r="A37" t="str">
        <f t="shared" si="2"/>
        <v>Lentils</v>
      </c>
      <c r="B37" t="str">
        <f t="shared" si="3"/>
        <v>Afar</v>
      </c>
      <c r="C37" s="2">
        <v>0.2</v>
      </c>
      <c r="D37" s="2">
        <v>0.2</v>
      </c>
      <c r="E37" s="2">
        <v>0.2</v>
      </c>
      <c r="F37" s="2">
        <v>0.2</v>
      </c>
      <c r="G37" s="2">
        <v>0.2</v>
      </c>
      <c r="H37" s="2">
        <v>0.2</v>
      </c>
      <c r="I37" s="2">
        <v>0.2</v>
      </c>
      <c r="J37" s="2">
        <v>0.2</v>
      </c>
      <c r="K37" s="2">
        <v>0.2</v>
      </c>
      <c r="L37" s="2">
        <v>0.2</v>
      </c>
      <c r="M37" s="2">
        <v>0.2</v>
      </c>
      <c r="N37" s="2">
        <v>0.2</v>
      </c>
      <c r="O37" s="2">
        <v>0.2</v>
      </c>
      <c r="P37" s="2">
        <v>0.2</v>
      </c>
      <c r="Q37" s="2">
        <v>0.2</v>
      </c>
      <c r="R37" s="2">
        <v>0.2</v>
      </c>
      <c r="S37" s="2">
        <v>0.2</v>
      </c>
      <c r="T37" s="2">
        <v>0.2</v>
      </c>
      <c r="U37" s="2">
        <v>0.2</v>
      </c>
      <c r="V37" s="2">
        <v>0.2</v>
      </c>
      <c r="W37" s="2">
        <v>0.2</v>
      </c>
      <c r="X37" s="2">
        <v>0.2</v>
      </c>
      <c r="Y37" s="2">
        <v>0.2</v>
      </c>
      <c r="Z37" s="2">
        <v>0.2</v>
      </c>
      <c r="AA37" s="2">
        <v>0.2</v>
      </c>
      <c r="AB37" s="2">
        <v>0.2</v>
      </c>
      <c r="AC37" s="2">
        <v>0.2</v>
      </c>
      <c r="AD37" s="2">
        <v>0.2</v>
      </c>
      <c r="AE37" s="2">
        <v>0.2</v>
      </c>
      <c r="AF37" s="2">
        <v>0.2</v>
      </c>
      <c r="AG37" s="2">
        <v>0.2</v>
      </c>
      <c r="AH37" s="2">
        <v>0.2</v>
      </c>
    </row>
    <row r="38" spans="1:34">
      <c r="A38" t="str">
        <f t="shared" si="2"/>
        <v>Lentils</v>
      </c>
      <c r="B38" t="str">
        <f t="shared" si="3"/>
        <v>Amhara</v>
      </c>
      <c r="C38" s="2">
        <v>0.2</v>
      </c>
      <c r="D38" s="2">
        <v>0.2</v>
      </c>
      <c r="E38" s="2">
        <v>0.2</v>
      </c>
      <c r="F38" s="2">
        <v>0.2</v>
      </c>
      <c r="G38" s="2">
        <v>0.2</v>
      </c>
      <c r="H38" s="2">
        <v>0.2</v>
      </c>
      <c r="I38" s="2">
        <v>0.2</v>
      </c>
      <c r="J38" s="2">
        <v>0.2</v>
      </c>
      <c r="K38" s="2">
        <v>0.2</v>
      </c>
      <c r="L38" s="2">
        <v>0.2</v>
      </c>
      <c r="M38" s="2">
        <v>0.2</v>
      </c>
      <c r="N38" s="2">
        <v>0.2</v>
      </c>
      <c r="O38" s="2">
        <v>0.2</v>
      </c>
      <c r="P38" s="2">
        <v>0.2</v>
      </c>
      <c r="Q38" s="2">
        <v>0.2</v>
      </c>
      <c r="R38" s="2">
        <v>0.2</v>
      </c>
      <c r="S38" s="2">
        <v>0.2</v>
      </c>
      <c r="T38" s="2">
        <v>0.2</v>
      </c>
      <c r="U38" s="2">
        <v>0.2</v>
      </c>
      <c r="V38" s="2">
        <v>0.2</v>
      </c>
      <c r="W38" s="2">
        <v>0.2</v>
      </c>
      <c r="X38" s="2">
        <v>0.2</v>
      </c>
      <c r="Y38" s="2">
        <v>0.2</v>
      </c>
      <c r="Z38" s="2">
        <v>0.2</v>
      </c>
      <c r="AA38" s="2">
        <v>0.2</v>
      </c>
      <c r="AB38" s="2">
        <v>0.2</v>
      </c>
      <c r="AC38" s="2">
        <v>0.2</v>
      </c>
      <c r="AD38" s="2">
        <v>0.2</v>
      </c>
      <c r="AE38" s="2">
        <v>0.2</v>
      </c>
      <c r="AF38" s="2">
        <v>0.2</v>
      </c>
      <c r="AG38" s="2">
        <v>0.2</v>
      </c>
      <c r="AH38" s="2">
        <v>0.2</v>
      </c>
    </row>
    <row r="39" spans="1:34">
      <c r="A39" t="str">
        <f t="shared" si="2"/>
        <v>Lentils</v>
      </c>
      <c r="B39" t="str">
        <f t="shared" si="3"/>
        <v>Gumuz</v>
      </c>
      <c r="C39" s="2">
        <v>0.2</v>
      </c>
      <c r="D39" s="2">
        <v>0.2</v>
      </c>
      <c r="E39" s="2">
        <v>0.2</v>
      </c>
      <c r="F39" s="2">
        <v>0.2</v>
      </c>
      <c r="G39" s="2">
        <v>0.2</v>
      </c>
      <c r="H39" s="2">
        <v>0.2</v>
      </c>
      <c r="I39" s="2">
        <v>0.2</v>
      </c>
      <c r="J39" s="2">
        <v>0.2</v>
      </c>
      <c r="K39" s="2">
        <v>0.2</v>
      </c>
      <c r="L39" s="2">
        <v>0.2</v>
      </c>
      <c r="M39" s="2">
        <v>0.2</v>
      </c>
      <c r="N39" s="2">
        <v>0.2</v>
      </c>
      <c r="O39" s="2">
        <v>0.2</v>
      </c>
      <c r="P39" s="2">
        <v>0.2</v>
      </c>
      <c r="Q39" s="2">
        <v>0.2</v>
      </c>
      <c r="R39" s="2">
        <v>0.2</v>
      </c>
      <c r="S39" s="2">
        <v>0.2</v>
      </c>
      <c r="T39" s="2">
        <v>0.2</v>
      </c>
      <c r="U39" s="2">
        <v>0.2</v>
      </c>
      <c r="V39" s="2">
        <v>0.2</v>
      </c>
      <c r="W39" s="2">
        <v>0.2</v>
      </c>
      <c r="X39" s="2">
        <v>0.2</v>
      </c>
      <c r="Y39" s="2">
        <v>0.2</v>
      </c>
      <c r="Z39" s="2">
        <v>0.2</v>
      </c>
      <c r="AA39" s="2">
        <v>0.2</v>
      </c>
      <c r="AB39" s="2">
        <v>0.2</v>
      </c>
      <c r="AC39" s="2">
        <v>0.2</v>
      </c>
      <c r="AD39" s="2">
        <v>0.2</v>
      </c>
      <c r="AE39" s="2">
        <v>0.2</v>
      </c>
      <c r="AF39" s="2">
        <v>0.2</v>
      </c>
      <c r="AG39" s="2">
        <v>0.2</v>
      </c>
      <c r="AH39" s="2">
        <v>0.2</v>
      </c>
    </row>
    <row r="40" spans="1:34">
      <c r="A40" t="str">
        <f t="shared" si="2"/>
        <v>Lentils</v>
      </c>
      <c r="B40" t="str">
        <f t="shared" si="3"/>
        <v>DireDawa</v>
      </c>
      <c r="C40" s="2">
        <v>0.2</v>
      </c>
      <c r="D40" s="2">
        <v>0.2</v>
      </c>
      <c r="E40" s="2">
        <v>0.2</v>
      </c>
      <c r="F40" s="2">
        <v>0.2</v>
      </c>
      <c r="G40" s="2">
        <v>0.2</v>
      </c>
      <c r="H40" s="2">
        <v>0.2</v>
      </c>
      <c r="I40" s="2">
        <v>0.2</v>
      </c>
      <c r="J40" s="2">
        <v>0.2</v>
      </c>
      <c r="K40" s="2">
        <v>0.2</v>
      </c>
      <c r="L40" s="2">
        <v>0.2</v>
      </c>
      <c r="M40" s="2">
        <v>0.2</v>
      </c>
      <c r="N40" s="2">
        <v>0.2</v>
      </c>
      <c r="O40" s="2">
        <v>0.2</v>
      </c>
      <c r="P40" s="2">
        <v>0.2</v>
      </c>
      <c r="Q40" s="2">
        <v>0.2</v>
      </c>
      <c r="R40" s="2">
        <v>0.2</v>
      </c>
      <c r="S40" s="2">
        <v>0.2</v>
      </c>
      <c r="T40" s="2">
        <v>0.2</v>
      </c>
      <c r="U40" s="2">
        <v>0.2</v>
      </c>
      <c r="V40" s="2">
        <v>0.2</v>
      </c>
      <c r="W40" s="2">
        <v>0.2</v>
      </c>
      <c r="X40" s="2">
        <v>0.2</v>
      </c>
      <c r="Y40" s="2">
        <v>0.2</v>
      </c>
      <c r="Z40" s="2">
        <v>0.2</v>
      </c>
      <c r="AA40" s="2">
        <v>0.2</v>
      </c>
      <c r="AB40" s="2">
        <v>0.2</v>
      </c>
      <c r="AC40" s="2">
        <v>0.2</v>
      </c>
      <c r="AD40" s="2">
        <v>0.2</v>
      </c>
      <c r="AE40" s="2">
        <v>0.2</v>
      </c>
      <c r="AF40" s="2">
        <v>0.2</v>
      </c>
      <c r="AG40" s="2">
        <v>0.2</v>
      </c>
      <c r="AH40" s="2">
        <v>0.2</v>
      </c>
    </row>
    <row r="41" spans="1:34">
      <c r="A41" t="str">
        <f t="shared" si="2"/>
        <v>Lentils</v>
      </c>
      <c r="B41" t="str">
        <f t="shared" si="3"/>
        <v>Gambela</v>
      </c>
      <c r="C41" s="2">
        <v>0.2</v>
      </c>
      <c r="D41" s="2">
        <v>0.2</v>
      </c>
      <c r="E41" s="2">
        <v>0.2</v>
      </c>
      <c r="F41" s="2">
        <v>0.2</v>
      </c>
      <c r="G41" s="2">
        <v>0.2</v>
      </c>
      <c r="H41" s="2">
        <v>0.2</v>
      </c>
      <c r="I41" s="2">
        <v>0.2</v>
      </c>
      <c r="J41" s="2">
        <v>0.2</v>
      </c>
      <c r="K41" s="2">
        <v>0.2</v>
      </c>
      <c r="L41" s="2">
        <v>0.2</v>
      </c>
      <c r="M41" s="2">
        <v>0.2</v>
      </c>
      <c r="N41" s="2">
        <v>0.2</v>
      </c>
      <c r="O41" s="2">
        <v>0.2</v>
      </c>
      <c r="P41" s="2">
        <v>0.2</v>
      </c>
      <c r="Q41" s="2">
        <v>0.2</v>
      </c>
      <c r="R41" s="2">
        <v>0.2</v>
      </c>
      <c r="S41" s="2">
        <v>0.2</v>
      </c>
      <c r="T41" s="2">
        <v>0.2</v>
      </c>
      <c r="U41" s="2">
        <v>0.2</v>
      </c>
      <c r="V41" s="2">
        <v>0.2</v>
      </c>
      <c r="W41" s="2">
        <v>0.2</v>
      </c>
      <c r="X41" s="2">
        <v>0.2</v>
      </c>
      <c r="Y41" s="2">
        <v>0.2</v>
      </c>
      <c r="Z41" s="2">
        <v>0.2</v>
      </c>
      <c r="AA41" s="2">
        <v>0.2</v>
      </c>
      <c r="AB41" s="2">
        <v>0.2</v>
      </c>
      <c r="AC41" s="2">
        <v>0.2</v>
      </c>
      <c r="AD41" s="2">
        <v>0.2</v>
      </c>
      <c r="AE41" s="2">
        <v>0.2</v>
      </c>
      <c r="AF41" s="2">
        <v>0.2</v>
      </c>
      <c r="AG41" s="2">
        <v>0.2</v>
      </c>
      <c r="AH41" s="2">
        <v>0.2</v>
      </c>
    </row>
    <row r="42" spans="1:34">
      <c r="A42" t="str">
        <f t="shared" si="2"/>
        <v>Lentils</v>
      </c>
      <c r="B42" t="str">
        <f t="shared" si="3"/>
        <v>Harari</v>
      </c>
      <c r="C42" s="2">
        <v>0.2</v>
      </c>
      <c r="D42" s="2">
        <v>0.2</v>
      </c>
      <c r="E42" s="2">
        <v>0.2</v>
      </c>
      <c r="F42" s="2">
        <v>0.2</v>
      </c>
      <c r="G42" s="2">
        <v>0.2</v>
      </c>
      <c r="H42" s="2">
        <v>0.2</v>
      </c>
      <c r="I42" s="2">
        <v>0.2</v>
      </c>
      <c r="J42" s="2">
        <v>0.2</v>
      </c>
      <c r="K42" s="2">
        <v>0.2</v>
      </c>
      <c r="L42" s="2">
        <v>0.2</v>
      </c>
      <c r="M42" s="2">
        <v>0.2</v>
      </c>
      <c r="N42" s="2">
        <v>0.2</v>
      </c>
      <c r="O42" s="2">
        <v>0.2</v>
      </c>
      <c r="P42" s="2">
        <v>0.2</v>
      </c>
      <c r="Q42" s="2">
        <v>0.2</v>
      </c>
      <c r="R42" s="2">
        <v>0.2</v>
      </c>
      <c r="S42" s="2">
        <v>0.2</v>
      </c>
      <c r="T42" s="2">
        <v>0.2</v>
      </c>
      <c r="U42" s="2">
        <v>0.2</v>
      </c>
      <c r="V42" s="2">
        <v>0.2</v>
      </c>
      <c r="W42" s="2">
        <v>0.2</v>
      </c>
      <c r="X42" s="2">
        <v>0.2</v>
      </c>
      <c r="Y42" s="2">
        <v>0.2</v>
      </c>
      <c r="Z42" s="2">
        <v>0.2</v>
      </c>
      <c r="AA42" s="2">
        <v>0.2</v>
      </c>
      <c r="AB42" s="2">
        <v>0.2</v>
      </c>
      <c r="AC42" s="2">
        <v>0.2</v>
      </c>
      <c r="AD42" s="2">
        <v>0.2</v>
      </c>
      <c r="AE42" s="2">
        <v>0.2</v>
      </c>
      <c r="AF42" s="2">
        <v>0.2</v>
      </c>
      <c r="AG42" s="2">
        <v>0.2</v>
      </c>
      <c r="AH42" s="2">
        <v>0.2</v>
      </c>
    </row>
    <row r="43" spans="1:34">
      <c r="A43" t="str">
        <f t="shared" si="2"/>
        <v>Lentils</v>
      </c>
      <c r="B43" t="str">
        <f t="shared" si="3"/>
        <v>Oromia</v>
      </c>
      <c r="C43" s="2">
        <v>0.2</v>
      </c>
      <c r="D43" s="2">
        <v>0.2</v>
      </c>
      <c r="E43" s="2">
        <v>0.2</v>
      </c>
      <c r="F43" s="2">
        <v>0.2</v>
      </c>
      <c r="G43" s="2">
        <v>0.2</v>
      </c>
      <c r="H43" s="2">
        <v>0.2</v>
      </c>
      <c r="I43" s="2">
        <v>0.2</v>
      </c>
      <c r="J43" s="2">
        <v>0.2</v>
      </c>
      <c r="K43" s="2">
        <v>0.2</v>
      </c>
      <c r="L43" s="2">
        <v>0.2</v>
      </c>
      <c r="M43" s="2">
        <v>0.2</v>
      </c>
      <c r="N43" s="2">
        <v>0.2</v>
      </c>
      <c r="O43" s="2">
        <v>0.2</v>
      </c>
      <c r="P43" s="2">
        <v>0.2</v>
      </c>
      <c r="Q43" s="2">
        <v>0.2</v>
      </c>
      <c r="R43" s="2">
        <v>0.2</v>
      </c>
      <c r="S43" s="2">
        <v>0.2</v>
      </c>
      <c r="T43" s="2">
        <v>0.2</v>
      </c>
      <c r="U43" s="2">
        <v>0.2</v>
      </c>
      <c r="V43" s="2">
        <v>0.2</v>
      </c>
      <c r="W43" s="2">
        <v>0.2</v>
      </c>
      <c r="X43" s="2">
        <v>0.2</v>
      </c>
      <c r="Y43" s="2">
        <v>0.2</v>
      </c>
      <c r="Z43" s="2">
        <v>0.2</v>
      </c>
      <c r="AA43" s="2">
        <v>0.2</v>
      </c>
      <c r="AB43" s="2">
        <v>0.2</v>
      </c>
      <c r="AC43" s="2">
        <v>0.2</v>
      </c>
      <c r="AD43" s="2">
        <v>0.2</v>
      </c>
      <c r="AE43" s="2">
        <v>0.2</v>
      </c>
      <c r="AF43" s="2">
        <v>0.2</v>
      </c>
      <c r="AG43" s="2">
        <v>0.2</v>
      </c>
      <c r="AH43" s="2">
        <v>0.2</v>
      </c>
    </row>
    <row r="44" spans="1:34">
      <c r="A44" t="str">
        <f t="shared" si="2"/>
        <v>Lentils</v>
      </c>
      <c r="B44" t="str">
        <f t="shared" si="3"/>
        <v>Somali</v>
      </c>
      <c r="C44" s="2">
        <v>0.2</v>
      </c>
      <c r="D44" s="2">
        <v>0.2</v>
      </c>
      <c r="E44" s="2">
        <v>0.2</v>
      </c>
      <c r="F44" s="2">
        <v>0.2</v>
      </c>
      <c r="G44" s="2">
        <v>0.2</v>
      </c>
      <c r="H44" s="2">
        <v>0.2</v>
      </c>
      <c r="I44" s="2">
        <v>0.2</v>
      </c>
      <c r="J44" s="2">
        <v>0.2</v>
      </c>
      <c r="K44" s="2">
        <v>0.2</v>
      </c>
      <c r="L44" s="2">
        <v>0.2</v>
      </c>
      <c r="M44" s="2">
        <v>0.2</v>
      </c>
      <c r="N44" s="2">
        <v>0.2</v>
      </c>
      <c r="O44" s="2">
        <v>0.2</v>
      </c>
      <c r="P44" s="2">
        <v>0.2</v>
      </c>
      <c r="Q44" s="2">
        <v>0.2</v>
      </c>
      <c r="R44" s="2">
        <v>0.2</v>
      </c>
      <c r="S44" s="2">
        <v>0.2</v>
      </c>
      <c r="T44" s="2">
        <v>0.2</v>
      </c>
      <c r="U44" s="2">
        <v>0.2</v>
      </c>
      <c r="V44" s="2">
        <v>0.2</v>
      </c>
      <c r="W44" s="2">
        <v>0.2</v>
      </c>
      <c r="X44" s="2">
        <v>0.2</v>
      </c>
      <c r="Y44" s="2">
        <v>0.2</v>
      </c>
      <c r="Z44" s="2">
        <v>0.2</v>
      </c>
      <c r="AA44" s="2">
        <v>0.2</v>
      </c>
      <c r="AB44" s="2">
        <v>0.2</v>
      </c>
      <c r="AC44" s="2">
        <v>0.2</v>
      </c>
      <c r="AD44" s="2">
        <v>0.2</v>
      </c>
      <c r="AE44" s="2">
        <v>0.2</v>
      </c>
      <c r="AF44" s="2">
        <v>0.2</v>
      </c>
      <c r="AG44" s="2">
        <v>0.2</v>
      </c>
      <c r="AH44" s="2">
        <v>0.2</v>
      </c>
    </row>
    <row r="45" spans="1:34">
      <c r="A45" t="str">
        <f t="shared" si="2"/>
        <v>Lentils</v>
      </c>
      <c r="B45" t="str">
        <f t="shared" si="3"/>
        <v>SNNPR</v>
      </c>
      <c r="C45" s="2">
        <v>0.2</v>
      </c>
      <c r="D45" s="2">
        <v>0.2</v>
      </c>
      <c r="E45" s="2">
        <v>0.2</v>
      </c>
      <c r="F45" s="2">
        <v>0.2</v>
      </c>
      <c r="G45" s="2">
        <v>0.2</v>
      </c>
      <c r="H45" s="2">
        <v>0.2</v>
      </c>
      <c r="I45" s="2">
        <v>0.2</v>
      </c>
      <c r="J45" s="2">
        <v>0.2</v>
      </c>
      <c r="K45" s="2">
        <v>0.2</v>
      </c>
      <c r="L45" s="2">
        <v>0.2</v>
      </c>
      <c r="M45" s="2">
        <v>0.2</v>
      </c>
      <c r="N45" s="2">
        <v>0.2</v>
      </c>
      <c r="O45" s="2">
        <v>0.2</v>
      </c>
      <c r="P45" s="2">
        <v>0.2</v>
      </c>
      <c r="Q45" s="2">
        <v>0.2</v>
      </c>
      <c r="R45" s="2">
        <v>0.2</v>
      </c>
      <c r="S45" s="2">
        <v>0.2</v>
      </c>
      <c r="T45" s="2">
        <v>0.2</v>
      </c>
      <c r="U45" s="2">
        <v>0.2</v>
      </c>
      <c r="V45" s="2">
        <v>0.2</v>
      </c>
      <c r="W45" s="2">
        <v>0.2</v>
      </c>
      <c r="X45" s="2">
        <v>0.2</v>
      </c>
      <c r="Y45" s="2">
        <v>0.2</v>
      </c>
      <c r="Z45" s="2">
        <v>0.2</v>
      </c>
      <c r="AA45" s="2">
        <v>0.2</v>
      </c>
      <c r="AB45" s="2">
        <v>0.2</v>
      </c>
      <c r="AC45" s="2">
        <v>0.2</v>
      </c>
      <c r="AD45" s="2">
        <v>0.2</v>
      </c>
      <c r="AE45" s="2">
        <v>0.2</v>
      </c>
      <c r="AF45" s="2">
        <v>0.2</v>
      </c>
      <c r="AG45" s="2">
        <v>0.2</v>
      </c>
      <c r="AH45" s="2">
        <v>0.2</v>
      </c>
    </row>
    <row r="46" spans="1:34">
      <c r="A46" t="str">
        <f t="shared" ref="A46:A68" si="4">INDEX(Food,MATCH(A35,Food,0)+1)</f>
        <v>Lentils</v>
      </c>
      <c r="B46" t="str">
        <f t="shared" si="3"/>
        <v>Tigray</v>
      </c>
      <c r="C46" s="2">
        <v>0.2</v>
      </c>
      <c r="D46" s="2">
        <v>0.2</v>
      </c>
      <c r="E46" s="2">
        <v>0.2</v>
      </c>
      <c r="F46" s="2">
        <v>0.2</v>
      </c>
      <c r="G46" s="2">
        <v>0.2</v>
      </c>
      <c r="H46" s="2">
        <v>0.2</v>
      </c>
      <c r="I46" s="2">
        <v>0.2</v>
      </c>
      <c r="J46" s="2">
        <v>0.2</v>
      </c>
      <c r="K46" s="2">
        <v>0.2</v>
      </c>
      <c r="L46" s="2">
        <v>0.2</v>
      </c>
      <c r="M46" s="2">
        <v>0.2</v>
      </c>
      <c r="N46" s="2">
        <v>0.2</v>
      </c>
      <c r="O46" s="2">
        <v>0.2</v>
      </c>
      <c r="P46" s="2">
        <v>0.2</v>
      </c>
      <c r="Q46" s="2">
        <v>0.2</v>
      </c>
      <c r="R46" s="2">
        <v>0.2</v>
      </c>
      <c r="S46" s="2">
        <v>0.2</v>
      </c>
      <c r="T46" s="2">
        <v>0.2</v>
      </c>
      <c r="U46" s="2">
        <v>0.2</v>
      </c>
      <c r="V46" s="2">
        <v>0.2</v>
      </c>
      <c r="W46" s="2">
        <v>0.2</v>
      </c>
      <c r="X46" s="2">
        <v>0.2</v>
      </c>
      <c r="Y46" s="2">
        <v>0.2</v>
      </c>
      <c r="Z46" s="2">
        <v>0.2</v>
      </c>
      <c r="AA46" s="2">
        <v>0.2</v>
      </c>
      <c r="AB46" s="2">
        <v>0.2</v>
      </c>
      <c r="AC46" s="2">
        <v>0.2</v>
      </c>
      <c r="AD46" s="2">
        <v>0.2</v>
      </c>
      <c r="AE46" s="2">
        <v>0.2</v>
      </c>
      <c r="AF46" s="2">
        <v>0.2</v>
      </c>
      <c r="AG46" s="2">
        <v>0.2</v>
      </c>
      <c r="AH46" s="2">
        <v>0.2</v>
      </c>
    </row>
    <row r="47" spans="1:34">
      <c r="A47" t="str">
        <f t="shared" si="4"/>
        <v>Vegetables</v>
      </c>
      <c r="B47" t="str">
        <f t="shared" si="3"/>
        <v>AddisAbaba</v>
      </c>
      <c r="C47" s="2">
        <v>0.2</v>
      </c>
      <c r="D47" s="2">
        <v>0.2</v>
      </c>
      <c r="E47" s="2">
        <v>0.2</v>
      </c>
      <c r="F47" s="2">
        <v>0.2</v>
      </c>
      <c r="G47" s="2">
        <v>0.2</v>
      </c>
      <c r="H47" s="2">
        <v>0.2</v>
      </c>
      <c r="I47" s="2">
        <v>0.2</v>
      </c>
      <c r="J47" s="2">
        <v>0.2</v>
      </c>
      <c r="K47" s="2">
        <v>0.2</v>
      </c>
      <c r="L47" s="2">
        <v>0.2</v>
      </c>
      <c r="M47" s="2">
        <v>0.2</v>
      </c>
      <c r="N47" s="2">
        <v>0.2</v>
      </c>
      <c r="O47" s="2">
        <v>0.2</v>
      </c>
      <c r="P47" s="2">
        <v>0.2</v>
      </c>
      <c r="Q47" s="2">
        <v>0.2</v>
      </c>
      <c r="R47" s="2">
        <v>0.2</v>
      </c>
      <c r="S47" s="2">
        <v>0.2</v>
      </c>
      <c r="T47" s="2">
        <v>0.2</v>
      </c>
      <c r="U47" s="2">
        <v>0.2</v>
      </c>
      <c r="V47" s="2">
        <v>0.2</v>
      </c>
      <c r="W47" s="2">
        <v>0.2</v>
      </c>
      <c r="X47" s="2">
        <v>0.2</v>
      </c>
      <c r="Y47" s="2">
        <v>0.2</v>
      </c>
      <c r="Z47" s="2">
        <v>0.2</v>
      </c>
      <c r="AA47" s="2">
        <v>0.2</v>
      </c>
      <c r="AB47" s="2">
        <v>0.2</v>
      </c>
      <c r="AC47" s="2">
        <v>0.2</v>
      </c>
      <c r="AD47" s="2">
        <v>0.2</v>
      </c>
      <c r="AE47" s="2">
        <v>0.2</v>
      </c>
      <c r="AF47" s="2">
        <v>0.2</v>
      </c>
      <c r="AG47" s="2">
        <v>0.2</v>
      </c>
      <c r="AH47" s="2">
        <v>0.2</v>
      </c>
    </row>
    <row r="48" spans="1:34">
      <c r="A48" t="str">
        <f t="shared" si="4"/>
        <v>Vegetables</v>
      </c>
      <c r="B48" t="str">
        <f t="shared" si="3"/>
        <v>Afar</v>
      </c>
      <c r="C48" s="2">
        <v>0.2</v>
      </c>
      <c r="D48" s="2">
        <v>0.2</v>
      </c>
      <c r="E48" s="2">
        <v>0.2</v>
      </c>
      <c r="F48" s="2">
        <v>0.2</v>
      </c>
      <c r="G48" s="2">
        <v>0.2</v>
      </c>
      <c r="H48" s="2">
        <v>0.2</v>
      </c>
      <c r="I48" s="2">
        <v>0.2</v>
      </c>
      <c r="J48" s="2">
        <v>0.2</v>
      </c>
      <c r="K48" s="2">
        <v>0.2</v>
      </c>
      <c r="L48" s="2">
        <v>0.2</v>
      </c>
      <c r="M48" s="2">
        <v>0.2</v>
      </c>
      <c r="N48" s="2">
        <v>0.2</v>
      </c>
      <c r="O48" s="2">
        <v>0.2</v>
      </c>
      <c r="P48" s="2">
        <v>0.2</v>
      </c>
      <c r="Q48" s="2">
        <v>0.2</v>
      </c>
      <c r="R48" s="2">
        <v>0.2</v>
      </c>
      <c r="S48" s="2">
        <v>0.2</v>
      </c>
      <c r="T48" s="2">
        <v>0.2</v>
      </c>
      <c r="U48" s="2">
        <v>0.2</v>
      </c>
      <c r="V48" s="2">
        <v>0.2</v>
      </c>
      <c r="W48" s="2">
        <v>0.2</v>
      </c>
      <c r="X48" s="2">
        <v>0.2</v>
      </c>
      <c r="Y48" s="2">
        <v>0.2</v>
      </c>
      <c r="Z48" s="2">
        <v>0.2</v>
      </c>
      <c r="AA48" s="2">
        <v>0.2</v>
      </c>
      <c r="AB48" s="2">
        <v>0.2</v>
      </c>
      <c r="AC48" s="2">
        <v>0.2</v>
      </c>
      <c r="AD48" s="2">
        <v>0.2</v>
      </c>
      <c r="AE48" s="2">
        <v>0.2</v>
      </c>
      <c r="AF48" s="2">
        <v>0.2</v>
      </c>
      <c r="AG48" s="2">
        <v>0.2</v>
      </c>
      <c r="AH48" s="2">
        <v>0.2</v>
      </c>
    </row>
    <row r="49" spans="1:34">
      <c r="A49" t="str">
        <f t="shared" si="4"/>
        <v>Vegetables</v>
      </c>
      <c r="B49" t="str">
        <f t="shared" si="3"/>
        <v>Amhara</v>
      </c>
      <c r="C49" s="2">
        <v>0.2</v>
      </c>
      <c r="D49" s="2">
        <v>0.2</v>
      </c>
      <c r="E49" s="2">
        <v>0.2</v>
      </c>
      <c r="F49" s="2">
        <v>0.2</v>
      </c>
      <c r="G49" s="2">
        <v>0.2</v>
      </c>
      <c r="H49" s="2">
        <v>0.2</v>
      </c>
      <c r="I49" s="2">
        <v>0.2</v>
      </c>
      <c r="J49" s="2">
        <v>0.2</v>
      </c>
      <c r="K49" s="2">
        <v>0.2</v>
      </c>
      <c r="L49" s="2">
        <v>0.2</v>
      </c>
      <c r="M49" s="2">
        <v>0.2</v>
      </c>
      <c r="N49" s="2">
        <v>0.2</v>
      </c>
      <c r="O49" s="2">
        <v>0.2</v>
      </c>
      <c r="P49" s="2">
        <v>0.2</v>
      </c>
      <c r="Q49" s="2">
        <v>0.2</v>
      </c>
      <c r="R49" s="2">
        <v>0.2</v>
      </c>
      <c r="S49" s="2">
        <v>0.2</v>
      </c>
      <c r="T49" s="2">
        <v>0.2</v>
      </c>
      <c r="U49" s="2">
        <v>0.2</v>
      </c>
      <c r="V49" s="2">
        <v>0.2</v>
      </c>
      <c r="W49" s="2">
        <v>0.2</v>
      </c>
      <c r="X49" s="2">
        <v>0.2</v>
      </c>
      <c r="Y49" s="2">
        <v>0.2</v>
      </c>
      <c r="Z49" s="2">
        <v>0.2</v>
      </c>
      <c r="AA49" s="2">
        <v>0.2</v>
      </c>
      <c r="AB49" s="2">
        <v>0.2</v>
      </c>
      <c r="AC49" s="2">
        <v>0.2</v>
      </c>
      <c r="AD49" s="2">
        <v>0.2</v>
      </c>
      <c r="AE49" s="2">
        <v>0.2</v>
      </c>
      <c r="AF49" s="2">
        <v>0.2</v>
      </c>
      <c r="AG49" s="2">
        <v>0.2</v>
      </c>
      <c r="AH49" s="2">
        <v>0.2</v>
      </c>
    </row>
    <row r="50" spans="1:34">
      <c r="A50" t="str">
        <f t="shared" si="4"/>
        <v>Vegetables</v>
      </c>
      <c r="B50" t="str">
        <f t="shared" si="3"/>
        <v>Gumuz</v>
      </c>
      <c r="C50" s="2">
        <v>0.2</v>
      </c>
      <c r="D50" s="2">
        <v>0.2</v>
      </c>
      <c r="E50" s="2">
        <v>0.2</v>
      </c>
      <c r="F50" s="2">
        <v>0.2</v>
      </c>
      <c r="G50" s="2">
        <v>0.2</v>
      </c>
      <c r="H50" s="2">
        <v>0.2</v>
      </c>
      <c r="I50" s="2">
        <v>0.2</v>
      </c>
      <c r="J50" s="2">
        <v>0.2</v>
      </c>
      <c r="K50" s="2">
        <v>0.2</v>
      </c>
      <c r="L50" s="2">
        <v>0.2</v>
      </c>
      <c r="M50" s="2">
        <v>0.2</v>
      </c>
      <c r="N50" s="2">
        <v>0.2</v>
      </c>
      <c r="O50" s="2">
        <v>0.2</v>
      </c>
      <c r="P50" s="2">
        <v>0.2</v>
      </c>
      <c r="Q50" s="2">
        <v>0.2</v>
      </c>
      <c r="R50" s="2">
        <v>0.2</v>
      </c>
      <c r="S50" s="2">
        <v>0.2</v>
      </c>
      <c r="T50" s="2">
        <v>0.2</v>
      </c>
      <c r="U50" s="2">
        <v>0.2</v>
      </c>
      <c r="V50" s="2">
        <v>0.2</v>
      </c>
      <c r="W50" s="2">
        <v>0.2</v>
      </c>
      <c r="X50" s="2">
        <v>0.2</v>
      </c>
      <c r="Y50" s="2">
        <v>0.2</v>
      </c>
      <c r="Z50" s="2">
        <v>0.2</v>
      </c>
      <c r="AA50" s="2">
        <v>0.2</v>
      </c>
      <c r="AB50" s="2">
        <v>0.2</v>
      </c>
      <c r="AC50" s="2">
        <v>0.2</v>
      </c>
      <c r="AD50" s="2">
        <v>0.2</v>
      </c>
      <c r="AE50" s="2">
        <v>0.2</v>
      </c>
      <c r="AF50" s="2">
        <v>0.2</v>
      </c>
      <c r="AG50" s="2">
        <v>0.2</v>
      </c>
      <c r="AH50" s="2">
        <v>0.2</v>
      </c>
    </row>
    <row r="51" spans="1:34">
      <c r="A51" t="str">
        <f t="shared" si="4"/>
        <v>Vegetables</v>
      </c>
      <c r="B51" t="str">
        <f t="shared" si="3"/>
        <v>DireDawa</v>
      </c>
      <c r="C51" s="2">
        <v>0.2</v>
      </c>
      <c r="D51" s="2">
        <v>0.2</v>
      </c>
      <c r="E51" s="2">
        <v>0.2</v>
      </c>
      <c r="F51" s="2">
        <v>0.2</v>
      </c>
      <c r="G51" s="2">
        <v>0.2</v>
      </c>
      <c r="H51" s="2">
        <v>0.2</v>
      </c>
      <c r="I51" s="2">
        <v>0.2</v>
      </c>
      <c r="J51" s="2">
        <v>0.2</v>
      </c>
      <c r="K51" s="2">
        <v>0.2</v>
      </c>
      <c r="L51" s="2">
        <v>0.2</v>
      </c>
      <c r="M51" s="2">
        <v>0.2</v>
      </c>
      <c r="N51" s="2">
        <v>0.2</v>
      </c>
      <c r="O51" s="2">
        <v>0.2</v>
      </c>
      <c r="P51" s="2">
        <v>0.2</v>
      </c>
      <c r="Q51" s="2">
        <v>0.2</v>
      </c>
      <c r="R51" s="2">
        <v>0.2</v>
      </c>
      <c r="S51" s="2">
        <v>0.2</v>
      </c>
      <c r="T51" s="2">
        <v>0.2</v>
      </c>
      <c r="U51" s="2">
        <v>0.2</v>
      </c>
      <c r="V51" s="2">
        <v>0.2</v>
      </c>
      <c r="W51" s="2">
        <v>0.2</v>
      </c>
      <c r="X51" s="2">
        <v>0.2</v>
      </c>
      <c r="Y51" s="2">
        <v>0.2</v>
      </c>
      <c r="Z51" s="2">
        <v>0.2</v>
      </c>
      <c r="AA51" s="2">
        <v>0.2</v>
      </c>
      <c r="AB51" s="2">
        <v>0.2</v>
      </c>
      <c r="AC51" s="2">
        <v>0.2</v>
      </c>
      <c r="AD51" s="2">
        <v>0.2</v>
      </c>
      <c r="AE51" s="2">
        <v>0.2</v>
      </c>
      <c r="AF51" s="2">
        <v>0.2</v>
      </c>
      <c r="AG51" s="2">
        <v>0.2</v>
      </c>
      <c r="AH51" s="2">
        <v>0.2</v>
      </c>
    </row>
    <row r="52" spans="1:34">
      <c r="A52" t="str">
        <f t="shared" si="4"/>
        <v>Vegetables</v>
      </c>
      <c r="B52" t="str">
        <f t="shared" si="3"/>
        <v>Gambela</v>
      </c>
      <c r="C52" s="2">
        <v>0.2</v>
      </c>
      <c r="D52" s="2">
        <v>0.2</v>
      </c>
      <c r="E52" s="2">
        <v>0.2</v>
      </c>
      <c r="F52" s="2">
        <v>0.2</v>
      </c>
      <c r="G52" s="2">
        <v>0.2</v>
      </c>
      <c r="H52" s="2">
        <v>0.2</v>
      </c>
      <c r="I52" s="2">
        <v>0.2</v>
      </c>
      <c r="J52" s="2">
        <v>0.2</v>
      </c>
      <c r="K52" s="2">
        <v>0.2</v>
      </c>
      <c r="L52" s="2">
        <v>0.2</v>
      </c>
      <c r="M52" s="2">
        <v>0.2</v>
      </c>
      <c r="N52" s="2">
        <v>0.2</v>
      </c>
      <c r="O52" s="2">
        <v>0.2</v>
      </c>
      <c r="P52" s="2">
        <v>0.2</v>
      </c>
      <c r="Q52" s="2">
        <v>0.2</v>
      </c>
      <c r="R52" s="2">
        <v>0.2</v>
      </c>
      <c r="S52" s="2">
        <v>0.2</v>
      </c>
      <c r="T52" s="2">
        <v>0.2</v>
      </c>
      <c r="U52" s="2">
        <v>0.2</v>
      </c>
      <c r="V52" s="2">
        <v>0.2</v>
      </c>
      <c r="W52" s="2">
        <v>0.2</v>
      </c>
      <c r="X52" s="2">
        <v>0.2</v>
      </c>
      <c r="Y52" s="2">
        <v>0.2</v>
      </c>
      <c r="Z52" s="2">
        <v>0.2</v>
      </c>
      <c r="AA52" s="2">
        <v>0.2</v>
      </c>
      <c r="AB52" s="2">
        <v>0.2</v>
      </c>
      <c r="AC52" s="2">
        <v>0.2</v>
      </c>
      <c r="AD52" s="2">
        <v>0.2</v>
      </c>
      <c r="AE52" s="2">
        <v>0.2</v>
      </c>
      <c r="AF52" s="2">
        <v>0.2</v>
      </c>
      <c r="AG52" s="2">
        <v>0.2</v>
      </c>
      <c r="AH52" s="2">
        <v>0.2</v>
      </c>
    </row>
    <row r="53" spans="1:34">
      <c r="A53" t="str">
        <f t="shared" si="4"/>
        <v>Vegetables</v>
      </c>
      <c r="B53" t="str">
        <f t="shared" si="3"/>
        <v>Harari</v>
      </c>
      <c r="C53" s="2">
        <v>0.2</v>
      </c>
      <c r="D53" s="2">
        <v>0.2</v>
      </c>
      <c r="E53" s="2">
        <v>0.2</v>
      </c>
      <c r="F53" s="2">
        <v>0.2</v>
      </c>
      <c r="G53" s="2">
        <v>0.2</v>
      </c>
      <c r="H53" s="2">
        <v>0.2</v>
      </c>
      <c r="I53" s="2">
        <v>0.2</v>
      </c>
      <c r="J53" s="2">
        <v>0.2</v>
      </c>
      <c r="K53" s="2">
        <v>0.2</v>
      </c>
      <c r="L53" s="2">
        <v>0.2</v>
      </c>
      <c r="M53" s="2">
        <v>0.2</v>
      </c>
      <c r="N53" s="2">
        <v>0.2</v>
      </c>
      <c r="O53" s="2">
        <v>0.2</v>
      </c>
      <c r="P53" s="2">
        <v>0.2</v>
      </c>
      <c r="Q53" s="2">
        <v>0.2</v>
      </c>
      <c r="R53" s="2">
        <v>0.2</v>
      </c>
      <c r="S53" s="2">
        <v>0.2</v>
      </c>
      <c r="T53" s="2">
        <v>0.2</v>
      </c>
      <c r="U53" s="2">
        <v>0.2</v>
      </c>
      <c r="V53" s="2">
        <v>0.2</v>
      </c>
      <c r="W53" s="2">
        <v>0.2</v>
      </c>
      <c r="X53" s="2">
        <v>0.2</v>
      </c>
      <c r="Y53" s="2">
        <v>0.2</v>
      </c>
      <c r="Z53" s="2">
        <v>0.2</v>
      </c>
      <c r="AA53" s="2">
        <v>0.2</v>
      </c>
      <c r="AB53" s="2">
        <v>0.2</v>
      </c>
      <c r="AC53" s="2">
        <v>0.2</v>
      </c>
      <c r="AD53" s="2">
        <v>0.2</v>
      </c>
      <c r="AE53" s="2">
        <v>0.2</v>
      </c>
      <c r="AF53" s="2">
        <v>0.2</v>
      </c>
      <c r="AG53" s="2">
        <v>0.2</v>
      </c>
      <c r="AH53" s="2">
        <v>0.2</v>
      </c>
    </row>
    <row r="54" spans="1:34">
      <c r="A54" t="str">
        <f t="shared" si="4"/>
        <v>Vegetables</v>
      </c>
      <c r="B54" t="str">
        <f t="shared" si="3"/>
        <v>Oromia</v>
      </c>
      <c r="C54" s="2">
        <v>0.2</v>
      </c>
      <c r="D54" s="2">
        <v>0.2</v>
      </c>
      <c r="E54" s="2">
        <v>0.2</v>
      </c>
      <c r="F54" s="2">
        <v>0.2</v>
      </c>
      <c r="G54" s="2">
        <v>0.2</v>
      </c>
      <c r="H54" s="2">
        <v>0.2</v>
      </c>
      <c r="I54" s="2">
        <v>0.2</v>
      </c>
      <c r="J54" s="2">
        <v>0.2</v>
      </c>
      <c r="K54" s="2">
        <v>0.2</v>
      </c>
      <c r="L54" s="2">
        <v>0.2</v>
      </c>
      <c r="M54" s="2">
        <v>0.2</v>
      </c>
      <c r="N54" s="2">
        <v>0.2</v>
      </c>
      <c r="O54" s="2">
        <v>0.2</v>
      </c>
      <c r="P54" s="2">
        <v>0.2</v>
      </c>
      <c r="Q54" s="2">
        <v>0.2</v>
      </c>
      <c r="R54" s="2">
        <v>0.2</v>
      </c>
      <c r="S54" s="2">
        <v>0.2</v>
      </c>
      <c r="T54" s="2">
        <v>0.2</v>
      </c>
      <c r="U54" s="2">
        <v>0.2</v>
      </c>
      <c r="V54" s="2">
        <v>0.2</v>
      </c>
      <c r="W54" s="2">
        <v>0.2</v>
      </c>
      <c r="X54" s="2">
        <v>0.2</v>
      </c>
      <c r="Y54" s="2">
        <v>0.2</v>
      </c>
      <c r="Z54" s="2">
        <v>0.2</v>
      </c>
      <c r="AA54" s="2">
        <v>0.2</v>
      </c>
      <c r="AB54" s="2">
        <v>0.2</v>
      </c>
      <c r="AC54" s="2">
        <v>0.2</v>
      </c>
      <c r="AD54" s="2">
        <v>0.2</v>
      </c>
      <c r="AE54" s="2">
        <v>0.2</v>
      </c>
      <c r="AF54" s="2">
        <v>0.2</v>
      </c>
      <c r="AG54" s="2">
        <v>0.2</v>
      </c>
      <c r="AH54" s="2">
        <v>0.2</v>
      </c>
    </row>
    <row r="55" spans="1:34">
      <c r="A55" t="str">
        <f t="shared" si="4"/>
        <v>Vegetables</v>
      </c>
      <c r="B55" t="str">
        <f t="shared" si="3"/>
        <v>Somali</v>
      </c>
      <c r="C55" s="2">
        <v>0.2</v>
      </c>
      <c r="D55" s="2">
        <v>0.2</v>
      </c>
      <c r="E55" s="2">
        <v>0.2</v>
      </c>
      <c r="F55" s="2">
        <v>0.2</v>
      </c>
      <c r="G55" s="2">
        <v>0.2</v>
      </c>
      <c r="H55" s="2">
        <v>0.2</v>
      </c>
      <c r="I55" s="2">
        <v>0.2</v>
      </c>
      <c r="J55" s="2">
        <v>0.2</v>
      </c>
      <c r="K55" s="2">
        <v>0.2</v>
      </c>
      <c r="L55" s="2">
        <v>0.2</v>
      </c>
      <c r="M55" s="2">
        <v>0.2</v>
      </c>
      <c r="N55" s="2">
        <v>0.2</v>
      </c>
      <c r="O55" s="2">
        <v>0.2</v>
      </c>
      <c r="P55" s="2">
        <v>0.2</v>
      </c>
      <c r="Q55" s="2">
        <v>0.2</v>
      </c>
      <c r="R55" s="2">
        <v>0.2</v>
      </c>
      <c r="S55" s="2">
        <v>0.2</v>
      </c>
      <c r="T55" s="2">
        <v>0.2</v>
      </c>
      <c r="U55" s="2">
        <v>0.2</v>
      </c>
      <c r="V55" s="2">
        <v>0.2</v>
      </c>
      <c r="W55" s="2">
        <v>0.2</v>
      </c>
      <c r="X55" s="2">
        <v>0.2</v>
      </c>
      <c r="Y55" s="2">
        <v>0.2</v>
      </c>
      <c r="Z55" s="2">
        <v>0.2</v>
      </c>
      <c r="AA55" s="2">
        <v>0.2</v>
      </c>
      <c r="AB55" s="2">
        <v>0.2</v>
      </c>
      <c r="AC55" s="2">
        <v>0.2</v>
      </c>
      <c r="AD55" s="2">
        <v>0.2</v>
      </c>
      <c r="AE55" s="2">
        <v>0.2</v>
      </c>
      <c r="AF55" s="2">
        <v>0.2</v>
      </c>
      <c r="AG55" s="2">
        <v>0.2</v>
      </c>
      <c r="AH55" s="2">
        <v>0.2</v>
      </c>
    </row>
    <row r="56" spans="1:34">
      <c r="A56" t="str">
        <f t="shared" si="4"/>
        <v>Vegetables</v>
      </c>
      <c r="B56" t="str">
        <f t="shared" si="3"/>
        <v>SNNPR</v>
      </c>
      <c r="C56" s="2">
        <v>0.2</v>
      </c>
      <c r="D56" s="2">
        <v>0.2</v>
      </c>
      <c r="E56" s="2">
        <v>0.2</v>
      </c>
      <c r="F56" s="2">
        <v>0.2</v>
      </c>
      <c r="G56" s="2">
        <v>0.2</v>
      </c>
      <c r="H56" s="2">
        <v>0.2</v>
      </c>
      <c r="I56" s="2">
        <v>0.2</v>
      </c>
      <c r="J56" s="2">
        <v>0.2</v>
      </c>
      <c r="K56" s="2">
        <v>0.2</v>
      </c>
      <c r="L56" s="2">
        <v>0.2</v>
      </c>
      <c r="M56" s="2">
        <v>0.2</v>
      </c>
      <c r="N56" s="2">
        <v>0.2</v>
      </c>
      <c r="O56" s="2">
        <v>0.2</v>
      </c>
      <c r="P56" s="2">
        <v>0.2</v>
      </c>
      <c r="Q56" s="2">
        <v>0.2</v>
      </c>
      <c r="R56" s="2">
        <v>0.2</v>
      </c>
      <c r="S56" s="2">
        <v>0.2</v>
      </c>
      <c r="T56" s="2">
        <v>0.2</v>
      </c>
      <c r="U56" s="2">
        <v>0.2</v>
      </c>
      <c r="V56" s="2">
        <v>0.2</v>
      </c>
      <c r="W56" s="2">
        <v>0.2</v>
      </c>
      <c r="X56" s="2">
        <v>0.2</v>
      </c>
      <c r="Y56" s="2">
        <v>0.2</v>
      </c>
      <c r="Z56" s="2">
        <v>0.2</v>
      </c>
      <c r="AA56" s="2">
        <v>0.2</v>
      </c>
      <c r="AB56" s="2">
        <v>0.2</v>
      </c>
      <c r="AC56" s="2">
        <v>0.2</v>
      </c>
      <c r="AD56" s="2">
        <v>0.2</v>
      </c>
      <c r="AE56" s="2">
        <v>0.2</v>
      </c>
      <c r="AF56" s="2">
        <v>0.2</v>
      </c>
      <c r="AG56" s="2">
        <v>0.2</v>
      </c>
      <c r="AH56" s="2">
        <v>0.2</v>
      </c>
    </row>
    <row r="57" spans="1:34">
      <c r="A57" t="str">
        <f t="shared" si="4"/>
        <v>Vegetables</v>
      </c>
      <c r="B57" t="str">
        <f t="shared" si="3"/>
        <v>Tigray</v>
      </c>
      <c r="C57" s="2">
        <v>0.2</v>
      </c>
      <c r="D57" s="2">
        <v>0.2</v>
      </c>
      <c r="E57" s="2">
        <v>0.2</v>
      </c>
      <c r="F57" s="2">
        <v>0.2</v>
      </c>
      <c r="G57" s="2">
        <v>0.2</v>
      </c>
      <c r="H57" s="2">
        <v>0.2</v>
      </c>
      <c r="I57" s="2">
        <v>0.2</v>
      </c>
      <c r="J57" s="2">
        <v>0.2</v>
      </c>
      <c r="K57" s="2">
        <v>0.2</v>
      </c>
      <c r="L57" s="2">
        <v>0.2</v>
      </c>
      <c r="M57" s="2">
        <v>0.2</v>
      </c>
      <c r="N57" s="2">
        <v>0.2</v>
      </c>
      <c r="O57" s="2">
        <v>0.2</v>
      </c>
      <c r="P57" s="2">
        <v>0.2</v>
      </c>
      <c r="Q57" s="2">
        <v>0.2</v>
      </c>
      <c r="R57" s="2">
        <v>0.2</v>
      </c>
      <c r="S57" s="2">
        <v>0.2</v>
      </c>
      <c r="T57" s="2">
        <v>0.2</v>
      </c>
      <c r="U57" s="2">
        <v>0.2</v>
      </c>
      <c r="V57" s="2">
        <v>0.2</v>
      </c>
      <c r="W57" s="2">
        <v>0.2</v>
      </c>
      <c r="X57" s="2">
        <v>0.2</v>
      </c>
      <c r="Y57" s="2">
        <v>0.2</v>
      </c>
      <c r="Z57" s="2">
        <v>0.2</v>
      </c>
      <c r="AA57" s="2">
        <v>0.2</v>
      </c>
      <c r="AB57" s="2">
        <v>0.2</v>
      </c>
      <c r="AC57" s="2">
        <v>0.2</v>
      </c>
      <c r="AD57" s="2">
        <v>0.2</v>
      </c>
      <c r="AE57" s="2">
        <v>0.2</v>
      </c>
      <c r="AF57" s="2">
        <v>0.2</v>
      </c>
      <c r="AG57" s="2">
        <v>0.2</v>
      </c>
      <c r="AH57" s="2">
        <v>0.2</v>
      </c>
    </row>
    <row r="58" spans="1:34">
      <c r="A58" t="str">
        <f t="shared" si="4"/>
        <v>Coffee</v>
      </c>
      <c r="B58" t="str">
        <f t="shared" si="3"/>
        <v>AddisAbaba</v>
      </c>
      <c r="C58" s="2">
        <v>0.2</v>
      </c>
      <c r="D58" s="2">
        <v>0.2</v>
      </c>
      <c r="E58" s="2">
        <v>0.2</v>
      </c>
      <c r="F58" s="2">
        <v>0.2</v>
      </c>
      <c r="G58" s="2">
        <v>0.2</v>
      </c>
      <c r="H58" s="2">
        <v>0.2</v>
      </c>
      <c r="I58" s="2">
        <v>0.2</v>
      </c>
      <c r="J58" s="2">
        <v>0.2</v>
      </c>
      <c r="K58" s="2">
        <v>0.2</v>
      </c>
      <c r="L58" s="2">
        <v>0.2</v>
      </c>
      <c r="M58" s="2">
        <v>0.2</v>
      </c>
      <c r="N58" s="2">
        <v>0.2</v>
      </c>
      <c r="O58" s="2">
        <v>0.2</v>
      </c>
      <c r="P58" s="2">
        <v>0.2</v>
      </c>
      <c r="Q58" s="2">
        <v>0.2</v>
      </c>
      <c r="R58" s="2">
        <v>0.2</v>
      </c>
      <c r="S58" s="2">
        <v>0.2</v>
      </c>
      <c r="T58" s="2">
        <v>0.2</v>
      </c>
      <c r="U58" s="2">
        <v>0.2</v>
      </c>
      <c r="V58" s="2">
        <v>0.2</v>
      </c>
      <c r="W58" s="2">
        <v>0.2</v>
      </c>
      <c r="X58" s="2">
        <v>0.2</v>
      </c>
      <c r="Y58" s="2">
        <v>0.2</v>
      </c>
      <c r="Z58" s="2">
        <v>0.2</v>
      </c>
      <c r="AA58" s="2">
        <v>0.2</v>
      </c>
      <c r="AB58" s="2">
        <v>0.2</v>
      </c>
      <c r="AC58" s="2">
        <v>0.2</v>
      </c>
      <c r="AD58" s="2">
        <v>0.2</v>
      </c>
      <c r="AE58" s="2">
        <v>0.2</v>
      </c>
      <c r="AF58" s="2">
        <v>0.2</v>
      </c>
      <c r="AG58" s="2">
        <v>0.2</v>
      </c>
      <c r="AH58" s="2">
        <v>0.2</v>
      </c>
    </row>
    <row r="59" spans="1:34">
      <c r="A59" t="str">
        <f t="shared" si="4"/>
        <v>Coffee</v>
      </c>
      <c r="B59" t="str">
        <f t="shared" si="3"/>
        <v>Afar</v>
      </c>
      <c r="C59" s="2">
        <v>0.2</v>
      </c>
      <c r="D59" s="2">
        <v>0.2</v>
      </c>
      <c r="E59" s="2">
        <v>0.2</v>
      </c>
      <c r="F59" s="2">
        <v>0.2</v>
      </c>
      <c r="G59" s="2">
        <v>0.2</v>
      </c>
      <c r="H59" s="2">
        <v>0.2</v>
      </c>
      <c r="I59" s="2">
        <v>0.2</v>
      </c>
      <c r="J59" s="2">
        <v>0.2</v>
      </c>
      <c r="K59" s="2">
        <v>0.2</v>
      </c>
      <c r="L59" s="2">
        <v>0.2</v>
      </c>
      <c r="M59" s="2">
        <v>0.2</v>
      </c>
      <c r="N59" s="2">
        <v>0.2</v>
      </c>
      <c r="O59" s="2">
        <v>0.2</v>
      </c>
      <c r="P59" s="2">
        <v>0.2</v>
      </c>
      <c r="Q59" s="2">
        <v>0.2</v>
      </c>
      <c r="R59" s="2">
        <v>0.2</v>
      </c>
      <c r="S59" s="2">
        <v>0.2</v>
      </c>
      <c r="T59" s="2">
        <v>0.2</v>
      </c>
      <c r="U59" s="2">
        <v>0.2</v>
      </c>
      <c r="V59" s="2">
        <v>0.2</v>
      </c>
      <c r="W59" s="2">
        <v>0.2</v>
      </c>
      <c r="X59" s="2">
        <v>0.2</v>
      </c>
      <c r="Y59" s="2">
        <v>0.2</v>
      </c>
      <c r="Z59" s="2">
        <v>0.2</v>
      </c>
      <c r="AA59" s="2">
        <v>0.2</v>
      </c>
      <c r="AB59" s="2">
        <v>0.2</v>
      </c>
      <c r="AC59" s="2">
        <v>0.2</v>
      </c>
      <c r="AD59" s="2">
        <v>0.2</v>
      </c>
      <c r="AE59" s="2">
        <v>0.2</v>
      </c>
      <c r="AF59" s="2">
        <v>0.2</v>
      </c>
      <c r="AG59" s="2">
        <v>0.2</v>
      </c>
      <c r="AH59" s="2">
        <v>0.2</v>
      </c>
    </row>
    <row r="60" spans="1:34">
      <c r="A60" t="str">
        <f t="shared" si="4"/>
        <v>Coffee</v>
      </c>
      <c r="B60" t="str">
        <f t="shared" si="3"/>
        <v>Amhara</v>
      </c>
      <c r="C60" s="2">
        <v>0.2</v>
      </c>
      <c r="D60" s="2">
        <v>0.2</v>
      </c>
      <c r="E60" s="2">
        <v>0.2</v>
      </c>
      <c r="F60" s="2">
        <v>0.2</v>
      </c>
      <c r="G60" s="2">
        <v>0.2</v>
      </c>
      <c r="H60" s="2">
        <v>0.2</v>
      </c>
      <c r="I60" s="2">
        <v>0.2</v>
      </c>
      <c r="J60" s="2">
        <v>0.2</v>
      </c>
      <c r="K60" s="2">
        <v>0.2</v>
      </c>
      <c r="L60" s="2">
        <v>0.2</v>
      </c>
      <c r="M60" s="2">
        <v>0.2</v>
      </c>
      <c r="N60" s="2">
        <v>0.2</v>
      </c>
      <c r="O60" s="2">
        <v>0.2</v>
      </c>
      <c r="P60" s="2">
        <v>0.2</v>
      </c>
      <c r="Q60" s="2">
        <v>0.2</v>
      </c>
      <c r="R60" s="2">
        <v>0.2</v>
      </c>
      <c r="S60" s="2">
        <v>0.2</v>
      </c>
      <c r="T60" s="2">
        <v>0.2</v>
      </c>
      <c r="U60" s="2">
        <v>0.2</v>
      </c>
      <c r="V60" s="2">
        <v>0.2</v>
      </c>
      <c r="W60" s="2">
        <v>0.2</v>
      </c>
      <c r="X60" s="2">
        <v>0.2</v>
      </c>
      <c r="Y60" s="2">
        <v>0.2</v>
      </c>
      <c r="Z60" s="2">
        <v>0.2</v>
      </c>
      <c r="AA60" s="2">
        <v>0.2</v>
      </c>
      <c r="AB60" s="2">
        <v>0.2</v>
      </c>
      <c r="AC60" s="2">
        <v>0.2</v>
      </c>
      <c r="AD60" s="2">
        <v>0.2</v>
      </c>
      <c r="AE60" s="2">
        <v>0.2</v>
      </c>
      <c r="AF60" s="2">
        <v>0.2</v>
      </c>
      <c r="AG60" s="2">
        <v>0.2</v>
      </c>
      <c r="AH60" s="2">
        <v>0.2</v>
      </c>
    </row>
    <row r="61" spans="1:34">
      <c r="A61" t="str">
        <f t="shared" si="4"/>
        <v>Coffee</v>
      </c>
      <c r="B61" t="str">
        <f t="shared" si="3"/>
        <v>Gumuz</v>
      </c>
      <c r="C61" s="2">
        <v>0.2</v>
      </c>
      <c r="D61" s="2">
        <v>0.2</v>
      </c>
      <c r="E61" s="2">
        <v>0.2</v>
      </c>
      <c r="F61" s="2">
        <v>0.2</v>
      </c>
      <c r="G61" s="2">
        <v>0.2</v>
      </c>
      <c r="H61" s="2">
        <v>0.2</v>
      </c>
      <c r="I61" s="2">
        <v>0.2</v>
      </c>
      <c r="J61" s="2">
        <v>0.2</v>
      </c>
      <c r="K61" s="2">
        <v>0.2</v>
      </c>
      <c r="L61" s="2">
        <v>0.2</v>
      </c>
      <c r="M61" s="2">
        <v>0.2</v>
      </c>
      <c r="N61" s="2">
        <v>0.2</v>
      </c>
      <c r="O61" s="2">
        <v>0.2</v>
      </c>
      <c r="P61" s="2">
        <v>0.2</v>
      </c>
      <c r="Q61" s="2">
        <v>0.2</v>
      </c>
      <c r="R61" s="2">
        <v>0.2</v>
      </c>
      <c r="S61" s="2">
        <v>0.2</v>
      </c>
      <c r="T61" s="2">
        <v>0.2</v>
      </c>
      <c r="U61" s="2">
        <v>0.2</v>
      </c>
      <c r="V61" s="2">
        <v>0.2</v>
      </c>
      <c r="W61" s="2">
        <v>0.2</v>
      </c>
      <c r="X61" s="2">
        <v>0.2</v>
      </c>
      <c r="Y61" s="2">
        <v>0.2</v>
      </c>
      <c r="Z61" s="2">
        <v>0.2</v>
      </c>
      <c r="AA61" s="2">
        <v>0.2</v>
      </c>
      <c r="AB61" s="2">
        <v>0.2</v>
      </c>
      <c r="AC61" s="2">
        <v>0.2</v>
      </c>
      <c r="AD61" s="2">
        <v>0.2</v>
      </c>
      <c r="AE61" s="2">
        <v>0.2</v>
      </c>
      <c r="AF61" s="2">
        <v>0.2</v>
      </c>
      <c r="AG61" s="2">
        <v>0.2</v>
      </c>
      <c r="AH61" s="2">
        <v>0.2</v>
      </c>
    </row>
    <row r="62" spans="1:34">
      <c r="A62" t="str">
        <f t="shared" si="4"/>
        <v>Coffee</v>
      </c>
      <c r="B62" t="str">
        <f t="shared" si="3"/>
        <v>DireDawa</v>
      </c>
      <c r="C62" s="2">
        <v>0.2</v>
      </c>
      <c r="D62" s="2">
        <v>0.2</v>
      </c>
      <c r="E62" s="2">
        <v>0.2</v>
      </c>
      <c r="F62" s="2">
        <v>0.2</v>
      </c>
      <c r="G62" s="2">
        <v>0.2</v>
      </c>
      <c r="H62" s="2">
        <v>0.2</v>
      </c>
      <c r="I62" s="2">
        <v>0.2</v>
      </c>
      <c r="J62" s="2">
        <v>0.2</v>
      </c>
      <c r="K62" s="2">
        <v>0.2</v>
      </c>
      <c r="L62" s="2">
        <v>0.2</v>
      </c>
      <c r="M62" s="2">
        <v>0.2</v>
      </c>
      <c r="N62" s="2">
        <v>0.2</v>
      </c>
      <c r="O62" s="2">
        <v>0.2</v>
      </c>
      <c r="P62" s="2">
        <v>0.2</v>
      </c>
      <c r="Q62" s="2">
        <v>0.2</v>
      </c>
      <c r="R62" s="2">
        <v>0.2</v>
      </c>
      <c r="S62" s="2">
        <v>0.2</v>
      </c>
      <c r="T62" s="2">
        <v>0.2</v>
      </c>
      <c r="U62" s="2">
        <v>0.2</v>
      </c>
      <c r="V62" s="2">
        <v>0.2</v>
      </c>
      <c r="W62" s="2">
        <v>0.2</v>
      </c>
      <c r="X62" s="2">
        <v>0.2</v>
      </c>
      <c r="Y62" s="2">
        <v>0.2</v>
      </c>
      <c r="Z62" s="2">
        <v>0.2</v>
      </c>
      <c r="AA62" s="2">
        <v>0.2</v>
      </c>
      <c r="AB62" s="2">
        <v>0.2</v>
      </c>
      <c r="AC62" s="2">
        <v>0.2</v>
      </c>
      <c r="AD62" s="2">
        <v>0.2</v>
      </c>
      <c r="AE62" s="2">
        <v>0.2</v>
      </c>
      <c r="AF62" s="2">
        <v>0.2</v>
      </c>
      <c r="AG62" s="2">
        <v>0.2</v>
      </c>
      <c r="AH62" s="2">
        <v>0.2</v>
      </c>
    </row>
    <row r="63" spans="1:34">
      <c r="A63" t="str">
        <f t="shared" si="4"/>
        <v>Coffee</v>
      </c>
      <c r="B63" t="str">
        <f t="shared" si="3"/>
        <v>Gambela</v>
      </c>
      <c r="C63" s="2">
        <v>0.2</v>
      </c>
      <c r="D63" s="2">
        <v>0.2</v>
      </c>
      <c r="E63" s="2">
        <v>0.2</v>
      </c>
      <c r="F63" s="2">
        <v>0.2</v>
      </c>
      <c r="G63" s="2">
        <v>0.2</v>
      </c>
      <c r="H63" s="2">
        <v>0.2</v>
      </c>
      <c r="I63" s="2">
        <v>0.2</v>
      </c>
      <c r="J63" s="2">
        <v>0.2</v>
      </c>
      <c r="K63" s="2">
        <v>0.2</v>
      </c>
      <c r="L63" s="2">
        <v>0.2</v>
      </c>
      <c r="M63" s="2">
        <v>0.2</v>
      </c>
      <c r="N63" s="2">
        <v>0.2</v>
      </c>
      <c r="O63" s="2">
        <v>0.2</v>
      </c>
      <c r="P63" s="2">
        <v>0.2</v>
      </c>
      <c r="Q63" s="2">
        <v>0.2</v>
      </c>
      <c r="R63" s="2">
        <v>0.2</v>
      </c>
      <c r="S63" s="2">
        <v>0.2</v>
      </c>
      <c r="T63" s="2">
        <v>0.2</v>
      </c>
      <c r="U63" s="2">
        <v>0.2</v>
      </c>
      <c r="V63" s="2">
        <v>0.2</v>
      </c>
      <c r="W63" s="2">
        <v>0.2</v>
      </c>
      <c r="X63" s="2">
        <v>0.2</v>
      </c>
      <c r="Y63" s="2">
        <v>0.2</v>
      </c>
      <c r="Z63" s="2">
        <v>0.2</v>
      </c>
      <c r="AA63" s="2">
        <v>0.2</v>
      </c>
      <c r="AB63" s="2">
        <v>0.2</v>
      </c>
      <c r="AC63" s="2">
        <v>0.2</v>
      </c>
      <c r="AD63" s="2">
        <v>0.2</v>
      </c>
      <c r="AE63" s="2">
        <v>0.2</v>
      </c>
      <c r="AF63" s="2">
        <v>0.2</v>
      </c>
      <c r="AG63" s="2">
        <v>0.2</v>
      </c>
      <c r="AH63" s="2">
        <v>0.2</v>
      </c>
    </row>
    <row r="64" spans="1:34">
      <c r="A64" t="str">
        <f t="shared" si="4"/>
        <v>Coffee</v>
      </c>
      <c r="B64" t="str">
        <f t="shared" si="3"/>
        <v>Harari</v>
      </c>
      <c r="C64" s="2">
        <v>0.2</v>
      </c>
      <c r="D64" s="2">
        <v>0.2</v>
      </c>
      <c r="E64" s="2">
        <v>0.2</v>
      </c>
      <c r="F64" s="2">
        <v>0.2</v>
      </c>
      <c r="G64" s="2">
        <v>0.2</v>
      </c>
      <c r="H64" s="2">
        <v>0.2</v>
      </c>
      <c r="I64" s="2">
        <v>0.2</v>
      </c>
      <c r="J64" s="2">
        <v>0.2</v>
      </c>
      <c r="K64" s="2">
        <v>0.2</v>
      </c>
      <c r="L64" s="2">
        <v>0.2</v>
      </c>
      <c r="M64" s="2">
        <v>0.2</v>
      </c>
      <c r="N64" s="2">
        <v>0.2</v>
      </c>
      <c r="O64" s="2">
        <v>0.2</v>
      </c>
      <c r="P64" s="2">
        <v>0.2</v>
      </c>
      <c r="Q64" s="2">
        <v>0.2</v>
      </c>
      <c r="R64" s="2">
        <v>0.2</v>
      </c>
      <c r="S64" s="2">
        <v>0.2</v>
      </c>
      <c r="T64" s="2">
        <v>0.2</v>
      </c>
      <c r="U64" s="2">
        <v>0.2</v>
      </c>
      <c r="V64" s="2">
        <v>0.2</v>
      </c>
      <c r="W64" s="2">
        <v>0.2</v>
      </c>
      <c r="X64" s="2">
        <v>0.2</v>
      </c>
      <c r="Y64" s="2">
        <v>0.2</v>
      </c>
      <c r="Z64" s="2">
        <v>0.2</v>
      </c>
      <c r="AA64" s="2">
        <v>0.2</v>
      </c>
      <c r="AB64" s="2">
        <v>0.2</v>
      </c>
      <c r="AC64" s="2">
        <v>0.2</v>
      </c>
      <c r="AD64" s="2">
        <v>0.2</v>
      </c>
      <c r="AE64" s="2">
        <v>0.2</v>
      </c>
      <c r="AF64" s="2">
        <v>0.2</v>
      </c>
      <c r="AG64" s="2">
        <v>0.2</v>
      </c>
      <c r="AH64" s="2">
        <v>0.2</v>
      </c>
    </row>
    <row r="65" spans="1:34">
      <c r="A65" t="str">
        <f t="shared" si="4"/>
        <v>Coffee</v>
      </c>
      <c r="B65" t="str">
        <f t="shared" si="3"/>
        <v>Oromia</v>
      </c>
      <c r="C65" s="2">
        <v>0.2</v>
      </c>
      <c r="D65" s="2">
        <v>0.2</v>
      </c>
      <c r="E65" s="2">
        <v>0.2</v>
      </c>
      <c r="F65" s="2">
        <v>0.2</v>
      </c>
      <c r="G65" s="2">
        <v>0.2</v>
      </c>
      <c r="H65" s="2">
        <v>0.2</v>
      </c>
      <c r="I65" s="2">
        <v>0.2</v>
      </c>
      <c r="J65" s="2">
        <v>0.2</v>
      </c>
      <c r="K65" s="2">
        <v>0.2</v>
      </c>
      <c r="L65" s="2">
        <v>0.2</v>
      </c>
      <c r="M65" s="2">
        <v>0.2</v>
      </c>
      <c r="N65" s="2">
        <v>0.2</v>
      </c>
      <c r="O65" s="2">
        <v>0.2</v>
      </c>
      <c r="P65" s="2">
        <v>0.2</v>
      </c>
      <c r="Q65" s="2">
        <v>0.2</v>
      </c>
      <c r="R65" s="2">
        <v>0.2</v>
      </c>
      <c r="S65" s="2">
        <v>0.2</v>
      </c>
      <c r="T65" s="2">
        <v>0.2</v>
      </c>
      <c r="U65" s="2">
        <v>0.2</v>
      </c>
      <c r="V65" s="2">
        <v>0.2</v>
      </c>
      <c r="W65" s="2">
        <v>0.2</v>
      </c>
      <c r="X65" s="2">
        <v>0.2</v>
      </c>
      <c r="Y65" s="2">
        <v>0.2</v>
      </c>
      <c r="Z65" s="2">
        <v>0.2</v>
      </c>
      <c r="AA65" s="2">
        <v>0.2</v>
      </c>
      <c r="AB65" s="2">
        <v>0.2</v>
      </c>
      <c r="AC65" s="2">
        <v>0.2</v>
      </c>
      <c r="AD65" s="2">
        <v>0.2</v>
      </c>
      <c r="AE65" s="2">
        <v>0.2</v>
      </c>
      <c r="AF65" s="2">
        <v>0.2</v>
      </c>
      <c r="AG65" s="2">
        <v>0.2</v>
      </c>
      <c r="AH65" s="2">
        <v>0.2</v>
      </c>
    </row>
    <row r="66" spans="1:34">
      <c r="A66" t="str">
        <f t="shared" si="4"/>
        <v>Coffee</v>
      </c>
      <c r="B66" t="str">
        <f t="shared" si="3"/>
        <v>Somali</v>
      </c>
      <c r="C66" s="2">
        <v>0.2</v>
      </c>
      <c r="D66" s="2">
        <v>0.2</v>
      </c>
      <c r="E66" s="2">
        <v>0.2</v>
      </c>
      <c r="F66" s="2">
        <v>0.2</v>
      </c>
      <c r="G66" s="2">
        <v>0.2</v>
      </c>
      <c r="H66" s="2">
        <v>0.2</v>
      </c>
      <c r="I66" s="2">
        <v>0.2</v>
      </c>
      <c r="J66" s="2">
        <v>0.2</v>
      </c>
      <c r="K66" s="2">
        <v>0.2</v>
      </c>
      <c r="L66" s="2">
        <v>0.2</v>
      </c>
      <c r="M66" s="2">
        <v>0.2</v>
      </c>
      <c r="N66" s="2">
        <v>0.2</v>
      </c>
      <c r="O66" s="2">
        <v>0.2</v>
      </c>
      <c r="P66" s="2">
        <v>0.2</v>
      </c>
      <c r="Q66" s="2">
        <v>0.2</v>
      </c>
      <c r="R66" s="2">
        <v>0.2</v>
      </c>
      <c r="S66" s="2">
        <v>0.2</v>
      </c>
      <c r="T66" s="2">
        <v>0.2</v>
      </c>
      <c r="U66" s="2">
        <v>0.2</v>
      </c>
      <c r="V66" s="2">
        <v>0.2</v>
      </c>
      <c r="W66" s="2">
        <v>0.2</v>
      </c>
      <c r="X66" s="2">
        <v>0.2</v>
      </c>
      <c r="Y66" s="2">
        <v>0.2</v>
      </c>
      <c r="Z66" s="2">
        <v>0.2</v>
      </c>
      <c r="AA66" s="2">
        <v>0.2</v>
      </c>
      <c r="AB66" s="2">
        <v>0.2</v>
      </c>
      <c r="AC66" s="2">
        <v>0.2</v>
      </c>
      <c r="AD66" s="2">
        <v>0.2</v>
      </c>
      <c r="AE66" s="2">
        <v>0.2</v>
      </c>
      <c r="AF66" s="2">
        <v>0.2</v>
      </c>
      <c r="AG66" s="2">
        <v>0.2</v>
      </c>
      <c r="AH66" s="2">
        <v>0.2</v>
      </c>
    </row>
    <row r="67" spans="1:34">
      <c r="A67" t="str">
        <f t="shared" si="4"/>
        <v>Coffee</v>
      </c>
      <c r="B67" t="str">
        <f t="shared" si="3"/>
        <v>SNNPR</v>
      </c>
      <c r="C67" s="2">
        <v>0.2</v>
      </c>
      <c r="D67" s="2">
        <v>0.2</v>
      </c>
      <c r="E67" s="2">
        <v>0.2</v>
      </c>
      <c r="F67" s="2">
        <v>0.2</v>
      </c>
      <c r="G67" s="2">
        <v>0.2</v>
      </c>
      <c r="H67" s="2">
        <v>0.2</v>
      </c>
      <c r="I67" s="2">
        <v>0.2</v>
      </c>
      <c r="J67" s="2">
        <v>0.2</v>
      </c>
      <c r="K67" s="2">
        <v>0.2</v>
      </c>
      <c r="L67" s="2">
        <v>0.2</v>
      </c>
      <c r="M67" s="2">
        <v>0.2</v>
      </c>
      <c r="N67" s="2">
        <v>0.2</v>
      </c>
      <c r="O67" s="2">
        <v>0.2</v>
      </c>
      <c r="P67" s="2">
        <v>0.2</v>
      </c>
      <c r="Q67" s="2">
        <v>0.2</v>
      </c>
      <c r="R67" s="2">
        <v>0.2</v>
      </c>
      <c r="S67" s="2">
        <v>0.2</v>
      </c>
      <c r="T67" s="2">
        <v>0.2</v>
      </c>
      <c r="U67" s="2">
        <v>0.2</v>
      </c>
      <c r="V67" s="2">
        <v>0.2</v>
      </c>
      <c r="W67" s="2">
        <v>0.2</v>
      </c>
      <c r="X67" s="2">
        <v>0.2</v>
      </c>
      <c r="Y67" s="2">
        <v>0.2</v>
      </c>
      <c r="Z67" s="2">
        <v>0.2</v>
      </c>
      <c r="AA67" s="2">
        <v>0.2</v>
      </c>
      <c r="AB67" s="2">
        <v>0.2</v>
      </c>
      <c r="AC67" s="2">
        <v>0.2</v>
      </c>
      <c r="AD67" s="2">
        <v>0.2</v>
      </c>
      <c r="AE67" s="2">
        <v>0.2</v>
      </c>
      <c r="AF67" s="2">
        <v>0.2</v>
      </c>
      <c r="AG67" s="2">
        <v>0.2</v>
      </c>
      <c r="AH67" s="2">
        <v>0.2</v>
      </c>
    </row>
    <row r="68" spans="1:34">
      <c r="A68" t="str">
        <f t="shared" si="4"/>
        <v>Coffee</v>
      </c>
      <c r="B68" t="str">
        <f t="shared" si="3"/>
        <v>Tigray</v>
      </c>
      <c r="C68" s="2">
        <v>0.2</v>
      </c>
      <c r="D68" s="2">
        <v>0.2</v>
      </c>
      <c r="E68" s="2">
        <v>0.2</v>
      </c>
      <c r="F68" s="2">
        <v>0.2</v>
      </c>
      <c r="G68" s="2">
        <v>0.2</v>
      </c>
      <c r="H68" s="2">
        <v>0.2</v>
      </c>
      <c r="I68" s="2">
        <v>0.2</v>
      </c>
      <c r="J68" s="2">
        <v>0.2</v>
      </c>
      <c r="K68" s="2">
        <v>0.2</v>
      </c>
      <c r="L68" s="2">
        <v>0.2</v>
      </c>
      <c r="M68" s="2">
        <v>0.2</v>
      </c>
      <c r="N68" s="2">
        <v>0.2</v>
      </c>
      <c r="O68" s="2">
        <v>0.2</v>
      </c>
      <c r="P68" s="2">
        <v>0.2</v>
      </c>
      <c r="Q68" s="2">
        <v>0.2</v>
      </c>
      <c r="R68" s="2">
        <v>0.2</v>
      </c>
      <c r="S68" s="2">
        <v>0.2</v>
      </c>
      <c r="T68" s="2">
        <v>0.2</v>
      </c>
      <c r="U68" s="2">
        <v>0.2</v>
      </c>
      <c r="V68" s="2">
        <v>0.2</v>
      </c>
      <c r="W68" s="2">
        <v>0.2</v>
      </c>
      <c r="X68" s="2">
        <v>0.2</v>
      </c>
      <c r="Y68" s="2">
        <v>0.2</v>
      </c>
      <c r="Z68" s="2">
        <v>0.2</v>
      </c>
      <c r="AA68" s="2">
        <v>0.2</v>
      </c>
      <c r="AB68" s="2">
        <v>0.2</v>
      </c>
      <c r="AC68" s="2">
        <v>0.2</v>
      </c>
      <c r="AD68" s="2">
        <v>0.2</v>
      </c>
      <c r="AE68" s="2">
        <v>0.2</v>
      </c>
      <c r="AF68" s="2">
        <v>0.2</v>
      </c>
      <c r="AG68" s="2">
        <v>0.2</v>
      </c>
      <c r="AH68" s="2">
        <v>0.2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68"/>
  <sheetViews>
    <sheetView zoomScale="85" zoomScaleNormal="85" workbookViewId="0">
      <selection activeCell="D1" sqref="D1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(0)/0.2</f>
        <v>0</v>
      </c>
      <c r="D3" s="2">
        <f>(0)/0.2</f>
        <v>0</v>
      </c>
      <c r="E3" s="2">
        <f>C3*1.02</f>
        <v>0</v>
      </c>
      <c r="F3" s="2">
        <f t="shared" ref="F3:AH3" si="2">D3*1.02</f>
        <v>0</v>
      </c>
      <c r="G3" s="2">
        <f t="shared" si="2"/>
        <v>0</v>
      </c>
      <c r="H3" s="2">
        <f t="shared" si="2"/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O3" s="2">
        <f t="shared" si="2"/>
        <v>0</v>
      </c>
      <c r="P3" s="2">
        <f t="shared" si="2"/>
        <v>0</v>
      </c>
      <c r="Q3" s="2">
        <f t="shared" si="2"/>
        <v>0</v>
      </c>
      <c r="R3" s="2">
        <f t="shared" si="2"/>
        <v>0</v>
      </c>
      <c r="S3" s="2">
        <f t="shared" si="2"/>
        <v>0</v>
      </c>
      <c r="T3" s="2">
        <f t="shared" si="2"/>
        <v>0</v>
      </c>
      <c r="U3" s="2">
        <f t="shared" si="2"/>
        <v>0</v>
      </c>
      <c r="V3" s="2">
        <f t="shared" si="2"/>
        <v>0</v>
      </c>
      <c r="W3" s="2">
        <f t="shared" si="2"/>
        <v>0</v>
      </c>
      <c r="X3" s="2">
        <f t="shared" si="2"/>
        <v>0</v>
      </c>
      <c r="Y3" s="2">
        <f t="shared" si="2"/>
        <v>0</v>
      </c>
      <c r="Z3" s="2">
        <f t="shared" si="2"/>
        <v>0</v>
      </c>
      <c r="AA3" s="2">
        <f t="shared" si="2"/>
        <v>0</v>
      </c>
      <c r="AB3" s="2">
        <f t="shared" si="2"/>
        <v>0</v>
      </c>
      <c r="AC3" s="2">
        <f t="shared" si="2"/>
        <v>0</v>
      </c>
      <c r="AD3" s="2">
        <f t="shared" si="2"/>
        <v>0</v>
      </c>
      <c r="AE3" s="2">
        <f t="shared" si="2"/>
        <v>0</v>
      </c>
      <c r="AF3" s="2">
        <f t="shared" si="2"/>
        <v>0</v>
      </c>
      <c r="AG3" s="2">
        <f t="shared" si="2"/>
        <v>0</v>
      </c>
      <c r="AH3" s="2">
        <f t="shared" si="2"/>
        <v>0</v>
      </c>
    </row>
    <row r="4" spans="1:34">
      <c r="A4" t="str">
        <f>sets!$H$3</f>
        <v>Teff</v>
      </c>
      <c r="B4" t="str">
        <v>Afar</v>
      </c>
      <c r="C4" s="2">
        <f>(2.48)/0.2</f>
        <v>12.399999999999999</v>
      </c>
      <c r="D4" s="2">
        <f>(0)/0.2</f>
        <v>0</v>
      </c>
      <c r="E4" s="2">
        <f t="shared" ref="E4:E67" si="3">C4*1.02</f>
        <v>12.647999999999998</v>
      </c>
      <c r="F4" s="2">
        <f t="shared" ref="F4:F67" si="4">D4*1.02</f>
        <v>0</v>
      </c>
      <c r="G4" s="2">
        <f t="shared" ref="G4:G67" si="5">E4*1.02</f>
        <v>12.900959999999998</v>
      </c>
      <c r="H4" s="2">
        <f t="shared" ref="H4:H67" si="6">F4*1.02</f>
        <v>0</v>
      </c>
      <c r="I4" s="2">
        <f t="shared" ref="I4:I67" si="7">G4*1.02</f>
        <v>13.158979199999997</v>
      </c>
      <c r="J4" s="2">
        <f t="shared" ref="J4:J67" si="8">H4*1.02</f>
        <v>0</v>
      </c>
      <c r="K4" s="2">
        <f t="shared" ref="K4:K67" si="9">I4*1.02</f>
        <v>13.422158783999997</v>
      </c>
      <c r="L4" s="2">
        <f t="shared" ref="L4:L67" si="10">J4*1.02</f>
        <v>0</v>
      </c>
      <c r="M4" s="2">
        <f t="shared" ref="M4:M67" si="11">K4*1.02</f>
        <v>13.690601959679997</v>
      </c>
      <c r="N4" s="2">
        <f t="shared" ref="N4:N67" si="12">L4*1.02</f>
        <v>0</v>
      </c>
      <c r="O4" s="2">
        <f t="shared" ref="O4:O67" si="13">M4*1.02</f>
        <v>13.964413998873598</v>
      </c>
      <c r="P4" s="2">
        <f t="shared" ref="P4:P67" si="14">N4*1.02</f>
        <v>0</v>
      </c>
      <c r="Q4" s="2">
        <f t="shared" ref="Q4:Q67" si="15">O4*1.02</f>
        <v>14.243702278851069</v>
      </c>
      <c r="R4" s="2">
        <f t="shared" ref="R4:R67" si="16">P4*1.02</f>
        <v>0</v>
      </c>
      <c r="S4" s="2">
        <f t="shared" ref="S4:S67" si="17">Q4*1.02</f>
        <v>14.528576324428091</v>
      </c>
      <c r="T4" s="2">
        <f t="shared" ref="T4:T67" si="18">R4*1.02</f>
        <v>0</v>
      </c>
      <c r="U4" s="2">
        <f t="shared" ref="U4:U67" si="19">S4*1.02</f>
        <v>14.819147850916654</v>
      </c>
      <c r="V4" s="2">
        <f t="shared" ref="V4:V67" si="20">T4*1.02</f>
        <v>0</v>
      </c>
      <c r="W4" s="2">
        <f t="shared" ref="W4:W67" si="21">U4*1.02</f>
        <v>15.115530807934986</v>
      </c>
      <c r="X4" s="2">
        <f t="shared" ref="X4:X67" si="22">V4*1.02</f>
        <v>0</v>
      </c>
      <c r="Y4" s="2">
        <f t="shared" ref="Y4:Y67" si="23">W4*1.02</f>
        <v>15.417841424093686</v>
      </c>
      <c r="Z4" s="2">
        <f t="shared" ref="Z4:Z67" si="24">X4*1.02</f>
        <v>0</v>
      </c>
      <c r="AA4" s="2">
        <f t="shared" ref="AA4:AA67" si="25">Y4*1.02</f>
        <v>15.726198252575559</v>
      </c>
      <c r="AB4" s="2">
        <f t="shared" ref="AB4:AB67" si="26">Z4*1.02</f>
        <v>0</v>
      </c>
      <c r="AC4" s="2">
        <f t="shared" ref="AC4:AC67" si="27">AA4*1.02</f>
        <v>16.040722217627071</v>
      </c>
      <c r="AD4" s="2">
        <f t="shared" ref="AD4:AD67" si="28">AB4*1.02</f>
        <v>0</v>
      </c>
      <c r="AE4" s="2">
        <f t="shared" ref="AE4:AE67" si="29">AC4*1.02</f>
        <v>16.361536661979613</v>
      </c>
      <c r="AF4" s="2">
        <f t="shared" ref="AF4:AF67" si="30">AD4*1.02</f>
        <v>0</v>
      </c>
      <c r="AG4" s="2">
        <f t="shared" ref="AG4:AG67" si="31">AE4*1.02</f>
        <v>16.688767395219205</v>
      </c>
      <c r="AH4" s="2">
        <f t="shared" ref="AH4:AH67" si="32">AF4*1.02</f>
        <v>0</v>
      </c>
    </row>
    <row r="5" spans="1:34">
      <c r="A5" t="str">
        <f>sets!$H$3</f>
        <v>Teff</v>
      </c>
      <c r="B5" t="str">
        <v>Amhara</v>
      </c>
      <c r="C5" s="2">
        <f>(8)/0.2</f>
        <v>40</v>
      </c>
      <c r="D5" s="2">
        <f>(4)/0.2</f>
        <v>20</v>
      </c>
      <c r="E5" s="2">
        <f t="shared" si="3"/>
        <v>40.799999999999997</v>
      </c>
      <c r="F5" s="2">
        <f t="shared" si="4"/>
        <v>20.399999999999999</v>
      </c>
      <c r="G5" s="2">
        <f t="shared" si="5"/>
        <v>41.616</v>
      </c>
      <c r="H5" s="2">
        <f t="shared" si="6"/>
        <v>20.808</v>
      </c>
      <c r="I5" s="2">
        <f t="shared" si="7"/>
        <v>42.448320000000002</v>
      </c>
      <c r="J5" s="2">
        <f t="shared" si="8"/>
        <v>21.224160000000001</v>
      </c>
      <c r="K5" s="2">
        <f t="shared" si="9"/>
        <v>43.297286400000004</v>
      </c>
      <c r="L5" s="2">
        <f t="shared" si="10"/>
        <v>21.648643200000002</v>
      </c>
      <c r="M5" s="2">
        <f t="shared" si="11"/>
        <v>44.163232128000004</v>
      </c>
      <c r="N5" s="2">
        <f t="shared" si="12"/>
        <v>22.081616064000002</v>
      </c>
      <c r="O5" s="2">
        <f t="shared" si="13"/>
        <v>45.046496770560005</v>
      </c>
      <c r="P5" s="2">
        <f t="shared" si="14"/>
        <v>22.523248385280002</v>
      </c>
      <c r="Q5" s="2">
        <f t="shared" si="15"/>
        <v>45.947426705971203</v>
      </c>
      <c r="R5" s="2">
        <f t="shared" si="16"/>
        <v>22.973713352985602</v>
      </c>
      <c r="S5" s="2">
        <f t="shared" si="17"/>
        <v>46.866375240090626</v>
      </c>
      <c r="T5" s="2">
        <f t="shared" si="18"/>
        <v>23.433187620045313</v>
      </c>
      <c r="U5" s="2">
        <f t="shared" si="19"/>
        <v>47.803702744892441</v>
      </c>
      <c r="V5" s="2">
        <f t="shared" si="20"/>
        <v>23.90185137244622</v>
      </c>
      <c r="W5" s="2">
        <f t="shared" si="21"/>
        <v>48.759776799790288</v>
      </c>
      <c r="X5" s="2">
        <f t="shared" si="22"/>
        <v>24.379888399895144</v>
      </c>
      <c r="Y5" s="2">
        <f t="shared" si="23"/>
        <v>49.734972335786097</v>
      </c>
      <c r="Z5" s="2">
        <f t="shared" si="24"/>
        <v>24.867486167893048</v>
      </c>
      <c r="AA5" s="2">
        <f t="shared" si="25"/>
        <v>50.729671782501818</v>
      </c>
      <c r="AB5" s="2">
        <f t="shared" si="26"/>
        <v>25.364835891250909</v>
      </c>
      <c r="AC5" s="2">
        <f t="shared" si="27"/>
        <v>51.744265218151853</v>
      </c>
      <c r="AD5" s="2">
        <f t="shared" si="28"/>
        <v>25.872132609075926</v>
      </c>
      <c r="AE5" s="2">
        <f t="shared" si="29"/>
        <v>52.77915052251489</v>
      </c>
      <c r="AF5" s="2">
        <f t="shared" si="30"/>
        <v>26.389575261257445</v>
      </c>
      <c r="AG5" s="2">
        <f t="shared" si="31"/>
        <v>53.834733532965188</v>
      </c>
      <c r="AH5" s="2">
        <f t="shared" si="32"/>
        <v>26.917366766482594</v>
      </c>
    </row>
    <row r="6" spans="1:34">
      <c r="A6" t="str">
        <f>sets!$H$3</f>
        <v>Teff</v>
      </c>
      <c r="B6" t="str">
        <v>Gumuz</v>
      </c>
      <c r="C6" s="2">
        <f>(0.5)/0.2</f>
        <v>2.5</v>
      </c>
      <c r="D6" s="2">
        <f>(10)/0.2</f>
        <v>50</v>
      </c>
      <c r="E6" s="2">
        <f t="shared" si="3"/>
        <v>2.5499999999999998</v>
      </c>
      <c r="F6" s="2">
        <f t="shared" si="4"/>
        <v>51</v>
      </c>
      <c r="G6" s="2">
        <f t="shared" si="5"/>
        <v>2.601</v>
      </c>
      <c r="H6" s="2">
        <f t="shared" si="6"/>
        <v>52.02</v>
      </c>
      <c r="I6" s="2">
        <f t="shared" si="7"/>
        <v>2.6530200000000002</v>
      </c>
      <c r="J6" s="2">
        <f t="shared" si="8"/>
        <v>53.060400000000001</v>
      </c>
      <c r="K6" s="2">
        <f t="shared" si="9"/>
        <v>2.7060804000000003</v>
      </c>
      <c r="L6" s="2">
        <f t="shared" si="10"/>
        <v>54.121608000000002</v>
      </c>
      <c r="M6" s="2">
        <f t="shared" si="11"/>
        <v>2.7602020080000003</v>
      </c>
      <c r="N6" s="2">
        <f t="shared" si="12"/>
        <v>55.204040160000005</v>
      </c>
      <c r="O6" s="2">
        <f t="shared" si="13"/>
        <v>2.8154060481600003</v>
      </c>
      <c r="P6" s="2">
        <f t="shared" si="14"/>
        <v>56.308120963200004</v>
      </c>
      <c r="Q6" s="2">
        <f t="shared" si="15"/>
        <v>2.8717141691232002</v>
      </c>
      <c r="R6" s="2">
        <f t="shared" si="16"/>
        <v>57.434283382464002</v>
      </c>
      <c r="S6" s="2">
        <f t="shared" si="17"/>
        <v>2.9291484525056641</v>
      </c>
      <c r="T6" s="2">
        <f t="shared" si="18"/>
        <v>58.582969050113284</v>
      </c>
      <c r="U6" s="2">
        <f t="shared" si="19"/>
        <v>2.9877314215557775</v>
      </c>
      <c r="V6" s="2">
        <f t="shared" si="20"/>
        <v>59.754628431115549</v>
      </c>
      <c r="W6" s="2">
        <f t="shared" si="21"/>
        <v>3.047486049986893</v>
      </c>
      <c r="X6" s="2">
        <f t="shared" si="22"/>
        <v>60.949720999737863</v>
      </c>
      <c r="Y6" s="2">
        <f t="shared" si="23"/>
        <v>3.108435770986631</v>
      </c>
      <c r="Z6" s="2">
        <f t="shared" si="24"/>
        <v>62.168715419732621</v>
      </c>
      <c r="AA6" s="2">
        <f t="shared" si="25"/>
        <v>3.1706044864063636</v>
      </c>
      <c r="AB6" s="2">
        <f t="shared" si="26"/>
        <v>63.412089728127278</v>
      </c>
      <c r="AC6" s="2">
        <f t="shared" si="27"/>
        <v>3.2340165761344908</v>
      </c>
      <c r="AD6" s="2">
        <f t="shared" si="28"/>
        <v>64.680331522689826</v>
      </c>
      <c r="AE6" s="2">
        <f t="shared" si="29"/>
        <v>3.2986969076571806</v>
      </c>
      <c r="AF6" s="2">
        <f t="shared" si="30"/>
        <v>65.973938153143621</v>
      </c>
      <c r="AG6" s="2">
        <f t="shared" si="31"/>
        <v>3.3646708458103243</v>
      </c>
      <c r="AH6" s="2">
        <f t="shared" si="32"/>
        <v>67.293416916206496</v>
      </c>
    </row>
    <row r="7" spans="1:34">
      <c r="A7" t="str">
        <f>sets!$H$3</f>
        <v>Teff</v>
      </c>
      <c r="B7" t="str">
        <v>DireDawa</v>
      </c>
      <c r="C7" s="2">
        <f>(0.5)/0.2</f>
        <v>2.5</v>
      </c>
      <c r="D7" s="2">
        <f>(0)/0.2</f>
        <v>0</v>
      </c>
      <c r="E7" s="2">
        <f t="shared" si="3"/>
        <v>2.5499999999999998</v>
      </c>
      <c r="F7" s="2">
        <f t="shared" si="4"/>
        <v>0</v>
      </c>
      <c r="G7" s="2">
        <f t="shared" si="5"/>
        <v>2.601</v>
      </c>
      <c r="H7" s="2">
        <f t="shared" si="6"/>
        <v>0</v>
      </c>
      <c r="I7" s="2">
        <f t="shared" si="7"/>
        <v>2.6530200000000002</v>
      </c>
      <c r="J7" s="2">
        <f t="shared" si="8"/>
        <v>0</v>
      </c>
      <c r="K7" s="2">
        <f t="shared" si="9"/>
        <v>2.7060804000000003</v>
      </c>
      <c r="L7" s="2">
        <f t="shared" si="10"/>
        <v>0</v>
      </c>
      <c r="M7" s="2">
        <f t="shared" si="11"/>
        <v>2.7602020080000003</v>
      </c>
      <c r="N7" s="2">
        <f t="shared" si="12"/>
        <v>0</v>
      </c>
      <c r="O7" s="2">
        <f t="shared" si="13"/>
        <v>2.8154060481600003</v>
      </c>
      <c r="P7" s="2">
        <f t="shared" si="14"/>
        <v>0</v>
      </c>
      <c r="Q7" s="2">
        <f t="shared" si="15"/>
        <v>2.8717141691232002</v>
      </c>
      <c r="R7" s="2">
        <f t="shared" si="16"/>
        <v>0</v>
      </c>
      <c r="S7" s="2">
        <f t="shared" si="17"/>
        <v>2.9291484525056641</v>
      </c>
      <c r="T7" s="2">
        <f t="shared" si="18"/>
        <v>0</v>
      </c>
      <c r="U7" s="2">
        <f t="shared" si="19"/>
        <v>2.9877314215557775</v>
      </c>
      <c r="V7" s="2">
        <f t="shared" si="20"/>
        <v>0</v>
      </c>
      <c r="W7" s="2">
        <f t="shared" si="21"/>
        <v>3.047486049986893</v>
      </c>
      <c r="X7" s="2">
        <f t="shared" si="22"/>
        <v>0</v>
      </c>
      <c r="Y7" s="2">
        <f t="shared" si="23"/>
        <v>3.108435770986631</v>
      </c>
      <c r="Z7" s="2">
        <f t="shared" si="24"/>
        <v>0</v>
      </c>
      <c r="AA7" s="2">
        <f t="shared" si="25"/>
        <v>3.1706044864063636</v>
      </c>
      <c r="AB7" s="2">
        <f t="shared" si="26"/>
        <v>0</v>
      </c>
      <c r="AC7" s="2">
        <f t="shared" si="27"/>
        <v>3.2340165761344908</v>
      </c>
      <c r="AD7" s="2">
        <f t="shared" si="28"/>
        <v>0</v>
      </c>
      <c r="AE7" s="2">
        <f t="shared" si="29"/>
        <v>3.2986969076571806</v>
      </c>
      <c r="AF7" s="2">
        <f t="shared" si="30"/>
        <v>0</v>
      </c>
      <c r="AG7" s="2">
        <f t="shared" si="31"/>
        <v>3.3646708458103243</v>
      </c>
      <c r="AH7" s="2">
        <f t="shared" si="32"/>
        <v>0</v>
      </c>
    </row>
    <row r="8" spans="1:34">
      <c r="A8" t="str">
        <f>sets!$H$3</f>
        <v>Teff</v>
      </c>
      <c r="B8" t="str">
        <v>Gambela</v>
      </c>
      <c r="C8" s="2">
        <f>(0)/0.2</f>
        <v>0</v>
      </c>
      <c r="D8" s="2">
        <f>(0)/0.2</f>
        <v>0</v>
      </c>
      <c r="E8" s="2">
        <f t="shared" si="3"/>
        <v>0</v>
      </c>
      <c r="F8" s="2">
        <f t="shared" si="4"/>
        <v>0</v>
      </c>
      <c r="G8" s="2">
        <f t="shared" si="5"/>
        <v>0</v>
      </c>
      <c r="H8" s="2">
        <f t="shared" si="6"/>
        <v>0</v>
      </c>
      <c r="I8" s="2">
        <f t="shared" si="7"/>
        <v>0</v>
      </c>
      <c r="J8" s="2">
        <f t="shared" si="8"/>
        <v>0</v>
      </c>
      <c r="K8" s="2">
        <f t="shared" si="9"/>
        <v>0</v>
      </c>
      <c r="L8" s="2">
        <f t="shared" si="10"/>
        <v>0</v>
      </c>
      <c r="M8" s="2">
        <f t="shared" si="11"/>
        <v>0</v>
      </c>
      <c r="N8" s="2">
        <f t="shared" si="12"/>
        <v>0</v>
      </c>
      <c r="O8" s="2">
        <f t="shared" si="13"/>
        <v>0</v>
      </c>
      <c r="P8" s="2">
        <f t="shared" si="14"/>
        <v>0</v>
      </c>
      <c r="Q8" s="2">
        <f t="shared" si="15"/>
        <v>0</v>
      </c>
      <c r="R8" s="2">
        <f t="shared" si="16"/>
        <v>0</v>
      </c>
      <c r="S8" s="2">
        <f t="shared" si="17"/>
        <v>0</v>
      </c>
      <c r="T8" s="2">
        <f t="shared" si="18"/>
        <v>0</v>
      </c>
      <c r="U8" s="2">
        <f t="shared" si="19"/>
        <v>0</v>
      </c>
      <c r="V8" s="2">
        <f t="shared" si="20"/>
        <v>0</v>
      </c>
      <c r="W8" s="2">
        <f t="shared" si="21"/>
        <v>0</v>
      </c>
      <c r="X8" s="2">
        <f t="shared" si="22"/>
        <v>0</v>
      </c>
      <c r="Y8" s="2">
        <f t="shared" si="23"/>
        <v>0</v>
      </c>
      <c r="Z8" s="2">
        <f t="shared" si="24"/>
        <v>0</v>
      </c>
      <c r="AA8" s="2">
        <f t="shared" si="25"/>
        <v>0</v>
      </c>
      <c r="AB8" s="2">
        <f t="shared" si="26"/>
        <v>0</v>
      </c>
      <c r="AC8" s="2">
        <f t="shared" si="27"/>
        <v>0</v>
      </c>
      <c r="AD8" s="2">
        <f t="shared" si="28"/>
        <v>0</v>
      </c>
      <c r="AE8" s="2">
        <f t="shared" si="29"/>
        <v>0</v>
      </c>
      <c r="AF8" s="2">
        <f t="shared" si="30"/>
        <v>0</v>
      </c>
      <c r="AG8" s="2">
        <f t="shared" si="31"/>
        <v>0</v>
      </c>
      <c r="AH8" s="2">
        <f t="shared" si="32"/>
        <v>0</v>
      </c>
    </row>
    <row r="9" spans="1:34">
      <c r="A9" t="str">
        <f>sets!$H$3</f>
        <v>Teff</v>
      </c>
      <c r="B9" t="str">
        <v>Harari</v>
      </c>
      <c r="C9" s="2">
        <f>(0.5)/0.2</f>
        <v>2.5</v>
      </c>
      <c r="D9" s="2">
        <f>(9)/0.2</f>
        <v>45</v>
      </c>
      <c r="E9" s="2">
        <f t="shared" si="3"/>
        <v>2.5499999999999998</v>
      </c>
      <c r="F9" s="2">
        <f t="shared" si="4"/>
        <v>45.9</v>
      </c>
      <c r="G9" s="2">
        <f t="shared" si="5"/>
        <v>2.601</v>
      </c>
      <c r="H9" s="2">
        <f t="shared" si="6"/>
        <v>46.817999999999998</v>
      </c>
      <c r="I9" s="2">
        <f t="shared" si="7"/>
        <v>2.6530200000000002</v>
      </c>
      <c r="J9" s="2">
        <f t="shared" si="8"/>
        <v>47.754359999999998</v>
      </c>
      <c r="K9" s="2">
        <f t="shared" si="9"/>
        <v>2.7060804000000003</v>
      </c>
      <c r="L9" s="2">
        <f t="shared" si="10"/>
        <v>48.7094472</v>
      </c>
      <c r="M9" s="2">
        <f t="shared" si="11"/>
        <v>2.7602020080000003</v>
      </c>
      <c r="N9" s="2">
        <f t="shared" si="12"/>
        <v>49.683636143999998</v>
      </c>
      <c r="O9" s="2">
        <f t="shared" si="13"/>
        <v>2.8154060481600003</v>
      </c>
      <c r="P9" s="2">
        <f t="shared" si="14"/>
        <v>50.677308866879997</v>
      </c>
      <c r="Q9" s="2">
        <f t="shared" si="15"/>
        <v>2.8717141691232002</v>
      </c>
      <c r="R9" s="2">
        <f t="shared" si="16"/>
        <v>51.690855044217599</v>
      </c>
      <c r="S9" s="2">
        <f t="shared" si="17"/>
        <v>2.9291484525056641</v>
      </c>
      <c r="T9" s="2">
        <f t="shared" si="18"/>
        <v>52.724672145101955</v>
      </c>
      <c r="U9" s="2">
        <f t="shared" si="19"/>
        <v>2.9877314215557775</v>
      </c>
      <c r="V9" s="2">
        <f t="shared" si="20"/>
        <v>53.779165588003998</v>
      </c>
      <c r="W9" s="2">
        <f t="shared" si="21"/>
        <v>3.047486049986893</v>
      </c>
      <c r="X9" s="2">
        <f t="shared" si="22"/>
        <v>54.854748899764083</v>
      </c>
      <c r="Y9" s="2">
        <f t="shared" si="23"/>
        <v>3.108435770986631</v>
      </c>
      <c r="Z9" s="2">
        <f t="shared" si="24"/>
        <v>55.951843877759366</v>
      </c>
      <c r="AA9" s="2">
        <f t="shared" si="25"/>
        <v>3.1706044864063636</v>
      </c>
      <c r="AB9" s="2">
        <f t="shared" si="26"/>
        <v>57.070880755314555</v>
      </c>
      <c r="AC9" s="2">
        <f t="shared" si="27"/>
        <v>3.2340165761344908</v>
      </c>
      <c r="AD9" s="2">
        <f t="shared" si="28"/>
        <v>58.212298370420847</v>
      </c>
      <c r="AE9" s="2">
        <f t="shared" si="29"/>
        <v>3.2986969076571806</v>
      </c>
      <c r="AF9" s="2">
        <f t="shared" si="30"/>
        <v>59.376544337829266</v>
      </c>
      <c r="AG9" s="2">
        <f t="shared" si="31"/>
        <v>3.3646708458103243</v>
      </c>
      <c r="AH9" s="2">
        <f t="shared" si="32"/>
        <v>60.564075224585849</v>
      </c>
    </row>
    <row r="10" spans="1:34">
      <c r="A10" t="str">
        <f>sets!$H$3</f>
        <v>Teff</v>
      </c>
      <c r="B10" t="str">
        <v>Oromia</v>
      </c>
      <c r="C10" s="2">
        <f>(5.95744680851064)/0.2</f>
        <v>29.787234042553198</v>
      </c>
      <c r="D10" s="2">
        <f>(14)/0.2</f>
        <v>70</v>
      </c>
      <c r="E10" s="2">
        <f t="shared" si="3"/>
        <v>30.382978723404264</v>
      </c>
      <c r="F10" s="2">
        <f t="shared" si="4"/>
        <v>71.400000000000006</v>
      </c>
      <c r="G10" s="2">
        <f t="shared" si="5"/>
        <v>30.990638297872351</v>
      </c>
      <c r="H10" s="2">
        <f t="shared" si="6"/>
        <v>72.828000000000003</v>
      </c>
      <c r="I10" s="2">
        <f t="shared" si="7"/>
        <v>31.6104510638298</v>
      </c>
      <c r="J10" s="2">
        <f t="shared" si="8"/>
        <v>74.284559999999999</v>
      </c>
      <c r="K10" s="2">
        <f t="shared" si="9"/>
        <v>32.242660085106394</v>
      </c>
      <c r="L10" s="2">
        <f t="shared" si="10"/>
        <v>75.770251200000004</v>
      </c>
      <c r="M10" s="2">
        <f t="shared" si="11"/>
        <v>32.88751328680852</v>
      </c>
      <c r="N10" s="2">
        <f t="shared" si="12"/>
        <v>77.285656224000007</v>
      </c>
      <c r="O10" s="2">
        <f t="shared" si="13"/>
        <v>33.545263552544689</v>
      </c>
      <c r="P10" s="2">
        <f t="shared" si="14"/>
        <v>78.83136934848001</v>
      </c>
      <c r="Q10" s="2">
        <f t="shared" si="15"/>
        <v>34.216168823595581</v>
      </c>
      <c r="R10" s="2">
        <f t="shared" si="16"/>
        <v>80.407996735449615</v>
      </c>
      <c r="S10" s="2">
        <f t="shared" si="17"/>
        <v>34.90049220006749</v>
      </c>
      <c r="T10" s="2">
        <f t="shared" si="18"/>
        <v>82.016156670158608</v>
      </c>
      <c r="U10" s="2">
        <f t="shared" si="19"/>
        <v>35.598502044068837</v>
      </c>
      <c r="V10" s="2">
        <f t="shared" si="20"/>
        <v>83.65647980356178</v>
      </c>
      <c r="W10" s="2">
        <f t="shared" si="21"/>
        <v>36.310472084950213</v>
      </c>
      <c r="X10" s="2">
        <f t="shared" si="22"/>
        <v>85.329609399633014</v>
      </c>
      <c r="Y10" s="2">
        <f t="shared" si="23"/>
        <v>37.036681526649218</v>
      </c>
      <c r="Z10" s="2">
        <f t="shared" si="24"/>
        <v>87.036201587625669</v>
      </c>
      <c r="AA10" s="2">
        <f t="shared" si="25"/>
        <v>37.777415157182205</v>
      </c>
      <c r="AB10" s="2">
        <f t="shared" si="26"/>
        <v>88.77692561937819</v>
      </c>
      <c r="AC10" s="2">
        <f t="shared" si="27"/>
        <v>38.532963460325853</v>
      </c>
      <c r="AD10" s="2">
        <f t="shared" si="28"/>
        <v>90.55246413176576</v>
      </c>
      <c r="AE10" s="2">
        <f t="shared" si="29"/>
        <v>39.303622729532371</v>
      </c>
      <c r="AF10" s="2">
        <f t="shared" si="30"/>
        <v>92.363513414401083</v>
      </c>
      <c r="AG10" s="2">
        <f t="shared" si="31"/>
        <v>40.089695184123016</v>
      </c>
      <c r="AH10" s="2">
        <f t="shared" si="32"/>
        <v>94.210783682689112</v>
      </c>
    </row>
    <row r="11" spans="1:34">
      <c r="A11" t="str">
        <f>sets!$H$3</f>
        <v>Teff</v>
      </c>
      <c r="B11" t="str">
        <v>Somali</v>
      </c>
      <c r="C11" s="2">
        <f>(0.5)/0.2</f>
        <v>2.5</v>
      </c>
      <c r="D11" s="2">
        <f>(0)/0.2</f>
        <v>0</v>
      </c>
      <c r="E11" s="2">
        <f t="shared" si="3"/>
        <v>2.5499999999999998</v>
      </c>
      <c r="F11" s="2">
        <f t="shared" si="4"/>
        <v>0</v>
      </c>
      <c r="G11" s="2">
        <f t="shared" si="5"/>
        <v>2.601</v>
      </c>
      <c r="H11" s="2">
        <f t="shared" si="6"/>
        <v>0</v>
      </c>
      <c r="I11" s="2">
        <f t="shared" si="7"/>
        <v>2.6530200000000002</v>
      </c>
      <c r="J11" s="2">
        <f t="shared" si="8"/>
        <v>0</v>
      </c>
      <c r="K11" s="2">
        <f t="shared" si="9"/>
        <v>2.7060804000000003</v>
      </c>
      <c r="L11" s="2">
        <f t="shared" si="10"/>
        <v>0</v>
      </c>
      <c r="M11" s="2">
        <f t="shared" si="11"/>
        <v>2.7602020080000003</v>
      </c>
      <c r="N11" s="2">
        <f t="shared" si="12"/>
        <v>0</v>
      </c>
      <c r="O11" s="2">
        <f t="shared" si="13"/>
        <v>2.8154060481600003</v>
      </c>
      <c r="P11" s="2">
        <f t="shared" si="14"/>
        <v>0</v>
      </c>
      <c r="Q11" s="2">
        <f t="shared" si="15"/>
        <v>2.8717141691232002</v>
      </c>
      <c r="R11" s="2">
        <f t="shared" si="16"/>
        <v>0</v>
      </c>
      <c r="S11" s="2">
        <f t="shared" si="17"/>
        <v>2.9291484525056641</v>
      </c>
      <c r="T11" s="2">
        <f t="shared" si="18"/>
        <v>0</v>
      </c>
      <c r="U11" s="2">
        <f t="shared" si="19"/>
        <v>2.9877314215557775</v>
      </c>
      <c r="V11" s="2">
        <f t="shared" si="20"/>
        <v>0</v>
      </c>
      <c r="W11" s="2">
        <f t="shared" si="21"/>
        <v>3.047486049986893</v>
      </c>
      <c r="X11" s="2">
        <f t="shared" si="22"/>
        <v>0</v>
      </c>
      <c r="Y11" s="2">
        <f t="shared" si="23"/>
        <v>3.108435770986631</v>
      </c>
      <c r="Z11" s="2">
        <f t="shared" si="24"/>
        <v>0</v>
      </c>
      <c r="AA11" s="2">
        <f t="shared" si="25"/>
        <v>3.1706044864063636</v>
      </c>
      <c r="AB11" s="2">
        <f t="shared" si="26"/>
        <v>0</v>
      </c>
      <c r="AC11" s="2">
        <f t="shared" si="27"/>
        <v>3.2340165761344908</v>
      </c>
      <c r="AD11" s="2">
        <f t="shared" si="28"/>
        <v>0</v>
      </c>
      <c r="AE11" s="2">
        <f t="shared" si="29"/>
        <v>3.2986969076571806</v>
      </c>
      <c r="AF11" s="2">
        <f t="shared" si="30"/>
        <v>0</v>
      </c>
      <c r="AG11" s="2">
        <f t="shared" si="31"/>
        <v>3.3646708458103243</v>
      </c>
      <c r="AH11" s="2">
        <f t="shared" si="32"/>
        <v>0</v>
      </c>
    </row>
    <row r="12" spans="1:34">
      <c r="A12" t="str">
        <f>sets!$H$3</f>
        <v>Teff</v>
      </c>
      <c r="B12" t="str">
        <v>SNNPR</v>
      </c>
      <c r="C12" s="2">
        <f>(5.06060606060606)/0.2</f>
        <v>25.303030303030297</v>
      </c>
      <c r="D12" s="2">
        <f>(13)/0.2</f>
        <v>65</v>
      </c>
      <c r="E12" s="2">
        <f t="shared" si="3"/>
        <v>25.809090909090905</v>
      </c>
      <c r="F12" s="2">
        <f t="shared" si="4"/>
        <v>66.3</v>
      </c>
      <c r="G12" s="2">
        <f t="shared" si="5"/>
        <v>26.325272727272722</v>
      </c>
      <c r="H12" s="2">
        <f t="shared" si="6"/>
        <v>67.626000000000005</v>
      </c>
      <c r="I12" s="2">
        <f t="shared" si="7"/>
        <v>26.851778181818176</v>
      </c>
      <c r="J12" s="2">
        <f t="shared" si="8"/>
        <v>68.978520000000003</v>
      </c>
      <c r="K12" s="2">
        <f t="shared" si="9"/>
        <v>27.388813745454542</v>
      </c>
      <c r="L12" s="2">
        <f t="shared" si="10"/>
        <v>70.358090400000009</v>
      </c>
      <c r="M12" s="2">
        <f t="shared" si="11"/>
        <v>27.936590020363631</v>
      </c>
      <c r="N12" s="2">
        <f t="shared" si="12"/>
        <v>71.765252208000007</v>
      </c>
      <c r="O12" s="2">
        <f t="shared" si="13"/>
        <v>28.495321820770904</v>
      </c>
      <c r="P12" s="2">
        <f t="shared" si="14"/>
        <v>73.20055725216001</v>
      </c>
      <c r="Q12" s="2">
        <f t="shared" si="15"/>
        <v>29.065228257186323</v>
      </c>
      <c r="R12" s="2">
        <f t="shared" si="16"/>
        <v>74.664568397203212</v>
      </c>
      <c r="S12" s="2">
        <f t="shared" si="17"/>
        <v>29.646532822330052</v>
      </c>
      <c r="T12" s="2">
        <f t="shared" si="18"/>
        <v>76.157859765147279</v>
      </c>
      <c r="U12" s="2">
        <f t="shared" si="19"/>
        <v>30.239463478776653</v>
      </c>
      <c r="V12" s="2">
        <f t="shared" si="20"/>
        <v>77.681016960450222</v>
      </c>
      <c r="W12" s="2">
        <f t="shared" si="21"/>
        <v>30.844252748352186</v>
      </c>
      <c r="X12" s="2">
        <f t="shared" si="22"/>
        <v>79.234637299659227</v>
      </c>
      <c r="Y12" s="2">
        <f t="shared" si="23"/>
        <v>31.461137803319232</v>
      </c>
      <c r="Z12" s="2">
        <f t="shared" si="24"/>
        <v>80.819330045652407</v>
      </c>
      <c r="AA12" s="2">
        <f t="shared" si="25"/>
        <v>32.090360559385616</v>
      </c>
      <c r="AB12" s="2">
        <f t="shared" si="26"/>
        <v>82.435716646565453</v>
      </c>
      <c r="AC12" s="2">
        <f t="shared" si="27"/>
        <v>32.732167770573326</v>
      </c>
      <c r="AD12" s="2">
        <f t="shared" si="28"/>
        <v>84.084430979496759</v>
      </c>
      <c r="AE12" s="2">
        <f t="shared" si="29"/>
        <v>33.386811125984792</v>
      </c>
      <c r="AF12" s="2">
        <f t="shared" si="30"/>
        <v>85.766119599086693</v>
      </c>
      <c r="AG12" s="2">
        <f t="shared" si="31"/>
        <v>34.054547348504485</v>
      </c>
      <c r="AH12" s="2">
        <f t="shared" si="32"/>
        <v>87.481441991068422</v>
      </c>
    </row>
    <row r="13" spans="1:34">
      <c r="A13" t="str">
        <f>sets!$H$3</f>
        <v>Teff</v>
      </c>
      <c r="B13" t="str">
        <v>Tigray</v>
      </c>
      <c r="C13" s="2">
        <f>(5.84)/0.2</f>
        <v>29.2</v>
      </c>
      <c r="D13" s="2">
        <f>(15)/0.2</f>
        <v>75</v>
      </c>
      <c r="E13" s="2">
        <f t="shared" si="3"/>
        <v>29.783999999999999</v>
      </c>
      <c r="F13" s="2">
        <f t="shared" si="4"/>
        <v>76.5</v>
      </c>
      <c r="G13" s="2">
        <f t="shared" si="5"/>
        <v>30.37968</v>
      </c>
      <c r="H13" s="2">
        <f t="shared" si="6"/>
        <v>78.03</v>
      </c>
      <c r="I13" s="2">
        <f t="shared" si="7"/>
        <v>30.987273600000002</v>
      </c>
      <c r="J13" s="2">
        <f t="shared" si="8"/>
        <v>79.590600000000009</v>
      </c>
      <c r="K13" s="2">
        <f t="shared" si="9"/>
        <v>31.607019072000003</v>
      </c>
      <c r="L13" s="2">
        <f t="shared" si="10"/>
        <v>81.182412000000014</v>
      </c>
      <c r="M13" s="2">
        <f t="shared" si="11"/>
        <v>32.239159453440003</v>
      </c>
      <c r="N13" s="2">
        <f t="shared" si="12"/>
        <v>82.806060240000022</v>
      </c>
      <c r="O13" s="2">
        <f t="shared" si="13"/>
        <v>32.883942642508806</v>
      </c>
      <c r="P13" s="2">
        <f t="shared" si="14"/>
        <v>84.462181444800024</v>
      </c>
      <c r="Q13" s="2">
        <f t="shared" si="15"/>
        <v>33.541621495358982</v>
      </c>
      <c r="R13" s="2">
        <f t="shared" si="16"/>
        <v>86.151425073696032</v>
      </c>
      <c r="S13" s="2">
        <f t="shared" si="17"/>
        <v>34.212453925266161</v>
      </c>
      <c r="T13" s="2">
        <f t="shared" si="18"/>
        <v>87.874453575169952</v>
      </c>
      <c r="U13" s="2">
        <f t="shared" si="19"/>
        <v>34.896703003771485</v>
      </c>
      <c r="V13" s="2">
        <f t="shared" si="20"/>
        <v>89.631942646673352</v>
      </c>
      <c r="W13" s="2">
        <f t="shared" si="21"/>
        <v>35.594637063846918</v>
      </c>
      <c r="X13" s="2">
        <f t="shared" si="22"/>
        <v>91.424581499606816</v>
      </c>
      <c r="Y13" s="2">
        <f t="shared" si="23"/>
        <v>36.306529805123859</v>
      </c>
      <c r="Z13" s="2">
        <f t="shared" si="24"/>
        <v>93.25307312959896</v>
      </c>
      <c r="AA13" s="2">
        <f t="shared" si="25"/>
        <v>37.032660401226337</v>
      </c>
      <c r="AB13" s="2">
        <f t="shared" si="26"/>
        <v>95.118134592190941</v>
      </c>
      <c r="AC13" s="2">
        <f t="shared" si="27"/>
        <v>37.773313609250863</v>
      </c>
      <c r="AD13" s="2">
        <f t="shared" si="28"/>
        <v>97.020497284034761</v>
      </c>
      <c r="AE13" s="2">
        <f t="shared" si="29"/>
        <v>38.528779881435881</v>
      </c>
      <c r="AF13" s="2">
        <f t="shared" si="30"/>
        <v>98.96090722971546</v>
      </c>
      <c r="AG13" s="2">
        <f t="shared" si="31"/>
        <v>39.299355479064602</v>
      </c>
      <c r="AH13" s="2">
        <f t="shared" si="32"/>
        <v>100.94012537430977</v>
      </c>
    </row>
    <row r="14" spans="1:34">
      <c r="A14" t="str">
        <f t="shared" ref="A14:A68" si="33">INDEX(Food,MATCH(A3,Food,0)+1)</f>
        <v>Sorghum</v>
      </c>
      <c r="B14" t="str">
        <f>B3</f>
        <v>AddisAbaba</v>
      </c>
      <c r="C14" s="2">
        <f>(0)/0.2</f>
        <v>0</v>
      </c>
      <c r="D14" s="2">
        <f>(0)/0.2</f>
        <v>0</v>
      </c>
      <c r="E14" s="2">
        <f t="shared" si="3"/>
        <v>0</v>
      </c>
      <c r="F14" s="2">
        <f t="shared" si="4"/>
        <v>0</v>
      </c>
      <c r="G14" s="2">
        <f t="shared" si="5"/>
        <v>0</v>
      </c>
      <c r="H14" s="2">
        <f t="shared" si="6"/>
        <v>0</v>
      </c>
      <c r="I14" s="2">
        <f t="shared" si="7"/>
        <v>0</v>
      </c>
      <c r="J14" s="2">
        <f t="shared" si="8"/>
        <v>0</v>
      </c>
      <c r="K14" s="2">
        <f t="shared" si="9"/>
        <v>0</v>
      </c>
      <c r="L14" s="2">
        <f t="shared" si="10"/>
        <v>0</v>
      </c>
      <c r="M14" s="2">
        <f t="shared" si="11"/>
        <v>0</v>
      </c>
      <c r="N14" s="2">
        <f t="shared" si="12"/>
        <v>0</v>
      </c>
      <c r="O14" s="2">
        <f t="shared" si="13"/>
        <v>0</v>
      </c>
      <c r="P14" s="2">
        <f t="shared" si="14"/>
        <v>0</v>
      </c>
      <c r="Q14" s="2">
        <f t="shared" si="15"/>
        <v>0</v>
      </c>
      <c r="R14" s="2">
        <f t="shared" si="16"/>
        <v>0</v>
      </c>
      <c r="S14" s="2">
        <f t="shared" si="17"/>
        <v>0</v>
      </c>
      <c r="T14" s="2">
        <f t="shared" si="18"/>
        <v>0</v>
      </c>
      <c r="U14" s="2">
        <f t="shared" si="19"/>
        <v>0</v>
      </c>
      <c r="V14" s="2">
        <f t="shared" si="20"/>
        <v>0</v>
      </c>
      <c r="W14" s="2">
        <f t="shared" si="21"/>
        <v>0</v>
      </c>
      <c r="X14" s="2">
        <f t="shared" si="22"/>
        <v>0</v>
      </c>
      <c r="Y14" s="2">
        <f t="shared" si="23"/>
        <v>0</v>
      </c>
      <c r="Z14" s="2">
        <f t="shared" si="24"/>
        <v>0</v>
      </c>
      <c r="AA14" s="2">
        <f t="shared" si="25"/>
        <v>0</v>
      </c>
      <c r="AB14" s="2">
        <f t="shared" si="26"/>
        <v>0</v>
      </c>
      <c r="AC14" s="2">
        <f t="shared" si="27"/>
        <v>0</v>
      </c>
      <c r="AD14" s="2">
        <f t="shared" si="28"/>
        <v>0</v>
      </c>
      <c r="AE14" s="2">
        <f t="shared" si="29"/>
        <v>0</v>
      </c>
      <c r="AF14" s="2">
        <f t="shared" si="30"/>
        <v>0</v>
      </c>
      <c r="AG14" s="2">
        <f t="shared" si="31"/>
        <v>0</v>
      </c>
      <c r="AH14" s="2">
        <f t="shared" si="32"/>
        <v>0</v>
      </c>
    </row>
    <row r="15" spans="1:34">
      <c r="A15" t="str">
        <f t="shared" si="33"/>
        <v>Sorghum</v>
      </c>
      <c r="B15" t="str">
        <f t="shared" ref="B15:B68" si="34">B4</f>
        <v>Afar</v>
      </c>
      <c r="C15" s="2">
        <f>(0.5)/0.2</f>
        <v>2.5</v>
      </c>
      <c r="D15" s="2">
        <f>(16)/0.2</f>
        <v>80</v>
      </c>
      <c r="E15" s="2">
        <f t="shared" si="3"/>
        <v>2.5499999999999998</v>
      </c>
      <c r="F15" s="2">
        <f t="shared" si="4"/>
        <v>81.599999999999994</v>
      </c>
      <c r="G15" s="2">
        <f t="shared" si="5"/>
        <v>2.601</v>
      </c>
      <c r="H15" s="2">
        <f t="shared" si="6"/>
        <v>83.231999999999999</v>
      </c>
      <c r="I15" s="2">
        <f t="shared" si="7"/>
        <v>2.6530200000000002</v>
      </c>
      <c r="J15" s="2">
        <f t="shared" si="8"/>
        <v>84.896640000000005</v>
      </c>
      <c r="K15" s="2">
        <f t="shared" si="9"/>
        <v>2.7060804000000003</v>
      </c>
      <c r="L15" s="2">
        <f t="shared" si="10"/>
        <v>86.594572800000009</v>
      </c>
      <c r="M15" s="2">
        <f t="shared" si="11"/>
        <v>2.7602020080000003</v>
      </c>
      <c r="N15" s="2">
        <f t="shared" si="12"/>
        <v>88.326464256000008</v>
      </c>
      <c r="O15" s="2">
        <f t="shared" si="13"/>
        <v>2.8154060481600003</v>
      </c>
      <c r="P15" s="2">
        <f t="shared" si="14"/>
        <v>90.092993541120009</v>
      </c>
      <c r="Q15" s="2">
        <f t="shared" si="15"/>
        <v>2.8717141691232002</v>
      </c>
      <c r="R15" s="2">
        <f t="shared" si="16"/>
        <v>91.894853411942407</v>
      </c>
      <c r="S15" s="2">
        <f t="shared" si="17"/>
        <v>2.9291484525056641</v>
      </c>
      <c r="T15" s="2">
        <f t="shared" si="18"/>
        <v>93.732750480181252</v>
      </c>
      <c r="U15" s="2">
        <f t="shared" si="19"/>
        <v>2.9877314215557775</v>
      </c>
      <c r="V15" s="2">
        <f t="shared" si="20"/>
        <v>95.607405489784881</v>
      </c>
      <c r="W15" s="2">
        <f t="shared" si="21"/>
        <v>3.047486049986893</v>
      </c>
      <c r="X15" s="2">
        <f t="shared" si="22"/>
        <v>97.519553599580576</v>
      </c>
      <c r="Y15" s="2">
        <f t="shared" si="23"/>
        <v>3.108435770986631</v>
      </c>
      <c r="Z15" s="2">
        <f t="shared" si="24"/>
        <v>99.469944671572193</v>
      </c>
      <c r="AA15" s="2">
        <f t="shared" si="25"/>
        <v>3.1706044864063636</v>
      </c>
      <c r="AB15" s="2">
        <f t="shared" si="26"/>
        <v>101.45934356500364</v>
      </c>
      <c r="AC15" s="2">
        <f t="shared" si="27"/>
        <v>3.2340165761344908</v>
      </c>
      <c r="AD15" s="2">
        <f t="shared" si="28"/>
        <v>103.48853043630371</v>
      </c>
      <c r="AE15" s="2">
        <f t="shared" si="29"/>
        <v>3.2986969076571806</v>
      </c>
      <c r="AF15" s="2">
        <f t="shared" si="30"/>
        <v>105.55830104502978</v>
      </c>
      <c r="AG15" s="2">
        <f t="shared" si="31"/>
        <v>3.3646708458103243</v>
      </c>
      <c r="AH15" s="2">
        <f t="shared" si="32"/>
        <v>107.66946706593038</v>
      </c>
    </row>
    <row r="16" spans="1:34">
      <c r="A16" t="str">
        <f t="shared" si="33"/>
        <v>Sorghum</v>
      </c>
      <c r="B16" t="str">
        <f t="shared" si="34"/>
        <v>Amhara</v>
      </c>
      <c r="C16" s="2">
        <f>(8.6)/0.2</f>
        <v>42.999999999999993</v>
      </c>
      <c r="D16" s="2">
        <f>(19)/0.2</f>
        <v>95</v>
      </c>
      <c r="E16" s="2">
        <f t="shared" si="3"/>
        <v>43.859999999999992</v>
      </c>
      <c r="F16" s="2">
        <f t="shared" si="4"/>
        <v>96.9</v>
      </c>
      <c r="G16" s="2">
        <f t="shared" si="5"/>
        <v>44.737199999999994</v>
      </c>
      <c r="H16" s="2">
        <f t="shared" si="6"/>
        <v>98.838000000000008</v>
      </c>
      <c r="I16" s="2">
        <f t="shared" si="7"/>
        <v>45.631943999999997</v>
      </c>
      <c r="J16" s="2">
        <f t="shared" si="8"/>
        <v>100.81476000000001</v>
      </c>
      <c r="K16" s="2">
        <f t="shared" si="9"/>
        <v>46.54458288</v>
      </c>
      <c r="L16" s="2">
        <f t="shared" si="10"/>
        <v>102.83105520000001</v>
      </c>
      <c r="M16" s="2">
        <f t="shared" si="11"/>
        <v>47.4754745376</v>
      </c>
      <c r="N16" s="2">
        <f t="shared" si="12"/>
        <v>104.88767630400001</v>
      </c>
      <c r="O16" s="2">
        <f t="shared" si="13"/>
        <v>48.424984028352</v>
      </c>
      <c r="P16" s="2">
        <f t="shared" si="14"/>
        <v>106.98542983008001</v>
      </c>
      <c r="Q16" s="2">
        <f t="shared" si="15"/>
        <v>49.393483708919042</v>
      </c>
      <c r="R16" s="2">
        <f t="shared" si="16"/>
        <v>109.12513842668162</v>
      </c>
      <c r="S16" s="2">
        <f t="shared" si="17"/>
        <v>50.381353383097427</v>
      </c>
      <c r="T16" s="2">
        <f t="shared" si="18"/>
        <v>111.30764119521525</v>
      </c>
      <c r="U16" s="2">
        <f t="shared" si="19"/>
        <v>51.388980450759377</v>
      </c>
      <c r="V16" s="2">
        <f t="shared" si="20"/>
        <v>113.53379401911955</v>
      </c>
      <c r="W16" s="2">
        <f t="shared" si="21"/>
        <v>52.416760059774568</v>
      </c>
      <c r="X16" s="2">
        <f t="shared" si="22"/>
        <v>115.80446989950195</v>
      </c>
      <c r="Y16" s="2">
        <f t="shared" si="23"/>
        <v>53.46509526097006</v>
      </c>
      <c r="Z16" s="2">
        <f t="shared" si="24"/>
        <v>118.12055929749199</v>
      </c>
      <c r="AA16" s="2">
        <f t="shared" si="25"/>
        <v>54.534397166189464</v>
      </c>
      <c r="AB16" s="2">
        <f t="shared" si="26"/>
        <v>120.48297048344183</v>
      </c>
      <c r="AC16" s="2">
        <f t="shared" si="27"/>
        <v>55.625085109513257</v>
      </c>
      <c r="AD16" s="2">
        <f t="shared" si="28"/>
        <v>122.89262989311067</v>
      </c>
      <c r="AE16" s="2">
        <f t="shared" si="29"/>
        <v>56.737586811703522</v>
      </c>
      <c r="AF16" s="2">
        <f t="shared" si="30"/>
        <v>125.35048249097288</v>
      </c>
      <c r="AG16" s="2">
        <f t="shared" si="31"/>
        <v>57.872338547937595</v>
      </c>
      <c r="AH16" s="2">
        <f t="shared" si="32"/>
        <v>127.85749214079235</v>
      </c>
    </row>
    <row r="17" spans="1:36">
      <c r="A17" t="str">
        <f t="shared" si="33"/>
        <v>Sorghum</v>
      </c>
      <c r="B17" t="str">
        <f t="shared" si="34"/>
        <v>Gumuz</v>
      </c>
      <c r="C17" s="2">
        <f>(0.5)/0.2</f>
        <v>2.5</v>
      </c>
      <c r="D17" s="2">
        <f>(17)/0.2</f>
        <v>85</v>
      </c>
      <c r="E17" s="2">
        <f t="shared" si="3"/>
        <v>2.5499999999999998</v>
      </c>
      <c r="F17" s="2">
        <f t="shared" si="4"/>
        <v>86.7</v>
      </c>
      <c r="G17" s="2">
        <f t="shared" si="5"/>
        <v>2.601</v>
      </c>
      <c r="H17" s="2">
        <f t="shared" si="6"/>
        <v>88.433999999999997</v>
      </c>
      <c r="I17" s="2">
        <f t="shared" si="7"/>
        <v>2.6530200000000002</v>
      </c>
      <c r="J17" s="2">
        <f t="shared" si="8"/>
        <v>90.202680000000001</v>
      </c>
      <c r="K17" s="2">
        <f t="shared" si="9"/>
        <v>2.7060804000000003</v>
      </c>
      <c r="L17" s="2">
        <f t="shared" si="10"/>
        <v>92.006733600000004</v>
      </c>
      <c r="M17" s="2">
        <f t="shared" si="11"/>
        <v>2.7602020080000003</v>
      </c>
      <c r="N17" s="2">
        <f t="shared" si="12"/>
        <v>93.846868272000009</v>
      </c>
      <c r="O17" s="2">
        <f t="shared" si="13"/>
        <v>2.8154060481600003</v>
      </c>
      <c r="P17" s="2">
        <f t="shared" si="14"/>
        <v>95.723805637440009</v>
      </c>
      <c r="Q17" s="2">
        <f t="shared" si="15"/>
        <v>2.8717141691232002</v>
      </c>
      <c r="R17" s="2">
        <f t="shared" si="16"/>
        <v>97.63828175018881</v>
      </c>
      <c r="S17" s="2">
        <f t="shared" si="17"/>
        <v>2.9291484525056641</v>
      </c>
      <c r="T17" s="2">
        <f t="shared" si="18"/>
        <v>99.591047385192581</v>
      </c>
      <c r="U17" s="2">
        <f t="shared" si="19"/>
        <v>2.9877314215557775</v>
      </c>
      <c r="V17" s="2">
        <f t="shared" si="20"/>
        <v>101.58286833289644</v>
      </c>
      <c r="W17" s="2">
        <f t="shared" si="21"/>
        <v>3.047486049986893</v>
      </c>
      <c r="X17" s="2">
        <f t="shared" si="22"/>
        <v>103.61452569955436</v>
      </c>
      <c r="Y17" s="2">
        <f t="shared" si="23"/>
        <v>3.108435770986631</v>
      </c>
      <c r="Z17" s="2">
        <f t="shared" si="24"/>
        <v>105.68681621354546</v>
      </c>
      <c r="AA17" s="2">
        <f t="shared" si="25"/>
        <v>3.1706044864063636</v>
      </c>
      <c r="AB17" s="2">
        <f t="shared" si="26"/>
        <v>107.80055253781637</v>
      </c>
      <c r="AC17" s="2">
        <f t="shared" si="27"/>
        <v>3.2340165761344908</v>
      </c>
      <c r="AD17" s="2">
        <f t="shared" si="28"/>
        <v>109.95656358857271</v>
      </c>
      <c r="AE17" s="2">
        <f t="shared" si="29"/>
        <v>3.2986969076571806</v>
      </c>
      <c r="AF17" s="2">
        <f t="shared" si="30"/>
        <v>112.15569486034416</v>
      </c>
      <c r="AG17" s="2">
        <f t="shared" si="31"/>
        <v>3.3646708458103243</v>
      </c>
      <c r="AH17" s="2">
        <f t="shared" si="32"/>
        <v>114.39880875755104</v>
      </c>
    </row>
    <row r="18" spans="1:36">
      <c r="A18" t="str">
        <f t="shared" si="33"/>
        <v>Sorghum</v>
      </c>
      <c r="B18" t="str">
        <f t="shared" si="34"/>
        <v>DireDawa</v>
      </c>
      <c r="C18" s="2">
        <f>(1)/0.2</f>
        <v>5</v>
      </c>
      <c r="D18" s="2">
        <f>(17)/0.2</f>
        <v>85</v>
      </c>
      <c r="E18" s="2">
        <f t="shared" si="3"/>
        <v>5.0999999999999996</v>
      </c>
      <c r="F18" s="2">
        <f t="shared" si="4"/>
        <v>86.7</v>
      </c>
      <c r="G18" s="2">
        <f t="shared" si="5"/>
        <v>5.202</v>
      </c>
      <c r="H18" s="2">
        <f t="shared" si="6"/>
        <v>88.433999999999997</v>
      </c>
      <c r="I18" s="2">
        <f t="shared" si="7"/>
        <v>5.3060400000000003</v>
      </c>
      <c r="J18" s="2">
        <f t="shared" si="8"/>
        <v>90.202680000000001</v>
      </c>
      <c r="K18" s="2">
        <f t="shared" si="9"/>
        <v>5.4121608000000005</v>
      </c>
      <c r="L18" s="2">
        <f t="shared" si="10"/>
        <v>92.006733600000004</v>
      </c>
      <c r="M18" s="2">
        <f t="shared" si="11"/>
        <v>5.5204040160000005</v>
      </c>
      <c r="N18" s="2">
        <f t="shared" si="12"/>
        <v>93.846868272000009</v>
      </c>
      <c r="O18" s="2">
        <f t="shared" si="13"/>
        <v>5.6308120963200006</v>
      </c>
      <c r="P18" s="2">
        <f t="shared" si="14"/>
        <v>95.723805637440009</v>
      </c>
      <c r="Q18" s="2">
        <f t="shared" si="15"/>
        <v>5.7434283382464004</v>
      </c>
      <c r="R18" s="2">
        <f t="shared" si="16"/>
        <v>97.63828175018881</v>
      </c>
      <c r="S18" s="2">
        <f t="shared" si="17"/>
        <v>5.8582969050113283</v>
      </c>
      <c r="T18" s="2">
        <f t="shared" si="18"/>
        <v>99.591047385192581</v>
      </c>
      <c r="U18" s="2">
        <f t="shared" si="19"/>
        <v>5.9754628431115551</v>
      </c>
      <c r="V18" s="2">
        <f t="shared" si="20"/>
        <v>101.58286833289644</v>
      </c>
      <c r="W18" s="2">
        <f t="shared" si="21"/>
        <v>6.094972099973786</v>
      </c>
      <c r="X18" s="2">
        <f t="shared" si="22"/>
        <v>103.61452569955436</v>
      </c>
      <c r="Y18" s="2">
        <f t="shared" si="23"/>
        <v>6.2168715419732621</v>
      </c>
      <c r="Z18" s="2">
        <f t="shared" si="24"/>
        <v>105.68681621354546</v>
      </c>
      <c r="AA18" s="2">
        <f t="shared" si="25"/>
        <v>6.3412089728127272</v>
      </c>
      <c r="AB18" s="2">
        <f t="shared" si="26"/>
        <v>107.80055253781637</v>
      </c>
      <c r="AC18" s="2">
        <f t="shared" si="27"/>
        <v>6.4680331522689816</v>
      </c>
      <c r="AD18" s="2">
        <f t="shared" si="28"/>
        <v>109.95656358857271</v>
      </c>
      <c r="AE18" s="2">
        <f t="shared" si="29"/>
        <v>6.5973938153143612</v>
      </c>
      <c r="AF18" s="2">
        <f t="shared" si="30"/>
        <v>112.15569486034416</v>
      </c>
      <c r="AG18" s="2">
        <f t="shared" si="31"/>
        <v>6.7293416916206485</v>
      </c>
      <c r="AH18" s="2">
        <f t="shared" si="32"/>
        <v>114.39880875755104</v>
      </c>
    </row>
    <row r="19" spans="1:36">
      <c r="A19" t="str">
        <f t="shared" si="33"/>
        <v>Sorghum</v>
      </c>
      <c r="B19" t="str">
        <f t="shared" si="34"/>
        <v>Gambela</v>
      </c>
      <c r="C19" s="2">
        <f>(0)/0.2</f>
        <v>0</v>
      </c>
      <c r="D19" s="2">
        <f>(23)/0.2</f>
        <v>115</v>
      </c>
      <c r="E19" s="2">
        <f t="shared" si="3"/>
        <v>0</v>
      </c>
      <c r="F19" s="2">
        <f t="shared" si="4"/>
        <v>117.3</v>
      </c>
      <c r="G19" s="2">
        <f t="shared" si="5"/>
        <v>0</v>
      </c>
      <c r="H19" s="2">
        <f t="shared" si="6"/>
        <v>119.646</v>
      </c>
      <c r="I19" s="2">
        <f t="shared" si="7"/>
        <v>0</v>
      </c>
      <c r="J19" s="2">
        <f t="shared" si="8"/>
        <v>122.03892</v>
      </c>
      <c r="K19" s="2">
        <f t="shared" si="9"/>
        <v>0</v>
      </c>
      <c r="L19" s="2">
        <f t="shared" si="10"/>
        <v>124.4796984</v>
      </c>
      <c r="M19" s="2">
        <f t="shared" si="11"/>
        <v>0</v>
      </c>
      <c r="N19" s="2">
        <f t="shared" si="12"/>
        <v>126.96929236800001</v>
      </c>
      <c r="O19" s="2">
        <f t="shared" si="13"/>
        <v>0</v>
      </c>
      <c r="P19" s="2">
        <f t="shared" si="14"/>
        <v>129.50867821536002</v>
      </c>
      <c r="Q19" s="2">
        <f t="shared" si="15"/>
        <v>0</v>
      </c>
      <c r="R19" s="2">
        <f t="shared" si="16"/>
        <v>132.09885177966723</v>
      </c>
      <c r="S19" s="2">
        <f t="shared" si="17"/>
        <v>0</v>
      </c>
      <c r="T19" s="2">
        <f t="shared" si="18"/>
        <v>134.74082881526058</v>
      </c>
      <c r="U19" s="2">
        <f t="shared" si="19"/>
        <v>0</v>
      </c>
      <c r="V19" s="2">
        <f t="shared" si="20"/>
        <v>137.4356453915658</v>
      </c>
      <c r="W19" s="2">
        <f t="shared" si="21"/>
        <v>0</v>
      </c>
      <c r="X19" s="2">
        <f t="shared" si="22"/>
        <v>140.1843582993971</v>
      </c>
      <c r="Y19" s="2">
        <f t="shared" si="23"/>
        <v>0</v>
      </c>
      <c r="Z19" s="2">
        <f t="shared" si="24"/>
        <v>142.98804546538506</v>
      </c>
      <c r="AA19" s="2">
        <f t="shared" si="25"/>
        <v>0</v>
      </c>
      <c r="AB19" s="2">
        <f t="shared" si="26"/>
        <v>145.84780637469277</v>
      </c>
      <c r="AC19" s="2">
        <f t="shared" si="27"/>
        <v>0</v>
      </c>
      <c r="AD19" s="2">
        <f t="shared" si="28"/>
        <v>148.76476250218661</v>
      </c>
      <c r="AE19" s="2">
        <f t="shared" si="29"/>
        <v>0</v>
      </c>
      <c r="AF19" s="2">
        <f t="shared" si="30"/>
        <v>151.74005775223034</v>
      </c>
      <c r="AG19" s="2">
        <f t="shared" si="31"/>
        <v>0</v>
      </c>
      <c r="AH19" s="2">
        <f t="shared" si="32"/>
        <v>154.77485890727496</v>
      </c>
    </row>
    <row r="20" spans="1:36">
      <c r="A20" t="str">
        <f t="shared" si="33"/>
        <v>Sorghum</v>
      </c>
      <c r="B20" t="str">
        <f t="shared" si="34"/>
        <v>Harari</v>
      </c>
      <c r="C20" s="2">
        <f>(0.5)/0.2</f>
        <v>2.5</v>
      </c>
      <c r="D20" s="2">
        <f>(15)/0.2</f>
        <v>75</v>
      </c>
      <c r="E20" s="2">
        <f t="shared" si="3"/>
        <v>2.5499999999999998</v>
      </c>
      <c r="F20" s="2">
        <f t="shared" si="4"/>
        <v>76.5</v>
      </c>
      <c r="G20" s="2">
        <f t="shared" si="5"/>
        <v>2.601</v>
      </c>
      <c r="H20" s="2">
        <f t="shared" si="6"/>
        <v>78.03</v>
      </c>
      <c r="I20" s="2">
        <f t="shared" si="7"/>
        <v>2.6530200000000002</v>
      </c>
      <c r="J20" s="2">
        <f t="shared" si="8"/>
        <v>79.590600000000009</v>
      </c>
      <c r="K20" s="2">
        <f t="shared" si="9"/>
        <v>2.7060804000000003</v>
      </c>
      <c r="L20" s="2">
        <f t="shared" si="10"/>
        <v>81.182412000000014</v>
      </c>
      <c r="M20" s="2">
        <f t="shared" si="11"/>
        <v>2.7602020080000003</v>
      </c>
      <c r="N20" s="2">
        <f t="shared" si="12"/>
        <v>82.806060240000022</v>
      </c>
      <c r="O20" s="2">
        <f t="shared" si="13"/>
        <v>2.8154060481600003</v>
      </c>
      <c r="P20" s="2">
        <f t="shared" si="14"/>
        <v>84.462181444800024</v>
      </c>
      <c r="Q20" s="2">
        <f t="shared" si="15"/>
        <v>2.8717141691232002</v>
      </c>
      <c r="R20" s="2">
        <f t="shared" si="16"/>
        <v>86.151425073696032</v>
      </c>
      <c r="S20" s="2">
        <f t="shared" si="17"/>
        <v>2.9291484525056641</v>
      </c>
      <c r="T20" s="2">
        <f t="shared" si="18"/>
        <v>87.874453575169952</v>
      </c>
      <c r="U20" s="2">
        <f t="shared" si="19"/>
        <v>2.9877314215557775</v>
      </c>
      <c r="V20" s="2">
        <f t="shared" si="20"/>
        <v>89.631942646673352</v>
      </c>
      <c r="W20" s="2">
        <f t="shared" si="21"/>
        <v>3.047486049986893</v>
      </c>
      <c r="X20" s="2">
        <f t="shared" si="22"/>
        <v>91.424581499606816</v>
      </c>
      <c r="Y20" s="2">
        <f t="shared" si="23"/>
        <v>3.108435770986631</v>
      </c>
      <c r="Z20" s="2">
        <f t="shared" si="24"/>
        <v>93.25307312959896</v>
      </c>
      <c r="AA20" s="2">
        <f t="shared" si="25"/>
        <v>3.1706044864063636</v>
      </c>
      <c r="AB20" s="2">
        <f t="shared" si="26"/>
        <v>95.118134592190941</v>
      </c>
      <c r="AC20" s="2">
        <f t="shared" si="27"/>
        <v>3.2340165761344908</v>
      </c>
      <c r="AD20" s="2">
        <f t="shared" si="28"/>
        <v>97.020497284034761</v>
      </c>
      <c r="AE20" s="2">
        <f t="shared" si="29"/>
        <v>3.2986969076571806</v>
      </c>
      <c r="AF20" s="2">
        <f t="shared" si="30"/>
        <v>98.96090722971546</v>
      </c>
      <c r="AG20" s="2">
        <f t="shared" si="31"/>
        <v>3.3646708458103243</v>
      </c>
      <c r="AH20" s="2">
        <f t="shared" si="32"/>
        <v>100.94012537430977</v>
      </c>
    </row>
    <row r="21" spans="1:36">
      <c r="A21" t="str">
        <f t="shared" si="33"/>
        <v>Sorghum</v>
      </c>
      <c r="B21" t="str">
        <f t="shared" si="34"/>
        <v>Oromia</v>
      </c>
      <c r="C21" s="2">
        <f>(7.78260869565217)/0.2</f>
        <v>38.913043478260846</v>
      </c>
      <c r="D21" s="2">
        <f>(20)/0.2</f>
        <v>100</v>
      </c>
      <c r="E21" s="2">
        <f t="shared" si="3"/>
        <v>39.691304347826062</v>
      </c>
      <c r="F21" s="2">
        <f t="shared" si="4"/>
        <v>102</v>
      </c>
      <c r="G21" s="2">
        <f t="shared" si="5"/>
        <v>40.485130434782583</v>
      </c>
      <c r="H21" s="2">
        <f t="shared" si="6"/>
        <v>104.04</v>
      </c>
      <c r="I21" s="2">
        <f t="shared" si="7"/>
        <v>41.294833043478235</v>
      </c>
      <c r="J21" s="2">
        <f t="shared" si="8"/>
        <v>106.1208</v>
      </c>
      <c r="K21" s="2">
        <f t="shared" si="9"/>
        <v>42.120729704347802</v>
      </c>
      <c r="L21" s="2">
        <f t="shared" si="10"/>
        <v>108.243216</v>
      </c>
      <c r="M21" s="2">
        <f t="shared" si="11"/>
        <v>42.963144298434756</v>
      </c>
      <c r="N21" s="2">
        <f t="shared" si="12"/>
        <v>110.40808032000001</v>
      </c>
      <c r="O21" s="2">
        <f t="shared" si="13"/>
        <v>43.822407184403453</v>
      </c>
      <c r="P21" s="2">
        <f t="shared" si="14"/>
        <v>112.61624192640001</v>
      </c>
      <c r="Q21" s="2">
        <f t="shared" si="15"/>
        <v>44.698855328091526</v>
      </c>
      <c r="R21" s="2">
        <f t="shared" si="16"/>
        <v>114.868566764928</v>
      </c>
      <c r="S21" s="2">
        <f t="shared" si="17"/>
        <v>45.59283243465336</v>
      </c>
      <c r="T21" s="2">
        <f t="shared" si="18"/>
        <v>117.16593810022657</v>
      </c>
      <c r="U21" s="2">
        <f t="shared" si="19"/>
        <v>46.504689083346427</v>
      </c>
      <c r="V21" s="2">
        <f t="shared" si="20"/>
        <v>119.5092568622311</v>
      </c>
      <c r="W21" s="2">
        <f t="shared" si="21"/>
        <v>47.434782865013354</v>
      </c>
      <c r="X21" s="2">
        <f t="shared" si="22"/>
        <v>121.89944199947573</v>
      </c>
      <c r="Y21" s="2">
        <f t="shared" si="23"/>
        <v>48.383478522313624</v>
      </c>
      <c r="Z21" s="2">
        <f t="shared" si="24"/>
        <v>124.33743083946524</v>
      </c>
      <c r="AA21" s="2">
        <f t="shared" si="25"/>
        <v>49.3511480927599</v>
      </c>
      <c r="AB21" s="2">
        <f t="shared" si="26"/>
        <v>126.82417945625456</v>
      </c>
      <c r="AC21" s="2">
        <f t="shared" si="27"/>
        <v>50.338171054615096</v>
      </c>
      <c r="AD21" s="2">
        <f t="shared" si="28"/>
        <v>129.36066304537965</v>
      </c>
      <c r="AE21" s="2">
        <f t="shared" si="29"/>
        <v>51.344934475707397</v>
      </c>
      <c r="AF21" s="2">
        <f t="shared" si="30"/>
        <v>131.94787630628724</v>
      </c>
      <c r="AG21" s="2">
        <f t="shared" si="31"/>
        <v>52.371833165221545</v>
      </c>
      <c r="AH21" s="2">
        <f t="shared" si="32"/>
        <v>134.58683383241299</v>
      </c>
      <c r="AJ21" t="s">
        <v>114</v>
      </c>
    </row>
    <row r="22" spans="1:36">
      <c r="A22" t="str">
        <f t="shared" si="33"/>
        <v>Sorghum</v>
      </c>
      <c r="B22" t="str">
        <f t="shared" si="34"/>
        <v>Somali</v>
      </c>
      <c r="C22" s="2">
        <f>(4.67391304347826)/0.2</f>
        <v>23.369565217391298</v>
      </c>
      <c r="D22" s="2">
        <f>(14)/0.2</f>
        <v>70</v>
      </c>
      <c r="E22" s="2">
        <f t="shared" si="3"/>
        <v>23.836956521739125</v>
      </c>
      <c r="F22" s="2">
        <f t="shared" si="4"/>
        <v>71.400000000000006</v>
      </c>
      <c r="G22" s="2">
        <f t="shared" si="5"/>
        <v>24.313695652173909</v>
      </c>
      <c r="H22" s="2">
        <f t="shared" si="6"/>
        <v>72.828000000000003</v>
      </c>
      <c r="I22" s="2">
        <f t="shared" si="7"/>
        <v>24.799969565217388</v>
      </c>
      <c r="J22" s="2">
        <f t="shared" si="8"/>
        <v>74.284559999999999</v>
      </c>
      <c r="K22" s="2">
        <f t="shared" si="9"/>
        <v>25.295968956521737</v>
      </c>
      <c r="L22" s="2">
        <f t="shared" si="10"/>
        <v>75.770251200000004</v>
      </c>
      <c r="M22" s="2">
        <f t="shared" si="11"/>
        <v>25.801888335652173</v>
      </c>
      <c r="N22" s="2">
        <f t="shared" si="12"/>
        <v>77.285656224000007</v>
      </c>
      <c r="O22" s="2">
        <f t="shared" si="13"/>
        <v>26.317926102365217</v>
      </c>
      <c r="P22" s="2">
        <f t="shared" si="14"/>
        <v>78.83136934848001</v>
      </c>
      <c r="Q22" s="2">
        <f t="shared" si="15"/>
        <v>26.84428462441252</v>
      </c>
      <c r="R22" s="2">
        <f t="shared" si="16"/>
        <v>80.407996735449615</v>
      </c>
      <c r="S22" s="2">
        <f t="shared" si="17"/>
        <v>27.381170316900771</v>
      </c>
      <c r="T22" s="2">
        <f t="shared" si="18"/>
        <v>82.016156670158608</v>
      </c>
      <c r="U22" s="2">
        <f t="shared" si="19"/>
        <v>27.928793723238787</v>
      </c>
      <c r="V22" s="2">
        <f t="shared" si="20"/>
        <v>83.65647980356178</v>
      </c>
      <c r="W22" s="2">
        <f t="shared" si="21"/>
        <v>28.487369597703562</v>
      </c>
      <c r="X22" s="2">
        <f t="shared" si="22"/>
        <v>85.329609399633014</v>
      </c>
      <c r="Y22" s="2">
        <f t="shared" si="23"/>
        <v>29.057116989657633</v>
      </c>
      <c r="Z22" s="2">
        <f t="shared" si="24"/>
        <v>87.036201587625669</v>
      </c>
      <c r="AA22" s="2">
        <f t="shared" si="25"/>
        <v>29.638259329450786</v>
      </c>
      <c r="AB22" s="2">
        <f t="shared" si="26"/>
        <v>88.77692561937819</v>
      </c>
      <c r="AC22" s="2">
        <f t="shared" si="27"/>
        <v>30.231024516039803</v>
      </c>
      <c r="AD22" s="2">
        <f t="shared" si="28"/>
        <v>90.55246413176576</v>
      </c>
      <c r="AE22" s="2">
        <f t="shared" si="29"/>
        <v>30.8356450063606</v>
      </c>
      <c r="AF22" s="2">
        <f t="shared" si="30"/>
        <v>92.363513414401083</v>
      </c>
      <c r="AG22" s="2">
        <f t="shared" si="31"/>
        <v>31.452357906487812</v>
      </c>
      <c r="AH22" s="2">
        <f t="shared" si="32"/>
        <v>94.210783682689112</v>
      </c>
    </row>
    <row r="23" spans="1:36">
      <c r="A23" t="str">
        <f t="shared" si="33"/>
        <v>Sorghum</v>
      </c>
      <c r="B23" t="str">
        <f t="shared" si="34"/>
        <v>SNNPR</v>
      </c>
      <c r="C23" s="2">
        <f>(5.48571428571429)/0.2</f>
        <v>27.428571428571448</v>
      </c>
      <c r="D23" s="2">
        <f>(18)/0.2</f>
        <v>90</v>
      </c>
      <c r="E23" s="2">
        <f t="shared" si="3"/>
        <v>27.977142857142876</v>
      </c>
      <c r="F23" s="2">
        <f t="shared" si="4"/>
        <v>91.8</v>
      </c>
      <c r="G23" s="2">
        <f t="shared" si="5"/>
        <v>28.536685714285735</v>
      </c>
      <c r="H23" s="2">
        <f t="shared" si="6"/>
        <v>93.635999999999996</v>
      </c>
      <c r="I23" s="2">
        <f t="shared" si="7"/>
        <v>29.10741942857145</v>
      </c>
      <c r="J23" s="2">
        <f t="shared" si="8"/>
        <v>95.508719999999997</v>
      </c>
      <c r="K23" s="2">
        <f t="shared" si="9"/>
        <v>29.68956781714288</v>
      </c>
      <c r="L23" s="2">
        <f t="shared" si="10"/>
        <v>97.418894399999999</v>
      </c>
      <c r="M23" s="2">
        <f t="shared" si="11"/>
        <v>30.283359173485739</v>
      </c>
      <c r="N23" s="2">
        <f t="shared" si="12"/>
        <v>99.367272287999995</v>
      </c>
      <c r="O23" s="2">
        <f t="shared" si="13"/>
        <v>30.889026356955455</v>
      </c>
      <c r="P23" s="2">
        <f t="shared" si="14"/>
        <v>101.35461773375999</v>
      </c>
      <c r="Q23" s="2">
        <f t="shared" si="15"/>
        <v>31.506806884094566</v>
      </c>
      <c r="R23" s="2">
        <f t="shared" si="16"/>
        <v>103.3817100884352</v>
      </c>
      <c r="S23" s="2">
        <f t="shared" si="17"/>
        <v>32.13694302177646</v>
      </c>
      <c r="T23" s="2">
        <f t="shared" si="18"/>
        <v>105.44934429020391</v>
      </c>
      <c r="U23" s="2">
        <f t="shared" si="19"/>
        <v>32.779681882211989</v>
      </c>
      <c r="V23" s="2">
        <f t="shared" si="20"/>
        <v>107.558331176008</v>
      </c>
      <c r="W23" s="2">
        <f t="shared" si="21"/>
        <v>33.435275519856226</v>
      </c>
      <c r="X23" s="2">
        <f t="shared" si="22"/>
        <v>109.70949779952817</v>
      </c>
      <c r="Y23" s="2">
        <f t="shared" si="23"/>
        <v>34.103981030253351</v>
      </c>
      <c r="Z23" s="2">
        <f t="shared" si="24"/>
        <v>111.90368775551873</v>
      </c>
      <c r="AA23" s="2">
        <f t="shared" si="25"/>
        <v>34.786060650858417</v>
      </c>
      <c r="AB23" s="2">
        <f t="shared" si="26"/>
        <v>114.14176151062911</v>
      </c>
      <c r="AC23" s="2">
        <f t="shared" si="27"/>
        <v>35.481781863875582</v>
      </c>
      <c r="AD23" s="2">
        <f t="shared" si="28"/>
        <v>116.42459674084169</v>
      </c>
      <c r="AE23" s="2">
        <f t="shared" si="29"/>
        <v>36.191417501153097</v>
      </c>
      <c r="AF23" s="2">
        <f t="shared" si="30"/>
        <v>118.75308867565853</v>
      </c>
      <c r="AG23" s="2">
        <f t="shared" si="31"/>
        <v>36.915245851176159</v>
      </c>
      <c r="AH23" s="2">
        <f t="shared" si="32"/>
        <v>121.1281504491717</v>
      </c>
    </row>
    <row r="24" spans="1:36">
      <c r="A24" t="str">
        <f t="shared" si="33"/>
        <v>Sorghum</v>
      </c>
      <c r="B24" t="str">
        <f t="shared" si="34"/>
        <v>Tigray</v>
      </c>
      <c r="C24" s="2">
        <f>(0.5)/0.2</f>
        <v>2.5</v>
      </c>
      <c r="D24" s="2">
        <f>(21)/0.2</f>
        <v>105</v>
      </c>
      <c r="E24" s="2">
        <f t="shared" si="3"/>
        <v>2.5499999999999998</v>
      </c>
      <c r="F24" s="2">
        <f t="shared" si="4"/>
        <v>107.10000000000001</v>
      </c>
      <c r="G24" s="2">
        <f t="shared" si="5"/>
        <v>2.601</v>
      </c>
      <c r="H24" s="2">
        <f t="shared" si="6"/>
        <v>109.242</v>
      </c>
      <c r="I24" s="2">
        <f t="shared" si="7"/>
        <v>2.6530200000000002</v>
      </c>
      <c r="J24" s="2">
        <f t="shared" si="8"/>
        <v>111.42684000000001</v>
      </c>
      <c r="K24" s="2">
        <f t="shared" si="9"/>
        <v>2.7060804000000003</v>
      </c>
      <c r="L24" s="2">
        <f t="shared" si="10"/>
        <v>113.65537680000001</v>
      </c>
      <c r="M24" s="2">
        <f t="shared" si="11"/>
        <v>2.7602020080000003</v>
      </c>
      <c r="N24" s="2">
        <f t="shared" si="12"/>
        <v>115.92848433600001</v>
      </c>
      <c r="O24" s="2">
        <f t="shared" si="13"/>
        <v>2.8154060481600003</v>
      </c>
      <c r="P24" s="2">
        <f t="shared" si="14"/>
        <v>118.24705402272001</v>
      </c>
      <c r="Q24" s="2">
        <f t="shared" si="15"/>
        <v>2.8717141691232002</v>
      </c>
      <c r="R24" s="2">
        <f t="shared" si="16"/>
        <v>120.61199510317441</v>
      </c>
      <c r="S24" s="2">
        <f t="shared" si="17"/>
        <v>2.9291484525056641</v>
      </c>
      <c r="T24" s="2">
        <f t="shared" si="18"/>
        <v>123.0242350052379</v>
      </c>
      <c r="U24" s="2">
        <f t="shared" si="19"/>
        <v>2.9877314215557775</v>
      </c>
      <c r="V24" s="2">
        <f t="shared" si="20"/>
        <v>125.48471970534266</v>
      </c>
      <c r="W24" s="2">
        <f t="shared" si="21"/>
        <v>3.047486049986893</v>
      </c>
      <c r="X24" s="2">
        <f t="shared" si="22"/>
        <v>127.99441409944951</v>
      </c>
      <c r="Y24" s="2">
        <f t="shared" si="23"/>
        <v>3.108435770986631</v>
      </c>
      <c r="Z24" s="2">
        <f t="shared" si="24"/>
        <v>130.5543023814385</v>
      </c>
      <c r="AA24" s="2">
        <f t="shared" si="25"/>
        <v>3.1706044864063636</v>
      </c>
      <c r="AB24" s="2">
        <f t="shared" si="26"/>
        <v>133.16538842906726</v>
      </c>
      <c r="AC24" s="2">
        <f t="shared" si="27"/>
        <v>3.2340165761344908</v>
      </c>
      <c r="AD24" s="2">
        <f t="shared" si="28"/>
        <v>135.82869619764861</v>
      </c>
      <c r="AE24" s="2">
        <f t="shared" si="29"/>
        <v>3.2986969076571806</v>
      </c>
      <c r="AF24" s="2">
        <f t="shared" si="30"/>
        <v>138.54527012160159</v>
      </c>
      <c r="AG24" s="2">
        <f t="shared" si="31"/>
        <v>3.3646708458103243</v>
      </c>
      <c r="AH24" s="2">
        <f t="shared" si="32"/>
        <v>141.31617552403361</v>
      </c>
    </row>
    <row r="25" spans="1:36">
      <c r="A25" t="str">
        <f t="shared" si="33"/>
        <v>Maize</v>
      </c>
      <c r="B25" t="str">
        <f t="shared" si="34"/>
        <v>AddisAbaba</v>
      </c>
      <c r="C25" s="2">
        <f>(0)/0.2</f>
        <v>0</v>
      </c>
      <c r="D25" s="2">
        <f>(0)/0.2</f>
        <v>0</v>
      </c>
      <c r="E25" s="2">
        <f t="shared" si="3"/>
        <v>0</v>
      </c>
      <c r="F25" s="2">
        <f t="shared" si="4"/>
        <v>0</v>
      </c>
      <c r="G25" s="2">
        <f t="shared" si="5"/>
        <v>0</v>
      </c>
      <c r="H25" s="2">
        <f t="shared" si="6"/>
        <v>0</v>
      </c>
      <c r="I25" s="2">
        <f t="shared" si="7"/>
        <v>0</v>
      </c>
      <c r="J25" s="2">
        <f t="shared" si="8"/>
        <v>0</v>
      </c>
      <c r="K25" s="2">
        <f t="shared" si="9"/>
        <v>0</v>
      </c>
      <c r="L25" s="2">
        <f t="shared" si="10"/>
        <v>0</v>
      </c>
      <c r="M25" s="2">
        <f t="shared" si="11"/>
        <v>0</v>
      </c>
      <c r="N25" s="2">
        <f t="shared" si="12"/>
        <v>0</v>
      </c>
      <c r="O25" s="2">
        <f t="shared" si="13"/>
        <v>0</v>
      </c>
      <c r="P25" s="2">
        <f t="shared" si="14"/>
        <v>0</v>
      </c>
      <c r="Q25" s="2">
        <f t="shared" si="15"/>
        <v>0</v>
      </c>
      <c r="R25" s="2">
        <f t="shared" si="16"/>
        <v>0</v>
      </c>
      <c r="S25" s="2">
        <f t="shared" si="17"/>
        <v>0</v>
      </c>
      <c r="T25" s="2">
        <f t="shared" si="18"/>
        <v>0</v>
      </c>
      <c r="U25" s="2">
        <f t="shared" si="19"/>
        <v>0</v>
      </c>
      <c r="V25" s="2">
        <f t="shared" si="20"/>
        <v>0</v>
      </c>
      <c r="W25" s="2">
        <f t="shared" si="21"/>
        <v>0</v>
      </c>
      <c r="X25" s="2">
        <f t="shared" si="22"/>
        <v>0</v>
      </c>
      <c r="Y25" s="2">
        <f t="shared" si="23"/>
        <v>0</v>
      </c>
      <c r="Z25" s="2">
        <f t="shared" si="24"/>
        <v>0</v>
      </c>
      <c r="AA25" s="2">
        <f t="shared" si="25"/>
        <v>0</v>
      </c>
      <c r="AB25" s="2">
        <f t="shared" si="26"/>
        <v>0</v>
      </c>
      <c r="AC25" s="2">
        <f t="shared" si="27"/>
        <v>0</v>
      </c>
      <c r="AD25" s="2">
        <f t="shared" si="28"/>
        <v>0</v>
      </c>
      <c r="AE25" s="2">
        <f t="shared" si="29"/>
        <v>0</v>
      </c>
      <c r="AF25" s="2">
        <f t="shared" si="30"/>
        <v>0</v>
      </c>
      <c r="AG25" s="2">
        <f t="shared" si="31"/>
        <v>0</v>
      </c>
      <c r="AH25" s="2">
        <f t="shared" si="32"/>
        <v>0</v>
      </c>
    </row>
    <row r="26" spans="1:36">
      <c r="A26" t="str">
        <f t="shared" si="33"/>
        <v>Maize</v>
      </c>
      <c r="B26" t="str">
        <f t="shared" si="34"/>
        <v>Afar</v>
      </c>
      <c r="C26" s="2">
        <f>(0.5)/0.2</f>
        <v>2.5</v>
      </c>
      <c r="D26" s="2">
        <f>(0)/0.2</f>
        <v>0</v>
      </c>
      <c r="E26" s="2">
        <f t="shared" si="3"/>
        <v>2.5499999999999998</v>
      </c>
      <c r="F26" s="2">
        <f t="shared" si="4"/>
        <v>0</v>
      </c>
      <c r="G26" s="2">
        <f t="shared" si="5"/>
        <v>2.601</v>
      </c>
      <c r="H26" s="2">
        <f t="shared" si="6"/>
        <v>0</v>
      </c>
      <c r="I26" s="2">
        <f t="shared" si="7"/>
        <v>2.6530200000000002</v>
      </c>
      <c r="J26" s="2">
        <f t="shared" si="8"/>
        <v>0</v>
      </c>
      <c r="K26" s="2">
        <f t="shared" si="9"/>
        <v>2.7060804000000003</v>
      </c>
      <c r="L26" s="2">
        <f t="shared" si="10"/>
        <v>0</v>
      </c>
      <c r="M26" s="2">
        <f t="shared" si="11"/>
        <v>2.7602020080000003</v>
      </c>
      <c r="N26" s="2">
        <f t="shared" si="12"/>
        <v>0</v>
      </c>
      <c r="O26" s="2">
        <f t="shared" si="13"/>
        <v>2.8154060481600003</v>
      </c>
      <c r="P26" s="2">
        <f t="shared" si="14"/>
        <v>0</v>
      </c>
      <c r="Q26" s="2">
        <f t="shared" si="15"/>
        <v>2.8717141691232002</v>
      </c>
      <c r="R26" s="2">
        <f t="shared" si="16"/>
        <v>0</v>
      </c>
      <c r="S26" s="2">
        <f t="shared" si="17"/>
        <v>2.9291484525056641</v>
      </c>
      <c r="T26" s="2">
        <f t="shared" si="18"/>
        <v>0</v>
      </c>
      <c r="U26" s="2">
        <f t="shared" si="19"/>
        <v>2.9877314215557775</v>
      </c>
      <c r="V26" s="2">
        <f t="shared" si="20"/>
        <v>0</v>
      </c>
      <c r="W26" s="2">
        <f t="shared" si="21"/>
        <v>3.047486049986893</v>
      </c>
      <c r="X26" s="2">
        <f t="shared" si="22"/>
        <v>0</v>
      </c>
      <c r="Y26" s="2">
        <f t="shared" si="23"/>
        <v>3.108435770986631</v>
      </c>
      <c r="Z26" s="2">
        <f t="shared" si="24"/>
        <v>0</v>
      </c>
      <c r="AA26" s="2">
        <f t="shared" si="25"/>
        <v>3.1706044864063636</v>
      </c>
      <c r="AB26" s="2">
        <f t="shared" si="26"/>
        <v>0</v>
      </c>
      <c r="AC26" s="2">
        <f t="shared" si="27"/>
        <v>3.2340165761344908</v>
      </c>
      <c r="AD26" s="2">
        <f t="shared" si="28"/>
        <v>0</v>
      </c>
      <c r="AE26" s="2">
        <f t="shared" si="29"/>
        <v>3.2986969076571806</v>
      </c>
      <c r="AF26" s="2">
        <f t="shared" si="30"/>
        <v>0</v>
      </c>
      <c r="AG26" s="2">
        <f t="shared" si="31"/>
        <v>3.3646708458103243</v>
      </c>
      <c r="AH26" s="2">
        <f t="shared" si="32"/>
        <v>0</v>
      </c>
    </row>
    <row r="27" spans="1:36">
      <c r="A27" t="str">
        <f t="shared" si="33"/>
        <v>Maize</v>
      </c>
      <c r="B27" t="str">
        <f t="shared" si="34"/>
        <v>Amhara</v>
      </c>
      <c r="C27" s="2">
        <f>(12.97)/0.2</f>
        <v>64.849999999999994</v>
      </c>
      <c r="D27" s="2">
        <f>(23)/0.2</f>
        <v>115</v>
      </c>
      <c r="E27" s="2">
        <f t="shared" si="3"/>
        <v>66.146999999999991</v>
      </c>
      <c r="F27" s="2">
        <f t="shared" si="4"/>
        <v>117.3</v>
      </c>
      <c r="G27" s="2">
        <f t="shared" si="5"/>
        <v>67.469939999999994</v>
      </c>
      <c r="H27" s="2">
        <f t="shared" si="6"/>
        <v>119.646</v>
      </c>
      <c r="I27" s="2">
        <f t="shared" si="7"/>
        <v>68.819338799999997</v>
      </c>
      <c r="J27" s="2">
        <f t="shared" si="8"/>
        <v>122.03892</v>
      </c>
      <c r="K27" s="2">
        <f t="shared" si="9"/>
        <v>70.195725576000001</v>
      </c>
      <c r="L27" s="2">
        <f t="shared" si="10"/>
        <v>124.4796984</v>
      </c>
      <c r="M27" s="2">
        <f t="shared" si="11"/>
        <v>71.599640087520001</v>
      </c>
      <c r="N27" s="2">
        <f t="shared" si="12"/>
        <v>126.96929236800001</v>
      </c>
      <c r="O27" s="2">
        <f t="shared" si="13"/>
        <v>73.031632889270398</v>
      </c>
      <c r="P27" s="2">
        <f t="shared" si="14"/>
        <v>129.50867821536002</v>
      </c>
      <c r="Q27" s="2">
        <f t="shared" si="15"/>
        <v>74.492265547055808</v>
      </c>
      <c r="R27" s="2">
        <f t="shared" si="16"/>
        <v>132.09885177966723</v>
      </c>
      <c r="S27" s="2">
        <f t="shared" si="17"/>
        <v>75.982110857996929</v>
      </c>
      <c r="T27" s="2">
        <f t="shared" si="18"/>
        <v>134.74082881526058</v>
      </c>
      <c r="U27" s="2">
        <f t="shared" si="19"/>
        <v>77.50175307515687</v>
      </c>
      <c r="V27" s="2">
        <f t="shared" si="20"/>
        <v>137.4356453915658</v>
      </c>
      <c r="W27" s="2">
        <f t="shared" si="21"/>
        <v>79.051788136660008</v>
      </c>
      <c r="X27" s="2">
        <f t="shared" si="22"/>
        <v>140.1843582993971</v>
      </c>
      <c r="Y27" s="2">
        <f t="shared" si="23"/>
        <v>80.632823899393216</v>
      </c>
      <c r="Z27" s="2">
        <f t="shared" si="24"/>
        <v>142.98804546538506</v>
      </c>
      <c r="AA27" s="2">
        <f t="shared" si="25"/>
        <v>82.245480377381085</v>
      </c>
      <c r="AB27" s="2">
        <f t="shared" si="26"/>
        <v>145.84780637469277</v>
      </c>
      <c r="AC27" s="2">
        <f t="shared" si="27"/>
        <v>83.890389984928703</v>
      </c>
      <c r="AD27" s="2">
        <f t="shared" si="28"/>
        <v>148.76476250218661</v>
      </c>
      <c r="AE27" s="2">
        <f t="shared" si="29"/>
        <v>85.568197784627273</v>
      </c>
      <c r="AF27" s="2">
        <f t="shared" si="30"/>
        <v>151.74005775223034</v>
      </c>
      <c r="AG27" s="2">
        <f t="shared" si="31"/>
        <v>87.279561740319821</v>
      </c>
      <c r="AH27" s="2">
        <f t="shared" si="32"/>
        <v>154.77485890727496</v>
      </c>
    </row>
    <row r="28" spans="1:36">
      <c r="A28" t="str">
        <f t="shared" si="33"/>
        <v>Maize</v>
      </c>
      <c r="B28" t="str">
        <f t="shared" si="34"/>
        <v>Gumuz</v>
      </c>
      <c r="C28" s="2">
        <f>(15.27)/0.2</f>
        <v>76.349999999999994</v>
      </c>
      <c r="D28" s="2">
        <f>(22)/0.2</f>
        <v>110</v>
      </c>
      <c r="E28" s="2">
        <f t="shared" si="3"/>
        <v>77.876999999999995</v>
      </c>
      <c r="F28" s="2">
        <f t="shared" si="4"/>
        <v>112.2</v>
      </c>
      <c r="G28" s="2">
        <f t="shared" si="5"/>
        <v>79.434539999999998</v>
      </c>
      <c r="H28" s="2">
        <f t="shared" si="6"/>
        <v>114.444</v>
      </c>
      <c r="I28" s="2">
        <f t="shared" si="7"/>
        <v>81.023230799999993</v>
      </c>
      <c r="J28" s="2">
        <f t="shared" si="8"/>
        <v>116.73288000000001</v>
      </c>
      <c r="K28" s="2">
        <f t="shared" si="9"/>
        <v>82.643695416</v>
      </c>
      <c r="L28" s="2">
        <f t="shared" si="10"/>
        <v>119.06753760000001</v>
      </c>
      <c r="M28" s="2">
        <f t="shared" si="11"/>
        <v>84.296569324320004</v>
      </c>
      <c r="N28" s="2">
        <f t="shared" si="12"/>
        <v>121.44888835200001</v>
      </c>
      <c r="O28" s="2">
        <f t="shared" si="13"/>
        <v>85.982500710806406</v>
      </c>
      <c r="P28" s="2">
        <f t="shared" si="14"/>
        <v>123.87786611904001</v>
      </c>
      <c r="Q28" s="2">
        <f t="shared" si="15"/>
        <v>87.702150725022534</v>
      </c>
      <c r="R28" s="2">
        <f t="shared" si="16"/>
        <v>126.35542344142081</v>
      </c>
      <c r="S28" s="2">
        <f t="shared" si="17"/>
        <v>89.456193739522988</v>
      </c>
      <c r="T28" s="2">
        <f t="shared" si="18"/>
        <v>128.88253191024924</v>
      </c>
      <c r="U28" s="2">
        <f t="shared" si="19"/>
        <v>91.24531761431345</v>
      </c>
      <c r="V28" s="2">
        <f t="shared" si="20"/>
        <v>131.46018254845424</v>
      </c>
      <c r="W28" s="2">
        <f t="shared" si="21"/>
        <v>93.070223966599727</v>
      </c>
      <c r="X28" s="2">
        <f t="shared" si="22"/>
        <v>134.08938619942333</v>
      </c>
      <c r="Y28" s="2">
        <f t="shared" si="23"/>
        <v>94.931628445931722</v>
      </c>
      <c r="Z28" s="2">
        <f t="shared" si="24"/>
        <v>136.77117392341179</v>
      </c>
      <c r="AA28" s="2">
        <f t="shared" si="25"/>
        <v>96.830261014850365</v>
      </c>
      <c r="AB28" s="2">
        <f t="shared" si="26"/>
        <v>139.50659740188004</v>
      </c>
      <c r="AC28" s="2">
        <f t="shared" si="27"/>
        <v>98.766866235147376</v>
      </c>
      <c r="AD28" s="2">
        <f t="shared" si="28"/>
        <v>142.29672934991765</v>
      </c>
      <c r="AE28" s="2">
        <f t="shared" si="29"/>
        <v>100.74220355985032</v>
      </c>
      <c r="AF28" s="2">
        <f t="shared" si="30"/>
        <v>145.14266393691602</v>
      </c>
      <c r="AG28" s="2">
        <f t="shared" si="31"/>
        <v>102.75704763104733</v>
      </c>
      <c r="AH28" s="2">
        <f t="shared" si="32"/>
        <v>148.04551721565434</v>
      </c>
    </row>
    <row r="29" spans="1:36">
      <c r="A29" t="str">
        <f t="shared" si="33"/>
        <v>Maize</v>
      </c>
      <c r="B29" t="str">
        <f t="shared" si="34"/>
        <v>DireDawa</v>
      </c>
      <c r="C29" s="2">
        <f>(14.32)/0.2</f>
        <v>71.599999999999994</v>
      </c>
      <c r="D29" s="2">
        <f>(16)/0.2</f>
        <v>80</v>
      </c>
      <c r="E29" s="2">
        <f t="shared" si="3"/>
        <v>73.031999999999996</v>
      </c>
      <c r="F29" s="2">
        <f t="shared" si="4"/>
        <v>81.599999999999994</v>
      </c>
      <c r="G29" s="2">
        <f t="shared" si="5"/>
        <v>74.492639999999994</v>
      </c>
      <c r="H29" s="2">
        <f t="shared" si="6"/>
        <v>83.231999999999999</v>
      </c>
      <c r="I29" s="2">
        <f t="shared" si="7"/>
        <v>75.982492799999989</v>
      </c>
      <c r="J29" s="2">
        <f t="shared" si="8"/>
        <v>84.896640000000005</v>
      </c>
      <c r="K29" s="2">
        <f t="shared" si="9"/>
        <v>77.50214265599999</v>
      </c>
      <c r="L29" s="2">
        <f t="shared" si="10"/>
        <v>86.594572800000009</v>
      </c>
      <c r="M29" s="2">
        <f t="shared" si="11"/>
        <v>79.052185509119994</v>
      </c>
      <c r="N29" s="2">
        <f t="shared" si="12"/>
        <v>88.326464256000008</v>
      </c>
      <c r="O29" s="2">
        <f t="shared" si="13"/>
        <v>80.633229219302393</v>
      </c>
      <c r="P29" s="2">
        <f t="shared" si="14"/>
        <v>90.092993541120009</v>
      </c>
      <c r="Q29" s="2">
        <f t="shared" si="15"/>
        <v>82.245893803688446</v>
      </c>
      <c r="R29" s="2">
        <f t="shared" si="16"/>
        <v>91.894853411942407</v>
      </c>
      <c r="S29" s="2">
        <f t="shared" si="17"/>
        <v>83.890811679762223</v>
      </c>
      <c r="T29" s="2">
        <f t="shared" si="18"/>
        <v>93.732750480181252</v>
      </c>
      <c r="U29" s="2">
        <f t="shared" si="19"/>
        <v>85.568627913357474</v>
      </c>
      <c r="V29" s="2">
        <f t="shared" si="20"/>
        <v>95.607405489784881</v>
      </c>
      <c r="W29" s="2">
        <f t="shared" si="21"/>
        <v>87.280000471624632</v>
      </c>
      <c r="X29" s="2">
        <f t="shared" si="22"/>
        <v>97.519553599580576</v>
      </c>
      <c r="Y29" s="2">
        <f t="shared" si="23"/>
        <v>89.025600481057126</v>
      </c>
      <c r="Z29" s="2">
        <f t="shared" si="24"/>
        <v>99.469944671572193</v>
      </c>
      <c r="AA29" s="2">
        <f t="shared" si="25"/>
        <v>90.806112490678274</v>
      </c>
      <c r="AB29" s="2">
        <f t="shared" si="26"/>
        <v>101.45934356500364</v>
      </c>
      <c r="AC29" s="2">
        <f t="shared" si="27"/>
        <v>92.622234740491834</v>
      </c>
      <c r="AD29" s="2">
        <f t="shared" si="28"/>
        <v>103.48853043630371</v>
      </c>
      <c r="AE29" s="2">
        <f t="shared" si="29"/>
        <v>94.474679435301667</v>
      </c>
      <c r="AF29" s="2">
        <f t="shared" si="30"/>
        <v>105.55830104502978</v>
      </c>
      <c r="AG29" s="2">
        <f t="shared" si="31"/>
        <v>96.364173024007698</v>
      </c>
      <c r="AH29" s="2">
        <f t="shared" si="32"/>
        <v>107.66946706593038</v>
      </c>
    </row>
    <row r="30" spans="1:36">
      <c r="A30" t="str">
        <f t="shared" si="33"/>
        <v>Maize</v>
      </c>
      <c r="B30" t="str">
        <f t="shared" si="34"/>
        <v>Gambela</v>
      </c>
      <c r="C30" s="2">
        <f>(0)/0.2</f>
        <v>0</v>
      </c>
      <c r="D30" s="2">
        <f>(17)/0.2</f>
        <v>85</v>
      </c>
      <c r="E30" s="2">
        <f t="shared" si="3"/>
        <v>0</v>
      </c>
      <c r="F30" s="2">
        <f t="shared" si="4"/>
        <v>86.7</v>
      </c>
      <c r="G30" s="2">
        <f t="shared" si="5"/>
        <v>0</v>
      </c>
      <c r="H30" s="2">
        <f t="shared" si="6"/>
        <v>88.433999999999997</v>
      </c>
      <c r="I30" s="2">
        <f t="shared" si="7"/>
        <v>0</v>
      </c>
      <c r="J30" s="2">
        <f t="shared" si="8"/>
        <v>90.202680000000001</v>
      </c>
      <c r="K30" s="2">
        <f t="shared" si="9"/>
        <v>0</v>
      </c>
      <c r="L30" s="2">
        <f t="shared" si="10"/>
        <v>92.006733600000004</v>
      </c>
      <c r="M30" s="2">
        <f t="shared" si="11"/>
        <v>0</v>
      </c>
      <c r="N30" s="2">
        <f t="shared" si="12"/>
        <v>93.846868272000009</v>
      </c>
      <c r="O30" s="2">
        <f t="shared" si="13"/>
        <v>0</v>
      </c>
      <c r="P30" s="2">
        <f t="shared" si="14"/>
        <v>95.723805637440009</v>
      </c>
      <c r="Q30" s="2">
        <f t="shared" si="15"/>
        <v>0</v>
      </c>
      <c r="R30" s="2">
        <f t="shared" si="16"/>
        <v>97.63828175018881</v>
      </c>
      <c r="S30" s="2">
        <f t="shared" si="17"/>
        <v>0</v>
      </c>
      <c r="T30" s="2">
        <f t="shared" si="18"/>
        <v>99.591047385192581</v>
      </c>
      <c r="U30" s="2">
        <f t="shared" si="19"/>
        <v>0</v>
      </c>
      <c r="V30" s="2">
        <f t="shared" si="20"/>
        <v>101.58286833289644</v>
      </c>
      <c r="W30" s="2">
        <f t="shared" si="21"/>
        <v>0</v>
      </c>
      <c r="X30" s="2">
        <f t="shared" si="22"/>
        <v>103.61452569955436</v>
      </c>
      <c r="Y30" s="2">
        <f t="shared" si="23"/>
        <v>0</v>
      </c>
      <c r="Z30" s="2">
        <f t="shared" si="24"/>
        <v>105.68681621354546</v>
      </c>
      <c r="AA30" s="2">
        <f t="shared" si="25"/>
        <v>0</v>
      </c>
      <c r="AB30" s="2">
        <f t="shared" si="26"/>
        <v>107.80055253781637</v>
      </c>
      <c r="AC30" s="2">
        <f t="shared" si="27"/>
        <v>0</v>
      </c>
      <c r="AD30" s="2">
        <f t="shared" si="28"/>
        <v>109.95656358857271</v>
      </c>
      <c r="AE30" s="2">
        <f t="shared" si="29"/>
        <v>0</v>
      </c>
      <c r="AF30" s="2">
        <f t="shared" si="30"/>
        <v>112.15569486034416</v>
      </c>
      <c r="AG30" s="2">
        <f t="shared" si="31"/>
        <v>0</v>
      </c>
      <c r="AH30" s="2">
        <f t="shared" si="32"/>
        <v>114.39880875755104</v>
      </c>
    </row>
    <row r="31" spans="1:36">
      <c r="A31" t="str">
        <f t="shared" si="33"/>
        <v>Maize</v>
      </c>
      <c r="B31" t="str">
        <f t="shared" si="34"/>
        <v>Harari</v>
      </c>
      <c r="C31" s="2">
        <f>(0.5)/0.2</f>
        <v>2.5</v>
      </c>
      <c r="D31" s="2">
        <f>(20)/0.2</f>
        <v>100</v>
      </c>
      <c r="E31" s="2">
        <f t="shared" si="3"/>
        <v>2.5499999999999998</v>
      </c>
      <c r="F31" s="2">
        <f t="shared" si="4"/>
        <v>102</v>
      </c>
      <c r="G31" s="2">
        <f t="shared" si="5"/>
        <v>2.601</v>
      </c>
      <c r="H31" s="2">
        <f t="shared" si="6"/>
        <v>104.04</v>
      </c>
      <c r="I31" s="2">
        <f t="shared" si="7"/>
        <v>2.6530200000000002</v>
      </c>
      <c r="J31" s="2">
        <f t="shared" si="8"/>
        <v>106.1208</v>
      </c>
      <c r="K31" s="2">
        <f t="shared" si="9"/>
        <v>2.7060804000000003</v>
      </c>
      <c r="L31" s="2">
        <f t="shared" si="10"/>
        <v>108.243216</v>
      </c>
      <c r="M31" s="2">
        <f t="shared" si="11"/>
        <v>2.7602020080000003</v>
      </c>
      <c r="N31" s="2">
        <f t="shared" si="12"/>
        <v>110.40808032000001</v>
      </c>
      <c r="O31" s="2">
        <f t="shared" si="13"/>
        <v>2.8154060481600003</v>
      </c>
      <c r="P31" s="2">
        <f t="shared" si="14"/>
        <v>112.61624192640001</v>
      </c>
      <c r="Q31" s="2">
        <f t="shared" si="15"/>
        <v>2.8717141691232002</v>
      </c>
      <c r="R31" s="2">
        <f t="shared" si="16"/>
        <v>114.868566764928</v>
      </c>
      <c r="S31" s="2">
        <f t="shared" si="17"/>
        <v>2.9291484525056641</v>
      </c>
      <c r="T31" s="2">
        <f t="shared" si="18"/>
        <v>117.16593810022657</v>
      </c>
      <c r="U31" s="2">
        <f t="shared" si="19"/>
        <v>2.9877314215557775</v>
      </c>
      <c r="V31" s="2">
        <f t="shared" si="20"/>
        <v>119.5092568622311</v>
      </c>
      <c r="W31" s="2">
        <f t="shared" si="21"/>
        <v>3.047486049986893</v>
      </c>
      <c r="X31" s="2">
        <f t="shared" si="22"/>
        <v>121.89944199947573</v>
      </c>
      <c r="Y31" s="2">
        <f t="shared" si="23"/>
        <v>3.108435770986631</v>
      </c>
      <c r="Z31" s="2">
        <f t="shared" si="24"/>
        <v>124.33743083946524</v>
      </c>
      <c r="AA31" s="2">
        <f t="shared" si="25"/>
        <v>3.1706044864063636</v>
      </c>
      <c r="AB31" s="2">
        <f t="shared" si="26"/>
        <v>126.82417945625456</v>
      </c>
      <c r="AC31" s="2">
        <f t="shared" si="27"/>
        <v>3.2340165761344908</v>
      </c>
      <c r="AD31" s="2">
        <f t="shared" si="28"/>
        <v>129.36066304537965</v>
      </c>
      <c r="AE31" s="2">
        <f t="shared" si="29"/>
        <v>3.2986969076571806</v>
      </c>
      <c r="AF31" s="2">
        <f t="shared" si="30"/>
        <v>131.94787630628724</v>
      </c>
      <c r="AG31" s="2">
        <f t="shared" si="31"/>
        <v>3.3646708458103243</v>
      </c>
      <c r="AH31" s="2">
        <f t="shared" si="32"/>
        <v>134.58683383241299</v>
      </c>
    </row>
    <row r="32" spans="1:36">
      <c r="A32" t="str">
        <f t="shared" si="33"/>
        <v>Maize</v>
      </c>
      <c r="B32" t="str">
        <f t="shared" si="34"/>
        <v>Oromia</v>
      </c>
      <c r="C32" s="2">
        <f>(15.5273631840796)/0.2</f>
        <v>77.636815920397993</v>
      </c>
      <c r="D32" s="2">
        <f>(25)/0.2</f>
        <v>125</v>
      </c>
      <c r="E32" s="2">
        <f t="shared" si="3"/>
        <v>79.189552238805959</v>
      </c>
      <c r="F32" s="2">
        <f t="shared" si="4"/>
        <v>127.5</v>
      </c>
      <c r="G32" s="2">
        <f t="shared" si="5"/>
        <v>80.773343283582079</v>
      </c>
      <c r="H32" s="2">
        <f t="shared" si="6"/>
        <v>130.05000000000001</v>
      </c>
      <c r="I32" s="2">
        <f t="shared" si="7"/>
        <v>82.388810149253729</v>
      </c>
      <c r="J32" s="2">
        <f t="shared" si="8"/>
        <v>132.65100000000001</v>
      </c>
      <c r="K32" s="2">
        <f t="shared" si="9"/>
        <v>84.0365863522388</v>
      </c>
      <c r="L32" s="2">
        <f t="shared" si="10"/>
        <v>135.30402000000001</v>
      </c>
      <c r="M32" s="2">
        <f t="shared" si="11"/>
        <v>85.717318079283572</v>
      </c>
      <c r="N32" s="2">
        <f t="shared" si="12"/>
        <v>138.0101004</v>
      </c>
      <c r="O32" s="2">
        <f t="shared" si="13"/>
        <v>87.431664440869241</v>
      </c>
      <c r="P32" s="2">
        <f t="shared" si="14"/>
        <v>140.77030240799999</v>
      </c>
      <c r="Q32" s="2">
        <f t="shared" si="15"/>
        <v>89.180297729686629</v>
      </c>
      <c r="R32" s="2">
        <f t="shared" si="16"/>
        <v>143.58570845616001</v>
      </c>
      <c r="S32" s="2">
        <f t="shared" si="17"/>
        <v>90.963903684280368</v>
      </c>
      <c r="T32" s="2">
        <f t="shared" si="18"/>
        <v>146.45742262528321</v>
      </c>
      <c r="U32" s="2">
        <f t="shared" si="19"/>
        <v>92.783181757965977</v>
      </c>
      <c r="V32" s="2">
        <f t="shared" si="20"/>
        <v>149.38657107778889</v>
      </c>
      <c r="W32" s="2">
        <f t="shared" si="21"/>
        <v>94.638845393125294</v>
      </c>
      <c r="X32" s="2">
        <f t="shared" si="22"/>
        <v>152.37430249934468</v>
      </c>
      <c r="Y32" s="2">
        <f t="shared" si="23"/>
        <v>96.531622300987806</v>
      </c>
      <c r="Z32" s="2">
        <f t="shared" si="24"/>
        <v>155.42178854933158</v>
      </c>
      <c r="AA32" s="2">
        <f t="shared" si="25"/>
        <v>98.462254747007563</v>
      </c>
      <c r="AB32" s="2">
        <f t="shared" si="26"/>
        <v>158.53022432031821</v>
      </c>
      <c r="AC32" s="2">
        <f t="shared" si="27"/>
        <v>100.43149984194771</v>
      </c>
      <c r="AD32" s="2">
        <f t="shared" si="28"/>
        <v>161.70082880672459</v>
      </c>
      <c r="AE32" s="2">
        <f t="shared" si="29"/>
        <v>102.44012983878667</v>
      </c>
      <c r="AF32" s="2">
        <f t="shared" si="30"/>
        <v>164.93484538285909</v>
      </c>
      <c r="AG32" s="2">
        <f t="shared" si="31"/>
        <v>104.4889324355624</v>
      </c>
      <c r="AH32" s="2">
        <f t="shared" si="32"/>
        <v>168.23354229051628</v>
      </c>
    </row>
    <row r="33" spans="1:34">
      <c r="A33" t="str">
        <f t="shared" si="33"/>
        <v>Maize</v>
      </c>
      <c r="B33" t="str">
        <f t="shared" si="34"/>
        <v>Somali</v>
      </c>
      <c r="C33" s="2">
        <f>(6.23)/0.2</f>
        <v>31.150000000000002</v>
      </c>
      <c r="D33" s="2">
        <f>(18)/0.2</f>
        <v>90</v>
      </c>
      <c r="E33" s="2">
        <f t="shared" si="3"/>
        <v>31.773000000000003</v>
      </c>
      <c r="F33" s="2">
        <f t="shared" si="4"/>
        <v>91.8</v>
      </c>
      <c r="G33" s="2">
        <f t="shared" si="5"/>
        <v>32.408460000000005</v>
      </c>
      <c r="H33" s="2">
        <f t="shared" si="6"/>
        <v>93.635999999999996</v>
      </c>
      <c r="I33" s="2">
        <f t="shared" si="7"/>
        <v>33.056629200000003</v>
      </c>
      <c r="J33" s="2">
        <f t="shared" si="8"/>
        <v>95.508719999999997</v>
      </c>
      <c r="K33" s="2">
        <f t="shared" si="9"/>
        <v>33.717761784000004</v>
      </c>
      <c r="L33" s="2">
        <f t="shared" si="10"/>
        <v>97.418894399999999</v>
      </c>
      <c r="M33" s="2">
        <f t="shared" si="11"/>
        <v>34.392117019680008</v>
      </c>
      <c r="N33" s="2">
        <f t="shared" si="12"/>
        <v>99.367272287999995</v>
      </c>
      <c r="O33" s="2">
        <f t="shared" si="13"/>
        <v>35.079959360073609</v>
      </c>
      <c r="P33" s="2">
        <f t="shared" si="14"/>
        <v>101.35461773375999</v>
      </c>
      <c r="Q33" s="2">
        <f t="shared" si="15"/>
        <v>35.781558547275083</v>
      </c>
      <c r="R33" s="2">
        <f t="shared" si="16"/>
        <v>103.3817100884352</v>
      </c>
      <c r="S33" s="2">
        <f t="shared" si="17"/>
        <v>36.497189718220582</v>
      </c>
      <c r="T33" s="2">
        <f t="shared" si="18"/>
        <v>105.44934429020391</v>
      </c>
      <c r="U33" s="2">
        <f t="shared" si="19"/>
        <v>37.227133512584992</v>
      </c>
      <c r="V33" s="2">
        <f t="shared" si="20"/>
        <v>107.558331176008</v>
      </c>
      <c r="W33" s="2">
        <f t="shared" si="21"/>
        <v>37.971676182836696</v>
      </c>
      <c r="X33" s="2">
        <f t="shared" si="22"/>
        <v>109.70949779952817</v>
      </c>
      <c r="Y33" s="2">
        <f t="shared" si="23"/>
        <v>38.731109706493427</v>
      </c>
      <c r="Z33" s="2">
        <f t="shared" si="24"/>
        <v>111.90368775551873</v>
      </c>
      <c r="AA33" s="2">
        <f t="shared" si="25"/>
        <v>39.505731900623296</v>
      </c>
      <c r="AB33" s="2">
        <f t="shared" si="26"/>
        <v>114.14176151062911</v>
      </c>
      <c r="AC33" s="2">
        <f t="shared" si="27"/>
        <v>40.295846538635764</v>
      </c>
      <c r="AD33" s="2">
        <f t="shared" si="28"/>
        <v>116.42459674084169</v>
      </c>
      <c r="AE33" s="2">
        <f t="shared" si="29"/>
        <v>41.101763469408482</v>
      </c>
      <c r="AF33" s="2">
        <f t="shared" si="30"/>
        <v>118.75308867565853</v>
      </c>
      <c r="AG33" s="2">
        <f t="shared" si="31"/>
        <v>41.923798738796656</v>
      </c>
      <c r="AH33" s="2">
        <f t="shared" si="32"/>
        <v>121.1281504491717</v>
      </c>
    </row>
    <row r="34" spans="1:34">
      <c r="A34" t="str">
        <f t="shared" si="33"/>
        <v>Maize</v>
      </c>
      <c r="B34" t="str">
        <f t="shared" si="34"/>
        <v>SNNPR</v>
      </c>
      <c r="C34" s="2">
        <f>(12.12)/0.2</f>
        <v>60.599999999999994</v>
      </c>
      <c r="D34" s="2">
        <f>(23)/0.2</f>
        <v>115</v>
      </c>
      <c r="E34" s="2">
        <f t="shared" si="3"/>
        <v>61.811999999999998</v>
      </c>
      <c r="F34" s="2">
        <f t="shared" si="4"/>
        <v>117.3</v>
      </c>
      <c r="G34" s="2">
        <f t="shared" si="5"/>
        <v>63.04824</v>
      </c>
      <c r="H34" s="2">
        <f t="shared" si="6"/>
        <v>119.646</v>
      </c>
      <c r="I34" s="2">
        <f t="shared" si="7"/>
        <v>64.309204800000003</v>
      </c>
      <c r="J34" s="2">
        <f t="shared" si="8"/>
        <v>122.03892</v>
      </c>
      <c r="K34" s="2">
        <f t="shared" si="9"/>
        <v>65.595388896000003</v>
      </c>
      <c r="L34" s="2">
        <f t="shared" si="10"/>
        <v>124.4796984</v>
      </c>
      <c r="M34" s="2">
        <f t="shared" si="11"/>
        <v>66.907296673920001</v>
      </c>
      <c r="N34" s="2">
        <f t="shared" si="12"/>
        <v>126.96929236800001</v>
      </c>
      <c r="O34" s="2">
        <f t="shared" si="13"/>
        <v>68.245442607398402</v>
      </c>
      <c r="P34" s="2">
        <f t="shared" si="14"/>
        <v>129.50867821536002</v>
      </c>
      <c r="Q34" s="2">
        <f t="shared" si="15"/>
        <v>69.610351459546365</v>
      </c>
      <c r="R34" s="2">
        <f t="shared" si="16"/>
        <v>132.09885177966723</v>
      </c>
      <c r="S34" s="2">
        <f t="shared" si="17"/>
        <v>71.002558488737293</v>
      </c>
      <c r="T34" s="2">
        <f t="shared" si="18"/>
        <v>134.74082881526058</v>
      </c>
      <c r="U34" s="2">
        <f t="shared" si="19"/>
        <v>72.422609658512044</v>
      </c>
      <c r="V34" s="2">
        <f t="shared" si="20"/>
        <v>137.4356453915658</v>
      </c>
      <c r="W34" s="2">
        <f t="shared" si="21"/>
        <v>73.871061851682285</v>
      </c>
      <c r="X34" s="2">
        <f t="shared" si="22"/>
        <v>140.1843582993971</v>
      </c>
      <c r="Y34" s="2">
        <f t="shared" si="23"/>
        <v>75.348483088715938</v>
      </c>
      <c r="Z34" s="2">
        <f t="shared" si="24"/>
        <v>142.98804546538506</v>
      </c>
      <c r="AA34" s="2">
        <f t="shared" si="25"/>
        <v>76.855452750490258</v>
      </c>
      <c r="AB34" s="2">
        <f t="shared" si="26"/>
        <v>145.84780637469277</v>
      </c>
      <c r="AC34" s="2">
        <f t="shared" si="27"/>
        <v>78.392561805500065</v>
      </c>
      <c r="AD34" s="2">
        <f t="shared" si="28"/>
        <v>148.76476250218661</v>
      </c>
      <c r="AE34" s="2">
        <f t="shared" si="29"/>
        <v>79.960413041610067</v>
      </c>
      <c r="AF34" s="2">
        <f t="shared" si="30"/>
        <v>151.74005775223034</v>
      </c>
      <c r="AG34" s="2">
        <f t="shared" si="31"/>
        <v>81.559621302442267</v>
      </c>
      <c r="AH34" s="2">
        <f t="shared" si="32"/>
        <v>154.77485890727496</v>
      </c>
    </row>
    <row r="35" spans="1:34">
      <c r="A35" t="str">
        <f t="shared" si="33"/>
        <v>Maize</v>
      </c>
      <c r="B35" t="str">
        <f t="shared" si="34"/>
        <v>Tigray</v>
      </c>
      <c r="C35" s="2">
        <f>(9.57)/0.2</f>
        <v>47.85</v>
      </c>
      <c r="D35" s="2">
        <f>(20)/0.2</f>
        <v>100</v>
      </c>
      <c r="E35" s="2">
        <f t="shared" si="3"/>
        <v>48.807000000000002</v>
      </c>
      <c r="F35" s="2">
        <f t="shared" si="4"/>
        <v>102</v>
      </c>
      <c r="G35" s="2">
        <f t="shared" si="5"/>
        <v>49.783140000000003</v>
      </c>
      <c r="H35" s="2">
        <f t="shared" si="6"/>
        <v>104.04</v>
      </c>
      <c r="I35" s="2">
        <f t="shared" si="7"/>
        <v>50.778802800000001</v>
      </c>
      <c r="J35" s="2">
        <f t="shared" si="8"/>
        <v>106.1208</v>
      </c>
      <c r="K35" s="2">
        <f t="shared" si="9"/>
        <v>51.794378856000002</v>
      </c>
      <c r="L35" s="2">
        <f t="shared" si="10"/>
        <v>108.243216</v>
      </c>
      <c r="M35" s="2">
        <f t="shared" si="11"/>
        <v>52.830266433120002</v>
      </c>
      <c r="N35" s="2">
        <f t="shared" si="12"/>
        <v>110.40808032000001</v>
      </c>
      <c r="O35" s="2">
        <f t="shared" si="13"/>
        <v>53.886871761782402</v>
      </c>
      <c r="P35" s="2">
        <f t="shared" si="14"/>
        <v>112.61624192640001</v>
      </c>
      <c r="Q35" s="2">
        <f t="shared" si="15"/>
        <v>54.964609197018049</v>
      </c>
      <c r="R35" s="2">
        <f t="shared" si="16"/>
        <v>114.868566764928</v>
      </c>
      <c r="S35" s="2">
        <f t="shared" si="17"/>
        <v>56.063901380958413</v>
      </c>
      <c r="T35" s="2">
        <f t="shared" si="18"/>
        <v>117.16593810022657</v>
      </c>
      <c r="U35" s="2">
        <f t="shared" si="19"/>
        <v>57.185179408577582</v>
      </c>
      <c r="V35" s="2">
        <f t="shared" si="20"/>
        <v>119.5092568622311</v>
      </c>
      <c r="W35" s="2">
        <f t="shared" si="21"/>
        <v>58.328882996749137</v>
      </c>
      <c r="X35" s="2">
        <f t="shared" si="22"/>
        <v>121.89944199947573</v>
      </c>
      <c r="Y35" s="2">
        <f t="shared" si="23"/>
        <v>59.495460656684124</v>
      </c>
      <c r="Z35" s="2">
        <f t="shared" si="24"/>
        <v>124.33743083946524</v>
      </c>
      <c r="AA35" s="2">
        <f t="shared" si="25"/>
        <v>60.685369869817805</v>
      </c>
      <c r="AB35" s="2">
        <f t="shared" si="26"/>
        <v>126.82417945625456</v>
      </c>
      <c r="AC35" s="2">
        <f t="shared" si="27"/>
        <v>61.89907726721416</v>
      </c>
      <c r="AD35" s="2">
        <f t="shared" si="28"/>
        <v>129.36066304537965</v>
      </c>
      <c r="AE35" s="2">
        <f t="shared" si="29"/>
        <v>63.137058812558443</v>
      </c>
      <c r="AF35" s="2">
        <f t="shared" si="30"/>
        <v>131.94787630628724</v>
      </c>
      <c r="AG35" s="2">
        <f t="shared" si="31"/>
        <v>64.399799988809619</v>
      </c>
      <c r="AH35" s="2">
        <f t="shared" si="32"/>
        <v>134.58683383241299</v>
      </c>
    </row>
    <row r="36" spans="1:34">
      <c r="A36" t="str">
        <f t="shared" si="33"/>
        <v>Lentils</v>
      </c>
      <c r="B36" t="str">
        <f t="shared" si="34"/>
        <v>AddisAbaba</v>
      </c>
      <c r="C36" s="2">
        <f>(0)/0.2</f>
        <v>0</v>
      </c>
      <c r="D36" s="2">
        <f>(0)/0.2</f>
        <v>0</v>
      </c>
      <c r="E36" s="2">
        <f t="shared" si="3"/>
        <v>0</v>
      </c>
      <c r="F36" s="2">
        <f t="shared" si="4"/>
        <v>0</v>
      </c>
      <c r="G36" s="2">
        <f t="shared" si="5"/>
        <v>0</v>
      </c>
      <c r="H36" s="2">
        <f t="shared" si="6"/>
        <v>0</v>
      </c>
      <c r="I36" s="2">
        <f t="shared" si="7"/>
        <v>0</v>
      </c>
      <c r="J36" s="2">
        <f t="shared" si="8"/>
        <v>0</v>
      </c>
      <c r="K36" s="2">
        <f t="shared" si="9"/>
        <v>0</v>
      </c>
      <c r="L36" s="2">
        <f t="shared" si="10"/>
        <v>0</v>
      </c>
      <c r="M36" s="2">
        <f t="shared" si="11"/>
        <v>0</v>
      </c>
      <c r="N36" s="2">
        <f t="shared" si="12"/>
        <v>0</v>
      </c>
      <c r="O36" s="2">
        <f t="shared" si="13"/>
        <v>0</v>
      </c>
      <c r="P36" s="2">
        <f t="shared" si="14"/>
        <v>0</v>
      </c>
      <c r="Q36" s="2">
        <f t="shared" si="15"/>
        <v>0</v>
      </c>
      <c r="R36" s="2">
        <f t="shared" si="16"/>
        <v>0</v>
      </c>
      <c r="S36" s="2">
        <f t="shared" si="17"/>
        <v>0</v>
      </c>
      <c r="T36" s="2">
        <f t="shared" si="18"/>
        <v>0</v>
      </c>
      <c r="U36" s="2">
        <f t="shared" si="19"/>
        <v>0</v>
      </c>
      <c r="V36" s="2">
        <f t="shared" si="20"/>
        <v>0</v>
      </c>
      <c r="W36" s="2">
        <f t="shared" si="21"/>
        <v>0</v>
      </c>
      <c r="X36" s="2">
        <f t="shared" si="22"/>
        <v>0</v>
      </c>
      <c r="Y36" s="2">
        <f t="shared" si="23"/>
        <v>0</v>
      </c>
      <c r="Z36" s="2">
        <f t="shared" si="24"/>
        <v>0</v>
      </c>
      <c r="AA36" s="2">
        <f t="shared" si="25"/>
        <v>0</v>
      </c>
      <c r="AB36" s="2">
        <f t="shared" si="26"/>
        <v>0</v>
      </c>
      <c r="AC36" s="2">
        <f t="shared" si="27"/>
        <v>0</v>
      </c>
      <c r="AD36" s="2">
        <f t="shared" si="28"/>
        <v>0</v>
      </c>
      <c r="AE36" s="2">
        <f t="shared" si="29"/>
        <v>0</v>
      </c>
      <c r="AF36" s="2">
        <f t="shared" si="30"/>
        <v>0</v>
      </c>
      <c r="AG36" s="2">
        <f t="shared" si="31"/>
        <v>0</v>
      </c>
      <c r="AH36" s="2">
        <f t="shared" si="32"/>
        <v>0</v>
      </c>
    </row>
    <row r="37" spans="1:34">
      <c r="A37" t="str">
        <f t="shared" si="33"/>
        <v>Lentils</v>
      </c>
      <c r="B37" t="str">
        <f t="shared" si="34"/>
        <v>Afar</v>
      </c>
      <c r="C37" s="2">
        <f>(1)/0.2</f>
        <v>5</v>
      </c>
      <c r="D37" s="2">
        <f>(0)/0.2</f>
        <v>0</v>
      </c>
      <c r="E37" s="2">
        <f t="shared" si="3"/>
        <v>5.0999999999999996</v>
      </c>
      <c r="F37" s="2">
        <f t="shared" si="4"/>
        <v>0</v>
      </c>
      <c r="G37" s="2">
        <f t="shared" si="5"/>
        <v>5.202</v>
      </c>
      <c r="H37" s="2">
        <f t="shared" si="6"/>
        <v>0</v>
      </c>
      <c r="I37" s="2">
        <f t="shared" si="7"/>
        <v>5.3060400000000003</v>
      </c>
      <c r="J37" s="2">
        <f t="shared" si="8"/>
        <v>0</v>
      </c>
      <c r="K37" s="2">
        <f t="shared" si="9"/>
        <v>5.4121608000000005</v>
      </c>
      <c r="L37" s="2">
        <f t="shared" si="10"/>
        <v>0</v>
      </c>
      <c r="M37" s="2">
        <f t="shared" si="11"/>
        <v>5.5204040160000005</v>
      </c>
      <c r="N37" s="2">
        <f t="shared" si="12"/>
        <v>0</v>
      </c>
      <c r="O37" s="2">
        <f t="shared" si="13"/>
        <v>5.6308120963200006</v>
      </c>
      <c r="P37" s="2">
        <f t="shared" si="14"/>
        <v>0</v>
      </c>
      <c r="Q37" s="2">
        <f t="shared" si="15"/>
        <v>5.7434283382464004</v>
      </c>
      <c r="R37" s="2">
        <f t="shared" si="16"/>
        <v>0</v>
      </c>
      <c r="S37" s="2">
        <f t="shared" si="17"/>
        <v>5.8582969050113283</v>
      </c>
      <c r="T37" s="2">
        <f t="shared" si="18"/>
        <v>0</v>
      </c>
      <c r="U37" s="2">
        <f t="shared" si="19"/>
        <v>5.9754628431115551</v>
      </c>
      <c r="V37" s="2">
        <f t="shared" si="20"/>
        <v>0</v>
      </c>
      <c r="W37" s="2">
        <f t="shared" si="21"/>
        <v>6.094972099973786</v>
      </c>
      <c r="X37" s="2">
        <f t="shared" si="22"/>
        <v>0</v>
      </c>
      <c r="Y37" s="2">
        <f t="shared" si="23"/>
        <v>6.2168715419732621</v>
      </c>
      <c r="Z37" s="2">
        <f t="shared" si="24"/>
        <v>0</v>
      </c>
      <c r="AA37" s="2">
        <f t="shared" si="25"/>
        <v>6.3412089728127272</v>
      </c>
      <c r="AB37" s="2">
        <f t="shared" si="26"/>
        <v>0</v>
      </c>
      <c r="AC37" s="2">
        <f t="shared" si="27"/>
        <v>6.4680331522689816</v>
      </c>
      <c r="AD37" s="2">
        <f t="shared" si="28"/>
        <v>0</v>
      </c>
      <c r="AE37" s="2">
        <f t="shared" si="29"/>
        <v>6.5973938153143612</v>
      </c>
      <c r="AF37" s="2">
        <f t="shared" si="30"/>
        <v>0</v>
      </c>
      <c r="AG37" s="2">
        <f t="shared" si="31"/>
        <v>6.7293416916206485</v>
      </c>
      <c r="AH37" s="2">
        <f t="shared" si="32"/>
        <v>0</v>
      </c>
    </row>
    <row r="38" spans="1:34">
      <c r="A38" t="str">
        <f t="shared" si="33"/>
        <v>Lentils</v>
      </c>
      <c r="B38" t="str">
        <f t="shared" si="34"/>
        <v>Amhara</v>
      </c>
      <c r="C38" s="2">
        <f>(5.2)/0.2</f>
        <v>26</v>
      </c>
      <c r="D38" s="2">
        <f>(14)/0.2</f>
        <v>70</v>
      </c>
      <c r="E38" s="2">
        <f t="shared" si="3"/>
        <v>26.52</v>
      </c>
      <c r="F38" s="2">
        <f t="shared" si="4"/>
        <v>71.400000000000006</v>
      </c>
      <c r="G38" s="2">
        <f t="shared" si="5"/>
        <v>27.0504</v>
      </c>
      <c r="H38" s="2">
        <f t="shared" si="6"/>
        <v>72.828000000000003</v>
      </c>
      <c r="I38" s="2">
        <f t="shared" si="7"/>
        <v>27.591408000000001</v>
      </c>
      <c r="J38" s="2">
        <f t="shared" si="8"/>
        <v>74.284559999999999</v>
      </c>
      <c r="K38" s="2">
        <f t="shared" si="9"/>
        <v>28.143236160000001</v>
      </c>
      <c r="L38" s="2">
        <f t="shared" si="10"/>
        <v>75.770251200000004</v>
      </c>
      <c r="M38" s="2">
        <f t="shared" si="11"/>
        <v>28.706100883200001</v>
      </c>
      <c r="N38" s="2">
        <f t="shared" si="12"/>
        <v>77.285656224000007</v>
      </c>
      <c r="O38" s="2">
        <f t="shared" si="13"/>
        <v>29.280222900864</v>
      </c>
      <c r="P38" s="2">
        <f t="shared" si="14"/>
        <v>78.83136934848001</v>
      </c>
      <c r="Q38" s="2">
        <f t="shared" si="15"/>
        <v>29.86582735888128</v>
      </c>
      <c r="R38" s="2">
        <f t="shared" si="16"/>
        <v>80.407996735449615</v>
      </c>
      <c r="S38" s="2">
        <f t="shared" si="17"/>
        <v>30.463143906058907</v>
      </c>
      <c r="T38" s="2">
        <f t="shared" si="18"/>
        <v>82.016156670158608</v>
      </c>
      <c r="U38" s="2">
        <f t="shared" si="19"/>
        <v>31.072406784180085</v>
      </c>
      <c r="V38" s="2">
        <f t="shared" si="20"/>
        <v>83.65647980356178</v>
      </c>
      <c r="W38" s="2">
        <f t="shared" si="21"/>
        <v>31.693854919863689</v>
      </c>
      <c r="X38" s="2">
        <f t="shared" si="22"/>
        <v>85.329609399633014</v>
      </c>
      <c r="Y38" s="2">
        <f t="shared" si="23"/>
        <v>32.32773201826096</v>
      </c>
      <c r="Z38" s="2">
        <f t="shared" si="24"/>
        <v>87.036201587625669</v>
      </c>
      <c r="AA38" s="2">
        <f t="shared" si="25"/>
        <v>32.974286658626177</v>
      </c>
      <c r="AB38" s="2">
        <f t="shared" si="26"/>
        <v>88.77692561937819</v>
      </c>
      <c r="AC38" s="2">
        <f t="shared" si="27"/>
        <v>33.633772391798701</v>
      </c>
      <c r="AD38" s="2">
        <f t="shared" si="28"/>
        <v>90.55246413176576</v>
      </c>
      <c r="AE38" s="2">
        <f t="shared" si="29"/>
        <v>34.306447839634679</v>
      </c>
      <c r="AF38" s="2">
        <f t="shared" si="30"/>
        <v>92.363513414401083</v>
      </c>
      <c r="AG38" s="2">
        <f t="shared" si="31"/>
        <v>34.992576796427372</v>
      </c>
      <c r="AH38" s="2">
        <f t="shared" si="32"/>
        <v>94.210783682689112</v>
      </c>
    </row>
    <row r="39" spans="1:34">
      <c r="A39" t="str">
        <f t="shared" si="33"/>
        <v>Lentils</v>
      </c>
      <c r="B39" t="str">
        <f t="shared" si="34"/>
        <v>Gumuz</v>
      </c>
      <c r="C39" s="2">
        <f>(6.92)/0.2</f>
        <v>34.599999999999994</v>
      </c>
      <c r="D39" s="2">
        <f>(15)/0.2</f>
        <v>75</v>
      </c>
      <c r="E39" s="2">
        <f t="shared" si="3"/>
        <v>35.291999999999994</v>
      </c>
      <c r="F39" s="2">
        <f t="shared" si="4"/>
        <v>76.5</v>
      </c>
      <c r="G39" s="2">
        <f t="shared" si="5"/>
        <v>35.997839999999997</v>
      </c>
      <c r="H39" s="2">
        <f t="shared" si="6"/>
        <v>78.03</v>
      </c>
      <c r="I39" s="2">
        <f t="shared" si="7"/>
        <v>36.717796799999995</v>
      </c>
      <c r="J39" s="2">
        <f t="shared" si="8"/>
        <v>79.590600000000009</v>
      </c>
      <c r="K39" s="2">
        <f t="shared" si="9"/>
        <v>37.452152735999995</v>
      </c>
      <c r="L39" s="2">
        <f t="shared" si="10"/>
        <v>81.182412000000014</v>
      </c>
      <c r="M39" s="2">
        <f t="shared" si="11"/>
        <v>38.201195790719993</v>
      </c>
      <c r="N39" s="2">
        <f t="shared" si="12"/>
        <v>82.806060240000022</v>
      </c>
      <c r="O39" s="2">
        <f t="shared" si="13"/>
        <v>38.965219706534391</v>
      </c>
      <c r="P39" s="2">
        <f t="shared" si="14"/>
        <v>84.462181444800024</v>
      </c>
      <c r="Q39" s="2">
        <f t="shared" si="15"/>
        <v>39.744524100665082</v>
      </c>
      <c r="R39" s="2">
        <f t="shared" si="16"/>
        <v>86.151425073696032</v>
      </c>
      <c r="S39" s="2">
        <f t="shared" si="17"/>
        <v>40.539414582678383</v>
      </c>
      <c r="T39" s="2">
        <f t="shared" si="18"/>
        <v>87.874453575169952</v>
      </c>
      <c r="U39" s="2">
        <f t="shared" si="19"/>
        <v>41.350202874331949</v>
      </c>
      <c r="V39" s="2">
        <f t="shared" si="20"/>
        <v>89.631942646673352</v>
      </c>
      <c r="W39" s="2">
        <f t="shared" si="21"/>
        <v>42.177206931818588</v>
      </c>
      <c r="X39" s="2">
        <f t="shared" si="22"/>
        <v>91.424581499606816</v>
      </c>
      <c r="Y39" s="2">
        <f t="shared" si="23"/>
        <v>43.020751070454963</v>
      </c>
      <c r="Z39" s="2">
        <f t="shared" si="24"/>
        <v>93.25307312959896</v>
      </c>
      <c r="AA39" s="2">
        <f t="shared" si="25"/>
        <v>43.881166091864067</v>
      </c>
      <c r="AB39" s="2">
        <f t="shared" si="26"/>
        <v>95.118134592190941</v>
      </c>
      <c r="AC39" s="2">
        <f t="shared" si="27"/>
        <v>44.758789413701351</v>
      </c>
      <c r="AD39" s="2">
        <f t="shared" si="28"/>
        <v>97.020497284034761</v>
      </c>
      <c r="AE39" s="2">
        <f t="shared" si="29"/>
        <v>45.653965201975382</v>
      </c>
      <c r="AF39" s="2">
        <f t="shared" si="30"/>
        <v>98.96090722971546</v>
      </c>
      <c r="AG39" s="2">
        <f t="shared" si="31"/>
        <v>46.567044506014888</v>
      </c>
      <c r="AH39" s="2">
        <f t="shared" si="32"/>
        <v>100.94012537430977</v>
      </c>
    </row>
    <row r="40" spans="1:34">
      <c r="A40" t="str">
        <f t="shared" si="33"/>
        <v>Lentils</v>
      </c>
      <c r="B40" t="str">
        <f t="shared" si="34"/>
        <v>DireDawa</v>
      </c>
      <c r="C40" s="2">
        <f>(0.5)/0.2</f>
        <v>2.5</v>
      </c>
      <c r="D40" s="2">
        <f>(18)/0.2</f>
        <v>90</v>
      </c>
      <c r="E40" s="2">
        <f t="shared" si="3"/>
        <v>2.5499999999999998</v>
      </c>
      <c r="F40" s="2">
        <f t="shared" si="4"/>
        <v>91.8</v>
      </c>
      <c r="G40" s="2">
        <f t="shared" si="5"/>
        <v>2.601</v>
      </c>
      <c r="H40" s="2">
        <f t="shared" si="6"/>
        <v>93.635999999999996</v>
      </c>
      <c r="I40" s="2">
        <f t="shared" si="7"/>
        <v>2.6530200000000002</v>
      </c>
      <c r="J40" s="2">
        <f t="shared" si="8"/>
        <v>95.508719999999997</v>
      </c>
      <c r="K40" s="2">
        <f t="shared" si="9"/>
        <v>2.7060804000000003</v>
      </c>
      <c r="L40" s="2">
        <f t="shared" si="10"/>
        <v>97.418894399999999</v>
      </c>
      <c r="M40" s="2">
        <f t="shared" si="11"/>
        <v>2.7602020080000003</v>
      </c>
      <c r="N40" s="2">
        <f t="shared" si="12"/>
        <v>99.367272287999995</v>
      </c>
      <c r="O40" s="2">
        <f t="shared" si="13"/>
        <v>2.8154060481600003</v>
      </c>
      <c r="P40" s="2">
        <f t="shared" si="14"/>
        <v>101.35461773375999</v>
      </c>
      <c r="Q40" s="2">
        <f t="shared" si="15"/>
        <v>2.8717141691232002</v>
      </c>
      <c r="R40" s="2">
        <f t="shared" si="16"/>
        <v>103.3817100884352</v>
      </c>
      <c r="S40" s="2">
        <f t="shared" si="17"/>
        <v>2.9291484525056641</v>
      </c>
      <c r="T40" s="2">
        <f t="shared" si="18"/>
        <v>105.44934429020391</v>
      </c>
      <c r="U40" s="2">
        <f t="shared" si="19"/>
        <v>2.9877314215557775</v>
      </c>
      <c r="V40" s="2">
        <f t="shared" si="20"/>
        <v>107.558331176008</v>
      </c>
      <c r="W40" s="2">
        <f t="shared" si="21"/>
        <v>3.047486049986893</v>
      </c>
      <c r="X40" s="2">
        <f t="shared" si="22"/>
        <v>109.70949779952817</v>
      </c>
      <c r="Y40" s="2">
        <f t="shared" si="23"/>
        <v>3.108435770986631</v>
      </c>
      <c r="Z40" s="2">
        <f t="shared" si="24"/>
        <v>111.90368775551873</v>
      </c>
      <c r="AA40" s="2">
        <f t="shared" si="25"/>
        <v>3.1706044864063636</v>
      </c>
      <c r="AB40" s="2">
        <f t="shared" si="26"/>
        <v>114.14176151062911</v>
      </c>
      <c r="AC40" s="2">
        <f t="shared" si="27"/>
        <v>3.2340165761344908</v>
      </c>
      <c r="AD40" s="2">
        <f t="shared" si="28"/>
        <v>116.42459674084169</v>
      </c>
      <c r="AE40" s="2">
        <f t="shared" si="29"/>
        <v>3.2986969076571806</v>
      </c>
      <c r="AF40" s="2">
        <f t="shared" si="30"/>
        <v>118.75308867565853</v>
      </c>
      <c r="AG40" s="2">
        <f t="shared" si="31"/>
        <v>3.3646708458103243</v>
      </c>
      <c r="AH40" s="2">
        <f t="shared" si="32"/>
        <v>121.1281504491717</v>
      </c>
    </row>
    <row r="41" spans="1:34">
      <c r="A41" t="str">
        <f t="shared" si="33"/>
        <v>Lentils</v>
      </c>
      <c r="B41" t="str">
        <f t="shared" si="34"/>
        <v>Gambela</v>
      </c>
      <c r="C41" s="2">
        <f>(0)/0.2</f>
        <v>0</v>
      </c>
      <c r="D41" s="2">
        <f>(4)/0.2</f>
        <v>20</v>
      </c>
      <c r="E41" s="2">
        <f t="shared" si="3"/>
        <v>0</v>
      </c>
      <c r="F41" s="2">
        <f t="shared" si="4"/>
        <v>20.399999999999999</v>
      </c>
      <c r="G41" s="2">
        <f t="shared" si="5"/>
        <v>0</v>
      </c>
      <c r="H41" s="2">
        <f t="shared" si="6"/>
        <v>20.808</v>
      </c>
      <c r="I41" s="2">
        <f t="shared" si="7"/>
        <v>0</v>
      </c>
      <c r="J41" s="2">
        <f t="shared" si="8"/>
        <v>21.224160000000001</v>
      </c>
      <c r="K41" s="2">
        <f t="shared" si="9"/>
        <v>0</v>
      </c>
      <c r="L41" s="2">
        <f t="shared" si="10"/>
        <v>21.648643200000002</v>
      </c>
      <c r="M41" s="2">
        <f t="shared" si="11"/>
        <v>0</v>
      </c>
      <c r="N41" s="2">
        <f t="shared" si="12"/>
        <v>22.081616064000002</v>
      </c>
      <c r="O41" s="2">
        <f t="shared" si="13"/>
        <v>0</v>
      </c>
      <c r="P41" s="2">
        <f t="shared" si="14"/>
        <v>22.523248385280002</v>
      </c>
      <c r="Q41" s="2">
        <f t="shared" si="15"/>
        <v>0</v>
      </c>
      <c r="R41" s="2">
        <f t="shared" si="16"/>
        <v>22.973713352985602</v>
      </c>
      <c r="S41" s="2">
        <f t="shared" si="17"/>
        <v>0</v>
      </c>
      <c r="T41" s="2">
        <f t="shared" si="18"/>
        <v>23.433187620045313</v>
      </c>
      <c r="U41" s="2">
        <f t="shared" si="19"/>
        <v>0</v>
      </c>
      <c r="V41" s="2">
        <f t="shared" si="20"/>
        <v>23.90185137244622</v>
      </c>
      <c r="W41" s="2">
        <f t="shared" si="21"/>
        <v>0</v>
      </c>
      <c r="X41" s="2">
        <f t="shared" si="22"/>
        <v>24.379888399895144</v>
      </c>
      <c r="Y41" s="2">
        <f t="shared" si="23"/>
        <v>0</v>
      </c>
      <c r="Z41" s="2">
        <f t="shared" si="24"/>
        <v>24.867486167893048</v>
      </c>
      <c r="AA41" s="2">
        <f t="shared" si="25"/>
        <v>0</v>
      </c>
      <c r="AB41" s="2">
        <f t="shared" si="26"/>
        <v>25.364835891250909</v>
      </c>
      <c r="AC41" s="2">
        <f t="shared" si="27"/>
        <v>0</v>
      </c>
      <c r="AD41" s="2">
        <f t="shared" si="28"/>
        <v>25.872132609075926</v>
      </c>
      <c r="AE41" s="2">
        <f t="shared" si="29"/>
        <v>0</v>
      </c>
      <c r="AF41" s="2">
        <f t="shared" si="30"/>
        <v>26.389575261257445</v>
      </c>
      <c r="AG41" s="2">
        <f t="shared" si="31"/>
        <v>0</v>
      </c>
      <c r="AH41" s="2">
        <f t="shared" si="32"/>
        <v>26.917366766482594</v>
      </c>
    </row>
    <row r="42" spans="1:34">
      <c r="A42" t="str">
        <f t="shared" si="33"/>
        <v>Lentils</v>
      </c>
      <c r="B42" t="str">
        <f t="shared" si="34"/>
        <v>Harari</v>
      </c>
      <c r="C42" s="2">
        <f>(13.58)/0.2</f>
        <v>67.899999999999991</v>
      </c>
      <c r="D42" s="2">
        <f>(0)/0.2</f>
        <v>0</v>
      </c>
      <c r="E42" s="2">
        <f t="shared" si="3"/>
        <v>69.257999999999996</v>
      </c>
      <c r="F42" s="2">
        <f t="shared" si="4"/>
        <v>0</v>
      </c>
      <c r="G42" s="2">
        <f t="shared" si="5"/>
        <v>70.643159999999995</v>
      </c>
      <c r="H42" s="2">
        <f t="shared" si="6"/>
        <v>0</v>
      </c>
      <c r="I42" s="2">
        <f t="shared" si="7"/>
        <v>72.056023199999998</v>
      </c>
      <c r="J42" s="2">
        <f t="shared" si="8"/>
        <v>0</v>
      </c>
      <c r="K42" s="2">
        <f t="shared" si="9"/>
        <v>73.497143664000006</v>
      </c>
      <c r="L42" s="2">
        <f t="shared" si="10"/>
        <v>0</v>
      </c>
      <c r="M42" s="2">
        <f t="shared" si="11"/>
        <v>74.967086537280011</v>
      </c>
      <c r="N42" s="2">
        <f t="shared" si="12"/>
        <v>0</v>
      </c>
      <c r="O42" s="2">
        <f t="shared" si="13"/>
        <v>76.466428268025609</v>
      </c>
      <c r="P42" s="2">
        <f t="shared" si="14"/>
        <v>0</v>
      </c>
      <c r="Q42" s="2">
        <f t="shared" si="15"/>
        <v>77.995756833386125</v>
      </c>
      <c r="R42" s="2">
        <f t="shared" si="16"/>
        <v>0</v>
      </c>
      <c r="S42" s="2">
        <f t="shared" si="17"/>
        <v>79.555671970053851</v>
      </c>
      <c r="T42" s="2">
        <f t="shared" si="18"/>
        <v>0</v>
      </c>
      <c r="U42" s="2">
        <f t="shared" si="19"/>
        <v>81.146785409454935</v>
      </c>
      <c r="V42" s="2">
        <f t="shared" si="20"/>
        <v>0</v>
      </c>
      <c r="W42" s="2">
        <f t="shared" si="21"/>
        <v>82.769721117644039</v>
      </c>
      <c r="X42" s="2">
        <f t="shared" si="22"/>
        <v>0</v>
      </c>
      <c r="Y42" s="2">
        <f t="shared" si="23"/>
        <v>84.425115539996924</v>
      </c>
      <c r="Z42" s="2">
        <f t="shared" si="24"/>
        <v>0</v>
      </c>
      <c r="AA42" s="2">
        <f t="shared" si="25"/>
        <v>86.113617850796857</v>
      </c>
      <c r="AB42" s="2">
        <f t="shared" si="26"/>
        <v>0</v>
      </c>
      <c r="AC42" s="2">
        <f t="shared" si="27"/>
        <v>87.835890207812795</v>
      </c>
      <c r="AD42" s="2">
        <f t="shared" si="28"/>
        <v>0</v>
      </c>
      <c r="AE42" s="2">
        <f t="shared" si="29"/>
        <v>89.592608011969048</v>
      </c>
      <c r="AF42" s="2">
        <f t="shared" si="30"/>
        <v>0</v>
      </c>
      <c r="AG42" s="2">
        <f t="shared" si="31"/>
        <v>91.384460172208435</v>
      </c>
      <c r="AH42" s="2">
        <f t="shared" si="32"/>
        <v>0</v>
      </c>
    </row>
    <row r="43" spans="1:34">
      <c r="A43" t="str">
        <f t="shared" si="33"/>
        <v>Lentils</v>
      </c>
      <c r="B43" t="str">
        <f t="shared" si="34"/>
        <v>Oromia</v>
      </c>
      <c r="C43" s="2">
        <f>(7)/0.2</f>
        <v>35</v>
      </c>
      <c r="D43" s="2">
        <f>(15)/0.2</f>
        <v>75</v>
      </c>
      <c r="E43" s="2">
        <f t="shared" si="3"/>
        <v>35.700000000000003</v>
      </c>
      <c r="F43" s="2">
        <f t="shared" si="4"/>
        <v>76.5</v>
      </c>
      <c r="G43" s="2">
        <f t="shared" si="5"/>
        <v>36.414000000000001</v>
      </c>
      <c r="H43" s="2">
        <f t="shared" si="6"/>
        <v>78.03</v>
      </c>
      <c r="I43" s="2">
        <f t="shared" si="7"/>
        <v>37.14228</v>
      </c>
      <c r="J43" s="2">
        <f t="shared" si="8"/>
        <v>79.590600000000009</v>
      </c>
      <c r="K43" s="2">
        <f t="shared" si="9"/>
        <v>37.885125600000002</v>
      </c>
      <c r="L43" s="2">
        <f t="shared" si="10"/>
        <v>81.182412000000014</v>
      </c>
      <c r="M43" s="2">
        <f t="shared" si="11"/>
        <v>38.642828112000004</v>
      </c>
      <c r="N43" s="2">
        <f t="shared" si="12"/>
        <v>82.806060240000022</v>
      </c>
      <c r="O43" s="2">
        <f t="shared" si="13"/>
        <v>39.415684674240005</v>
      </c>
      <c r="P43" s="2">
        <f t="shared" si="14"/>
        <v>84.462181444800024</v>
      </c>
      <c r="Q43" s="2">
        <f t="shared" si="15"/>
        <v>40.203998367724807</v>
      </c>
      <c r="R43" s="2">
        <f t="shared" si="16"/>
        <v>86.151425073696032</v>
      </c>
      <c r="S43" s="2">
        <f t="shared" si="17"/>
        <v>41.008078335079304</v>
      </c>
      <c r="T43" s="2">
        <f t="shared" si="18"/>
        <v>87.874453575169952</v>
      </c>
      <c r="U43" s="2">
        <f t="shared" si="19"/>
        <v>41.82823990178089</v>
      </c>
      <c r="V43" s="2">
        <f t="shared" si="20"/>
        <v>89.631942646673352</v>
      </c>
      <c r="W43" s="2">
        <f t="shared" si="21"/>
        <v>42.664804699816507</v>
      </c>
      <c r="X43" s="2">
        <f t="shared" si="22"/>
        <v>91.424581499606816</v>
      </c>
      <c r="Y43" s="2">
        <f t="shared" si="23"/>
        <v>43.518100793812835</v>
      </c>
      <c r="Z43" s="2">
        <f t="shared" si="24"/>
        <v>93.25307312959896</v>
      </c>
      <c r="AA43" s="2">
        <f t="shared" si="25"/>
        <v>44.388462809689095</v>
      </c>
      <c r="AB43" s="2">
        <f t="shared" si="26"/>
        <v>95.118134592190941</v>
      </c>
      <c r="AC43" s="2">
        <f t="shared" si="27"/>
        <v>45.27623206588288</v>
      </c>
      <c r="AD43" s="2">
        <f t="shared" si="28"/>
        <v>97.020497284034761</v>
      </c>
      <c r="AE43" s="2">
        <f t="shared" si="29"/>
        <v>46.181756707200542</v>
      </c>
      <c r="AF43" s="2">
        <f t="shared" si="30"/>
        <v>98.96090722971546</v>
      </c>
      <c r="AG43" s="2">
        <f t="shared" si="31"/>
        <v>47.105391841344556</v>
      </c>
      <c r="AH43" s="2">
        <f t="shared" si="32"/>
        <v>100.94012537430977</v>
      </c>
    </row>
    <row r="44" spans="1:34">
      <c r="A44" t="str">
        <f t="shared" si="33"/>
        <v>Lentils</v>
      </c>
      <c r="B44" t="str">
        <f t="shared" si="34"/>
        <v>Somali</v>
      </c>
      <c r="C44" s="2">
        <f>(1)/0.2</f>
        <v>5</v>
      </c>
      <c r="D44" s="2">
        <f>(0)/0.2</f>
        <v>0</v>
      </c>
      <c r="E44" s="2">
        <f t="shared" si="3"/>
        <v>5.0999999999999996</v>
      </c>
      <c r="F44" s="2">
        <f t="shared" si="4"/>
        <v>0</v>
      </c>
      <c r="G44" s="2">
        <f t="shared" si="5"/>
        <v>5.202</v>
      </c>
      <c r="H44" s="2">
        <f t="shared" si="6"/>
        <v>0</v>
      </c>
      <c r="I44" s="2">
        <f t="shared" si="7"/>
        <v>5.3060400000000003</v>
      </c>
      <c r="J44" s="2">
        <f t="shared" si="8"/>
        <v>0</v>
      </c>
      <c r="K44" s="2">
        <f t="shared" si="9"/>
        <v>5.4121608000000005</v>
      </c>
      <c r="L44" s="2">
        <f t="shared" si="10"/>
        <v>0</v>
      </c>
      <c r="M44" s="2">
        <f t="shared" si="11"/>
        <v>5.5204040160000005</v>
      </c>
      <c r="N44" s="2">
        <f t="shared" si="12"/>
        <v>0</v>
      </c>
      <c r="O44" s="2">
        <f t="shared" si="13"/>
        <v>5.6308120963200006</v>
      </c>
      <c r="P44" s="2">
        <f t="shared" si="14"/>
        <v>0</v>
      </c>
      <c r="Q44" s="2">
        <f t="shared" si="15"/>
        <v>5.7434283382464004</v>
      </c>
      <c r="R44" s="2">
        <f t="shared" si="16"/>
        <v>0</v>
      </c>
      <c r="S44" s="2">
        <f t="shared" si="17"/>
        <v>5.8582969050113283</v>
      </c>
      <c r="T44" s="2">
        <f t="shared" si="18"/>
        <v>0</v>
      </c>
      <c r="U44" s="2">
        <f t="shared" si="19"/>
        <v>5.9754628431115551</v>
      </c>
      <c r="V44" s="2">
        <f t="shared" si="20"/>
        <v>0</v>
      </c>
      <c r="W44" s="2">
        <f t="shared" si="21"/>
        <v>6.094972099973786</v>
      </c>
      <c r="X44" s="2">
        <f t="shared" si="22"/>
        <v>0</v>
      </c>
      <c r="Y44" s="2">
        <f t="shared" si="23"/>
        <v>6.2168715419732621</v>
      </c>
      <c r="Z44" s="2">
        <f t="shared" si="24"/>
        <v>0</v>
      </c>
      <c r="AA44" s="2">
        <f t="shared" si="25"/>
        <v>6.3412089728127272</v>
      </c>
      <c r="AB44" s="2">
        <f t="shared" si="26"/>
        <v>0</v>
      </c>
      <c r="AC44" s="2">
        <f t="shared" si="27"/>
        <v>6.4680331522689816</v>
      </c>
      <c r="AD44" s="2">
        <f t="shared" si="28"/>
        <v>0</v>
      </c>
      <c r="AE44" s="2">
        <f t="shared" si="29"/>
        <v>6.5973938153143612</v>
      </c>
      <c r="AF44" s="2">
        <f t="shared" si="30"/>
        <v>0</v>
      </c>
      <c r="AG44" s="2">
        <f t="shared" si="31"/>
        <v>6.7293416916206485</v>
      </c>
      <c r="AH44" s="2">
        <f t="shared" si="32"/>
        <v>0</v>
      </c>
    </row>
    <row r="45" spans="1:34">
      <c r="A45" t="str">
        <f t="shared" si="33"/>
        <v>Lentils</v>
      </c>
      <c r="B45" t="str">
        <f t="shared" si="34"/>
        <v>SNNPR</v>
      </c>
      <c r="C45" s="2">
        <f>(6.6)/0.2</f>
        <v>32.999999999999993</v>
      </c>
      <c r="D45" s="2">
        <f>(13)/0.2</f>
        <v>65</v>
      </c>
      <c r="E45" s="2">
        <f t="shared" si="3"/>
        <v>33.659999999999997</v>
      </c>
      <c r="F45" s="2">
        <f t="shared" si="4"/>
        <v>66.3</v>
      </c>
      <c r="G45" s="2">
        <f t="shared" si="5"/>
        <v>34.333199999999998</v>
      </c>
      <c r="H45" s="2">
        <f t="shared" si="6"/>
        <v>67.626000000000005</v>
      </c>
      <c r="I45" s="2">
        <f t="shared" si="7"/>
        <v>35.019863999999998</v>
      </c>
      <c r="J45" s="2">
        <f t="shared" si="8"/>
        <v>68.978520000000003</v>
      </c>
      <c r="K45" s="2">
        <f t="shared" si="9"/>
        <v>35.720261279999995</v>
      </c>
      <c r="L45" s="2">
        <f t="shared" si="10"/>
        <v>70.358090400000009</v>
      </c>
      <c r="M45" s="2">
        <f t="shared" si="11"/>
        <v>36.434666505599999</v>
      </c>
      <c r="N45" s="2">
        <f t="shared" si="12"/>
        <v>71.765252208000007</v>
      </c>
      <c r="O45" s="2">
        <f t="shared" si="13"/>
        <v>37.163359835712001</v>
      </c>
      <c r="P45" s="2">
        <f t="shared" si="14"/>
        <v>73.20055725216001</v>
      </c>
      <c r="Q45" s="2">
        <f t="shared" si="15"/>
        <v>37.906627032426243</v>
      </c>
      <c r="R45" s="2">
        <f t="shared" si="16"/>
        <v>74.664568397203212</v>
      </c>
      <c r="S45" s="2">
        <f t="shared" si="17"/>
        <v>38.664759573074768</v>
      </c>
      <c r="T45" s="2">
        <f t="shared" si="18"/>
        <v>76.157859765147279</v>
      </c>
      <c r="U45" s="2">
        <f t="shared" si="19"/>
        <v>39.438054764536261</v>
      </c>
      <c r="V45" s="2">
        <f t="shared" si="20"/>
        <v>77.681016960450222</v>
      </c>
      <c r="W45" s="2">
        <f t="shared" si="21"/>
        <v>40.226815859826985</v>
      </c>
      <c r="X45" s="2">
        <f t="shared" si="22"/>
        <v>79.234637299659227</v>
      </c>
      <c r="Y45" s="2">
        <f t="shared" si="23"/>
        <v>41.031352177023528</v>
      </c>
      <c r="Z45" s="2">
        <f t="shared" si="24"/>
        <v>80.819330045652407</v>
      </c>
      <c r="AA45" s="2">
        <f t="shared" si="25"/>
        <v>41.851979220563997</v>
      </c>
      <c r="AB45" s="2">
        <f t="shared" si="26"/>
        <v>82.435716646565453</v>
      </c>
      <c r="AC45" s="2">
        <f t="shared" si="27"/>
        <v>42.689018804975277</v>
      </c>
      <c r="AD45" s="2">
        <f t="shared" si="28"/>
        <v>84.084430979496759</v>
      </c>
      <c r="AE45" s="2">
        <f t="shared" si="29"/>
        <v>43.542799181074784</v>
      </c>
      <c r="AF45" s="2">
        <f t="shared" si="30"/>
        <v>85.766119599086693</v>
      </c>
      <c r="AG45" s="2">
        <f t="shared" si="31"/>
        <v>44.41365516469628</v>
      </c>
      <c r="AH45" s="2">
        <f t="shared" si="32"/>
        <v>87.481441991068422</v>
      </c>
    </row>
    <row r="46" spans="1:34">
      <c r="A46" t="str">
        <f t="shared" si="33"/>
        <v>Lentils</v>
      </c>
      <c r="B46" t="str">
        <f t="shared" si="34"/>
        <v>Tigray</v>
      </c>
      <c r="C46" s="2">
        <f>(0.5)/0.2</f>
        <v>2.5</v>
      </c>
      <c r="D46" s="2">
        <f>(14)/0.2</f>
        <v>70</v>
      </c>
      <c r="E46" s="2">
        <f t="shared" si="3"/>
        <v>2.5499999999999998</v>
      </c>
      <c r="F46" s="2">
        <f t="shared" si="4"/>
        <v>71.400000000000006</v>
      </c>
      <c r="G46" s="2">
        <f t="shared" si="5"/>
        <v>2.601</v>
      </c>
      <c r="H46" s="2">
        <f t="shared" si="6"/>
        <v>72.828000000000003</v>
      </c>
      <c r="I46" s="2">
        <f t="shared" si="7"/>
        <v>2.6530200000000002</v>
      </c>
      <c r="J46" s="2">
        <f t="shared" si="8"/>
        <v>74.284559999999999</v>
      </c>
      <c r="K46" s="2">
        <f t="shared" si="9"/>
        <v>2.7060804000000003</v>
      </c>
      <c r="L46" s="2">
        <f t="shared" si="10"/>
        <v>75.770251200000004</v>
      </c>
      <c r="M46" s="2">
        <f t="shared" si="11"/>
        <v>2.7602020080000003</v>
      </c>
      <c r="N46" s="2">
        <f t="shared" si="12"/>
        <v>77.285656224000007</v>
      </c>
      <c r="O46" s="2">
        <f t="shared" si="13"/>
        <v>2.8154060481600003</v>
      </c>
      <c r="P46" s="2">
        <f t="shared" si="14"/>
        <v>78.83136934848001</v>
      </c>
      <c r="Q46" s="2">
        <f t="shared" si="15"/>
        <v>2.8717141691232002</v>
      </c>
      <c r="R46" s="2">
        <f t="shared" si="16"/>
        <v>80.407996735449615</v>
      </c>
      <c r="S46" s="2">
        <f t="shared" si="17"/>
        <v>2.9291484525056641</v>
      </c>
      <c r="T46" s="2">
        <f t="shared" si="18"/>
        <v>82.016156670158608</v>
      </c>
      <c r="U46" s="2">
        <f t="shared" si="19"/>
        <v>2.9877314215557775</v>
      </c>
      <c r="V46" s="2">
        <f t="shared" si="20"/>
        <v>83.65647980356178</v>
      </c>
      <c r="W46" s="2">
        <f t="shared" si="21"/>
        <v>3.047486049986893</v>
      </c>
      <c r="X46" s="2">
        <f t="shared" si="22"/>
        <v>85.329609399633014</v>
      </c>
      <c r="Y46" s="2">
        <f t="shared" si="23"/>
        <v>3.108435770986631</v>
      </c>
      <c r="Z46" s="2">
        <f t="shared" si="24"/>
        <v>87.036201587625669</v>
      </c>
      <c r="AA46" s="2">
        <f t="shared" si="25"/>
        <v>3.1706044864063636</v>
      </c>
      <c r="AB46" s="2">
        <f t="shared" si="26"/>
        <v>88.77692561937819</v>
      </c>
      <c r="AC46" s="2">
        <f t="shared" si="27"/>
        <v>3.2340165761344908</v>
      </c>
      <c r="AD46" s="2">
        <f t="shared" si="28"/>
        <v>90.55246413176576</v>
      </c>
      <c r="AE46" s="2">
        <f t="shared" si="29"/>
        <v>3.2986969076571806</v>
      </c>
      <c r="AF46" s="2">
        <f t="shared" si="30"/>
        <v>92.363513414401083</v>
      </c>
      <c r="AG46" s="2">
        <f t="shared" si="31"/>
        <v>3.3646708458103243</v>
      </c>
      <c r="AH46" s="2">
        <f t="shared" si="32"/>
        <v>94.210783682689112</v>
      </c>
    </row>
    <row r="47" spans="1:34">
      <c r="A47" t="str">
        <f t="shared" si="33"/>
        <v>Vegetables</v>
      </c>
      <c r="B47" t="str">
        <f t="shared" si="34"/>
        <v>AddisAbaba</v>
      </c>
      <c r="C47" s="2">
        <f>(0)/0.2</f>
        <v>0</v>
      </c>
      <c r="D47" s="2">
        <f>(0)/0.2</f>
        <v>0</v>
      </c>
      <c r="E47" s="2">
        <f t="shared" si="3"/>
        <v>0</v>
      </c>
      <c r="F47" s="2">
        <f t="shared" si="4"/>
        <v>0</v>
      </c>
      <c r="G47" s="2">
        <f t="shared" si="5"/>
        <v>0</v>
      </c>
      <c r="H47" s="2">
        <f t="shared" si="6"/>
        <v>0</v>
      </c>
      <c r="I47" s="2">
        <f t="shared" si="7"/>
        <v>0</v>
      </c>
      <c r="J47" s="2">
        <f t="shared" si="8"/>
        <v>0</v>
      </c>
      <c r="K47" s="2">
        <f t="shared" si="9"/>
        <v>0</v>
      </c>
      <c r="L47" s="2">
        <f t="shared" si="10"/>
        <v>0</v>
      </c>
      <c r="M47" s="2">
        <f t="shared" si="11"/>
        <v>0</v>
      </c>
      <c r="N47" s="2">
        <f t="shared" si="12"/>
        <v>0</v>
      </c>
      <c r="O47" s="2">
        <f t="shared" si="13"/>
        <v>0</v>
      </c>
      <c r="P47" s="2">
        <f t="shared" si="14"/>
        <v>0</v>
      </c>
      <c r="Q47" s="2">
        <f t="shared" si="15"/>
        <v>0</v>
      </c>
      <c r="R47" s="2">
        <f t="shared" si="16"/>
        <v>0</v>
      </c>
      <c r="S47" s="2">
        <f t="shared" si="17"/>
        <v>0</v>
      </c>
      <c r="T47" s="2">
        <f t="shared" si="18"/>
        <v>0</v>
      </c>
      <c r="U47" s="2">
        <f t="shared" si="19"/>
        <v>0</v>
      </c>
      <c r="V47" s="2">
        <f t="shared" si="20"/>
        <v>0</v>
      </c>
      <c r="W47" s="2">
        <f t="shared" si="21"/>
        <v>0</v>
      </c>
      <c r="X47" s="2">
        <f t="shared" si="22"/>
        <v>0</v>
      </c>
      <c r="Y47" s="2">
        <f t="shared" si="23"/>
        <v>0</v>
      </c>
      <c r="Z47" s="2">
        <f t="shared" si="24"/>
        <v>0</v>
      </c>
      <c r="AA47" s="2">
        <f t="shared" si="25"/>
        <v>0</v>
      </c>
      <c r="AB47" s="2">
        <f t="shared" si="26"/>
        <v>0</v>
      </c>
      <c r="AC47" s="2">
        <f t="shared" si="27"/>
        <v>0</v>
      </c>
      <c r="AD47" s="2">
        <f t="shared" si="28"/>
        <v>0</v>
      </c>
      <c r="AE47" s="2">
        <f t="shared" si="29"/>
        <v>0</v>
      </c>
      <c r="AF47" s="2">
        <f t="shared" si="30"/>
        <v>0</v>
      </c>
      <c r="AG47" s="2">
        <f t="shared" si="31"/>
        <v>0</v>
      </c>
      <c r="AH47" s="2">
        <f t="shared" si="32"/>
        <v>0</v>
      </c>
    </row>
    <row r="48" spans="1:34">
      <c r="A48" t="str">
        <f t="shared" si="33"/>
        <v>Vegetables</v>
      </c>
      <c r="B48" t="str">
        <f t="shared" si="34"/>
        <v>Afar</v>
      </c>
      <c r="C48" s="2">
        <f>(0.5)/0.2</f>
        <v>2.5</v>
      </c>
      <c r="D48" s="2">
        <f>(154)/0.2</f>
        <v>770</v>
      </c>
      <c r="E48" s="2">
        <f t="shared" si="3"/>
        <v>2.5499999999999998</v>
      </c>
      <c r="F48" s="2">
        <f t="shared" si="4"/>
        <v>785.4</v>
      </c>
      <c r="G48" s="2">
        <f t="shared" si="5"/>
        <v>2.601</v>
      </c>
      <c r="H48" s="2">
        <f t="shared" si="6"/>
        <v>801.10799999999995</v>
      </c>
      <c r="I48" s="2">
        <f t="shared" si="7"/>
        <v>2.6530200000000002</v>
      </c>
      <c r="J48" s="2">
        <f t="shared" si="8"/>
        <v>817.13015999999993</v>
      </c>
      <c r="K48" s="2">
        <f t="shared" si="9"/>
        <v>2.7060804000000003</v>
      </c>
      <c r="L48" s="2">
        <f t="shared" si="10"/>
        <v>833.47276319999992</v>
      </c>
      <c r="M48" s="2">
        <f t="shared" si="11"/>
        <v>2.7602020080000003</v>
      </c>
      <c r="N48" s="2">
        <f t="shared" si="12"/>
        <v>850.14221846399994</v>
      </c>
      <c r="O48" s="2">
        <f t="shared" si="13"/>
        <v>2.8154060481600003</v>
      </c>
      <c r="P48" s="2">
        <f t="shared" si="14"/>
        <v>867.14506283328001</v>
      </c>
      <c r="Q48" s="2">
        <f t="shared" si="15"/>
        <v>2.8717141691232002</v>
      </c>
      <c r="R48" s="2">
        <f t="shared" si="16"/>
        <v>884.48796408994565</v>
      </c>
      <c r="S48" s="2">
        <f t="shared" si="17"/>
        <v>2.9291484525056641</v>
      </c>
      <c r="T48" s="2">
        <f t="shared" si="18"/>
        <v>902.17772337174461</v>
      </c>
      <c r="U48" s="2">
        <f t="shared" si="19"/>
        <v>2.9877314215557775</v>
      </c>
      <c r="V48" s="2">
        <f t="shared" si="20"/>
        <v>920.22127783917949</v>
      </c>
      <c r="W48" s="2">
        <f t="shared" si="21"/>
        <v>3.047486049986893</v>
      </c>
      <c r="X48" s="2">
        <f t="shared" si="22"/>
        <v>938.62570339596311</v>
      </c>
      <c r="Y48" s="2">
        <f t="shared" si="23"/>
        <v>3.108435770986631</v>
      </c>
      <c r="Z48" s="2">
        <f t="shared" si="24"/>
        <v>957.39821746388236</v>
      </c>
      <c r="AA48" s="2">
        <f t="shared" si="25"/>
        <v>3.1706044864063636</v>
      </c>
      <c r="AB48" s="2">
        <f t="shared" si="26"/>
        <v>976.54618181316005</v>
      </c>
      <c r="AC48" s="2">
        <f t="shared" si="27"/>
        <v>3.2340165761344908</v>
      </c>
      <c r="AD48" s="2">
        <f t="shared" si="28"/>
        <v>996.07710544942324</v>
      </c>
      <c r="AE48" s="2">
        <f t="shared" si="29"/>
        <v>3.2986969076571806</v>
      </c>
      <c r="AF48" s="2">
        <f t="shared" si="30"/>
        <v>1015.9986475584117</v>
      </c>
      <c r="AG48" s="2">
        <f t="shared" si="31"/>
        <v>3.3646708458103243</v>
      </c>
      <c r="AH48" s="2">
        <f t="shared" si="32"/>
        <v>1036.3186205095799</v>
      </c>
    </row>
    <row r="49" spans="1:34">
      <c r="A49" t="str">
        <f t="shared" si="33"/>
        <v>Vegetables</v>
      </c>
      <c r="B49" t="str">
        <f t="shared" si="34"/>
        <v>Amhara</v>
      </c>
      <c r="C49" s="2">
        <f>(0.5)/0.2</f>
        <v>2.5</v>
      </c>
      <c r="D49" s="2">
        <f>(65)/0.2</f>
        <v>325</v>
      </c>
      <c r="E49" s="2">
        <f t="shared" si="3"/>
        <v>2.5499999999999998</v>
      </c>
      <c r="F49" s="2">
        <f t="shared" si="4"/>
        <v>331.5</v>
      </c>
      <c r="G49" s="2">
        <f t="shared" si="5"/>
        <v>2.601</v>
      </c>
      <c r="H49" s="2">
        <f t="shared" si="6"/>
        <v>338.13</v>
      </c>
      <c r="I49" s="2">
        <f t="shared" si="7"/>
        <v>2.6530200000000002</v>
      </c>
      <c r="J49" s="2">
        <f t="shared" si="8"/>
        <v>344.89260000000002</v>
      </c>
      <c r="K49" s="2">
        <f t="shared" si="9"/>
        <v>2.7060804000000003</v>
      </c>
      <c r="L49" s="2">
        <f t="shared" si="10"/>
        <v>351.79045200000002</v>
      </c>
      <c r="M49" s="2">
        <f t="shared" si="11"/>
        <v>2.7602020080000003</v>
      </c>
      <c r="N49" s="2">
        <f t="shared" si="12"/>
        <v>358.82626104000002</v>
      </c>
      <c r="O49" s="2">
        <f t="shared" si="13"/>
        <v>2.8154060481600003</v>
      </c>
      <c r="P49" s="2">
        <f t="shared" si="14"/>
        <v>366.00278626080001</v>
      </c>
      <c r="Q49" s="2">
        <f t="shared" si="15"/>
        <v>2.8717141691232002</v>
      </c>
      <c r="R49" s="2">
        <f t="shared" si="16"/>
        <v>373.32284198601599</v>
      </c>
      <c r="S49" s="2">
        <f t="shared" si="17"/>
        <v>2.9291484525056641</v>
      </c>
      <c r="T49" s="2">
        <f t="shared" si="18"/>
        <v>380.7892988257363</v>
      </c>
      <c r="U49" s="2">
        <f t="shared" si="19"/>
        <v>2.9877314215557775</v>
      </c>
      <c r="V49" s="2">
        <f t="shared" si="20"/>
        <v>388.40508480225105</v>
      </c>
      <c r="W49" s="2">
        <f t="shared" si="21"/>
        <v>3.047486049986893</v>
      </c>
      <c r="X49" s="2">
        <f t="shared" si="22"/>
        <v>396.1731864982961</v>
      </c>
      <c r="Y49" s="2">
        <f t="shared" si="23"/>
        <v>3.108435770986631</v>
      </c>
      <c r="Z49" s="2">
        <f t="shared" si="24"/>
        <v>404.09665022826204</v>
      </c>
      <c r="AA49" s="2">
        <f t="shared" si="25"/>
        <v>3.1706044864063636</v>
      </c>
      <c r="AB49" s="2">
        <f t="shared" si="26"/>
        <v>412.17858323282729</v>
      </c>
      <c r="AC49" s="2">
        <f t="shared" si="27"/>
        <v>3.2340165761344908</v>
      </c>
      <c r="AD49" s="2">
        <f t="shared" si="28"/>
        <v>420.42215489748384</v>
      </c>
      <c r="AE49" s="2">
        <f t="shared" si="29"/>
        <v>3.2986969076571806</v>
      </c>
      <c r="AF49" s="2">
        <f t="shared" si="30"/>
        <v>428.83059799543349</v>
      </c>
      <c r="AG49" s="2">
        <f t="shared" si="31"/>
        <v>3.3646708458103243</v>
      </c>
      <c r="AH49" s="2">
        <f t="shared" si="32"/>
        <v>437.40720995534218</v>
      </c>
    </row>
    <row r="50" spans="1:34">
      <c r="A50" t="str">
        <f t="shared" si="33"/>
        <v>Vegetables</v>
      </c>
      <c r="B50" t="str">
        <f t="shared" si="34"/>
        <v>Gumuz</v>
      </c>
      <c r="C50" s="2">
        <f>(0.5)/0.2</f>
        <v>2.5</v>
      </c>
      <c r="D50" s="2">
        <f>(68)/0.2</f>
        <v>340</v>
      </c>
      <c r="E50" s="2">
        <f t="shared" si="3"/>
        <v>2.5499999999999998</v>
      </c>
      <c r="F50" s="2">
        <f t="shared" si="4"/>
        <v>346.8</v>
      </c>
      <c r="G50" s="2">
        <f t="shared" si="5"/>
        <v>2.601</v>
      </c>
      <c r="H50" s="2">
        <f t="shared" si="6"/>
        <v>353.73599999999999</v>
      </c>
      <c r="I50" s="2">
        <f t="shared" si="7"/>
        <v>2.6530200000000002</v>
      </c>
      <c r="J50" s="2">
        <f t="shared" si="8"/>
        <v>360.81072</v>
      </c>
      <c r="K50" s="2">
        <f t="shared" si="9"/>
        <v>2.7060804000000003</v>
      </c>
      <c r="L50" s="2">
        <f t="shared" si="10"/>
        <v>368.02693440000002</v>
      </c>
      <c r="M50" s="2">
        <f t="shared" si="11"/>
        <v>2.7602020080000003</v>
      </c>
      <c r="N50" s="2">
        <f t="shared" si="12"/>
        <v>375.38747308800004</v>
      </c>
      <c r="O50" s="2">
        <f t="shared" si="13"/>
        <v>2.8154060481600003</v>
      </c>
      <c r="P50" s="2">
        <f t="shared" si="14"/>
        <v>382.89522254976004</v>
      </c>
      <c r="Q50" s="2">
        <f t="shared" si="15"/>
        <v>2.8717141691232002</v>
      </c>
      <c r="R50" s="2">
        <f t="shared" si="16"/>
        <v>390.55312700075524</v>
      </c>
      <c r="S50" s="2">
        <f t="shared" si="17"/>
        <v>2.9291484525056641</v>
      </c>
      <c r="T50" s="2">
        <f t="shared" si="18"/>
        <v>398.36418954077033</v>
      </c>
      <c r="U50" s="2">
        <f t="shared" si="19"/>
        <v>2.9877314215557775</v>
      </c>
      <c r="V50" s="2">
        <f t="shared" si="20"/>
        <v>406.33147333158576</v>
      </c>
      <c r="W50" s="2">
        <f t="shared" si="21"/>
        <v>3.047486049986893</v>
      </c>
      <c r="X50" s="2">
        <f t="shared" si="22"/>
        <v>414.45810279821745</v>
      </c>
      <c r="Y50" s="2">
        <f t="shared" si="23"/>
        <v>3.108435770986631</v>
      </c>
      <c r="Z50" s="2">
        <f t="shared" si="24"/>
        <v>422.74726485418182</v>
      </c>
      <c r="AA50" s="2">
        <f t="shared" si="25"/>
        <v>3.1706044864063636</v>
      </c>
      <c r="AB50" s="2">
        <f t="shared" si="26"/>
        <v>431.20221015126549</v>
      </c>
      <c r="AC50" s="2">
        <f t="shared" si="27"/>
        <v>3.2340165761344908</v>
      </c>
      <c r="AD50" s="2">
        <f t="shared" si="28"/>
        <v>439.82625435429082</v>
      </c>
      <c r="AE50" s="2">
        <f t="shared" si="29"/>
        <v>3.2986969076571806</v>
      </c>
      <c r="AF50" s="2">
        <f t="shared" si="30"/>
        <v>448.62277944137662</v>
      </c>
      <c r="AG50" s="2">
        <f t="shared" si="31"/>
        <v>3.3646708458103243</v>
      </c>
      <c r="AH50" s="2">
        <f t="shared" si="32"/>
        <v>457.59523503020415</v>
      </c>
    </row>
    <row r="51" spans="1:34">
      <c r="A51" t="str">
        <f t="shared" si="33"/>
        <v>Vegetables</v>
      </c>
      <c r="B51" t="str">
        <f t="shared" si="34"/>
        <v>DireDawa</v>
      </c>
      <c r="C51" s="2">
        <f>(0.5)/0.2</f>
        <v>2.5</v>
      </c>
      <c r="D51" s="2">
        <f>(100)/0.2</f>
        <v>500</v>
      </c>
      <c r="E51" s="2">
        <f t="shared" si="3"/>
        <v>2.5499999999999998</v>
      </c>
      <c r="F51" s="2">
        <f t="shared" si="4"/>
        <v>510</v>
      </c>
      <c r="G51" s="2">
        <f t="shared" si="5"/>
        <v>2.601</v>
      </c>
      <c r="H51" s="2">
        <f t="shared" si="6"/>
        <v>520.20000000000005</v>
      </c>
      <c r="I51" s="2">
        <f t="shared" si="7"/>
        <v>2.6530200000000002</v>
      </c>
      <c r="J51" s="2">
        <f t="shared" si="8"/>
        <v>530.60400000000004</v>
      </c>
      <c r="K51" s="2">
        <f t="shared" si="9"/>
        <v>2.7060804000000003</v>
      </c>
      <c r="L51" s="2">
        <f t="shared" si="10"/>
        <v>541.21608000000003</v>
      </c>
      <c r="M51" s="2">
        <f t="shared" si="11"/>
        <v>2.7602020080000003</v>
      </c>
      <c r="N51" s="2">
        <f t="shared" si="12"/>
        <v>552.0404016</v>
      </c>
      <c r="O51" s="2">
        <f t="shared" si="13"/>
        <v>2.8154060481600003</v>
      </c>
      <c r="P51" s="2">
        <f t="shared" si="14"/>
        <v>563.08120963199997</v>
      </c>
      <c r="Q51" s="2">
        <f t="shared" si="15"/>
        <v>2.8717141691232002</v>
      </c>
      <c r="R51" s="2">
        <f t="shared" si="16"/>
        <v>574.34283382464002</v>
      </c>
      <c r="S51" s="2">
        <f t="shared" si="17"/>
        <v>2.9291484525056641</v>
      </c>
      <c r="T51" s="2">
        <f t="shared" si="18"/>
        <v>585.82969050113286</v>
      </c>
      <c r="U51" s="2">
        <f t="shared" si="19"/>
        <v>2.9877314215557775</v>
      </c>
      <c r="V51" s="2">
        <f t="shared" si="20"/>
        <v>597.54628431115555</v>
      </c>
      <c r="W51" s="2">
        <f t="shared" si="21"/>
        <v>3.047486049986893</v>
      </c>
      <c r="X51" s="2">
        <f t="shared" si="22"/>
        <v>609.49720999737872</v>
      </c>
      <c r="Y51" s="2">
        <f t="shared" si="23"/>
        <v>3.108435770986631</v>
      </c>
      <c r="Z51" s="2">
        <f t="shared" si="24"/>
        <v>621.68715419732632</v>
      </c>
      <c r="AA51" s="2">
        <f t="shared" si="25"/>
        <v>3.1706044864063636</v>
      </c>
      <c r="AB51" s="2">
        <f t="shared" si="26"/>
        <v>634.12089728127285</v>
      </c>
      <c r="AC51" s="2">
        <f t="shared" si="27"/>
        <v>3.2340165761344908</v>
      </c>
      <c r="AD51" s="2">
        <f t="shared" si="28"/>
        <v>646.80331522689835</v>
      </c>
      <c r="AE51" s="2">
        <f t="shared" si="29"/>
        <v>3.2986969076571806</v>
      </c>
      <c r="AF51" s="2">
        <f t="shared" si="30"/>
        <v>659.73938153143638</v>
      </c>
      <c r="AG51" s="2">
        <f t="shared" si="31"/>
        <v>3.3646708458103243</v>
      </c>
      <c r="AH51" s="2">
        <f t="shared" si="32"/>
        <v>672.93416916206513</v>
      </c>
    </row>
    <row r="52" spans="1:34">
      <c r="A52" t="str">
        <f t="shared" si="33"/>
        <v>Vegetables</v>
      </c>
      <c r="B52" t="str">
        <f t="shared" si="34"/>
        <v>Gambela</v>
      </c>
      <c r="C52" s="2">
        <f>(0)/0.2</f>
        <v>0</v>
      </c>
      <c r="D52" s="2">
        <f>(82)/0.2</f>
        <v>410</v>
      </c>
      <c r="E52" s="2">
        <f t="shared" si="3"/>
        <v>0</v>
      </c>
      <c r="F52" s="2">
        <f t="shared" si="4"/>
        <v>418.2</v>
      </c>
      <c r="G52" s="2">
        <f t="shared" si="5"/>
        <v>0</v>
      </c>
      <c r="H52" s="2">
        <f t="shared" si="6"/>
        <v>426.56400000000002</v>
      </c>
      <c r="I52" s="2">
        <f t="shared" si="7"/>
        <v>0</v>
      </c>
      <c r="J52" s="2">
        <f t="shared" si="8"/>
        <v>435.09528</v>
      </c>
      <c r="K52" s="2">
        <f t="shared" si="9"/>
        <v>0</v>
      </c>
      <c r="L52" s="2">
        <f t="shared" si="10"/>
        <v>443.79718560000003</v>
      </c>
      <c r="M52" s="2">
        <f t="shared" si="11"/>
        <v>0</v>
      </c>
      <c r="N52" s="2">
        <f t="shared" si="12"/>
        <v>452.67312931200001</v>
      </c>
      <c r="O52" s="2">
        <f t="shared" si="13"/>
        <v>0</v>
      </c>
      <c r="P52" s="2">
        <f t="shared" si="14"/>
        <v>461.72659189824003</v>
      </c>
      <c r="Q52" s="2">
        <f t="shared" si="15"/>
        <v>0</v>
      </c>
      <c r="R52" s="2">
        <f t="shared" si="16"/>
        <v>470.96112373620485</v>
      </c>
      <c r="S52" s="2">
        <f t="shared" si="17"/>
        <v>0</v>
      </c>
      <c r="T52" s="2">
        <f t="shared" si="18"/>
        <v>480.38034621092896</v>
      </c>
      <c r="U52" s="2">
        <f t="shared" si="19"/>
        <v>0</v>
      </c>
      <c r="V52" s="2">
        <f t="shared" si="20"/>
        <v>489.98795313514756</v>
      </c>
      <c r="W52" s="2">
        <f t="shared" si="21"/>
        <v>0</v>
      </c>
      <c r="X52" s="2">
        <f t="shared" si="22"/>
        <v>499.78771219785051</v>
      </c>
      <c r="Y52" s="2">
        <f t="shared" si="23"/>
        <v>0</v>
      </c>
      <c r="Z52" s="2">
        <f t="shared" si="24"/>
        <v>509.78346644180755</v>
      </c>
      <c r="AA52" s="2">
        <f t="shared" si="25"/>
        <v>0</v>
      </c>
      <c r="AB52" s="2">
        <f t="shared" si="26"/>
        <v>519.97913577064367</v>
      </c>
      <c r="AC52" s="2">
        <f t="shared" si="27"/>
        <v>0</v>
      </c>
      <c r="AD52" s="2">
        <f t="shared" si="28"/>
        <v>530.37871848605653</v>
      </c>
      <c r="AE52" s="2">
        <f t="shared" si="29"/>
        <v>0</v>
      </c>
      <c r="AF52" s="2">
        <f t="shared" si="30"/>
        <v>540.98629285577772</v>
      </c>
      <c r="AG52" s="2">
        <f t="shared" si="31"/>
        <v>0</v>
      </c>
      <c r="AH52" s="2">
        <f t="shared" si="32"/>
        <v>551.80601871289332</v>
      </c>
    </row>
    <row r="53" spans="1:34">
      <c r="A53" t="str">
        <f t="shared" si="33"/>
        <v>Vegetables</v>
      </c>
      <c r="B53" t="str">
        <f t="shared" si="34"/>
        <v>Harari</v>
      </c>
      <c r="C53" s="2">
        <f>(0.5)/0.2</f>
        <v>2.5</v>
      </c>
      <c r="D53" s="2">
        <f>(82)/0.2</f>
        <v>410</v>
      </c>
      <c r="E53" s="2">
        <f t="shared" si="3"/>
        <v>2.5499999999999998</v>
      </c>
      <c r="F53" s="2">
        <f t="shared" si="4"/>
        <v>418.2</v>
      </c>
      <c r="G53" s="2">
        <f t="shared" si="5"/>
        <v>2.601</v>
      </c>
      <c r="H53" s="2">
        <f t="shared" si="6"/>
        <v>426.56400000000002</v>
      </c>
      <c r="I53" s="2">
        <f t="shared" si="7"/>
        <v>2.6530200000000002</v>
      </c>
      <c r="J53" s="2">
        <f t="shared" si="8"/>
        <v>435.09528</v>
      </c>
      <c r="K53" s="2">
        <f t="shared" si="9"/>
        <v>2.7060804000000003</v>
      </c>
      <c r="L53" s="2">
        <f t="shared" si="10"/>
        <v>443.79718560000003</v>
      </c>
      <c r="M53" s="2">
        <f t="shared" si="11"/>
        <v>2.7602020080000003</v>
      </c>
      <c r="N53" s="2">
        <f t="shared" si="12"/>
        <v>452.67312931200001</v>
      </c>
      <c r="O53" s="2">
        <f t="shared" si="13"/>
        <v>2.8154060481600003</v>
      </c>
      <c r="P53" s="2">
        <f t="shared" si="14"/>
        <v>461.72659189824003</v>
      </c>
      <c r="Q53" s="2">
        <f t="shared" si="15"/>
        <v>2.8717141691232002</v>
      </c>
      <c r="R53" s="2">
        <f t="shared" si="16"/>
        <v>470.96112373620485</v>
      </c>
      <c r="S53" s="2">
        <f t="shared" si="17"/>
        <v>2.9291484525056641</v>
      </c>
      <c r="T53" s="2">
        <f t="shared" si="18"/>
        <v>480.38034621092896</v>
      </c>
      <c r="U53" s="2">
        <f t="shared" si="19"/>
        <v>2.9877314215557775</v>
      </c>
      <c r="V53" s="2">
        <f t="shared" si="20"/>
        <v>489.98795313514756</v>
      </c>
      <c r="W53" s="2">
        <f t="shared" si="21"/>
        <v>3.047486049986893</v>
      </c>
      <c r="X53" s="2">
        <f t="shared" si="22"/>
        <v>499.78771219785051</v>
      </c>
      <c r="Y53" s="2">
        <f t="shared" si="23"/>
        <v>3.108435770986631</v>
      </c>
      <c r="Z53" s="2">
        <f t="shared" si="24"/>
        <v>509.78346644180755</v>
      </c>
      <c r="AA53" s="2">
        <f t="shared" si="25"/>
        <v>3.1706044864063636</v>
      </c>
      <c r="AB53" s="2">
        <f t="shared" si="26"/>
        <v>519.97913577064367</v>
      </c>
      <c r="AC53" s="2">
        <f t="shared" si="27"/>
        <v>3.2340165761344908</v>
      </c>
      <c r="AD53" s="2">
        <f t="shared" si="28"/>
        <v>530.37871848605653</v>
      </c>
      <c r="AE53" s="2">
        <f t="shared" si="29"/>
        <v>3.2986969076571806</v>
      </c>
      <c r="AF53" s="2">
        <f t="shared" si="30"/>
        <v>540.98629285577772</v>
      </c>
      <c r="AG53" s="2">
        <f t="shared" si="31"/>
        <v>3.3646708458103243</v>
      </c>
      <c r="AH53" s="2">
        <f t="shared" si="32"/>
        <v>551.80601871289332</v>
      </c>
    </row>
    <row r="54" spans="1:34">
      <c r="A54" t="str">
        <f t="shared" si="33"/>
        <v>Vegetables</v>
      </c>
      <c r="B54" t="str">
        <f t="shared" si="34"/>
        <v>Oromia</v>
      </c>
      <c r="C54" s="2">
        <f>(0.5)/0.2</f>
        <v>2.5</v>
      </c>
      <c r="D54" s="2">
        <f>(65)/0.2</f>
        <v>325</v>
      </c>
      <c r="E54" s="2">
        <f t="shared" si="3"/>
        <v>2.5499999999999998</v>
      </c>
      <c r="F54" s="2">
        <f t="shared" si="4"/>
        <v>331.5</v>
      </c>
      <c r="G54" s="2">
        <f t="shared" si="5"/>
        <v>2.601</v>
      </c>
      <c r="H54" s="2">
        <f t="shared" si="6"/>
        <v>338.13</v>
      </c>
      <c r="I54" s="2">
        <f t="shared" si="7"/>
        <v>2.6530200000000002</v>
      </c>
      <c r="J54" s="2">
        <f t="shared" si="8"/>
        <v>344.89260000000002</v>
      </c>
      <c r="K54" s="2">
        <f t="shared" si="9"/>
        <v>2.7060804000000003</v>
      </c>
      <c r="L54" s="2">
        <f t="shared" si="10"/>
        <v>351.79045200000002</v>
      </c>
      <c r="M54" s="2">
        <f t="shared" si="11"/>
        <v>2.7602020080000003</v>
      </c>
      <c r="N54" s="2">
        <f t="shared" si="12"/>
        <v>358.82626104000002</v>
      </c>
      <c r="O54" s="2">
        <f t="shared" si="13"/>
        <v>2.8154060481600003</v>
      </c>
      <c r="P54" s="2">
        <f t="shared" si="14"/>
        <v>366.00278626080001</v>
      </c>
      <c r="Q54" s="2">
        <f t="shared" si="15"/>
        <v>2.8717141691232002</v>
      </c>
      <c r="R54" s="2">
        <f t="shared" si="16"/>
        <v>373.32284198601599</v>
      </c>
      <c r="S54" s="2">
        <f t="shared" si="17"/>
        <v>2.9291484525056641</v>
      </c>
      <c r="T54" s="2">
        <f t="shared" si="18"/>
        <v>380.7892988257363</v>
      </c>
      <c r="U54" s="2">
        <f t="shared" si="19"/>
        <v>2.9877314215557775</v>
      </c>
      <c r="V54" s="2">
        <f t="shared" si="20"/>
        <v>388.40508480225105</v>
      </c>
      <c r="W54" s="2">
        <f t="shared" si="21"/>
        <v>3.047486049986893</v>
      </c>
      <c r="X54" s="2">
        <f t="shared" si="22"/>
        <v>396.1731864982961</v>
      </c>
      <c r="Y54" s="2">
        <f t="shared" si="23"/>
        <v>3.108435770986631</v>
      </c>
      <c r="Z54" s="2">
        <f t="shared" si="24"/>
        <v>404.09665022826204</v>
      </c>
      <c r="AA54" s="2">
        <f t="shared" si="25"/>
        <v>3.1706044864063636</v>
      </c>
      <c r="AB54" s="2">
        <f t="shared" si="26"/>
        <v>412.17858323282729</v>
      </c>
      <c r="AC54" s="2">
        <f t="shared" si="27"/>
        <v>3.2340165761344908</v>
      </c>
      <c r="AD54" s="2">
        <f t="shared" si="28"/>
        <v>420.42215489748384</v>
      </c>
      <c r="AE54" s="2">
        <f t="shared" si="29"/>
        <v>3.2986969076571806</v>
      </c>
      <c r="AF54" s="2">
        <f t="shared" si="30"/>
        <v>428.83059799543349</v>
      </c>
      <c r="AG54" s="2">
        <f t="shared" si="31"/>
        <v>3.3646708458103243</v>
      </c>
      <c r="AH54" s="2">
        <f t="shared" si="32"/>
        <v>437.40720995534218</v>
      </c>
    </row>
    <row r="55" spans="1:34">
      <c r="A55" t="str">
        <f t="shared" si="33"/>
        <v>Vegetables</v>
      </c>
      <c r="B55" t="str">
        <f t="shared" si="34"/>
        <v>Somali</v>
      </c>
      <c r="C55" s="2">
        <f>(0.5)/0.2</f>
        <v>2.5</v>
      </c>
      <c r="D55" s="2">
        <f>(0)/0.2</f>
        <v>0</v>
      </c>
      <c r="E55" s="2">
        <f t="shared" si="3"/>
        <v>2.5499999999999998</v>
      </c>
      <c r="F55" s="2">
        <f t="shared" si="4"/>
        <v>0</v>
      </c>
      <c r="G55" s="2">
        <f t="shared" si="5"/>
        <v>2.601</v>
      </c>
      <c r="H55" s="2">
        <f t="shared" si="6"/>
        <v>0</v>
      </c>
      <c r="I55" s="2">
        <f t="shared" si="7"/>
        <v>2.6530200000000002</v>
      </c>
      <c r="J55" s="2">
        <f t="shared" si="8"/>
        <v>0</v>
      </c>
      <c r="K55" s="2">
        <f t="shared" si="9"/>
        <v>2.7060804000000003</v>
      </c>
      <c r="L55" s="2">
        <f t="shared" si="10"/>
        <v>0</v>
      </c>
      <c r="M55" s="2">
        <f t="shared" si="11"/>
        <v>2.7602020080000003</v>
      </c>
      <c r="N55" s="2">
        <f t="shared" si="12"/>
        <v>0</v>
      </c>
      <c r="O55" s="2">
        <f t="shared" si="13"/>
        <v>2.8154060481600003</v>
      </c>
      <c r="P55" s="2">
        <f t="shared" si="14"/>
        <v>0</v>
      </c>
      <c r="Q55" s="2">
        <f t="shared" si="15"/>
        <v>2.8717141691232002</v>
      </c>
      <c r="R55" s="2">
        <f t="shared" si="16"/>
        <v>0</v>
      </c>
      <c r="S55" s="2">
        <f t="shared" si="17"/>
        <v>2.9291484525056641</v>
      </c>
      <c r="T55" s="2">
        <f t="shared" si="18"/>
        <v>0</v>
      </c>
      <c r="U55" s="2">
        <f t="shared" si="19"/>
        <v>2.9877314215557775</v>
      </c>
      <c r="V55" s="2">
        <f t="shared" si="20"/>
        <v>0</v>
      </c>
      <c r="W55" s="2">
        <f t="shared" si="21"/>
        <v>3.047486049986893</v>
      </c>
      <c r="X55" s="2">
        <f t="shared" si="22"/>
        <v>0</v>
      </c>
      <c r="Y55" s="2">
        <f t="shared" si="23"/>
        <v>3.108435770986631</v>
      </c>
      <c r="Z55" s="2">
        <f t="shared" si="24"/>
        <v>0</v>
      </c>
      <c r="AA55" s="2">
        <f t="shared" si="25"/>
        <v>3.1706044864063636</v>
      </c>
      <c r="AB55" s="2">
        <f t="shared" si="26"/>
        <v>0</v>
      </c>
      <c r="AC55" s="2">
        <f t="shared" si="27"/>
        <v>3.2340165761344908</v>
      </c>
      <c r="AD55" s="2">
        <f t="shared" si="28"/>
        <v>0</v>
      </c>
      <c r="AE55" s="2">
        <f t="shared" si="29"/>
        <v>3.2986969076571806</v>
      </c>
      <c r="AF55" s="2">
        <f t="shared" si="30"/>
        <v>0</v>
      </c>
      <c r="AG55" s="2">
        <f t="shared" si="31"/>
        <v>3.3646708458103243</v>
      </c>
      <c r="AH55" s="2">
        <f t="shared" si="32"/>
        <v>0</v>
      </c>
    </row>
    <row r="56" spans="1:34">
      <c r="A56" t="str">
        <f t="shared" si="33"/>
        <v>Vegetables</v>
      </c>
      <c r="B56" t="str">
        <f t="shared" si="34"/>
        <v>SNNPR</v>
      </c>
      <c r="C56" s="2">
        <f>(0.5)/0.2</f>
        <v>2.5</v>
      </c>
      <c r="D56" s="2">
        <f>(91)/0.2</f>
        <v>455</v>
      </c>
      <c r="E56" s="2">
        <f t="shared" si="3"/>
        <v>2.5499999999999998</v>
      </c>
      <c r="F56" s="2">
        <f t="shared" si="4"/>
        <v>464.1</v>
      </c>
      <c r="G56" s="2">
        <f t="shared" si="5"/>
        <v>2.601</v>
      </c>
      <c r="H56" s="2">
        <f t="shared" si="6"/>
        <v>473.38200000000001</v>
      </c>
      <c r="I56" s="2">
        <f t="shared" si="7"/>
        <v>2.6530200000000002</v>
      </c>
      <c r="J56" s="2">
        <f t="shared" si="8"/>
        <v>482.84964000000002</v>
      </c>
      <c r="K56" s="2">
        <f t="shared" si="9"/>
        <v>2.7060804000000003</v>
      </c>
      <c r="L56" s="2">
        <f t="shared" si="10"/>
        <v>492.50663280000003</v>
      </c>
      <c r="M56" s="2">
        <f t="shared" si="11"/>
        <v>2.7602020080000003</v>
      </c>
      <c r="N56" s="2">
        <f t="shared" si="12"/>
        <v>502.35676545600006</v>
      </c>
      <c r="O56" s="2">
        <f t="shared" si="13"/>
        <v>2.8154060481600003</v>
      </c>
      <c r="P56" s="2">
        <f t="shared" si="14"/>
        <v>512.40390076512006</v>
      </c>
      <c r="Q56" s="2">
        <f t="shared" si="15"/>
        <v>2.8717141691232002</v>
      </c>
      <c r="R56" s="2">
        <f t="shared" si="16"/>
        <v>522.6519787804225</v>
      </c>
      <c r="S56" s="2">
        <f t="shared" si="17"/>
        <v>2.9291484525056641</v>
      </c>
      <c r="T56" s="2">
        <f t="shared" si="18"/>
        <v>533.105018356031</v>
      </c>
      <c r="U56" s="2">
        <f t="shared" si="19"/>
        <v>2.9877314215557775</v>
      </c>
      <c r="V56" s="2">
        <f t="shared" si="20"/>
        <v>543.76711872315161</v>
      </c>
      <c r="W56" s="2">
        <f t="shared" si="21"/>
        <v>3.047486049986893</v>
      </c>
      <c r="X56" s="2">
        <f t="shared" si="22"/>
        <v>554.64246109761461</v>
      </c>
      <c r="Y56" s="2">
        <f t="shared" si="23"/>
        <v>3.108435770986631</v>
      </c>
      <c r="Z56" s="2">
        <f t="shared" si="24"/>
        <v>565.73531031956691</v>
      </c>
      <c r="AA56" s="2">
        <f t="shared" si="25"/>
        <v>3.1706044864063636</v>
      </c>
      <c r="AB56" s="2">
        <f t="shared" si="26"/>
        <v>577.0500165259582</v>
      </c>
      <c r="AC56" s="2">
        <f t="shared" si="27"/>
        <v>3.2340165761344908</v>
      </c>
      <c r="AD56" s="2">
        <f t="shared" si="28"/>
        <v>588.59101685647738</v>
      </c>
      <c r="AE56" s="2">
        <f t="shared" si="29"/>
        <v>3.2986969076571806</v>
      </c>
      <c r="AF56" s="2">
        <f t="shared" si="30"/>
        <v>600.36283719360699</v>
      </c>
      <c r="AG56" s="2">
        <f t="shared" si="31"/>
        <v>3.3646708458103243</v>
      </c>
      <c r="AH56" s="2">
        <f t="shared" si="32"/>
        <v>612.37009393747917</v>
      </c>
    </row>
    <row r="57" spans="1:34">
      <c r="A57" t="str">
        <f t="shared" si="33"/>
        <v>Vegetables</v>
      </c>
      <c r="B57" t="str">
        <f t="shared" si="34"/>
        <v>Tigray</v>
      </c>
      <c r="C57" s="2">
        <f>(0.5)/0.2</f>
        <v>2.5</v>
      </c>
      <c r="D57" s="2">
        <f>(90)/0.2</f>
        <v>450</v>
      </c>
      <c r="E57" s="2">
        <f t="shared" si="3"/>
        <v>2.5499999999999998</v>
      </c>
      <c r="F57" s="2">
        <f t="shared" si="4"/>
        <v>459</v>
      </c>
      <c r="G57" s="2">
        <f t="shared" si="5"/>
        <v>2.601</v>
      </c>
      <c r="H57" s="2">
        <f t="shared" si="6"/>
        <v>468.18</v>
      </c>
      <c r="I57" s="2">
        <f t="shared" si="7"/>
        <v>2.6530200000000002</v>
      </c>
      <c r="J57" s="2">
        <f t="shared" si="8"/>
        <v>477.54360000000003</v>
      </c>
      <c r="K57" s="2">
        <f t="shared" si="9"/>
        <v>2.7060804000000003</v>
      </c>
      <c r="L57" s="2">
        <f t="shared" si="10"/>
        <v>487.09447200000005</v>
      </c>
      <c r="M57" s="2">
        <f t="shared" si="11"/>
        <v>2.7602020080000003</v>
      </c>
      <c r="N57" s="2">
        <f t="shared" si="12"/>
        <v>496.83636144000008</v>
      </c>
      <c r="O57" s="2">
        <f t="shared" si="13"/>
        <v>2.8154060481600003</v>
      </c>
      <c r="P57" s="2">
        <f t="shared" si="14"/>
        <v>506.77308866880009</v>
      </c>
      <c r="Q57" s="2">
        <f t="shared" si="15"/>
        <v>2.8717141691232002</v>
      </c>
      <c r="R57" s="2">
        <f t="shared" si="16"/>
        <v>516.90855044217608</v>
      </c>
      <c r="S57" s="2">
        <f t="shared" si="17"/>
        <v>2.9291484525056641</v>
      </c>
      <c r="T57" s="2">
        <f t="shared" si="18"/>
        <v>527.24672145101965</v>
      </c>
      <c r="U57" s="2">
        <f t="shared" si="19"/>
        <v>2.9877314215557775</v>
      </c>
      <c r="V57" s="2">
        <f t="shared" si="20"/>
        <v>537.79165588004003</v>
      </c>
      <c r="W57" s="2">
        <f t="shared" si="21"/>
        <v>3.047486049986893</v>
      </c>
      <c r="X57" s="2">
        <f t="shared" si="22"/>
        <v>548.54748899764081</v>
      </c>
      <c r="Y57" s="2">
        <f t="shared" si="23"/>
        <v>3.108435770986631</v>
      </c>
      <c r="Z57" s="2">
        <f t="shared" si="24"/>
        <v>559.51843877759359</v>
      </c>
      <c r="AA57" s="2">
        <f t="shared" si="25"/>
        <v>3.1706044864063636</v>
      </c>
      <c r="AB57" s="2">
        <f t="shared" si="26"/>
        <v>570.70880755314545</v>
      </c>
      <c r="AC57" s="2">
        <f t="shared" si="27"/>
        <v>3.2340165761344908</v>
      </c>
      <c r="AD57" s="2">
        <f t="shared" si="28"/>
        <v>582.12298370420842</v>
      </c>
      <c r="AE57" s="2">
        <f t="shared" si="29"/>
        <v>3.2986969076571806</v>
      </c>
      <c r="AF57" s="2">
        <f t="shared" si="30"/>
        <v>593.76544337829262</v>
      </c>
      <c r="AG57" s="2">
        <f t="shared" si="31"/>
        <v>3.3646708458103243</v>
      </c>
      <c r="AH57" s="2">
        <f t="shared" si="32"/>
        <v>605.64075224585849</v>
      </c>
    </row>
    <row r="58" spans="1:34">
      <c r="A58" t="str">
        <f t="shared" si="33"/>
        <v>Coffee</v>
      </c>
      <c r="B58" t="str">
        <f t="shared" si="34"/>
        <v>AddisAbaba</v>
      </c>
      <c r="C58" s="2">
        <f>(0)/0.2</f>
        <v>0</v>
      </c>
      <c r="D58" s="2">
        <f>(0)/0.2</f>
        <v>0</v>
      </c>
      <c r="E58" s="2">
        <f t="shared" si="3"/>
        <v>0</v>
      </c>
      <c r="F58" s="2">
        <f t="shared" si="4"/>
        <v>0</v>
      </c>
      <c r="G58" s="2">
        <f t="shared" si="5"/>
        <v>0</v>
      </c>
      <c r="H58" s="2">
        <f t="shared" si="6"/>
        <v>0</v>
      </c>
      <c r="I58" s="2">
        <f t="shared" si="7"/>
        <v>0</v>
      </c>
      <c r="J58" s="2">
        <f t="shared" si="8"/>
        <v>0</v>
      </c>
      <c r="K58" s="2">
        <f t="shared" si="9"/>
        <v>0</v>
      </c>
      <c r="L58" s="2">
        <f t="shared" si="10"/>
        <v>0</v>
      </c>
      <c r="M58" s="2">
        <f t="shared" si="11"/>
        <v>0</v>
      </c>
      <c r="N58" s="2">
        <f t="shared" si="12"/>
        <v>0</v>
      </c>
      <c r="O58" s="2">
        <f t="shared" si="13"/>
        <v>0</v>
      </c>
      <c r="P58" s="2">
        <f t="shared" si="14"/>
        <v>0</v>
      </c>
      <c r="Q58" s="2">
        <f t="shared" si="15"/>
        <v>0</v>
      </c>
      <c r="R58" s="2">
        <f t="shared" si="16"/>
        <v>0</v>
      </c>
      <c r="S58" s="2">
        <f t="shared" si="17"/>
        <v>0</v>
      </c>
      <c r="T58" s="2">
        <f t="shared" si="18"/>
        <v>0</v>
      </c>
      <c r="U58" s="2">
        <f t="shared" si="19"/>
        <v>0</v>
      </c>
      <c r="V58" s="2">
        <f t="shared" si="20"/>
        <v>0</v>
      </c>
      <c r="W58" s="2">
        <f t="shared" si="21"/>
        <v>0</v>
      </c>
      <c r="X58" s="2">
        <f t="shared" si="22"/>
        <v>0</v>
      </c>
      <c r="Y58" s="2">
        <f t="shared" si="23"/>
        <v>0</v>
      </c>
      <c r="Z58" s="2">
        <f t="shared" si="24"/>
        <v>0</v>
      </c>
      <c r="AA58" s="2">
        <f t="shared" si="25"/>
        <v>0</v>
      </c>
      <c r="AB58" s="2">
        <f t="shared" si="26"/>
        <v>0</v>
      </c>
      <c r="AC58" s="2">
        <f t="shared" si="27"/>
        <v>0</v>
      </c>
      <c r="AD58" s="2">
        <f t="shared" si="28"/>
        <v>0</v>
      </c>
      <c r="AE58" s="2">
        <f t="shared" si="29"/>
        <v>0</v>
      </c>
      <c r="AF58" s="2">
        <f t="shared" si="30"/>
        <v>0</v>
      </c>
      <c r="AG58" s="2">
        <f t="shared" si="31"/>
        <v>0</v>
      </c>
      <c r="AH58" s="2">
        <f t="shared" si="32"/>
        <v>0</v>
      </c>
    </row>
    <row r="59" spans="1:34">
      <c r="A59" t="str">
        <f t="shared" si="33"/>
        <v>Coffee</v>
      </c>
      <c r="B59" t="str">
        <f t="shared" si="34"/>
        <v>Afar</v>
      </c>
      <c r="C59" s="2">
        <f>(0.5)/0.2</f>
        <v>2.5</v>
      </c>
      <c r="D59" s="2">
        <f>(0)/0.2</f>
        <v>0</v>
      </c>
      <c r="E59" s="2">
        <f t="shared" si="3"/>
        <v>2.5499999999999998</v>
      </c>
      <c r="F59" s="2">
        <f t="shared" si="4"/>
        <v>0</v>
      </c>
      <c r="G59" s="2">
        <f t="shared" si="5"/>
        <v>2.601</v>
      </c>
      <c r="H59" s="2">
        <f t="shared" si="6"/>
        <v>0</v>
      </c>
      <c r="I59" s="2">
        <f t="shared" si="7"/>
        <v>2.6530200000000002</v>
      </c>
      <c r="J59" s="2">
        <f t="shared" si="8"/>
        <v>0</v>
      </c>
      <c r="K59" s="2">
        <f t="shared" si="9"/>
        <v>2.7060804000000003</v>
      </c>
      <c r="L59" s="2">
        <f t="shared" si="10"/>
        <v>0</v>
      </c>
      <c r="M59" s="2">
        <f t="shared" si="11"/>
        <v>2.7602020080000003</v>
      </c>
      <c r="N59" s="2">
        <f t="shared" si="12"/>
        <v>0</v>
      </c>
      <c r="O59" s="2">
        <f t="shared" si="13"/>
        <v>2.8154060481600003</v>
      </c>
      <c r="P59" s="2">
        <f t="shared" si="14"/>
        <v>0</v>
      </c>
      <c r="Q59" s="2">
        <f t="shared" si="15"/>
        <v>2.8717141691232002</v>
      </c>
      <c r="R59" s="2">
        <f t="shared" si="16"/>
        <v>0</v>
      </c>
      <c r="S59" s="2">
        <f t="shared" si="17"/>
        <v>2.9291484525056641</v>
      </c>
      <c r="T59" s="2">
        <f t="shared" si="18"/>
        <v>0</v>
      </c>
      <c r="U59" s="2">
        <f t="shared" si="19"/>
        <v>2.9877314215557775</v>
      </c>
      <c r="V59" s="2">
        <f t="shared" si="20"/>
        <v>0</v>
      </c>
      <c r="W59" s="2">
        <f t="shared" si="21"/>
        <v>3.047486049986893</v>
      </c>
      <c r="X59" s="2">
        <f t="shared" si="22"/>
        <v>0</v>
      </c>
      <c r="Y59" s="2">
        <f t="shared" si="23"/>
        <v>3.108435770986631</v>
      </c>
      <c r="Z59" s="2">
        <f t="shared" si="24"/>
        <v>0</v>
      </c>
      <c r="AA59" s="2">
        <f t="shared" si="25"/>
        <v>3.1706044864063636</v>
      </c>
      <c r="AB59" s="2">
        <f t="shared" si="26"/>
        <v>0</v>
      </c>
      <c r="AC59" s="2">
        <f t="shared" si="27"/>
        <v>3.2340165761344908</v>
      </c>
      <c r="AD59" s="2">
        <f t="shared" si="28"/>
        <v>0</v>
      </c>
      <c r="AE59" s="2">
        <f t="shared" si="29"/>
        <v>3.2986969076571806</v>
      </c>
      <c r="AF59" s="2">
        <f t="shared" si="30"/>
        <v>0</v>
      </c>
      <c r="AG59" s="2">
        <f t="shared" si="31"/>
        <v>3.3646708458103243</v>
      </c>
      <c r="AH59" s="2">
        <f t="shared" si="32"/>
        <v>0</v>
      </c>
    </row>
    <row r="60" spans="1:34">
      <c r="A60" t="str">
        <f t="shared" si="33"/>
        <v>Coffee</v>
      </c>
      <c r="B60" t="str">
        <f t="shared" si="34"/>
        <v>Amhara</v>
      </c>
      <c r="C60" s="2">
        <f>(0.5)/0.2</f>
        <v>2.5</v>
      </c>
      <c r="D60" s="2">
        <f>(7)/0.2</f>
        <v>35</v>
      </c>
      <c r="E60" s="2">
        <f t="shared" si="3"/>
        <v>2.5499999999999998</v>
      </c>
      <c r="F60" s="2">
        <f t="shared" si="4"/>
        <v>35.700000000000003</v>
      </c>
      <c r="G60" s="2">
        <f t="shared" si="5"/>
        <v>2.601</v>
      </c>
      <c r="H60" s="2">
        <f t="shared" si="6"/>
        <v>36.414000000000001</v>
      </c>
      <c r="I60" s="2">
        <f t="shared" si="7"/>
        <v>2.6530200000000002</v>
      </c>
      <c r="J60" s="2">
        <f t="shared" si="8"/>
        <v>37.14228</v>
      </c>
      <c r="K60" s="2">
        <f t="shared" si="9"/>
        <v>2.7060804000000003</v>
      </c>
      <c r="L60" s="2">
        <f t="shared" si="10"/>
        <v>37.885125600000002</v>
      </c>
      <c r="M60" s="2">
        <f t="shared" si="11"/>
        <v>2.7602020080000003</v>
      </c>
      <c r="N60" s="2">
        <f t="shared" si="12"/>
        <v>38.642828112000004</v>
      </c>
      <c r="O60" s="2">
        <f t="shared" si="13"/>
        <v>2.8154060481600003</v>
      </c>
      <c r="P60" s="2">
        <f t="shared" si="14"/>
        <v>39.415684674240005</v>
      </c>
      <c r="Q60" s="2">
        <f t="shared" si="15"/>
        <v>2.8717141691232002</v>
      </c>
      <c r="R60" s="2">
        <f t="shared" si="16"/>
        <v>40.203998367724807</v>
      </c>
      <c r="S60" s="2">
        <f t="shared" si="17"/>
        <v>2.9291484525056641</v>
      </c>
      <c r="T60" s="2">
        <f t="shared" si="18"/>
        <v>41.008078335079304</v>
      </c>
      <c r="U60" s="2">
        <f t="shared" si="19"/>
        <v>2.9877314215557775</v>
      </c>
      <c r="V60" s="2">
        <f t="shared" si="20"/>
        <v>41.82823990178089</v>
      </c>
      <c r="W60" s="2">
        <f t="shared" si="21"/>
        <v>3.047486049986893</v>
      </c>
      <c r="X60" s="2">
        <f t="shared" si="22"/>
        <v>42.664804699816507</v>
      </c>
      <c r="Y60" s="2">
        <f t="shared" si="23"/>
        <v>3.108435770986631</v>
      </c>
      <c r="Z60" s="2">
        <f t="shared" si="24"/>
        <v>43.518100793812835</v>
      </c>
      <c r="AA60" s="2">
        <f t="shared" si="25"/>
        <v>3.1706044864063636</v>
      </c>
      <c r="AB60" s="2">
        <f t="shared" si="26"/>
        <v>44.388462809689095</v>
      </c>
      <c r="AC60" s="2">
        <f t="shared" si="27"/>
        <v>3.2340165761344908</v>
      </c>
      <c r="AD60" s="2">
        <f t="shared" si="28"/>
        <v>45.27623206588288</v>
      </c>
      <c r="AE60" s="2">
        <f t="shared" si="29"/>
        <v>3.2986969076571806</v>
      </c>
      <c r="AF60" s="2">
        <f t="shared" si="30"/>
        <v>46.181756707200542</v>
      </c>
      <c r="AG60" s="2">
        <f t="shared" si="31"/>
        <v>3.3646708458103243</v>
      </c>
      <c r="AH60" s="2">
        <f t="shared" si="32"/>
        <v>47.105391841344556</v>
      </c>
    </row>
    <row r="61" spans="1:34">
      <c r="A61" t="str">
        <f t="shared" si="33"/>
        <v>Coffee</v>
      </c>
      <c r="B61" t="str">
        <f t="shared" si="34"/>
        <v>Gumuz</v>
      </c>
      <c r="C61" s="2">
        <f>(0.5)/0.2</f>
        <v>2.5</v>
      </c>
      <c r="D61" s="2">
        <f>(9)/0.2</f>
        <v>45</v>
      </c>
      <c r="E61" s="2">
        <f t="shared" si="3"/>
        <v>2.5499999999999998</v>
      </c>
      <c r="F61" s="2">
        <f t="shared" si="4"/>
        <v>45.9</v>
      </c>
      <c r="G61" s="2">
        <f t="shared" si="5"/>
        <v>2.601</v>
      </c>
      <c r="H61" s="2">
        <f t="shared" si="6"/>
        <v>46.817999999999998</v>
      </c>
      <c r="I61" s="2">
        <f t="shared" si="7"/>
        <v>2.6530200000000002</v>
      </c>
      <c r="J61" s="2">
        <f t="shared" si="8"/>
        <v>47.754359999999998</v>
      </c>
      <c r="K61" s="2">
        <f t="shared" si="9"/>
        <v>2.7060804000000003</v>
      </c>
      <c r="L61" s="2">
        <f t="shared" si="10"/>
        <v>48.7094472</v>
      </c>
      <c r="M61" s="2">
        <f t="shared" si="11"/>
        <v>2.7602020080000003</v>
      </c>
      <c r="N61" s="2">
        <f t="shared" si="12"/>
        <v>49.683636143999998</v>
      </c>
      <c r="O61" s="2">
        <f t="shared" si="13"/>
        <v>2.8154060481600003</v>
      </c>
      <c r="P61" s="2">
        <f t="shared" si="14"/>
        <v>50.677308866879997</v>
      </c>
      <c r="Q61" s="2">
        <f t="shared" si="15"/>
        <v>2.8717141691232002</v>
      </c>
      <c r="R61" s="2">
        <f t="shared" si="16"/>
        <v>51.690855044217599</v>
      </c>
      <c r="S61" s="2">
        <f t="shared" si="17"/>
        <v>2.9291484525056641</v>
      </c>
      <c r="T61" s="2">
        <f t="shared" si="18"/>
        <v>52.724672145101955</v>
      </c>
      <c r="U61" s="2">
        <f t="shared" si="19"/>
        <v>2.9877314215557775</v>
      </c>
      <c r="V61" s="2">
        <f t="shared" si="20"/>
        <v>53.779165588003998</v>
      </c>
      <c r="W61" s="2">
        <f t="shared" si="21"/>
        <v>3.047486049986893</v>
      </c>
      <c r="X61" s="2">
        <f t="shared" si="22"/>
        <v>54.854748899764083</v>
      </c>
      <c r="Y61" s="2">
        <f t="shared" si="23"/>
        <v>3.108435770986631</v>
      </c>
      <c r="Z61" s="2">
        <f t="shared" si="24"/>
        <v>55.951843877759366</v>
      </c>
      <c r="AA61" s="2">
        <f t="shared" si="25"/>
        <v>3.1706044864063636</v>
      </c>
      <c r="AB61" s="2">
        <f t="shared" si="26"/>
        <v>57.070880755314555</v>
      </c>
      <c r="AC61" s="2">
        <f t="shared" si="27"/>
        <v>3.2340165761344908</v>
      </c>
      <c r="AD61" s="2">
        <f t="shared" si="28"/>
        <v>58.212298370420847</v>
      </c>
      <c r="AE61" s="2">
        <f t="shared" si="29"/>
        <v>3.2986969076571806</v>
      </c>
      <c r="AF61" s="2">
        <f t="shared" si="30"/>
        <v>59.376544337829266</v>
      </c>
      <c r="AG61" s="2">
        <f t="shared" si="31"/>
        <v>3.3646708458103243</v>
      </c>
      <c r="AH61" s="2">
        <f t="shared" si="32"/>
        <v>60.564075224585849</v>
      </c>
    </row>
    <row r="62" spans="1:34">
      <c r="A62" t="str">
        <f t="shared" si="33"/>
        <v>Coffee</v>
      </c>
      <c r="B62" t="str">
        <f t="shared" si="34"/>
        <v>DireDawa</v>
      </c>
      <c r="C62" s="2">
        <f>(0.5)/0.2</f>
        <v>2.5</v>
      </c>
      <c r="D62" s="2">
        <f>(4)/0.2</f>
        <v>20</v>
      </c>
      <c r="E62" s="2">
        <f t="shared" si="3"/>
        <v>2.5499999999999998</v>
      </c>
      <c r="F62" s="2">
        <f t="shared" si="4"/>
        <v>20.399999999999999</v>
      </c>
      <c r="G62" s="2">
        <f t="shared" si="5"/>
        <v>2.601</v>
      </c>
      <c r="H62" s="2">
        <f t="shared" si="6"/>
        <v>20.808</v>
      </c>
      <c r="I62" s="2">
        <f t="shared" si="7"/>
        <v>2.6530200000000002</v>
      </c>
      <c r="J62" s="2">
        <f t="shared" si="8"/>
        <v>21.224160000000001</v>
      </c>
      <c r="K62" s="2">
        <f t="shared" si="9"/>
        <v>2.7060804000000003</v>
      </c>
      <c r="L62" s="2">
        <f t="shared" si="10"/>
        <v>21.648643200000002</v>
      </c>
      <c r="M62" s="2">
        <f t="shared" si="11"/>
        <v>2.7602020080000003</v>
      </c>
      <c r="N62" s="2">
        <f t="shared" si="12"/>
        <v>22.081616064000002</v>
      </c>
      <c r="O62" s="2">
        <f t="shared" si="13"/>
        <v>2.8154060481600003</v>
      </c>
      <c r="P62" s="2">
        <f t="shared" si="14"/>
        <v>22.523248385280002</v>
      </c>
      <c r="Q62" s="2">
        <f t="shared" si="15"/>
        <v>2.8717141691232002</v>
      </c>
      <c r="R62" s="2">
        <f t="shared" si="16"/>
        <v>22.973713352985602</v>
      </c>
      <c r="S62" s="2">
        <f t="shared" si="17"/>
        <v>2.9291484525056641</v>
      </c>
      <c r="T62" s="2">
        <f t="shared" si="18"/>
        <v>23.433187620045313</v>
      </c>
      <c r="U62" s="2">
        <f t="shared" si="19"/>
        <v>2.9877314215557775</v>
      </c>
      <c r="V62" s="2">
        <f t="shared" si="20"/>
        <v>23.90185137244622</v>
      </c>
      <c r="W62" s="2">
        <f t="shared" si="21"/>
        <v>3.047486049986893</v>
      </c>
      <c r="X62" s="2">
        <f t="shared" si="22"/>
        <v>24.379888399895144</v>
      </c>
      <c r="Y62" s="2">
        <f t="shared" si="23"/>
        <v>3.108435770986631</v>
      </c>
      <c r="Z62" s="2">
        <f t="shared" si="24"/>
        <v>24.867486167893048</v>
      </c>
      <c r="AA62" s="2">
        <f t="shared" si="25"/>
        <v>3.1706044864063636</v>
      </c>
      <c r="AB62" s="2">
        <f t="shared" si="26"/>
        <v>25.364835891250909</v>
      </c>
      <c r="AC62" s="2">
        <f t="shared" si="27"/>
        <v>3.2340165761344908</v>
      </c>
      <c r="AD62" s="2">
        <f t="shared" si="28"/>
        <v>25.872132609075926</v>
      </c>
      <c r="AE62" s="2">
        <f t="shared" si="29"/>
        <v>3.2986969076571806</v>
      </c>
      <c r="AF62" s="2">
        <f t="shared" si="30"/>
        <v>26.389575261257445</v>
      </c>
      <c r="AG62" s="2">
        <f t="shared" si="31"/>
        <v>3.3646708458103243</v>
      </c>
      <c r="AH62" s="2">
        <f t="shared" si="32"/>
        <v>26.917366766482594</v>
      </c>
    </row>
    <row r="63" spans="1:34">
      <c r="A63" t="str">
        <f t="shared" si="33"/>
        <v>Coffee</v>
      </c>
      <c r="B63" t="str">
        <f t="shared" si="34"/>
        <v>Gambela</v>
      </c>
      <c r="C63" s="2">
        <f>(0)/0.2</f>
        <v>0</v>
      </c>
      <c r="D63" s="2">
        <f>(0)/0.2</f>
        <v>0</v>
      </c>
      <c r="E63" s="2">
        <f t="shared" si="3"/>
        <v>0</v>
      </c>
      <c r="F63" s="2">
        <f t="shared" si="4"/>
        <v>0</v>
      </c>
      <c r="G63" s="2">
        <f t="shared" si="5"/>
        <v>0</v>
      </c>
      <c r="H63" s="2">
        <f t="shared" si="6"/>
        <v>0</v>
      </c>
      <c r="I63" s="2">
        <f t="shared" si="7"/>
        <v>0</v>
      </c>
      <c r="J63" s="2">
        <f t="shared" si="8"/>
        <v>0</v>
      </c>
      <c r="K63" s="2">
        <f t="shared" si="9"/>
        <v>0</v>
      </c>
      <c r="L63" s="2">
        <f t="shared" si="10"/>
        <v>0</v>
      </c>
      <c r="M63" s="2">
        <f t="shared" si="11"/>
        <v>0</v>
      </c>
      <c r="N63" s="2">
        <f t="shared" si="12"/>
        <v>0</v>
      </c>
      <c r="O63" s="2">
        <f t="shared" si="13"/>
        <v>0</v>
      </c>
      <c r="P63" s="2">
        <f t="shared" si="14"/>
        <v>0</v>
      </c>
      <c r="Q63" s="2">
        <f t="shared" si="15"/>
        <v>0</v>
      </c>
      <c r="R63" s="2">
        <f t="shared" si="16"/>
        <v>0</v>
      </c>
      <c r="S63" s="2">
        <f t="shared" si="17"/>
        <v>0</v>
      </c>
      <c r="T63" s="2">
        <f t="shared" si="18"/>
        <v>0</v>
      </c>
      <c r="U63" s="2">
        <f t="shared" si="19"/>
        <v>0</v>
      </c>
      <c r="V63" s="2">
        <f t="shared" si="20"/>
        <v>0</v>
      </c>
      <c r="W63" s="2">
        <f t="shared" si="21"/>
        <v>0</v>
      </c>
      <c r="X63" s="2">
        <f t="shared" si="22"/>
        <v>0</v>
      </c>
      <c r="Y63" s="2">
        <f t="shared" si="23"/>
        <v>0</v>
      </c>
      <c r="Z63" s="2">
        <f t="shared" si="24"/>
        <v>0</v>
      </c>
      <c r="AA63" s="2">
        <f t="shared" si="25"/>
        <v>0</v>
      </c>
      <c r="AB63" s="2">
        <f t="shared" si="26"/>
        <v>0</v>
      </c>
      <c r="AC63" s="2">
        <f t="shared" si="27"/>
        <v>0</v>
      </c>
      <c r="AD63" s="2">
        <f t="shared" si="28"/>
        <v>0</v>
      </c>
      <c r="AE63" s="2">
        <f t="shared" si="29"/>
        <v>0</v>
      </c>
      <c r="AF63" s="2">
        <f t="shared" si="30"/>
        <v>0</v>
      </c>
      <c r="AG63" s="2">
        <f t="shared" si="31"/>
        <v>0</v>
      </c>
      <c r="AH63" s="2">
        <f t="shared" si="32"/>
        <v>0</v>
      </c>
    </row>
    <row r="64" spans="1:34">
      <c r="A64" t="str">
        <f t="shared" si="33"/>
        <v>Coffee</v>
      </c>
      <c r="B64" t="str">
        <f t="shared" si="34"/>
        <v>Harari</v>
      </c>
      <c r="C64" s="2">
        <f>(0.5)/0.2</f>
        <v>2.5</v>
      </c>
      <c r="D64" s="2">
        <f>(50)/0.2</f>
        <v>250</v>
      </c>
      <c r="E64" s="2">
        <f t="shared" si="3"/>
        <v>2.5499999999999998</v>
      </c>
      <c r="F64" s="2">
        <f t="shared" si="4"/>
        <v>255</v>
      </c>
      <c r="G64" s="2">
        <f t="shared" si="5"/>
        <v>2.601</v>
      </c>
      <c r="H64" s="2">
        <f t="shared" si="6"/>
        <v>260.10000000000002</v>
      </c>
      <c r="I64" s="2">
        <f t="shared" si="7"/>
        <v>2.6530200000000002</v>
      </c>
      <c r="J64" s="2">
        <f t="shared" si="8"/>
        <v>265.30200000000002</v>
      </c>
      <c r="K64" s="2">
        <f t="shared" si="9"/>
        <v>2.7060804000000003</v>
      </c>
      <c r="L64" s="2">
        <f t="shared" si="10"/>
        <v>270.60804000000002</v>
      </c>
      <c r="M64" s="2">
        <f t="shared" si="11"/>
        <v>2.7602020080000003</v>
      </c>
      <c r="N64" s="2">
        <f t="shared" si="12"/>
        <v>276.0202008</v>
      </c>
      <c r="O64" s="2">
        <f t="shared" si="13"/>
        <v>2.8154060481600003</v>
      </c>
      <c r="P64" s="2">
        <f t="shared" si="14"/>
        <v>281.54060481599998</v>
      </c>
      <c r="Q64" s="2">
        <f t="shared" si="15"/>
        <v>2.8717141691232002</v>
      </c>
      <c r="R64" s="2">
        <f t="shared" si="16"/>
        <v>287.17141691232001</v>
      </c>
      <c r="S64" s="2">
        <f t="shared" si="17"/>
        <v>2.9291484525056641</v>
      </c>
      <c r="T64" s="2">
        <f t="shared" si="18"/>
        <v>292.91484525056643</v>
      </c>
      <c r="U64" s="2">
        <f t="shared" si="19"/>
        <v>2.9877314215557775</v>
      </c>
      <c r="V64" s="2">
        <f t="shared" si="20"/>
        <v>298.77314215557777</v>
      </c>
      <c r="W64" s="2">
        <f t="shared" si="21"/>
        <v>3.047486049986893</v>
      </c>
      <c r="X64" s="2">
        <f t="shared" si="22"/>
        <v>304.74860499868936</v>
      </c>
      <c r="Y64" s="2">
        <f t="shared" si="23"/>
        <v>3.108435770986631</v>
      </c>
      <c r="Z64" s="2">
        <f t="shared" si="24"/>
        <v>310.84357709866316</v>
      </c>
      <c r="AA64" s="2">
        <f t="shared" si="25"/>
        <v>3.1706044864063636</v>
      </c>
      <c r="AB64" s="2">
        <f t="shared" si="26"/>
        <v>317.06044864063642</v>
      </c>
      <c r="AC64" s="2">
        <f t="shared" si="27"/>
        <v>3.2340165761344908</v>
      </c>
      <c r="AD64" s="2">
        <f t="shared" si="28"/>
        <v>323.40165761344917</v>
      </c>
      <c r="AE64" s="2">
        <f t="shared" si="29"/>
        <v>3.2986969076571806</v>
      </c>
      <c r="AF64" s="2">
        <f t="shared" si="30"/>
        <v>329.86969076571819</v>
      </c>
      <c r="AG64" s="2">
        <f t="shared" si="31"/>
        <v>3.3646708458103243</v>
      </c>
      <c r="AH64" s="2">
        <f t="shared" si="32"/>
        <v>336.46708458103257</v>
      </c>
    </row>
    <row r="65" spans="1:34">
      <c r="A65" t="str">
        <f t="shared" si="33"/>
        <v>Coffee</v>
      </c>
      <c r="B65" t="str">
        <f t="shared" si="34"/>
        <v>Oromia</v>
      </c>
      <c r="C65" s="2">
        <f>(0.5)/0.2</f>
        <v>2.5</v>
      </c>
      <c r="D65" s="2">
        <f>(7)/0.2</f>
        <v>35</v>
      </c>
      <c r="E65" s="2">
        <f t="shared" si="3"/>
        <v>2.5499999999999998</v>
      </c>
      <c r="F65" s="2">
        <f t="shared" si="4"/>
        <v>35.700000000000003</v>
      </c>
      <c r="G65" s="2">
        <f t="shared" si="5"/>
        <v>2.601</v>
      </c>
      <c r="H65" s="2">
        <f t="shared" si="6"/>
        <v>36.414000000000001</v>
      </c>
      <c r="I65" s="2">
        <f t="shared" si="7"/>
        <v>2.6530200000000002</v>
      </c>
      <c r="J65" s="2">
        <f t="shared" si="8"/>
        <v>37.14228</v>
      </c>
      <c r="K65" s="2">
        <f t="shared" si="9"/>
        <v>2.7060804000000003</v>
      </c>
      <c r="L65" s="2">
        <f t="shared" si="10"/>
        <v>37.885125600000002</v>
      </c>
      <c r="M65" s="2">
        <f t="shared" si="11"/>
        <v>2.7602020080000003</v>
      </c>
      <c r="N65" s="2">
        <f t="shared" si="12"/>
        <v>38.642828112000004</v>
      </c>
      <c r="O65" s="2">
        <f t="shared" si="13"/>
        <v>2.8154060481600003</v>
      </c>
      <c r="P65" s="2">
        <f t="shared" si="14"/>
        <v>39.415684674240005</v>
      </c>
      <c r="Q65" s="2">
        <f t="shared" si="15"/>
        <v>2.8717141691232002</v>
      </c>
      <c r="R65" s="2">
        <f t="shared" si="16"/>
        <v>40.203998367724807</v>
      </c>
      <c r="S65" s="2">
        <f t="shared" si="17"/>
        <v>2.9291484525056641</v>
      </c>
      <c r="T65" s="2">
        <f t="shared" si="18"/>
        <v>41.008078335079304</v>
      </c>
      <c r="U65" s="2">
        <f t="shared" si="19"/>
        <v>2.9877314215557775</v>
      </c>
      <c r="V65" s="2">
        <f t="shared" si="20"/>
        <v>41.82823990178089</v>
      </c>
      <c r="W65" s="2">
        <f t="shared" si="21"/>
        <v>3.047486049986893</v>
      </c>
      <c r="X65" s="2">
        <f t="shared" si="22"/>
        <v>42.664804699816507</v>
      </c>
      <c r="Y65" s="2">
        <f t="shared" si="23"/>
        <v>3.108435770986631</v>
      </c>
      <c r="Z65" s="2">
        <f t="shared" si="24"/>
        <v>43.518100793812835</v>
      </c>
      <c r="AA65" s="2">
        <f t="shared" si="25"/>
        <v>3.1706044864063636</v>
      </c>
      <c r="AB65" s="2">
        <f t="shared" si="26"/>
        <v>44.388462809689095</v>
      </c>
      <c r="AC65" s="2">
        <f t="shared" si="27"/>
        <v>3.2340165761344908</v>
      </c>
      <c r="AD65" s="2">
        <f t="shared" si="28"/>
        <v>45.27623206588288</v>
      </c>
      <c r="AE65" s="2">
        <f t="shared" si="29"/>
        <v>3.2986969076571806</v>
      </c>
      <c r="AF65" s="2">
        <f t="shared" si="30"/>
        <v>46.181756707200542</v>
      </c>
      <c r="AG65" s="2">
        <f t="shared" si="31"/>
        <v>3.3646708458103243</v>
      </c>
      <c r="AH65" s="2">
        <f t="shared" si="32"/>
        <v>47.105391841344556</v>
      </c>
    </row>
    <row r="66" spans="1:34">
      <c r="A66" t="str">
        <f t="shared" si="33"/>
        <v>Coffee</v>
      </c>
      <c r="B66" t="str">
        <f t="shared" si="34"/>
        <v>Somali</v>
      </c>
      <c r="C66" s="2">
        <f>(0.5)/0.2</f>
        <v>2.5</v>
      </c>
      <c r="D66" s="2">
        <f>(0)/0.2</f>
        <v>0</v>
      </c>
      <c r="E66" s="2">
        <f t="shared" si="3"/>
        <v>2.5499999999999998</v>
      </c>
      <c r="F66" s="2">
        <f t="shared" si="4"/>
        <v>0</v>
      </c>
      <c r="G66" s="2">
        <f t="shared" si="5"/>
        <v>2.601</v>
      </c>
      <c r="H66" s="2">
        <f t="shared" si="6"/>
        <v>0</v>
      </c>
      <c r="I66" s="2">
        <f t="shared" si="7"/>
        <v>2.6530200000000002</v>
      </c>
      <c r="J66" s="2">
        <f t="shared" si="8"/>
        <v>0</v>
      </c>
      <c r="K66" s="2">
        <f t="shared" si="9"/>
        <v>2.7060804000000003</v>
      </c>
      <c r="L66" s="2">
        <f t="shared" si="10"/>
        <v>0</v>
      </c>
      <c r="M66" s="2">
        <f t="shared" si="11"/>
        <v>2.7602020080000003</v>
      </c>
      <c r="N66" s="2">
        <f t="shared" si="12"/>
        <v>0</v>
      </c>
      <c r="O66" s="2">
        <f t="shared" si="13"/>
        <v>2.8154060481600003</v>
      </c>
      <c r="P66" s="2">
        <f t="shared" si="14"/>
        <v>0</v>
      </c>
      <c r="Q66" s="2">
        <f t="shared" si="15"/>
        <v>2.8717141691232002</v>
      </c>
      <c r="R66" s="2">
        <f t="shared" si="16"/>
        <v>0</v>
      </c>
      <c r="S66" s="2">
        <f t="shared" si="17"/>
        <v>2.9291484525056641</v>
      </c>
      <c r="T66" s="2">
        <f t="shared" si="18"/>
        <v>0</v>
      </c>
      <c r="U66" s="2">
        <f t="shared" si="19"/>
        <v>2.9877314215557775</v>
      </c>
      <c r="V66" s="2">
        <f t="shared" si="20"/>
        <v>0</v>
      </c>
      <c r="W66" s="2">
        <f t="shared" si="21"/>
        <v>3.047486049986893</v>
      </c>
      <c r="X66" s="2">
        <f t="shared" si="22"/>
        <v>0</v>
      </c>
      <c r="Y66" s="2">
        <f t="shared" si="23"/>
        <v>3.108435770986631</v>
      </c>
      <c r="Z66" s="2">
        <f t="shared" si="24"/>
        <v>0</v>
      </c>
      <c r="AA66" s="2">
        <f t="shared" si="25"/>
        <v>3.1706044864063636</v>
      </c>
      <c r="AB66" s="2">
        <f t="shared" si="26"/>
        <v>0</v>
      </c>
      <c r="AC66" s="2">
        <f t="shared" si="27"/>
        <v>3.2340165761344908</v>
      </c>
      <c r="AD66" s="2">
        <f t="shared" si="28"/>
        <v>0</v>
      </c>
      <c r="AE66" s="2">
        <f t="shared" si="29"/>
        <v>3.2986969076571806</v>
      </c>
      <c r="AF66" s="2">
        <f t="shared" si="30"/>
        <v>0</v>
      </c>
      <c r="AG66" s="2">
        <f t="shared" si="31"/>
        <v>3.3646708458103243</v>
      </c>
      <c r="AH66" s="2">
        <f t="shared" si="32"/>
        <v>0</v>
      </c>
    </row>
    <row r="67" spans="1:34">
      <c r="A67" t="str">
        <f t="shared" si="33"/>
        <v>Coffee</v>
      </c>
      <c r="B67" t="str">
        <f t="shared" si="34"/>
        <v>SNNPR</v>
      </c>
      <c r="C67" s="2">
        <f>(0.5)/0.2</f>
        <v>2.5</v>
      </c>
      <c r="D67" s="2">
        <f>(8)/0.2</f>
        <v>40</v>
      </c>
      <c r="E67" s="2">
        <f t="shared" si="3"/>
        <v>2.5499999999999998</v>
      </c>
      <c r="F67" s="2">
        <f t="shared" si="4"/>
        <v>40.799999999999997</v>
      </c>
      <c r="G67" s="2">
        <f t="shared" si="5"/>
        <v>2.601</v>
      </c>
      <c r="H67" s="2">
        <f t="shared" si="6"/>
        <v>41.616</v>
      </c>
      <c r="I67" s="2">
        <f t="shared" si="7"/>
        <v>2.6530200000000002</v>
      </c>
      <c r="J67" s="2">
        <f t="shared" si="8"/>
        <v>42.448320000000002</v>
      </c>
      <c r="K67" s="2">
        <f t="shared" si="9"/>
        <v>2.7060804000000003</v>
      </c>
      <c r="L67" s="2">
        <f t="shared" si="10"/>
        <v>43.297286400000004</v>
      </c>
      <c r="M67" s="2">
        <f t="shared" si="11"/>
        <v>2.7602020080000003</v>
      </c>
      <c r="N67" s="2">
        <f t="shared" si="12"/>
        <v>44.163232128000004</v>
      </c>
      <c r="O67" s="2">
        <f t="shared" si="13"/>
        <v>2.8154060481600003</v>
      </c>
      <c r="P67" s="2">
        <f t="shared" si="14"/>
        <v>45.046496770560005</v>
      </c>
      <c r="Q67" s="2">
        <f t="shared" si="15"/>
        <v>2.8717141691232002</v>
      </c>
      <c r="R67" s="2">
        <f t="shared" si="16"/>
        <v>45.947426705971203</v>
      </c>
      <c r="S67" s="2">
        <f t="shared" si="17"/>
        <v>2.9291484525056641</v>
      </c>
      <c r="T67" s="2">
        <f t="shared" si="18"/>
        <v>46.866375240090626</v>
      </c>
      <c r="U67" s="2">
        <f t="shared" si="19"/>
        <v>2.9877314215557775</v>
      </c>
      <c r="V67" s="2">
        <f t="shared" si="20"/>
        <v>47.803702744892441</v>
      </c>
      <c r="W67" s="2">
        <f t="shared" si="21"/>
        <v>3.047486049986893</v>
      </c>
      <c r="X67" s="2">
        <f t="shared" si="22"/>
        <v>48.759776799790288</v>
      </c>
      <c r="Y67" s="2">
        <f t="shared" si="23"/>
        <v>3.108435770986631</v>
      </c>
      <c r="Z67" s="2">
        <f t="shared" si="24"/>
        <v>49.734972335786097</v>
      </c>
      <c r="AA67" s="2">
        <f t="shared" si="25"/>
        <v>3.1706044864063636</v>
      </c>
      <c r="AB67" s="2">
        <f t="shared" si="26"/>
        <v>50.729671782501818</v>
      </c>
      <c r="AC67" s="2">
        <f t="shared" si="27"/>
        <v>3.2340165761344908</v>
      </c>
      <c r="AD67" s="2">
        <f t="shared" si="28"/>
        <v>51.744265218151853</v>
      </c>
      <c r="AE67" s="2">
        <f t="shared" si="29"/>
        <v>3.2986969076571806</v>
      </c>
      <c r="AF67" s="2">
        <f t="shared" si="30"/>
        <v>52.77915052251489</v>
      </c>
      <c r="AG67" s="2">
        <f t="shared" si="31"/>
        <v>3.3646708458103243</v>
      </c>
      <c r="AH67" s="2">
        <f t="shared" si="32"/>
        <v>53.834733532965188</v>
      </c>
    </row>
    <row r="68" spans="1:34">
      <c r="A68" t="str">
        <f t="shared" si="33"/>
        <v>Coffee</v>
      </c>
      <c r="B68" t="str">
        <f t="shared" si="34"/>
        <v>Tigray</v>
      </c>
      <c r="C68" s="2">
        <f>(0.5)/0.2</f>
        <v>2.5</v>
      </c>
      <c r="D68" s="2">
        <f>(12)/0.2</f>
        <v>60</v>
      </c>
      <c r="E68" s="2">
        <f t="shared" ref="E68" si="35">C68*1.02</f>
        <v>2.5499999999999998</v>
      </c>
      <c r="F68" s="2">
        <f t="shared" ref="F68" si="36">D68*1.02</f>
        <v>61.2</v>
      </c>
      <c r="G68" s="2">
        <f t="shared" ref="G68" si="37">E68*1.02</f>
        <v>2.601</v>
      </c>
      <c r="H68" s="2">
        <f t="shared" ref="H68" si="38">F68*1.02</f>
        <v>62.424000000000007</v>
      </c>
      <c r="I68" s="2">
        <f t="shared" ref="I68" si="39">G68*1.02</f>
        <v>2.6530200000000002</v>
      </c>
      <c r="J68" s="2">
        <f t="shared" ref="J68" si="40">H68*1.02</f>
        <v>63.672480000000007</v>
      </c>
      <c r="K68" s="2">
        <f t="shared" ref="K68" si="41">I68*1.02</f>
        <v>2.7060804000000003</v>
      </c>
      <c r="L68" s="2">
        <f t="shared" ref="L68" si="42">J68*1.02</f>
        <v>64.945929600000014</v>
      </c>
      <c r="M68" s="2">
        <f t="shared" ref="M68" si="43">K68*1.02</f>
        <v>2.7602020080000003</v>
      </c>
      <c r="N68" s="2">
        <f t="shared" ref="N68" si="44">L68*1.02</f>
        <v>66.244848192000021</v>
      </c>
      <c r="O68" s="2">
        <f t="shared" ref="O68" si="45">M68*1.02</f>
        <v>2.8154060481600003</v>
      </c>
      <c r="P68" s="2">
        <f t="shared" ref="P68" si="46">N68*1.02</f>
        <v>67.569745155840025</v>
      </c>
      <c r="Q68" s="2">
        <f t="shared" ref="Q68" si="47">O68*1.02</f>
        <v>2.8717141691232002</v>
      </c>
      <c r="R68" s="2">
        <f t="shared" ref="R68" si="48">P68*1.02</f>
        <v>68.921140058956823</v>
      </c>
      <c r="S68" s="2">
        <f t="shared" ref="S68" si="49">Q68*1.02</f>
        <v>2.9291484525056641</v>
      </c>
      <c r="T68" s="2">
        <f t="shared" ref="T68" si="50">R68*1.02</f>
        <v>70.299562860135964</v>
      </c>
      <c r="U68" s="2">
        <f t="shared" ref="U68" si="51">S68*1.02</f>
        <v>2.9877314215557775</v>
      </c>
      <c r="V68" s="2">
        <f t="shared" ref="V68" si="52">T68*1.02</f>
        <v>71.705554117338679</v>
      </c>
      <c r="W68" s="2">
        <f t="shared" ref="W68" si="53">U68*1.02</f>
        <v>3.047486049986893</v>
      </c>
      <c r="X68" s="2">
        <f t="shared" ref="X68" si="54">V68*1.02</f>
        <v>73.139665199685453</v>
      </c>
      <c r="Y68" s="2">
        <f t="shared" ref="Y68" si="55">W68*1.02</f>
        <v>3.108435770986631</v>
      </c>
      <c r="Z68" s="2">
        <f t="shared" ref="Z68" si="56">X68*1.02</f>
        <v>74.602458503679159</v>
      </c>
      <c r="AA68" s="2">
        <f t="shared" ref="AA68" si="57">Y68*1.02</f>
        <v>3.1706044864063636</v>
      </c>
      <c r="AB68" s="2">
        <f t="shared" ref="AB68" si="58">Z68*1.02</f>
        <v>76.094507673752744</v>
      </c>
      <c r="AC68" s="2">
        <f t="shared" ref="AC68" si="59">AA68*1.02</f>
        <v>3.2340165761344908</v>
      </c>
      <c r="AD68" s="2">
        <f t="shared" ref="AD68" si="60">AB68*1.02</f>
        <v>77.6163978272278</v>
      </c>
      <c r="AE68" s="2">
        <f t="shared" ref="AE68" si="61">AC68*1.02</f>
        <v>3.2986969076571806</v>
      </c>
      <c r="AF68" s="2">
        <f t="shared" ref="AF68" si="62">AD68*1.02</f>
        <v>79.168725783772359</v>
      </c>
      <c r="AG68" s="2">
        <f t="shared" ref="AG68" si="63">AE68*1.02</f>
        <v>3.3646708458103243</v>
      </c>
      <c r="AH68" s="2">
        <f t="shared" ref="AH68" si="64">AF68*1.02</f>
        <v>80.752100299447804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90"/>
  <sheetViews>
    <sheetView zoomScale="85" zoomScaleNormal="85" workbookViewId="0"/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" si="0">D1</f>
        <v>Kremt</v>
      </c>
      <c r="G1" t="str">
        <f t="shared" ref="G1" si="1">E1</f>
        <v>Belg</v>
      </c>
      <c r="H1" t="str">
        <f t="shared" ref="H1" si="2">F1</f>
        <v>Kremt</v>
      </c>
      <c r="I1" t="str">
        <f t="shared" ref="I1" si="3">G1</f>
        <v>Belg</v>
      </c>
      <c r="J1" t="str">
        <f t="shared" ref="J1" si="4">H1</f>
        <v>Kremt</v>
      </c>
      <c r="K1" t="str">
        <f t="shared" ref="K1" si="5">I1</f>
        <v>Belg</v>
      </c>
      <c r="L1" t="str">
        <f t="shared" ref="L1" si="6">J1</f>
        <v>Kremt</v>
      </c>
      <c r="M1" t="str">
        <f t="shared" ref="M1" si="7">K1</f>
        <v>Belg</v>
      </c>
      <c r="N1" t="str">
        <f t="shared" ref="N1" si="8">L1</f>
        <v>Kremt</v>
      </c>
      <c r="O1" t="str">
        <f t="shared" ref="O1" si="9">M1</f>
        <v>Belg</v>
      </c>
      <c r="P1" t="str">
        <f t="shared" ref="P1" si="10">N1</f>
        <v>Kremt</v>
      </c>
      <c r="Q1" t="str">
        <f t="shared" ref="Q1" si="11">O1</f>
        <v>Belg</v>
      </c>
      <c r="R1" t="str">
        <f t="shared" ref="R1" si="12">P1</f>
        <v>Kremt</v>
      </c>
      <c r="S1" t="str">
        <f t="shared" ref="S1" si="13">Q1</f>
        <v>Belg</v>
      </c>
      <c r="T1" t="str">
        <f t="shared" ref="T1" si="14">R1</f>
        <v>Kremt</v>
      </c>
      <c r="U1" t="str">
        <f t="shared" ref="U1" si="15">S1</f>
        <v>Belg</v>
      </c>
      <c r="V1" t="str">
        <f t="shared" ref="V1" si="16">T1</f>
        <v>Kremt</v>
      </c>
      <c r="W1" t="str">
        <f t="shared" ref="W1" si="17">U1</f>
        <v>Belg</v>
      </c>
      <c r="X1" t="str">
        <f t="shared" ref="X1" si="18">V1</f>
        <v>Kremt</v>
      </c>
      <c r="Y1" t="str">
        <f t="shared" ref="Y1" si="19">W1</f>
        <v>Belg</v>
      </c>
      <c r="Z1" t="str">
        <f t="shared" ref="Z1" si="20">X1</f>
        <v>Kremt</v>
      </c>
      <c r="AA1" t="str">
        <f t="shared" ref="AA1" si="21">Y1</f>
        <v>Belg</v>
      </c>
      <c r="AB1" t="str">
        <f t="shared" ref="AB1" si="22">Z1</f>
        <v>Kremt</v>
      </c>
      <c r="AC1" t="str">
        <f t="shared" ref="AC1" si="23">AA1</f>
        <v>Belg</v>
      </c>
      <c r="AD1" t="str">
        <f t="shared" ref="AD1" si="24">AB1</f>
        <v>Kremt</v>
      </c>
      <c r="AE1" t="str">
        <f t="shared" ref="AE1" si="25">AC1</f>
        <v>Belg</v>
      </c>
      <c r="AF1" t="str">
        <f t="shared" ref="AF1" si="26">AD1</f>
        <v>Kremt</v>
      </c>
      <c r="AG1" t="str">
        <f t="shared" ref="AG1" si="27">AE1</f>
        <v>Belg</v>
      </c>
      <c r="AH1" t="str">
        <f t="shared" ref="AH1" si="28">AF1</f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t="shared" ref="C3:L13" ca="1" si="30">((RAND()*1+2)*110)*10</f>
        <v>2883.8721993682602</v>
      </c>
      <c r="D3" s="2">
        <f t="shared" ca="1" si="30"/>
        <v>2522.9143188622602</v>
      </c>
      <c r="E3" s="2">
        <f t="shared" ca="1" si="30"/>
        <v>2306.3647483703353</v>
      </c>
      <c r="F3" s="2">
        <f t="shared" ca="1" si="30"/>
        <v>3013.2338213429807</v>
      </c>
      <c r="G3" s="2">
        <f t="shared" ca="1" si="30"/>
        <v>2495.6365197384425</v>
      </c>
      <c r="H3" s="2">
        <f t="shared" ca="1" si="30"/>
        <v>2880.9949528843576</v>
      </c>
      <c r="I3" s="2">
        <f t="shared" ca="1" si="30"/>
        <v>3088.926398673168</v>
      </c>
      <c r="J3" s="2">
        <f t="shared" ca="1" si="30"/>
        <v>3212.6934917495942</v>
      </c>
      <c r="K3" s="2">
        <f t="shared" ca="1" si="30"/>
        <v>2553.7628943816362</v>
      </c>
      <c r="L3" s="2">
        <f t="shared" ca="1" si="30"/>
        <v>2831.1453499534168</v>
      </c>
      <c r="M3" s="2">
        <f t="shared" ref="M3:V13" ca="1" si="31">((RAND()*1+2)*110)*10</f>
        <v>2721.8002514637055</v>
      </c>
      <c r="N3" s="2">
        <f t="shared" ca="1" si="31"/>
        <v>2366.1704469635374</v>
      </c>
      <c r="O3" s="2">
        <f t="shared" ca="1" si="31"/>
        <v>2842.412743772175</v>
      </c>
      <c r="P3" s="2">
        <f t="shared" ca="1" si="31"/>
        <v>3121.2747455469053</v>
      </c>
      <c r="Q3" s="2">
        <f t="shared" ca="1" si="31"/>
        <v>3098.6827652734223</v>
      </c>
      <c r="R3" s="2">
        <f t="shared" ca="1" si="31"/>
        <v>2460.6725898454833</v>
      </c>
      <c r="S3" s="2">
        <f t="shared" ca="1" si="31"/>
        <v>2495.0307921982489</v>
      </c>
      <c r="T3" s="2">
        <f t="shared" ca="1" si="31"/>
        <v>2320.3899119777184</v>
      </c>
      <c r="U3" s="2">
        <f t="shared" ca="1" si="31"/>
        <v>2250.3256852679269</v>
      </c>
      <c r="V3" s="2">
        <f t="shared" ca="1" si="31"/>
        <v>2630.9062976111504</v>
      </c>
      <c r="W3" s="2">
        <f t="shared" ref="W3:AH13" ca="1" si="32">((RAND()*1+2)*110)*10</f>
        <v>2216.0832791957137</v>
      </c>
      <c r="X3" s="2">
        <f t="shared" ca="1" si="32"/>
        <v>3236.2012696513302</v>
      </c>
      <c r="Y3" s="2">
        <f t="shared" ca="1" si="32"/>
        <v>2244.5297360653622</v>
      </c>
      <c r="Z3" s="2">
        <f t="shared" ca="1" si="32"/>
        <v>3181.9478130686657</v>
      </c>
      <c r="AA3" s="2">
        <f t="shared" ca="1" si="32"/>
        <v>2262.576303810124</v>
      </c>
      <c r="AB3" s="2">
        <f t="shared" ca="1" si="32"/>
        <v>2766.716442801875</v>
      </c>
      <c r="AC3" s="2">
        <f t="shared" ca="1" si="32"/>
        <v>3226.0239804962816</v>
      </c>
      <c r="AD3" s="2">
        <f t="shared" ca="1" si="32"/>
        <v>2986.6869642392139</v>
      </c>
      <c r="AE3" s="2">
        <f t="shared" ca="1" si="32"/>
        <v>2670.4068758678609</v>
      </c>
      <c r="AF3" s="2">
        <f t="shared" ca="1" si="32"/>
        <v>2657.9234012895968</v>
      </c>
      <c r="AG3" s="2">
        <f t="shared" ca="1" si="32"/>
        <v>2772.2491860473674</v>
      </c>
      <c r="AH3" s="2">
        <f t="shared" ca="1" si="32"/>
        <v>2257.9246117027246</v>
      </c>
    </row>
    <row r="4" spans="1:34">
      <c r="A4" t="str">
        <f>sets!$H$3</f>
        <v>Teff</v>
      </c>
      <c r="B4" t="str">
        <v>Afar</v>
      </c>
      <c r="C4" s="2">
        <f t="shared" ca="1" si="30"/>
        <v>2746.5465312363563</v>
      </c>
      <c r="D4" s="2">
        <f t="shared" ca="1" si="30"/>
        <v>2362.1058067194103</v>
      </c>
      <c r="E4" s="2">
        <f t="shared" ca="1" si="30"/>
        <v>3230.515155946619</v>
      </c>
      <c r="F4" s="2">
        <f t="shared" ca="1" si="30"/>
        <v>2374.4080050834391</v>
      </c>
      <c r="G4" s="2">
        <f t="shared" ca="1" si="30"/>
        <v>3193.3442064500946</v>
      </c>
      <c r="H4" s="2">
        <f t="shared" ca="1" si="30"/>
        <v>2780.9585880689929</v>
      </c>
      <c r="I4" s="2">
        <f t="shared" ca="1" si="30"/>
        <v>2990.479113141314</v>
      </c>
      <c r="J4" s="2">
        <f t="shared" ca="1" si="30"/>
        <v>2221.6241731354339</v>
      </c>
      <c r="K4" s="2">
        <f t="shared" ca="1" si="30"/>
        <v>2290.8045602610632</v>
      </c>
      <c r="L4" s="2">
        <f t="shared" ca="1" si="30"/>
        <v>2521.0909710677511</v>
      </c>
      <c r="M4" s="2">
        <f t="shared" ca="1" si="31"/>
        <v>2684.835853122815</v>
      </c>
      <c r="N4" s="2">
        <f t="shared" ca="1" si="31"/>
        <v>2317.2070446191042</v>
      </c>
      <c r="O4" s="2">
        <f t="shared" ca="1" si="31"/>
        <v>2683.7045787073384</v>
      </c>
      <c r="P4" s="2">
        <f t="shared" ca="1" si="31"/>
        <v>2839.7146830932579</v>
      </c>
      <c r="Q4" s="2">
        <f t="shared" ca="1" si="31"/>
        <v>2205.9572302935999</v>
      </c>
      <c r="R4" s="2">
        <f t="shared" ca="1" si="31"/>
        <v>2912.9904311178479</v>
      </c>
      <c r="S4" s="2">
        <f t="shared" ca="1" si="31"/>
        <v>3078.3006402397182</v>
      </c>
      <c r="T4" s="2">
        <f t="shared" ca="1" si="31"/>
        <v>2601.8467144933329</v>
      </c>
      <c r="U4" s="2">
        <f t="shared" ca="1" si="31"/>
        <v>2487.6710768948892</v>
      </c>
      <c r="V4" s="2">
        <f t="shared" ca="1" si="31"/>
        <v>3143.0673951646686</v>
      </c>
      <c r="W4" s="2">
        <f t="shared" ca="1" si="32"/>
        <v>2256.2189089414105</v>
      </c>
      <c r="X4" s="2">
        <f t="shared" ca="1" si="32"/>
        <v>2798.6763149826584</v>
      </c>
      <c r="Y4" s="2">
        <f t="shared" ca="1" si="32"/>
        <v>2932.0014288931388</v>
      </c>
      <c r="Z4" s="2">
        <f t="shared" ca="1" si="32"/>
        <v>2699.1510702731885</v>
      </c>
      <c r="AA4" s="2">
        <f t="shared" ca="1" si="32"/>
        <v>3047.4323600774487</v>
      </c>
      <c r="AB4" s="2">
        <f t="shared" ca="1" si="32"/>
        <v>2396.6443403671992</v>
      </c>
      <c r="AC4" s="2">
        <f t="shared" ca="1" si="32"/>
        <v>2604.5112086004838</v>
      </c>
      <c r="AD4" s="2">
        <f t="shared" ca="1" si="32"/>
        <v>3250.6670336176758</v>
      </c>
      <c r="AE4" s="2">
        <f t="shared" ca="1" si="32"/>
        <v>3060.3686867734</v>
      </c>
      <c r="AF4" s="2">
        <f t="shared" ca="1" si="32"/>
        <v>2512.6156665254603</v>
      </c>
      <c r="AG4" s="2">
        <f t="shared" ca="1" si="32"/>
        <v>2843.373882314926</v>
      </c>
      <c r="AH4" s="2">
        <f t="shared" ca="1" si="32"/>
        <v>2775.0190598834752</v>
      </c>
    </row>
    <row r="5" spans="1:34">
      <c r="A5" t="str">
        <f>sets!$H$3</f>
        <v>Teff</v>
      </c>
      <c r="B5" t="str">
        <v>Amhara</v>
      </c>
      <c r="C5" s="2">
        <f t="shared" ca="1" si="30"/>
        <v>2447.0040903521785</v>
      </c>
      <c r="D5" s="2">
        <f t="shared" ca="1" si="30"/>
        <v>2413.8654922021365</v>
      </c>
      <c r="E5" s="2">
        <f t="shared" ca="1" si="30"/>
        <v>2862.3152463846727</v>
      </c>
      <c r="F5" s="2">
        <f t="shared" ca="1" si="30"/>
        <v>3231.9981186684936</v>
      </c>
      <c r="G5" s="2">
        <f t="shared" ca="1" si="30"/>
        <v>3132.5984751690175</v>
      </c>
      <c r="H5" s="2">
        <f t="shared" ca="1" si="30"/>
        <v>2757.3770402725377</v>
      </c>
      <c r="I5" s="2">
        <f t="shared" ca="1" si="30"/>
        <v>3138.0959501862549</v>
      </c>
      <c r="J5" s="2">
        <f t="shared" ca="1" si="30"/>
        <v>3176.7860125979023</v>
      </c>
      <c r="K5" s="2">
        <f t="shared" ca="1" si="30"/>
        <v>3092.27447573067</v>
      </c>
      <c r="L5" s="2">
        <f t="shared" ca="1" si="30"/>
        <v>2423.6415802015854</v>
      </c>
      <c r="M5" s="2">
        <f t="shared" ca="1" si="31"/>
        <v>2555.4723209321251</v>
      </c>
      <c r="N5" s="2">
        <f t="shared" ca="1" si="31"/>
        <v>2332.7578327522469</v>
      </c>
      <c r="O5" s="2">
        <f t="shared" ca="1" si="31"/>
        <v>2842.1863304528924</v>
      </c>
      <c r="P5" s="2">
        <f t="shared" ca="1" si="31"/>
        <v>2911.8036823952621</v>
      </c>
      <c r="Q5" s="2">
        <f t="shared" ca="1" si="31"/>
        <v>3286.0033599589469</v>
      </c>
      <c r="R5" s="2">
        <f t="shared" ca="1" si="31"/>
        <v>2953.4911799685774</v>
      </c>
      <c r="S5" s="2">
        <f t="shared" ca="1" si="31"/>
        <v>2261.1960560180692</v>
      </c>
      <c r="T5" s="2">
        <f t="shared" ca="1" si="31"/>
        <v>2820.4967983576644</v>
      </c>
      <c r="U5" s="2">
        <f t="shared" ca="1" si="31"/>
        <v>2425.0921163694616</v>
      </c>
      <c r="V5" s="2">
        <f t="shared" ca="1" si="31"/>
        <v>2399.4860139910679</v>
      </c>
      <c r="W5" s="2">
        <f t="shared" ca="1" si="32"/>
        <v>2549.0214362922165</v>
      </c>
      <c r="X5" s="2">
        <f t="shared" ca="1" si="32"/>
        <v>3176.4994954842314</v>
      </c>
      <c r="Y5" s="2">
        <f t="shared" ca="1" si="32"/>
        <v>2415.227657275404</v>
      </c>
      <c r="Z5" s="2">
        <f t="shared" ca="1" si="32"/>
        <v>3006.5519341952941</v>
      </c>
      <c r="AA5" s="2">
        <f t="shared" ca="1" si="32"/>
        <v>2928.8376113077647</v>
      </c>
      <c r="AB5" s="2">
        <f t="shared" ca="1" si="32"/>
        <v>2446.2684990420771</v>
      </c>
      <c r="AC5" s="2">
        <f t="shared" ca="1" si="32"/>
        <v>2940.6365166657988</v>
      </c>
      <c r="AD5" s="2">
        <f t="shared" ca="1" si="32"/>
        <v>2418.2122869584673</v>
      </c>
      <c r="AE5" s="2">
        <f t="shared" ca="1" si="32"/>
        <v>3101.2604252693977</v>
      </c>
      <c r="AF5" s="2">
        <f t="shared" ca="1" si="32"/>
        <v>2419.1318122044013</v>
      </c>
      <c r="AG5" s="2">
        <f t="shared" ca="1" si="32"/>
        <v>3015.5221398855365</v>
      </c>
      <c r="AH5" s="2">
        <f t="shared" ca="1" si="32"/>
        <v>2320.4148875556357</v>
      </c>
    </row>
    <row r="6" spans="1:34">
      <c r="A6" t="str">
        <f>sets!$H$3</f>
        <v>Teff</v>
      </c>
      <c r="B6" t="str">
        <v>Gumuz</v>
      </c>
      <c r="C6" s="2">
        <f t="shared" ca="1" si="30"/>
        <v>2670.9814333700042</v>
      </c>
      <c r="D6" s="2">
        <f t="shared" ca="1" si="30"/>
        <v>3056.1119769383286</v>
      </c>
      <c r="E6" s="2">
        <f t="shared" ca="1" si="30"/>
        <v>3216.6129224258934</v>
      </c>
      <c r="F6" s="2">
        <f t="shared" ca="1" si="30"/>
        <v>2554.9007883912464</v>
      </c>
      <c r="G6" s="2">
        <f t="shared" ca="1" si="30"/>
        <v>2337.0562906585888</v>
      </c>
      <c r="H6" s="2">
        <f t="shared" ca="1" si="30"/>
        <v>2392.1313150519259</v>
      </c>
      <c r="I6" s="2">
        <f t="shared" ca="1" si="30"/>
        <v>2575.7322220694386</v>
      </c>
      <c r="J6" s="2">
        <f t="shared" ca="1" si="30"/>
        <v>2512.9330626430833</v>
      </c>
      <c r="K6" s="2">
        <f t="shared" ca="1" si="30"/>
        <v>2406.2977220277735</v>
      </c>
      <c r="L6" s="2">
        <f t="shared" ca="1" si="30"/>
        <v>2506.0955987295783</v>
      </c>
      <c r="M6" s="2">
        <f t="shared" ca="1" si="31"/>
        <v>2552.421634145267</v>
      </c>
      <c r="N6" s="2">
        <f t="shared" ca="1" si="31"/>
        <v>2560.9792629489093</v>
      </c>
      <c r="O6" s="2">
        <f t="shared" ca="1" si="31"/>
        <v>3129.1869524646604</v>
      </c>
      <c r="P6" s="2">
        <f t="shared" ca="1" si="31"/>
        <v>2288.7649417852622</v>
      </c>
      <c r="Q6" s="2">
        <f t="shared" ca="1" si="31"/>
        <v>2962.6774692286335</v>
      </c>
      <c r="R6" s="2">
        <f t="shared" ca="1" si="31"/>
        <v>2892.8466637419979</v>
      </c>
      <c r="S6" s="2">
        <f t="shared" ca="1" si="31"/>
        <v>2809.2586295825422</v>
      </c>
      <c r="T6" s="2">
        <f t="shared" ca="1" si="31"/>
        <v>3257.5024802270896</v>
      </c>
      <c r="U6" s="2">
        <f t="shared" ca="1" si="31"/>
        <v>2268.376629913299</v>
      </c>
      <c r="V6" s="2">
        <f t="shared" ca="1" si="31"/>
        <v>2430.2039045856477</v>
      </c>
      <c r="W6" s="2">
        <f t="shared" ca="1" si="32"/>
        <v>3147.9362707401287</v>
      </c>
      <c r="X6" s="2">
        <f t="shared" ca="1" si="32"/>
        <v>2437.8866354242609</v>
      </c>
      <c r="Y6" s="2">
        <f t="shared" ca="1" si="32"/>
        <v>2907.3655133909397</v>
      </c>
      <c r="Z6" s="2">
        <f t="shared" ca="1" si="32"/>
        <v>2591.286922717652</v>
      </c>
      <c r="AA6" s="2">
        <f t="shared" ca="1" si="32"/>
        <v>2234.87611074404</v>
      </c>
      <c r="AB6" s="2">
        <f t="shared" ca="1" si="32"/>
        <v>2780.8251852035401</v>
      </c>
      <c r="AC6" s="2">
        <f t="shared" ca="1" si="32"/>
        <v>2715.3140367971655</v>
      </c>
      <c r="AD6" s="2">
        <f t="shared" ca="1" si="32"/>
        <v>2571.680878145833</v>
      </c>
      <c r="AE6" s="2">
        <f t="shared" ca="1" si="32"/>
        <v>2786.1844943798201</v>
      </c>
      <c r="AF6" s="2">
        <f t="shared" ca="1" si="32"/>
        <v>2786.1549511402882</v>
      </c>
      <c r="AG6" s="2">
        <f t="shared" ca="1" si="32"/>
        <v>2476.4393884628998</v>
      </c>
      <c r="AH6" s="2">
        <f t="shared" ca="1" si="32"/>
        <v>2492.7721326116998</v>
      </c>
    </row>
    <row r="7" spans="1:34">
      <c r="A7" t="str">
        <f>sets!$H$3</f>
        <v>Teff</v>
      </c>
      <c r="B7" t="str">
        <v>DireDawa</v>
      </c>
      <c r="C7" s="2">
        <f t="shared" ca="1" si="30"/>
        <v>2286.5811984486813</v>
      </c>
      <c r="D7" s="2">
        <f t="shared" ca="1" si="30"/>
        <v>2809.0612903652391</v>
      </c>
      <c r="E7" s="2">
        <f t="shared" ca="1" si="30"/>
        <v>3010.9762467314754</v>
      </c>
      <c r="F7" s="2">
        <f t="shared" ca="1" si="30"/>
        <v>2374.1588261563497</v>
      </c>
      <c r="G7" s="2">
        <f t="shared" ca="1" si="30"/>
        <v>2462.4605508303862</v>
      </c>
      <c r="H7" s="2">
        <f t="shared" ca="1" si="30"/>
        <v>2682.2068209276426</v>
      </c>
      <c r="I7" s="2">
        <f t="shared" ca="1" si="30"/>
        <v>3216.1462782142139</v>
      </c>
      <c r="J7" s="2">
        <f t="shared" ca="1" si="30"/>
        <v>2299.7754098848977</v>
      </c>
      <c r="K7" s="2">
        <f t="shared" ca="1" si="30"/>
        <v>2851.7782363322276</v>
      </c>
      <c r="L7" s="2">
        <f t="shared" ca="1" si="30"/>
        <v>2222.6487236882867</v>
      </c>
      <c r="M7" s="2">
        <f t="shared" ca="1" si="31"/>
        <v>2520.769942044818</v>
      </c>
      <c r="N7" s="2">
        <f t="shared" ca="1" si="31"/>
        <v>2684.1399711740478</v>
      </c>
      <c r="O7" s="2">
        <f t="shared" ca="1" si="31"/>
        <v>2477.5195041302009</v>
      </c>
      <c r="P7" s="2">
        <f t="shared" ca="1" si="31"/>
        <v>2561.5736040055244</v>
      </c>
      <c r="Q7" s="2">
        <f t="shared" ca="1" si="31"/>
        <v>2830.4643371091652</v>
      </c>
      <c r="R7" s="2">
        <f t="shared" ca="1" si="31"/>
        <v>2564.9784608256555</v>
      </c>
      <c r="S7" s="2">
        <f t="shared" ca="1" si="31"/>
        <v>3004.7241993624175</v>
      </c>
      <c r="T7" s="2">
        <f t="shared" ca="1" si="31"/>
        <v>2249.4674750120112</v>
      </c>
      <c r="U7" s="2">
        <f t="shared" ca="1" si="31"/>
        <v>2579.8044758945925</v>
      </c>
      <c r="V7" s="2">
        <f t="shared" ca="1" si="31"/>
        <v>2818.4608779476157</v>
      </c>
      <c r="W7" s="2">
        <f t="shared" ca="1" si="32"/>
        <v>2292.8585114299735</v>
      </c>
      <c r="X7" s="2">
        <f t="shared" ca="1" si="32"/>
        <v>3022.5748795440654</v>
      </c>
      <c r="Y7" s="2">
        <f t="shared" ca="1" si="32"/>
        <v>2713.0048237389874</v>
      </c>
      <c r="Z7" s="2">
        <f t="shared" ca="1" si="32"/>
        <v>2350.5615349311406</v>
      </c>
      <c r="AA7" s="2">
        <f t="shared" ca="1" si="32"/>
        <v>2388.3198660062126</v>
      </c>
      <c r="AB7" s="2">
        <f t="shared" ca="1" si="32"/>
        <v>2643.290660967451</v>
      </c>
      <c r="AC7" s="2">
        <f t="shared" ca="1" si="32"/>
        <v>2510.0532665910341</v>
      </c>
      <c r="AD7" s="2">
        <f t="shared" ca="1" si="32"/>
        <v>2408.6585041329827</v>
      </c>
      <c r="AE7" s="2">
        <f t="shared" ca="1" si="32"/>
        <v>2384.6327441052599</v>
      </c>
      <c r="AF7" s="2">
        <f t="shared" ca="1" si="32"/>
        <v>2791.7304304244553</v>
      </c>
      <c r="AG7" s="2">
        <f t="shared" ca="1" si="32"/>
        <v>2377.0860548437217</v>
      </c>
      <c r="AH7" s="2">
        <f t="shared" ca="1" si="32"/>
        <v>3020.4608148300103</v>
      </c>
    </row>
    <row r="8" spans="1:34">
      <c r="A8" t="str">
        <f>sets!$H$3</f>
        <v>Teff</v>
      </c>
      <c r="B8" t="str">
        <v>Gambela</v>
      </c>
      <c r="C8" s="2">
        <f t="shared" ca="1" si="30"/>
        <v>3139.1095568591136</v>
      </c>
      <c r="D8" s="2">
        <f t="shared" ca="1" si="30"/>
        <v>2549.1429429908353</v>
      </c>
      <c r="E8" s="2">
        <f t="shared" ca="1" si="30"/>
        <v>2313.4335905171092</v>
      </c>
      <c r="F8" s="2">
        <f t="shared" ca="1" si="30"/>
        <v>3135.9634598946623</v>
      </c>
      <c r="G8" s="2">
        <f t="shared" ca="1" si="30"/>
        <v>2462.8203487677379</v>
      </c>
      <c r="H8" s="2">
        <f t="shared" ca="1" si="30"/>
        <v>2565.1114922331553</v>
      </c>
      <c r="I8" s="2">
        <f t="shared" ca="1" si="30"/>
        <v>2401.4458813038063</v>
      </c>
      <c r="J8" s="2">
        <f t="shared" ca="1" si="30"/>
        <v>3281.8001467631784</v>
      </c>
      <c r="K8" s="2">
        <f t="shared" ca="1" si="30"/>
        <v>2943.5584413019951</v>
      </c>
      <c r="L8" s="2">
        <f t="shared" ca="1" si="30"/>
        <v>3012.4504958392317</v>
      </c>
      <c r="M8" s="2">
        <f t="shared" ca="1" si="31"/>
        <v>2324.9604248576252</v>
      </c>
      <c r="N8" s="2">
        <f t="shared" ca="1" si="31"/>
        <v>2740.0354496757996</v>
      </c>
      <c r="O8" s="2">
        <f t="shared" ca="1" si="31"/>
        <v>2945.4751677929557</v>
      </c>
      <c r="P8" s="2">
        <f t="shared" ca="1" si="31"/>
        <v>2798.7445671883875</v>
      </c>
      <c r="Q8" s="2">
        <f t="shared" ca="1" si="31"/>
        <v>2267.9688423542152</v>
      </c>
      <c r="R8" s="2">
        <f t="shared" ca="1" si="31"/>
        <v>3112.7928276697203</v>
      </c>
      <c r="S8" s="2">
        <f t="shared" ca="1" si="31"/>
        <v>2547.2886843376018</v>
      </c>
      <c r="T8" s="2">
        <f t="shared" ca="1" si="31"/>
        <v>2404.8869175985124</v>
      </c>
      <c r="U8" s="2">
        <f t="shared" ca="1" si="31"/>
        <v>2411.5407659020811</v>
      </c>
      <c r="V8" s="2">
        <f t="shared" ca="1" si="31"/>
        <v>2386.3779670227123</v>
      </c>
      <c r="W8" s="2">
        <f t="shared" ca="1" si="32"/>
        <v>2250.6027359696523</v>
      </c>
      <c r="X8" s="2">
        <f t="shared" ca="1" si="32"/>
        <v>2501.2256647369718</v>
      </c>
      <c r="Y8" s="2">
        <f t="shared" ca="1" si="32"/>
        <v>3225.2975153801926</v>
      </c>
      <c r="Z8" s="2">
        <f t="shared" ca="1" si="32"/>
        <v>2505.8143727501506</v>
      </c>
      <c r="AA8" s="2">
        <f t="shared" ca="1" si="32"/>
        <v>2828.2998480549859</v>
      </c>
      <c r="AB8" s="2">
        <f t="shared" ca="1" si="32"/>
        <v>2714.6905299126274</v>
      </c>
      <c r="AC8" s="2">
        <f t="shared" ca="1" si="32"/>
        <v>2897.9715704177943</v>
      </c>
      <c r="AD8" s="2">
        <f t="shared" ca="1" si="32"/>
        <v>2672.6640571960797</v>
      </c>
      <c r="AE8" s="2">
        <f t="shared" ca="1" si="32"/>
        <v>2598.2548488635803</v>
      </c>
      <c r="AF8" s="2">
        <f t="shared" ca="1" si="32"/>
        <v>2576.1041533988473</v>
      </c>
      <c r="AG8" s="2">
        <f t="shared" ca="1" si="32"/>
        <v>2540.5373280178419</v>
      </c>
      <c r="AH8" s="2">
        <f t="shared" ca="1" si="32"/>
        <v>2665.0814327749968</v>
      </c>
    </row>
    <row r="9" spans="1:34">
      <c r="A9" t="str">
        <f>sets!$H$3</f>
        <v>Teff</v>
      </c>
      <c r="B9" t="str">
        <v>Harari</v>
      </c>
      <c r="C9" s="2">
        <f t="shared" ca="1" si="30"/>
        <v>2640.3034635115537</v>
      </c>
      <c r="D9" s="2">
        <f t="shared" ca="1" si="30"/>
        <v>2223.2141995611237</v>
      </c>
      <c r="E9" s="2">
        <f t="shared" ca="1" si="30"/>
        <v>3041.0063459537246</v>
      </c>
      <c r="F9" s="2">
        <f t="shared" ca="1" si="30"/>
        <v>2244.3779537177311</v>
      </c>
      <c r="G9" s="2">
        <f t="shared" ca="1" si="30"/>
        <v>2484.209576047142</v>
      </c>
      <c r="H9" s="2">
        <f t="shared" ca="1" si="30"/>
        <v>3107.9387833179521</v>
      </c>
      <c r="I9" s="2">
        <f t="shared" ca="1" si="30"/>
        <v>2815.1373720527326</v>
      </c>
      <c r="J9" s="2">
        <f t="shared" ca="1" si="30"/>
        <v>2372.0876483453476</v>
      </c>
      <c r="K9" s="2">
        <f t="shared" ca="1" si="30"/>
        <v>2745.8013183530484</v>
      </c>
      <c r="L9" s="2">
        <f t="shared" ca="1" si="30"/>
        <v>2229.5813489797629</v>
      </c>
      <c r="M9" s="2">
        <f t="shared" ca="1" si="31"/>
        <v>3201.9945606006195</v>
      </c>
      <c r="N9" s="2">
        <f t="shared" ca="1" si="31"/>
        <v>3266.362504937224</v>
      </c>
      <c r="O9" s="2">
        <f t="shared" ca="1" si="31"/>
        <v>2951.8593242234547</v>
      </c>
      <c r="P9" s="2">
        <f t="shared" ca="1" si="31"/>
        <v>2804.9196578459696</v>
      </c>
      <c r="Q9" s="2">
        <f t="shared" ca="1" si="31"/>
        <v>3099.0448912733928</v>
      </c>
      <c r="R9" s="2">
        <f t="shared" ca="1" si="31"/>
        <v>3155.3008739515558</v>
      </c>
      <c r="S9" s="2">
        <f t="shared" ca="1" si="31"/>
        <v>2903.7949954319743</v>
      </c>
      <c r="T9" s="2">
        <f t="shared" ca="1" si="31"/>
        <v>2949.2801428462317</v>
      </c>
      <c r="U9" s="2">
        <f t="shared" ca="1" si="31"/>
        <v>2740.3472916657065</v>
      </c>
      <c r="V9" s="2">
        <f t="shared" ca="1" si="31"/>
        <v>2255.9137326879027</v>
      </c>
      <c r="W9" s="2">
        <f t="shared" ca="1" si="32"/>
        <v>2227.0317848202108</v>
      </c>
      <c r="X9" s="2">
        <f t="shared" ca="1" si="32"/>
        <v>2489.3094220085331</v>
      </c>
      <c r="Y9" s="2">
        <f t="shared" ca="1" si="32"/>
        <v>3170.4046353507065</v>
      </c>
      <c r="Z9" s="2">
        <f t="shared" ca="1" si="32"/>
        <v>3116.6756806660906</v>
      </c>
      <c r="AA9" s="2">
        <f t="shared" ca="1" si="32"/>
        <v>3234.4822001819607</v>
      </c>
      <c r="AB9" s="2">
        <f t="shared" ca="1" si="32"/>
        <v>3021.454696282779</v>
      </c>
      <c r="AC9" s="2">
        <f t="shared" ca="1" si="32"/>
        <v>3014.462847111844</v>
      </c>
      <c r="AD9" s="2">
        <f t="shared" ca="1" si="32"/>
        <v>3258.8477708023047</v>
      </c>
      <c r="AE9" s="2">
        <f t="shared" ca="1" si="32"/>
        <v>3246.3577770114421</v>
      </c>
      <c r="AF9" s="2">
        <f t="shared" ca="1" si="32"/>
        <v>2864.8962047830892</v>
      </c>
      <c r="AG9" s="2">
        <f t="shared" ca="1" si="32"/>
        <v>2204.1441507542622</v>
      </c>
      <c r="AH9" s="2">
        <f t="shared" ca="1" si="32"/>
        <v>2770.0034499610802</v>
      </c>
    </row>
    <row r="10" spans="1:34">
      <c r="A10" t="str">
        <f>sets!$H$3</f>
        <v>Teff</v>
      </c>
      <c r="B10" t="str">
        <v>Oromia</v>
      </c>
      <c r="C10" s="2">
        <f t="shared" ca="1" si="30"/>
        <v>2359.6485323712677</v>
      </c>
      <c r="D10" s="2">
        <f t="shared" ca="1" si="30"/>
        <v>2780.0367857038259</v>
      </c>
      <c r="E10" s="2">
        <f t="shared" ca="1" si="30"/>
        <v>2598.9600345440131</v>
      </c>
      <c r="F10" s="2">
        <f t="shared" ca="1" si="30"/>
        <v>3058.9209956593545</v>
      </c>
      <c r="G10" s="2">
        <f t="shared" ca="1" si="30"/>
        <v>3259.9945727669156</v>
      </c>
      <c r="H10" s="2">
        <f t="shared" ca="1" si="30"/>
        <v>3280.216243270188</v>
      </c>
      <c r="I10" s="2">
        <f t="shared" ca="1" si="30"/>
        <v>2757.502904898934</v>
      </c>
      <c r="J10" s="2">
        <f t="shared" ca="1" si="30"/>
        <v>2449.1066190853726</v>
      </c>
      <c r="K10" s="2">
        <f t="shared" ca="1" si="30"/>
        <v>2357.9982978313324</v>
      </c>
      <c r="L10" s="2">
        <f t="shared" ca="1" si="30"/>
        <v>2206.6850627161052</v>
      </c>
      <c r="M10" s="2">
        <f t="shared" ca="1" si="31"/>
        <v>3175.7462864774493</v>
      </c>
      <c r="N10" s="2">
        <f t="shared" ca="1" si="31"/>
        <v>2493.722077977307</v>
      </c>
      <c r="O10" s="2">
        <f t="shared" ca="1" si="31"/>
        <v>3224.4480393269932</v>
      </c>
      <c r="P10" s="2">
        <f t="shared" ca="1" si="31"/>
        <v>3191.1609551716624</v>
      </c>
      <c r="Q10" s="2">
        <f t="shared" ca="1" si="31"/>
        <v>2806.0790366893825</v>
      </c>
      <c r="R10" s="2">
        <f t="shared" ca="1" si="31"/>
        <v>2606.5259513883393</v>
      </c>
      <c r="S10" s="2">
        <f t="shared" ca="1" si="31"/>
        <v>2261.3958767038616</v>
      </c>
      <c r="T10" s="2">
        <f t="shared" ca="1" si="31"/>
        <v>2303.0204271797725</v>
      </c>
      <c r="U10" s="2">
        <f t="shared" ca="1" si="31"/>
        <v>3113.960269573618</v>
      </c>
      <c r="V10" s="2">
        <f t="shared" ca="1" si="31"/>
        <v>2986.3641704785418</v>
      </c>
      <c r="W10" s="2">
        <f t="shared" ca="1" si="32"/>
        <v>2848.0461507026603</v>
      </c>
      <c r="X10" s="2">
        <f t="shared" ca="1" si="32"/>
        <v>3133.9996687687922</v>
      </c>
      <c r="Y10" s="2">
        <f t="shared" ca="1" si="32"/>
        <v>3015.063837191256</v>
      </c>
      <c r="Z10" s="2">
        <f t="shared" ca="1" si="32"/>
        <v>3145.8825288918365</v>
      </c>
      <c r="AA10" s="2">
        <f t="shared" ca="1" si="32"/>
        <v>2909.9725476380963</v>
      </c>
      <c r="AB10" s="2">
        <f t="shared" ca="1" si="32"/>
        <v>2360.1606147723514</v>
      </c>
      <c r="AC10" s="2">
        <f t="shared" ca="1" si="32"/>
        <v>3116.1780187388804</v>
      </c>
      <c r="AD10" s="2">
        <f t="shared" ca="1" si="32"/>
        <v>3193.5100639761531</v>
      </c>
      <c r="AE10" s="2">
        <f t="shared" ca="1" si="32"/>
        <v>2826.0481953688004</v>
      </c>
      <c r="AF10" s="2">
        <f t="shared" ca="1" si="32"/>
        <v>2663.0319059890426</v>
      </c>
      <c r="AG10" s="2">
        <f t="shared" ca="1" si="32"/>
        <v>3080.5076897436861</v>
      </c>
      <c r="AH10" s="2">
        <f t="shared" ca="1" si="32"/>
        <v>2960.5515472459547</v>
      </c>
    </row>
    <row r="11" spans="1:34">
      <c r="A11" t="str">
        <f>sets!$H$3</f>
        <v>Teff</v>
      </c>
      <c r="B11" t="str">
        <v>Somali</v>
      </c>
      <c r="C11" s="2">
        <f t="shared" ca="1" si="30"/>
        <v>3109.9688753919831</v>
      </c>
      <c r="D11" s="2">
        <f t="shared" ca="1" si="30"/>
        <v>2542.81251321741</v>
      </c>
      <c r="E11" s="2">
        <f t="shared" ca="1" si="30"/>
        <v>2623.967440317283</v>
      </c>
      <c r="F11" s="2">
        <f t="shared" ca="1" si="30"/>
        <v>3239.5358826741171</v>
      </c>
      <c r="G11" s="2">
        <f t="shared" ca="1" si="30"/>
        <v>2234.1824827047903</v>
      </c>
      <c r="H11" s="2">
        <f t="shared" ca="1" si="30"/>
        <v>2801.0489093698789</v>
      </c>
      <c r="I11" s="2">
        <f t="shared" ca="1" si="30"/>
        <v>2621.4600127316839</v>
      </c>
      <c r="J11" s="2">
        <f t="shared" ca="1" si="30"/>
        <v>2274.3638681676484</v>
      </c>
      <c r="K11" s="2">
        <f t="shared" ca="1" si="30"/>
        <v>2976.0681016113531</v>
      </c>
      <c r="L11" s="2">
        <f t="shared" ca="1" si="30"/>
        <v>3106.5101264387563</v>
      </c>
      <c r="M11" s="2">
        <f t="shared" ca="1" si="31"/>
        <v>2416.1248122722873</v>
      </c>
      <c r="N11" s="2">
        <f t="shared" ca="1" si="31"/>
        <v>3138.6096860723114</v>
      </c>
      <c r="O11" s="2">
        <f t="shared" ca="1" si="31"/>
        <v>2568.6992017057846</v>
      </c>
      <c r="P11" s="2">
        <f t="shared" ca="1" si="31"/>
        <v>2958.4845603292338</v>
      </c>
      <c r="Q11" s="2">
        <f t="shared" ca="1" si="31"/>
        <v>2532.1198136118355</v>
      </c>
      <c r="R11" s="2">
        <f t="shared" ca="1" si="31"/>
        <v>3074.8438989423157</v>
      </c>
      <c r="S11" s="2">
        <f t="shared" ca="1" si="31"/>
        <v>2686.5445665699376</v>
      </c>
      <c r="T11" s="2">
        <f t="shared" ca="1" si="31"/>
        <v>2480.5250492816322</v>
      </c>
      <c r="U11" s="2">
        <f t="shared" ca="1" si="31"/>
        <v>2515.3022994106996</v>
      </c>
      <c r="V11" s="2">
        <f t="shared" ca="1" si="31"/>
        <v>2391.8164609429809</v>
      </c>
      <c r="W11" s="2">
        <f t="shared" ca="1" si="32"/>
        <v>2662.138501006837</v>
      </c>
      <c r="X11" s="2">
        <f t="shared" ca="1" si="32"/>
        <v>2827.0643758932501</v>
      </c>
      <c r="Y11" s="2">
        <f t="shared" ca="1" si="32"/>
        <v>3016.4839161104637</v>
      </c>
      <c r="Z11" s="2">
        <f t="shared" ca="1" si="32"/>
        <v>2476.8069383498273</v>
      </c>
      <c r="AA11" s="2">
        <f t="shared" ca="1" si="32"/>
        <v>2304.2433838521192</v>
      </c>
      <c r="AB11" s="2">
        <f t="shared" ca="1" si="32"/>
        <v>2805.484546978586</v>
      </c>
      <c r="AC11" s="2">
        <f t="shared" ca="1" si="32"/>
        <v>3203.6774241852809</v>
      </c>
      <c r="AD11" s="2">
        <f t="shared" ca="1" si="32"/>
        <v>2758.1390870583978</v>
      </c>
      <c r="AE11" s="2">
        <f t="shared" ca="1" si="32"/>
        <v>3291.4632218580959</v>
      </c>
      <c r="AF11" s="2">
        <f t="shared" ca="1" si="32"/>
        <v>2874.2536929675953</v>
      </c>
      <c r="AG11" s="2">
        <f t="shared" ca="1" si="32"/>
        <v>2772.5974077709902</v>
      </c>
      <c r="AH11" s="2">
        <f t="shared" ca="1" si="32"/>
        <v>3019.1529394902768</v>
      </c>
    </row>
    <row r="12" spans="1:34">
      <c r="A12" t="str">
        <f>sets!$H$3</f>
        <v>Teff</v>
      </c>
      <c r="B12" t="str">
        <v>SNNPR</v>
      </c>
      <c r="C12" s="2">
        <f t="shared" ca="1" si="30"/>
        <v>3078.6395820420112</v>
      </c>
      <c r="D12" s="2">
        <f t="shared" ca="1" si="30"/>
        <v>2417.2817482975206</v>
      </c>
      <c r="E12" s="2">
        <f t="shared" ca="1" si="30"/>
        <v>2739.0192282674793</v>
      </c>
      <c r="F12" s="2">
        <f t="shared" ca="1" si="30"/>
        <v>2975.5689991819308</v>
      </c>
      <c r="G12" s="2">
        <f t="shared" ca="1" si="30"/>
        <v>2218.1393412022144</v>
      </c>
      <c r="H12" s="2">
        <f t="shared" ca="1" si="30"/>
        <v>2732.2116567731164</v>
      </c>
      <c r="I12" s="2">
        <f t="shared" ca="1" si="30"/>
        <v>2934.0700261208094</v>
      </c>
      <c r="J12" s="2">
        <f t="shared" ca="1" si="30"/>
        <v>2460.4565223338391</v>
      </c>
      <c r="K12" s="2">
        <f t="shared" ca="1" si="30"/>
        <v>2605.3444335934473</v>
      </c>
      <c r="L12" s="2">
        <f t="shared" ca="1" si="30"/>
        <v>2817.3916401854258</v>
      </c>
      <c r="M12" s="2">
        <f t="shared" ca="1" si="31"/>
        <v>3236.7046471868207</v>
      </c>
      <c r="N12" s="2">
        <f t="shared" ca="1" si="31"/>
        <v>2607.0355257809897</v>
      </c>
      <c r="O12" s="2">
        <f t="shared" ca="1" si="31"/>
        <v>2601.354598893502</v>
      </c>
      <c r="P12" s="2">
        <f t="shared" ca="1" si="31"/>
        <v>2310.7402529735405</v>
      </c>
      <c r="Q12" s="2">
        <f t="shared" ca="1" si="31"/>
        <v>2507.7177758086395</v>
      </c>
      <c r="R12" s="2">
        <f t="shared" ca="1" si="31"/>
        <v>2707.8114008334205</v>
      </c>
      <c r="S12" s="2">
        <f t="shared" ca="1" si="31"/>
        <v>2998.7220681996641</v>
      </c>
      <c r="T12" s="2">
        <f t="shared" ca="1" si="31"/>
        <v>2914.7850884330919</v>
      </c>
      <c r="U12" s="2">
        <f t="shared" ca="1" si="31"/>
        <v>2853.4134297011688</v>
      </c>
      <c r="V12" s="2">
        <f t="shared" ca="1" si="31"/>
        <v>3058.8615450857401</v>
      </c>
      <c r="W12" s="2">
        <f t="shared" ca="1" si="32"/>
        <v>2779.6177773670138</v>
      </c>
      <c r="X12" s="2">
        <f t="shared" ca="1" si="32"/>
        <v>3161.0381081953851</v>
      </c>
      <c r="Y12" s="2">
        <f t="shared" ca="1" si="32"/>
        <v>3164.5897743666847</v>
      </c>
      <c r="Z12" s="2">
        <f t="shared" ca="1" si="32"/>
        <v>2302.814536778309</v>
      </c>
      <c r="AA12" s="2">
        <f t="shared" ca="1" si="32"/>
        <v>2629.9541441685465</v>
      </c>
      <c r="AB12" s="2">
        <f t="shared" ca="1" si="32"/>
        <v>2660.157711247009</v>
      </c>
      <c r="AC12" s="2">
        <f t="shared" ca="1" si="32"/>
        <v>2200.8984031916129</v>
      </c>
      <c r="AD12" s="2">
        <f t="shared" ca="1" si="32"/>
        <v>3114.5411140416441</v>
      </c>
      <c r="AE12" s="2">
        <f t="shared" ca="1" si="32"/>
        <v>2679.98000599122</v>
      </c>
      <c r="AF12" s="2">
        <f t="shared" ca="1" si="32"/>
        <v>2972.0769548449607</v>
      </c>
      <c r="AG12" s="2">
        <f t="shared" ca="1" si="32"/>
        <v>2634.4472868997677</v>
      </c>
      <c r="AH12" s="2">
        <f t="shared" ca="1" si="32"/>
        <v>2902.4401574105691</v>
      </c>
    </row>
    <row r="13" spans="1:34">
      <c r="A13" t="str">
        <f>sets!$H$3</f>
        <v>Teff</v>
      </c>
      <c r="B13" t="str">
        <v>Tigray</v>
      </c>
      <c r="C13" s="2">
        <f t="shared" ca="1" si="30"/>
        <v>2605.6811991816608</v>
      </c>
      <c r="D13" s="2">
        <f t="shared" ca="1" si="30"/>
        <v>2444.9690581961286</v>
      </c>
      <c r="E13" s="2">
        <f t="shared" ca="1" si="30"/>
        <v>2947.7087302177042</v>
      </c>
      <c r="F13" s="2">
        <f t="shared" ca="1" si="30"/>
        <v>3254.2670224985404</v>
      </c>
      <c r="G13" s="2">
        <f t="shared" ca="1" si="30"/>
        <v>2757.8712128527704</v>
      </c>
      <c r="H13" s="2">
        <f t="shared" ca="1" si="30"/>
        <v>2780.7063195351343</v>
      </c>
      <c r="I13" s="2">
        <f t="shared" ca="1" si="30"/>
        <v>2654.5595515472005</v>
      </c>
      <c r="J13" s="2">
        <f t="shared" ca="1" si="30"/>
        <v>2388.9958242935313</v>
      </c>
      <c r="K13" s="2">
        <f t="shared" ca="1" si="30"/>
        <v>3081.7653148543668</v>
      </c>
      <c r="L13" s="2">
        <f t="shared" ca="1" si="30"/>
        <v>2303.9684929283817</v>
      </c>
      <c r="M13" s="2">
        <f t="shared" ca="1" si="31"/>
        <v>2959.0575673971625</v>
      </c>
      <c r="N13" s="2">
        <f t="shared" ca="1" si="31"/>
        <v>2729.3727078298061</v>
      </c>
      <c r="O13" s="2">
        <f t="shared" ca="1" si="31"/>
        <v>2679.330443625814</v>
      </c>
      <c r="P13" s="2">
        <f t="shared" ca="1" si="31"/>
        <v>3152.1266185123955</v>
      </c>
      <c r="Q13" s="2">
        <f t="shared" ca="1" si="31"/>
        <v>2418.3409812993759</v>
      </c>
      <c r="R13" s="2">
        <f t="shared" ca="1" si="31"/>
        <v>2761.5292223065944</v>
      </c>
      <c r="S13" s="2">
        <f t="shared" ca="1" si="31"/>
        <v>2782.0572504529059</v>
      </c>
      <c r="T13" s="2">
        <f t="shared" ca="1" si="31"/>
        <v>2616.1469485348252</v>
      </c>
      <c r="U13" s="2">
        <f t="shared" ca="1" si="31"/>
        <v>2726.0963977472306</v>
      </c>
      <c r="V13" s="2">
        <f t="shared" ca="1" si="31"/>
        <v>3091.1421271869453</v>
      </c>
      <c r="W13" s="2">
        <f t="shared" ca="1" si="32"/>
        <v>2714.0857650160292</v>
      </c>
      <c r="X13" s="2">
        <f t="shared" ca="1" si="32"/>
        <v>2845.4996177014823</v>
      </c>
      <c r="Y13" s="2">
        <f t="shared" ca="1" si="32"/>
        <v>2629.6580219442903</v>
      </c>
      <c r="Z13" s="2">
        <f t="shared" ca="1" si="32"/>
        <v>2784.4534042326368</v>
      </c>
      <c r="AA13" s="2">
        <f t="shared" ca="1" si="32"/>
        <v>3064.1269182117421</v>
      </c>
      <c r="AB13" s="2">
        <f t="shared" ca="1" si="32"/>
        <v>2968.9878745320993</v>
      </c>
      <c r="AC13" s="2">
        <f t="shared" ca="1" si="32"/>
        <v>3070.0879133552958</v>
      </c>
      <c r="AD13" s="2">
        <f t="shared" ca="1" si="32"/>
        <v>3263.2796272301048</v>
      </c>
      <c r="AE13" s="2">
        <f t="shared" ca="1" si="32"/>
        <v>2982.8740636557673</v>
      </c>
      <c r="AF13" s="2">
        <f t="shared" ca="1" si="32"/>
        <v>2517.1978482977438</v>
      </c>
      <c r="AG13" s="2">
        <f t="shared" ca="1" si="32"/>
        <v>3170.5440148344896</v>
      </c>
      <c r="AH13" s="2">
        <f t="shared" ca="1" si="32"/>
        <v>2250.705356268913</v>
      </c>
    </row>
    <row r="14" spans="1:34">
      <c r="A14" t="str">
        <f t="shared" ref="A14:A77" si="33">INDEX(Food,MATCH(A3,Food,0)+1)</f>
        <v>Sorghum</v>
      </c>
      <c r="B14" t="str">
        <f>B3</f>
        <v>AddisAbaba</v>
      </c>
      <c r="C14" s="2">
        <f t="shared" ref="C14:L23" ca="1" si="34">((RAND()*1+2)*100)*10</f>
        <v>2844.079539229886</v>
      </c>
      <c r="D14" s="2">
        <f t="shared" ca="1" si="34"/>
        <v>2627.893950316321</v>
      </c>
      <c r="E14" s="2">
        <f t="shared" ca="1" si="34"/>
        <v>2001.9809168709453</v>
      </c>
      <c r="F14" s="2">
        <f t="shared" ca="1" si="34"/>
        <v>2932.4744546818674</v>
      </c>
      <c r="G14" s="2">
        <f t="shared" ca="1" si="34"/>
        <v>2524.7191358254172</v>
      </c>
      <c r="H14" s="2">
        <f t="shared" ca="1" si="34"/>
        <v>2972.0539964857089</v>
      </c>
      <c r="I14" s="2">
        <f t="shared" ca="1" si="34"/>
        <v>2301.626514253107</v>
      </c>
      <c r="J14" s="2">
        <f t="shared" ca="1" si="34"/>
        <v>2559.8896016220997</v>
      </c>
      <c r="K14" s="2">
        <f t="shared" ca="1" si="34"/>
        <v>2800.2681488833086</v>
      </c>
      <c r="L14" s="2">
        <f t="shared" ca="1" si="34"/>
        <v>2587.2020010386568</v>
      </c>
      <c r="M14" s="2">
        <f t="shared" ref="M14:V23" ca="1" si="35">((RAND()*1+2)*100)*10</f>
        <v>2732.6400637561337</v>
      </c>
      <c r="N14" s="2">
        <f t="shared" ca="1" si="35"/>
        <v>2731.5217263258028</v>
      </c>
      <c r="O14" s="2">
        <f t="shared" ca="1" si="35"/>
        <v>2537.0187943079445</v>
      </c>
      <c r="P14" s="2">
        <f t="shared" ca="1" si="35"/>
        <v>2003.4576169337543</v>
      </c>
      <c r="Q14" s="2">
        <f t="shared" ca="1" si="35"/>
        <v>2226.5812730424195</v>
      </c>
      <c r="R14" s="2">
        <f t="shared" ca="1" si="35"/>
        <v>2020.0491268239764</v>
      </c>
      <c r="S14" s="2">
        <f t="shared" ca="1" si="35"/>
        <v>2033.7046501741502</v>
      </c>
      <c r="T14" s="2">
        <f t="shared" ca="1" si="35"/>
        <v>2707.2567771029139</v>
      </c>
      <c r="U14" s="2">
        <f t="shared" ca="1" si="35"/>
        <v>2352.200057862291</v>
      </c>
      <c r="V14" s="2">
        <f t="shared" ca="1" si="35"/>
        <v>2606.1038446762273</v>
      </c>
      <c r="W14" s="2">
        <f t="shared" ref="W14:AH23" ca="1" si="36">((RAND()*1+2)*100)*10</f>
        <v>2202.6235439910406</v>
      </c>
      <c r="X14" s="2">
        <f t="shared" ca="1" si="36"/>
        <v>2222.295575196611</v>
      </c>
      <c r="Y14" s="2">
        <f t="shared" ca="1" si="36"/>
        <v>2155.4922420533258</v>
      </c>
      <c r="Z14" s="2">
        <f t="shared" ca="1" si="36"/>
        <v>2769.2152682794749</v>
      </c>
      <c r="AA14" s="2">
        <f t="shared" ca="1" si="36"/>
        <v>2426.2249896136454</v>
      </c>
      <c r="AB14" s="2">
        <f t="shared" ca="1" si="36"/>
        <v>2733.0051756640396</v>
      </c>
      <c r="AC14" s="2">
        <f t="shared" ca="1" si="36"/>
        <v>2830.0011696074544</v>
      </c>
      <c r="AD14" s="2">
        <f t="shared" ca="1" si="36"/>
        <v>2424.3694436635228</v>
      </c>
      <c r="AE14" s="2">
        <f t="shared" ca="1" si="36"/>
        <v>2347.7304288393229</v>
      </c>
      <c r="AF14" s="2">
        <f t="shared" ca="1" si="36"/>
        <v>2300.0426417356334</v>
      </c>
      <c r="AG14" s="2">
        <f t="shared" ca="1" si="36"/>
        <v>2145.8696419194935</v>
      </c>
      <c r="AH14" s="2">
        <f t="shared" ca="1" si="36"/>
        <v>2579.1349130247995</v>
      </c>
    </row>
    <row r="15" spans="1:34">
      <c r="A15" t="str">
        <f t="shared" si="33"/>
        <v>Sorghum</v>
      </c>
      <c r="B15" t="str">
        <f t="shared" ref="B15:B78" si="37">B4</f>
        <v>Afar</v>
      </c>
      <c r="C15" s="2">
        <f t="shared" ca="1" si="34"/>
        <v>2295.7690932370924</v>
      </c>
      <c r="D15" s="2">
        <f t="shared" ca="1" si="34"/>
        <v>2450.5213975348174</v>
      </c>
      <c r="E15" s="2">
        <f t="shared" ca="1" si="34"/>
        <v>2752.6479445590667</v>
      </c>
      <c r="F15" s="2">
        <f t="shared" ca="1" si="34"/>
        <v>2248.803935640989</v>
      </c>
      <c r="G15" s="2">
        <f t="shared" ca="1" si="34"/>
        <v>2736.2122309457664</v>
      </c>
      <c r="H15" s="2">
        <f t="shared" ca="1" si="34"/>
        <v>2665.6534568382353</v>
      </c>
      <c r="I15" s="2">
        <f t="shared" ca="1" si="34"/>
        <v>2686.0492350561158</v>
      </c>
      <c r="J15" s="2">
        <f t="shared" ca="1" si="34"/>
        <v>2691.0460774118328</v>
      </c>
      <c r="K15" s="2">
        <f t="shared" ca="1" si="34"/>
        <v>2813.5121088794881</v>
      </c>
      <c r="L15" s="2">
        <f t="shared" ca="1" si="34"/>
        <v>2274.838947970733</v>
      </c>
      <c r="M15" s="2">
        <f t="shared" ca="1" si="35"/>
        <v>2702.2441517006923</v>
      </c>
      <c r="N15" s="2">
        <f t="shared" ca="1" si="35"/>
        <v>2932.63440804435</v>
      </c>
      <c r="O15" s="2">
        <f t="shared" ca="1" si="35"/>
        <v>2376.1344291329574</v>
      </c>
      <c r="P15" s="2">
        <f t="shared" ca="1" si="35"/>
        <v>2562.563688400382</v>
      </c>
      <c r="Q15" s="2">
        <f t="shared" ca="1" si="35"/>
        <v>2131.6988137182984</v>
      </c>
      <c r="R15" s="2">
        <f t="shared" ca="1" si="35"/>
        <v>2793.990515874204</v>
      </c>
      <c r="S15" s="2">
        <f t="shared" ca="1" si="35"/>
        <v>2186.8391236945922</v>
      </c>
      <c r="T15" s="2">
        <f t="shared" ca="1" si="35"/>
        <v>2019.7096747526498</v>
      </c>
      <c r="U15" s="2">
        <f t="shared" ca="1" si="35"/>
        <v>2970.9802137576753</v>
      </c>
      <c r="V15" s="2">
        <f t="shared" ca="1" si="35"/>
        <v>2488.7040413826612</v>
      </c>
      <c r="W15" s="2">
        <f t="shared" ca="1" si="36"/>
        <v>2600.6224709959156</v>
      </c>
      <c r="X15" s="2">
        <f t="shared" ca="1" si="36"/>
        <v>2889.4220064043388</v>
      </c>
      <c r="Y15" s="2">
        <f t="shared" ca="1" si="36"/>
        <v>2534.6663519736435</v>
      </c>
      <c r="Z15" s="2">
        <f t="shared" ca="1" si="36"/>
        <v>2603.3012285655386</v>
      </c>
      <c r="AA15" s="2">
        <f t="shared" ca="1" si="36"/>
        <v>2668.4799755962731</v>
      </c>
      <c r="AB15" s="2">
        <f t="shared" ca="1" si="36"/>
        <v>2421.8220471466243</v>
      </c>
      <c r="AC15" s="2">
        <f t="shared" ca="1" si="36"/>
        <v>2955.7276029451014</v>
      </c>
      <c r="AD15" s="2">
        <f t="shared" ca="1" si="36"/>
        <v>2928.5087091071186</v>
      </c>
      <c r="AE15" s="2">
        <f t="shared" ca="1" si="36"/>
        <v>2232.4979735153461</v>
      </c>
      <c r="AF15" s="2">
        <f t="shared" ca="1" si="36"/>
        <v>2487.4722056038959</v>
      </c>
      <c r="AG15" s="2">
        <f t="shared" ca="1" si="36"/>
        <v>2554.2113401001757</v>
      </c>
      <c r="AH15" s="2">
        <f t="shared" ca="1" si="36"/>
        <v>2278.6356742625999</v>
      </c>
    </row>
    <row r="16" spans="1:34">
      <c r="A16" t="str">
        <f t="shared" si="33"/>
        <v>Sorghum</v>
      </c>
      <c r="B16" t="str">
        <f t="shared" si="37"/>
        <v>Amhara</v>
      </c>
      <c r="C16" s="2">
        <f t="shared" ca="1" si="34"/>
        <v>2768.460367517077</v>
      </c>
      <c r="D16" s="2">
        <f t="shared" ca="1" si="34"/>
        <v>2976.494140610007</v>
      </c>
      <c r="E16" s="2">
        <f t="shared" ca="1" si="34"/>
        <v>2623.1573911934438</v>
      </c>
      <c r="F16" s="2">
        <f t="shared" ca="1" si="34"/>
        <v>2012.9334430915535</v>
      </c>
      <c r="G16" s="2">
        <f t="shared" ca="1" si="34"/>
        <v>2345.1688078038223</v>
      </c>
      <c r="H16" s="2">
        <f t="shared" ca="1" si="34"/>
        <v>2475.389264332206</v>
      </c>
      <c r="I16" s="2">
        <f t="shared" ca="1" si="34"/>
        <v>2388.4514517984931</v>
      </c>
      <c r="J16" s="2">
        <f t="shared" ca="1" si="34"/>
        <v>2338.7320484943884</v>
      </c>
      <c r="K16" s="2">
        <f t="shared" ca="1" si="34"/>
        <v>2046.5546120081353</v>
      </c>
      <c r="L16" s="2">
        <f t="shared" ca="1" si="34"/>
        <v>2260.4609788074408</v>
      </c>
      <c r="M16" s="2">
        <f t="shared" ca="1" si="35"/>
        <v>2265.7811974884244</v>
      </c>
      <c r="N16" s="2">
        <f t="shared" ca="1" si="35"/>
        <v>2063.1315060228926</v>
      </c>
      <c r="O16" s="2">
        <f t="shared" ca="1" si="35"/>
        <v>2433.7679427553439</v>
      </c>
      <c r="P16" s="2">
        <f t="shared" ca="1" si="35"/>
        <v>2760.8663991738808</v>
      </c>
      <c r="Q16" s="2">
        <f t="shared" ca="1" si="35"/>
        <v>2202.5700982814024</v>
      </c>
      <c r="R16" s="2">
        <f t="shared" ca="1" si="35"/>
        <v>2715.8885234307486</v>
      </c>
      <c r="S16" s="2">
        <f t="shared" ca="1" si="35"/>
        <v>2174.4012537186263</v>
      </c>
      <c r="T16" s="2">
        <f t="shared" ca="1" si="35"/>
        <v>2952.7000882088614</v>
      </c>
      <c r="U16" s="2">
        <f t="shared" ca="1" si="35"/>
        <v>2989.8878327408243</v>
      </c>
      <c r="V16" s="2">
        <f t="shared" ca="1" si="35"/>
        <v>2337.3370612155409</v>
      </c>
      <c r="W16" s="2">
        <f t="shared" ca="1" si="36"/>
        <v>2183.6192216262989</v>
      </c>
      <c r="X16" s="2">
        <f t="shared" ca="1" si="36"/>
        <v>2170.6823988686137</v>
      </c>
      <c r="Y16" s="2">
        <f t="shared" ca="1" si="36"/>
        <v>2405.2356621805025</v>
      </c>
      <c r="Z16" s="2">
        <f t="shared" ca="1" si="36"/>
        <v>2685.9900029416235</v>
      </c>
      <c r="AA16" s="2">
        <f t="shared" ca="1" si="36"/>
        <v>2215.9685831591323</v>
      </c>
      <c r="AB16" s="2">
        <f t="shared" ca="1" si="36"/>
        <v>2080.5861080037953</v>
      </c>
      <c r="AC16" s="2">
        <f t="shared" ca="1" si="36"/>
        <v>2020.7141743343363</v>
      </c>
      <c r="AD16" s="2">
        <f t="shared" ca="1" si="36"/>
        <v>2897.3552776430597</v>
      </c>
      <c r="AE16" s="2">
        <f t="shared" ca="1" si="36"/>
        <v>2491.4483949497976</v>
      </c>
      <c r="AF16" s="2">
        <f t="shared" ca="1" si="36"/>
        <v>2934.0932322087128</v>
      </c>
      <c r="AG16" s="2">
        <f t="shared" ca="1" si="36"/>
        <v>2554.2290226024788</v>
      </c>
      <c r="AH16" s="2">
        <f t="shared" ca="1" si="36"/>
        <v>2786.0194627528954</v>
      </c>
    </row>
    <row r="17" spans="1:34">
      <c r="A17" t="str">
        <f t="shared" si="33"/>
        <v>Sorghum</v>
      </c>
      <c r="B17" t="str">
        <f t="shared" si="37"/>
        <v>Gumuz</v>
      </c>
      <c r="C17" s="2">
        <f t="shared" ca="1" si="34"/>
        <v>2162.7525179807349</v>
      </c>
      <c r="D17" s="2">
        <f t="shared" ca="1" si="34"/>
        <v>2001.7148679635718</v>
      </c>
      <c r="E17" s="2">
        <f t="shared" ca="1" si="34"/>
        <v>2118.1189668166926</v>
      </c>
      <c r="F17" s="2">
        <f t="shared" ca="1" si="34"/>
        <v>2403.7739437611212</v>
      </c>
      <c r="G17" s="2">
        <f t="shared" ca="1" si="34"/>
        <v>2480.622164287618</v>
      </c>
      <c r="H17" s="2">
        <f t="shared" ca="1" si="34"/>
        <v>2015.9213901841144</v>
      </c>
      <c r="I17" s="2">
        <f t="shared" ca="1" si="34"/>
        <v>2456.0925274594838</v>
      </c>
      <c r="J17" s="2">
        <f t="shared" ca="1" si="34"/>
        <v>2746.9039467231419</v>
      </c>
      <c r="K17" s="2">
        <f t="shared" ca="1" si="34"/>
        <v>2086.6441273758214</v>
      </c>
      <c r="L17" s="2">
        <f t="shared" ca="1" si="34"/>
        <v>2513.5000643109702</v>
      </c>
      <c r="M17" s="2">
        <f t="shared" ca="1" si="35"/>
        <v>2807.4011231980235</v>
      </c>
      <c r="N17" s="2">
        <f t="shared" ca="1" si="35"/>
        <v>2658.4625501704977</v>
      </c>
      <c r="O17" s="2">
        <f t="shared" ca="1" si="35"/>
        <v>2545.5064927230915</v>
      </c>
      <c r="P17" s="2">
        <f t="shared" ca="1" si="35"/>
        <v>2080.4921369342724</v>
      </c>
      <c r="Q17" s="2">
        <f t="shared" ca="1" si="35"/>
        <v>2806.8365100663209</v>
      </c>
      <c r="R17" s="2">
        <f t="shared" ca="1" si="35"/>
        <v>2632.5369331538068</v>
      </c>
      <c r="S17" s="2">
        <f t="shared" ca="1" si="35"/>
        <v>2206.0181722451825</v>
      </c>
      <c r="T17" s="2">
        <f t="shared" ca="1" si="35"/>
        <v>2324.6577346786289</v>
      </c>
      <c r="U17" s="2">
        <f t="shared" ca="1" si="35"/>
        <v>2682.4135974580195</v>
      </c>
      <c r="V17" s="2">
        <f t="shared" ca="1" si="35"/>
        <v>2770.8052824343235</v>
      </c>
      <c r="W17" s="2">
        <f t="shared" ca="1" si="36"/>
        <v>2832.0797051777281</v>
      </c>
      <c r="X17" s="2">
        <f t="shared" ca="1" si="36"/>
        <v>2405.6457190324518</v>
      </c>
      <c r="Y17" s="2">
        <f t="shared" ca="1" si="36"/>
        <v>2846.228372889836</v>
      </c>
      <c r="Z17" s="2">
        <f t="shared" ca="1" si="36"/>
        <v>2049.4862986631065</v>
      </c>
      <c r="AA17" s="2">
        <f t="shared" ca="1" si="36"/>
        <v>2899.5930553208755</v>
      </c>
      <c r="AB17" s="2">
        <f t="shared" ca="1" si="36"/>
        <v>2165.2427485268659</v>
      </c>
      <c r="AC17" s="2">
        <f t="shared" ca="1" si="36"/>
        <v>2522.7447386228432</v>
      </c>
      <c r="AD17" s="2">
        <f t="shared" ca="1" si="36"/>
        <v>2255.2551294961781</v>
      </c>
      <c r="AE17" s="2">
        <f t="shared" ca="1" si="36"/>
        <v>2506.7735535237953</v>
      </c>
      <c r="AF17" s="2">
        <f t="shared" ca="1" si="36"/>
        <v>2941.6482737075612</v>
      </c>
      <c r="AG17" s="2">
        <f t="shared" ca="1" si="36"/>
        <v>2750.4509558826121</v>
      </c>
      <c r="AH17" s="2">
        <f t="shared" ca="1" si="36"/>
        <v>2268.2584763215386</v>
      </c>
    </row>
    <row r="18" spans="1:34">
      <c r="A18" t="str">
        <f t="shared" si="33"/>
        <v>Sorghum</v>
      </c>
      <c r="B18" t="str">
        <f t="shared" si="37"/>
        <v>DireDawa</v>
      </c>
      <c r="C18" s="2">
        <f t="shared" ca="1" si="34"/>
        <v>2880.8721446975196</v>
      </c>
      <c r="D18" s="2">
        <f t="shared" ca="1" si="34"/>
        <v>2699.2073825245643</v>
      </c>
      <c r="E18" s="2">
        <f t="shared" ca="1" si="34"/>
        <v>2901.1447440416941</v>
      </c>
      <c r="F18" s="2">
        <f t="shared" ca="1" si="34"/>
        <v>2719.7778017248152</v>
      </c>
      <c r="G18" s="2">
        <f t="shared" ca="1" si="34"/>
        <v>2814.4427106455787</v>
      </c>
      <c r="H18" s="2">
        <f t="shared" ca="1" si="34"/>
        <v>2657.9772496728301</v>
      </c>
      <c r="I18" s="2">
        <f t="shared" ca="1" si="34"/>
        <v>2628.5001699204945</v>
      </c>
      <c r="J18" s="2">
        <f t="shared" ca="1" si="34"/>
        <v>2310.9772065645011</v>
      </c>
      <c r="K18" s="2">
        <f t="shared" ca="1" si="34"/>
        <v>2196.6542530176248</v>
      </c>
      <c r="L18" s="2">
        <f t="shared" ca="1" si="34"/>
        <v>2709.767265576128</v>
      </c>
      <c r="M18" s="2">
        <f t="shared" ca="1" si="35"/>
        <v>2589.0856712242994</v>
      </c>
      <c r="N18" s="2">
        <f t="shared" ca="1" si="35"/>
        <v>2149.6864382088984</v>
      </c>
      <c r="O18" s="2">
        <f t="shared" ca="1" si="35"/>
        <v>2066.0036968476825</v>
      </c>
      <c r="P18" s="2">
        <f t="shared" ca="1" si="35"/>
        <v>2330.9336328025961</v>
      </c>
      <c r="Q18" s="2">
        <f t="shared" ca="1" si="35"/>
        <v>2121.3872896269827</v>
      </c>
      <c r="R18" s="2">
        <f t="shared" ca="1" si="35"/>
        <v>2767.2474435298914</v>
      </c>
      <c r="S18" s="2">
        <f t="shared" ca="1" si="35"/>
        <v>2423.476429132726</v>
      </c>
      <c r="T18" s="2">
        <f t="shared" ca="1" si="35"/>
        <v>2361.0289459113965</v>
      </c>
      <c r="U18" s="2">
        <f t="shared" ca="1" si="35"/>
        <v>2532.7529523137428</v>
      </c>
      <c r="V18" s="2">
        <f t="shared" ca="1" si="35"/>
        <v>2365.6301255462272</v>
      </c>
      <c r="W18" s="2">
        <f t="shared" ca="1" si="36"/>
        <v>2859.0259552548378</v>
      </c>
      <c r="X18" s="2">
        <f t="shared" ca="1" si="36"/>
        <v>2949.0831628546994</v>
      </c>
      <c r="Y18" s="2">
        <f t="shared" ca="1" si="36"/>
        <v>2498.1203832200022</v>
      </c>
      <c r="Z18" s="2">
        <f t="shared" ca="1" si="36"/>
        <v>2166.5644079315821</v>
      </c>
      <c r="AA18" s="2">
        <f t="shared" ca="1" si="36"/>
        <v>2211.5336599181414</v>
      </c>
      <c r="AB18" s="2">
        <f t="shared" ca="1" si="36"/>
        <v>2923.9223116880012</v>
      </c>
      <c r="AC18" s="2">
        <f t="shared" ca="1" si="36"/>
        <v>2629.1423074513505</v>
      </c>
      <c r="AD18" s="2">
        <f t="shared" ca="1" si="36"/>
        <v>2269.1650514952312</v>
      </c>
      <c r="AE18" s="2">
        <f t="shared" ca="1" si="36"/>
        <v>2449.6705540878711</v>
      </c>
      <c r="AF18" s="2">
        <f t="shared" ca="1" si="36"/>
        <v>2725.2961915042511</v>
      </c>
      <c r="AG18" s="2">
        <f t="shared" ca="1" si="36"/>
        <v>2148.2497015915005</v>
      </c>
      <c r="AH18" s="2">
        <f t="shared" ca="1" si="36"/>
        <v>2644.3488961174362</v>
      </c>
    </row>
    <row r="19" spans="1:34">
      <c r="A19" t="str">
        <f t="shared" si="33"/>
        <v>Sorghum</v>
      </c>
      <c r="B19" t="str">
        <f t="shared" si="37"/>
        <v>Gambela</v>
      </c>
      <c r="C19" s="2">
        <f t="shared" ca="1" si="34"/>
        <v>2367.969833434086</v>
      </c>
      <c r="D19" s="2">
        <f t="shared" ca="1" si="34"/>
        <v>2340.8460703216515</v>
      </c>
      <c r="E19" s="2">
        <f t="shared" ca="1" si="34"/>
        <v>2021.7297976636585</v>
      </c>
      <c r="F19" s="2">
        <f t="shared" ca="1" si="34"/>
        <v>2418.0169650847783</v>
      </c>
      <c r="G19" s="2">
        <f t="shared" ca="1" si="34"/>
        <v>2144.3491720726743</v>
      </c>
      <c r="H19" s="2">
        <f t="shared" ca="1" si="34"/>
        <v>2255.0262113604258</v>
      </c>
      <c r="I19" s="2">
        <f t="shared" ca="1" si="34"/>
        <v>2361.8354433916443</v>
      </c>
      <c r="J19" s="2">
        <f t="shared" ca="1" si="34"/>
        <v>2012.4246601157702</v>
      </c>
      <c r="K19" s="2">
        <f t="shared" ca="1" si="34"/>
        <v>2582.4788589691507</v>
      </c>
      <c r="L19" s="2">
        <f t="shared" ca="1" si="34"/>
        <v>2718.3271628503562</v>
      </c>
      <c r="M19" s="2">
        <f t="shared" ca="1" si="35"/>
        <v>2055.0775318427595</v>
      </c>
      <c r="N19" s="2">
        <f t="shared" ca="1" si="35"/>
        <v>2828.417278609179</v>
      </c>
      <c r="O19" s="2">
        <f t="shared" ca="1" si="35"/>
        <v>2855.4582480406225</v>
      </c>
      <c r="P19" s="2">
        <f t="shared" ca="1" si="35"/>
        <v>2042.4529018630515</v>
      </c>
      <c r="Q19" s="2">
        <f t="shared" ca="1" si="35"/>
        <v>2453.1036713814683</v>
      </c>
      <c r="R19" s="2">
        <f t="shared" ca="1" si="35"/>
        <v>2154.0782913106223</v>
      </c>
      <c r="S19" s="2">
        <f t="shared" ca="1" si="35"/>
        <v>2764.9610104843277</v>
      </c>
      <c r="T19" s="2">
        <f t="shared" ca="1" si="35"/>
        <v>2420.4895921975099</v>
      </c>
      <c r="U19" s="2">
        <f t="shared" ca="1" si="35"/>
        <v>2351.0743307019079</v>
      </c>
      <c r="V19" s="2">
        <f t="shared" ca="1" si="35"/>
        <v>2555.3357972753729</v>
      </c>
      <c r="W19" s="2">
        <f t="shared" ca="1" si="36"/>
        <v>2463.2711729948805</v>
      </c>
      <c r="X19" s="2">
        <f t="shared" ca="1" si="36"/>
        <v>2628.1322607075258</v>
      </c>
      <c r="Y19" s="2">
        <f t="shared" ca="1" si="36"/>
        <v>2823.1898958520828</v>
      </c>
      <c r="Z19" s="2">
        <f t="shared" ca="1" si="36"/>
        <v>2104.976298655456</v>
      </c>
      <c r="AA19" s="2">
        <f t="shared" ca="1" si="36"/>
        <v>2121.2426459803746</v>
      </c>
      <c r="AB19" s="2">
        <f t="shared" ca="1" si="36"/>
        <v>2660.1758135301252</v>
      </c>
      <c r="AC19" s="2">
        <f t="shared" ca="1" si="36"/>
        <v>2874.457466133349</v>
      </c>
      <c r="AD19" s="2">
        <f t="shared" ca="1" si="36"/>
        <v>2522.3802312382527</v>
      </c>
      <c r="AE19" s="2">
        <f t="shared" ca="1" si="36"/>
        <v>2050.3928383479474</v>
      </c>
      <c r="AF19" s="2">
        <f t="shared" ca="1" si="36"/>
        <v>2902.7706062594671</v>
      </c>
      <c r="AG19" s="2">
        <f t="shared" ca="1" si="36"/>
        <v>2239.045131874464</v>
      </c>
      <c r="AH19" s="2">
        <f t="shared" ca="1" si="36"/>
        <v>2855.8889144110281</v>
      </c>
    </row>
    <row r="20" spans="1:34">
      <c r="A20" t="str">
        <f t="shared" si="33"/>
        <v>Sorghum</v>
      </c>
      <c r="B20" t="str">
        <f t="shared" si="37"/>
        <v>Harari</v>
      </c>
      <c r="C20" s="2">
        <f t="shared" ca="1" si="34"/>
        <v>2899.4908449776012</v>
      </c>
      <c r="D20" s="2">
        <f t="shared" ca="1" si="34"/>
        <v>2283.3614050672472</v>
      </c>
      <c r="E20" s="2">
        <f t="shared" ca="1" si="34"/>
        <v>2688.794452763862</v>
      </c>
      <c r="F20" s="2">
        <f t="shared" ca="1" si="34"/>
        <v>2760.9283437103836</v>
      </c>
      <c r="G20" s="2">
        <f t="shared" ca="1" si="34"/>
        <v>2881.6953912984759</v>
      </c>
      <c r="H20" s="2">
        <f t="shared" ca="1" si="34"/>
        <v>2739.1717876691537</v>
      </c>
      <c r="I20" s="2">
        <f t="shared" ca="1" si="34"/>
        <v>2426.4028248077075</v>
      </c>
      <c r="J20" s="2">
        <f t="shared" ca="1" si="34"/>
        <v>2691.2848682800773</v>
      </c>
      <c r="K20" s="2">
        <f t="shared" ca="1" si="34"/>
        <v>2848.5348209449012</v>
      </c>
      <c r="L20" s="2">
        <f t="shared" ca="1" si="34"/>
        <v>2038.055597277099</v>
      </c>
      <c r="M20" s="2">
        <f t="shared" ca="1" si="35"/>
        <v>2849.4968942689775</v>
      </c>
      <c r="N20" s="2">
        <f t="shared" ca="1" si="35"/>
        <v>2540.0765650613125</v>
      </c>
      <c r="O20" s="2">
        <f t="shared" ca="1" si="35"/>
        <v>2348.0039807737007</v>
      </c>
      <c r="P20" s="2">
        <f t="shared" ca="1" si="35"/>
        <v>2001.0478671096118</v>
      </c>
      <c r="Q20" s="2">
        <f t="shared" ca="1" si="35"/>
        <v>2695.21297067151</v>
      </c>
      <c r="R20" s="2">
        <f t="shared" ca="1" si="35"/>
        <v>2674.9004583886967</v>
      </c>
      <c r="S20" s="2">
        <f t="shared" ca="1" si="35"/>
        <v>2027.4553159095058</v>
      </c>
      <c r="T20" s="2">
        <f t="shared" ca="1" si="35"/>
        <v>2962.511927341815</v>
      </c>
      <c r="U20" s="2">
        <f t="shared" ca="1" si="35"/>
        <v>2325.0254576622301</v>
      </c>
      <c r="V20" s="2">
        <f t="shared" ca="1" si="35"/>
        <v>2522.8231262458448</v>
      </c>
      <c r="W20" s="2">
        <f t="shared" ca="1" si="36"/>
        <v>2173.8067113631118</v>
      </c>
      <c r="X20" s="2">
        <f t="shared" ca="1" si="36"/>
        <v>2183.630161294047</v>
      </c>
      <c r="Y20" s="2">
        <f t="shared" ca="1" si="36"/>
        <v>2355.6966206905709</v>
      </c>
      <c r="Z20" s="2">
        <f t="shared" ca="1" si="36"/>
        <v>2086.4560481139574</v>
      </c>
      <c r="AA20" s="2">
        <f t="shared" ca="1" si="36"/>
        <v>2853.0243398197631</v>
      </c>
      <c r="AB20" s="2">
        <f t="shared" ca="1" si="36"/>
        <v>2237.192658656978</v>
      </c>
      <c r="AC20" s="2">
        <f t="shared" ca="1" si="36"/>
        <v>2171.7920871126244</v>
      </c>
      <c r="AD20" s="2">
        <f t="shared" ca="1" si="36"/>
        <v>2180.699906816762</v>
      </c>
      <c r="AE20" s="2">
        <f t="shared" ca="1" si="36"/>
        <v>2982.9183696431114</v>
      </c>
      <c r="AF20" s="2">
        <f t="shared" ca="1" si="36"/>
        <v>2127.4819048310023</v>
      </c>
      <c r="AG20" s="2">
        <f t="shared" ca="1" si="36"/>
        <v>2120.8984818903427</v>
      </c>
      <c r="AH20" s="2">
        <f t="shared" ca="1" si="36"/>
        <v>2542.5691982407716</v>
      </c>
    </row>
    <row r="21" spans="1:34">
      <c r="A21" t="str">
        <f t="shared" si="33"/>
        <v>Sorghum</v>
      </c>
      <c r="B21" t="str">
        <f t="shared" si="37"/>
        <v>Oromia</v>
      </c>
      <c r="C21" s="2">
        <f t="shared" ca="1" si="34"/>
        <v>2893.9894563871703</v>
      </c>
      <c r="D21" s="2">
        <f t="shared" ca="1" si="34"/>
        <v>2109.7533729913193</v>
      </c>
      <c r="E21" s="2">
        <f t="shared" ca="1" si="34"/>
        <v>2338.1901190128947</v>
      </c>
      <c r="F21" s="2">
        <f t="shared" ca="1" si="34"/>
        <v>2167.2396637473666</v>
      </c>
      <c r="G21" s="2">
        <f t="shared" ca="1" si="34"/>
        <v>2249.3066283519643</v>
      </c>
      <c r="H21" s="2">
        <f t="shared" ca="1" si="34"/>
        <v>2683.9554026876162</v>
      </c>
      <c r="I21" s="2">
        <f t="shared" ca="1" si="34"/>
        <v>2494.475620924698</v>
      </c>
      <c r="J21" s="2">
        <f t="shared" ca="1" si="34"/>
        <v>2001.0859137238688</v>
      </c>
      <c r="K21" s="2">
        <f t="shared" ca="1" si="34"/>
        <v>2619.5706466643969</v>
      </c>
      <c r="L21" s="2">
        <f t="shared" ca="1" si="34"/>
        <v>2238.2654954733202</v>
      </c>
      <c r="M21" s="2">
        <f t="shared" ca="1" si="35"/>
        <v>2497.1438613853766</v>
      </c>
      <c r="N21" s="2">
        <f t="shared" ca="1" si="35"/>
        <v>2058.8575488374026</v>
      </c>
      <c r="O21" s="2">
        <f t="shared" ca="1" si="35"/>
        <v>2310.8324281482674</v>
      </c>
      <c r="P21" s="2">
        <f t="shared" ca="1" si="35"/>
        <v>2745.5718493824234</v>
      </c>
      <c r="Q21" s="2">
        <f t="shared" ca="1" si="35"/>
        <v>2250.7401056764447</v>
      </c>
      <c r="R21" s="2">
        <f t="shared" ca="1" si="35"/>
        <v>2148.7259717416441</v>
      </c>
      <c r="S21" s="2">
        <f t="shared" ca="1" si="35"/>
        <v>2749.890378530049</v>
      </c>
      <c r="T21" s="2">
        <f t="shared" ca="1" si="35"/>
        <v>2673.1830166380219</v>
      </c>
      <c r="U21" s="2">
        <f t="shared" ca="1" si="35"/>
        <v>2881.8800435851631</v>
      </c>
      <c r="V21" s="2">
        <f t="shared" ca="1" si="35"/>
        <v>2585.2451723029412</v>
      </c>
      <c r="W21" s="2">
        <f t="shared" ca="1" si="36"/>
        <v>2885.2938386315686</v>
      </c>
      <c r="X21" s="2">
        <f t="shared" ca="1" si="36"/>
        <v>2895.6101610280002</v>
      </c>
      <c r="Y21" s="2">
        <f t="shared" ca="1" si="36"/>
        <v>2644.6500382288555</v>
      </c>
      <c r="Z21" s="2">
        <f t="shared" ca="1" si="36"/>
        <v>2202.9398923424519</v>
      </c>
      <c r="AA21" s="2">
        <f t="shared" ca="1" si="36"/>
        <v>2320.2187913310736</v>
      </c>
      <c r="AB21" s="2">
        <f t="shared" ca="1" si="36"/>
        <v>2874.9949466750932</v>
      </c>
      <c r="AC21" s="2">
        <f t="shared" ca="1" si="36"/>
        <v>2152.5826263395238</v>
      </c>
      <c r="AD21" s="2">
        <f t="shared" ca="1" si="36"/>
        <v>2437.499881018719</v>
      </c>
      <c r="AE21" s="2">
        <f t="shared" ca="1" si="36"/>
        <v>2436.7984992371703</v>
      </c>
      <c r="AF21" s="2">
        <f t="shared" ca="1" si="36"/>
        <v>2392.3477734143689</v>
      </c>
      <c r="AG21" s="2">
        <f t="shared" ca="1" si="36"/>
        <v>2382.5485549420468</v>
      </c>
      <c r="AH21" s="2">
        <f t="shared" ca="1" si="36"/>
        <v>2433.5779081988794</v>
      </c>
    </row>
    <row r="22" spans="1:34">
      <c r="A22" t="str">
        <f t="shared" si="33"/>
        <v>Sorghum</v>
      </c>
      <c r="B22" t="str">
        <f t="shared" si="37"/>
        <v>Somali</v>
      </c>
      <c r="C22" s="2">
        <f t="shared" ca="1" si="34"/>
        <v>2853.7356366834356</v>
      </c>
      <c r="D22" s="2">
        <f t="shared" ca="1" si="34"/>
        <v>2944.1997830570722</v>
      </c>
      <c r="E22" s="2">
        <f t="shared" ca="1" si="34"/>
        <v>2217.6052997953952</v>
      </c>
      <c r="F22" s="2">
        <f t="shared" ca="1" si="34"/>
        <v>2400.4377941904941</v>
      </c>
      <c r="G22" s="2">
        <f t="shared" ca="1" si="34"/>
        <v>2084.0322021559487</v>
      </c>
      <c r="H22" s="2">
        <f t="shared" ca="1" si="34"/>
        <v>2054.3020922013698</v>
      </c>
      <c r="I22" s="2">
        <f t="shared" ca="1" si="34"/>
        <v>2487.141123486962</v>
      </c>
      <c r="J22" s="2">
        <f t="shared" ca="1" si="34"/>
        <v>2394.5844541525817</v>
      </c>
      <c r="K22" s="2">
        <f t="shared" ca="1" si="34"/>
        <v>2554.8884552996424</v>
      </c>
      <c r="L22" s="2">
        <f t="shared" ca="1" si="34"/>
        <v>2996.8752372175168</v>
      </c>
      <c r="M22" s="2">
        <f t="shared" ca="1" si="35"/>
        <v>2719.4645249732548</v>
      </c>
      <c r="N22" s="2">
        <f t="shared" ca="1" si="35"/>
        <v>2494.8471481842471</v>
      </c>
      <c r="O22" s="2">
        <f t="shared" ca="1" si="35"/>
        <v>2508.6397744492251</v>
      </c>
      <c r="P22" s="2">
        <f t="shared" ca="1" si="35"/>
        <v>2873.2903603822451</v>
      </c>
      <c r="Q22" s="2">
        <f t="shared" ca="1" si="35"/>
        <v>2383.00924715766</v>
      </c>
      <c r="R22" s="2">
        <f t="shared" ca="1" si="35"/>
        <v>2696.9360938475693</v>
      </c>
      <c r="S22" s="2">
        <f t="shared" ca="1" si="35"/>
        <v>2748.2672839791876</v>
      </c>
      <c r="T22" s="2">
        <f t="shared" ca="1" si="35"/>
        <v>2043.8669238171569</v>
      </c>
      <c r="U22" s="2">
        <f t="shared" ca="1" si="35"/>
        <v>2875.3301862270337</v>
      </c>
      <c r="V22" s="2">
        <f t="shared" ca="1" si="35"/>
        <v>2190.0046493679433</v>
      </c>
      <c r="W22" s="2">
        <f t="shared" ca="1" si="36"/>
        <v>2623.2097328211639</v>
      </c>
      <c r="X22" s="2">
        <f t="shared" ca="1" si="36"/>
        <v>2213.2150393476213</v>
      </c>
      <c r="Y22" s="2">
        <f t="shared" ca="1" si="36"/>
        <v>2776.878784073961</v>
      </c>
      <c r="Z22" s="2">
        <f t="shared" ca="1" si="36"/>
        <v>2122.7332570853155</v>
      </c>
      <c r="AA22" s="2">
        <f t="shared" ca="1" si="36"/>
        <v>2333.2935460247782</v>
      </c>
      <c r="AB22" s="2">
        <f t="shared" ca="1" si="36"/>
        <v>2731.4710242886795</v>
      </c>
      <c r="AC22" s="2">
        <f t="shared" ca="1" si="36"/>
        <v>2337.3267245764914</v>
      </c>
      <c r="AD22" s="2">
        <f t="shared" ca="1" si="36"/>
        <v>2536.7491538282047</v>
      </c>
      <c r="AE22" s="2">
        <f t="shared" ca="1" si="36"/>
        <v>2656.6751596670565</v>
      </c>
      <c r="AF22" s="2">
        <f t="shared" ca="1" si="36"/>
        <v>2623.1670834692391</v>
      </c>
      <c r="AG22" s="2">
        <f t="shared" ca="1" si="36"/>
        <v>2472.6944242124923</v>
      </c>
      <c r="AH22" s="2">
        <f t="shared" ca="1" si="36"/>
        <v>2215.410482341867</v>
      </c>
    </row>
    <row r="23" spans="1:34">
      <c r="A23" t="str">
        <f t="shared" si="33"/>
        <v>Sorghum</v>
      </c>
      <c r="B23" t="str">
        <f t="shared" si="37"/>
        <v>SNNPR</v>
      </c>
      <c r="C23" s="2">
        <f t="shared" ca="1" si="34"/>
        <v>2250.3440147294086</v>
      </c>
      <c r="D23" s="2">
        <f t="shared" ca="1" si="34"/>
        <v>2986.82291418159</v>
      </c>
      <c r="E23" s="2">
        <f t="shared" ca="1" si="34"/>
        <v>2585.3741376916132</v>
      </c>
      <c r="F23" s="2">
        <f t="shared" ca="1" si="34"/>
        <v>2370.9382871167609</v>
      </c>
      <c r="G23" s="2">
        <f t="shared" ca="1" si="34"/>
        <v>2183.6898649216992</v>
      </c>
      <c r="H23" s="2">
        <f t="shared" ca="1" si="34"/>
        <v>2687.0138863413304</v>
      </c>
      <c r="I23" s="2">
        <f t="shared" ca="1" si="34"/>
        <v>2911.4966969674479</v>
      </c>
      <c r="J23" s="2">
        <f t="shared" ca="1" si="34"/>
        <v>2710.2460385778159</v>
      </c>
      <c r="K23" s="2">
        <f t="shared" ca="1" si="34"/>
        <v>2236.6876374957283</v>
      </c>
      <c r="L23" s="2">
        <f t="shared" ca="1" si="34"/>
        <v>2095.3532985771435</v>
      </c>
      <c r="M23" s="2">
        <f t="shared" ca="1" si="35"/>
        <v>2326.4494307074606</v>
      </c>
      <c r="N23" s="2">
        <f t="shared" ca="1" si="35"/>
        <v>2164.5795113173522</v>
      </c>
      <c r="O23" s="2">
        <f t="shared" ca="1" si="35"/>
        <v>2838.3785205645527</v>
      </c>
      <c r="P23" s="2">
        <f t="shared" ca="1" si="35"/>
        <v>2038.9328707568436</v>
      </c>
      <c r="Q23" s="2">
        <f t="shared" ca="1" si="35"/>
        <v>2174.5286558767421</v>
      </c>
      <c r="R23" s="2">
        <f t="shared" ca="1" si="35"/>
        <v>2396.1427215157578</v>
      </c>
      <c r="S23" s="2">
        <f t="shared" ca="1" si="35"/>
        <v>2177.355434694749</v>
      </c>
      <c r="T23" s="2">
        <f t="shared" ca="1" si="35"/>
        <v>2135.9187112268473</v>
      </c>
      <c r="U23" s="2">
        <f t="shared" ca="1" si="35"/>
        <v>2015.2415611642318</v>
      </c>
      <c r="V23" s="2">
        <f t="shared" ca="1" si="35"/>
        <v>2631.0186215737031</v>
      </c>
      <c r="W23" s="2">
        <f t="shared" ca="1" si="36"/>
        <v>2797.6602937737098</v>
      </c>
      <c r="X23" s="2">
        <f t="shared" ca="1" si="36"/>
        <v>2837.8840191678682</v>
      </c>
      <c r="Y23" s="2">
        <f t="shared" ca="1" si="36"/>
        <v>2518.519556496668</v>
      </c>
      <c r="Z23" s="2">
        <f t="shared" ca="1" si="36"/>
        <v>2333.2806079846246</v>
      </c>
      <c r="AA23" s="2">
        <f t="shared" ca="1" si="36"/>
        <v>2254.8747412811836</v>
      </c>
      <c r="AB23" s="2">
        <f t="shared" ca="1" si="36"/>
        <v>2509.2764609092674</v>
      </c>
      <c r="AC23" s="2">
        <f t="shared" ca="1" si="36"/>
        <v>2567.5953417914061</v>
      </c>
      <c r="AD23" s="2">
        <f t="shared" ca="1" si="36"/>
        <v>2557.7091483388431</v>
      </c>
      <c r="AE23" s="2">
        <f t="shared" ca="1" si="36"/>
        <v>2860.3511099417228</v>
      </c>
      <c r="AF23" s="2">
        <f t="shared" ca="1" si="36"/>
        <v>2678.1348586047675</v>
      </c>
      <c r="AG23" s="2">
        <f t="shared" ca="1" si="36"/>
        <v>2522.0038556004642</v>
      </c>
      <c r="AH23" s="2">
        <f t="shared" ca="1" si="36"/>
        <v>2541.6953322037757</v>
      </c>
    </row>
    <row r="24" spans="1:34">
      <c r="A24" t="str">
        <f t="shared" si="33"/>
        <v>Sorghum</v>
      </c>
      <c r="B24" t="str">
        <f t="shared" si="37"/>
        <v>Tigray</v>
      </c>
      <c r="C24" s="2">
        <f t="shared" ref="C24:L33" ca="1" si="38">((RAND()*1+2)*100)*10</f>
        <v>2916.8442514185599</v>
      </c>
      <c r="D24" s="2">
        <f t="shared" ca="1" si="38"/>
        <v>2246.3416594202395</v>
      </c>
      <c r="E24" s="2">
        <f t="shared" ca="1" si="38"/>
        <v>2067.4812959738019</v>
      </c>
      <c r="F24" s="2">
        <f t="shared" ca="1" si="38"/>
        <v>2512.9766530844763</v>
      </c>
      <c r="G24" s="2">
        <f t="shared" ca="1" si="38"/>
        <v>2910.923923119095</v>
      </c>
      <c r="H24" s="2">
        <f t="shared" ca="1" si="38"/>
        <v>2177.7952297365719</v>
      </c>
      <c r="I24" s="2">
        <f t="shared" ca="1" si="38"/>
        <v>2565.9811131821825</v>
      </c>
      <c r="J24" s="2">
        <f t="shared" ca="1" si="38"/>
        <v>2847.6422178048556</v>
      </c>
      <c r="K24" s="2">
        <f t="shared" ca="1" si="38"/>
        <v>2961.8575936687657</v>
      </c>
      <c r="L24" s="2">
        <f t="shared" ca="1" si="38"/>
        <v>2742.6065419940442</v>
      </c>
      <c r="M24" s="2">
        <f t="shared" ref="M24:V33" ca="1" si="39">((RAND()*1+2)*100)*10</f>
        <v>2865.417677689531</v>
      </c>
      <c r="N24" s="2">
        <f t="shared" ca="1" si="39"/>
        <v>2809.8126522571579</v>
      </c>
      <c r="O24" s="2">
        <f t="shared" ca="1" si="39"/>
        <v>2434.4261066106164</v>
      </c>
      <c r="P24" s="2">
        <f t="shared" ca="1" si="39"/>
        <v>2846.0536596964421</v>
      </c>
      <c r="Q24" s="2">
        <f t="shared" ca="1" si="39"/>
        <v>2452.042811488388</v>
      </c>
      <c r="R24" s="2">
        <f t="shared" ca="1" si="39"/>
        <v>2253.6820283857401</v>
      </c>
      <c r="S24" s="2">
        <f t="shared" ca="1" si="39"/>
        <v>2954.1876615603292</v>
      </c>
      <c r="T24" s="2">
        <f t="shared" ca="1" si="39"/>
        <v>2475.209775115809</v>
      </c>
      <c r="U24" s="2">
        <f t="shared" ca="1" si="39"/>
        <v>2586.9709032863411</v>
      </c>
      <c r="V24" s="2">
        <f t="shared" ca="1" si="39"/>
        <v>2247.3347866011277</v>
      </c>
      <c r="W24" s="2">
        <f t="shared" ref="W24:AH33" ca="1" si="40">((RAND()*1+2)*100)*10</f>
        <v>2908.1807842289918</v>
      </c>
      <c r="X24" s="2">
        <f t="shared" ca="1" si="40"/>
        <v>2806.2528975097903</v>
      </c>
      <c r="Y24" s="2">
        <f t="shared" ca="1" si="40"/>
        <v>2446.8666818236256</v>
      </c>
      <c r="Z24" s="2">
        <f t="shared" ca="1" si="40"/>
        <v>2883.3276098052047</v>
      </c>
      <c r="AA24" s="2">
        <f t="shared" ca="1" si="40"/>
        <v>2507.8553241671439</v>
      </c>
      <c r="AB24" s="2">
        <f t="shared" ca="1" si="40"/>
        <v>2105.0317408786359</v>
      </c>
      <c r="AC24" s="2">
        <f t="shared" ca="1" si="40"/>
        <v>2951.561841976918</v>
      </c>
      <c r="AD24" s="2">
        <f t="shared" ca="1" si="40"/>
        <v>2199.3587891904317</v>
      </c>
      <c r="AE24" s="2">
        <f t="shared" ca="1" si="40"/>
        <v>2846.2085820095358</v>
      </c>
      <c r="AF24" s="2">
        <f t="shared" ca="1" si="40"/>
        <v>2955.2129638018159</v>
      </c>
      <c r="AG24" s="2">
        <f t="shared" ca="1" si="40"/>
        <v>2366.084247003525</v>
      </c>
      <c r="AH24" s="2">
        <f t="shared" ca="1" si="40"/>
        <v>2241.7117430101671</v>
      </c>
    </row>
    <row r="25" spans="1:34">
      <c r="A25" t="str">
        <f t="shared" si="33"/>
        <v>Maize</v>
      </c>
      <c r="B25" t="str">
        <f t="shared" si="37"/>
        <v>AddisAbaba</v>
      </c>
      <c r="C25" s="2">
        <f t="shared" ca="1" si="38"/>
        <v>2442.2086801134765</v>
      </c>
      <c r="D25" s="2">
        <f t="shared" ca="1" si="38"/>
        <v>2478.2317675555719</v>
      </c>
      <c r="E25" s="2">
        <f t="shared" ca="1" si="38"/>
        <v>2609.3243806660071</v>
      </c>
      <c r="F25" s="2">
        <f t="shared" ca="1" si="38"/>
        <v>2639.8849725152263</v>
      </c>
      <c r="G25" s="2">
        <f t="shared" ca="1" si="38"/>
        <v>2819.8138375606163</v>
      </c>
      <c r="H25" s="2">
        <f t="shared" ca="1" si="38"/>
        <v>2301.7256242560652</v>
      </c>
      <c r="I25" s="2">
        <f t="shared" ca="1" si="38"/>
        <v>2207.0173975134658</v>
      </c>
      <c r="J25" s="2">
        <f t="shared" ca="1" si="38"/>
        <v>2812.0253699319173</v>
      </c>
      <c r="K25" s="2">
        <f t="shared" ca="1" si="38"/>
        <v>2174.8179144517685</v>
      </c>
      <c r="L25" s="2">
        <f t="shared" ca="1" si="38"/>
        <v>2961.551987811099</v>
      </c>
      <c r="M25" s="2">
        <f t="shared" ca="1" si="39"/>
        <v>2830.2275254840752</v>
      </c>
      <c r="N25" s="2">
        <f t="shared" ca="1" si="39"/>
        <v>2614.4224023104862</v>
      </c>
      <c r="O25" s="2">
        <f t="shared" ca="1" si="39"/>
        <v>2956.2789079484214</v>
      </c>
      <c r="P25" s="2">
        <f t="shared" ca="1" si="39"/>
        <v>2978.5894834721398</v>
      </c>
      <c r="Q25" s="2">
        <f t="shared" ca="1" si="39"/>
        <v>2491.9875407863074</v>
      </c>
      <c r="R25" s="2">
        <f t="shared" ca="1" si="39"/>
        <v>2771.3143539260891</v>
      </c>
      <c r="S25" s="2">
        <f t="shared" ca="1" si="39"/>
        <v>2643.952048187125</v>
      </c>
      <c r="T25" s="2">
        <f t="shared" ca="1" si="39"/>
        <v>2415.3554762072558</v>
      </c>
      <c r="U25" s="2">
        <f t="shared" ca="1" si="39"/>
        <v>2206.1496453108516</v>
      </c>
      <c r="V25" s="2">
        <f t="shared" ca="1" si="39"/>
        <v>2858.680516183977</v>
      </c>
      <c r="W25" s="2">
        <f t="shared" ca="1" si="40"/>
        <v>2606.4752526118482</v>
      </c>
      <c r="X25" s="2">
        <f t="shared" ca="1" si="40"/>
        <v>2708.1343841960547</v>
      </c>
      <c r="Y25" s="2">
        <f t="shared" ca="1" si="40"/>
        <v>2564.5257893070475</v>
      </c>
      <c r="Z25" s="2">
        <f t="shared" ca="1" si="40"/>
        <v>2534.3745539469032</v>
      </c>
      <c r="AA25" s="2">
        <f t="shared" ca="1" si="40"/>
        <v>2861.7868873763036</v>
      </c>
      <c r="AB25" s="2">
        <f t="shared" ca="1" si="40"/>
        <v>2503.9032426413091</v>
      </c>
      <c r="AC25" s="2">
        <f t="shared" ca="1" si="40"/>
        <v>2992.4106258871134</v>
      </c>
      <c r="AD25" s="2">
        <f t="shared" ca="1" si="40"/>
        <v>2518.1431606127362</v>
      </c>
      <c r="AE25" s="2">
        <f t="shared" ca="1" si="40"/>
        <v>2969.9995141063519</v>
      </c>
      <c r="AF25" s="2">
        <f t="shared" ca="1" si="40"/>
        <v>2499.4987659580115</v>
      </c>
      <c r="AG25" s="2">
        <f t="shared" ca="1" si="40"/>
        <v>2484.1351271468197</v>
      </c>
      <c r="AH25" s="2">
        <f t="shared" ca="1" si="40"/>
        <v>2981.9886276533521</v>
      </c>
    </row>
    <row r="26" spans="1:34">
      <c r="A26" t="str">
        <f t="shared" si="33"/>
        <v>Maize</v>
      </c>
      <c r="B26" t="str">
        <f t="shared" si="37"/>
        <v>Afar</v>
      </c>
      <c r="C26" s="2">
        <f t="shared" ca="1" si="38"/>
        <v>2284.5137148741655</v>
      </c>
      <c r="D26" s="2">
        <f t="shared" ca="1" si="38"/>
        <v>2004.8674270377646</v>
      </c>
      <c r="E26" s="2">
        <f t="shared" ca="1" si="38"/>
        <v>2678.1751004199723</v>
      </c>
      <c r="F26" s="2">
        <f t="shared" ca="1" si="38"/>
        <v>2758.3982877175467</v>
      </c>
      <c r="G26" s="2">
        <f t="shared" ca="1" si="38"/>
        <v>2361.6233403725769</v>
      </c>
      <c r="H26" s="2">
        <f t="shared" ca="1" si="38"/>
        <v>2886.1541924240428</v>
      </c>
      <c r="I26" s="2">
        <f t="shared" ca="1" si="38"/>
        <v>2911.8936085438891</v>
      </c>
      <c r="J26" s="2">
        <f t="shared" ca="1" si="38"/>
        <v>2730.8420559150204</v>
      </c>
      <c r="K26" s="2">
        <f t="shared" ca="1" si="38"/>
        <v>2183.8461426511976</v>
      </c>
      <c r="L26" s="2">
        <f t="shared" ca="1" si="38"/>
        <v>2420.6656514324177</v>
      </c>
      <c r="M26" s="2">
        <f t="shared" ca="1" si="39"/>
        <v>2373.6187709332917</v>
      </c>
      <c r="N26" s="2">
        <f t="shared" ca="1" si="39"/>
        <v>2521.3552593166837</v>
      </c>
      <c r="O26" s="2">
        <f t="shared" ca="1" si="39"/>
        <v>2770.7436642137823</v>
      </c>
      <c r="P26" s="2">
        <f t="shared" ca="1" si="39"/>
        <v>2589.5522728868655</v>
      </c>
      <c r="Q26" s="2">
        <f t="shared" ca="1" si="39"/>
        <v>2752.8245631969658</v>
      </c>
      <c r="R26" s="2">
        <f t="shared" ca="1" si="39"/>
        <v>2550.9758062163091</v>
      </c>
      <c r="S26" s="2">
        <f t="shared" ca="1" si="39"/>
        <v>2692.6864076621537</v>
      </c>
      <c r="T26" s="2">
        <f t="shared" ca="1" si="39"/>
        <v>2740.0707662929653</v>
      </c>
      <c r="U26" s="2">
        <f t="shared" ca="1" si="39"/>
        <v>2967.6868685205154</v>
      </c>
      <c r="V26" s="2">
        <f t="shared" ca="1" si="39"/>
        <v>2471.0595834017245</v>
      </c>
      <c r="W26" s="2">
        <f t="shared" ca="1" si="40"/>
        <v>2830.1997904602231</v>
      </c>
      <c r="X26" s="2">
        <f t="shared" ca="1" si="40"/>
        <v>2569.3414513827538</v>
      </c>
      <c r="Y26" s="2">
        <f t="shared" ca="1" si="40"/>
        <v>2224.6117975514067</v>
      </c>
      <c r="Z26" s="2">
        <f t="shared" ca="1" si="40"/>
        <v>2420.5387281777312</v>
      </c>
      <c r="AA26" s="2">
        <f t="shared" ca="1" si="40"/>
        <v>2854.9828156202279</v>
      </c>
      <c r="AB26" s="2">
        <f t="shared" ca="1" si="40"/>
        <v>2278.4037724340224</v>
      </c>
      <c r="AC26" s="2">
        <f t="shared" ca="1" si="40"/>
        <v>2785.6348759308344</v>
      </c>
      <c r="AD26" s="2">
        <f t="shared" ca="1" si="40"/>
        <v>2978.6365420975299</v>
      </c>
      <c r="AE26" s="2">
        <f t="shared" ca="1" si="40"/>
        <v>2349.0807956231502</v>
      </c>
      <c r="AF26" s="2">
        <f t="shared" ca="1" si="40"/>
        <v>2574.5930551735823</v>
      </c>
      <c r="AG26" s="2">
        <f t="shared" ca="1" si="40"/>
        <v>2481.9220810813276</v>
      </c>
      <c r="AH26" s="2">
        <f t="shared" ca="1" si="40"/>
        <v>2121.5571540351843</v>
      </c>
    </row>
    <row r="27" spans="1:34">
      <c r="A27" t="str">
        <f t="shared" si="33"/>
        <v>Maize</v>
      </c>
      <c r="B27" t="str">
        <f t="shared" si="37"/>
        <v>Amhara</v>
      </c>
      <c r="C27" s="2">
        <f t="shared" ca="1" si="38"/>
        <v>2009.1228229445246</v>
      </c>
      <c r="D27" s="2">
        <f t="shared" ca="1" si="38"/>
        <v>2063.2290769532265</v>
      </c>
      <c r="E27" s="2">
        <f t="shared" ca="1" si="38"/>
        <v>2928.6189252619606</v>
      </c>
      <c r="F27" s="2">
        <f t="shared" ca="1" si="38"/>
        <v>2746.0094501091839</v>
      </c>
      <c r="G27" s="2">
        <f t="shared" ca="1" si="38"/>
        <v>2294.8222443031505</v>
      </c>
      <c r="H27" s="2">
        <f t="shared" ca="1" si="38"/>
        <v>2187.5250330924291</v>
      </c>
      <c r="I27" s="2">
        <f t="shared" ca="1" si="38"/>
        <v>2288.7456853803137</v>
      </c>
      <c r="J27" s="2">
        <f t="shared" ca="1" si="38"/>
        <v>2207.6800116702625</v>
      </c>
      <c r="K27" s="2">
        <f t="shared" ca="1" si="38"/>
        <v>2212.1589730451838</v>
      </c>
      <c r="L27" s="2">
        <f t="shared" ca="1" si="38"/>
        <v>2634.673831197184</v>
      </c>
      <c r="M27" s="2">
        <f t="shared" ca="1" si="39"/>
        <v>2019.5059177125447</v>
      </c>
      <c r="N27" s="2">
        <f t="shared" ca="1" si="39"/>
        <v>2509.8103938096642</v>
      </c>
      <c r="O27" s="2">
        <f t="shared" ca="1" si="39"/>
        <v>2700.3391651895736</v>
      </c>
      <c r="P27" s="2">
        <f t="shared" ca="1" si="39"/>
        <v>2452.2232687522223</v>
      </c>
      <c r="Q27" s="2">
        <f t="shared" ca="1" si="39"/>
        <v>2023.182745084252</v>
      </c>
      <c r="R27" s="2">
        <f t="shared" ca="1" si="39"/>
        <v>2484.9114347437112</v>
      </c>
      <c r="S27" s="2">
        <f t="shared" ca="1" si="39"/>
        <v>2937.7074250792061</v>
      </c>
      <c r="T27" s="2">
        <f t="shared" ca="1" si="39"/>
        <v>2157.8289671372108</v>
      </c>
      <c r="U27" s="2">
        <f t="shared" ca="1" si="39"/>
        <v>2889.5053187395092</v>
      </c>
      <c r="V27" s="2">
        <f t="shared" ca="1" si="39"/>
        <v>2925.755214081551</v>
      </c>
      <c r="W27" s="2">
        <f t="shared" ca="1" si="40"/>
        <v>2197.5321273625473</v>
      </c>
      <c r="X27" s="2">
        <f t="shared" ca="1" si="40"/>
        <v>2085.1391176396974</v>
      </c>
      <c r="Y27" s="2">
        <f t="shared" ca="1" si="40"/>
        <v>2540.2357739305994</v>
      </c>
      <c r="Z27" s="2">
        <f t="shared" ca="1" si="40"/>
        <v>2435.0541490005389</v>
      </c>
      <c r="AA27" s="2">
        <f t="shared" ca="1" si="40"/>
        <v>2327.3302533302194</v>
      </c>
      <c r="AB27" s="2">
        <f t="shared" ca="1" si="40"/>
        <v>2905.6858152978803</v>
      </c>
      <c r="AC27" s="2">
        <f t="shared" ca="1" si="40"/>
        <v>2261.6439942959569</v>
      </c>
      <c r="AD27" s="2">
        <f t="shared" ca="1" si="40"/>
        <v>2011.7199203269756</v>
      </c>
      <c r="AE27" s="2">
        <f t="shared" ca="1" si="40"/>
        <v>2224.3488580053581</v>
      </c>
      <c r="AF27" s="2">
        <f t="shared" ca="1" si="40"/>
        <v>2970.670550055052</v>
      </c>
      <c r="AG27" s="2">
        <f t="shared" ca="1" si="40"/>
        <v>2304.7194645812515</v>
      </c>
      <c r="AH27" s="2">
        <f t="shared" ca="1" si="40"/>
        <v>2031.0839448373549</v>
      </c>
    </row>
    <row r="28" spans="1:34">
      <c r="A28" t="str">
        <f t="shared" si="33"/>
        <v>Maize</v>
      </c>
      <c r="B28" t="str">
        <f t="shared" si="37"/>
        <v>Gumuz</v>
      </c>
      <c r="C28" s="2">
        <f t="shared" ca="1" si="38"/>
        <v>2958.4823589183334</v>
      </c>
      <c r="D28" s="2">
        <f t="shared" ca="1" si="38"/>
        <v>2359.9356192629361</v>
      </c>
      <c r="E28" s="2">
        <f t="shared" ca="1" si="38"/>
        <v>2678.4682412627949</v>
      </c>
      <c r="F28" s="2">
        <f t="shared" ca="1" si="38"/>
        <v>2462.9570789079362</v>
      </c>
      <c r="G28" s="2">
        <f t="shared" ca="1" si="38"/>
        <v>2045.0968314689533</v>
      </c>
      <c r="H28" s="2">
        <f t="shared" ca="1" si="38"/>
        <v>2199.3993913161444</v>
      </c>
      <c r="I28" s="2">
        <f t="shared" ca="1" si="38"/>
        <v>2891.5629446676703</v>
      </c>
      <c r="J28" s="2">
        <f t="shared" ca="1" si="38"/>
        <v>2613.7964408250227</v>
      </c>
      <c r="K28" s="2">
        <f t="shared" ca="1" si="38"/>
        <v>2665.8928009813421</v>
      </c>
      <c r="L28" s="2">
        <f t="shared" ca="1" si="38"/>
        <v>2711.2170686210684</v>
      </c>
      <c r="M28" s="2">
        <f t="shared" ca="1" si="39"/>
        <v>2547.9935932958615</v>
      </c>
      <c r="N28" s="2">
        <f t="shared" ca="1" si="39"/>
        <v>2594.0674169214644</v>
      </c>
      <c r="O28" s="2">
        <f t="shared" ca="1" si="39"/>
        <v>2309.772190382419</v>
      </c>
      <c r="P28" s="2">
        <f t="shared" ca="1" si="39"/>
        <v>2409.1940637415323</v>
      </c>
      <c r="Q28" s="2">
        <f t="shared" ca="1" si="39"/>
        <v>2110.9228840481633</v>
      </c>
      <c r="R28" s="2">
        <f t="shared" ca="1" si="39"/>
        <v>2768.4809987818007</v>
      </c>
      <c r="S28" s="2">
        <f t="shared" ca="1" si="39"/>
        <v>2211.3368077789701</v>
      </c>
      <c r="T28" s="2">
        <f t="shared" ca="1" si="39"/>
        <v>2103.3220224958695</v>
      </c>
      <c r="U28" s="2">
        <f t="shared" ca="1" si="39"/>
        <v>2767.2440245016387</v>
      </c>
      <c r="V28" s="2">
        <f t="shared" ca="1" si="39"/>
        <v>2936.5450446827244</v>
      </c>
      <c r="W28" s="2">
        <f t="shared" ca="1" si="40"/>
        <v>2029.5212339918312</v>
      </c>
      <c r="X28" s="2">
        <f t="shared" ca="1" si="40"/>
        <v>2372.0401326497731</v>
      </c>
      <c r="Y28" s="2">
        <f t="shared" ca="1" si="40"/>
        <v>2547.1799675423968</v>
      </c>
      <c r="Z28" s="2">
        <f t="shared" ca="1" si="40"/>
        <v>2442.9766136832523</v>
      </c>
      <c r="AA28" s="2">
        <f t="shared" ca="1" si="40"/>
        <v>2871.7341171630501</v>
      </c>
      <c r="AB28" s="2">
        <f t="shared" ca="1" si="40"/>
        <v>2699.6465061286717</v>
      </c>
      <c r="AC28" s="2">
        <f t="shared" ca="1" si="40"/>
        <v>2835.9081433200777</v>
      </c>
      <c r="AD28" s="2">
        <f t="shared" ca="1" si="40"/>
        <v>2235.8513951898822</v>
      </c>
      <c r="AE28" s="2">
        <f t="shared" ca="1" si="40"/>
        <v>2922.1151175415544</v>
      </c>
      <c r="AF28" s="2">
        <f t="shared" ca="1" si="40"/>
        <v>2352.9726617986562</v>
      </c>
      <c r="AG28" s="2">
        <f t="shared" ca="1" si="40"/>
        <v>2985.4159453542452</v>
      </c>
      <c r="AH28" s="2">
        <f t="shared" ca="1" si="40"/>
        <v>2767.8909555686755</v>
      </c>
    </row>
    <row r="29" spans="1:34">
      <c r="A29" t="str">
        <f t="shared" si="33"/>
        <v>Maize</v>
      </c>
      <c r="B29" t="str">
        <f t="shared" si="37"/>
        <v>DireDawa</v>
      </c>
      <c r="C29" s="2">
        <f t="shared" ca="1" si="38"/>
        <v>2553.1142008562078</v>
      </c>
      <c r="D29" s="2">
        <f t="shared" ca="1" si="38"/>
        <v>2425.9435958282456</v>
      </c>
      <c r="E29" s="2">
        <f t="shared" ca="1" si="38"/>
        <v>2143.2709794182701</v>
      </c>
      <c r="F29" s="2">
        <f t="shared" ca="1" si="38"/>
        <v>2804.5668003038618</v>
      </c>
      <c r="G29" s="2">
        <f t="shared" ca="1" si="38"/>
        <v>2963.5763859250501</v>
      </c>
      <c r="H29" s="2">
        <f t="shared" ca="1" si="38"/>
        <v>2459.9234389949461</v>
      </c>
      <c r="I29" s="2">
        <f t="shared" ca="1" si="38"/>
        <v>2349.3259518816981</v>
      </c>
      <c r="J29" s="2">
        <f t="shared" ca="1" si="38"/>
        <v>2017.0367476398314</v>
      </c>
      <c r="K29" s="2">
        <f t="shared" ca="1" si="38"/>
        <v>2657.0197859153409</v>
      </c>
      <c r="L29" s="2">
        <f t="shared" ca="1" si="38"/>
        <v>2136.9398802137362</v>
      </c>
      <c r="M29" s="2">
        <f t="shared" ca="1" si="39"/>
        <v>2871.6595975244527</v>
      </c>
      <c r="N29" s="2">
        <f t="shared" ca="1" si="39"/>
        <v>2784.2784790267588</v>
      </c>
      <c r="O29" s="2">
        <f t="shared" ca="1" si="39"/>
        <v>2742.3533648627113</v>
      </c>
      <c r="P29" s="2">
        <f t="shared" ca="1" si="39"/>
        <v>2765.931501499088</v>
      </c>
      <c r="Q29" s="2">
        <f t="shared" ca="1" si="39"/>
        <v>2045.9748788736713</v>
      </c>
      <c r="R29" s="2">
        <f t="shared" ca="1" si="39"/>
        <v>2998.2248025629115</v>
      </c>
      <c r="S29" s="2">
        <f t="shared" ca="1" si="39"/>
        <v>2829.5417235841605</v>
      </c>
      <c r="T29" s="2">
        <f t="shared" ca="1" si="39"/>
        <v>2968.5105929758365</v>
      </c>
      <c r="U29" s="2">
        <f t="shared" ca="1" si="39"/>
        <v>2822.2711492521148</v>
      </c>
      <c r="V29" s="2">
        <f t="shared" ca="1" si="39"/>
        <v>2309.3848918585072</v>
      </c>
      <c r="W29" s="2">
        <f t="shared" ca="1" si="40"/>
        <v>2498.9808003415696</v>
      </c>
      <c r="X29" s="2">
        <f t="shared" ca="1" si="40"/>
        <v>2466.7443818286083</v>
      </c>
      <c r="Y29" s="2">
        <f t="shared" ca="1" si="40"/>
        <v>2812.9037817366479</v>
      </c>
      <c r="Z29" s="2">
        <f t="shared" ca="1" si="40"/>
        <v>2972.4275886971504</v>
      </c>
      <c r="AA29" s="2">
        <f t="shared" ca="1" si="40"/>
        <v>2676.2073841513684</v>
      </c>
      <c r="AB29" s="2">
        <f t="shared" ca="1" si="40"/>
        <v>2320.5659014775356</v>
      </c>
      <c r="AC29" s="2">
        <f t="shared" ca="1" si="40"/>
        <v>2107.9022044202543</v>
      </c>
      <c r="AD29" s="2">
        <f t="shared" ca="1" si="40"/>
        <v>2425.0630795918059</v>
      </c>
      <c r="AE29" s="2">
        <f t="shared" ca="1" si="40"/>
        <v>2597.57936268502</v>
      </c>
      <c r="AF29" s="2">
        <f t="shared" ca="1" si="40"/>
        <v>2139.8928660183783</v>
      </c>
      <c r="AG29" s="2">
        <f t="shared" ca="1" si="40"/>
        <v>2352.9089308513358</v>
      </c>
      <c r="AH29" s="2">
        <f t="shared" ca="1" si="40"/>
        <v>2269.8440389735251</v>
      </c>
    </row>
    <row r="30" spans="1:34">
      <c r="A30" t="str">
        <f t="shared" si="33"/>
        <v>Maize</v>
      </c>
      <c r="B30" t="str">
        <f t="shared" si="37"/>
        <v>Gambela</v>
      </c>
      <c r="C30" s="2">
        <f t="shared" ca="1" si="38"/>
        <v>2801.1619411799807</v>
      </c>
      <c r="D30" s="2">
        <f t="shared" ca="1" si="38"/>
        <v>2827.2182153854392</v>
      </c>
      <c r="E30" s="2">
        <f t="shared" ca="1" si="38"/>
        <v>2873.41215572488</v>
      </c>
      <c r="F30" s="2">
        <f t="shared" ca="1" si="38"/>
        <v>2087.8681115215345</v>
      </c>
      <c r="G30" s="2">
        <f t="shared" ca="1" si="38"/>
        <v>2959.184948411355</v>
      </c>
      <c r="H30" s="2">
        <f t="shared" ca="1" si="38"/>
        <v>2085.4895301793504</v>
      </c>
      <c r="I30" s="2">
        <f t="shared" ca="1" si="38"/>
        <v>2668.1635145739192</v>
      </c>
      <c r="J30" s="2">
        <f t="shared" ca="1" si="38"/>
        <v>2341.0157094707874</v>
      </c>
      <c r="K30" s="2">
        <f t="shared" ca="1" si="38"/>
        <v>2871.5841270253463</v>
      </c>
      <c r="L30" s="2">
        <f t="shared" ca="1" si="38"/>
        <v>2637.2051742772669</v>
      </c>
      <c r="M30" s="2">
        <f t="shared" ca="1" si="39"/>
        <v>2480.6910450533778</v>
      </c>
      <c r="N30" s="2">
        <f t="shared" ca="1" si="39"/>
        <v>2645.9143763719148</v>
      </c>
      <c r="O30" s="2">
        <f t="shared" ca="1" si="39"/>
        <v>2689.7740016051412</v>
      </c>
      <c r="P30" s="2">
        <f t="shared" ca="1" si="39"/>
        <v>2089.6999574285614</v>
      </c>
      <c r="Q30" s="2">
        <f t="shared" ca="1" si="39"/>
        <v>2291.7239400049943</v>
      </c>
      <c r="R30" s="2">
        <f t="shared" ca="1" si="39"/>
        <v>2227.2271386752313</v>
      </c>
      <c r="S30" s="2">
        <f t="shared" ca="1" si="39"/>
        <v>2797.7015924941379</v>
      </c>
      <c r="T30" s="2">
        <f t="shared" ca="1" si="39"/>
        <v>2841.4381067175641</v>
      </c>
      <c r="U30" s="2">
        <f t="shared" ca="1" si="39"/>
        <v>2832.329370704957</v>
      </c>
      <c r="V30" s="2">
        <f t="shared" ca="1" si="39"/>
        <v>2120.4812555170129</v>
      </c>
      <c r="W30" s="2">
        <f t="shared" ca="1" si="40"/>
        <v>2241.9361607882406</v>
      </c>
      <c r="X30" s="2">
        <f t="shared" ca="1" si="40"/>
        <v>2791.4188944290427</v>
      </c>
      <c r="Y30" s="2">
        <f t="shared" ca="1" si="40"/>
        <v>2358.9837684336935</v>
      </c>
      <c r="Z30" s="2">
        <f t="shared" ca="1" si="40"/>
        <v>2892.4874570708989</v>
      </c>
      <c r="AA30" s="2">
        <f t="shared" ca="1" si="40"/>
        <v>2904.4095895997857</v>
      </c>
      <c r="AB30" s="2">
        <f t="shared" ca="1" si="40"/>
        <v>2480.2528947867713</v>
      </c>
      <c r="AC30" s="2">
        <f t="shared" ca="1" si="40"/>
        <v>2771.8216238739456</v>
      </c>
      <c r="AD30" s="2">
        <f t="shared" ca="1" si="40"/>
        <v>2344.8908091386766</v>
      </c>
      <c r="AE30" s="2">
        <f t="shared" ca="1" si="40"/>
        <v>2935.7685138840111</v>
      </c>
      <c r="AF30" s="2">
        <f t="shared" ca="1" si="40"/>
        <v>2878.8089528337123</v>
      </c>
      <c r="AG30" s="2">
        <f t="shared" ca="1" si="40"/>
        <v>2262.0915513984764</v>
      </c>
      <c r="AH30" s="2">
        <f t="shared" ca="1" si="40"/>
        <v>2271.6428531447136</v>
      </c>
    </row>
    <row r="31" spans="1:34">
      <c r="A31" t="str">
        <f t="shared" si="33"/>
        <v>Maize</v>
      </c>
      <c r="B31" t="str">
        <f t="shared" si="37"/>
        <v>Harari</v>
      </c>
      <c r="C31" s="2">
        <f t="shared" ca="1" si="38"/>
        <v>2258.0263057126022</v>
      </c>
      <c r="D31" s="2">
        <f t="shared" ca="1" si="38"/>
        <v>2494.6905975055561</v>
      </c>
      <c r="E31" s="2">
        <f t="shared" ca="1" si="38"/>
        <v>2213.8614309777331</v>
      </c>
      <c r="F31" s="2">
        <f t="shared" ca="1" si="38"/>
        <v>2280.9408107928271</v>
      </c>
      <c r="G31" s="2">
        <f t="shared" ca="1" si="38"/>
        <v>2709.5391028081194</v>
      </c>
      <c r="H31" s="2">
        <f t="shared" ca="1" si="38"/>
        <v>2633.4120470110029</v>
      </c>
      <c r="I31" s="2">
        <f t="shared" ca="1" si="38"/>
        <v>2797.6168751103814</v>
      </c>
      <c r="J31" s="2">
        <f t="shared" ca="1" si="38"/>
        <v>2312.4393318721891</v>
      </c>
      <c r="K31" s="2">
        <f t="shared" ca="1" si="38"/>
        <v>2156.3721422564654</v>
      </c>
      <c r="L31" s="2">
        <f t="shared" ca="1" si="38"/>
        <v>2087.035129418668</v>
      </c>
      <c r="M31" s="2">
        <f t="shared" ca="1" si="39"/>
        <v>2034.5108353694625</v>
      </c>
      <c r="N31" s="2">
        <f t="shared" ca="1" si="39"/>
        <v>2680.6154264598608</v>
      </c>
      <c r="O31" s="2">
        <f t="shared" ca="1" si="39"/>
        <v>2056.4417770612772</v>
      </c>
      <c r="P31" s="2">
        <f t="shared" ca="1" si="39"/>
        <v>2183.2511625003262</v>
      </c>
      <c r="Q31" s="2">
        <f t="shared" ca="1" si="39"/>
        <v>2445.9712717777679</v>
      </c>
      <c r="R31" s="2">
        <f t="shared" ca="1" si="39"/>
        <v>2956.0824182958831</v>
      </c>
      <c r="S31" s="2">
        <f t="shared" ca="1" si="39"/>
        <v>2061.2864955407185</v>
      </c>
      <c r="T31" s="2">
        <f t="shared" ca="1" si="39"/>
        <v>2630.8783139967454</v>
      </c>
      <c r="U31" s="2">
        <f t="shared" ca="1" si="39"/>
        <v>2134.4517566548157</v>
      </c>
      <c r="V31" s="2">
        <f t="shared" ca="1" si="39"/>
        <v>2840.3253095500718</v>
      </c>
      <c r="W31" s="2">
        <f t="shared" ca="1" si="40"/>
        <v>2686.7243493072028</v>
      </c>
      <c r="X31" s="2">
        <f t="shared" ca="1" si="40"/>
        <v>2985.7403003326635</v>
      </c>
      <c r="Y31" s="2">
        <f t="shared" ca="1" si="40"/>
        <v>2824.3106436308135</v>
      </c>
      <c r="Z31" s="2">
        <f t="shared" ca="1" si="40"/>
        <v>2281.4235894387743</v>
      </c>
      <c r="AA31" s="2">
        <f t="shared" ca="1" si="40"/>
        <v>2731.6670324313427</v>
      </c>
      <c r="AB31" s="2">
        <f t="shared" ca="1" si="40"/>
        <v>2294.4647118933203</v>
      </c>
      <c r="AC31" s="2">
        <f t="shared" ca="1" si="40"/>
        <v>2337.8195451578445</v>
      </c>
      <c r="AD31" s="2">
        <f t="shared" ca="1" si="40"/>
        <v>2614.9568170030575</v>
      </c>
      <c r="AE31" s="2">
        <f t="shared" ca="1" si="40"/>
        <v>2284.5369012229075</v>
      </c>
      <c r="AF31" s="2">
        <f t="shared" ca="1" si="40"/>
        <v>2398.7438896689077</v>
      </c>
      <c r="AG31" s="2">
        <f t="shared" ca="1" si="40"/>
        <v>2622.4480408862501</v>
      </c>
      <c r="AH31" s="2">
        <f t="shared" ca="1" si="40"/>
        <v>2130.9649656191364</v>
      </c>
    </row>
    <row r="32" spans="1:34">
      <c r="A32" t="str">
        <f t="shared" si="33"/>
        <v>Maize</v>
      </c>
      <c r="B32" t="str">
        <f t="shared" si="37"/>
        <v>Oromia</v>
      </c>
      <c r="C32" s="2">
        <f t="shared" ca="1" si="38"/>
        <v>2620.352929681314</v>
      </c>
      <c r="D32" s="2">
        <f t="shared" ca="1" si="38"/>
        <v>2819.0276950717325</v>
      </c>
      <c r="E32" s="2">
        <f t="shared" ca="1" si="38"/>
        <v>2424.2199233771471</v>
      </c>
      <c r="F32" s="2">
        <f t="shared" ca="1" si="38"/>
        <v>2195.5044817583157</v>
      </c>
      <c r="G32" s="2">
        <f t="shared" ca="1" si="38"/>
        <v>2673.5002372384461</v>
      </c>
      <c r="H32" s="2">
        <f t="shared" ca="1" si="38"/>
        <v>2831.9848306240629</v>
      </c>
      <c r="I32" s="2">
        <f t="shared" ca="1" si="38"/>
        <v>2113.7404118123318</v>
      </c>
      <c r="J32" s="2">
        <f t="shared" ca="1" si="38"/>
        <v>2192.9211909823252</v>
      </c>
      <c r="K32" s="2">
        <f t="shared" ca="1" si="38"/>
        <v>2931.3949808766101</v>
      </c>
      <c r="L32" s="2">
        <f t="shared" ca="1" si="38"/>
        <v>2932.9174438463269</v>
      </c>
      <c r="M32" s="2">
        <f t="shared" ca="1" si="39"/>
        <v>2044.2327546425299</v>
      </c>
      <c r="N32" s="2">
        <f t="shared" ca="1" si="39"/>
        <v>2720.769905791547</v>
      </c>
      <c r="O32" s="2">
        <f t="shared" ca="1" si="39"/>
        <v>2564.1636492817233</v>
      </c>
      <c r="P32" s="2">
        <f t="shared" ca="1" si="39"/>
        <v>2294.3207029408354</v>
      </c>
      <c r="Q32" s="2">
        <f t="shared" ca="1" si="39"/>
        <v>2334.4060986186632</v>
      </c>
      <c r="R32" s="2">
        <f t="shared" ca="1" si="39"/>
        <v>2006.3041669333222</v>
      </c>
      <c r="S32" s="2">
        <f t="shared" ca="1" si="39"/>
        <v>2519.4030058469748</v>
      </c>
      <c r="T32" s="2">
        <f t="shared" ca="1" si="39"/>
        <v>2750.4182123696091</v>
      </c>
      <c r="U32" s="2">
        <f t="shared" ca="1" si="39"/>
        <v>2113.4251834715083</v>
      </c>
      <c r="V32" s="2">
        <f t="shared" ca="1" si="39"/>
        <v>2827.8443269547261</v>
      </c>
      <c r="W32" s="2">
        <f t="shared" ca="1" si="40"/>
        <v>2428.6143481383597</v>
      </c>
      <c r="X32" s="2">
        <f t="shared" ca="1" si="40"/>
        <v>2896.2015871932981</v>
      </c>
      <c r="Y32" s="2">
        <f t="shared" ca="1" si="40"/>
        <v>2104.6414224866226</v>
      </c>
      <c r="Z32" s="2">
        <f t="shared" ca="1" si="40"/>
        <v>2876.8043268309102</v>
      </c>
      <c r="AA32" s="2">
        <f t="shared" ca="1" si="40"/>
        <v>2867.2299608949634</v>
      </c>
      <c r="AB32" s="2">
        <f t="shared" ca="1" si="40"/>
        <v>2900.3788738832486</v>
      </c>
      <c r="AC32" s="2">
        <f t="shared" ca="1" si="40"/>
        <v>2091.6576067049268</v>
      </c>
      <c r="AD32" s="2">
        <f t="shared" ca="1" si="40"/>
        <v>2600.6225376800621</v>
      </c>
      <c r="AE32" s="2">
        <f t="shared" ca="1" si="40"/>
        <v>2020.3535053450232</v>
      </c>
      <c r="AF32" s="2">
        <f t="shared" ca="1" si="40"/>
        <v>2159.0804792093863</v>
      </c>
      <c r="AG32" s="2">
        <f t="shared" ca="1" si="40"/>
        <v>2834.5105582493175</v>
      </c>
      <c r="AH32" s="2">
        <f t="shared" ca="1" si="40"/>
        <v>2142.8754019499847</v>
      </c>
    </row>
    <row r="33" spans="1:34">
      <c r="A33" t="str">
        <f t="shared" si="33"/>
        <v>Maize</v>
      </c>
      <c r="B33" t="str">
        <f t="shared" si="37"/>
        <v>Somali</v>
      </c>
      <c r="C33" s="2">
        <f t="shared" ca="1" si="38"/>
        <v>2250.5890488220848</v>
      </c>
      <c r="D33" s="2">
        <f t="shared" ca="1" si="38"/>
        <v>2411.9902912173138</v>
      </c>
      <c r="E33" s="2">
        <f t="shared" ca="1" si="38"/>
        <v>2053.1252127069024</v>
      </c>
      <c r="F33" s="2">
        <f t="shared" ca="1" si="38"/>
        <v>2042.5902829351226</v>
      </c>
      <c r="G33" s="2">
        <f t="shared" ca="1" si="38"/>
        <v>2441.2240787960905</v>
      </c>
      <c r="H33" s="2">
        <f t="shared" ca="1" si="38"/>
        <v>2764.4763814689672</v>
      </c>
      <c r="I33" s="2">
        <f t="shared" ca="1" si="38"/>
        <v>2804.8917400009209</v>
      </c>
      <c r="J33" s="2">
        <f t="shared" ca="1" si="38"/>
        <v>2075.8743825657843</v>
      </c>
      <c r="K33" s="2">
        <f t="shared" ca="1" si="38"/>
        <v>2748.5631664443231</v>
      </c>
      <c r="L33" s="2">
        <f t="shared" ca="1" si="38"/>
        <v>2596.1493480776694</v>
      </c>
      <c r="M33" s="2">
        <f t="shared" ca="1" si="39"/>
        <v>2251.0519856346891</v>
      </c>
      <c r="N33" s="2">
        <f t="shared" ca="1" si="39"/>
        <v>2024.1488540715418</v>
      </c>
      <c r="O33" s="2">
        <f t="shared" ca="1" si="39"/>
        <v>2046.4442043955414</v>
      </c>
      <c r="P33" s="2">
        <f t="shared" ca="1" si="39"/>
        <v>2560.2421155212164</v>
      </c>
      <c r="Q33" s="2">
        <f t="shared" ca="1" si="39"/>
        <v>2116.7393793262886</v>
      </c>
      <c r="R33" s="2">
        <f t="shared" ca="1" si="39"/>
        <v>2679.0936154248543</v>
      </c>
      <c r="S33" s="2">
        <f t="shared" ca="1" si="39"/>
        <v>2360.8582197292694</v>
      </c>
      <c r="T33" s="2">
        <f t="shared" ca="1" si="39"/>
        <v>2280.1879304278536</v>
      </c>
      <c r="U33" s="2">
        <f t="shared" ca="1" si="39"/>
        <v>2515.86171094364</v>
      </c>
      <c r="V33" s="2">
        <f t="shared" ca="1" si="39"/>
        <v>2548.1865169168404</v>
      </c>
      <c r="W33" s="2">
        <f t="shared" ca="1" si="40"/>
        <v>2446.822739084555</v>
      </c>
      <c r="X33" s="2">
        <f t="shared" ca="1" si="40"/>
        <v>2166.4381909747431</v>
      </c>
      <c r="Y33" s="2">
        <f t="shared" ca="1" si="40"/>
        <v>2094.6891492245231</v>
      </c>
      <c r="Z33" s="2">
        <f t="shared" ca="1" si="40"/>
        <v>2797.3449027773759</v>
      </c>
      <c r="AA33" s="2">
        <f t="shared" ca="1" si="40"/>
        <v>2884.5620970941882</v>
      </c>
      <c r="AB33" s="2">
        <f t="shared" ca="1" si="40"/>
        <v>2400.1411052435415</v>
      </c>
      <c r="AC33" s="2">
        <f t="shared" ca="1" si="40"/>
        <v>2530.9131084677033</v>
      </c>
      <c r="AD33" s="2">
        <f t="shared" ca="1" si="40"/>
        <v>2182.6932901835166</v>
      </c>
      <c r="AE33" s="2">
        <f t="shared" ca="1" si="40"/>
        <v>2173.3169648443045</v>
      </c>
      <c r="AF33" s="2">
        <f t="shared" ca="1" si="40"/>
        <v>2124.0756746194565</v>
      </c>
      <c r="AG33" s="2">
        <f t="shared" ca="1" si="40"/>
        <v>2925.9147594787992</v>
      </c>
      <c r="AH33" s="2">
        <f t="shared" ca="1" si="40"/>
        <v>2524.3277666642948</v>
      </c>
    </row>
    <row r="34" spans="1:34">
      <c r="A34" t="str">
        <f t="shared" si="33"/>
        <v>Maize</v>
      </c>
      <c r="B34" t="str">
        <f t="shared" si="37"/>
        <v>SNNPR</v>
      </c>
      <c r="C34" s="2">
        <f t="shared" ref="C34:L43" ca="1" si="41">((RAND()*1+2)*100)*10</f>
        <v>2932.5012391025275</v>
      </c>
      <c r="D34" s="2">
        <f t="shared" ca="1" si="41"/>
        <v>2453.0465666662612</v>
      </c>
      <c r="E34" s="2">
        <f t="shared" ca="1" si="41"/>
        <v>2342.6565786236092</v>
      </c>
      <c r="F34" s="2">
        <f t="shared" ca="1" si="41"/>
        <v>2653.9561878980521</v>
      </c>
      <c r="G34" s="2">
        <f t="shared" ca="1" si="41"/>
        <v>2876.691218336262</v>
      </c>
      <c r="H34" s="2">
        <f t="shared" ca="1" si="41"/>
        <v>2016.0097700554013</v>
      </c>
      <c r="I34" s="2">
        <f t="shared" ca="1" si="41"/>
        <v>2612.3088192819318</v>
      </c>
      <c r="J34" s="2">
        <f t="shared" ca="1" si="41"/>
        <v>2585.7432593709705</v>
      </c>
      <c r="K34" s="2">
        <f t="shared" ca="1" si="41"/>
        <v>2609.8448872411973</v>
      </c>
      <c r="L34" s="2">
        <f t="shared" ca="1" si="41"/>
        <v>2555.4523901760067</v>
      </c>
      <c r="M34" s="2">
        <f t="shared" ref="M34:V43" ca="1" si="42">((RAND()*1+2)*100)*10</f>
        <v>2727.0104529871805</v>
      </c>
      <c r="N34" s="2">
        <f t="shared" ca="1" si="42"/>
        <v>2609.6668319428099</v>
      </c>
      <c r="O34" s="2">
        <f t="shared" ca="1" si="42"/>
        <v>2804.3273044493185</v>
      </c>
      <c r="P34" s="2">
        <f t="shared" ca="1" si="42"/>
        <v>2208.4725085354844</v>
      </c>
      <c r="Q34" s="2">
        <f t="shared" ca="1" si="42"/>
        <v>2704.6289914524664</v>
      </c>
      <c r="R34" s="2">
        <f t="shared" ca="1" si="42"/>
        <v>2989.8482454640703</v>
      </c>
      <c r="S34" s="2">
        <f t="shared" ca="1" si="42"/>
        <v>2207.3711845536527</v>
      </c>
      <c r="T34" s="2">
        <f t="shared" ca="1" si="42"/>
        <v>2021.1277743249432</v>
      </c>
      <c r="U34" s="2">
        <f t="shared" ca="1" si="42"/>
        <v>2362.1047866569124</v>
      </c>
      <c r="V34" s="2">
        <f t="shared" ca="1" si="42"/>
        <v>2885.8845942273233</v>
      </c>
      <c r="W34" s="2">
        <f t="shared" ref="W34:AH43" ca="1" si="43">((RAND()*1+2)*100)*10</f>
        <v>2767.4504455363763</v>
      </c>
      <c r="X34" s="2">
        <f t="shared" ca="1" si="43"/>
        <v>2915.9680826901822</v>
      </c>
      <c r="Y34" s="2">
        <f t="shared" ca="1" si="43"/>
        <v>2351.3004884677589</v>
      </c>
      <c r="Z34" s="2">
        <f t="shared" ca="1" si="43"/>
        <v>2464.8662016756903</v>
      </c>
      <c r="AA34" s="2">
        <f t="shared" ca="1" si="43"/>
        <v>2661.6948559318589</v>
      </c>
      <c r="AB34" s="2">
        <f t="shared" ca="1" si="43"/>
        <v>2126.767898262211</v>
      </c>
      <c r="AC34" s="2">
        <f t="shared" ca="1" si="43"/>
        <v>2287.1908409089797</v>
      </c>
      <c r="AD34" s="2">
        <f t="shared" ca="1" si="43"/>
        <v>2419.0462519818166</v>
      </c>
      <c r="AE34" s="2">
        <f t="shared" ca="1" si="43"/>
        <v>2474.7667758962511</v>
      </c>
      <c r="AF34" s="2">
        <f t="shared" ca="1" si="43"/>
        <v>2381.4994774727575</v>
      </c>
      <c r="AG34" s="2">
        <f t="shared" ca="1" si="43"/>
        <v>2204.1332681377003</v>
      </c>
      <c r="AH34" s="2">
        <f t="shared" ca="1" si="43"/>
        <v>2193.342333358587</v>
      </c>
    </row>
    <row r="35" spans="1:34">
      <c r="A35" t="str">
        <f t="shared" si="33"/>
        <v>Maize</v>
      </c>
      <c r="B35" t="str">
        <f t="shared" si="37"/>
        <v>Tigray</v>
      </c>
      <c r="C35" s="2">
        <f t="shared" ca="1" si="41"/>
        <v>2256.1861548380575</v>
      </c>
      <c r="D35" s="2">
        <f t="shared" ca="1" si="41"/>
        <v>2365.124636517533</v>
      </c>
      <c r="E35" s="2">
        <f t="shared" ca="1" si="41"/>
        <v>2726.6030723490917</v>
      </c>
      <c r="F35" s="2">
        <f t="shared" ca="1" si="41"/>
        <v>2828.6830458321047</v>
      </c>
      <c r="G35" s="2">
        <f t="shared" ca="1" si="41"/>
        <v>2352.157728918879</v>
      </c>
      <c r="H35" s="2">
        <f t="shared" ca="1" si="41"/>
        <v>2960.6289581568467</v>
      </c>
      <c r="I35" s="2">
        <f t="shared" ca="1" si="41"/>
        <v>2759.6560359473124</v>
      </c>
      <c r="J35" s="2">
        <f t="shared" ca="1" si="41"/>
        <v>2181.4529537994345</v>
      </c>
      <c r="K35" s="2">
        <f t="shared" ca="1" si="41"/>
        <v>2310.672430213514</v>
      </c>
      <c r="L35" s="2">
        <f t="shared" ca="1" si="41"/>
        <v>2956.8200785208733</v>
      </c>
      <c r="M35" s="2">
        <f t="shared" ca="1" si="42"/>
        <v>2550.9139022676814</v>
      </c>
      <c r="N35" s="2">
        <f t="shared" ca="1" si="42"/>
        <v>2160.2240833592682</v>
      </c>
      <c r="O35" s="2">
        <f t="shared" ca="1" si="42"/>
        <v>2332.9127236144077</v>
      </c>
      <c r="P35" s="2">
        <f t="shared" ca="1" si="42"/>
        <v>2257.507804418281</v>
      </c>
      <c r="Q35" s="2">
        <f t="shared" ca="1" si="42"/>
        <v>2819.6473478701146</v>
      </c>
      <c r="R35" s="2">
        <f t="shared" ca="1" si="42"/>
        <v>2001.9707821536779</v>
      </c>
      <c r="S35" s="2">
        <f t="shared" ca="1" si="42"/>
        <v>2237.3869042395695</v>
      </c>
      <c r="T35" s="2">
        <f t="shared" ca="1" si="42"/>
        <v>2940.2035786198621</v>
      </c>
      <c r="U35" s="2">
        <f t="shared" ca="1" si="42"/>
        <v>2363.1418340142354</v>
      </c>
      <c r="V35" s="2">
        <f t="shared" ca="1" si="42"/>
        <v>2076.3392330139795</v>
      </c>
      <c r="W35" s="2">
        <f t="shared" ca="1" si="43"/>
        <v>2965.7518863544992</v>
      </c>
      <c r="X35" s="2">
        <f t="shared" ca="1" si="43"/>
        <v>2531.1240038989849</v>
      </c>
      <c r="Y35" s="2">
        <f t="shared" ca="1" si="43"/>
        <v>2757.8397883457797</v>
      </c>
      <c r="Z35" s="2">
        <f t="shared" ca="1" si="43"/>
        <v>2028.7468542593601</v>
      </c>
      <c r="AA35" s="2">
        <f t="shared" ca="1" si="43"/>
        <v>2311.3065779416265</v>
      </c>
      <c r="AB35" s="2">
        <f t="shared" ca="1" si="43"/>
        <v>2199.7909137791767</v>
      </c>
      <c r="AC35" s="2">
        <f t="shared" ca="1" si="43"/>
        <v>2990.2379135300116</v>
      </c>
      <c r="AD35" s="2">
        <f t="shared" ca="1" si="43"/>
        <v>2722.330314245442</v>
      </c>
      <c r="AE35" s="2">
        <f t="shared" ca="1" si="43"/>
        <v>2903.2389687688415</v>
      </c>
      <c r="AF35" s="2">
        <f t="shared" ca="1" si="43"/>
        <v>2932.5665661923285</v>
      </c>
      <c r="AG35" s="2">
        <f t="shared" ca="1" si="43"/>
        <v>2048.0458972271672</v>
      </c>
      <c r="AH35" s="2">
        <f t="shared" ca="1" si="43"/>
        <v>2788.2588801718939</v>
      </c>
    </row>
    <row r="36" spans="1:34">
      <c r="A36" t="str">
        <f t="shared" si="33"/>
        <v>Lentils</v>
      </c>
      <c r="B36" t="str">
        <f t="shared" si="37"/>
        <v>AddisAbaba</v>
      </c>
      <c r="C36" s="2">
        <f t="shared" ca="1" si="41"/>
        <v>2423.3479475141057</v>
      </c>
      <c r="D36" s="2">
        <f t="shared" ca="1" si="41"/>
        <v>2185.1496394378437</v>
      </c>
      <c r="E36" s="2">
        <f t="shared" ca="1" si="41"/>
        <v>2889.2777917985927</v>
      </c>
      <c r="F36" s="2">
        <f t="shared" ca="1" si="41"/>
        <v>2964.2144238555261</v>
      </c>
      <c r="G36" s="2">
        <f t="shared" ca="1" si="41"/>
        <v>2196.6039812632098</v>
      </c>
      <c r="H36" s="2">
        <f t="shared" ca="1" si="41"/>
        <v>2145.829090964166</v>
      </c>
      <c r="I36" s="2">
        <f t="shared" ca="1" si="41"/>
        <v>2902.4464918992549</v>
      </c>
      <c r="J36" s="2">
        <f t="shared" ca="1" si="41"/>
        <v>2600.8231223687421</v>
      </c>
      <c r="K36" s="2">
        <f t="shared" ca="1" si="41"/>
        <v>2158.6847980652119</v>
      </c>
      <c r="L36" s="2">
        <f t="shared" ca="1" si="41"/>
        <v>2387.1428036614639</v>
      </c>
      <c r="M36" s="2">
        <f t="shared" ca="1" si="42"/>
        <v>2910.0637943721413</v>
      </c>
      <c r="N36" s="2">
        <f t="shared" ca="1" si="42"/>
        <v>2240.6940679087515</v>
      </c>
      <c r="O36" s="2">
        <f t="shared" ca="1" si="42"/>
        <v>2754.5059322482784</v>
      </c>
      <c r="P36" s="2">
        <f t="shared" ca="1" si="42"/>
        <v>2592.8102113335335</v>
      </c>
      <c r="Q36" s="2">
        <f t="shared" ca="1" si="42"/>
        <v>2748.181892058471</v>
      </c>
      <c r="R36" s="2">
        <f t="shared" ca="1" si="42"/>
        <v>2958.5338676689371</v>
      </c>
      <c r="S36" s="2">
        <f t="shared" ca="1" si="42"/>
        <v>2107.2025085720334</v>
      </c>
      <c r="T36" s="2">
        <f t="shared" ca="1" si="42"/>
        <v>2840.7695106675442</v>
      </c>
      <c r="U36" s="2">
        <f t="shared" ca="1" si="42"/>
        <v>2929.2629878523435</v>
      </c>
      <c r="V36" s="2">
        <f t="shared" ca="1" si="42"/>
        <v>2675.594748688306</v>
      </c>
      <c r="W36" s="2">
        <f t="shared" ca="1" si="43"/>
        <v>2149.9730732618032</v>
      </c>
      <c r="X36" s="2">
        <f t="shared" ca="1" si="43"/>
        <v>2462.0538572297096</v>
      </c>
      <c r="Y36" s="2">
        <f t="shared" ca="1" si="43"/>
        <v>2272.8875196472068</v>
      </c>
      <c r="Z36" s="2">
        <f t="shared" ca="1" si="43"/>
        <v>2812.2709394572203</v>
      </c>
      <c r="AA36" s="2">
        <f t="shared" ca="1" si="43"/>
        <v>2302.5713460742222</v>
      </c>
      <c r="AB36" s="2">
        <f t="shared" ca="1" si="43"/>
        <v>2081.3028965378699</v>
      </c>
      <c r="AC36" s="2">
        <f t="shared" ca="1" si="43"/>
        <v>2795.5287852276883</v>
      </c>
      <c r="AD36" s="2">
        <f t="shared" ca="1" si="43"/>
        <v>2038.7603773810552</v>
      </c>
      <c r="AE36" s="2">
        <f t="shared" ca="1" si="43"/>
        <v>2079.4587019403712</v>
      </c>
      <c r="AF36" s="2">
        <f t="shared" ca="1" si="43"/>
        <v>2608.1360455335189</v>
      </c>
      <c r="AG36" s="2">
        <f t="shared" ca="1" si="43"/>
        <v>2252.4056220784219</v>
      </c>
      <c r="AH36" s="2">
        <f t="shared" ca="1" si="43"/>
        <v>2072.6041015826049</v>
      </c>
    </row>
    <row r="37" spans="1:34">
      <c r="A37" t="str">
        <f t="shared" si="33"/>
        <v>Lentils</v>
      </c>
      <c r="B37" t="str">
        <f t="shared" si="37"/>
        <v>Afar</v>
      </c>
      <c r="C37" s="2">
        <f t="shared" ca="1" si="41"/>
        <v>2949.4976027194425</v>
      </c>
      <c r="D37" s="2">
        <f t="shared" ca="1" si="41"/>
        <v>2908.3962292241695</v>
      </c>
      <c r="E37" s="2">
        <f t="shared" ca="1" si="41"/>
        <v>2117.2551350275285</v>
      </c>
      <c r="F37" s="2">
        <f t="shared" ca="1" si="41"/>
        <v>2192.8053204180874</v>
      </c>
      <c r="G37" s="2">
        <f t="shared" ca="1" si="41"/>
        <v>2178.4945851203875</v>
      </c>
      <c r="H37" s="2">
        <f t="shared" ca="1" si="41"/>
        <v>2638.0259496274493</v>
      </c>
      <c r="I37" s="2">
        <f t="shared" ca="1" si="41"/>
        <v>2769.9933999021832</v>
      </c>
      <c r="J37" s="2">
        <f t="shared" ca="1" si="41"/>
        <v>2819.0208823907105</v>
      </c>
      <c r="K37" s="2">
        <f t="shared" ca="1" si="41"/>
        <v>2223.9949076794032</v>
      </c>
      <c r="L37" s="2">
        <f t="shared" ca="1" si="41"/>
        <v>2774.7868425255192</v>
      </c>
      <c r="M37" s="2">
        <f t="shared" ca="1" si="42"/>
        <v>2346.0895251444267</v>
      </c>
      <c r="N37" s="2">
        <f t="shared" ca="1" si="42"/>
        <v>2762.0896162254949</v>
      </c>
      <c r="O37" s="2">
        <f t="shared" ca="1" si="42"/>
        <v>2593.5331994800003</v>
      </c>
      <c r="P37" s="2">
        <f t="shared" ca="1" si="42"/>
        <v>2610.0447055504515</v>
      </c>
      <c r="Q37" s="2">
        <f t="shared" ca="1" si="42"/>
        <v>2643.195455169252</v>
      </c>
      <c r="R37" s="2">
        <f t="shared" ca="1" si="42"/>
        <v>2922.515220163973</v>
      </c>
      <c r="S37" s="2">
        <f t="shared" ca="1" si="42"/>
        <v>2156.6870669326768</v>
      </c>
      <c r="T37" s="2">
        <f t="shared" ca="1" si="42"/>
        <v>2769.8368645326059</v>
      </c>
      <c r="U37" s="2">
        <f t="shared" ca="1" si="42"/>
        <v>2556.3327970280843</v>
      </c>
      <c r="V37" s="2">
        <f t="shared" ca="1" si="42"/>
        <v>2539.4431635030974</v>
      </c>
      <c r="W37" s="2">
        <f t="shared" ca="1" si="43"/>
        <v>2928.3901385539693</v>
      </c>
      <c r="X37" s="2">
        <f t="shared" ca="1" si="43"/>
        <v>2930.9490542816939</v>
      </c>
      <c r="Y37" s="2">
        <f t="shared" ca="1" si="43"/>
        <v>2031.9870954834835</v>
      </c>
      <c r="Z37" s="2">
        <f t="shared" ca="1" si="43"/>
        <v>2482.7273679462905</v>
      </c>
      <c r="AA37" s="2">
        <f t="shared" ca="1" si="43"/>
        <v>2189.5383207026771</v>
      </c>
      <c r="AB37" s="2">
        <f t="shared" ca="1" si="43"/>
        <v>2402.684647641192</v>
      </c>
      <c r="AC37" s="2">
        <f t="shared" ca="1" si="43"/>
        <v>2630.0855177611907</v>
      </c>
      <c r="AD37" s="2">
        <f t="shared" ca="1" si="43"/>
        <v>2663.9559158619995</v>
      </c>
      <c r="AE37" s="2">
        <f t="shared" ca="1" si="43"/>
        <v>2822.5572235665481</v>
      </c>
      <c r="AF37" s="2">
        <f t="shared" ca="1" si="43"/>
        <v>2007.8486360845232</v>
      </c>
      <c r="AG37" s="2">
        <f t="shared" ca="1" si="43"/>
        <v>2075.8716241279499</v>
      </c>
      <c r="AH37" s="2">
        <f t="shared" ca="1" si="43"/>
        <v>2638.5392567602621</v>
      </c>
    </row>
    <row r="38" spans="1:34">
      <c r="A38" t="str">
        <f t="shared" si="33"/>
        <v>Lentils</v>
      </c>
      <c r="B38" t="str">
        <f t="shared" si="37"/>
        <v>Amhara</v>
      </c>
      <c r="C38" s="2">
        <f t="shared" ca="1" si="41"/>
        <v>2771.7588696836738</v>
      </c>
      <c r="D38" s="2">
        <f t="shared" ca="1" si="41"/>
        <v>2272.5783139052073</v>
      </c>
      <c r="E38" s="2">
        <f t="shared" ca="1" si="41"/>
        <v>2052.8645548801287</v>
      </c>
      <c r="F38" s="2">
        <f t="shared" ca="1" si="41"/>
        <v>2116.5950158875594</v>
      </c>
      <c r="G38" s="2">
        <f t="shared" ca="1" si="41"/>
        <v>2318.8828326509883</v>
      </c>
      <c r="H38" s="2">
        <f t="shared" ca="1" si="41"/>
        <v>2970.027296853104</v>
      </c>
      <c r="I38" s="2">
        <f t="shared" ca="1" si="41"/>
        <v>2517.5314086204562</v>
      </c>
      <c r="J38" s="2">
        <f t="shared" ca="1" si="41"/>
        <v>2382.9245548660037</v>
      </c>
      <c r="K38" s="2">
        <f t="shared" ca="1" si="41"/>
        <v>2464.8250644414438</v>
      </c>
      <c r="L38" s="2">
        <f t="shared" ca="1" si="41"/>
        <v>2021.3177055676747</v>
      </c>
      <c r="M38" s="2">
        <f t="shared" ca="1" si="42"/>
        <v>2929.3858595274205</v>
      </c>
      <c r="N38" s="2">
        <f t="shared" ca="1" si="42"/>
        <v>2651.4496364959909</v>
      </c>
      <c r="O38" s="2">
        <f t="shared" ca="1" si="42"/>
        <v>2518.2848065405374</v>
      </c>
      <c r="P38" s="2">
        <f t="shared" ca="1" si="42"/>
        <v>2385.0996718714</v>
      </c>
      <c r="Q38" s="2">
        <f t="shared" ca="1" si="42"/>
        <v>2695.2455049898458</v>
      </c>
      <c r="R38" s="2">
        <f t="shared" ca="1" si="42"/>
        <v>2508.3086202605937</v>
      </c>
      <c r="S38" s="2">
        <f t="shared" ca="1" si="42"/>
        <v>2348.0316323132861</v>
      </c>
      <c r="T38" s="2">
        <f t="shared" ca="1" si="42"/>
        <v>2217.768602545093</v>
      </c>
      <c r="U38" s="2">
        <f t="shared" ca="1" si="42"/>
        <v>2215.6119181731519</v>
      </c>
      <c r="V38" s="2">
        <f t="shared" ca="1" si="42"/>
        <v>2526.4485559782511</v>
      </c>
      <c r="W38" s="2">
        <f t="shared" ca="1" si="43"/>
        <v>2039.8064153181506</v>
      </c>
      <c r="X38" s="2">
        <f t="shared" ca="1" si="43"/>
        <v>2659.9239087627948</v>
      </c>
      <c r="Y38" s="2">
        <f t="shared" ca="1" si="43"/>
        <v>2821.620513259013</v>
      </c>
      <c r="Z38" s="2">
        <f t="shared" ca="1" si="43"/>
        <v>2726.5764763566158</v>
      </c>
      <c r="AA38" s="2">
        <f t="shared" ca="1" si="43"/>
        <v>2573.5447469558985</v>
      </c>
      <c r="AB38" s="2">
        <f t="shared" ca="1" si="43"/>
        <v>2606.0411346069232</v>
      </c>
      <c r="AC38" s="2">
        <f t="shared" ca="1" si="43"/>
        <v>2177.351595394885</v>
      </c>
      <c r="AD38" s="2">
        <f t="shared" ca="1" si="43"/>
        <v>2408.0624590788229</v>
      </c>
      <c r="AE38" s="2">
        <f t="shared" ca="1" si="43"/>
        <v>2020.1177506036024</v>
      </c>
      <c r="AF38" s="2">
        <f t="shared" ca="1" si="43"/>
        <v>2944.1904818121593</v>
      </c>
      <c r="AG38" s="2">
        <f t="shared" ca="1" si="43"/>
        <v>2991.6779841250291</v>
      </c>
      <c r="AH38" s="2">
        <f t="shared" ca="1" si="43"/>
        <v>2638.2067768998168</v>
      </c>
    </row>
    <row r="39" spans="1:34">
      <c r="A39" t="str">
        <f t="shared" si="33"/>
        <v>Lentils</v>
      </c>
      <c r="B39" t="str">
        <f t="shared" si="37"/>
        <v>Gumuz</v>
      </c>
      <c r="C39" s="2">
        <f t="shared" ca="1" si="41"/>
        <v>2959.1382715912318</v>
      </c>
      <c r="D39" s="2">
        <f t="shared" ca="1" si="41"/>
        <v>2918.034981337385</v>
      </c>
      <c r="E39" s="2">
        <f t="shared" ca="1" si="41"/>
        <v>2482.8333124479132</v>
      </c>
      <c r="F39" s="2">
        <f t="shared" ca="1" si="41"/>
        <v>2612.492977814044</v>
      </c>
      <c r="G39" s="2">
        <f t="shared" ca="1" si="41"/>
        <v>2729.7840244804042</v>
      </c>
      <c r="H39" s="2">
        <f t="shared" ca="1" si="41"/>
        <v>2574.3427200599253</v>
      </c>
      <c r="I39" s="2">
        <f t="shared" ca="1" si="41"/>
        <v>2982.1149397303307</v>
      </c>
      <c r="J39" s="2">
        <f t="shared" ca="1" si="41"/>
        <v>2286.740409872702</v>
      </c>
      <c r="K39" s="2">
        <f t="shared" ca="1" si="41"/>
        <v>2718.1383222300437</v>
      </c>
      <c r="L39" s="2">
        <f t="shared" ca="1" si="41"/>
        <v>2091.3457856166879</v>
      </c>
      <c r="M39" s="2">
        <f t="shared" ca="1" si="42"/>
        <v>2311.119578394218</v>
      </c>
      <c r="N39" s="2">
        <f t="shared" ca="1" si="42"/>
        <v>2370.2010600196104</v>
      </c>
      <c r="O39" s="2">
        <f t="shared" ca="1" si="42"/>
        <v>2601.2172741557129</v>
      </c>
      <c r="P39" s="2">
        <f t="shared" ca="1" si="42"/>
        <v>2197.0983857324613</v>
      </c>
      <c r="Q39" s="2">
        <f t="shared" ca="1" si="42"/>
        <v>2039.0250224806055</v>
      </c>
      <c r="R39" s="2">
        <f t="shared" ca="1" si="42"/>
        <v>2072.8778569440187</v>
      </c>
      <c r="S39" s="2">
        <f t="shared" ca="1" si="42"/>
        <v>2541.6767400519389</v>
      </c>
      <c r="T39" s="2">
        <f t="shared" ca="1" si="42"/>
        <v>2024.1691409200939</v>
      </c>
      <c r="U39" s="2">
        <f t="shared" ca="1" si="42"/>
        <v>2000.7869409819091</v>
      </c>
      <c r="V39" s="2">
        <f t="shared" ca="1" si="42"/>
        <v>2889.8061731405146</v>
      </c>
      <c r="W39" s="2">
        <f t="shared" ca="1" si="43"/>
        <v>2243.1152191236947</v>
      </c>
      <c r="X39" s="2">
        <f t="shared" ca="1" si="43"/>
        <v>2331.3023473731014</v>
      </c>
      <c r="Y39" s="2">
        <f t="shared" ca="1" si="43"/>
        <v>2100.2496630819928</v>
      </c>
      <c r="Z39" s="2">
        <f t="shared" ca="1" si="43"/>
        <v>2510.1317371814266</v>
      </c>
      <c r="AA39" s="2">
        <f t="shared" ca="1" si="43"/>
        <v>2810.8482469668029</v>
      </c>
      <c r="AB39" s="2">
        <f t="shared" ca="1" si="43"/>
        <v>2070.2200131728609</v>
      </c>
      <c r="AC39" s="2">
        <f t="shared" ca="1" si="43"/>
        <v>2790.4354498440835</v>
      </c>
      <c r="AD39" s="2">
        <f t="shared" ca="1" si="43"/>
        <v>2700.0696119671011</v>
      </c>
      <c r="AE39" s="2">
        <f t="shared" ca="1" si="43"/>
        <v>2897.6526192808637</v>
      </c>
      <c r="AF39" s="2">
        <f t="shared" ca="1" si="43"/>
        <v>2269.25881636234</v>
      </c>
      <c r="AG39" s="2">
        <f t="shared" ca="1" si="43"/>
        <v>2723.7747191440594</v>
      </c>
      <c r="AH39" s="2">
        <f t="shared" ca="1" si="43"/>
        <v>2655.7500234527874</v>
      </c>
    </row>
    <row r="40" spans="1:34">
      <c r="A40" t="str">
        <f t="shared" si="33"/>
        <v>Lentils</v>
      </c>
      <c r="B40" t="str">
        <f t="shared" si="37"/>
        <v>DireDawa</v>
      </c>
      <c r="C40" s="2">
        <f t="shared" ca="1" si="41"/>
        <v>2786.2515509543009</v>
      </c>
      <c r="D40" s="2">
        <f t="shared" ca="1" si="41"/>
        <v>2051.0541896123691</v>
      </c>
      <c r="E40" s="2">
        <f t="shared" ca="1" si="41"/>
        <v>2066.1201499981535</v>
      </c>
      <c r="F40" s="2">
        <f t="shared" ca="1" si="41"/>
        <v>2988.182838063939</v>
      </c>
      <c r="G40" s="2">
        <f t="shared" ca="1" si="41"/>
        <v>2449.2999383807733</v>
      </c>
      <c r="H40" s="2">
        <f t="shared" ca="1" si="41"/>
        <v>2228.7638745506119</v>
      </c>
      <c r="I40" s="2">
        <f t="shared" ca="1" si="41"/>
        <v>2021.5795878111189</v>
      </c>
      <c r="J40" s="2">
        <f t="shared" ca="1" si="41"/>
        <v>2651.4542023000904</v>
      </c>
      <c r="K40" s="2">
        <f t="shared" ca="1" si="41"/>
        <v>2392.193041466478</v>
      </c>
      <c r="L40" s="2">
        <f t="shared" ca="1" si="41"/>
        <v>2799.2033138682059</v>
      </c>
      <c r="M40" s="2">
        <f t="shared" ca="1" si="42"/>
        <v>2615.4542665073004</v>
      </c>
      <c r="N40" s="2">
        <f t="shared" ca="1" si="42"/>
        <v>2206.5496958716453</v>
      </c>
      <c r="O40" s="2">
        <f t="shared" ca="1" si="42"/>
        <v>2219.5339030119026</v>
      </c>
      <c r="P40" s="2">
        <f t="shared" ca="1" si="42"/>
        <v>2222.5794806555441</v>
      </c>
      <c r="Q40" s="2">
        <f t="shared" ca="1" si="42"/>
        <v>2313.7859980322351</v>
      </c>
      <c r="R40" s="2">
        <f t="shared" ca="1" si="42"/>
        <v>2896.7186923319259</v>
      </c>
      <c r="S40" s="2">
        <f t="shared" ca="1" si="42"/>
        <v>2166.0266105626861</v>
      </c>
      <c r="T40" s="2">
        <f t="shared" ca="1" si="42"/>
        <v>2581.0070451592305</v>
      </c>
      <c r="U40" s="2">
        <f t="shared" ca="1" si="42"/>
        <v>2559.3011616538201</v>
      </c>
      <c r="V40" s="2">
        <f t="shared" ca="1" si="42"/>
        <v>2921.6956270003534</v>
      </c>
      <c r="W40" s="2">
        <f t="shared" ca="1" si="43"/>
        <v>2772.2817909335349</v>
      </c>
      <c r="X40" s="2">
        <f t="shared" ca="1" si="43"/>
        <v>2833.8418995660431</v>
      </c>
      <c r="Y40" s="2">
        <f t="shared" ca="1" si="43"/>
        <v>2350.6727967836009</v>
      </c>
      <c r="Z40" s="2">
        <f t="shared" ca="1" si="43"/>
        <v>2111.2042017558961</v>
      </c>
      <c r="AA40" s="2">
        <f t="shared" ca="1" si="43"/>
        <v>2091.1832642326913</v>
      </c>
      <c r="AB40" s="2">
        <f t="shared" ca="1" si="43"/>
        <v>2761.5227552632223</v>
      </c>
      <c r="AC40" s="2">
        <f t="shared" ca="1" si="43"/>
        <v>2576.5292311945805</v>
      </c>
      <c r="AD40" s="2">
        <f t="shared" ca="1" si="43"/>
        <v>2279.9166007990189</v>
      </c>
      <c r="AE40" s="2">
        <f t="shared" ca="1" si="43"/>
        <v>2514.8728220397611</v>
      </c>
      <c r="AF40" s="2">
        <f t="shared" ca="1" si="43"/>
        <v>2457.7754857887994</v>
      </c>
      <c r="AG40" s="2">
        <f t="shared" ca="1" si="43"/>
        <v>2797.5013705900128</v>
      </c>
      <c r="AH40" s="2">
        <f t="shared" ca="1" si="43"/>
        <v>2955.9908887787556</v>
      </c>
    </row>
    <row r="41" spans="1:34">
      <c r="A41" t="str">
        <f t="shared" si="33"/>
        <v>Lentils</v>
      </c>
      <c r="B41" t="str">
        <f t="shared" si="37"/>
        <v>Gambela</v>
      </c>
      <c r="C41" s="2">
        <f t="shared" ca="1" si="41"/>
        <v>2072.2317452350076</v>
      </c>
      <c r="D41" s="2">
        <f t="shared" ca="1" si="41"/>
        <v>2209.1973340489076</v>
      </c>
      <c r="E41" s="2">
        <f t="shared" ca="1" si="41"/>
        <v>2344.7238920916238</v>
      </c>
      <c r="F41" s="2">
        <f t="shared" ca="1" si="41"/>
        <v>2299.9720250279197</v>
      </c>
      <c r="G41" s="2">
        <f t="shared" ca="1" si="41"/>
        <v>2844.0923525897797</v>
      </c>
      <c r="H41" s="2">
        <f t="shared" ca="1" si="41"/>
        <v>2507.7335327859096</v>
      </c>
      <c r="I41" s="2">
        <f t="shared" ca="1" si="41"/>
        <v>2730.6628152023536</v>
      </c>
      <c r="J41" s="2">
        <f t="shared" ca="1" si="41"/>
        <v>2673.6113253581325</v>
      </c>
      <c r="K41" s="2">
        <f t="shared" ca="1" si="41"/>
        <v>2436.9772104368071</v>
      </c>
      <c r="L41" s="2">
        <f t="shared" ca="1" si="41"/>
        <v>2718.2192454255674</v>
      </c>
      <c r="M41" s="2">
        <f t="shared" ca="1" si="42"/>
        <v>2735.5764697168961</v>
      </c>
      <c r="N41" s="2">
        <f t="shared" ca="1" si="42"/>
        <v>2656.7271217143425</v>
      </c>
      <c r="O41" s="2">
        <f t="shared" ca="1" si="42"/>
        <v>2240.9274555550255</v>
      </c>
      <c r="P41" s="2">
        <f t="shared" ca="1" si="42"/>
        <v>2289.3029291989956</v>
      </c>
      <c r="Q41" s="2">
        <f t="shared" ca="1" si="42"/>
        <v>2905.6432136246158</v>
      </c>
      <c r="R41" s="2">
        <f t="shared" ca="1" si="42"/>
        <v>2498.8066724174319</v>
      </c>
      <c r="S41" s="2">
        <f t="shared" ca="1" si="42"/>
        <v>2402.926771866858</v>
      </c>
      <c r="T41" s="2">
        <f t="shared" ca="1" si="42"/>
        <v>2991.2284181893465</v>
      </c>
      <c r="U41" s="2">
        <f t="shared" ca="1" si="42"/>
        <v>2079.2334942407442</v>
      </c>
      <c r="V41" s="2">
        <f t="shared" ca="1" si="42"/>
        <v>2623.0557260144978</v>
      </c>
      <c r="W41" s="2">
        <f t="shared" ca="1" si="43"/>
        <v>2411.6084580114793</v>
      </c>
      <c r="X41" s="2">
        <f t="shared" ca="1" si="43"/>
        <v>2763.9624552769378</v>
      </c>
      <c r="Y41" s="2">
        <f t="shared" ca="1" si="43"/>
        <v>2331.5309317785604</v>
      </c>
      <c r="Z41" s="2">
        <f t="shared" ca="1" si="43"/>
        <v>2420.1221701517275</v>
      </c>
      <c r="AA41" s="2">
        <f t="shared" ca="1" si="43"/>
        <v>2549.6940270228747</v>
      </c>
      <c r="AB41" s="2">
        <f t="shared" ca="1" si="43"/>
        <v>2522.9153245511916</v>
      </c>
      <c r="AC41" s="2">
        <f t="shared" ca="1" si="43"/>
        <v>2535.5509116132762</v>
      </c>
      <c r="AD41" s="2">
        <f t="shared" ca="1" si="43"/>
        <v>2184.7657120137537</v>
      </c>
      <c r="AE41" s="2">
        <f t="shared" ca="1" si="43"/>
        <v>2334.4665429382926</v>
      </c>
      <c r="AF41" s="2">
        <f t="shared" ca="1" si="43"/>
        <v>2602.4873720674204</v>
      </c>
      <c r="AG41" s="2">
        <f t="shared" ca="1" si="43"/>
        <v>2224.1549476302494</v>
      </c>
      <c r="AH41" s="2">
        <f t="shared" ca="1" si="43"/>
        <v>2732.437219543267</v>
      </c>
    </row>
    <row r="42" spans="1:34">
      <c r="A42" t="str">
        <f t="shared" si="33"/>
        <v>Lentils</v>
      </c>
      <c r="B42" t="str">
        <f t="shared" si="37"/>
        <v>Harari</v>
      </c>
      <c r="C42" s="2">
        <f t="shared" ca="1" si="41"/>
        <v>2065.7443218003896</v>
      </c>
      <c r="D42" s="2">
        <f t="shared" ca="1" si="41"/>
        <v>2240.2064819308171</v>
      </c>
      <c r="E42" s="2">
        <f t="shared" ca="1" si="41"/>
        <v>2622.9665968032177</v>
      </c>
      <c r="F42" s="2">
        <f t="shared" ca="1" si="41"/>
        <v>2596.5116799917291</v>
      </c>
      <c r="G42" s="2">
        <f t="shared" ca="1" si="41"/>
        <v>2647.5887784784018</v>
      </c>
      <c r="H42" s="2">
        <f t="shared" ca="1" si="41"/>
        <v>2508.8569514529122</v>
      </c>
      <c r="I42" s="2">
        <f t="shared" ca="1" si="41"/>
        <v>2633.9087254623983</v>
      </c>
      <c r="J42" s="2">
        <f t="shared" ca="1" si="41"/>
        <v>2920.4114799088138</v>
      </c>
      <c r="K42" s="2">
        <f t="shared" ca="1" si="41"/>
        <v>2955.0647338690574</v>
      </c>
      <c r="L42" s="2">
        <f t="shared" ca="1" si="41"/>
        <v>2022.0973888167118</v>
      </c>
      <c r="M42" s="2">
        <f t="shared" ca="1" si="42"/>
        <v>2640.6210174260414</v>
      </c>
      <c r="N42" s="2">
        <f t="shared" ca="1" si="42"/>
        <v>2171.0182466864171</v>
      </c>
      <c r="O42" s="2">
        <f t="shared" ca="1" si="42"/>
        <v>2288.6259565829532</v>
      </c>
      <c r="P42" s="2">
        <f t="shared" ca="1" si="42"/>
        <v>2279.9174218311196</v>
      </c>
      <c r="Q42" s="2">
        <f t="shared" ca="1" si="42"/>
        <v>2808.4402854673644</v>
      </c>
      <c r="R42" s="2">
        <f t="shared" ca="1" si="42"/>
        <v>2007.8456335428964</v>
      </c>
      <c r="S42" s="2">
        <f t="shared" ca="1" si="42"/>
        <v>2730.8767216244701</v>
      </c>
      <c r="T42" s="2">
        <f t="shared" ca="1" si="42"/>
        <v>2347.7382734783132</v>
      </c>
      <c r="U42" s="2">
        <f t="shared" ca="1" si="42"/>
        <v>2574.1483660850231</v>
      </c>
      <c r="V42" s="2">
        <f t="shared" ca="1" si="42"/>
        <v>2741.1205355867246</v>
      </c>
      <c r="W42" s="2">
        <f t="shared" ca="1" si="43"/>
        <v>2380.9028977107491</v>
      </c>
      <c r="X42" s="2">
        <f t="shared" ca="1" si="43"/>
        <v>2281.0731844866841</v>
      </c>
      <c r="Y42" s="2">
        <f t="shared" ca="1" si="43"/>
        <v>2732.446973251283</v>
      </c>
      <c r="Z42" s="2">
        <f t="shared" ca="1" si="43"/>
        <v>2563.5428016371402</v>
      </c>
      <c r="AA42" s="2">
        <f t="shared" ca="1" si="43"/>
        <v>2282.2492330876471</v>
      </c>
      <c r="AB42" s="2">
        <f t="shared" ca="1" si="43"/>
        <v>2695.1159802290567</v>
      </c>
      <c r="AC42" s="2">
        <f t="shared" ca="1" si="43"/>
        <v>2674.6373306878531</v>
      </c>
      <c r="AD42" s="2">
        <f t="shared" ca="1" si="43"/>
        <v>2277.5310886824504</v>
      </c>
      <c r="AE42" s="2">
        <f t="shared" ca="1" si="43"/>
        <v>2456.1095161008548</v>
      </c>
      <c r="AF42" s="2">
        <f t="shared" ca="1" si="43"/>
        <v>2517.9264539210858</v>
      </c>
      <c r="AG42" s="2">
        <f t="shared" ca="1" si="43"/>
        <v>2316.0002957500092</v>
      </c>
      <c r="AH42" s="2">
        <f t="shared" ca="1" si="43"/>
        <v>2119.9355311759646</v>
      </c>
    </row>
    <row r="43" spans="1:34">
      <c r="A43" t="str">
        <f t="shared" si="33"/>
        <v>Lentils</v>
      </c>
      <c r="B43" t="str">
        <f t="shared" si="37"/>
        <v>Oromia</v>
      </c>
      <c r="C43" s="2">
        <f t="shared" ca="1" si="41"/>
        <v>2633.3898154985268</v>
      </c>
      <c r="D43" s="2">
        <f t="shared" ca="1" si="41"/>
        <v>2674.1955766323426</v>
      </c>
      <c r="E43" s="2">
        <f t="shared" ca="1" si="41"/>
        <v>2944.8904800118835</v>
      </c>
      <c r="F43" s="2">
        <f t="shared" ca="1" si="41"/>
        <v>2520.8954638758551</v>
      </c>
      <c r="G43" s="2">
        <f t="shared" ca="1" si="41"/>
        <v>2137.5452202757629</v>
      </c>
      <c r="H43" s="2">
        <f t="shared" ca="1" si="41"/>
        <v>2564.4090006497931</v>
      </c>
      <c r="I43" s="2">
        <f t="shared" ca="1" si="41"/>
        <v>2769.2282562913856</v>
      </c>
      <c r="J43" s="2">
        <f t="shared" ca="1" si="41"/>
        <v>2493.1434997734732</v>
      </c>
      <c r="K43" s="2">
        <f t="shared" ca="1" si="41"/>
        <v>2689.8341342134636</v>
      </c>
      <c r="L43" s="2">
        <f t="shared" ca="1" si="41"/>
        <v>2910.3109467287663</v>
      </c>
      <c r="M43" s="2">
        <f t="shared" ca="1" si="42"/>
        <v>2943.6997897474303</v>
      </c>
      <c r="N43" s="2">
        <f t="shared" ca="1" si="42"/>
        <v>2119.1393426928194</v>
      </c>
      <c r="O43" s="2">
        <f t="shared" ca="1" si="42"/>
        <v>2844.2823739838582</v>
      </c>
      <c r="P43" s="2">
        <f t="shared" ca="1" si="42"/>
        <v>2910.2132362776615</v>
      </c>
      <c r="Q43" s="2">
        <f t="shared" ca="1" si="42"/>
        <v>2817.6095791752027</v>
      </c>
      <c r="R43" s="2">
        <f t="shared" ca="1" si="42"/>
        <v>2506.4253893423365</v>
      </c>
      <c r="S43" s="2">
        <f t="shared" ca="1" si="42"/>
        <v>2211.6139913857396</v>
      </c>
      <c r="T43" s="2">
        <f t="shared" ca="1" si="42"/>
        <v>2538.3083172004699</v>
      </c>
      <c r="U43" s="2">
        <f t="shared" ca="1" si="42"/>
        <v>2206.6625150920613</v>
      </c>
      <c r="V43" s="2">
        <f t="shared" ca="1" si="42"/>
        <v>2371.2260901697214</v>
      </c>
      <c r="W43" s="2">
        <f t="shared" ca="1" si="43"/>
        <v>2159.6822018556186</v>
      </c>
      <c r="X43" s="2">
        <f t="shared" ca="1" si="43"/>
        <v>2455.6213031707216</v>
      </c>
      <c r="Y43" s="2">
        <f t="shared" ca="1" si="43"/>
        <v>2897.8749570884847</v>
      </c>
      <c r="Z43" s="2">
        <f t="shared" ca="1" si="43"/>
        <v>2288.0741152142441</v>
      </c>
      <c r="AA43" s="2">
        <f t="shared" ca="1" si="43"/>
        <v>2586.8269686978119</v>
      </c>
      <c r="AB43" s="2">
        <f t="shared" ca="1" si="43"/>
        <v>2685.8000458271677</v>
      </c>
      <c r="AC43" s="2">
        <f t="shared" ca="1" si="43"/>
        <v>2254.3949106052928</v>
      </c>
      <c r="AD43" s="2">
        <f t="shared" ca="1" si="43"/>
        <v>2220.4776735538062</v>
      </c>
      <c r="AE43" s="2">
        <f t="shared" ca="1" si="43"/>
        <v>2661.028048722852</v>
      </c>
      <c r="AF43" s="2">
        <f t="shared" ca="1" si="43"/>
        <v>2779.9692285193078</v>
      </c>
      <c r="AG43" s="2">
        <f t="shared" ca="1" si="43"/>
        <v>2138.7118940028899</v>
      </c>
      <c r="AH43" s="2">
        <f t="shared" ca="1" si="43"/>
        <v>2216.848522254425</v>
      </c>
    </row>
    <row r="44" spans="1:34">
      <c r="A44" t="str">
        <f t="shared" si="33"/>
        <v>Lentils</v>
      </c>
      <c r="B44" t="str">
        <f t="shared" si="37"/>
        <v>Somali</v>
      </c>
      <c r="C44" s="2">
        <f t="shared" ref="C44:L53" ca="1" si="44">((RAND()*1+2)*100)*10</f>
        <v>2780.6602992530379</v>
      </c>
      <c r="D44" s="2">
        <f t="shared" ca="1" si="44"/>
        <v>2298.2008423895027</v>
      </c>
      <c r="E44" s="2">
        <f t="shared" ca="1" si="44"/>
        <v>2570.3022203828482</v>
      </c>
      <c r="F44" s="2">
        <f t="shared" ca="1" si="44"/>
        <v>2967.2650428577977</v>
      </c>
      <c r="G44" s="2">
        <f t="shared" ca="1" si="44"/>
        <v>2381.7342562777349</v>
      </c>
      <c r="H44" s="2">
        <f t="shared" ca="1" si="44"/>
        <v>2905.1325101609364</v>
      </c>
      <c r="I44" s="2">
        <f t="shared" ca="1" si="44"/>
        <v>2796.6970304947172</v>
      </c>
      <c r="J44" s="2">
        <f t="shared" ca="1" si="44"/>
        <v>2068.439062974885</v>
      </c>
      <c r="K44" s="2">
        <f t="shared" ca="1" si="44"/>
        <v>2951.5068829781749</v>
      </c>
      <c r="L44" s="2">
        <f t="shared" ca="1" si="44"/>
        <v>2967.6028956039536</v>
      </c>
      <c r="M44" s="2">
        <f t="shared" ref="M44:V53" ca="1" si="45">((RAND()*1+2)*100)*10</f>
        <v>2793.1816976395726</v>
      </c>
      <c r="N44" s="2">
        <f t="shared" ca="1" si="45"/>
        <v>2961.3454494697526</v>
      </c>
      <c r="O44" s="2">
        <f t="shared" ca="1" si="45"/>
        <v>2132.0566776998176</v>
      </c>
      <c r="P44" s="2">
        <f t="shared" ca="1" si="45"/>
        <v>2427.8762378793745</v>
      </c>
      <c r="Q44" s="2">
        <f t="shared" ca="1" si="45"/>
        <v>2112.1077051542179</v>
      </c>
      <c r="R44" s="2">
        <f t="shared" ca="1" si="45"/>
        <v>2903.6395417401773</v>
      </c>
      <c r="S44" s="2">
        <f t="shared" ca="1" si="45"/>
        <v>2605.3353131710082</v>
      </c>
      <c r="T44" s="2">
        <f t="shared" ca="1" si="45"/>
        <v>2531.6015111237029</v>
      </c>
      <c r="U44" s="2">
        <f t="shared" ca="1" si="45"/>
        <v>2569.4207867759001</v>
      </c>
      <c r="V44" s="2">
        <f t="shared" ca="1" si="45"/>
        <v>2087.4718337680893</v>
      </c>
      <c r="W44" s="2">
        <f t="shared" ref="W44:AH53" ca="1" si="46">((RAND()*1+2)*100)*10</f>
        <v>2948.5059994484172</v>
      </c>
      <c r="X44" s="2">
        <f t="shared" ca="1" si="46"/>
        <v>2901.3780259041723</v>
      </c>
      <c r="Y44" s="2">
        <f t="shared" ca="1" si="46"/>
        <v>2850.0984237582716</v>
      </c>
      <c r="Z44" s="2">
        <f t="shared" ca="1" si="46"/>
        <v>2232.2960240669299</v>
      </c>
      <c r="AA44" s="2">
        <f t="shared" ca="1" si="46"/>
        <v>2026.0206525795406</v>
      </c>
      <c r="AB44" s="2">
        <f t="shared" ca="1" si="46"/>
        <v>2950.6098004769083</v>
      </c>
      <c r="AC44" s="2">
        <f t="shared" ca="1" si="46"/>
        <v>2834.8054317412107</v>
      </c>
      <c r="AD44" s="2">
        <f t="shared" ca="1" si="46"/>
        <v>2516.8302770589289</v>
      </c>
      <c r="AE44" s="2">
        <f t="shared" ca="1" si="46"/>
        <v>2890.234092284632</v>
      </c>
      <c r="AF44" s="2">
        <f t="shared" ca="1" si="46"/>
        <v>2230.8150633445766</v>
      </c>
      <c r="AG44" s="2">
        <f t="shared" ca="1" si="46"/>
        <v>2746.1704124528665</v>
      </c>
      <c r="AH44" s="2">
        <f t="shared" ca="1" si="46"/>
        <v>2532.4175741433442</v>
      </c>
    </row>
    <row r="45" spans="1:34">
      <c r="A45" t="str">
        <f t="shared" si="33"/>
        <v>Lentils</v>
      </c>
      <c r="B45" t="str">
        <f t="shared" si="37"/>
        <v>SNNPR</v>
      </c>
      <c r="C45" s="2">
        <f t="shared" ca="1" si="44"/>
        <v>2250.273298400878</v>
      </c>
      <c r="D45" s="2">
        <f t="shared" ca="1" si="44"/>
        <v>2371.5708471314388</v>
      </c>
      <c r="E45" s="2">
        <f t="shared" ca="1" si="44"/>
        <v>2941.8839631449791</v>
      </c>
      <c r="F45" s="2">
        <f t="shared" ca="1" si="44"/>
        <v>2941.0557320635739</v>
      </c>
      <c r="G45" s="2">
        <f t="shared" ca="1" si="44"/>
        <v>2758.4009899466355</v>
      </c>
      <c r="H45" s="2">
        <f t="shared" ca="1" si="44"/>
        <v>2330.4857060290533</v>
      </c>
      <c r="I45" s="2">
        <f t="shared" ca="1" si="44"/>
        <v>2575.8637256380734</v>
      </c>
      <c r="J45" s="2">
        <f t="shared" ca="1" si="44"/>
        <v>2370.0380775614244</v>
      </c>
      <c r="K45" s="2">
        <f t="shared" ca="1" si="44"/>
        <v>2182.7992960583056</v>
      </c>
      <c r="L45" s="2">
        <f t="shared" ca="1" si="44"/>
        <v>2719.4313116556614</v>
      </c>
      <c r="M45" s="2">
        <f t="shared" ca="1" si="45"/>
        <v>2854.9108845804244</v>
      </c>
      <c r="N45" s="2">
        <f t="shared" ca="1" si="45"/>
        <v>2150.7992181663658</v>
      </c>
      <c r="O45" s="2">
        <f t="shared" ca="1" si="45"/>
        <v>2428.0624895722954</v>
      </c>
      <c r="P45" s="2">
        <f t="shared" ca="1" si="45"/>
        <v>2286.7437206998529</v>
      </c>
      <c r="Q45" s="2">
        <f t="shared" ca="1" si="45"/>
        <v>2231.8516974590611</v>
      </c>
      <c r="R45" s="2">
        <f t="shared" ca="1" si="45"/>
        <v>2321.9853012481312</v>
      </c>
      <c r="S45" s="2">
        <f t="shared" ca="1" si="45"/>
        <v>2390.116070975429</v>
      </c>
      <c r="T45" s="2">
        <f t="shared" ca="1" si="45"/>
        <v>2402.4119618785035</v>
      </c>
      <c r="U45" s="2">
        <f t="shared" ca="1" si="45"/>
        <v>2006.5456513530294</v>
      </c>
      <c r="V45" s="2">
        <f t="shared" ca="1" si="45"/>
        <v>2927.5234669823139</v>
      </c>
      <c r="W45" s="2">
        <f t="shared" ca="1" si="46"/>
        <v>2001.3022487737489</v>
      </c>
      <c r="X45" s="2">
        <f t="shared" ca="1" si="46"/>
        <v>2712.6241210089838</v>
      </c>
      <c r="Y45" s="2">
        <f t="shared" ca="1" si="46"/>
        <v>2369.0794453169265</v>
      </c>
      <c r="Z45" s="2">
        <f t="shared" ca="1" si="46"/>
        <v>2568.1641802521326</v>
      </c>
      <c r="AA45" s="2">
        <f t="shared" ca="1" si="46"/>
        <v>2213.7646672659866</v>
      </c>
      <c r="AB45" s="2">
        <f t="shared" ca="1" si="46"/>
        <v>2841.5801865948611</v>
      </c>
      <c r="AC45" s="2">
        <f t="shared" ca="1" si="46"/>
        <v>2283.4981065696643</v>
      </c>
      <c r="AD45" s="2">
        <f t="shared" ca="1" si="46"/>
        <v>2354.1605973650476</v>
      </c>
      <c r="AE45" s="2">
        <f t="shared" ca="1" si="46"/>
        <v>2254.3879091488143</v>
      </c>
      <c r="AF45" s="2">
        <f t="shared" ca="1" si="46"/>
        <v>2827.6826227271968</v>
      </c>
      <c r="AG45" s="2">
        <f t="shared" ca="1" si="46"/>
        <v>2564.4671561183281</v>
      </c>
      <c r="AH45" s="2">
        <f t="shared" ca="1" si="46"/>
        <v>2147.0385724749076</v>
      </c>
    </row>
    <row r="46" spans="1:34">
      <c r="A46" t="str">
        <f t="shared" si="33"/>
        <v>Lentils</v>
      </c>
      <c r="B46" t="str">
        <f t="shared" si="37"/>
        <v>Tigray</v>
      </c>
      <c r="C46" s="2">
        <f t="shared" ca="1" si="44"/>
        <v>2664.4079542505606</v>
      </c>
      <c r="D46" s="2">
        <f t="shared" ca="1" si="44"/>
        <v>2950.9533246328838</v>
      </c>
      <c r="E46" s="2">
        <f t="shared" ca="1" si="44"/>
        <v>2766.0553740773303</v>
      </c>
      <c r="F46" s="2">
        <f t="shared" ca="1" si="44"/>
        <v>2918.8978744487777</v>
      </c>
      <c r="G46" s="2">
        <f t="shared" ca="1" si="44"/>
        <v>2896.7533656244259</v>
      </c>
      <c r="H46" s="2">
        <f t="shared" ca="1" si="44"/>
        <v>2089.8537446355554</v>
      </c>
      <c r="I46" s="2">
        <f t="shared" ca="1" si="44"/>
        <v>2256.6457168463385</v>
      </c>
      <c r="J46" s="2">
        <f t="shared" ca="1" si="44"/>
        <v>2033.6108756488636</v>
      </c>
      <c r="K46" s="2">
        <f t="shared" ca="1" si="44"/>
        <v>2842.1179439616626</v>
      </c>
      <c r="L46" s="2">
        <f t="shared" ca="1" si="44"/>
        <v>2252.6930201202822</v>
      </c>
      <c r="M46" s="2">
        <f t="shared" ca="1" si="45"/>
        <v>2641.3093394170928</v>
      </c>
      <c r="N46" s="2">
        <f t="shared" ca="1" si="45"/>
        <v>2377.5958294256552</v>
      </c>
      <c r="O46" s="2">
        <f t="shared" ca="1" si="45"/>
        <v>2702.6206206246502</v>
      </c>
      <c r="P46" s="2">
        <f t="shared" ca="1" si="45"/>
        <v>2063.9112831776524</v>
      </c>
      <c r="Q46" s="2">
        <f t="shared" ca="1" si="45"/>
        <v>2416.4896199652712</v>
      </c>
      <c r="R46" s="2">
        <f t="shared" ca="1" si="45"/>
        <v>2979.4095120895399</v>
      </c>
      <c r="S46" s="2">
        <f t="shared" ca="1" si="45"/>
        <v>2768.0834299764297</v>
      </c>
      <c r="T46" s="2">
        <f t="shared" ca="1" si="45"/>
        <v>2334.7718665551774</v>
      </c>
      <c r="U46" s="2">
        <f t="shared" ca="1" si="45"/>
        <v>2680.3489682424838</v>
      </c>
      <c r="V46" s="2">
        <f t="shared" ca="1" si="45"/>
        <v>2738.1651640324635</v>
      </c>
      <c r="W46" s="2">
        <f t="shared" ca="1" si="46"/>
        <v>2998.3790204760317</v>
      </c>
      <c r="X46" s="2">
        <f t="shared" ca="1" si="46"/>
        <v>2233.5299108094896</v>
      </c>
      <c r="Y46" s="2">
        <f t="shared" ca="1" si="46"/>
        <v>2421.6460154897923</v>
      </c>
      <c r="Z46" s="2">
        <f t="shared" ca="1" si="46"/>
        <v>2663.6861135241834</v>
      </c>
      <c r="AA46" s="2">
        <f t="shared" ca="1" si="46"/>
        <v>2169.4753760469753</v>
      </c>
      <c r="AB46" s="2">
        <f t="shared" ca="1" si="46"/>
        <v>2706.0882991396356</v>
      </c>
      <c r="AC46" s="2">
        <f t="shared" ca="1" si="46"/>
        <v>2025.1976446952067</v>
      </c>
      <c r="AD46" s="2">
        <f t="shared" ca="1" si="46"/>
        <v>2463.8030497229811</v>
      </c>
      <c r="AE46" s="2">
        <f t="shared" ca="1" si="46"/>
        <v>2408.2526983035323</v>
      </c>
      <c r="AF46" s="2">
        <f t="shared" ca="1" si="46"/>
        <v>2552.268218137945</v>
      </c>
      <c r="AG46" s="2">
        <f t="shared" ca="1" si="46"/>
        <v>2919.5911266538428</v>
      </c>
      <c r="AH46" s="2">
        <f t="shared" ca="1" si="46"/>
        <v>2678.2362245135396</v>
      </c>
    </row>
    <row r="47" spans="1:34">
      <c r="A47" t="str">
        <f t="shared" si="33"/>
        <v>Vegetables</v>
      </c>
      <c r="B47" t="str">
        <f t="shared" si="37"/>
        <v>AddisAbaba</v>
      </c>
      <c r="C47" s="2">
        <f t="shared" ca="1" si="44"/>
        <v>2595.3113324023411</v>
      </c>
      <c r="D47" s="2">
        <f t="shared" ca="1" si="44"/>
        <v>2335.0404340095947</v>
      </c>
      <c r="E47" s="2">
        <f t="shared" ca="1" si="44"/>
        <v>2532.3096450162839</v>
      </c>
      <c r="F47" s="2">
        <f t="shared" ca="1" si="44"/>
        <v>2880.241975658907</v>
      </c>
      <c r="G47" s="2">
        <f t="shared" ca="1" si="44"/>
        <v>2013.5763190243051</v>
      </c>
      <c r="H47" s="2">
        <f t="shared" ca="1" si="44"/>
        <v>2727.2879300423097</v>
      </c>
      <c r="I47" s="2">
        <f t="shared" ca="1" si="44"/>
        <v>2514.3757972408039</v>
      </c>
      <c r="J47" s="2">
        <f t="shared" ca="1" si="44"/>
        <v>2382.2556476137984</v>
      </c>
      <c r="K47" s="2">
        <f t="shared" ca="1" si="44"/>
        <v>2604.9821275487111</v>
      </c>
      <c r="L47" s="2">
        <f t="shared" ca="1" si="44"/>
        <v>2003.9607577108254</v>
      </c>
      <c r="M47" s="2">
        <f t="shared" ca="1" si="45"/>
        <v>2293.28640194432</v>
      </c>
      <c r="N47" s="2">
        <f t="shared" ca="1" si="45"/>
        <v>2583.6711007417316</v>
      </c>
      <c r="O47" s="2">
        <f t="shared" ca="1" si="45"/>
        <v>2260.8151491280528</v>
      </c>
      <c r="P47" s="2">
        <f t="shared" ca="1" si="45"/>
        <v>2064.1631086660736</v>
      </c>
      <c r="Q47" s="2">
        <f t="shared" ca="1" si="45"/>
        <v>2619.8002120695246</v>
      </c>
      <c r="R47" s="2">
        <f t="shared" ca="1" si="45"/>
        <v>2245.3994947978517</v>
      </c>
      <c r="S47" s="2">
        <f t="shared" ca="1" si="45"/>
        <v>2189.3451554371927</v>
      </c>
      <c r="T47" s="2">
        <f t="shared" ca="1" si="45"/>
        <v>2173.2136122151833</v>
      </c>
      <c r="U47" s="2">
        <f t="shared" ca="1" si="45"/>
        <v>2341.748085783554</v>
      </c>
      <c r="V47" s="2">
        <f t="shared" ca="1" si="45"/>
        <v>2181.0764335277577</v>
      </c>
      <c r="W47" s="2">
        <f t="shared" ca="1" si="46"/>
        <v>2692.7053859945236</v>
      </c>
      <c r="X47" s="2">
        <f t="shared" ca="1" si="46"/>
        <v>2277.7907428813824</v>
      </c>
      <c r="Y47" s="2">
        <f t="shared" ca="1" si="46"/>
        <v>2038.7616361565256</v>
      </c>
      <c r="Z47" s="2">
        <f t="shared" ca="1" si="46"/>
        <v>2861.013948024497</v>
      </c>
      <c r="AA47" s="2">
        <f t="shared" ca="1" si="46"/>
        <v>2644.7684464832241</v>
      </c>
      <c r="AB47" s="2">
        <f t="shared" ca="1" si="46"/>
        <v>2844.4544267511592</v>
      </c>
      <c r="AC47" s="2">
        <f t="shared" ca="1" si="46"/>
        <v>2019.3131824760028</v>
      </c>
      <c r="AD47" s="2">
        <f t="shared" ca="1" si="46"/>
        <v>2136.8995837722614</v>
      </c>
      <c r="AE47" s="2">
        <f t="shared" ca="1" si="46"/>
        <v>2302.9292319747069</v>
      </c>
      <c r="AF47" s="2">
        <f t="shared" ca="1" si="46"/>
        <v>2897.8062604066627</v>
      </c>
      <c r="AG47" s="2">
        <f t="shared" ca="1" si="46"/>
        <v>2257.6796216538805</v>
      </c>
      <c r="AH47" s="2">
        <f t="shared" ca="1" si="46"/>
        <v>2427.2087331478679</v>
      </c>
    </row>
    <row r="48" spans="1:34">
      <c r="A48" t="str">
        <f t="shared" si="33"/>
        <v>Vegetables</v>
      </c>
      <c r="B48" t="str">
        <f t="shared" si="37"/>
        <v>Afar</v>
      </c>
      <c r="C48" s="2">
        <f t="shared" ca="1" si="44"/>
        <v>2709.4420710709082</v>
      </c>
      <c r="D48" s="2">
        <f t="shared" ca="1" si="44"/>
        <v>2396.8941992609166</v>
      </c>
      <c r="E48" s="2">
        <f t="shared" ca="1" si="44"/>
        <v>2815.503963166334</v>
      </c>
      <c r="F48" s="2">
        <f t="shared" ca="1" si="44"/>
        <v>2843.7109206574187</v>
      </c>
      <c r="G48" s="2">
        <f t="shared" ca="1" si="44"/>
        <v>2443.7622670867504</v>
      </c>
      <c r="H48" s="2">
        <f t="shared" ca="1" si="44"/>
        <v>2350.7341888556593</v>
      </c>
      <c r="I48" s="2">
        <f t="shared" ca="1" si="44"/>
        <v>2974.7004746880134</v>
      </c>
      <c r="J48" s="2">
        <f t="shared" ca="1" si="44"/>
        <v>2463.5706549231936</v>
      </c>
      <c r="K48" s="2">
        <f t="shared" ca="1" si="44"/>
        <v>2484.2155390228468</v>
      </c>
      <c r="L48" s="2">
        <f t="shared" ca="1" si="44"/>
        <v>2467.8528197075761</v>
      </c>
      <c r="M48" s="2">
        <f t="shared" ca="1" si="45"/>
        <v>2997.2475853337837</v>
      </c>
      <c r="N48" s="2">
        <f t="shared" ca="1" si="45"/>
        <v>2083.6163129580991</v>
      </c>
      <c r="O48" s="2">
        <f t="shared" ca="1" si="45"/>
        <v>2371.6797162896573</v>
      </c>
      <c r="P48" s="2">
        <f t="shared" ca="1" si="45"/>
        <v>2367.842182778083</v>
      </c>
      <c r="Q48" s="2">
        <f t="shared" ca="1" si="45"/>
        <v>2467.1971154363619</v>
      </c>
      <c r="R48" s="2">
        <f t="shared" ca="1" si="45"/>
        <v>2581.9685281973852</v>
      </c>
      <c r="S48" s="2">
        <f t="shared" ca="1" si="45"/>
        <v>2745.9387063214017</v>
      </c>
      <c r="T48" s="2">
        <f t="shared" ca="1" si="45"/>
        <v>2362.0846717797886</v>
      </c>
      <c r="U48" s="2">
        <f t="shared" ca="1" si="45"/>
        <v>2424.595526368435</v>
      </c>
      <c r="V48" s="2">
        <f t="shared" ca="1" si="45"/>
        <v>2749.8613743782885</v>
      </c>
      <c r="W48" s="2">
        <f t="shared" ca="1" si="46"/>
        <v>2910.7274468423934</v>
      </c>
      <c r="X48" s="2">
        <f t="shared" ca="1" si="46"/>
        <v>2935.9518548002798</v>
      </c>
      <c r="Y48" s="2">
        <f t="shared" ca="1" si="46"/>
        <v>2624.033378255458</v>
      </c>
      <c r="Z48" s="2">
        <f t="shared" ca="1" si="46"/>
        <v>2482.977290544979</v>
      </c>
      <c r="AA48" s="2">
        <f t="shared" ca="1" si="46"/>
        <v>2587.1820211152794</v>
      </c>
      <c r="AB48" s="2">
        <f t="shared" ca="1" si="46"/>
        <v>2284.3083797146155</v>
      </c>
      <c r="AC48" s="2">
        <f t="shared" ca="1" si="46"/>
        <v>2489.5367678801458</v>
      </c>
      <c r="AD48" s="2">
        <f t="shared" ca="1" si="46"/>
        <v>2513.191606396852</v>
      </c>
      <c r="AE48" s="2">
        <f t="shared" ca="1" si="46"/>
        <v>2633.1632018668215</v>
      </c>
      <c r="AF48" s="2">
        <f t="shared" ca="1" si="46"/>
        <v>2619.3484582896654</v>
      </c>
      <c r="AG48" s="2">
        <f t="shared" ca="1" si="46"/>
        <v>2176.2021251853753</v>
      </c>
      <c r="AH48" s="2">
        <f t="shared" ca="1" si="46"/>
        <v>2357.886052511632</v>
      </c>
    </row>
    <row r="49" spans="1:34">
      <c r="A49" t="str">
        <f t="shared" si="33"/>
        <v>Vegetables</v>
      </c>
      <c r="B49" t="str">
        <f t="shared" si="37"/>
        <v>Amhara</v>
      </c>
      <c r="C49" s="2">
        <f t="shared" ca="1" si="44"/>
        <v>2641.5343012363023</v>
      </c>
      <c r="D49" s="2">
        <f t="shared" ca="1" si="44"/>
        <v>2055.6976921541927</v>
      </c>
      <c r="E49" s="2">
        <f t="shared" ca="1" si="44"/>
        <v>2724.2153298727644</v>
      </c>
      <c r="F49" s="2">
        <f t="shared" ca="1" si="44"/>
        <v>2065.3867462590638</v>
      </c>
      <c r="G49" s="2">
        <f t="shared" ca="1" si="44"/>
        <v>2155.1811545579321</v>
      </c>
      <c r="H49" s="2">
        <f t="shared" ca="1" si="44"/>
        <v>2638.2369880141914</v>
      </c>
      <c r="I49" s="2">
        <f t="shared" ca="1" si="44"/>
        <v>2269.079491051094</v>
      </c>
      <c r="J49" s="2">
        <f t="shared" ca="1" si="44"/>
        <v>2941.3160995484586</v>
      </c>
      <c r="K49" s="2">
        <f t="shared" ca="1" si="44"/>
        <v>2685.0455073065787</v>
      </c>
      <c r="L49" s="2">
        <f t="shared" ca="1" si="44"/>
        <v>2545.694819559656</v>
      </c>
      <c r="M49" s="2">
        <f t="shared" ca="1" si="45"/>
        <v>2772.0545490306181</v>
      </c>
      <c r="N49" s="2">
        <f t="shared" ca="1" si="45"/>
        <v>2189.4777862816291</v>
      </c>
      <c r="O49" s="2">
        <f t="shared" ca="1" si="45"/>
        <v>2324.7559423370108</v>
      </c>
      <c r="P49" s="2">
        <f t="shared" ca="1" si="45"/>
        <v>2241.7421781023568</v>
      </c>
      <c r="Q49" s="2">
        <f t="shared" ca="1" si="45"/>
        <v>2450.2971426850818</v>
      </c>
      <c r="R49" s="2">
        <f t="shared" ca="1" si="45"/>
        <v>2526.0300741314636</v>
      </c>
      <c r="S49" s="2">
        <f t="shared" ca="1" si="45"/>
        <v>2954.3856624165828</v>
      </c>
      <c r="T49" s="2">
        <f t="shared" ca="1" si="45"/>
        <v>2516.0195736412397</v>
      </c>
      <c r="U49" s="2">
        <f t="shared" ca="1" si="45"/>
        <v>2012.0718928819651</v>
      </c>
      <c r="V49" s="2">
        <f t="shared" ca="1" si="45"/>
        <v>2212.7662040821765</v>
      </c>
      <c r="W49" s="2">
        <f t="shared" ca="1" si="46"/>
        <v>2817.43548650722</v>
      </c>
      <c r="X49" s="2">
        <f t="shared" ca="1" si="46"/>
        <v>2523.7573591614064</v>
      </c>
      <c r="Y49" s="2">
        <f t="shared" ca="1" si="46"/>
        <v>2730.028566850538</v>
      </c>
      <c r="Z49" s="2">
        <f t="shared" ca="1" si="46"/>
        <v>2909.1002185415564</v>
      </c>
      <c r="AA49" s="2">
        <f t="shared" ca="1" si="46"/>
        <v>2659.1959316837638</v>
      </c>
      <c r="AB49" s="2">
        <f t="shared" ca="1" si="46"/>
        <v>2780.8206821949861</v>
      </c>
      <c r="AC49" s="2">
        <f t="shared" ca="1" si="46"/>
        <v>2395.7219192710381</v>
      </c>
      <c r="AD49" s="2">
        <f t="shared" ca="1" si="46"/>
        <v>2971.5353075540788</v>
      </c>
      <c r="AE49" s="2">
        <f t="shared" ca="1" si="46"/>
        <v>2302.6275906604023</v>
      </c>
      <c r="AF49" s="2">
        <f t="shared" ca="1" si="46"/>
        <v>2885.7233593647998</v>
      </c>
      <c r="AG49" s="2">
        <f t="shared" ca="1" si="46"/>
        <v>2529.8948372209225</v>
      </c>
      <c r="AH49" s="2">
        <f t="shared" ca="1" si="46"/>
        <v>2672.6670054121778</v>
      </c>
    </row>
    <row r="50" spans="1:34">
      <c r="A50" t="str">
        <f t="shared" si="33"/>
        <v>Vegetables</v>
      </c>
      <c r="B50" t="str">
        <f t="shared" si="37"/>
        <v>Gumuz</v>
      </c>
      <c r="C50" s="2">
        <f t="shared" ca="1" si="44"/>
        <v>2568.829413867621</v>
      </c>
      <c r="D50" s="2">
        <f t="shared" ca="1" si="44"/>
        <v>2442.5838106381207</v>
      </c>
      <c r="E50" s="2">
        <f t="shared" ca="1" si="44"/>
        <v>2277.4243745042081</v>
      </c>
      <c r="F50" s="2">
        <f t="shared" ca="1" si="44"/>
        <v>2066.2031048880867</v>
      </c>
      <c r="G50" s="2">
        <f t="shared" ca="1" si="44"/>
        <v>2942.1046007611185</v>
      </c>
      <c r="H50" s="2">
        <f t="shared" ca="1" si="44"/>
        <v>2093.3653084114117</v>
      </c>
      <c r="I50" s="2">
        <f t="shared" ca="1" si="44"/>
        <v>2318.3341063605012</v>
      </c>
      <c r="J50" s="2">
        <f t="shared" ca="1" si="44"/>
        <v>2299.5313058389747</v>
      </c>
      <c r="K50" s="2">
        <f t="shared" ca="1" si="44"/>
        <v>2693.7193344448428</v>
      </c>
      <c r="L50" s="2">
        <f t="shared" ca="1" si="44"/>
        <v>2334.9752964588865</v>
      </c>
      <c r="M50" s="2">
        <f t="shared" ca="1" si="45"/>
        <v>2735.0593560319835</v>
      </c>
      <c r="N50" s="2">
        <f t="shared" ca="1" si="45"/>
        <v>2897.6202890381478</v>
      </c>
      <c r="O50" s="2">
        <f t="shared" ca="1" si="45"/>
        <v>2979.8836228519826</v>
      </c>
      <c r="P50" s="2">
        <f t="shared" ca="1" si="45"/>
        <v>2355.0707542595369</v>
      </c>
      <c r="Q50" s="2">
        <f t="shared" ca="1" si="45"/>
        <v>2673.6632444282277</v>
      </c>
      <c r="R50" s="2">
        <f t="shared" ca="1" si="45"/>
        <v>2330.733460142887</v>
      </c>
      <c r="S50" s="2">
        <f t="shared" ca="1" si="45"/>
        <v>2722.9327785244914</v>
      </c>
      <c r="T50" s="2">
        <f t="shared" ca="1" si="45"/>
        <v>2284.3675497677059</v>
      </c>
      <c r="U50" s="2">
        <f t="shared" ca="1" si="45"/>
        <v>2802.3676470526634</v>
      </c>
      <c r="V50" s="2">
        <f t="shared" ca="1" si="45"/>
        <v>2541.7119533310629</v>
      </c>
      <c r="W50" s="2">
        <f t="shared" ca="1" si="46"/>
        <v>2839.3567439383723</v>
      </c>
      <c r="X50" s="2">
        <f t="shared" ca="1" si="46"/>
        <v>2531.8630485007779</v>
      </c>
      <c r="Y50" s="2">
        <f t="shared" ca="1" si="46"/>
        <v>2777.989710133159</v>
      </c>
      <c r="Z50" s="2">
        <f t="shared" ca="1" si="46"/>
        <v>2620.7260626606926</v>
      </c>
      <c r="AA50" s="2">
        <f t="shared" ca="1" si="46"/>
        <v>2147.9408027874306</v>
      </c>
      <c r="AB50" s="2">
        <f t="shared" ca="1" si="46"/>
        <v>2324.7861652863312</v>
      </c>
      <c r="AC50" s="2">
        <f t="shared" ca="1" si="46"/>
        <v>2684.3155752144048</v>
      </c>
      <c r="AD50" s="2">
        <f t="shared" ca="1" si="46"/>
        <v>2592.347033734598</v>
      </c>
      <c r="AE50" s="2">
        <f t="shared" ca="1" si="46"/>
        <v>2919.630089613484</v>
      </c>
      <c r="AF50" s="2">
        <f t="shared" ca="1" si="46"/>
        <v>2001.1271256061307</v>
      </c>
      <c r="AG50" s="2">
        <f t="shared" ca="1" si="46"/>
        <v>2072.1791819881855</v>
      </c>
      <c r="AH50" s="2">
        <f t="shared" ca="1" si="46"/>
        <v>2156.3855537782174</v>
      </c>
    </row>
    <row r="51" spans="1:34">
      <c r="A51" t="str">
        <f t="shared" si="33"/>
        <v>Vegetables</v>
      </c>
      <c r="B51" t="str">
        <f t="shared" si="37"/>
        <v>DireDawa</v>
      </c>
      <c r="C51" s="2">
        <f t="shared" ca="1" si="44"/>
        <v>2891.3160587199131</v>
      </c>
      <c r="D51" s="2">
        <f t="shared" ca="1" si="44"/>
        <v>2944.2494640324685</v>
      </c>
      <c r="E51" s="2">
        <f t="shared" ca="1" si="44"/>
        <v>2981.5919568799222</v>
      </c>
      <c r="F51" s="2">
        <f t="shared" ca="1" si="44"/>
        <v>2586.3346478617018</v>
      </c>
      <c r="G51" s="2">
        <f t="shared" ca="1" si="44"/>
        <v>2734.136821756992</v>
      </c>
      <c r="H51" s="2">
        <f t="shared" ca="1" si="44"/>
        <v>2649.3896296027406</v>
      </c>
      <c r="I51" s="2">
        <f t="shared" ca="1" si="44"/>
        <v>2127.572679132556</v>
      </c>
      <c r="J51" s="2">
        <f t="shared" ca="1" si="44"/>
        <v>2296.2065038863848</v>
      </c>
      <c r="K51" s="2">
        <f t="shared" ca="1" si="44"/>
        <v>2546.241212659359</v>
      </c>
      <c r="L51" s="2">
        <f t="shared" ca="1" si="44"/>
        <v>2661.7361498681726</v>
      </c>
      <c r="M51" s="2">
        <f t="shared" ca="1" si="45"/>
        <v>2061.8536804577384</v>
      </c>
      <c r="N51" s="2">
        <f t="shared" ca="1" si="45"/>
        <v>2686.2676571329189</v>
      </c>
      <c r="O51" s="2">
        <f t="shared" ca="1" si="45"/>
        <v>2735.4629387515047</v>
      </c>
      <c r="P51" s="2">
        <f t="shared" ca="1" si="45"/>
        <v>2165.2080290607096</v>
      </c>
      <c r="Q51" s="2">
        <f t="shared" ca="1" si="45"/>
        <v>2850.6591265720035</v>
      </c>
      <c r="R51" s="2">
        <f t="shared" ca="1" si="45"/>
        <v>2772.6187406488229</v>
      </c>
      <c r="S51" s="2">
        <f t="shared" ca="1" si="45"/>
        <v>2803.6976937202953</v>
      </c>
      <c r="T51" s="2">
        <f t="shared" ca="1" si="45"/>
        <v>2877.1842781557361</v>
      </c>
      <c r="U51" s="2">
        <f t="shared" ca="1" si="45"/>
        <v>2037.0607796727393</v>
      </c>
      <c r="V51" s="2">
        <f t="shared" ca="1" si="45"/>
        <v>2324.2745481673237</v>
      </c>
      <c r="W51" s="2">
        <f t="shared" ca="1" si="46"/>
        <v>2836.3430391562906</v>
      </c>
      <c r="X51" s="2">
        <f t="shared" ca="1" si="46"/>
        <v>2286.0463926263496</v>
      </c>
      <c r="Y51" s="2">
        <f t="shared" ca="1" si="46"/>
        <v>2328.1931635536653</v>
      </c>
      <c r="Z51" s="2">
        <f t="shared" ca="1" si="46"/>
        <v>2022.3532633862283</v>
      </c>
      <c r="AA51" s="2">
        <f t="shared" ca="1" si="46"/>
        <v>2626.8899043871825</v>
      </c>
      <c r="AB51" s="2">
        <f t="shared" ca="1" si="46"/>
        <v>2137.6648772269355</v>
      </c>
      <c r="AC51" s="2">
        <f t="shared" ca="1" si="46"/>
        <v>2547.6644864538393</v>
      </c>
      <c r="AD51" s="2">
        <f t="shared" ca="1" si="46"/>
        <v>2316.5181606391911</v>
      </c>
      <c r="AE51" s="2">
        <f t="shared" ca="1" si="46"/>
        <v>2381.8473852673801</v>
      </c>
      <c r="AF51" s="2">
        <f t="shared" ca="1" si="46"/>
        <v>2214.0514306786185</v>
      </c>
      <c r="AG51" s="2">
        <f t="shared" ca="1" si="46"/>
        <v>2085.6301721248046</v>
      </c>
      <c r="AH51" s="2">
        <f t="shared" ca="1" si="46"/>
        <v>2247.2979564393008</v>
      </c>
    </row>
    <row r="52" spans="1:34">
      <c r="A52" t="str">
        <f t="shared" si="33"/>
        <v>Vegetables</v>
      </c>
      <c r="B52" t="str">
        <f t="shared" si="37"/>
        <v>Gambela</v>
      </c>
      <c r="C52" s="2">
        <f t="shared" ca="1" si="44"/>
        <v>2050.7496056423702</v>
      </c>
      <c r="D52" s="2">
        <f t="shared" ca="1" si="44"/>
        <v>2639.9760802264445</v>
      </c>
      <c r="E52" s="2">
        <f t="shared" ca="1" si="44"/>
        <v>2323.4575650781171</v>
      </c>
      <c r="F52" s="2">
        <f t="shared" ca="1" si="44"/>
        <v>2348.326704532964</v>
      </c>
      <c r="G52" s="2">
        <f t="shared" ca="1" si="44"/>
        <v>2476.7459825264955</v>
      </c>
      <c r="H52" s="2">
        <f t="shared" ca="1" si="44"/>
        <v>2590.2409409856996</v>
      </c>
      <c r="I52" s="2">
        <f t="shared" ca="1" si="44"/>
        <v>2406.8593568968681</v>
      </c>
      <c r="J52" s="2">
        <f t="shared" ca="1" si="44"/>
        <v>2658.1976147180972</v>
      </c>
      <c r="K52" s="2">
        <f t="shared" ca="1" si="44"/>
        <v>2311.4268423566496</v>
      </c>
      <c r="L52" s="2">
        <f t="shared" ca="1" si="44"/>
        <v>2282.0426596411912</v>
      </c>
      <c r="M52" s="2">
        <f t="shared" ca="1" si="45"/>
        <v>2304.2881644874647</v>
      </c>
      <c r="N52" s="2">
        <f t="shared" ca="1" si="45"/>
        <v>2516.2401266458678</v>
      </c>
      <c r="O52" s="2">
        <f t="shared" ca="1" si="45"/>
        <v>2646.6931276233281</v>
      </c>
      <c r="P52" s="2">
        <f t="shared" ca="1" si="45"/>
        <v>2620.2425389749442</v>
      </c>
      <c r="Q52" s="2">
        <f t="shared" ca="1" si="45"/>
        <v>2500.4108618897067</v>
      </c>
      <c r="R52" s="2">
        <f t="shared" ca="1" si="45"/>
        <v>2665.5812394570244</v>
      </c>
      <c r="S52" s="2">
        <f t="shared" ca="1" si="45"/>
        <v>2380.911403052482</v>
      </c>
      <c r="T52" s="2">
        <f t="shared" ca="1" si="45"/>
        <v>2791.303571998068</v>
      </c>
      <c r="U52" s="2">
        <f t="shared" ca="1" si="45"/>
        <v>2045.8419276986408</v>
      </c>
      <c r="V52" s="2">
        <f t="shared" ca="1" si="45"/>
        <v>2135.652520834954</v>
      </c>
      <c r="W52" s="2">
        <f t="shared" ca="1" si="46"/>
        <v>2477.3618106426698</v>
      </c>
      <c r="X52" s="2">
        <f t="shared" ca="1" si="46"/>
        <v>2238.7120416814737</v>
      </c>
      <c r="Y52" s="2">
        <f t="shared" ca="1" si="46"/>
        <v>2746.0156646567357</v>
      </c>
      <c r="Z52" s="2">
        <f t="shared" ca="1" si="46"/>
        <v>2730.1426232216545</v>
      </c>
      <c r="AA52" s="2">
        <f t="shared" ca="1" si="46"/>
        <v>2199.1220242004938</v>
      </c>
      <c r="AB52" s="2">
        <f t="shared" ca="1" si="46"/>
        <v>2030.7010579733765</v>
      </c>
      <c r="AC52" s="2">
        <f t="shared" ca="1" si="46"/>
        <v>2538.453560624308</v>
      </c>
      <c r="AD52" s="2">
        <f t="shared" ca="1" si="46"/>
        <v>2797.5922105530672</v>
      </c>
      <c r="AE52" s="2">
        <f t="shared" ca="1" si="46"/>
        <v>2752.9880691692665</v>
      </c>
      <c r="AF52" s="2">
        <f t="shared" ca="1" si="46"/>
        <v>2612.676754864528</v>
      </c>
      <c r="AG52" s="2">
        <f t="shared" ca="1" si="46"/>
        <v>2181.5417632824488</v>
      </c>
      <c r="AH52" s="2">
        <f t="shared" ca="1" si="46"/>
        <v>2150.2979247062253</v>
      </c>
    </row>
    <row r="53" spans="1:34">
      <c r="A53" t="str">
        <f t="shared" si="33"/>
        <v>Vegetables</v>
      </c>
      <c r="B53" t="str">
        <f t="shared" si="37"/>
        <v>Harari</v>
      </c>
      <c r="C53" s="2">
        <f t="shared" ca="1" si="44"/>
        <v>2133.8908131570079</v>
      </c>
      <c r="D53" s="2">
        <f t="shared" ca="1" si="44"/>
        <v>2919.9310230372575</v>
      </c>
      <c r="E53" s="2">
        <f t="shared" ca="1" si="44"/>
        <v>2253.7729969422471</v>
      </c>
      <c r="F53" s="2">
        <f t="shared" ca="1" si="44"/>
        <v>2732.3002893106809</v>
      </c>
      <c r="G53" s="2">
        <f t="shared" ca="1" si="44"/>
        <v>2689.2856157148781</v>
      </c>
      <c r="H53" s="2">
        <f t="shared" ca="1" si="44"/>
        <v>2243.6570232135737</v>
      </c>
      <c r="I53" s="2">
        <f t="shared" ca="1" si="44"/>
        <v>2224.3196888176449</v>
      </c>
      <c r="J53" s="2">
        <f t="shared" ca="1" si="44"/>
        <v>2598.0446406162191</v>
      </c>
      <c r="K53" s="2">
        <f t="shared" ca="1" si="44"/>
        <v>2613.3122479309704</v>
      </c>
      <c r="L53" s="2">
        <f t="shared" ca="1" si="44"/>
        <v>2969.051760395987</v>
      </c>
      <c r="M53" s="2">
        <f t="shared" ca="1" si="45"/>
        <v>2306.3083822857297</v>
      </c>
      <c r="N53" s="2">
        <f t="shared" ca="1" si="45"/>
        <v>2275.9276677139001</v>
      </c>
      <c r="O53" s="2">
        <f t="shared" ca="1" si="45"/>
        <v>2099.8064047773637</v>
      </c>
      <c r="P53" s="2">
        <f t="shared" ca="1" si="45"/>
        <v>2832.3172994597467</v>
      </c>
      <c r="Q53" s="2">
        <f t="shared" ca="1" si="45"/>
        <v>2783.9029631052831</v>
      </c>
      <c r="R53" s="2">
        <f t="shared" ca="1" si="45"/>
        <v>2687.3274905804878</v>
      </c>
      <c r="S53" s="2">
        <f t="shared" ca="1" si="45"/>
        <v>2997.4618005881302</v>
      </c>
      <c r="T53" s="2">
        <f t="shared" ca="1" si="45"/>
        <v>2537.3097680071514</v>
      </c>
      <c r="U53" s="2">
        <f t="shared" ca="1" si="45"/>
        <v>2725.1224997062805</v>
      </c>
      <c r="V53" s="2">
        <f t="shared" ca="1" si="45"/>
        <v>2364.2946972333339</v>
      </c>
      <c r="W53" s="2">
        <f t="shared" ca="1" si="46"/>
        <v>2217.6164219902516</v>
      </c>
      <c r="X53" s="2">
        <f t="shared" ca="1" si="46"/>
        <v>2897.1389236531904</v>
      </c>
      <c r="Y53" s="2">
        <f t="shared" ca="1" si="46"/>
        <v>2707.1536059003383</v>
      </c>
      <c r="Z53" s="2">
        <f t="shared" ca="1" si="46"/>
        <v>2307.0720767826706</v>
      </c>
      <c r="AA53" s="2">
        <f t="shared" ca="1" si="46"/>
        <v>2911.2003574448231</v>
      </c>
      <c r="AB53" s="2">
        <f t="shared" ca="1" si="46"/>
        <v>2843.0191589250562</v>
      </c>
      <c r="AC53" s="2">
        <f t="shared" ca="1" si="46"/>
        <v>2637.6493491437004</v>
      </c>
      <c r="AD53" s="2">
        <f t="shared" ca="1" si="46"/>
        <v>2326.5702700126399</v>
      </c>
      <c r="AE53" s="2">
        <f t="shared" ca="1" si="46"/>
        <v>2252.9466751112768</v>
      </c>
      <c r="AF53" s="2">
        <f t="shared" ca="1" si="46"/>
        <v>2087.4775616562497</v>
      </c>
      <c r="AG53" s="2">
        <f t="shared" ca="1" si="46"/>
        <v>2129.1937424015387</v>
      </c>
      <c r="AH53" s="2">
        <f t="shared" ca="1" si="46"/>
        <v>2019.2172517616521</v>
      </c>
    </row>
    <row r="54" spans="1:34">
      <c r="A54" t="str">
        <f t="shared" si="33"/>
        <v>Vegetables</v>
      </c>
      <c r="B54" t="str">
        <f t="shared" si="37"/>
        <v>Oromia</v>
      </c>
      <c r="C54" s="2">
        <f t="shared" ref="C54:L68" ca="1" si="47">((RAND()*1+2)*100)*10</f>
        <v>2047.8757671091266</v>
      </c>
      <c r="D54" s="2">
        <f t="shared" ca="1" si="47"/>
        <v>2151.8520857881149</v>
      </c>
      <c r="E54" s="2">
        <f t="shared" ca="1" si="47"/>
        <v>2277.8117187017265</v>
      </c>
      <c r="F54" s="2">
        <f t="shared" ca="1" si="47"/>
        <v>2429.1344673909648</v>
      </c>
      <c r="G54" s="2">
        <f t="shared" ca="1" si="47"/>
        <v>2949.5967056072363</v>
      </c>
      <c r="H54" s="2">
        <f t="shared" ca="1" si="47"/>
        <v>2466.2573795760418</v>
      </c>
      <c r="I54" s="2">
        <f t="shared" ca="1" si="47"/>
        <v>2393.4648063192803</v>
      </c>
      <c r="J54" s="2">
        <f t="shared" ca="1" si="47"/>
        <v>2987.2694091947787</v>
      </c>
      <c r="K54" s="2">
        <f t="shared" ca="1" si="47"/>
        <v>2794.9807330650897</v>
      </c>
      <c r="L54" s="2">
        <f t="shared" ca="1" si="47"/>
        <v>2294.721890147785</v>
      </c>
      <c r="M54" s="2">
        <f t="shared" ref="M54:V68" ca="1" si="48">((RAND()*1+2)*100)*10</f>
        <v>2513.3958555211852</v>
      </c>
      <c r="N54" s="2">
        <f t="shared" ca="1" si="48"/>
        <v>2970.9048616450218</v>
      </c>
      <c r="O54" s="2">
        <f t="shared" ca="1" si="48"/>
        <v>2481.4439202567592</v>
      </c>
      <c r="P54" s="2">
        <f t="shared" ca="1" si="48"/>
        <v>2075.1365553175947</v>
      </c>
      <c r="Q54" s="2">
        <f t="shared" ca="1" si="48"/>
        <v>2278.2744353070357</v>
      </c>
      <c r="R54" s="2">
        <f t="shared" ca="1" si="48"/>
        <v>2091.9210671097949</v>
      </c>
      <c r="S54" s="2">
        <f t="shared" ca="1" si="48"/>
        <v>2328.5299875998094</v>
      </c>
      <c r="T54" s="2">
        <f t="shared" ca="1" si="48"/>
        <v>2135.3436574090101</v>
      </c>
      <c r="U54" s="2">
        <f t="shared" ca="1" si="48"/>
        <v>2049.0730982715886</v>
      </c>
      <c r="V54" s="2">
        <f t="shared" ca="1" si="48"/>
        <v>2941.9787407704707</v>
      </c>
      <c r="W54" s="2">
        <f t="shared" ref="W54:AH68" ca="1" si="49">((RAND()*1+2)*100)*10</f>
        <v>2550.7029271058773</v>
      </c>
      <c r="X54" s="2">
        <f t="shared" ca="1" si="49"/>
        <v>2901.1313969852085</v>
      </c>
      <c r="Y54" s="2">
        <f t="shared" ca="1" si="49"/>
        <v>2787.9087301644354</v>
      </c>
      <c r="Z54" s="2">
        <f t="shared" ca="1" si="49"/>
        <v>2913.1059586094484</v>
      </c>
      <c r="AA54" s="2">
        <f t="shared" ca="1" si="49"/>
        <v>2867.1782339614265</v>
      </c>
      <c r="AB54" s="2">
        <f t="shared" ca="1" si="49"/>
        <v>2740.7821588219122</v>
      </c>
      <c r="AC54" s="2">
        <f t="shared" ca="1" si="49"/>
        <v>2542.3786023245152</v>
      </c>
      <c r="AD54" s="2">
        <f t="shared" ca="1" si="49"/>
        <v>2775.5508029837797</v>
      </c>
      <c r="AE54" s="2">
        <f t="shared" ca="1" si="49"/>
        <v>2519.7240091702902</v>
      </c>
      <c r="AF54" s="2">
        <f t="shared" ca="1" si="49"/>
        <v>2329.3992824927868</v>
      </c>
      <c r="AG54" s="2">
        <f t="shared" ca="1" si="49"/>
        <v>2986.0845529645894</v>
      </c>
      <c r="AH54" s="2">
        <f t="shared" ca="1" si="49"/>
        <v>2916.2945384247669</v>
      </c>
    </row>
    <row r="55" spans="1:34">
      <c r="A55" t="str">
        <f t="shared" si="33"/>
        <v>Vegetables</v>
      </c>
      <c r="B55" t="str">
        <f t="shared" si="37"/>
        <v>Somali</v>
      </c>
      <c r="C55" s="2">
        <f t="shared" ca="1" si="47"/>
        <v>2276.039381659446</v>
      </c>
      <c r="D55" s="2">
        <f t="shared" ca="1" si="47"/>
        <v>2442.7807808984248</v>
      </c>
      <c r="E55" s="2">
        <f t="shared" ca="1" si="47"/>
        <v>2248.5461852469912</v>
      </c>
      <c r="F55" s="2">
        <f t="shared" ca="1" si="47"/>
        <v>2190.9113162956855</v>
      </c>
      <c r="G55" s="2">
        <f t="shared" ca="1" si="47"/>
        <v>2518.6555928723005</v>
      </c>
      <c r="H55" s="2">
        <f t="shared" ca="1" si="47"/>
        <v>2899.5286985379998</v>
      </c>
      <c r="I55" s="2">
        <f t="shared" ca="1" si="47"/>
        <v>2424.8349721195536</v>
      </c>
      <c r="J55" s="2">
        <f t="shared" ca="1" si="47"/>
        <v>2292.7871752980427</v>
      </c>
      <c r="K55" s="2">
        <f t="shared" ca="1" si="47"/>
        <v>2868.2850436018143</v>
      </c>
      <c r="L55" s="2">
        <f t="shared" ca="1" si="47"/>
        <v>2349.8709995882027</v>
      </c>
      <c r="M55" s="2">
        <f t="shared" ca="1" si="48"/>
        <v>2291.7764467749676</v>
      </c>
      <c r="N55" s="2">
        <f t="shared" ca="1" si="48"/>
        <v>2511.5062488486869</v>
      </c>
      <c r="O55" s="2">
        <f t="shared" ca="1" si="48"/>
        <v>2617.6261246104746</v>
      </c>
      <c r="P55" s="2">
        <f t="shared" ca="1" si="48"/>
        <v>2878.9661819477797</v>
      </c>
      <c r="Q55" s="2">
        <f t="shared" ca="1" si="48"/>
        <v>2476.6013727458312</v>
      </c>
      <c r="R55" s="2">
        <f t="shared" ca="1" si="48"/>
        <v>2841.9301871464763</v>
      </c>
      <c r="S55" s="2">
        <f t="shared" ca="1" si="48"/>
        <v>2442.5595479178855</v>
      </c>
      <c r="T55" s="2">
        <f t="shared" ca="1" si="48"/>
        <v>2392.6820499083551</v>
      </c>
      <c r="U55" s="2">
        <f t="shared" ca="1" si="48"/>
        <v>2705.9184433572636</v>
      </c>
      <c r="V55" s="2">
        <f t="shared" ca="1" si="48"/>
        <v>2554.8088394538354</v>
      </c>
      <c r="W55" s="2">
        <f t="shared" ca="1" si="49"/>
        <v>2462.7075815741632</v>
      </c>
      <c r="X55" s="2">
        <f t="shared" ca="1" si="49"/>
        <v>2615.2756010494468</v>
      </c>
      <c r="Y55" s="2">
        <f t="shared" ca="1" si="49"/>
        <v>2505.0632737035066</v>
      </c>
      <c r="Z55" s="2">
        <f t="shared" ca="1" si="49"/>
        <v>2917.8558663974086</v>
      </c>
      <c r="AA55" s="2">
        <f t="shared" ca="1" si="49"/>
        <v>2920.1804853602384</v>
      </c>
      <c r="AB55" s="2">
        <f t="shared" ca="1" si="49"/>
        <v>2366.3626891420358</v>
      </c>
      <c r="AC55" s="2">
        <f t="shared" ca="1" si="49"/>
        <v>2098.6044217407843</v>
      </c>
      <c r="AD55" s="2">
        <f t="shared" ca="1" si="49"/>
        <v>2221.3689592530554</v>
      </c>
      <c r="AE55" s="2">
        <f t="shared" ca="1" si="49"/>
        <v>2682.7536780346727</v>
      </c>
      <c r="AF55" s="2">
        <f t="shared" ca="1" si="49"/>
        <v>2211.8988914719016</v>
      </c>
      <c r="AG55" s="2">
        <f t="shared" ca="1" si="49"/>
        <v>2915.5534606833403</v>
      </c>
      <c r="AH55" s="2">
        <f t="shared" ca="1" si="49"/>
        <v>2027.4716805388302</v>
      </c>
    </row>
    <row r="56" spans="1:34">
      <c r="A56" t="str">
        <f t="shared" si="33"/>
        <v>Vegetables</v>
      </c>
      <c r="B56" t="str">
        <f t="shared" si="37"/>
        <v>SNNPR</v>
      </c>
      <c r="C56" s="2">
        <f t="shared" ca="1" si="47"/>
        <v>2807.9326831310073</v>
      </c>
      <c r="D56" s="2">
        <f t="shared" ca="1" si="47"/>
        <v>2759.5022443876992</v>
      </c>
      <c r="E56" s="2">
        <f t="shared" ca="1" si="47"/>
        <v>2073.5859050388194</v>
      </c>
      <c r="F56" s="2">
        <f t="shared" ca="1" si="47"/>
        <v>2746.0507439738949</v>
      </c>
      <c r="G56" s="2">
        <f t="shared" ca="1" si="47"/>
        <v>2142.8966644495099</v>
      </c>
      <c r="H56" s="2">
        <f t="shared" ca="1" si="47"/>
        <v>2821.3376499017086</v>
      </c>
      <c r="I56" s="2">
        <f t="shared" ca="1" si="47"/>
        <v>2190.3712335261707</v>
      </c>
      <c r="J56" s="2">
        <f t="shared" ca="1" si="47"/>
        <v>2576.0011437933363</v>
      </c>
      <c r="K56" s="2">
        <f t="shared" ca="1" si="47"/>
        <v>2187.0480677769856</v>
      </c>
      <c r="L56" s="2">
        <f t="shared" ca="1" si="47"/>
        <v>2931.7275553524887</v>
      </c>
      <c r="M56" s="2">
        <f t="shared" ca="1" si="48"/>
        <v>2251.1281451276682</v>
      </c>
      <c r="N56" s="2">
        <f t="shared" ca="1" si="48"/>
        <v>2655.7058388820356</v>
      </c>
      <c r="O56" s="2">
        <f t="shared" ca="1" si="48"/>
        <v>2977.8219377665537</v>
      </c>
      <c r="P56" s="2">
        <f t="shared" ca="1" si="48"/>
        <v>2233.1370331854446</v>
      </c>
      <c r="Q56" s="2">
        <f t="shared" ca="1" si="48"/>
        <v>2882.5236337533997</v>
      </c>
      <c r="R56" s="2">
        <f t="shared" ca="1" si="48"/>
        <v>2153.8545309161791</v>
      </c>
      <c r="S56" s="2">
        <f t="shared" ca="1" si="48"/>
        <v>2965.736370184648</v>
      </c>
      <c r="T56" s="2">
        <f t="shared" ca="1" si="48"/>
        <v>2025.5594235786716</v>
      </c>
      <c r="U56" s="2">
        <f t="shared" ca="1" si="48"/>
        <v>2613.0397335149109</v>
      </c>
      <c r="V56" s="2">
        <f t="shared" ca="1" si="48"/>
        <v>2305.1029859715386</v>
      </c>
      <c r="W56" s="2">
        <f t="shared" ca="1" si="49"/>
        <v>2711.099808304391</v>
      </c>
      <c r="X56" s="2">
        <f t="shared" ca="1" si="49"/>
        <v>2113.5605835217784</v>
      </c>
      <c r="Y56" s="2">
        <f t="shared" ca="1" si="49"/>
        <v>2444.6324539952602</v>
      </c>
      <c r="Z56" s="2">
        <f t="shared" ca="1" si="49"/>
        <v>2119.1558129293117</v>
      </c>
      <c r="AA56" s="2">
        <f t="shared" ca="1" si="49"/>
        <v>2360.4760584963838</v>
      </c>
      <c r="AB56" s="2">
        <f t="shared" ca="1" si="49"/>
        <v>2794.2779944638196</v>
      </c>
      <c r="AC56" s="2">
        <f t="shared" ca="1" si="49"/>
        <v>2681.8460241601583</v>
      </c>
      <c r="AD56" s="2">
        <f t="shared" ca="1" si="49"/>
        <v>2479.5882832940106</v>
      </c>
      <c r="AE56" s="2">
        <f t="shared" ca="1" si="49"/>
        <v>2176.180855862478</v>
      </c>
      <c r="AF56" s="2">
        <f t="shared" ca="1" si="49"/>
        <v>2289.393850869872</v>
      </c>
      <c r="AG56" s="2">
        <f t="shared" ca="1" si="49"/>
        <v>2001.3492124113011</v>
      </c>
      <c r="AH56" s="2">
        <f t="shared" ca="1" si="49"/>
        <v>2094.0053579864925</v>
      </c>
    </row>
    <row r="57" spans="1:34">
      <c r="A57" t="str">
        <f t="shared" si="33"/>
        <v>Vegetables</v>
      </c>
      <c r="B57" t="str">
        <f t="shared" si="37"/>
        <v>Tigray</v>
      </c>
      <c r="C57" s="2">
        <f t="shared" ca="1" si="47"/>
        <v>2662.1793602296907</v>
      </c>
      <c r="D57" s="2">
        <f t="shared" ca="1" si="47"/>
        <v>2803.8344319929734</v>
      </c>
      <c r="E57" s="2">
        <f t="shared" ca="1" si="47"/>
        <v>2250.6716800946683</v>
      </c>
      <c r="F57" s="2">
        <f t="shared" ca="1" si="47"/>
        <v>2039.348549347716</v>
      </c>
      <c r="G57" s="2">
        <f t="shared" ca="1" si="47"/>
        <v>2527.7287223569892</v>
      </c>
      <c r="H57" s="2">
        <f t="shared" ca="1" si="47"/>
        <v>2753.3292702987765</v>
      </c>
      <c r="I57" s="2">
        <f t="shared" ca="1" si="47"/>
        <v>2783.6190553515698</v>
      </c>
      <c r="J57" s="2">
        <f t="shared" ca="1" si="47"/>
        <v>2357.091746889078</v>
      </c>
      <c r="K57" s="2">
        <f t="shared" ca="1" si="47"/>
        <v>2295.4073582457258</v>
      </c>
      <c r="L57" s="2">
        <f t="shared" ca="1" si="47"/>
        <v>2336.2015092951156</v>
      </c>
      <c r="M57" s="2">
        <f t="shared" ca="1" si="48"/>
        <v>2544.5227398150146</v>
      </c>
      <c r="N57" s="2">
        <f t="shared" ca="1" si="48"/>
        <v>2882.1769826788609</v>
      </c>
      <c r="O57" s="2">
        <f t="shared" ca="1" si="48"/>
        <v>2189.5438641565224</v>
      </c>
      <c r="P57" s="2">
        <f t="shared" ca="1" si="48"/>
        <v>2116.5385819286857</v>
      </c>
      <c r="Q57" s="2">
        <f t="shared" ca="1" si="48"/>
        <v>2982.7163988815387</v>
      </c>
      <c r="R57" s="2">
        <f t="shared" ca="1" si="48"/>
        <v>2961.4646898622104</v>
      </c>
      <c r="S57" s="2">
        <f t="shared" ca="1" si="48"/>
        <v>2470.3308986351844</v>
      </c>
      <c r="T57" s="2">
        <f t="shared" ca="1" si="48"/>
        <v>2719.0137059034282</v>
      </c>
      <c r="U57" s="2">
        <f t="shared" ca="1" si="48"/>
        <v>2911.05655901307</v>
      </c>
      <c r="V57" s="2">
        <f t="shared" ca="1" si="48"/>
        <v>2737.4394841997837</v>
      </c>
      <c r="W57" s="2">
        <f t="shared" ca="1" si="49"/>
        <v>2825.7957968281526</v>
      </c>
      <c r="X57" s="2">
        <f t="shared" ca="1" si="49"/>
        <v>2222.2378012413851</v>
      </c>
      <c r="Y57" s="2">
        <f t="shared" ca="1" si="49"/>
        <v>2525.783686301751</v>
      </c>
      <c r="Z57" s="2">
        <f t="shared" ca="1" si="49"/>
        <v>2691.4460989536906</v>
      </c>
      <c r="AA57" s="2">
        <f t="shared" ca="1" si="49"/>
        <v>2871.7065303511663</v>
      </c>
      <c r="AB57" s="2">
        <f t="shared" ca="1" si="49"/>
        <v>2040.3769739125325</v>
      </c>
      <c r="AC57" s="2">
        <f t="shared" ca="1" si="49"/>
        <v>2950.7123785360463</v>
      </c>
      <c r="AD57" s="2">
        <f t="shared" ca="1" si="49"/>
        <v>2165.837097220945</v>
      </c>
      <c r="AE57" s="2">
        <f t="shared" ca="1" si="49"/>
        <v>2104.3323908837092</v>
      </c>
      <c r="AF57" s="2">
        <f t="shared" ca="1" si="49"/>
        <v>2996.7871407101525</v>
      </c>
      <c r="AG57" s="2">
        <f t="shared" ca="1" si="49"/>
        <v>2638.3050579301816</v>
      </c>
      <c r="AH57" s="2">
        <f t="shared" ca="1" si="49"/>
        <v>2300.5871726186347</v>
      </c>
    </row>
    <row r="58" spans="1:34">
      <c r="A58" t="str">
        <f t="shared" si="33"/>
        <v>Coffee</v>
      </c>
      <c r="B58" t="str">
        <f t="shared" si="37"/>
        <v>AddisAbaba</v>
      </c>
      <c r="C58" s="2">
        <f t="shared" ca="1" si="47"/>
        <v>2449.1880486364321</v>
      </c>
      <c r="D58" s="2">
        <f t="shared" ca="1" si="47"/>
        <v>2526.9949312240219</v>
      </c>
      <c r="E58" s="2">
        <f t="shared" ca="1" si="47"/>
        <v>2354.4043215595266</v>
      </c>
      <c r="F58" s="2">
        <f t="shared" ca="1" si="47"/>
        <v>2415.2087862387175</v>
      </c>
      <c r="G58" s="2">
        <f t="shared" ca="1" si="47"/>
        <v>2810.614639110227</v>
      </c>
      <c r="H58" s="2">
        <f t="shared" ca="1" si="47"/>
        <v>2697.0220481987517</v>
      </c>
      <c r="I58" s="2">
        <f t="shared" ca="1" si="47"/>
        <v>2644.5359694341541</v>
      </c>
      <c r="J58" s="2">
        <f t="shared" ca="1" si="47"/>
        <v>2758.8005302934707</v>
      </c>
      <c r="K58" s="2">
        <f t="shared" ca="1" si="47"/>
        <v>2516.8385073720933</v>
      </c>
      <c r="L58" s="2">
        <f t="shared" ca="1" si="47"/>
        <v>2263.4723658755947</v>
      </c>
      <c r="M58" s="2">
        <f t="shared" ca="1" si="48"/>
        <v>2849.9561521155802</v>
      </c>
      <c r="N58" s="2">
        <f t="shared" ca="1" si="48"/>
        <v>2737.5798945980341</v>
      </c>
      <c r="O58" s="2">
        <f t="shared" ca="1" si="48"/>
        <v>2400.8432410389742</v>
      </c>
      <c r="P58" s="2">
        <f t="shared" ca="1" si="48"/>
        <v>2378.6756045221009</v>
      </c>
      <c r="Q58" s="2">
        <f t="shared" ca="1" si="48"/>
        <v>2088.7958354658876</v>
      </c>
      <c r="R58" s="2">
        <f t="shared" ca="1" si="48"/>
        <v>2328.2947629856258</v>
      </c>
      <c r="S58" s="2">
        <f t="shared" ca="1" si="48"/>
        <v>2675.9465088161119</v>
      </c>
      <c r="T58" s="2">
        <f t="shared" ca="1" si="48"/>
        <v>2196.5709280443939</v>
      </c>
      <c r="U58" s="2">
        <f t="shared" ca="1" si="48"/>
        <v>2406.0128593760996</v>
      </c>
      <c r="V58" s="2">
        <f t="shared" ca="1" si="48"/>
        <v>2774.3482988032511</v>
      </c>
      <c r="W58" s="2">
        <f t="shared" ca="1" si="49"/>
        <v>2610.9383259295164</v>
      </c>
      <c r="X58" s="2">
        <f t="shared" ca="1" si="49"/>
        <v>2312.1154493606291</v>
      </c>
      <c r="Y58" s="2">
        <f t="shared" ca="1" si="49"/>
        <v>2462.938129917402</v>
      </c>
      <c r="Z58" s="2">
        <f t="shared" ca="1" si="49"/>
        <v>2461.1089644810436</v>
      </c>
      <c r="AA58" s="2">
        <f t="shared" ca="1" si="49"/>
        <v>2468.1627452584698</v>
      </c>
      <c r="AB58" s="2">
        <f t="shared" ca="1" si="49"/>
        <v>2551.2444125524798</v>
      </c>
      <c r="AC58" s="2">
        <f t="shared" ca="1" si="49"/>
        <v>2547.0371971032328</v>
      </c>
      <c r="AD58" s="2">
        <f t="shared" ca="1" si="49"/>
        <v>2065.3306829130547</v>
      </c>
      <c r="AE58" s="2">
        <f t="shared" ca="1" si="49"/>
        <v>2663.4175296295289</v>
      </c>
      <c r="AF58" s="2">
        <f t="shared" ca="1" si="49"/>
        <v>2777.9595374910477</v>
      </c>
      <c r="AG58" s="2">
        <f t="shared" ca="1" si="49"/>
        <v>2064.4608133034335</v>
      </c>
      <c r="AH58" s="2">
        <f t="shared" ca="1" si="49"/>
        <v>2787.2387051749884</v>
      </c>
    </row>
    <row r="59" spans="1:34">
      <c r="A59" t="str">
        <f t="shared" si="33"/>
        <v>Coffee</v>
      </c>
      <c r="B59" t="str">
        <f t="shared" si="37"/>
        <v>Afar</v>
      </c>
      <c r="C59" s="2">
        <f t="shared" ca="1" si="47"/>
        <v>2471.005608550438</v>
      </c>
      <c r="D59" s="2">
        <f t="shared" ca="1" si="47"/>
        <v>2058.2436060827795</v>
      </c>
      <c r="E59" s="2">
        <f t="shared" ca="1" si="47"/>
        <v>2215.5667767810978</v>
      </c>
      <c r="F59" s="2">
        <f t="shared" ca="1" si="47"/>
        <v>2747.2649374427533</v>
      </c>
      <c r="G59" s="2">
        <f t="shared" ca="1" si="47"/>
        <v>2362.6398352519673</v>
      </c>
      <c r="H59" s="2">
        <f t="shared" ca="1" si="47"/>
        <v>2664.2971681446925</v>
      </c>
      <c r="I59" s="2">
        <f t="shared" ca="1" si="47"/>
        <v>2339.5270177465991</v>
      </c>
      <c r="J59" s="2">
        <f t="shared" ca="1" si="47"/>
        <v>2734.9387749819762</v>
      </c>
      <c r="K59" s="2">
        <f t="shared" ca="1" si="47"/>
        <v>2128.2493257914616</v>
      </c>
      <c r="L59" s="2">
        <f t="shared" ca="1" si="47"/>
        <v>2505.1402799102348</v>
      </c>
      <c r="M59" s="2">
        <f t="shared" ca="1" si="48"/>
        <v>2134.1264662246599</v>
      </c>
      <c r="N59" s="2">
        <f t="shared" ca="1" si="48"/>
        <v>2483.7790817407194</v>
      </c>
      <c r="O59" s="2">
        <f t="shared" ca="1" si="48"/>
        <v>2680.8845642365459</v>
      </c>
      <c r="P59" s="2">
        <f t="shared" ca="1" si="48"/>
        <v>2964.4722262520054</v>
      </c>
      <c r="Q59" s="2">
        <f t="shared" ca="1" si="48"/>
        <v>2177.0600043918394</v>
      </c>
      <c r="R59" s="2">
        <f t="shared" ca="1" si="48"/>
        <v>2110.4314511629291</v>
      </c>
      <c r="S59" s="2">
        <f t="shared" ca="1" si="48"/>
        <v>2903.017054142726</v>
      </c>
      <c r="T59" s="2">
        <f t="shared" ca="1" si="48"/>
        <v>2963.6212057198618</v>
      </c>
      <c r="U59" s="2">
        <f t="shared" ca="1" si="48"/>
        <v>2851.5801237541737</v>
      </c>
      <c r="V59" s="2">
        <f t="shared" ca="1" si="48"/>
        <v>2165.5383555080052</v>
      </c>
      <c r="W59" s="2">
        <f t="shared" ca="1" si="49"/>
        <v>2753.4498678026612</v>
      </c>
      <c r="X59" s="2">
        <f t="shared" ca="1" si="49"/>
        <v>2503.6091037929777</v>
      </c>
      <c r="Y59" s="2">
        <f t="shared" ca="1" si="49"/>
        <v>2645.2326970210443</v>
      </c>
      <c r="Z59" s="2">
        <f t="shared" ca="1" si="49"/>
        <v>2038.2869477443764</v>
      </c>
      <c r="AA59" s="2">
        <f t="shared" ca="1" si="49"/>
        <v>2153.7922706710815</v>
      </c>
      <c r="AB59" s="2">
        <f t="shared" ca="1" si="49"/>
        <v>2715.0172157079587</v>
      </c>
      <c r="AC59" s="2">
        <f t="shared" ca="1" si="49"/>
        <v>2197.3715688381685</v>
      </c>
      <c r="AD59" s="2">
        <f t="shared" ca="1" si="49"/>
        <v>2586.2235833547579</v>
      </c>
      <c r="AE59" s="2">
        <f t="shared" ca="1" si="49"/>
        <v>2236.5525338762527</v>
      </c>
      <c r="AF59" s="2">
        <f t="shared" ca="1" si="49"/>
        <v>2547.9874743975852</v>
      </c>
      <c r="AG59" s="2">
        <f t="shared" ca="1" si="49"/>
        <v>2612.9981444011346</v>
      </c>
      <c r="AH59" s="2">
        <f t="shared" ca="1" si="49"/>
        <v>2523.6117732386551</v>
      </c>
    </row>
    <row r="60" spans="1:34">
      <c r="A60" t="str">
        <f t="shared" si="33"/>
        <v>Coffee</v>
      </c>
      <c r="B60" t="str">
        <f t="shared" si="37"/>
        <v>Amhara</v>
      </c>
      <c r="C60" s="2">
        <f t="shared" ca="1" si="47"/>
        <v>2871.7816876116476</v>
      </c>
      <c r="D60" s="2">
        <f t="shared" ca="1" si="47"/>
        <v>2351.5169976003067</v>
      </c>
      <c r="E60" s="2">
        <f t="shared" ca="1" si="47"/>
        <v>2225.1278821533738</v>
      </c>
      <c r="F60" s="2">
        <f t="shared" ca="1" si="47"/>
        <v>2566.9143284750903</v>
      </c>
      <c r="G60" s="2">
        <f t="shared" ca="1" si="47"/>
        <v>2043.6141619298478</v>
      </c>
      <c r="H60" s="2">
        <f t="shared" ca="1" si="47"/>
        <v>2811.3473052423637</v>
      </c>
      <c r="I60" s="2">
        <f t="shared" ca="1" si="47"/>
        <v>2119.5587925549198</v>
      </c>
      <c r="J60" s="2">
        <f t="shared" ca="1" si="47"/>
        <v>2960.4671851685366</v>
      </c>
      <c r="K60" s="2">
        <f t="shared" ca="1" si="47"/>
        <v>2496.9484758407202</v>
      </c>
      <c r="L60" s="2">
        <f t="shared" ca="1" si="47"/>
        <v>2858.0749157198256</v>
      </c>
      <c r="M60" s="2">
        <f t="shared" ca="1" si="48"/>
        <v>2120.6615320779351</v>
      </c>
      <c r="N60" s="2">
        <f t="shared" ca="1" si="48"/>
        <v>2125.291014335864</v>
      </c>
      <c r="O60" s="2">
        <f t="shared" ca="1" si="48"/>
        <v>2167.2015370428157</v>
      </c>
      <c r="P60" s="2">
        <f t="shared" ca="1" si="48"/>
        <v>2220.1584929431833</v>
      </c>
      <c r="Q60" s="2">
        <f t="shared" ca="1" si="48"/>
        <v>2363.2784368216735</v>
      </c>
      <c r="R60" s="2">
        <f t="shared" ca="1" si="48"/>
        <v>2771.2046648996748</v>
      </c>
      <c r="S60" s="2">
        <f t="shared" ca="1" si="48"/>
        <v>2859.1625049891127</v>
      </c>
      <c r="T60" s="2">
        <f t="shared" ca="1" si="48"/>
        <v>2220.8941180957272</v>
      </c>
      <c r="U60" s="2">
        <f t="shared" ca="1" si="48"/>
        <v>2418.1952861628106</v>
      </c>
      <c r="V60" s="2">
        <f t="shared" ca="1" si="48"/>
        <v>2627.3780397369846</v>
      </c>
      <c r="W60" s="2">
        <f t="shared" ca="1" si="49"/>
        <v>2861.3636517679151</v>
      </c>
      <c r="X60" s="2">
        <f t="shared" ca="1" si="49"/>
        <v>2320.5237743715038</v>
      </c>
      <c r="Y60" s="2">
        <f t="shared" ca="1" si="49"/>
        <v>2240.0593398559831</v>
      </c>
      <c r="Z60" s="2">
        <f t="shared" ca="1" si="49"/>
        <v>2847.5805233936817</v>
      </c>
      <c r="AA60" s="2">
        <f t="shared" ca="1" si="49"/>
        <v>2880.0173232356833</v>
      </c>
      <c r="AB60" s="2">
        <f t="shared" ca="1" si="49"/>
        <v>2635.5952284841992</v>
      </c>
      <c r="AC60" s="2">
        <f t="shared" ca="1" si="49"/>
        <v>2208.1633798961311</v>
      </c>
      <c r="AD60" s="2">
        <f t="shared" ca="1" si="49"/>
        <v>2046.6882061730871</v>
      </c>
      <c r="AE60" s="2">
        <f t="shared" ca="1" si="49"/>
        <v>2186.9715938753684</v>
      </c>
      <c r="AF60" s="2">
        <f t="shared" ca="1" si="49"/>
        <v>2360.8573811229321</v>
      </c>
      <c r="AG60" s="2">
        <f t="shared" ca="1" si="49"/>
        <v>2359.723556634578</v>
      </c>
      <c r="AH60" s="2">
        <f t="shared" ca="1" si="49"/>
        <v>2216.5291613561872</v>
      </c>
    </row>
    <row r="61" spans="1:34">
      <c r="A61" t="str">
        <f t="shared" si="33"/>
        <v>Coffee</v>
      </c>
      <c r="B61" t="str">
        <f t="shared" si="37"/>
        <v>Gumuz</v>
      </c>
      <c r="C61" s="2">
        <f t="shared" ca="1" si="47"/>
        <v>2146.6105879022616</v>
      </c>
      <c r="D61" s="2">
        <f t="shared" ca="1" si="47"/>
        <v>2057.2600499715154</v>
      </c>
      <c r="E61" s="2">
        <f t="shared" ca="1" si="47"/>
        <v>2130.0788549756462</v>
      </c>
      <c r="F61" s="2">
        <f t="shared" ca="1" si="47"/>
        <v>2406.0127378388415</v>
      </c>
      <c r="G61" s="2">
        <f t="shared" ca="1" si="47"/>
        <v>2885.1754404013282</v>
      </c>
      <c r="H61" s="2">
        <f t="shared" ca="1" si="47"/>
        <v>2975.7337768210396</v>
      </c>
      <c r="I61" s="2">
        <f t="shared" ca="1" si="47"/>
        <v>2555.2878201574326</v>
      </c>
      <c r="J61" s="2">
        <f t="shared" ca="1" si="47"/>
        <v>2693.3987930268904</v>
      </c>
      <c r="K61" s="2">
        <f t="shared" ca="1" si="47"/>
        <v>2460.0199195989694</v>
      </c>
      <c r="L61" s="2">
        <f t="shared" ca="1" si="47"/>
        <v>2245.9538688003895</v>
      </c>
      <c r="M61" s="2">
        <f t="shared" ca="1" si="48"/>
        <v>2473.7403486422909</v>
      </c>
      <c r="N61" s="2">
        <f t="shared" ca="1" si="48"/>
        <v>2079.734953256876</v>
      </c>
      <c r="O61" s="2">
        <f t="shared" ca="1" si="48"/>
        <v>2731.2142277467683</v>
      </c>
      <c r="P61" s="2">
        <f t="shared" ca="1" si="48"/>
        <v>2477.0747079070265</v>
      </c>
      <c r="Q61" s="2">
        <f t="shared" ca="1" si="48"/>
        <v>2221.9459540658859</v>
      </c>
      <c r="R61" s="2">
        <f t="shared" ca="1" si="48"/>
        <v>2120.7386994558356</v>
      </c>
      <c r="S61" s="2">
        <f t="shared" ca="1" si="48"/>
        <v>2092.7040562651146</v>
      </c>
      <c r="T61" s="2">
        <f t="shared" ca="1" si="48"/>
        <v>2929.5253702942186</v>
      </c>
      <c r="U61" s="2">
        <f t="shared" ca="1" si="48"/>
        <v>2100.9216984809905</v>
      </c>
      <c r="V61" s="2">
        <f t="shared" ca="1" si="48"/>
        <v>2211.521580719766</v>
      </c>
      <c r="W61" s="2">
        <f t="shared" ca="1" si="49"/>
        <v>2353.2230705948318</v>
      </c>
      <c r="X61" s="2">
        <f t="shared" ca="1" si="49"/>
        <v>2658.8536366254561</v>
      </c>
      <c r="Y61" s="2">
        <f t="shared" ca="1" si="49"/>
        <v>2813.4392659590685</v>
      </c>
      <c r="Z61" s="2">
        <f t="shared" ca="1" si="49"/>
        <v>2184.9196046921024</v>
      </c>
      <c r="AA61" s="2">
        <f t="shared" ca="1" si="49"/>
        <v>2870.0125096564693</v>
      </c>
      <c r="AB61" s="2">
        <f t="shared" ca="1" si="49"/>
        <v>2194.1577809551422</v>
      </c>
      <c r="AC61" s="2">
        <f t="shared" ca="1" si="49"/>
        <v>2888.1443977185618</v>
      </c>
      <c r="AD61" s="2">
        <f t="shared" ca="1" si="49"/>
        <v>2338.4941188720795</v>
      </c>
      <c r="AE61" s="2">
        <f t="shared" ca="1" si="49"/>
        <v>2791.5650737500205</v>
      </c>
      <c r="AF61" s="2">
        <f t="shared" ca="1" si="49"/>
        <v>2704.7399788477151</v>
      </c>
      <c r="AG61" s="2">
        <f t="shared" ca="1" si="49"/>
        <v>2062.2990448686769</v>
      </c>
      <c r="AH61" s="2">
        <f t="shared" ca="1" si="49"/>
        <v>2548.8158234122102</v>
      </c>
    </row>
    <row r="62" spans="1:34">
      <c r="A62" t="str">
        <f t="shared" si="33"/>
        <v>Coffee</v>
      </c>
      <c r="B62" t="str">
        <f t="shared" si="37"/>
        <v>DireDawa</v>
      </c>
      <c r="C62" s="2">
        <f t="shared" ca="1" si="47"/>
        <v>2433.7678336876243</v>
      </c>
      <c r="D62" s="2">
        <f t="shared" ca="1" si="47"/>
        <v>2133.2968588083922</v>
      </c>
      <c r="E62" s="2">
        <f t="shared" ca="1" si="47"/>
        <v>2599.6293283784198</v>
      </c>
      <c r="F62" s="2">
        <f t="shared" ca="1" si="47"/>
        <v>2060.1825173599782</v>
      </c>
      <c r="G62" s="2">
        <f t="shared" ca="1" si="47"/>
        <v>2592.4062903271174</v>
      </c>
      <c r="H62" s="2">
        <f t="shared" ca="1" si="47"/>
        <v>2210.5041785621602</v>
      </c>
      <c r="I62" s="2">
        <f t="shared" ca="1" si="47"/>
        <v>2603.874168869886</v>
      </c>
      <c r="J62" s="2">
        <f t="shared" ca="1" si="47"/>
        <v>2518.2526636028315</v>
      </c>
      <c r="K62" s="2">
        <f t="shared" ca="1" si="47"/>
        <v>2785.8079501519114</v>
      </c>
      <c r="L62" s="2">
        <f t="shared" ca="1" si="47"/>
        <v>2068.61332909659</v>
      </c>
      <c r="M62" s="2">
        <f t="shared" ca="1" si="48"/>
        <v>2925.258383696601</v>
      </c>
      <c r="N62" s="2">
        <f t="shared" ca="1" si="48"/>
        <v>2524.1633563311307</v>
      </c>
      <c r="O62" s="2">
        <f t="shared" ca="1" si="48"/>
        <v>2772.1631132402222</v>
      </c>
      <c r="P62" s="2">
        <f t="shared" ca="1" si="48"/>
        <v>2455.1297221887758</v>
      </c>
      <c r="Q62" s="2">
        <f t="shared" ca="1" si="48"/>
        <v>2292.9494919592089</v>
      </c>
      <c r="R62" s="2">
        <f t="shared" ca="1" si="48"/>
        <v>2246.9932784836501</v>
      </c>
      <c r="S62" s="2">
        <f t="shared" ca="1" si="48"/>
        <v>2193.1809732942056</v>
      </c>
      <c r="T62" s="2">
        <f t="shared" ca="1" si="48"/>
        <v>2357.8287682871351</v>
      </c>
      <c r="U62" s="2">
        <f t="shared" ca="1" si="48"/>
        <v>2899.6617495696933</v>
      </c>
      <c r="V62" s="2">
        <f t="shared" ca="1" si="48"/>
        <v>2113.5434265210738</v>
      </c>
      <c r="W62" s="2">
        <f t="shared" ca="1" si="49"/>
        <v>2430.448578122111</v>
      </c>
      <c r="X62" s="2">
        <f t="shared" ca="1" si="49"/>
        <v>2421.9610751242553</v>
      </c>
      <c r="Y62" s="2">
        <f t="shared" ca="1" si="49"/>
        <v>2506.2852251237273</v>
      </c>
      <c r="Z62" s="2">
        <f t="shared" ca="1" si="49"/>
        <v>2017.4489950046618</v>
      </c>
      <c r="AA62" s="2">
        <f t="shared" ca="1" si="49"/>
        <v>2755.8587562457587</v>
      </c>
      <c r="AB62" s="2">
        <f t="shared" ca="1" si="49"/>
        <v>2170.125284668241</v>
      </c>
      <c r="AC62" s="2">
        <f t="shared" ca="1" si="49"/>
        <v>2414.984185133525</v>
      </c>
      <c r="AD62" s="2">
        <f t="shared" ca="1" si="49"/>
        <v>2719.2304277637641</v>
      </c>
      <c r="AE62" s="2">
        <f t="shared" ca="1" si="49"/>
        <v>2153.1409323685057</v>
      </c>
      <c r="AF62" s="2">
        <f t="shared" ca="1" si="49"/>
        <v>2723.4055415737107</v>
      </c>
      <c r="AG62" s="2">
        <f t="shared" ca="1" si="49"/>
        <v>2928.9639812078312</v>
      </c>
      <c r="AH62" s="2">
        <f t="shared" ca="1" si="49"/>
        <v>2827.4344135412725</v>
      </c>
    </row>
    <row r="63" spans="1:34">
      <c r="A63" t="str">
        <f t="shared" si="33"/>
        <v>Coffee</v>
      </c>
      <c r="B63" t="str">
        <f t="shared" si="37"/>
        <v>Gambela</v>
      </c>
      <c r="C63" s="2">
        <f t="shared" ca="1" si="47"/>
        <v>2896.7260646238046</v>
      </c>
      <c r="D63" s="2">
        <f t="shared" ca="1" si="47"/>
        <v>2454.2035585083422</v>
      </c>
      <c r="E63" s="2">
        <f t="shared" ca="1" si="47"/>
        <v>2249.7507406467967</v>
      </c>
      <c r="F63" s="2">
        <f t="shared" ca="1" si="47"/>
        <v>2012.3804505159114</v>
      </c>
      <c r="G63" s="2">
        <f t="shared" ca="1" si="47"/>
        <v>2684.4271602363638</v>
      </c>
      <c r="H63" s="2">
        <f t="shared" ca="1" si="47"/>
        <v>2950.7366063591589</v>
      </c>
      <c r="I63" s="2">
        <f t="shared" ca="1" si="47"/>
        <v>2816.6213062164061</v>
      </c>
      <c r="J63" s="2">
        <f t="shared" ca="1" si="47"/>
        <v>2345.231267176187</v>
      </c>
      <c r="K63" s="2">
        <f t="shared" ca="1" si="47"/>
        <v>2818.541534045667</v>
      </c>
      <c r="L63" s="2">
        <f t="shared" ca="1" si="47"/>
        <v>2926.4310911850157</v>
      </c>
      <c r="M63" s="2">
        <f t="shared" ca="1" si="48"/>
        <v>2984.0888223039128</v>
      </c>
      <c r="N63" s="2">
        <f t="shared" ca="1" si="48"/>
        <v>2740.1207226263214</v>
      </c>
      <c r="O63" s="2">
        <f t="shared" ca="1" si="48"/>
        <v>2685.7690462214305</v>
      </c>
      <c r="P63" s="2">
        <f t="shared" ca="1" si="48"/>
        <v>2393.8430138511412</v>
      </c>
      <c r="Q63" s="2">
        <f t="shared" ca="1" si="48"/>
        <v>2681.1076288209301</v>
      </c>
      <c r="R63" s="2">
        <f t="shared" ca="1" si="48"/>
        <v>2605.5174201598747</v>
      </c>
      <c r="S63" s="2">
        <f t="shared" ca="1" si="48"/>
        <v>2924.3405117311995</v>
      </c>
      <c r="T63" s="2">
        <f t="shared" ca="1" si="48"/>
        <v>2411.3072062068545</v>
      </c>
      <c r="U63" s="2">
        <f t="shared" ca="1" si="48"/>
        <v>2709.7974995636132</v>
      </c>
      <c r="V63" s="2">
        <f t="shared" ca="1" si="48"/>
        <v>2420.9698326372018</v>
      </c>
      <c r="W63" s="2">
        <f t="shared" ca="1" si="49"/>
        <v>2283.0167384895567</v>
      </c>
      <c r="X63" s="2">
        <f t="shared" ca="1" si="49"/>
        <v>2173.5086852480758</v>
      </c>
      <c r="Y63" s="2">
        <f t="shared" ca="1" si="49"/>
        <v>2170.9043174828848</v>
      </c>
      <c r="Z63" s="2">
        <f t="shared" ca="1" si="49"/>
        <v>2415.6590310881415</v>
      </c>
      <c r="AA63" s="2">
        <f t="shared" ca="1" si="49"/>
        <v>2808.5622420338896</v>
      </c>
      <c r="AB63" s="2">
        <f t="shared" ca="1" si="49"/>
        <v>2905.5720767730691</v>
      </c>
      <c r="AC63" s="2">
        <f t="shared" ca="1" si="49"/>
        <v>2908.6400361966162</v>
      </c>
      <c r="AD63" s="2">
        <f t="shared" ca="1" si="49"/>
        <v>2960.8547401289848</v>
      </c>
      <c r="AE63" s="2">
        <f t="shared" ca="1" si="49"/>
        <v>2332.9275665341233</v>
      </c>
      <c r="AF63" s="2">
        <f t="shared" ca="1" si="49"/>
        <v>2906.3569395380937</v>
      </c>
      <c r="AG63" s="2">
        <f t="shared" ca="1" si="49"/>
        <v>2689.3266965833291</v>
      </c>
      <c r="AH63" s="2">
        <f t="shared" ca="1" si="49"/>
        <v>2620.0866376365602</v>
      </c>
    </row>
    <row r="64" spans="1:34">
      <c r="A64" t="str">
        <f t="shared" si="33"/>
        <v>Coffee</v>
      </c>
      <c r="B64" t="str">
        <f t="shared" si="37"/>
        <v>Harari</v>
      </c>
      <c r="C64" s="2">
        <f t="shared" ca="1" si="47"/>
        <v>2559.557861866926</v>
      </c>
      <c r="D64" s="2">
        <f t="shared" ca="1" si="47"/>
        <v>2206.8361945021175</v>
      </c>
      <c r="E64" s="2">
        <f t="shared" ca="1" si="47"/>
        <v>2772.5155150252631</v>
      </c>
      <c r="F64" s="2">
        <f t="shared" ca="1" si="47"/>
        <v>2757.1878367650725</v>
      </c>
      <c r="G64" s="2">
        <f t="shared" ca="1" si="47"/>
        <v>2571.0235104918966</v>
      </c>
      <c r="H64" s="2">
        <f t="shared" ca="1" si="47"/>
        <v>2424.9676685602371</v>
      </c>
      <c r="I64" s="2">
        <f t="shared" ca="1" si="47"/>
        <v>2229.6776261764226</v>
      </c>
      <c r="J64" s="2">
        <f t="shared" ca="1" si="47"/>
        <v>2721.5273892722953</v>
      </c>
      <c r="K64" s="2">
        <f t="shared" ca="1" si="47"/>
        <v>2882.9313856257113</v>
      </c>
      <c r="L64" s="2">
        <f t="shared" ca="1" si="47"/>
        <v>2608.4432050373721</v>
      </c>
      <c r="M64" s="2">
        <f t="shared" ca="1" si="48"/>
        <v>2958.5463864740609</v>
      </c>
      <c r="N64" s="2">
        <f t="shared" ca="1" si="48"/>
        <v>2889.2083300722716</v>
      </c>
      <c r="O64" s="2">
        <f t="shared" ca="1" si="48"/>
        <v>2000.8256222818522</v>
      </c>
      <c r="P64" s="2">
        <f t="shared" ca="1" si="48"/>
        <v>2621.9578498143114</v>
      </c>
      <c r="Q64" s="2">
        <f t="shared" ca="1" si="48"/>
        <v>2875.7432574319446</v>
      </c>
      <c r="R64" s="2">
        <f t="shared" ca="1" si="48"/>
        <v>2657.7314523281975</v>
      </c>
      <c r="S64" s="2">
        <f t="shared" ca="1" si="48"/>
        <v>2756.8621170649981</v>
      </c>
      <c r="T64" s="2">
        <f t="shared" ca="1" si="48"/>
        <v>2399.256535595222</v>
      </c>
      <c r="U64" s="2">
        <f t="shared" ca="1" si="48"/>
        <v>2899.5392534428056</v>
      </c>
      <c r="V64" s="2">
        <f t="shared" ca="1" si="48"/>
        <v>2302.9963500129634</v>
      </c>
      <c r="W64" s="2">
        <f t="shared" ca="1" si="49"/>
        <v>2713.813852044475</v>
      </c>
      <c r="X64" s="2">
        <f t="shared" ca="1" si="49"/>
        <v>2904.506771223846</v>
      </c>
      <c r="Y64" s="2">
        <f t="shared" ca="1" si="49"/>
        <v>2841.4813542837728</v>
      </c>
      <c r="Z64" s="2">
        <f t="shared" ca="1" si="49"/>
        <v>2499.7086638001711</v>
      </c>
      <c r="AA64" s="2">
        <f t="shared" ca="1" si="49"/>
        <v>2670.5432232255698</v>
      </c>
      <c r="AB64" s="2">
        <f t="shared" ca="1" si="49"/>
        <v>2143.7451968303644</v>
      </c>
      <c r="AC64" s="2">
        <f t="shared" ca="1" si="49"/>
        <v>2909.5085258237386</v>
      </c>
      <c r="AD64" s="2">
        <f t="shared" ca="1" si="49"/>
        <v>2618.1777578458032</v>
      </c>
      <c r="AE64" s="2">
        <f t="shared" ca="1" si="49"/>
        <v>2534.3024819704647</v>
      </c>
      <c r="AF64" s="2">
        <f t="shared" ca="1" si="49"/>
        <v>2446.4021286725283</v>
      </c>
      <c r="AG64" s="2">
        <f t="shared" ca="1" si="49"/>
        <v>2477.2666477638363</v>
      </c>
      <c r="AH64" s="2">
        <f t="shared" ca="1" si="49"/>
        <v>2941.1730543884969</v>
      </c>
    </row>
    <row r="65" spans="1:34">
      <c r="A65" t="str">
        <f t="shared" si="33"/>
        <v>Coffee</v>
      </c>
      <c r="B65" t="str">
        <f t="shared" si="37"/>
        <v>Oromia</v>
      </c>
      <c r="C65" s="2">
        <f t="shared" ca="1" si="47"/>
        <v>2341.295381231585</v>
      </c>
      <c r="D65" s="2">
        <f t="shared" ca="1" si="47"/>
        <v>2589.0521213741044</v>
      </c>
      <c r="E65" s="2">
        <f t="shared" ca="1" si="47"/>
        <v>2154.3204934003656</v>
      </c>
      <c r="F65" s="2">
        <f t="shared" ca="1" si="47"/>
        <v>2189.4959931926942</v>
      </c>
      <c r="G65" s="2">
        <f t="shared" ca="1" si="47"/>
        <v>2082.9180775532973</v>
      </c>
      <c r="H65" s="2">
        <f t="shared" ca="1" si="47"/>
        <v>2813.9111221939484</v>
      </c>
      <c r="I65" s="2">
        <f t="shared" ca="1" si="47"/>
        <v>2948.4404305364797</v>
      </c>
      <c r="J65" s="2">
        <f t="shared" ca="1" si="47"/>
        <v>2284.7925737641067</v>
      </c>
      <c r="K65" s="2">
        <f t="shared" ca="1" si="47"/>
        <v>2887.724605431235</v>
      </c>
      <c r="L65" s="2">
        <f t="shared" ca="1" si="47"/>
        <v>2964.3323946499772</v>
      </c>
      <c r="M65" s="2">
        <f t="shared" ca="1" si="48"/>
        <v>2232.1745732639456</v>
      </c>
      <c r="N65" s="2">
        <f t="shared" ca="1" si="48"/>
        <v>2386.5036385193835</v>
      </c>
      <c r="O65" s="2">
        <f t="shared" ca="1" si="48"/>
        <v>2320.1354376445433</v>
      </c>
      <c r="P65" s="2">
        <f t="shared" ca="1" si="48"/>
        <v>2611.2955385846753</v>
      </c>
      <c r="Q65" s="2">
        <f t="shared" ca="1" si="48"/>
        <v>2052.0146127566995</v>
      </c>
      <c r="R65" s="2">
        <f t="shared" ca="1" si="48"/>
        <v>2268.8751726740165</v>
      </c>
      <c r="S65" s="2">
        <f t="shared" ca="1" si="48"/>
        <v>2188.9858095202767</v>
      </c>
      <c r="T65" s="2">
        <f t="shared" ca="1" si="48"/>
        <v>2793.9338780008993</v>
      </c>
      <c r="U65" s="2">
        <f t="shared" ca="1" si="48"/>
        <v>2475.5606366121751</v>
      </c>
      <c r="V65" s="2">
        <f t="shared" ca="1" si="48"/>
        <v>2776.0617730392541</v>
      </c>
      <c r="W65" s="2">
        <f t="shared" ca="1" si="49"/>
        <v>2113.125197430606</v>
      </c>
      <c r="X65" s="2">
        <f t="shared" ca="1" si="49"/>
        <v>2115.4862426498298</v>
      </c>
      <c r="Y65" s="2">
        <f t="shared" ca="1" si="49"/>
        <v>2288.473001168345</v>
      </c>
      <c r="Z65" s="2">
        <f t="shared" ca="1" si="49"/>
        <v>2223.2439560399557</v>
      </c>
      <c r="AA65" s="2">
        <f t="shared" ca="1" si="49"/>
        <v>2972.5902905720613</v>
      </c>
      <c r="AB65" s="2">
        <f t="shared" ca="1" si="49"/>
        <v>2441.5720475313669</v>
      </c>
      <c r="AC65" s="2">
        <f t="shared" ca="1" si="49"/>
        <v>2396.6581604975549</v>
      </c>
      <c r="AD65" s="2">
        <f t="shared" ca="1" si="49"/>
        <v>2644.9631005255378</v>
      </c>
      <c r="AE65" s="2">
        <f t="shared" ca="1" si="49"/>
        <v>2219.7116760786798</v>
      </c>
      <c r="AF65" s="2">
        <f t="shared" ca="1" si="49"/>
        <v>2634.7778049472008</v>
      </c>
      <c r="AG65" s="2">
        <f t="shared" ca="1" si="49"/>
        <v>2047.2738746114544</v>
      </c>
      <c r="AH65" s="2">
        <f t="shared" ca="1" si="49"/>
        <v>2487.5372012366197</v>
      </c>
    </row>
    <row r="66" spans="1:34">
      <c r="A66" t="str">
        <f t="shared" si="33"/>
        <v>Coffee</v>
      </c>
      <c r="B66" t="str">
        <f t="shared" si="37"/>
        <v>Somali</v>
      </c>
      <c r="C66" s="2">
        <f t="shared" ca="1" si="47"/>
        <v>2356.5759047597057</v>
      </c>
      <c r="D66" s="2">
        <f t="shared" ca="1" si="47"/>
        <v>2814.3860517172261</v>
      </c>
      <c r="E66" s="2">
        <f t="shared" ca="1" si="47"/>
        <v>2371.9068861726732</v>
      </c>
      <c r="F66" s="2">
        <f t="shared" ca="1" si="47"/>
        <v>2766.148373487953</v>
      </c>
      <c r="G66" s="2">
        <f t="shared" ca="1" si="47"/>
        <v>2003.5541105417037</v>
      </c>
      <c r="H66" s="2">
        <f t="shared" ca="1" si="47"/>
        <v>2611.1966128854333</v>
      </c>
      <c r="I66" s="2">
        <f t="shared" ca="1" si="47"/>
        <v>2228.6251404518807</v>
      </c>
      <c r="J66" s="2">
        <f t="shared" ca="1" si="47"/>
        <v>2551.6655474016061</v>
      </c>
      <c r="K66" s="2">
        <f t="shared" ca="1" si="47"/>
        <v>2945.2955058655007</v>
      </c>
      <c r="L66" s="2">
        <f t="shared" ca="1" si="47"/>
        <v>2117.8939987054441</v>
      </c>
      <c r="M66" s="2">
        <f t="shared" ca="1" si="48"/>
        <v>2016.0078130195147</v>
      </c>
      <c r="N66" s="2">
        <f t="shared" ca="1" si="48"/>
        <v>2457.1015503593117</v>
      </c>
      <c r="O66" s="2">
        <f t="shared" ca="1" si="48"/>
        <v>2182.6682726451954</v>
      </c>
      <c r="P66" s="2">
        <f t="shared" ca="1" si="48"/>
        <v>2056.5590001387727</v>
      </c>
      <c r="Q66" s="2">
        <f t="shared" ca="1" si="48"/>
        <v>2884.1977212197953</v>
      </c>
      <c r="R66" s="2">
        <f t="shared" ca="1" si="48"/>
        <v>2017.1974194964077</v>
      </c>
      <c r="S66" s="2">
        <f t="shared" ca="1" si="48"/>
        <v>2801.7379387259816</v>
      </c>
      <c r="T66" s="2">
        <f t="shared" ca="1" si="48"/>
        <v>2788.1231508996498</v>
      </c>
      <c r="U66" s="2">
        <f t="shared" ca="1" si="48"/>
        <v>2882.9738571908642</v>
      </c>
      <c r="V66" s="2">
        <f t="shared" ca="1" si="48"/>
        <v>2191.4203702241693</v>
      </c>
      <c r="W66" s="2">
        <f t="shared" ca="1" si="49"/>
        <v>2588.3831564653269</v>
      </c>
      <c r="X66" s="2">
        <f t="shared" ca="1" si="49"/>
        <v>2501.1365229181069</v>
      </c>
      <c r="Y66" s="2">
        <f t="shared" ca="1" si="49"/>
        <v>2783.3920926044625</v>
      </c>
      <c r="Z66" s="2">
        <f t="shared" ca="1" si="49"/>
        <v>2960.3183061339696</v>
      </c>
      <c r="AA66" s="2">
        <f t="shared" ca="1" si="49"/>
        <v>2656.5874980643748</v>
      </c>
      <c r="AB66" s="2">
        <f t="shared" ca="1" si="49"/>
        <v>2092.8982304506258</v>
      </c>
      <c r="AC66" s="2">
        <f t="shared" ca="1" si="49"/>
        <v>2286.8958821164952</v>
      </c>
      <c r="AD66" s="2">
        <f t="shared" ca="1" si="49"/>
        <v>2466.240845373808</v>
      </c>
      <c r="AE66" s="2">
        <f t="shared" ca="1" si="49"/>
        <v>2289.8704498751536</v>
      </c>
      <c r="AF66" s="2">
        <f t="shared" ca="1" si="49"/>
        <v>2365.4622184404125</v>
      </c>
      <c r="AG66" s="2">
        <f t="shared" ca="1" si="49"/>
        <v>2264.3243733529016</v>
      </c>
      <c r="AH66" s="2">
        <f t="shared" ca="1" si="49"/>
        <v>2776.0002433954533</v>
      </c>
    </row>
    <row r="67" spans="1:34">
      <c r="A67" t="str">
        <f t="shared" si="33"/>
        <v>Coffee</v>
      </c>
      <c r="B67" t="str">
        <f t="shared" si="37"/>
        <v>SNNPR</v>
      </c>
      <c r="C67" s="2">
        <f t="shared" ca="1" si="47"/>
        <v>2228.2081642956196</v>
      </c>
      <c r="D67" s="2">
        <f t="shared" ca="1" si="47"/>
        <v>2961.0842811316725</v>
      </c>
      <c r="E67" s="2">
        <f t="shared" ca="1" si="47"/>
        <v>2513.0036016787371</v>
      </c>
      <c r="F67" s="2">
        <f t="shared" ca="1" si="47"/>
        <v>2102.085221849296</v>
      </c>
      <c r="G67" s="2">
        <f t="shared" ca="1" si="47"/>
        <v>2790.9882011271075</v>
      </c>
      <c r="H67" s="2">
        <f t="shared" ca="1" si="47"/>
        <v>2353.4179966195402</v>
      </c>
      <c r="I67" s="2">
        <f t="shared" ca="1" si="47"/>
        <v>2819.1827888754706</v>
      </c>
      <c r="J67" s="2">
        <f t="shared" ca="1" si="47"/>
        <v>2687.2081845648936</v>
      </c>
      <c r="K67" s="2">
        <f t="shared" ca="1" si="47"/>
        <v>2683.9766466521014</v>
      </c>
      <c r="L67" s="2">
        <f t="shared" ca="1" si="47"/>
        <v>2921.0514916960601</v>
      </c>
      <c r="M67" s="2">
        <f t="shared" ca="1" si="48"/>
        <v>2747.3069095699129</v>
      </c>
      <c r="N67" s="2">
        <f t="shared" ca="1" si="48"/>
        <v>2753.8251792653109</v>
      </c>
      <c r="O67" s="2">
        <f t="shared" ca="1" si="48"/>
        <v>2063.3124718316594</v>
      </c>
      <c r="P67" s="2">
        <f t="shared" ca="1" si="48"/>
        <v>2965.2202271457609</v>
      </c>
      <c r="Q67" s="2">
        <f t="shared" ca="1" si="48"/>
        <v>2850.2664597202324</v>
      </c>
      <c r="R67" s="2">
        <f t="shared" ca="1" si="48"/>
        <v>2052.482401112798</v>
      </c>
      <c r="S67" s="2">
        <f t="shared" ca="1" si="48"/>
        <v>2038.9949519712964</v>
      </c>
      <c r="T67" s="2">
        <f t="shared" ca="1" si="48"/>
        <v>2783.5748692296502</v>
      </c>
      <c r="U67" s="2">
        <f t="shared" ca="1" si="48"/>
        <v>2323.6992668924913</v>
      </c>
      <c r="V67" s="2">
        <f t="shared" ca="1" si="48"/>
        <v>2163.8051430783808</v>
      </c>
      <c r="W67" s="2">
        <f t="shared" ca="1" si="49"/>
        <v>2730.8925912774835</v>
      </c>
      <c r="X67" s="2">
        <f t="shared" ca="1" si="49"/>
        <v>2225.6328228002762</v>
      </c>
      <c r="Y67" s="2">
        <f t="shared" ca="1" si="49"/>
        <v>2446.6414888617492</v>
      </c>
      <c r="Z67" s="2">
        <f t="shared" ca="1" si="49"/>
        <v>2278.1763367713388</v>
      </c>
      <c r="AA67" s="2">
        <f t="shared" ca="1" si="49"/>
        <v>2075.8311631082261</v>
      </c>
      <c r="AB67" s="2">
        <f t="shared" ca="1" si="49"/>
        <v>2010.8699969705333</v>
      </c>
      <c r="AC67" s="2">
        <f t="shared" ca="1" si="49"/>
        <v>2581.8484302809393</v>
      </c>
      <c r="AD67" s="2">
        <f t="shared" ca="1" si="49"/>
        <v>2433.8254532845858</v>
      </c>
      <c r="AE67" s="2">
        <f t="shared" ca="1" si="49"/>
        <v>2742.0838332845192</v>
      </c>
      <c r="AF67" s="2">
        <f t="shared" ca="1" si="49"/>
        <v>2080.598621825483</v>
      </c>
      <c r="AG67" s="2">
        <f t="shared" ca="1" si="49"/>
        <v>2483.4107206507942</v>
      </c>
      <c r="AH67" s="2">
        <f t="shared" ca="1" si="49"/>
        <v>2018.1620288186059</v>
      </c>
    </row>
    <row r="68" spans="1:34">
      <c r="A68" t="str">
        <f t="shared" si="33"/>
        <v>Coffee</v>
      </c>
      <c r="B68" t="str">
        <f t="shared" si="37"/>
        <v>Tigray</v>
      </c>
      <c r="C68" s="2">
        <f t="shared" ca="1" si="47"/>
        <v>2162.3539664389555</v>
      </c>
      <c r="D68" s="2">
        <f t="shared" ca="1" si="47"/>
        <v>2104.4891737744424</v>
      </c>
      <c r="E68" s="2">
        <f t="shared" ca="1" si="47"/>
        <v>2252.4101623523684</v>
      </c>
      <c r="F68" s="2">
        <f t="shared" ca="1" si="47"/>
        <v>2887.0330338342583</v>
      </c>
      <c r="G68" s="2">
        <f t="shared" ca="1" si="47"/>
        <v>2846.8532395385291</v>
      </c>
      <c r="H68" s="2">
        <f t="shared" ca="1" si="47"/>
        <v>2238.9525279932532</v>
      </c>
      <c r="I68" s="2">
        <f t="shared" ca="1" si="47"/>
        <v>2994.0810863647912</v>
      </c>
      <c r="J68" s="2">
        <f t="shared" ca="1" si="47"/>
        <v>2170.7547685262125</v>
      </c>
      <c r="K68" s="2">
        <f t="shared" ca="1" si="47"/>
        <v>2602.0124333477697</v>
      </c>
      <c r="L68" s="2">
        <f t="shared" ca="1" si="47"/>
        <v>2625.9424783212967</v>
      </c>
      <c r="M68" s="2">
        <f t="shared" ca="1" si="48"/>
        <v>2964.3112135501674</v>
      </c>
      <c r="N68" s="2">
        <f t="shared" ca="1" si="48"/>
        <v>2237.5251555147584</v>
      </c>
      <c r="O68" s="2">
        <f t="shared" ca="1" si="48"/>
        <v>2190.2008916814834</v>
      </c>
      <c r="P68" s="2">
        <f t="shared" ca="1" si="48"/>
        <v>2700.1627639626658</v>
      </c>
      <c r="Q68" s="2">
        <f t="shared" ca="1" si="48"/>
        <v>2956.626390538695</v>
      </c>
      <c r="R68" s="2">
        <f t="shared" ca="1" si="48"/>
        <v>2894.4445913151831</v>
      </c>
      <c r="S68" s="2">
        <f t="shared" ca="1" si="48"/>
        <v>2927.4465754151615</v>
      </c>
      <c r="T68" s="2">
        <f t="shared" ca="1" si="48"/>
        <v>2532.1160651363739</v>
      </c>
      <c r="U68" s="2">
        <f t="shared" ca="1" si="48"/>
        <v>2111.3987234908168</v>
      </c>
      <c r="V68" s="2">
        <f t="shared" ca="1" si="48"/>
        <v>2378.1445813514529</v>
      </c>
      <c r="W68" s="2">
        <f t="shared" ca="1" si="49"/>
        <v>2995.0814813084658</v>
      </c>
      <c r="X68" s="2">
        <f t="shared" ca="1" si="49"/>
        <v>2998.480545621806</v>
      </c>
      <c r="Y68" s="2">
        <f t="shared" ca="1" si="49"/>
        <v>2496.4295247592986</v>
      </c>
      <c r="Z68" s="2">
        <f t="shared" ca="1" si="49"/>
        <v>2442.836987124404</v>
      </c>
      <c r="AA68" s="2">
        <f t="shared" ca="1" si="49"/>
        <v>2759.6626130306113</v>
      </c>
      <c r="AB68" s="2">
        <f t="shared" ca="1" si="49"/>
        <v>2783.5213839232811</v>
      </c>
      <c r="AC68" s="2">
        <f t="shared" ca="1" si="49"/>
        <v>2486.3941313774708</v>
      </c>
      <c r="AD68" s="2">
        <f t="shared" ca="1" si="49"/>
        <v>2696.8853647256851</v>
      </c>
      <c r="AE68" s="2">
        <f t="shared" ca="1" si="49"/>
        <v>2324.7554295399786</v>
      </c>
      <c r="AF68" s="2">
        <f t="shared" ca="1" si="49"/>
        <v>2450.6812666613059</v>
      </c>
      <c r="AG68" s="2">
        <f t="shared" ca="1" si="49"/>
        <v>2064.3890716482083</v>
      </c>
      <c r="AH68" s="2">
        <f t="shared" ca="1" si="49"/>
        <v>2874.8751718523454</v>
      </c>
    </row>
    <row r="69" spans="1:34">
      <c r="A69" t="str">
        <f t="shared" si="33"/>
        <v>Beef</v>
      </c>
      <c r="B69" t="str">
        <f t="shared" si="37"/>
        <v>AddisAbaba</v>
      </c>
      <c r="C69" s="2">
        <f t="shared" ref="C69:R84" ca="1" si="50">((RAND()*1+2)*100)*10</f>
        <v>2207.6857222657063</v>
      </c>
      <c r="D69" s="2">
        <f t="shared" ca="1" si="50"/>
        <v>2432.0834381616269</v>
      </c>
      <c r="E69" s="2">
        <f t="shared" ca="1" si="50"/>
        <v>2079.7935414981125</v>
      </c>
      <c r="F69" s="2">
        <f t="shared" ca="1" si="50"/>
        <v>2269.8708017273211</v>
      </c>
      <c r="G69" s="2">
        <f t="shared" ca="1" si="50"/>
        <v>2986.018066314813</v>
      </c>
      <c r="H69" s="2">
        <f t="shared" ca="1" si="50"/>
        <v>2617.440845990729</v>
      </c>
      <c r="I69" s="2">
        <f t="shared" ca="1" si="50"/>
        <v>2169.2456732990231</v>
      </c>
      <c r="J69" s="2">
        <f t="shared" ca="1" si="50"/>
        <v>2127.5294762699887</v>
      </c>
      <c r="K69" s="2">
        <f t="shared" ca="1" si="50"/>
        <v>2898.7938865162305</v>
      </c>
      <c r="L69" s="2">
        <f t="shared" ca="1" si="50"/>
        <v>2994.3372209335398</v>
      </c>
      <c r="M69" s="2">
        <f t="shared" ca="1" si="50"/>
        <v>2499.1259875901769</v>
      </c>
      <c r="N69" s="2">
        <f t="shared" ca="1" si="50"/>
        <v>2795.7648869576674</v>
      </c>
      <c r="O69" s="2">
        <f t="shared" ca="1" si="50"/>
        <v>2646.9753601868624</v>
      </c>
      <c r="P69" s="2">
        <f t="shared" ca="1" si="50"/>
        <v>2286.0451503123477</v>
      </c>
      <c r="Q69" s="2">
        <f t="shared" ca="1" si="50"/>
        <v>2753.7409974444063</v>
      </c>
      <c r="R69" s="2">
        <f t="shared" ca="1" si="50"/>
        <v>2159.2071885876421</v>
      </c>
      <c r="S69" s="2">
        <f t="shared" ref="S69:AH84" ca="1" si="51">((RAND()*1+2)*100)*10</f>
        <v>2468.8164815350419</v>
      </c>
      <c r="T69" s="2">
        <f t="shared" ca="1" si="51"/>
        <v>2313.3646887037767</v>
      </c>
      <c r="U69" s="2">
        <f t="shared" ca="1" si="51"/>
        <v>2538.8448780390891</v>
      </c>
      <c r="V69" s="2">
        <f t="shared" ca="1" si="51"/>
        <v>2874.8702230860754</v>
      </c>
      <c r="W69" s="2">
        <f t="shared" ca="1" si="51"/>
        <v>2394.1580280883136</v>
      </c>
      <c r="X69" s="2">
        <f t="shared" ca="1" si="51"/>
        <v>2348.8864321719234</v>
      </c>
      <c r="Y69" s="2">
        <f t="shared" ca="1" si="51"/>
        <v>2202.4999214180903</v>
      </c>
      <c r="Z69" s="2">
        <f t="shared" ca="1" si="51"/>
        <v>2415.5737084688212</v>
      </c>
      <c r="AA69" s="2">
        <f t="shared" ca="1" si="51"/>
        <v>2186.3309825571268</v>
      </c>
      <c r="AB69" s="2">
        <f t="shared" ca="1" si="51"/>
        <v>2027.7625064840831</v>
      </c>
      <c r="AC69" s="2">
        <f t="shared" ca="1" si="51"/>
        <v>2585.76642670499</v>
      </c>
      <c r="AD69" s="2">
        <f t="shared" ca="1" si="51"/>
        <v>2013.261861717499</v>
      </c>
      <c r="AE69" s="2">
        <f t="shared" ca="1" si="51"/>
        <v>2764.6520292224773</v>
      </c>
      <c r="AF69" s="2">
        <f t="shared" ca="1" si="51"/>
        <v>2299.3954294328473</v>
      </c>
      <c r="AG69" s="2">
        <f t="shared" ca="1" si="51"/>
        <v>2577.1952102004652</v>
      </c>
      <c r="AH69" s="2">
        <f t="shared" ca="1" si="51"/>
        <v>2000.685558183744</v>
      </c>
    </row>
    <row r="70" spans="1:34">
      <c r="A70" t="str">
        <f t="shared" si="33"/>
        <v>Beef</v>
      </c>
      <c r="B70" t="str">
        <f t="shared" si="37"/>
        <v>Afar</v>
      </c>
      <c r="C70" s="2">
        <f t="shared" ca="1" si="50"/>
        <v>2886.3854200772316</v>
      </c>
      <c r="D70" s="2">
        <f t="shared" ca="1" si="50"/>
        <v>2765.0315314448026</v>
      </c>
      <c r="E70" s="2">
        <f t="shared" ca="1" si="50"/>
        <v>2564.9574561492132</v>
      </c>
      <c r="F70" s="2">
        <f t="shared" ca="1" si="50"/>
        <v>2979.9609874381586</v>
      </c>
      <c r="G70" s="2">
        <f t="shared" ca="1" si="50"/>
        <v>2082.8379809989838</v>
      </c>
      <c r="H70" s="2">
        <f t="shared" ca="1" si="50"/>
        <v>2052.6078838483327</v>
      </c>
      <c r="I70" s="2">
        <f t="shared" ca="1" si="50"/>
        <v>2861.458993174092</v>
      </c>
      <c r="J70" s="2">
        <f t="shared" ca="1" si="50"/>
        <v>2865.4948230725263</v>
      </c>
      <c r="K70" s="2">
        <f t="shared" ca="1" si="50"/>
        <v>2482.5890844582377</v>
      </c>
      <c r="L70" s="2">
        <f t="shared" ca="1" si="50"/>
        <v>2595.8567185383972</v>
      </c>
      <c r="M70" s="2">
        <f t="shared" ca="1" si="50"/>
        <v>2295.6041720463468</v>
      </c>
      <c r="N70" s="2">
        <f t="shared" ca="1" si="50"/>
        <v>2655.0560083885566</v>
      </c>
      <c r="O70" s="2">
        <f t="shared" ca="1" si="50"/>
        <v>2875.4183189776809</v>
      </c>
      <c r="P70" s="2">
        <f t="shared" ca="1" si="50"/>
        <v>2964.3184134970898</v>
      </c>
      <c r="Q70" s="2">
        <f t="shared" ca="1" si="50"/>
        <v>2113.1910631910664</v>
      </c>
      <c r="R70" s="2">
        <f t="shared" ca="1" si="50"/>
        <v>2510.8786083177447</v>
      </c>
      <c r="S70" s="2">
        <f t="shared" ca="1" si="51"/>
        <v>2864.0633359738013</v>
      </c>
      <c r="T70" s="2">
        <f t="shared" ca="1" si="51"/>
        <v>2667.8044237240665</v>
      </c>
      <c r="U70" s="2">
        <f t="shared" ca="1" si="51"/>
        <v>2350.1711483069803</v>
      </c>
      <c r="V70" s="2">
        <f t="shared" ca="1" si="51"/>
        <v>2824.9507798213021</v>
      </c>
      <c r="W70" s="2">
        <f t="shared" ca="1" si="51"/>
        <v>2558.6862463398352</v>
      </c>
      <c r="X70" s="2">
        <f t="shared" ca="1" si="51"/>
        <v>2219.7519895722198</v>
      </c>
      <c r="Y70" s="2">
        <f t="shared" ca="1" si="51"/>
        <v>2449.6174998502865</v>
      </c>
      <c r="Z70" s="2">
        <f t="shared" ca="1" si="51"/>
        <v>2648.0434609881354</v>
      </c>
      <c r="AA70" s="2">
        <f t="shared" ca="1" si="51"/>
        <v>2257.0732914442269</v>
      </c>
      <c r="AB70" s="2">
        <f t="shared" ca="1" si="51"/>
        <v>2775.7888043498974</v>
      </c>
      <c r="AC70" s="2">
        <f t="shared" ca="1" si="51"/>
        <v>2270.5478988420459</v>
      </c>
      <c r="AD70" s="2">
        <f t="shared" ca="1" si="51"/>
        <v>2734.5124174319267</v>
      </c>
      <c r="AE70" s="2">
        <f t="shared" ca="1" si="51"/>
        <v>2651.2911325844152</v>
      </c>
      <c r="AF70" s="2">
        <f t="shared" ca="1" si="51"/>
        <v>2203.1978143584588</v>
      </c>
      <c r="AG70" s="2">
        <f t="shared" ca="1" si="51"/>
        <v>2703.6519174456271</v>
      </c>
      <c r="AH70" s="2">
        <f t="shared" ca="1" si="51"/>
        <v>2140.239777160652</v>
      </c>
    </row>
    <row r="71" spans="1:34">
      <c r="A71" t="str">
        <f t="shared" si="33"/>
        <v>Beef</v>
      </c>
      <c r="B71" t="str">
        <f t="shared" si="37"/>
        <v>Amhara</v>
      </c>
      <c r="C71" s="2">
        <f t="shared" ca="1" si="50"/>
        <v>2828.0204202876275</v>
      </c>
      <c r="D71" s="2">
        <f t="shared" ca="1" si="50"/>
        <v>2899.9088131754261</v>
      </c>
      <c r="E71" s="2">
        <f t="shared" ca="1" si="50"/>
        <v>2609.1565977792152</v>
      </c>
      <c r="F71" s="2">
        <f t="shared" ca="1" si="50"/>
        <v>2465.3974911066543</v>
      </c>
      <c r="G71" s="2">
        <f t="shared" ca="1" si="50"/>
        <v>2223.3782318104722</v>
      </c>
      <c r="H71" s="2">
        <f t="shared" ca="1" si="50"/>
        <v>2850.1863445743547</v>
      </c>
      <c r="I71" s="2">
        <f t="shared" ca="1" si="50"/>
        <v>2463.2188126421256</v>
      </c>
      <c r="J71" s="2">
        <f t="shared" ca="1" si="50"/>
        <v>2635.7708592980016</v>
      </c>
      <c r="K71" s="2">
        <f t="shared" ca="1" si="50"/>
        <v>2479.2383058449077</v>
      </c>
      <c r="L71" s="2">
        <f t="shared" ca="1" si="50"/>
        <v>2701.7019435840111</v>
      </c>
      <c r="M71" s="2">
        <f t="shared" ca="1" si="50"/>
        <v>2138.9649001944331</v>
      </c>
      <c r="N71" s="2">
        <f t="shared" ca="1" si="50"/>
        <v>2532.2298125508742</v>
      </c>
      <c r="O71" s="2">
        <f t="shared" ca="1" si="50"/>
        <v>2311.8014421765615</v>
      </c>
      <c r="P71" s="2">
        <f t="shared" ca="1" si="50"/>
        <v>2747.8298775946187</v>
      </c>
      <c r="Q71" s="2">
        <f t="shared" ca="1" si="50"/>
        <v>2950.4706314094478</v>
      </c>
      <c r="R71" s="2">
        <f t="shared" ca="1" si="50"/>
        <v>2177.3852694117359</v>
      </c>
      <c r="S71" s="2">
        <f t="shared" ca="1" si="51"/>
        <v>2050.350899745466</v>
      </c>
      <c r="T71" s="2">
        <f t="shared" ca="1" si="51"/>
        <v>2316.4940928795759</v>
      </c>
      <c r="U71" s="2">
        <f t="shared" ca="1" si="51"/>
        <v>2638.9049317119152</v>
      </c>
      <c r="V71" s="2">
        <f t="shared" ca="1" si="51"/>
        <v>2300.5432272305106</v>
      </c>
      <c r="W71" s="2">
        <f t="shared" ca="1" si="51"/>
        <v>2740.2087585661811</v>
      </c>
      <c r="X71" s="2">
        <f t="shared" ca="1" si="51"/>
        <v>2466.6540871662451</v>
      </c>
      <c r="Y71" s="2">
        <f t="shared" ca="1" si="51"/>
        <v>2156.4259993243472</v>
      </c>
      <c r="Z71" s="2">
        <f t="shared" ca="1" si="51"/>
        <v>2923.0500585636651</v>
      </c>
      <c r="AA71" s="2">
        <f t="shared" ca="1" si="51"/>
        <v>2158.5924926956623</v>
      </c>
      <c r="AB71" s="2">
        <f t="shared" ca="1" si="51"/>
        <v>2918.5504479520182</v>
      </c>
      <c r="AC71" s="2">
        <f t="shared" ca="1" si="51"/>
        <v>2908.4963835452509</v>
      </c>
      <c r="AD71" s="2">
        <f t="shared" ca="1" si="51"/>
        <v>2303.2006681200774</v>
      </c>
      <c r="AE71" s="2">
        <f t="shared" ca="1" si="51"/>
        <v>2733.9727295899065</v>
      </c>
      <c r="AF71" s="2">
        <f t="shared" ca="1" si="51"/>
        <v>2702.3499131714434</v>
      </c>
      <c r="AG71" s="2">
        <f t="shared" ca="1" si="51"/>
        <v>2056.9524787412174</v>
      </c>
      <c r="AH71" s="2">
        <f t="shared" ca="1" si="51"/>
        <v>2524.7803889913607</v>
      </c>
    </row>
    <row r="72" spans="1:34">
      <c r="A72" t="str">
        <f t="shared" si="33"/>
        <v>Beef</v>
      </c>
      <c r="B72" t="str">
        <f t="shared" si="37"/>
        <v>Gumuz</v>
      </c>
      <c r="C72" s="2">
        <f t="shared" ca="1" si="50"/>
        <v>2333.5863710909184</v>
      </c>
      <c r="D72" s="2">
        <f t="shared" ca="1" si="50"/>
        <v>2390.3877766650944</v>
      </c>
      <c r="E72" s="2">
        <f t="shared" ca="1" si="50"/>
        <v>2889.5627521421698</v>
      </c>
      <c r="F72" s="2">
        <f t="shared" ca="1" si="50"/>
        <v>2565.2371417998602</v>
      </c>
      <c r="G72" s="2">
        <f t="shared" ca="1" si="50"/>
        <v>2830.7640865799094</v>
      </c>
      <c r="H72" s="2">
        <f t="shared" ca="1" si="50"/>
        <v>2963.4603453192103</v>
      </c>
      <c r="I72" s="2">
        <f t="shared" ca="1" si="50"/>
        <v>2721.2177574511634</v>
      </c>
      <c r="J72" s="2">
        <f t="shared" ca="1" si="50"/>
        <v>2092.7065833580509</v>
      </c>
      <c r="K72" s="2">
        <f t="shared" ca="1" si="50"/>
        <v>2977.5358793817404</v>
      </c>
      <c r="L72" s="2">
        <f t="shared" ca="1" si="50"/>
        <v>2977.7011691782996</v>
      </c>
      <c r="M72" s="2">
        <f t="shared" ca="1" si="50"/>
        <v>2718.8705209844238</v>
      </c>
      <c r="N72" s="2">
        <f t="shared" ca="1" si="50"/>
        <v>2667.6347290205267</v>
      </c>
      <c r="O72" s="2">
        <f t="shared" ca="1" si="50"/>
        <v>2788.235948062063</v>
      </c>
      <c r="P72" s="2">
        <f t="shared" ca="1" si="50"/>
        <v>2529.3058592925718</v>
      </c>
      <c r="Q72" s="2">
        <f t="shared" ca="1" si="50"/>
        <v>2261.5773009045197</v>
      </c>
      <c r="R72" s="2">
        <f t="shared" ca="1" si="50"/>
        <v>2068.2746853450958</v>
      </c>
      <c r="S72" s="2">
        <f t="shared" ca="1" si="51"/>
        <v>2573.4971969351686</v>
      </c>
      <c r="T72" s="2">
        <f t="shared" ca="1" si="51"/>
        <v>2097.3797788116276</v>
      </c>
      <c r="U72" s="2">
        <f t="shared" ca="1" si="51"/>
        <v>2993.8888293927153</v>
      </c>
      <c r="V72" s="2">
        <f t="shared" ca="1" si="51"/>
        <v>2110.9837600823325</v>
      </c>
      <c r="W72" s="2">
        <f t="shared" ca="1" si="51"/>
        <v>2682.6950564529543</v>
      </c>
      <c r="X72" s="2">
        <f t="shared" ca="1" si="51"/>
        <v>2155.387904537864</v>
      </c>
      <c r="Y72" s="2">
        <f t="shared" ca="1" si="51"/>
        <v>2829.4949904047226</v>
      </c>
      <c r="Z72" s="2">
        <f t="shared" ca="1" si="51"/>
        <v>2463.7404096656651</v>
      </c>
      <c r="AA72" s="2">
        <f t="shared" ca="1" si="51"/>
        <v>2805.7898204145908</v>
      </c>
      <c r="AB72" s="2">
        <f t="shared" ca="1" si="51"/>
        <v>2038.6868206243232</v>
      </c>
      <c r="AC72" s="2">
        <f t="shared" ca="1" si="51"/>
        <v>2663.8384211567291</v>
      </c>
      <c r="AD72" s="2">
        <f t="shared" ca="1" si="51"/>
        <v>2464.3394085968889</v>
      </c>
      <c r="AE72" s="2">
        <f t="shared" ca="1" si="51"/>
        <v>2248.7212156713399</v>
      </c>
      <c r="AF72" s="2">
        <f t="shared" ca="1" si="51"/>
        <v>2035.9720277812557</v>
      </c>
      <c r="AG72" s="2">
        <f t="shared" ca="1" si="51"/>
        <v>2623.2291156219817</v>
      </c>
      <c r="AH72" s="2">
        <f t="shared" ca="1" si="51"/>
        <v>2339.668514423578</v>
      </c>
    </row>
    <row r="73" spans="1:34">
      <c r="A73" t="str">
        <f t="shared" si="33"/>
        <v>Beef</v>
      </c>
      <c r="B73" t="str">
        <f t="shared" si="37"/>
        <v>DireDawa</v>
      </c>
      <c r="C73" s="2">
        <f t="shared" ca="1" si="50"/>
        <v>2469.6305276658113</v>
      </c>
      <c r="D73" s="2">
        <f t="shared" ca="1" si="50"/>
        <v>2643.7787599458757</v>
      </c>
      <c r="E73" s="2">
        <f t="shared" ca="1" si="50"/>
        <v>2406.0267289284552</v>
      </c>
      <c r="F73" s="2">
        <f t="shared" ca="1" si="50"/>
        <v>2999.5715755553565</v>
      </c>
      <c r="G73" s="2">
        <f t="shared" ca="1" si="50"/>
        <v>2872.1127625896274</v>
      </c>
      <c r="H73" s="2">
        <f t="shared" ca="1" si="50"/>
        <v>2709.1756683964904</v>
      </c>
      <c r="I73" s="2">
        <f t="shared" ca="1" si="50"/>
        <v>2770.8496125015554</v>
      </c>
      <c r="J73" s="2">
        <f t="shared" ca="1" si="50"/>
        <v>2928.3486079192312</v>
      </c>
      <c r="K73" s="2">
        <f t="shared" ca="1" si="50"/>
        <v>2713.7184464935754</v>
      </c>
      <c r="L73" s="2">
        <f t="shared" ca="1" si="50"/>
        <v>2501.6452177157494</v>
      </c>
      <c r="M73" s="2">
        <f t="shared" ca="1" si="50"/>
        <v>2311.8704050222705</v>
      </c>
      <c r="N73" s="2">
        <f t="shared" ca="1" si="50"/>
        <v>2716.1073068434316</v>
      </c>
      <c r="O73" s="2">
        <f t="shared" ca="1" si="50"/>
        <v>2070.2629480858523</v>
      </c>
      <c r="P73" s="2">
        <f t="shared" ca="1" si="50"/>
        <v>2534.150904774121</v>
      </c>
      <c r="Q73" s="2">
        <f t="shared" ca="1" si="50"/>
        <v>2169.2999995416667</v>
      </c>
      <c r="R73" s="2">
        <f t="shared" ca="1" si="50"/>
        <v>2095.9645806783174</v>
      </c>
      <c r="S73" s="2">
        <f t="shared" ca="1" si="51"/>
        <v>2594.206075438899</v>
      </c>
      <c r="T73" s="2">
        <f t="shared" ca="1" si="51"/>
        <v>2192.9662851067014</v>
      </c>
      <c r="U73" s="2">
        <f t="shared" ca="1" si="51"/>
        <v>2117.4635350154635</v>
      </c>
      <c r="V73" s="2">
        <f t="shared" ca="1" si="51"/>
        <v>2914.3306830052597</v>
      </c>
      <c r="W73" s="2">
        <f t="shared" ca="1" si="51"/>
        <v>2725.0701967236246</v>
      </c>
      <c r="X73" s="2">
        <f t="shared" ca="1" si="51"/>
        <v>2815.0210562647981</v>
      </c>
      <c r="Y73" s="2">
        <f t="shared" ca="1" si="51"/>
        <v>2337.5325179868992</v>
      </c>
      <c r="Z73" s="2">
        <f t="shared" ca="1" si="51"/>
        <v>2337.3403525444346</v>
      </c>
      <c r="AA73" s="2">
        <f t="shared" ca="1" si="51"/>
        <v>2939.5380505320413</v>
      </c>
      <c r="AB73" s="2">
        <f t="shared" ca="1" si="51"/>
        <v>2600.0092069786897</v>
      </c>
      <c r="AC73" s="2">
        <f t="shared" ca="1" si="51"/>
        <v>2239.7764246632555</v>
      </c>
      <c r="AD73" s="2">
        <f t="shared" ca="1" si="51"/>
        <v>2657.3464900804738</v>
      </c>
      <c r="AE73" s="2">
        <f t="shared" ca="1" si="51"/>
        <v>2611.0070688367396</v>
      </c>
      <c r="AF73" s="2">
        <f t="shared" ca="1" si="51"/>
        <v>2671.2732885937012</v>
      </c>
      <c r="AG73" s="2">
        <f t="shared" ca="1" si="51"/>
        <v>2577.0432054616085</v>
      </c>
      <c r="AH73" s="2">
        <f t="shared" ca="1" si="51"/>
        <v>2509.4280279626923</v>
      </c>
    </row>
    <row r="74" spans="1:34">
      <c r="A74" t="str">
        <f t="shared" si="33"/>
        <v>Beef</v>
      </c>
      <c r="B74" t="str">
        <f t="shared" si="37"/>
        <v>Gambela</v>
      </c>
      <c r="C74" s="2">
        <f t="shared" ca="1" si="50"/>
        <v>2658.6477878319683</v>
      </c>
      <c r="D74" s="2">
        <f t="shared" ca="1" si="50"/>
        <v>2708.4901325788069</v>
      </c>
      <c r="E74" s="2">
        <f t="shared" ca="1" si="50"/>
        <v>2056.5950334654058</v>
      </c>
      <c r="F74" s="2">
        <f t="shared" ca="1" si="50"/>
        <v>2139.7022244790332</v>
      </c>
      <c r="G74" s="2">
        <f t="shared" ca="1" si="50"/>
        <v>2269.5747279848124</v>
      </c>
      <c r="H74" s="2">
        <f t="shared" ca="1" si="50"/>
        <v>2661.2763098808728</v>
      </c>
      <c r="I74" s="2">
        <f t="shared" ca="1" si="50"/>
        <v>2320.2960971710545</v>
      </c>
      <c r="J74" s="2">
        <f t="shared" ca="1" si="50"/>
        <v>2527.3386606016666</v>
      </c>
      <c r="K74" s="2">
        <f t="shared" ca="1" si="50"/>
        <v>2051.4458424633776</v>
      </c>
      <c r="L74" s="2">
        <f t="shared" ca="1" si="50"/>
        <v>2804.225262539192</v>
      </c>
      <c r="M74" s="2">
        <f t="shared" ca="1" si="50"/>
        <v>2773.2272613641144</v>
      </c>
      <c r="N74" s="2">
        <f t="shared" ca="1" si="50"/>
        <v>2530.6286065168852</v>
      </c>
      <c r="O74" s="2">
        <f t="shared" ca="1" si="50"/>
        <v>2905.7798057523378</v>
      </c>
      <c r="P74" s="2">
        <f t="shared" ca="1" si="50"/>
        <v>2009.6495825371105</v>
      </c>
      <c r="Q74" s="2">
        <f t="shared" ca="1" si="50"/>
        <v>2551.762924998066</v>
      </c>
      <c r="R74" s="2">
        <f t="shared" ca="1" si="50"/>
        <v>2623.6072767585756</v>
      </c>
      <c r="S74" s="2">
        <f t="shared" ca="1" si="51"/>
        <v>2638.7789577213089</v>
      </c>
      <c r="T74" s="2">
        <f t="shared" ca="1" si="51"/>
        <v>2202.0734936757417</v>
      </c>
      <c r="U74" s="2">
        <f t="shared" ca="1" si="51"/>
        <v>2653.835934865167</v>
      </c>
      <c r="V74" s="2">
        <f t="shared" ca="1" si="51"/>
        <v>2732.4871354650982</v>
      </c>
      <c r="W74" s="2">
        <f t="shared" ca="1" si="51"/>
        <v>2252.1754797313652</v>
      </c>
      <c r="X74" s="2">
        <f t="shared" ca="1" si="51"/>
        <v>2955.0601132653446</v>
      </c>
      <c r="Y74" s="2">
        <f t="shared" ca="1" si="51"/>
        <v>2427.1049705649189</v>
      </c>
      <c r="Z74" s="2">
        <f t="shared" ca="1" si="51"/>
        <v>2185.3212725180251</v>
      </c>
      <c r="AA74" s="2">
        <f t="shared" ca="1" si="51"/>
        <v>2835.8191033494013</v>
      </c>
      <c r="AB74" s="2">
        <f t="shared" ca="1" si="51"/>
        <v>2102.128408686347</v>
      </c>
      <c r="AC74" s="2">
        <f t="shared" ca="1" si="51"/>
        <v>2662.6230810607608</v>
      </c>
      <c r="AD74" s="2">
        <f t="shared" ca="1" si="51"/>
        <v>2765.2930281363942</v>
      </c>
      <c r="AE74" s="2">
        <f t="shared" ca="1" si="51"/>
        <v>2551.5169283971281</v>
      </c>
      <c r="AF74" s="2">
        <f t="shared" ca="1" si="51"/>
        <v>2036.63852215101</v>
      </c>
      <c r="AG74" s="2">
        <f t="shared" ca="1" si="51"/>
        <v>2738.1064049395495</v>
      </c>
      <c r="AH74" s="2">
        <f t="shared" ca="1" si="51"/>
        <v>2745.2312853241947</v>
      </c>
    </row>
    <row r="75" spans="1:34">
      <c r="A75" t="str">
        <f t="shared" si="33"/>
        <v>Beef</v>
      </c>
      <c r="B75" t="str">
        <f t="shared" si="37"/>
        <v>Harari</v>
      </c>
      <c r="C75" s="2">
        <f t="shared" ca="1" si="50"/>
        <v>2296.4715560777513</v>
      </c>
      <c r="D75" s="2">
        <f t="shared" ca="1" si="50"/>
        <v>2936.2705030285779</v>
      </c>
      <c r="E75" s="2">
        <f t="shared" ca="1" si="50"/>
        <v>2562.6009945768051</v>
      </c>
      <c r="F75" s="2">
        <f t="shared" ca="1" si="50"/>
        <v>2261.0523348667953</v>
      </c>
      <c r="G75" s="2">
        <f t="shared" ca="1" si="50"/>
        <v>2143.8891383048767</v>
      </c>
      <c r="H75" s="2">
        <f t="shared" ca="1" si="50"/>
        <v>2411.6405967875521</v>
      </c>
      <c r="I75" s="2">
        <f t="shared" ca="1" si="50"/>
        <v>2173.7267027026382</v>
      </c>
      <c r="J75" s="2">
        <f t="shared" ca="1" si="50"/>
        <v>2783.0927988023141</v>
      </c>
      <c r="K75" s="2">
        <f t="shared" ca="1" si="50"/>
        <v>2650.1078845237616</v>
      </c>
      <c r="L75" s="2">
        <f t="shared" ca="1" si="50"/>
        <v>2770.5947208387297</v>
      </c>
      <c r="M75" s="2">
        <f t="shared" ca="1" si="50"/>
        <v>2554.5752437455358</v>
      </c>
      <c r="N75" s="2">
        <f t="shared" ca="1" si="50"/>
        <v>2239.3480461353802</v>
      </c>
      <c r="O75" s="2">
        <f t="shared" ca="1" si="50"/>
        <v>2574.1067840317423</v>
      </c>
      <c r="P75" s="2">
        <f t="shared" ca="1" si="50"/>
        <v>2349.6308701801699</v>
      </c>
      <c r="Q75" s="2">
        <f t="shared" ca="1" si="50"/>
        <v>2861.4400361220673</v>
      </c>
      <c r="R75" s="2">
        <f t="shared" ca="1" si="50"/>
        <v>2361.7699478669547</v>
      </c>
      <c r="S75" s="2">
        <f t="shared" ca="1" si="51"/>
        <v>2685.147345275584</v>
      </c>
      <c r="T75" s="2">
        <f t="shared" ca="1" si="51"/>
        <v>2572.1981849852355</v>
      </c>
      <c r="U75" s="2">
        <f t="shared" ca="1" si="51"/>
        <v>2785.1986324270138</v>
      </c>
      <c r="V75" s="2">
        <f t="shared" ca="1" si="51"/>
        <v>2449.9745301959615</v>
      </c>
      <c r="W75" s="2">
        <f t="shared" ca="1" si="51"/>
        <v>2329.0230993316563</v>
      </c>
      <c r="X75" s="2">
        <f t="shared" ca="1" si="51"/>
        <v>2543.7130104402895</v>
      </c>
      <c r="Y75" s="2">
        <f t="shared" ca="1" si="51"/>
        <v>2007.0796707507066</v>
      </c>
      <c r="Z75" s="2">
        <f t="shared" ca="1" si="51"/>
        <v>2647.1911343498205</v>
      </c>
      <c r="AA75" s="2">
        <f t="shared" ca="1" si="51"/>
        <v>2953.7875098674467</v>
      </c>
      <c r="AB75" s="2">
        <f t="shared" ca="1" si="51"/>
        <v>2267.0582719589647</v>
      </c>
      <c r="AC75" s="2">
        <f t="shared" ca="1" si="51"/>
        <v>2843.0835874101613</v>
      </c>
      <c r="AD75" s="2">
        <f t="shared" ca="1" si="51"/>
        <v>2659.9060814692166</v>
      </c>
      <c r="AE75" s="2">
        <f t="shared" ca="1" si="51"/>
        <v>2832.7410045184347</v>
      </c>
      <c r="AF75" s="2">
        <f t="shared" ca="1" si="51"/>
        <v>2253.1192243727573</v>
      </c>
      <c r="AG75" s="2">
        <f t="shared" ca="1" si="51"/>
        <v>2650.2219432506395</v>
      </c>
      <c r="AH75" s="2">
        <f t="shared" ca="1" si="51"/>
        <v>2085.2352918159318</v>
      </c>
    </row>
    <row r="76" spans="1:34">
      <c r="A76" t="str">
        <f t="shared" si="33"/>
        <v>Beef</v>
      </c>
      <c r="B76" t="str">
        <f t="shared" si="37"/>
        <v>Oromia</v>
      </c>
      <c r="C76" s="2">
        <f t="shared" ca="1" si="50"/>
        <v>2992.1060445178537</v>
      </c>
      <c r="D76" s="2">
        <f t="shared" ca="1" si="50"/>
        <v>2221.2296024442949</v>
      </c>
      <c r="E76" s="2">
        <f t="shared" ca="1" si="50"/>
        <v>2396.2536088469706</v>
      </c>
      <c r="F76" s="2">
        <f t="shared" ca="1" si="50"/>
        <v>2329.7779337993607</v>
      </c>
      <c r="G76" s="2">
        <f t="shared" ca="1" si="50"/>
        <v>2031.3981386277512</v>
      </c>
      <c r="H76" s="2">
        <f t="shared" ca="1" si="50"/>
        <v>2716.5077662206108</v>
      </c>
      <c r="I76" s="2">
        <f t="shared" ca="1" si="50"/>
        <v>2176.1481781959451</v>
      </c>
      <c r="J76" s="2">
        <f t="shared" ca="1" si="50"/>
        <v>2052.3771073958014</v>
      </c>
      <c r="K76" s="2">
        <f t="shared" ca="1" si="50"/>
        <v>2039.6501099695593</v>
      </c>
      <c r="L76" s="2">
        <f t="shared" ca="1" si="50"/>
        <v>2946.0010938700811</v>
      </c>
      <c r="M76" s="2">
        <f t="shared" ca="1" si="50"/>
        <v>2954.6677345695412</v>
      </c>
      <c r="N76" s="2">
        <f t="shared" ca="1" si="50"/>
        <v>2426.2906396050362</v>
      </c>
      <c r="O76" s="2">
        <f t="shared" ca="1" si="50"/>
        <v>2045.5994925495766</v>
      </c>
      <c r="P76" s="2">
        <f t="shared" ca="1" si="50"/>
        <v>2875.1953515330865</v>
      </c>
      <c r="Q76" s="2">
        <f t="shared" ca="1" si="50"/>
        <v>2504.1595844356671</v>
      </c>
      <c r="R76" s="2">
        <f t="shared" ca="1" si="50"/>
        <v>2931.4332474872531</v>
      </c>
      <c r="S76" s="2">
        <f t="shared" ca="1" si="51"/>
        <v>2970.012179017192</v>
      </c>
      <c r="T76" s="2">
        <f t="shared" ca="1" si="51"/>
        <v>2222.7500389306438</v>
      </c>
      <c r="U76" s="2">
        <f t="shared" ca="1" si="51"/>
        <v>2961.6962398397054</v>
      </c>
      <c r="V76" s="2">
        <f t="shared" ca="1" si="51"/>
        <v>2937.6991215540584</v>
      </c>
      <c r="W76" s="2">
        <f t="shared" ca="1" si="51"/>
        <v>2557.2763402575474</v>
      </c>
      <c r="X76" s="2">
        <f t="shared" ca="1" si="51"/>
        <v>2188.6127808428619</v>
      </c>
      <c r="Y76" s="2">
        <f t="shared" ca="1" si="51"/>
        <v>2893.4321793866434</v>
      </c>
      <c r="Z76" s="2">
        <f t="shared" ca="1" si="51"/>
        <v>2972.5782762051485</v>
      </c>
      <c r="AA76" s="2">
        <f t="shared" ca="1" si="51"/>
        <v>2906.2857587211338</v>
      </c>
      <c r="AB76" s="2">
        <f t="shared" ca="1" si="51"/>
        <v>2865.196433056672</v>
      </c>
      <c r="AC76" s="2">
        <f t="shared" ca="1" si="51"/>
        <v>2593.5028561035178</v>
      </c>
      <c r="AD76" s="2">
        <f t="shared" ca="1" si="51"/>
        <v>2355.9152192791744</v>
      </c>
      <c r="AE76" s="2">
        <f t="shared" ca="1" si="51"/>
        <v>2762.2510830876577</v>
      </c>
      <c r="AF76" s="2">
        <f t="shared" ca="1" si="51"/>
        <v>2829.3095831634564</v>
      </c>
      <c r="AG76" s="2">
        <f t="shared" ca="1" si="51"/>
        <v>2760.658014632259</v>
      </c>
      <c r="AH76" s="2">
        <f t="shared" ca="1" si="51"/>
        <v>2188.1542246303657</v>
      </c>
    </row>
    <row r="77" spans="1:34">
      <c r="A77" t="str">
        <f t="shared" si="33"/>
        <v>Beef</v>
      </c>
      <c r="B77" t="str">
        <f t="shared" si="37"/>
        <v>Somali</v>
      </c>
      <c r="C77" s="2">
        <f t="shared" ca="1" si="50"/>
        <v>2400.0822731637454</v>
      </c>
      <c r="D77" s="2">
        <f t="shared" ca="1" si="50"/>
        <v>2469.7870489108759</v>
      </c>
      <c r="E77" s="2">
        <f t="shared" ca="1" si="50"/>
        <v>2321.4779186900596</v>
      </c>
      <c r="F77" s="2">
        <f t="shared" ca="1" si="50"/>
        <v>2929.7279072961755</v>
      </c>
      <c r="G77" s="2">
        <f t="shared" ca="1" si="50"/>
        <v>2471.4764266554121</v>
      </c>
      <c r="H77" s="2">
        <f t="shared" ca="1" si="50"/>
        <v>2099.1096429498975</v>
      </c>
      <c r="I77" s="2">
        <f t="shared" ca="1" si="50"/>
        <v>2668.8178186816904</v>
      </c>
      <c r="J77" s="2">
        <f t="shared" ca="1" si="50"/>
        <v>2676.9439355902368</v>
      </c>
      <c r="K77" s="2">
        <f t="shared" ca="1" si="50"/>
        <v>2822.4012343753834</v>
      </c>
      <c r="L77" s="2">
        <f t="shared" ca="1" si="50"/>
        <v>2869.5283091513429</v>
      </c>
      <c r="M77" s="2">
        <f t="shared" ca="1" si="50"/>
        <v>2842.9876279668774</v>
      </c>
      <c r="N77" s="2">
        <f t="shared" ca="1" si="50"/>
        <v>2190.7592677749144</v>
      </c>
      <c r="O77" s="2">
        <f t="shared" ca="1" si="50"/>
        <v>2195.9143727955143</v>
      </c>
      <c r="P77" s="2">
        <f t="shared" ca="1" si="50"/>
        <v>2580.7154636309137</v>
      </c>
      <c r="Q77" s="2">
        <f t="shared" ca="1" si="50"/>
        <v>2137.6754440681407</v>
      </c>
      <c r="R77" s="2">
        <f t="shared" ca="1" si="50"/>
        <v>2441.8460438575521</v>
      </c>
      <c r="S77" s="2">
        <f t="shared" ca="1" si="51"/>
        <v>2702.4104216288479</v>
      </c>
      <c r="T77" s="2">
        <f t="shared" ca="1" si="51"/>
        <v>2885.7572036520796</v>
      </c>
      <c r="U77" s="2">
        <f t="shared" ca="1" si="51"/>
        <v>2794.2730153886259</v>
      </c>
      <c r="V77" s="2">
        <f t="shared" ca="1" si="51"/>
        <v>2347.9720070652716</v>
      </c>
      <c r="W77" s="2">
        <f t="shared" ca="1" si="51"/>
        <v>2243.3963244047059</v>
      </c>
      <c r="X77" s="2">
        <f t="shared" ca="1" si="51"/>
        <v>2694.2249250704017</v>
      </c>
      <c r="Y77" s="2">
        <f t="shared" ca="1" si="51"/>
        <v>2200.1908744866914</v>
      </c>
      <c r="Z77" s="2">
        <f t="shared" ca="1" si="51"/>
        <v>2846.7358884179939</v>
      </c>
      <c r="AA77" s="2">
        <f t="shared" ca="1" si="51"/>
        <v>2426.5258019047387</v>
      </c>
      <c r="AB77" s="2">
        <f t="shared" ca="1" si="51"/>
        <v>2431.3877971336997</v>
      </c>
      <c r="AC77" s="2">
        <f t="shared" ca="1" si="51"/>
        <v>2202.5415135232952</v>
      </c>
      <c r="AD77" s="2">
        <f t="shared" ca="1" si="51"/>
        <v>2586.8588558169422</v>
      </c>
      <c r="AE77" s="2">
        <f t="shared" ca="1" si="51"/>
        <v>2277.6626925977944</v>
      </c>
      <c r="AF77" s="2">
        <f t="shared" ca="1" si="51"/>
        <v>2727.8785864299016</v>
      </c>
      <c r="AG77" s="2">
        <f t="shared" ca="1" si="51"/>
        <v>2383.2748935957593</v>
      </c>
      <c r="AH77" s="2">
        <f t="shared" ca="1" si="51"/>
        <v>2161.6137748971987</v>
      </c>
    </row>
    <row r="78" spans="1:34">
      <c r="A78" t="str">
        <f t="shared" ref="A78:A90" si="52">INDEX(Food,MATCH(A67,Food,0)+1)</f>
        <v>Beef</v>
      </c>
      <c r="B78" t="str">
        <f t="shared" si="37"/>
        <v>SNNPR</v>
      </c>
      <c r="C78" s="2">
        <f t="shared" ca="1" si="50"/>
        <v>2994.2890369968391</v>
      </c>
      <c r="D78" s="2">
        <f t="shared" ca="1" si="50"/>
        <v>2491.279661283801</v>
      </c>
      <c r="E78" s="2">
        <f t="shared" ca="1" si="50"/>
        <v>2113.2910647306271</v>
      </c>
      <c r="F78" s="2">
        <f t="shared" ca="1" si="50"/>
        <v>2981.9269802260287</v>
      </c>
      <c r="G78" s="2">
        <f t="shared" ca="1" si="50"/>
        <v>2407.1413250357814</v>
      </c>
      <c r="H78" s="2">
        <f t="shared" ca="1" si="50"/>
        <v>2141.7351893383425</v>
      </c>
      <c r="I78" s="2">
        <f t="shared" ca="1" si="50"/>
        <v>2856.4400236361525</v>
      </c>
      <c r="J78" s="2">
        <f t="shared" ca="1" si="50"/>
        <v>2402.6120872546321</v>
      </c>
      <c r="K78" s="2">
        <f t="shared" ca="1" si="50"/>
        <v>2587.1992494744945</v>
      </c>
      <c r="L78" s="2">
        <f t="shared" ca="1" si="50"/>
        <v>2350.3254743643229</v>
      </c>
      <c r="M78" s="2">
        <f t="shared" ca="1" si="50"/>
        <v>2572.2039838560877</v>
      </c>
      <c r="N78" s="2">
        <f t="shared" ca="1" si="50"/>
        <v>2602.7861836888014</v>
      </c>
      <c r="O78" s="2">
        <f t="shared" ca="1" si="50"/>
        <v>2841.7662388822919</v>
      </c>
      <c r="P78" s="2">
        <f t="shared" ca="1" si="50"/>
        <v>2917.8704793662978</v>
      </c>
      <c r="Q78" s="2">
        <f t="shared" ca="1" si="50"/>
        <v>2111.5661780644191</v>
      </c>
      <c r="R78" s="2">
        <f t="shared" ca="1" si="50"/>
        <v>2426.4467066019397</v>
      </c>
      <c r="S78" s="2">
        <f t="shared" ca="1" si="51"/>
        <v>2012.4509537758081</v>
      </c>
      <c r="T78" s="2">
        <f t="shared" ca="1" si="51"/>
        <v>2671.3961832987138</v>
      </c>
      <c r="U78" s="2">
        <f t="shared" ca="1" si="51"/>
        <v>2474.2884215122735</v>
      </c>
      <c r="V78" s="2">
        <f t="shared" ca="1" si="51"/>
        <v>2246.7802734565912</v>
      </c>
      <c r="W78" s="2">
        <f t="shared" ca="1" si="51"/>
        <v>2467.9237623838339</v>
      </c>
      <c r="X78" s="2">
        <f t="shared" ca="1" si="51"/>
        <v>2033.0238100698161</v>
      </c>
      <c r="Y78" s="2">
        <f t="shared" ca="1" si="51"/>
        <v>2214.1533271291601</v>
      </c>
      <c r="Z78" s="2">
        <f t="shared" ca="1" si="51"/>
        <v>2448.104377848912</v>
      </c>
      <c r="AA78" s="2">
        <f t="shared" ca="1" si="51"/>
        <v>2457.6832777120153</v>
      </c>
      <c r="AB78" s="2">
        <f t="shared" ca="1" si="51"/>
        <v>2670.0679202503306</v>
      </c>
      <c r="AC78" s="2">
        <f t="shared" ca="1" si="51"/>
        <v>2660.3280785935981</v>
      </c>
      <c r="AD78" s="2">
        <f t="shared" ca="1" si="51"/>
        <v>2491.3516523034759</v>
      </c>
      <c r="AE78" s="2">
        <f t="shared" ca="1" si="51"/>
        <v>2417.4491196004474</v>
      </c>
      <c r="AF78" s="2">
        <f t="shared" ca="1" si="51"/>
        <v>2675.5480677428204</v>
      </c>
      <c r="AG78" s="2">
        <f t="shared" ca="1" si="51"/>
        <v>2813.9631164371053</v>
      </c>
      <c r="AH78" s="2">
        <f t="shared" ca="1" si="51"/>
        <v>2505.7818271496212</v>
      </c>
    </row>
    <row r="79" spans="1:34">
      <c r="A79" t="str">
        <f t="shared" si="52"/>
        <v>Beef</v>
      </c>
      <c r="B79" t="str">
        <f t="shared" ref="B79:B90" si="53">B68</f>
        <v>Tigray</v>
      </c>
      <c r="C79" s="2">
        <f t="shared" ca="1" si="50"/>
        <v>2244.1775537407975</v>
      </c>
      <c r="D79" s="2">
        <f t="shared" ca="1" si="50"/>
        <v>2264.5052037984583</v>
      </c>
      <c r="E79" s="2">
        <f t="shared" ca="1" si="50"/>
        <v>2200.3081120441962</v>
      </c>
      <c r="F79" s="2">
        <f t="shared" ca="1" si="50"/>
        <v>2824.150188583546</v>
      </c>
      <c r="G79" s="2">
        <f t="shared" ca="1" si="50"/>
        <v>2850.0090206904242</v>
      </c>
      <c r="H79" s="2">
        <f t="shared" ca="1" si="50"/>
        <v>2402.0192783274165</v>
      </c>
      <c r="I79" s="2">
        <f t="shared" ca="1" si="50"/>
        <v>2680.8138615404055</v>
      </c>
      <c r="J79" s="2">
        <f t="shared" ca="1" si="50"/>
        <v>2457.0840668194164</v>
      </c>
      <c r="K79" s="2">
        <f t="shared" ca="1" si="50"/>
        <v>2407.6159217944473</v>
      </c>
      <c r="L79" s="2">
        <f t="shared" ca="1" si="50"/>
        <v>2726.3192893377618</v>
      </c>
      <c r="M79" s="2">
        <f t="shared" ca="1" si="50"/>
        <v>2706.5306483141476</v>
      </c>
      <c r="N79" s="2">
        <f t="shared" ca="1" si="50"/>
        <v>2102.7200098864382</v>
      </c>
      <c r="O79" s="2">
        <f t="shared" ca="1" si="50"/>
        <v>2852.3969334150233</v>
      </c>
      <c r="P79" s="2">
        <f t="shared" ca="1" si="50"/>
        <v>2407.41168267474</v>
      </c>
      <c r="Q79" s="2">
        <f t="shared" ca="1" si="50"/>
        <v>2517.1561478041235</v>
      </c>
      <c r="R79" s="2">
        <f t="shared" ca="1" si="50"/>
        <v>2345.730292382169</v>
      </c>
      <c r="S79" s="2">
        <f t="shared" ca="1" si="51"/>
        <v>2509.0940232260305</v>
      </c>
      <c r="T79" s="2">
        <f t="shared" ca="1" si="51"/>
        <v>2277.1458704489996</v>
      </c>
      <c r="U79" s="2">
        <f t="shared" ca="1" si="51"/>
        <v>2664.3460308387703</v>
      </c>
      <c r="V79" s="2">
        <f t="shared" ca="1" si="51"/>
        <v>2000.2646504614049</v>
      </c>
      <c r="W79" s="2">
        <f t="shared" ca="1" si="51"/>
        <v>2456.701454754972</v>
      </c>
      <c r="X79" s="2">
        <f t="shared" ca="1" si="51"/>
        <v>2845.140229244952</v>
      </c>
      <c r="Y79" s="2">
        <f t="shared" ca="1" si="51"/>
        <v>2901.9050718714452</v>
      </c>
      <c r="Z79" s="2">
        <f t="shared" ca="1" si="51"/>
        <v>2470.4471903227623</v>
      </c>
      <c r="AA79" s="2">
        <f t="shared" ca="1" si="51"/>
        <v>2792.7661755379763</v>
      </c>
      <c r="AB79" s="2">
        <f t="shared" ca="1" si="51"/>
        <v>2705.2300253624339</v>
      </c>
      <c r="AC79" s="2">
        <f t="shared" ca="1" si="51"/>
        <v>2302.7857107894051</v>
      </c>
      <c r="AD79" s="2">
        <f t="shared" ca="1" si="51"/>
        <v>2258.8866651621702</v>
      </c>
      <c r="AE79" s="2">
        <f t="shared" ca="1" si="51"/>
        <v>2116.6439253689632</v>
      </c>
      <c r="AF79" s="2">
        <f t="shared" ca="1" si="51"/>
        <v>2930.339184722101</v>
      </c>
      <c r="AG79" s="2">
        <f t="shared" ca="1" si="51"/>
        <v>2603.8884618440843</v>
      </c>
      <c r="AH79" s="2">
        <f t="shared" ca="1" si="51"/>
        <v>2259.0251441764885</v>
      </c>
    </row>
    <row r="80" spans="1:34">
      <c r="A80" t="str">
        <f t="shared" si="52"/>
        <v>Milk</v>
      </c>
      <c r="B80" t="str">
        <f t="shared" si="53"/>
        <v>AddisAbaba</v>
      </c>
      <c r="C80" s="2">
        <f t="shared" ca="1" si="50"/>
        <v>2977.1363341509405</v>
      </c>
      <c r="D80" s="2">
        <f t="shared" ca="1" si="50"/>
        <v>2383.9675223322056</v>
      </c>
      <c r="E80" s="2">
        <f t="shared" ca="1" si="50"/>
        <v>2969.2008962783975</v>
      </c>
      <c r="F80" s="2">
        <f t="shared" ca="1" si="50"/>
        <v>2481.3916852471716</v>
      </c>
      <c r="G80" s="2">
        <f t="shared" ca="1" si="50"/>
        <v>2375.7756573833854</v>
      </c>
      <c r="H80" s="2">
        <f t="shared" ca="1" si="50"/>
        <v>2667.5468285414572</v>
      </c>
      <c r="I80" s="2">
        <f t="shared" ca="1" si="50"/>
        <v>2648.292479000419</v>
      </c>
      <c r="J80" s="2">
        <f t="shared" ca="1" si="50"/>
        <v>2275.4002851597343</v>
      </c>
      <c r="K80" s="2">
        <f t="shared" ca="1" si="50"/>
        <v>2443.0553124382636</v>
      </c>
      <c r="L80" s="2">
        <f t="shared" ca="1" si="50"/>
        <v>2657.6475916667437</v>
      </c>
      <c r="M80" s="2">
        <f t="shared" ca="1" si="50"/>
        <v>2912.4492261579326</v>
      </c>
      <c r="N80" s="2">
        <f t="shared" ca="1" si="50"/>
        <v>2628.662626263731</v>
      </c>
      <c r="O80" s="2">
        <f t="shared" ca="1" si="50"/>
        <v>2617.0013032725374</v>
      </c>
      <c r="P80" s="2">
        <f t="shared" ca="1" si="50"/>
        <v>2816.5675355100639</v>
      </c>
      <c r="Q80" s="2">
        <f t="shared" ca="1" si="50"/>
        <v>2170.7302915198243</v>
      </c>
      <c r="R80" s="2">
        <f t="shared" ca="1" si="50"/>
        <v>2333.7527743779224</v>
      </c>
      <c r="S80" s="2">
        <f t="shared" ca="1" si="51"/>
        <v>2371.2947908038727</v>
      </c>
      <c r="T80" s="2">
        <f t="shared" ca="1" si="51"/>
        <v>2567.5312272121955</v>
      </c>
      <c r="U80" s="2">
        <f t="shared" ca="1" si="51"/>
        <v>2053.720877813068</v>
      </c>
      <c r="V80" s="2">
        <f t="shared" ca="1" si="51"/>
        <v>2868.5972977690144</v>
      </c>
      <c r="W80" s="2">
        <f t="shared" ca="1" si="51"/>
        <v>2229.1476774603843</v>
      </c>
      <c r="X80" s="2">
        <f t="shared" ca="1" si="51"/>
        <v>2812.7152757893532</v>
      </c>
      <c r="Y80" s="2">
        <f t="shared" ca="1" si="51"/>
        <v>2197.30911978215</v>
      </c>
      <c r="Z80" s="2">
        <f t="shared" ca="1" si="51"/>
        <v>2982.5550708530855</v>
      </c>
      <c r="AA80" s="2">
        <f t="shared" ca="1" si="51"/>
        <v>2946.5236287089187</v>
      </c>
      <c r="AB80" s="2">
        <f t="shared" ca="1" si="51"/>
        <v>2252.6426014781041</v>
      </c>
      <c r="AC80" s="2">
        <f t="shared" ca="1" si="51"/>
        <v>2930.3277845032353</v>
      </c>
      <c r="AD80" s="2">
        <f t="shared" ca="1" si="51"/>
        <v>2904.2111669769911</v>
      </c>
      <c r="AE80" s="2">
        <f t="shared" ca="1" si="51"/>
        <v>2983.2162459861356</v>
      </c>
      <c r="AF80" s="2">
        <f t="shared" ca="1" si="51"/>
        <v>2758.0802805496937</v>
      </c>
      <c r="AG80" s="2">
        <f t="shared" ca="1" si="51"/>
        <v>2219.4440250553243</v>
      </c>
      <c r="AH80" s="2">
        <f t="shared" ca="1" si="51"/>
        <v>2471.8672320538963</v>
      </c>
    </row>
    <row r="81" spans="1:34">
      <c r="A81" t="str">
        <f t="shared" si="52"/>
        <v>Milk</v>
      </c>
      <c r="B81" t="str">
        <f t="shared" si="53"/>
        <v>Afar</v>
      </c>
      <c r="C81" s="2">
        <f t="shared" ca="1" si="50"/>
        <v>2189.9388131602013</v>
      </c>
      <c r="D81" s="2">
        <f t="shared" ca="1" si="50"/>
        <v>2809.7322203011472</v>
      </c>
      <c r="E81" s="2">
        <f t="shared" ca="1" si="50"/>
        <v>2140.6772290297131</v>
      </c>
      <c r="F81" s="2">
        <f t="shared" ca="1" si="50"/>
        <v>2237.857172870702</v>
      </c>
      <c r="G81" s="2">
        <f t="shared" ca="1" si="50"/>
        <v>2626.7030064733394</v>
      </c>
      <c r="H81" s="2">
        <f t="shared" ca="1" si="50"/>
        <v>2222.3537479604915</v>
      </c>
      <c r="I81" s="2">
        <f t="shared" ca="1" si="50"/>
        <v>2594.9117259552263</v>
      </c>
      <c r="J81" s="2">
        <f t="shared" ca="1" si="50"/>
        <v>2855.1647794998412</v>
      </c>
      <c r="K81" s="2">
        <f t="shared" ca="1" si="50"/>
        <v>2904.75919079707</v>
      </c>
      <c r="L81" s="2">
        <f t="shared" ca="1" si="50"/>
        <v>2678.6320334039278</v>
      </c>
      <c r="M81" s="2">
        <f t="shared" ca="1" si="50"/>
        <v>2156.2096503388912</v>
      </c>
      <c r="N81" s="2">
        <f t="shared" ca="1" si="50"/>
        <v>2370.6697599438935</v>
      </c>
      <c r="O81" s="2">
        <f t="shared" ca="1" si="50"/>
        <v>2139.5340344518399</v>
      </c>
      <c r="P81" s="2">
        <f t="shared" ca="1" si="50"/>
        <v>2655.3294654091796</v>
      </c>
      <c r="Q81" s="2">
        <f t="shared" ca="1" si="50"/>
        <v>2460.1700606123281</v>
      </c>
      <c r="R81" s="2">
        <f t="shared" ca="1" si="50"/>
        <v>2445.0120790824149</v>
      </c>
      <c r="S81" s="2">
        <f t="shared" ca="1" si="51"/>
        <v>2288.2459883626816</v>
      </c>
      <c r="T81" s="2">
        <f t="shared" ca="1" si="51"/>
        <v>2395.2925678967131</v>
      </c>
      <c r="U81" s="2">
        <f t="shared" ca="1" si="51"/>
        <v>2042.1036216811722</v>
      </c>
      <c r="V81" s="2">
        <f t="shared" ca="1" si="51"/>
        <v>2240.9149106158434</v>
      </c>
      <c r="W81" s="2">
        <f t="shared" ca="1" si="51"/>
        <v>2152.2496223801522</v>
      </c>
      <c r="X81" s="2">
        <f t="shared" ca="1" si="51"/>
        <v>2594.9896960931578</v>
      </c>
      <c r="Y81" s="2">
        <f t="shared" ca="1" si="51"/>
        <v>2987.6060118946616</v>
      </c>
      <c r="Z81" s="2">
        <f t="shared" ca="1" si="51"/>
        <v>2863.3540192816895</v>
      </c>
      <c r="AA81" s="2">
        <f t="shared" ca="1" si="51"/>
        <v>2649.273254407507</v>
      </c>
      <c r="AB81" s="2">
        <f t="shared" ca="1" si="51"/>
        <v>2865.4553197266732</v>
      </c>
      <c r="AC81" s="2">
        <f t="shared" ca="1" si="51"/>
        <v>2430.2811542222853</v>
      </c>
      <c r="AD81" s="2">
        <f t="shared" ca="1" si="51"/>
        <v>2326.3397147706978</v>
      </c>
      <c r="AE81" s="2">
        <f t="shared" ca="1" si="51"/>
        <v>2374.5549943340043</v>
      </c>
      <c r="AF81" s="2">
        <f t="shared" ca="1" si="51"/>
        <v>2474.4397915842628</v>
      </c>
      <c r="AG81" s="2">
        <f t="shared" ca="1" si="51"/>
        <v>2939.0444907722281</v>
      </c>
      <c r="AH81" s="2">
        <f t="shared" ca="1" si="51"/>
        <v>2999.5902061474908</v>
      </c>
    </row>
    <row r="82" spans="1:34">
      <c r="A82" t="str">
        <f t="shared" si="52"/>
        <v>Milk</v>
      </c>
      <c r="B82" t="str">
        <f t="shared" si="53"/>
        <v>Amhara</v>
      </c>
      <c r="C82" s="2">
        <f t="shared" ca="1" si="50"/>
        <v>2212.2459806315956</v>
      </c>
      <c r="D82" s="2">
        <f t="shared" ca="1" si="50"/>
        <v>2828.3293858915999</v>
      </c>
      <c r="E82" s="2">
        <f t="shared" ca="1" si="50"/>
        <v>2478.5300065399811</v>
      </c>
      <c r="F82" s="2">
        <f t="shared" ca="1" si="50"/>
        <v>2350.3142341873736</v>
      </c>
      <c r="G82" s="2">
        <f t="shared" ca="1" si="50"/>
        <v>2251.7768831697949</v>
      </c>
      <c r="H82" s="2">
        <f t="shared" ca="1" si="50"/>
        <v>2201.7424566185618</v>
      </c>
      <c r="I82" s="2">
        <f t="shared" ca="1" si="50"/>
        <v>2009.7597989549795</v>
      </c>
      <c r="J82" s="2">
        <f t="shared" ca="1" si="50"/>
        <v>2483.3702000404346</v>
      </c>
      <c r="K82" s="2">
        <f t="shared" ca="1" si="50"/>
        <v>2143.4815594807733</v>
      </c>
      <c r="L82" s="2">
        <f t="shared" ca="1" si="50"/>
        <v>2283.8657973241516</v>
      </c>
      <c r="M82" s="2">
        <f t="shared" ca="1" si="50"/>
        <v>2268.3182142159185</v>
      </c>
      <c r="N82" s="2">
        <f t="shared" ca="1" si="50"/>
        <v>2504.8635751016136</v>
      </c>
      <c r="O82" s="2">
        <f t="shared" ca="1" si="50"/>
        <v>2971.3767901350689</v>
      </c>
      <c r="P82" s="2">
        <f t="shared" ca="1" si="50"/>
        <v>2259.3073740978894</v>
      </c>
      <c r="Q82" s="2">
        <f t="shared" ca="1" si="50"/>
        <v>2621.4812404696331</v>
      </c>
      <c r="R82" s="2">
        <f t="shared" ca="1" si="50"/>
        <v>2650.467232699637</v>
      </c>
      <c r="S82" s="2">
        <f t="shared" ca="1" si="51"/>
        <v>2185.7742276227291</v>
      </c>
      <c r="T82" s="2">
        <f t="shared" ca="1" si="51"/>
        <v>2780.7535617721778</v>
      </c>
      <c r="U82" s="2">
        <f t="shared" ca="1" si="51"/>
        <v>2249.9953166126916</v>
      </c>
      <c r="V82" s="2">
        <f t="shared" ca="1" si="51"/>
        <v>2972.3391779571693</v>
      </c>
      <c r="W82" s="2">
        <f t="shared" ca="1" si="51"/>
        <v>2222.4268654579928</v>
      </c>
      <c r="X82" s="2">
        <f t="shared" ca="1" si="51"/>
        <v>2455.4870172702358</v>
      </c>
      <c r="Y82" s="2">
        <f t="shared" ca="1" si="51"/>
        <v>2106.0949602005167</v>
      </c>
      <c r="Z82" s="2">
        <f t="shared" ca="1" si="51"/>
        <v>2779.9643346357975</v>
      </c>
      <c r="AA82" s="2">
        <f t="shared" ca="1" si="51"/>
        <v>2851.842669600207</v>
      </c>
      <c r="AB82" s="2">
        <f t="shared" ca="1" si="51"/>
        <v>2835.2266430659884</v>
      </c>
      <c r="AC82" s="2">
        <f t="shared" ca="1" si="51"/>
        <v>2728.979458861993</v>
      </c>
      <c r="AD82" s="2">
        <f t="shared" ca="1" si="51"/>
        <v>2263.4782372002446</v>
      </c>
      <c r="AE82" s="2">
        <f t="shared" ca="1" si="51"/>
        <v>2761.6594940156001</v>
      </c>
      <c r="AF82" s="2">
        <f t="shared" ca="1" si="51"/>
        <v>2053.4096030108581</v>
      </c>
      <c r="AG82" s="2">
        <f t="shared" ca="1" si="51"/>
        <v>2511.0737355213469</v>
      </c>
      <c r="AH82" s="2">
        <f t="shared" ca="1" si="51"/>
        <v>2516.5774181583788</v>
      </c>
    </row>
    <row r="83" spans="1:34">
      <c r="A83" t="str">
        <f t="shared" si="52"/>
        <v>Milk</v>
      </c>
      <c r="B83" t="str">
        <f t="shared" si="53"/>
        <v>Gumuz</v>
      </c>
      <c r="C83" s="2">
        <f t="shared" ca="1" si="50"/>
        <v>2080.2028155799244</v>
      </c>
      <c r="D83" s="2">
        <f t="shared" ca="1" si="50"/>
        <v>2247.1719229948758</v>
      </c>
      <c r="E83" s="2">
        <f t="shared" ca="1" si="50"/>
        <v>2654.1387487699508</v>
      </c>
      <c r="F83" s="2">
        <f t="shared" ca="1" si="50"/>
        <v>2256.9443934708761</v>
      </c>
      <c r="G83" s="2">
        <f t="shared" ca="1" si="50"/>
        <v>2071.6126400684288</v>
      </c>
      <c r="H83" s="2">
        <f t="shared" ca="1" si="50"/>
        <v>2489.6004798375398</v>
      </c>
      <c r="I83" s="2">
        <f t="shared" ca="1" si="50"/>
        <v>2384.8120188980965</v>
      </c>
      <c r="J83" s="2">
        <f t="shared" ca="1" si="50"/>
        <v>2906.9223889493369</v>
      </c>
      <c r="K83" s="2">
        <f t="shared" ca="1" si="50"/>
        <v>2637.1134683371511</v>
      </c>
      <c r="L83" s="2">
        <f t="shared" ca="1" si="50"/>
        <v>2143.3997747172589</v>
      </c>
      <c r="M83" s="2">
        <f t="shared" ca="1" si="50"/>
        <v>2442.2117685790508</v>
      </c>
      <c r="N83" s="2">
        <f t="shared" ca="1" si="50"/>
        <v>2793.8119548246059</v>
      </c>
      <c r="O83" s="2">
        <f t="shared" ca="1" si="50"/>
        <v>2111.0326724903939</v>
      </c>
      <c r="P83" s="2">
        <f t="shared" ca="1" si="50"/>
        <v>2347.6218842903145</v>
      </c>
      <c r="Q83" s="2">
        <f t="shared" ca="1" si="50"/>
        <v>2654.185093611889</v>
      </c>
      <c r="R83" s="2">
        <f t="shared" ca="1" si="50"/>
        <v>2935.9074122929696</v>
      </c>
      <c r="S83" s="2">
        <f t="shared" ca="1" si="51"/>
        <v>2888.1880487834051</v>
      </c>
      <c r="T83" s="2">
        <f t="shared" ca="1" si="51"/>
        <v>2193.6492545033702</v>
      </c>
      <c r="U83" s="2">
        <f t="shared" ca="1" si="51"/>
        <v>2514.5422330829551</v>
      </c>
      <c r="V83" s="2">
        <f t="shared" ca="1" si="51"/>
        <v>2597.8524523974534</v>
      </c>
      <c r="W83" s="2">
        <f t="shared" ca="1" si="51"/>
        <v>2035.3579918535027</v>
      </c>
      <c r="X83" s="2">
        <f t="shared" ca="1" si="51"/>
        <v>2925.9618202114011</v>
      </c>
      <c r="Y83" s="2">
        <f t="shared" ca="1" si="51"/>
        <v>2280.336380065598</v>
      </c>
      <c r="Z83" s="2">
        <f t="shared" ca="1" si="51"/>
        <v>2069.8393125733805</v>
      </c>
      <c r="AA83" s="2">
        <f t="shared" ca="1" si="51"/>
        <v>2873.5681838029759</v>
      </c>
      <c r="AB83" s="2">
        <f t="shared" ca="1" si="51"/>
        <v>2163.6245357854687</v>
      </c>
      <c r="AC83" s="2">
        <f t="shared" ca="1" si="51"/>
        <v>2845.0185880154486</v>
      </c>
      <c r="AD83" s="2">
        <f t="shared" ca="1" si="51"/>
        <v>2560.2218478804607</v>
      </c>
      <c r="AE83" s="2">
        <f t="shared" ca="1" si="51"/>
        <v>2506.1702616908451</v>
      </c>
      <c r="AF83" s="2">
        <f t="shared" ca="1" si="51"/>
        <v>2779.198023686904</v>
      </c>
      <c r="AG83" s="2">
        <f t="shared" ca="1" si="51"/>
        <v>2121.8102457203527</v>
      </c>
      <c r="AH83" s="2">
        <f t="shared" ca="1" si="51"/>
        <v>2094.8042117508139</v>
      </c>
    </row>
    <row r="84" spans="1:34">
      <c r="A84" t="str">
        <f t="shared" si="52"/>
        <v>Milk</v>
      </c>
      <c r="B84" t="str">
        <f t="shared" si="53"/>
        <v>DireDawa</v>
      </c>
      <c r="C84" s="2">
        <f t="shared" ca="1" si="50"/>
        <v>2268.9045311992163</v>
      </c>
      <c r="D84" s="2">
        <f t="shared" ca="1" si="50"/>
        <v>2431.5039306247081</v>
      </c>
      <c r="E84" s="2">
        <f t="shared" ca="1" si="50"/>
        <v>2464.31698814422</v>
      </c>
      <c r="F84" s="2">
        <f t="shared" ca="1" si="50"/>
        <v>2154.9339372239392</v>
      </c>
      <c r="G84" s="2">
        <f t="shared" ca="1" si="50"/>
        <v>2791.9716091002369</v>
      </c>
      <c r="H84" s="2">
        <f t="shared" ca="1" si="50"/>
        <v>2484.4197365930258</v>
      </c>
      <c r="I84" s="2">
        <f t="shared" ca="1" si="50"/>
        <v>2155.4712653837259</v>
      </c>
      <c r="J84" s="2">
        <f t="shared" ca="1" si="50"/>
        <v>2653.9507410052324</v>
      </c>
      <c r="K84" s="2">
        <f t="shared" ca="1" si="50"/>
        <v>2690.3427396243851</v>
      </c>
      <c r="L84" s="2">
        <f t="shared" ca="1" si="50"/>
        <v>2455.3430431702409</v>
      </c>
      <c r="M84" s="2">
        <f t="shared" ca="1" si="50"/>
        <v>2566.6580680052666</v>
      </c>
      <c r="N84" s="2">
        <f t="shared" ca="1" si="50"/>
        <v>2798.9863303311431</v>
      </c>
      <c r="O84" s="2">
        <f t="shared" ca="1" si="50"/>
        <v>2789.6900083151895</v>
      </c>
      <c r="P84" s="2">
        <f t="shared" ca="1" si="50"/>
        <v>2095.7685064391867</v>
      </c>
      <c r="Q84" s="2">
        <f t="shared" ca="1" si="50"/>
        <v>2431.9969909534011</v>
      </c>
      <c r="R84" s="2">
        <f t="shared" ref="R84:AG90" ca="1" si="54">((RAND()*1+2)*100)*10</f>
        <v>2383.4792310218863</v>
      </c>
      <c r="S84" s="2">
        <f t="shared" ca="1" si="51"/>
        <v>2219.6246990921759</v>
      </c>
      <c r="T84" s="2">
        <f t="shared" ca="1" si="51"/>
        <v>2656.4930488916848</v>
      </c>
      <c r="U84" s="2">
        <f t="shared" ca="1" si="51"/>
        <v>2830.563169315461</v>
      </c>
      <c r="V84" s="2">
        <f t="shared" ca="1" si="51"/>
        <v>2097.5244870066463</v>
      </c>
      <c r="W84" s="2">
        <f t="shared" ca="1" si="51"/>
        <v>2190.7372029390895</v>
      </c>
      <c r="X84" s="2">
        <f t="shared" ca="1" si="51"/>
        <v>2621.1718605028964</v>
      </c>
      <c r="Y84" s="2">
        <f t="shared" ca="1" si="51"/>
        <v>2642.2798026517744</v>
      </c>
      <c r="Z84" s="2">
        <f t="shared" ca="1" si="51"/>
        <v>2108.7210932106864</v>
      </c>
      <c r="AA84" s="2">
        <f t="shared" ca="1" si="51"/>
        <v>2912.4007727212415</v>
      </c>
      <c r="AB84" s="2">
        <f t="shared" ca="1" si="51"/>
        <v>2789.0362636830741</v>
      </c>
      <c r="AC84" s="2">
        <f t="shared" ca="1" si="51"/>
        <v>2633.7776486520452</v>
      </c>
      <c r="AD84" s="2">
        <f t="shared" ca="1" si="51"/>
        <v>2935.5339758309383</v>
      </c>
      <c r="AE84" s="2">
        <f t="shared" ca="1" si="51"/>
        <v>2133.6171216693483</v>
      </c>
      <c r="AF84" s="2">
        <f t="shared" ca="1" si="51"/>
        <v>2493.9577439884893</v>
      </c>
      <c r="AG84" s="2">
        <f t="shared" ca="1" si="51"/>
        <v>2586.864608698711</v>
      </c>
      <c r="AH84" s="2">
        <f t="shared" ref="AH84:AH90" ca="1" si="55">((RAND()*1+2)*100)*10</f>
        <v>2911.0812139073987</v>
      </c>
    </row>
    <row r="85" spans="1:34">
      <c r="A85" t="str">
        <f t="shared" si="52"/>
        <v>Milk</v>
      </c>
      <c r="B85" t="str">
        <f t="shared" si="53"/>
        <v>Gambela</v>
      </c>
      <c r="C85" s="2">
        <f t="shared" ref="C85:Q90" ca="1" si="56">((RAND()*1+2)*100)*10</f>
        <v>2008.2405805828175</v>
      </c>
      <c r="D85" s="2">
        <f t="shared" ca="1" si="56"/>
        <v>2060.1437119296966</v>
      </c>
      <c r="E85" s="2">
        <f t="shared" ca="1" si="56"/>
        <v>2377.6220452850653</v>
      </c>
      <c r="F85" s="2">
        <f t="shared" ca="1" si="56"/>
        <v>2263.7511768665181</v>
      </c>
      <c r="G85" s="2">
        <f t="shared" ca="1" si="56"/>
        <v>2853.9683280809722</v>
      </c>
      <c r="H85" s="2">
        <f t="shared" ca="1" si="56"/>
        <v>2986.221296385906</v>
      </c>
      <c r="I85" s="2">
        <f t="shared" ca="1" si="56"/>
        <v>2325.1297596611134</v>
      </c>
      <c r="J85" s="2">
        <f t="shared" ca="1" si="56"/>
        <v>2702.8501948260891</v>
      </c>
      <c r="K85" s="2">
        <f t="shared" ca="1" si="56"/>
        <v>2198.8782236718725</v>
      </c>
      <c r="L85" s="2">
        <f t="shared" ca="1" si="56"/>
        <v>2253.8839927302579</v>
      </c>
      <c r="M85" s="2">
        <f t="shared" ca="1" si="56"/>
        <v>2849.3172558858801</v>
      </c>
      <c r="N85" s="2">
        <f t="shared" ca="1" si="56"/>
        <v>2261.1532428776163</v>
      </c>
      <c r="O85" s="2">
        <f t="shared" ca="1" si="56"/>
        <v>2602.7244570484777</v>
      </c>
      <c r="P85" s="2">
        <f t="shared" ca="1" si="56"/>
        <v>2896.1459382999083</v>
      </c>
      <c r="Q85" s="2">
        <f t="shared" ca="1" si="56"/>
        <v>2609.2506112264959</v>
      </c>
      <c r="R85" s="2">
        <f t="shared" ca="1" si="54"/>
        <v>2371.2340088128881</v>
      </c>
      <c r="S85" s="2">
        <f t="shared" ca="1" si="54"/>
        <v>2992.2671967585443</v>
      </c>
      <c r="T85" s="2">
        <f t="shared" ca="1" si="54"/>
        <v>2171.2441970990717</v>
      </c>
      <c r="U85" s="2">
        <f t="shared" ca="1" si="54"/>
        <v>2214.4490734015089</v>
      </c>
      <c r="V85" s="2">
        <f t="shared" ca="1" si="54"/>
        <v>2392.912860588166</v>
      </c>
      <c r="W85" s="2">
        <f t="shared" ca="1" si="54"/>
        <v>2360.6352381558231</v>
      </c>
      <c r="X85" s="2">
        <f t="shared" ca="1" si="54"/>
        <v>2556.9752240666039</v>
      </c>
      <c r="Y85" s="2">
        <f t="shared" ca="1" si="54"/>
        <v>2265.2205569052439</v>
      </c>
      <c r="Z85" s="2">
        <f t="shared" ca="1" si="54"/>
        <v>2147.6979403071873</v>
      </c>
      <c r="AA85" s="2">
        <f t="shared" ca="1" si="54"/>
        <v>2109.4160273623825</v>
      </c>
      <c r="AB85" s="2">
        <f t="shared" ca="1" si="54"/>
        <v>2205.1017851963202</v>
      </c>
      <c r="AC85" s="2">
        <f t="shared" ca="1" si="54"/>
        <v>2975.9181188109728</v>
      </c>
      <c r="AD85" s="2">
        <f t="shared" ca="1" si="54"/>
        <v>2276.6825592113773</v>
      </c>
      <c r="AE85" s="2">
        <f t="shared" ca="1" si="54"/>
        <v>2860.3983550899402</v>
      </c>
      <c r="AF85" s="2">
        <f t="shared" ca="1" si="54"/>
        <v>2293.9492118153607</v>
      </c>
      <c r="AG85" s="2">
        <f t="shared" ca="1" si="54"/>
        <v>2356.246601510989</v>
      </c>
      <c r="AH85" s="2">
        <f t="shared" ca="1" si="55"/>
        <v>2960.5088669088086</v>
      </c>
    </row>
    <row r="86" spans="1:34">
      <c r="A86" t="str">
        <f t="shared" si="52"/>
        <v>Milk</v>
      </c>
      <c r="B86" t="str">
        <f t="shared" si="53"/>
        <v>Harari</v>
      </c>
      <c r="C86" s="2">
        <f t="shared" ca="1" si="56"/>
        <v>2576.1059190207266</v>
      </c>
      <c r="D86" s="2">
        <f t="shared" ca="1" si="56"/>
        <v>2358.2543667450777</v>
      </c>
      <c r="E86" s="2">
        <f t="shared" ca="1" si="56"/>
        <v>2647.6300953479249</v>
      </c>
      <c r="F86" s="2">
        <f t="shared" ca="1" si="56"/>
        <v>2887.0161738119841</v>
      </c>
      <c r="G86" s="2">
        <f t="shared" ca="1" si="56"/>
        <v>2939.2561470746796</v>
      </c>
      <c r="H86" s="2">
        <f t="shared" ca="1" si="56"/>
        <v>2991.8377443672052</v>
      </c>
      <c r="I86" s="2">
        <f t="shared" ca="1" si="56"/>
        <v>2327.9832389982303</v>
      </c>
      <c r="J86" s="2">
        <f t="shared" ca="1" si="56"/>
        <v>2385.8879571509042</v>
      </c>
      <c r="K86" s="2">
        <f t="shared" ca="1" si="56"/>
        <v>2920.7537438270015</v>
      </c>
      <c r="L86" s="2">
        <f t="shared" ca="1" si="56"/>
        <v>2074.5297651628489</v>
      </c>
      <c r="M86" s="2">
        <f t="shared" ca="1" si="56"/>
        <v>2734.8160643612614</v>
      </c>
      <c r="N86" s="2">
        <f t="shared" ca="1" si="56"/>
        <v>2580.9702951280324</v>
      </c>
      <c r="O86" s="2">
        <f t="shared" ca="1" si="56"/>
        <v>2769.161343982887</v>
      </c>
      <c r="P86" s="2">
        <f t="shared" ca="1" si="56"/>
        <v>2905.9597681032842</v>
      </c>
      <c r="Q86" s="2">
        <f t="shared" ca="1" si="56"/>
        <v>2546.8663675884272</v>
      </c>
      <c r="R86" s="2">
        <f t="shared" ca="1" si="54"/>
        <v>2584.2712616449312</v>
      </c>
      <c r="S86" s="2">
        <f t="shared" ca="1" si="54"/>
        <v>2125.8497490511763</v>
      </c>
      <c r="T86" s="2">
        <f t="shared" ca="1" si="54"/>
        <v>2747.9520241066716</v>
      </c>
      <c r="U86" s="2">
        <f t="shared" ca="1" si="54"/>
        <v>2087.1400153181089</v>
      </c>
      <c r="V86" s="2">
        <f t="shared" ca="1" si="54"/>
        <v>2882.0956866379133</v>
      </c>
      <c r="W86" s="2">
        <f t="shared" ca="1" si="54"/>
        <v>2398.106167184716</v>
      </c>
      <c r="X86" s="2">
        <f t="shared" ca="1" si="54"/>
        <v>2854.0487160262096</v>
      </c>
      <c r="Y86" s="2">
        <f t="shared" ca="1" si="54"/>
        <v>2251.5383262805103</v>
      </c>
      <c r="Z86" s="2">
        <f t="shared" ca="1" si="54"/>
        <v>2291.5827067515952</v>
      </c>
      <c r="AA86" s="2">
        <f t="shared" ca="1" si="54"/>
        <v>2596.3796239380354</v>
      </c>
      <c r="AB86" s="2">
        <f t="shared" ca="1" si="54"/>
        <v>2629.0091726875808</v>
      </c>
      <c r="AC86" s="2">
        <f t="shared" ca="1" si="54"/>
        <v>2261.1577880779105</v>
      </c>
      <c r="AD86" s="2">
        <f t="shared" ca="1" si="54"/>
        <v>2169.4523130990328</v>
      </c>
      <c r="AE86" s="2">
        <f t="shared" ca="1" si="54"/>
        <v>2681.4596032397394</v>
      </c>
      <c r="AF86" s="2">
        <f t="shared" ca="1" si="54"/>
        <v>2670.7934724814118</v>
      </c>
      <c r="AG86" s="2">
        <f t="shared" ca="1" si="54"/>
        <v>2670.9732779049273</v>
      </c>
      <c r="AH86" s="2">
        <f t="shared" ca="1" si="55"/>
        <v>2503.8969923204781</v>
      </c>
    </row>
    <row r="87" spans="1:34">
      <c r="A87" t="str">
        <f t="shared" si="52"/>
        <v>Milk</v>
      </c>
      <c r="B87" t="str">
        <f t="shared" si="53"/>
        <v>Oromia</v>
      </c>
      <c r="C87" s="2">
        <f t="shared" ca="1" si="56"/>
        <v>2802.021621419859</v>
      </c>
      <c r="D87" s="2">
        <f t="shared" ca="1" si="56"/>
        <v>2746.5507347548937</v>
      </c>
      <c r="E87" s="2">
        <f t="shared" ca="1" si="56"/>
        <v>2270.3809161293684</v>
      </c>
      <c r="F87" s="2">
        <f t="shared" ca="1" si="56"/>
        <v>2051.9442989843801</v>
      </c>
      <c r="G87" s="2">
        <f t="shared" ca="1" si="56"/>
        <v>2406.9315346423259</v>
      </c>
      <c r="H87" s="2">
        <f t="shared" ca="1" si="56"/>
        <v>2205.5316113442641</v>
      </c>
      <c r="I87" s="2">
        <f t="shared" ca="1" si="56"/>
        <v>2067.207773372686</v>
      </c>
      <c r="J87" s="2">
        <f t="shared" ca="1" si="56"/>
        <v>2363.7338543391616</v>
      </c>
      <c r="K87" s="2">
        <f t="shared" ca="1" si="56"/>
        <v>2503.7924037581461</v>
      </c>
      <c r="L87" s="2">
        <f t="shared" ca="1" si="56"/>
        <v>2702.2821495497265</v>
      </c>
      <c r="M87" s="2">
        <f t="shared" ca="1" si="56"/>
        <v>2849.6905827104724</v>
      </c>
      <c r="N87" s="2">
        <f t="shared" ca="1" si="56"/>
        <v>2165.9656976538249</v>
      </c>
      <c r="O87" s="2">
        <f t="shared" ca="1" si="56"/>
        <v>2439.8210913350031</v>
      </c>
      <c r="P87" s="2">
        <f t="shared" ca="1" si="56"/>
        <v>2773.0012619494141</v>
      </c>
      <c r="Q87" s="2">
        <f t="shared" ca="1" si="56"/>
        <v>2411.9011980492769</v>
      </c>
      <c r="R87" s="2">
        <f t="shared" ca="1" si="54"/>
        <v>2631.6632209096183</v>
      </c>
      <c r="S87" s="2">
        <f t="shared" ca="1" si="54"/>
        <v>2782.4133394103765</v>
      </c>
      <c r="T87" s="2">
        <f t="shared" ca="1" si="54"/>
        <v>2911.2952118409412</v>
      </c>
      <c r="U87" s="2">
        <f t="shared" ca="1" si="54"/>
        <v>2745.0722492521622</v>
      </c>
      <c r="V87" s="2">
        <f t="shared" ca="1" si="54"/>
        <v>2420.0240535779699</v>
      </c>
      <c r="W87" s="2">
        <f t="shared" ca="1" si="54"/>
        <v>2978.107557635642</v>
      </c>
      <c r="X87" s="2">
        <f t="shared" ca="1" si="54"/>
        <v>2934.7316251396892</v>
      </c>
      <c r="Y87" s="2">
        <f t="shared" ca="1" si="54"/>
        <v>2475.4140469945378</v>
      </c>
      <c r="Z87" s="2">
        <f t="shared" ca="1" si="54"/>
        <v>2982.6193165721297</v>
      </c>
      <c r="AA87" s="2">
        <f t="shared" ca="1" si="54"/>
        <v>2094.1499643452535</v>
      </c>
      <c r="AB87" s="2">
        <f t="shared" ca="1" si="54"/>
        <v>2486.8866927967479</v>
      </c>
      <c r="AC87" s="2">
        <f t="shared" ca="1" si="54"/>
        <v>2923.9247902112038</v>
      </c>
      <c r="AD87" s="2">
        <f t="shared" ca="1" si="54"/>
        <v>2031.4915386080972</v>
      </c>
      <c r="AE87" s="2">
        <f t="shared" ca="1" si="54"/>
        <v>2196.6606154906863</v>
      </c>
      <c r="AF87" s="2">
        <f t="shared" ca="1" si="54"/>
        <v>2463.8336993344092</v>
      </c>
      <c r="AG87" s="2">
        <f t="shared" ca="1" si="54"/>
        <v>2238.0649118039792</v>
      </c>
      <c r="AH87" s="2">
        <f t="shared" ca="1" si="55"/>
        <v>2968.0762877884622</v>
      </c>
    </row>
    <row r="88" spans="1:34">
      <c r="A88" t="str">
        <f t="shared" si="52"/>
        <v>Milk</v>
      </c>
      <c r="B88" t="str">
        <f t="shared" si="53"/>
        <v>Somali</v>
      </c>
      <c r="C88" s="2">
        <f t="shared" ca="1" si="56"/>
        <v>2660.1768106822592</v>
      </c>
      <c r="D88" s="2">
        <f t="shared" ca="1" si="56"/>
        <v>2868.4821269747172</v>
      </c>
      <c r="E88" s="2">
        <f t="shared" ca="1" si="56"/>
        <v>2786.6229115042797</v>
      </c>
      <c r="F88" s="2">
        <f t="shared" ca="1" si="56"/>
        <v>2390.9764665950461</v>
      </c>
      <c r="G88" s="2">
        <f t="shared" ca="1" si="56"/>
        <v>2853.9253174821451</v>
      </c>
      <c r="H88" s="2">
        <f t="shared" ca="1" si="56"/>
        <v>2302.3661654695725</v>
      </c>
      <c r="I88" s="2">
        <f t="shared" ca="1" si="56"/>
        <v>2319.6951081772286</v>
      </c>
      <c r="J88" s="2">
        <f t="shared" ca="1" si="56"/>
        <v>2843.4934627055582</v>
      </c>
      <c r="K88" s="2">
        <f t="shared" ca="1" si="56"/>
        <v>2513.888153978115</v>
      </c>
      <c r="L88" s="2">
        <f t="shared" ca="1" si="56"/>
        <v>2825.3401793111329</v>
      </c>
      <c r="M88" s="2">
        <f t="shared" ca="1" si="56"/>
        <v>2066.8403015023109</v>
      </c>
      <c r="N88" s="2">
        <f t="shared" ca="1" si="56"/>
        <v>2831.7165996572503</v>
      </c>
      <c r="O88" s="2">
        <f t="shared" ca="1" si="56"/>
        <v>2849.4375350066675</v>
      </c>
      <c r="P88" s="2">
        <f t="shared" ca="1" si="56"/>
        <v>2113.32793351686</v>
      </c>
      <c r="Q88" s="2">
        <f t="shared" ca="1" si="56"/>
        <v>2083.928396332466</v>
      </c>
      <c r="R88" s="2">
        <f t="shared" ca="1" si="54"/>
        <v>2647.0449255755111</v>
      </c>
      <c r="S88" s="2">
        <f t="shared" ca="1" si="54"/>
        <v>2830.9076709644633</v>
      </c>
      <c r="T88" s="2">
        <f t="shared" ca="1" si="54"/>
        <v>2918.2059190555829</v>
      </c>
      <c r="U88" s="2">
        <f t="shared" ca="1" si="54"/>
        <v>2768.0426946300395</v>
      </c>
      <c r="V88" s="2">
        <f t="shared" ca="1" si="54"/>
        <v>2633.9655092220555</v>
      </c>
      <c r="W88" s="2">
        <f t="shared" ca="1" si="54"/>
        <v>2056.1996496997931</v>
      </c>
      <c r="X88" s="2">
        <f t="shared" ca="1" si="54"/>
        <v>2772.2206228692767</v>
      </c>
      <c r="Y88" s="2">
        <f t="shared" ca="1" si="54"/>
        <v>2789.359556019348</v>
      </c>
      <c r="Z88" s="2">
        <f t="shared" ca="1" si="54"/>
        <v>2314.2143432191474</v>
      </c>
      <c r="AA88" s="2">
        <f t="shared" ca="1" si="54"/>
        <v>2382.8319674738568</v>
      </c>
      <c r="AB88" s="2">
        <f t="shared" ca="1" si="54"/>
        <v>2189.3977418924765</v>
      </c>
      <c r="AC88" s="2">
        <f t="shared" ca="1" si="54"/>
        <v>2151.201852044599</v>
      </c>
      <c r="AD88" s="2">
        <f t="shared" ca="1" si="54"/>
        <v>2750.1011096471066</v>
      </c>
      <c r="AE88" s="2">
        <f t="shared" ca="1" si="54"/>
        <v>2943.5872702526412</v>
      </c>
      <c r="AF88" s="2">
        <f t="shared" ca="1" si="54"/>
        <v>2575.2148890517456</v>
      </c>
      <c r="AG88" s="2">
        <f t="shared" ca="1" si="54"/>
        <v>2067.6607557586308</v>
      </c>
      <c r="AH88" s="2">
        <f t="shared" ca="1" si="55"/>
        <v>2089.9055143421183</v>
      </c>
    </row>
    <row r="89" spans="1:34">
      <c r="A89" t="str">
        <f t="shared" si="52"/>
        <v>Milk</v>
      </c>
      <c r="B89" t="str">
        <f t="shared" si="53"/>
        <v>SNNPR</v>
      </c>
      <c r="C89" s="2">
        <f t="shared" ca="1" si="56"/>
        <v>2579.0770910688279</v>
      </c>
      <c r="D89" s="2">
        <f t="shared" ca="1" si="56"/>
        <v>2054.8454237921633</v>
      </c>
      <c r="E89" s="2">
        <f t="shared" ca="1" si="56"/>
        <v>2942.1236357669909</v>
      </c>
      <c r="F89" s="2">
        <f t="shared" ca="1" si="56"/>
        <v>2213.5712229009441</v>
      </c>
      <c r="G89" s="2">
        <f t="shared" ca="1" si="56"/>
        <v>2348.7605422052661</v>
      </c>
      <c r="H89" s="2">
        <f t="shared" ca="1" si="56"/>
        <v>2351.7078450135009</v>
      </c>
      <c r="I89" s="2">
        <f t="shared" ca="1" si="56"/>
        <v>2756.7997507799737</v>
      </c>
      <c r="J89" s="2">
        <f t="shared" ca="1" si="56"/>
        <v>2870.0485138843587</v>
      </c>
      <c r="K89" s="2">
        <f t="shared" ca="1" si="56"/>
        <v>2323.7950796469845</v>
      </c>
      <c r="L89" s="2">
        <f t="shared" ca="1" si="56"/>
        <v>2807.4033365184141</v>
      </c>
      <c r="M89" s="2">
        <f t="shared" ca="1" si="56"/>
        <v>2943.5257000326833</v>
      </c>
      <c r="N89" s="2">
        <f t="shared" ca="1" si="56"/>
        <v>2465.6534259157097</v>
      </c>
      <c r="O89" s="2">
        <f t="shared" ca="1" si="56"/>
        <v>2955.9834449361888</v>
      </c>
      <c r="P89" s="2">
        <f t="shared" ca="1" si="56"/>
        <v>2400.0895684418479</v>
      </c>
      <c r="Q89" s="2">
        <f t="shared" ca="1" si="56"/>
        <v>2286.6572465919517</v>
      </c>
      <c r="R89" s="2">
        <f t="shared" ca="1" si="54"/>
        <v>2391.3046656098004</v>
      </c>
      <c r="S89" s="2">
        <f t="shared" ca="1" si="54"/>
        <v>2664.5240306804317</v>
      </c>
      <c r="T89" s="2">
        <f t="shared" ca="1" si="54"/>
        <v>2782.6255637075337</v>
      </c>
      <c r="U89" s="2">
        <f t="shared" ca="1" si="54"/>
        <v>2779.8217934520449</v>
      </c>
      <c r="V89" s="2">
        <f t="shared" ca="1" si="54"/>
        <v>2154.3794444914079</v>
      </c>
      <c r="W89" s="2">
        <f t="shared" ca="1" si="54"/>
        <v>2107.4246609466518</v>
      </c>
      <c r="X89" s="2">
        <f t="shared" ca="1" si="54"/>
        <v>2574.0468494371953</v>
      </c>
      <c r="Y89" s="2">
        <f t="shared" ca="1" si="54"/>
        <v>2448.6591730382311</v>
      </c>
      <c r="Z89" s="2">
        <f t="shared" ca="1" si="54"/>
        <v>2639.2035450908888</v>
      </c>
      <c r="AA89" s="2">
        <f t="shared" ca="1" si="54"/>
        <v>2518.7477567152473</v>
      </c>
      <c r="AB89" s="2">
        <f t="shared" ca="1" si="54"/>
        <v>2382.8815988925462</v>
      </c>
      <c r="AC89" s="2">
        <f t="shared" ca="1" si="54"/>
        <v>2857.4733862513731</v>
      </c>
      <c r="AD89" s="2">
        <f t="shared" ca="1" si="54"/>
        <v>2670.1678814066554</v>
      </c>
      <c r="AE89" s="2">
        <f t="shared" ca="1" si="54"/>
        <v>2758.7630399033919</v>
      </c>
      <c r="AF89" s="2">
        <f t="shared" ca="1" si="54"/>
        <v>2601.7861872596909</v>
      </c>
      <c r="AG89" s="2">
        <f t="shared" ca="1" si="54"/>
        <v>2439.3215873788754</v>
      </c>
      <c r="AH89" s="2">
        <f t="shared" ca="1" si="55"/>
        <v>2237.1870271272637</v>
      </c>
    </row>
    <row r="90" spans="1:34">
      <c r="A90" t="str">
        <f t="shared" si="52"/>
        <v>Milk</v>
      </c>
      <c r="B90" t="str">
        <f t="shared" si="53"/>
        <v>Tigray</v>
      </c>
      <c r="C90" s="2">
        <f t="shared" ca="1" si="56"/>
        <v>2013.3346565884701</v>
      </c>
      <c r="D90" s="2">
        <f t="shared" ca="1" si="56"/>
        <v>2326.2269454902857</v>
      </c>
      <c r="E90" s="2">
        <f t="shared" ca="1" si="56"/>
        <v>2782.8691224832137</v>
      </c>
      <c r="F90" s="2">
        <f t="shared" ca="1" si="56"/>
        <v>2822.0174952382445</v>
      </c>
      <c r="G90" s="2">
        <f t="shared" ca="1" si="56"/>
        <v>2869.9493213820879</v>
      </c>
      <c r="H90" s="2">
        <f t="shared" ca="1" si="56"/>
        <v>2440.2830430494664</v>
      </c>
      <c r="I90" s="2">
        <f t="shared" ca="1" si="56"/>
        <v>2736.6769599225527</v>
      </c>
      <c r="J90" s="2">
        <f t="shared" ca="1" si="56"/>
        <v>2324.4552300139912</v>
      </c>
      <c r="K90" s="2">
        <f t="shared" ca="1" si="56"/>
        <v>2901.0396503362158</v>
      </c>
      <c r="L90" s="2">
        <f t="shared" ca="1" si="56"/>
        <v>2918.1767036908232</v>
      </c>
      <c r="M90" s="2">
        <f t="shared" ca="1" si="56"/>
        <v>2772.3299969548812</v>
      </c>
      <c r="N90" s="2">
        <f t="shared" ca="1" si="56"/>
        <v>2922.9811949798486</v>
      </c>
      <c r="O90" s="2">
        <f t="shared" ca="1" si="56"/>
        <v>2897.0182385873245</v>
      </c>
      <c r="P90" s="2">
        <f t="shared" ca="1" si="56"/>
        <v>2349.0036554334229</v>
      </c>
      <c r="Q90" s="2">
        <f t="shared" ca="1" si="56"/>
        <v>2904.9128559912083</v>
      </c>
      <c r="R90" s="2">
        <f t="shared" ca="1" si="54"/>
        <v>2882.1486589776359</v>
      </c>
      <c r="S90" s="2">
        <f t="shared" ca="1" si="54"/>
        <v>2145.82132598108</v>
      </c>
      <c r="T90" s="2">
        <f t="shared" ca="1" si="54"/>
        <v>2738.5241788213011</v>
      </c>
      <c r="U90" s="2">
        <f t="shared" ca="1" si="54"/>
        <v>2489.5422660688273</v>
      </c>
      <c r="V90" s="2">
        <f t="shared" ca="1" si="54"/>
        <v>2401.9944248408224</v>
      </c>
      <c r="W90" s="2">
        <f t="shared" ca="1" si="54"/>
        <v>2362.4801861622659</v>
      </c>
      <c r="X90" s="2">
        <f t="shared" ca="1" si="54"/>
        <v>2631.9719190562569</v>
      </c>
      <c r="Y90" s="2">
        <f t="shared" ca="1" si="54"/>
        <v>2902.5298273181243</v>
      </c>
      <c r="Z90" s="2">
        <f t="shared" ca="1" si="54"/>
        <v>2851.8152161196895</v>
      </c>
      <c r="AA90" s="2">
        <f t="shared" ca="1" si="54"/>
        <v>2363.5479735011691</v>
      </c>
      <c r="AB90" s="2">
        <f t="shared" ca="1" si="54"/>
        <v>2195.9410373657838</v>
      </c>
      <c r="AC90" s="2">
        <f t="shared" ca="1" si="54"/>
        <v>2193.5899011641823</v>
      </c>
      <c r="AD90" s="2">
        <f t="shared" ca="1" si="54"/>
        <v>2839.0428385966798</v>
      </c>
      <c r="AE90" s="2">
        <f t="shared" ca="1" si="54"/>
        <v>2128.9174665018409</v>
      </c>
      <c r="AF90" s="2">
        <f t="shared" ca="1" si="54"/>
        <v>2835.7927594743078</v>
      </c>
      <c r="AG90" s="2">
        <f t="shared" ca="1" si="54"/>
        <v>2654.0676935385554</v>
      </c>
      <c r="AH90" s="2">
        <f t="shared" ca="1" si="55"/>
        <v>2020.4351582497939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90"/>
  <sheetViews>
    <sheetView zoomScale="85" zoomScaleNormal="85" workbookViewId="0"/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(RAND()*1+2.5)*10</f>
        <v>32.721787321638736</v>
      </c>
      <c r="D3" s="2">
        <f t="shared" ref="D3:AH11" ca="1" si="2">(RAND()*1+2.5)*10</f>
        <v>27.904752494742169</v>
      </c>
      <c r="E3" s="2">
        <f t="shared" ca="1" si="2"/>
        <v>33.818044170072056</v>
      </c>
      <c r="F3" s="2">
        <f t="shared" ca="1" si="2"/>
        <v>33.577960173590526</v>
      </c>
      <c r="G3" s="2">
        <f t="shared" ca="1" si="2"/>
        <v>26.427260640269871</v>
      </c>
      <c r="H3" s="2">
        <f t="shared" ca="1" si="2"/>
        <v>32.412183654879023</v>
      </c>
      <c r="I3" s="2">
        <f t="shared" ca="1" si="2"/>
        <v>32.247999022213705</v>
      </c>
      <c r="J3" s="2">
        <f t="shared" ca="1" si="2"/>
        <v>30.817540842797463</v>
      </c>
      <c r="K3" s="2">
        <f t="shared" ca="1" si="2"/>
        <v>30.405925907217433</v>
      </c>
      <c r="L3" s="2">
        <f t="shared" ca="1" si="2"/>
        <v>27.586575431363791</v>
      </c>
      <c r="M3" s="2">
        <f t="shared" ca="1" si="2"/>
        <v>30.622894047186794</v>
      </c>
      <c r="N3" s="2">
        <f t="shared" ca="1" si="2"/>
        <v>27.332870555199761</v>
      </c>
      <c r="O3" s="2">
        <f t="shared" ca="1" si="2"/>
        <v>31.570802344099565</v>
      </c>
      <c r="P3" s="2">
        <f t="shared" ca="1" si="2"/>
        <v>26.254647112392512</v>
      </c>
      <c r="Q3" s="2">
        <f t="shared" ca="1" si="2"/>
        <v>30.831900792524223</v>
      </c>
      <c r="R3" s="2">
        <f t="shared" ca="1" si="2"/>
        <v>28.067932568707494</v>
      </c>
      <c r="S3" s="2">
        <f t="shared" ca="1" si="2"/>
        <v>32.42565027129163</v>
      </c>
      <c r="T3" s="2">
        <f t="shared" ca="1" si="2"/>
        <v>31.243902413677553</v>
      </c>
      <c r="U3" s="2">
        <f t="shared" ca="1" si="2"/>
        <v>33.323707660604043</v>
      </c>
      <c r="V3" s="2">
        <f t="shared" ca="1" si="2"/>
        <v>28.94354898428762</v>
      </c>
      <c r="W3" s="2">
        <f t="shared" ca="1" si="2"/>
        <v>34.793863522826108</v>
      </c>
      <c r="X3" s="2">
        <f t="shared" ca="1" si="2"/>
        <v>33.531511113305172</v>
      </c>
      <c r="Y3" s="2">
        <f t="shared" ca="1" si="2"/>
        <v>25.561578240712702</v>
      </c>
      <c r="Z3" s="2">
        <f t="shared" ca="1" si="2"/>
        <v>25.64667913257194</v>
      </c>
      <c r="AA3" s="2">
        <f t="shared" ca="1" si="2"/>
        <v>34.709203849064913</v>
      </c>
      <c r="AB3" s="2">
        <f t="shared" ca="1" si="2"/>
        <v>32.478886210583099</v>
      </c>
      <c r="AC3" s="2">
        <f t="shared" ca="1" si="2"/>
        <v>27.131482410071047</v>
      </c>
      <c r="AD3" s="2">
        <f t="shared" ca="1" si="2"/>
        <v>30.551276947747645</v>
      </c>
      <c r="AE3" s="2">
        <f t="shared" ca="1" si="2"/>
        <v>32.083061774343086</v>
      </c>
      <c r="AF3" s="2">
        <f t="shared" ca="1" si="2"/>
        <v>26.06869316237286</v>
      </c>
      <c r="AG3" s="2">
        <f t="shared" ca="1" si="2"/>
        <v>28.962564128677364</v>
      </c>
      <c r="AH3" s="2">
        <f t="shared" ca="1" si="2"/>
        <v>30.988166880518545</v>
      </c>
    </row>
    <row r="4" spans="1:34">
      <c r="A4" t="str">
        <f>sets!$H$3</f>
        <v>Teff</v>
      </c>
      <c r="B4" t="str">
        <v>Afar</v>
      </c>
      <c r="C4" s="2">
        <f t="shared" ref="C4:R27" ca="1" si="3">(RAND()*1+2.5)*10</f>
        <v>31.17650817818965</v>
      </c>
      <c r="D4" s="2">
        <f t="shared" ca="1" si="2"/>
        <v>25.113863132527836</v>
      </c>
      <c r="E4" s="2">
        <f t="shared" ca="1" si="2"/>
        <v>29.137242023431114</v>
      </c>
      <c r="F4" s="2">
        <f t="shared" ca="1" si="2"/>
        <v>31.141652356061979</v>
      </c>
      <c r="G4" s="2">
        <f t="shared" ca="1" si="2"/>
        <v>27.767250688561429</v>
      </c>
      <c r="H4" s="2">
        <f t="shared" ca="1" si="2"/>
        <v>28.885705454978833</v>
      </c>
      <c r="I4" s="2">
        <f t="shared" ca="1" si="2"/>
        <v>34.898273853605779</v>
      </c>
      <c r="J4" s="2">
        <f t="shared" ca="1" si="2"/>
        <v>31.156160596857866</v>
      </c>
      <c r="K4" s="2">
        <f t="shared" ca="1" si="2"/>
        <v>26.221491600634394</v>
      </c>
      <c r="L4" s="2">
        <f t="shared" ca="1" si="2"/>
        <v>34.41997374901382</v>
      </c>
      <c r="M4" s="2">
        <f t="shared" ca="1" si="2"/>
        <v>32.03566121605521</v>
      </c>
      <c r="N4" s="2">
        <f t="shared" ca="1" si="2"/>
        <v>31.783365097351993</v>
      </c>
      <c r="O4" s="2">
        <f t="shared" ca="1" si="2"/>
        <v>33.832268603238454</v>
      </c>
      <c r="P4" s="2">
        <f t="shared" ca="1" si="2"/>
        <v>29.873118691997487</v>
      </c>
      <c r="Q4" s="2">
        <f t="shared" ca="1" si="2"/>
        <v>27.900272008983478</v>
      </c>
      <c r="R4" s="2">
        <f t="shared" ca="1" si="2"/>
        <v>27.006249496109032</v>
      </c>
      <c r="S4" s="2">
        <f t="shared" ca="1" si="2"/>
        <v>27.573290712267926</v>
      </c>
      <c r="T4" s="2">
        <f t="shared" ca="1" si="2"/>
        <v>29.342433264275812</v>
      </c>
      <c r="U4" s="2">
        <f t="shared" ca="1" si="2"/>
        <v>34.770446842967687</v>
      </c>
      <c r="V4" s="2">
        <f t="shared" ca="1" si="2"/>
        <v>25.439091168721639</v>
      </c>
      <c r="W4" s="2">
        <f t="shared" ca="1" si="2"/>
        <v>31.36228676598715</v>
      </c>
      <c r="X4" s="2">
        <f t="shared" ca="1" si="2"/>
        <v>25.002574152287032</v>
      </c>
      <c r="Y4" s="2">
        <f t="shared" ca="1" si="2"/>
        <v>30.146187212456947</v>
      </c>
      <c r="Z4" s="2">
        <f t="shared" ca="1" si="2"/>
        <v>26.138848322069386</v>
      </c>
      <c r="AA4" s="2">
        <f t="shared" ca="1" si="2"/>
        <v>27.519874135385322</v>
      </c>
      <c r="AB4" s="2">
        <f t="shared" ca="1" si="2"/>
        <v>28.325036413318969</v>
      </c>
      <c r="AC4" s="2">
        <f t="shared" ca="1" si="2"/>
        <v>33.680340998708466</v>
      </c>
      <c r="AD4" s="2">
        <f t="shared" ca="1" si="2"/>
        <v>31.991030219520042</v>
      </c>
      <c r="AE4" s="2">
        <f t="shared" ca="1" si="2"/>
        <v>33.183770426688255</v>
      </c>
      <c r="AF4" s="2">
        <f t="shared" ca="1" si="2"/>
        <v>31.340253417415855</v>
      </c>
      <c r="AG4" s="2">
        <f t="shared" ca="1" si="2"/>
        <v>34.963796130946555</v>
      </c>
      <c r="AH4" s="2">
        <f t="shared" ca="1" si="2"/>
        <v>29.884841762549954</v>
      </c>
    </row>
    <row r="5" spans="1:34">
      <c r="A5" t="str">
        <f>sets!$H$3</f>
        <v>Teff</v>
      </c>
      <c r="B5" t="str">
        <v>Amhara</v>
      </c>
      <c r="C5" s="2">
        <f t="shared" ca="1" si="3"/>
        <v>34.117327736111186</v>
      </c>
      <c r="D5" s="2">
        <f t="shared" ca="1" si="2"/>
        <v>29.202097630350842</v>
      </c>
      <c r="E5" s="2">
        <f t="shared" ca="1" si="2"/>
        <v>32.562088284880616</v>
      </c>
      <c r="F5" s="2">
        <f t="shared" ca="1" si="2"/>
        <v>26.686684057867911</v>
      </c>
      <c r="G5" s="2">
        <f t="shared" ca="1" si="2"/>
        <v>34.193506213171787</v>
      </c>
      <c r="H5" s="2">
        <f t="shared" ca="1" si="2"/>
        <v>31.127170198398918</v>
      </c>
      <c r="I5" s="2">
        <f t="shared" ca="1" si="2"/>
        <v>33.253001500359794</v>
      </c>
      <c r="J5" s="2">
        <f t="shared" ca="1" si="2"/>
        <v>27.416990042080368</v>
      </c>
      <c r="K5" s="2">
        <f t="shared" ca="1" si="2"/>
        <v>27.917802765055253</v>
      </c>
      <c r="L5" s="2">
        <f t="shared" ca="1" si="2"/>
        <v>30.422023437360846</v>
      </c>
      <c r="M5" s="2">
        <f t="shared" ca="1" si="2"/>
        <v>25.465226739238815</v>
      </c>
      <c r="N5" s="2">
        <f t="shared" ca="1" si="2"/>
        <v>32.382090076346792</v>
      </c>
      <c r="O5" s="2">
        <f t="shared" ca="1" si="2"/>
        <v>33.854623415091758</v>
      </c>
      <c r="P5" s="2">
        <f t="shared" ca="1" si="2"/>
        <v>31.516213630398624</v>
      </c>
      <c r="Q5" s="2">
        <f t="shared" ca="1" si="2"/>
        <v>28.814415197890959</v>
      </c>
      <c r="R5" s="2">
        <f t="shared" ca="1" si="2"/>
        <v>25.639948274652866</v>
      </c>
      <c r="S5" s="2">
        <f t="shared" ca="1" si="2"/>
        <v>34.190358370103844</v>
      </c>
      <c r="T5" s="2">
        <f t="shared" ca="1" si="2"/>
        <v>34.309376767545174</v>
      </c>
      <c r="U5" s="2">
        <f t="shared" ca="1" si="2"/>
        <v>33.044819388736272</v>
      </c>
      <c r="V5" s="2">
        <f t="shared" ca="1" si="2"/>
        <v>26.319769906646332</v>
      </c>
      <c r="W5" s="2">
        <f t="shared" ca="1" si="2"/>
        <v>34.922750686248712</v>
      </c>
      <c r="X5" s="2">
        <f t="shared" ca="1" si="2"/>
        <v>27.541420550386476</v>
      </c>
      <c r="Y5" s="2">
        <f t="shared" ca="1" si="2"/>
        <v>26.776870054067217</v>
      </c>
      <c r="Z5" s="2">
        <f t="shared" ca="1" si="2"/>
        <v>26.419203453680172</v>
      </c>
      <c r="AA5" s="2">
        <f t="shared" ca="1" si="2"/>
        <v>29.939979096396378</v>
      </c>
      <c r="AB5" s="2">
        <f t="shared" ca="1" si="2"/>
        <v>27.239691738870757</v>
      </c>
      <c r="AC5" s="2">
        <f t="shared" ca="1" si="2"/>
        <v>27.323127786973256</v>
      </c>
      <c r="AD5" s="2">
        <f t="shared" ca="1" si="2"/>
        <v>27.318339363186823</v>
      </c>
      <c r="AE5" s="2">
        <f t="shared" ca="1" si="2"/>
        <v>27.820805435624472</v>
      </c>
      <c r="AF5" s="2">
        <f t="shared" ca="1" si="2"/>
        <v>31.384047890396083</v>
      </c>
      <c r="AG5" s="2">
        <f t="shared" ca="1" si="2"/>
        <v>25.424602576325267</v>
      </c>
      <c r="AH5" s="2">
        <f t="shared" ca="1" si="2"/>
        <v>25.383441101215858</v>
      </c>
    </row>
    <row r="6" spans="1:34">
      <c r="A6" t="str">
        <f>sets!$H$3</f>
        <v>Teff</v>
      </c>
      <c r="B6" t="str">
        <v>Gumuz</v>
      </c>
      <c r="C6" s="2">
        <f t="shared" ca="1" si="3"/>
        <v>29.647972459783446</v>
      </c>
      <c r="D6" s="2">
        <f t="shared" ca="1" si="2"/>
        <v>28.124012337604785</v>
      </c>
      <c r="E6" s="2">
        <f t="shared" ca="1" si="2"/>
        <v>31.823816728447913</v>
      </c>
      <c r="F6" s="2">
        <f t="shared" ca="1" si="2"/>
        <v>26.28352495674223</v>
      </c>
      <c r="G6" s="2">
        <f t="shared" ca="1" si="2"/>
        <v>26.166851866874985</v>
      </c>
      <c r="H6" s="2">
        <f t="shared" ca="1" si="2"/>
        <v>30.913739256939277</v>
      </c>
      <c r="I6" s="2">
        <f t="shared" ca="1" si="2"/>
        <v>32.231931250714254</v>
      </c>
      <c r="J6" s="2">
        <f t="shared" ca="1" si="2"/>
        <v>31.059291210349492</v>
      </c>
      <c r="K6" s="2">
        <f t="shared" ca="1" si="2"/>
        <v>25.197878442666166</v>
      </c>
      <c r="L6" s="2">
        <f t="shared" ca="1" si="2"/>
        <v>28.409711016476138</v>
      </c>
      <c r="M6" s="2">
        <f t="shared" ca="1" si="2"/>
        <v>27.180603782791582</v>
      </c>
      <c r="N6" s="2">
        <f t="shared" ca="1" si="2"/>
        <v>25.700464133628763</v>
      </c>
      <c r="O6" s="2">
        <f t="shared" ca="1" si="2"/>
        <v>30.955654557150368</v>
      </c>
      <c r="P6" s="2">
        <f t="shared" ca="1" si="2"/>
        <v>28.188712366319425</v>
      </c>
      <c r="Q6" s="2">
        <f t="shared" ca="1" si="2"/>
        <v>26.00122227387892</v>
      </c>
      <c r="R6" s="2">
        <f t="shared" ca="1" si="2"/>
        <v>34.155775569073619</v>
      </c>
      <c r="S6" s="2">
        <f t="shared" ca="1" si="2"/>
        <v>33.947039964771136</v>
      </c>
      <c r="T6" s="2">
        <f t="shared" ca="1" si="2"/>
        <v>32.086860014010689</v>
      </c>
      <c r="U6" s="2">
        <f t="shared" ca="1" si="2"/>
        <v>34.733222509448318</v>
      </c>
      <c r="V6" s="2">
        <f t="shared" ca="1" si="2"/>
        <v>31.976288909294766</v>
      </c>
      <c r="W6" s="2">
        <f t="shared" ca="1" si="2"/>
        <v>26.022816686070453</v>
      </c>
      <c r="X6" s="2">
        <f t="shared" ca="1" si="2"/>
        <v>31.469477130278968</v>
      </c>
      <c r="Y6" s="2">
        <f t="shared" ca="1" si="2"/>
        <v>30.240172382028291</v>
      </c>
      <c r="Z6" s="2">
        <f t="shared" ca="1" si="2"/>
        <v>31.652187571296064</v>
      </c>
      <c r="AA6" s="2">
        <f t="shared" ca="1" si="2"/>
        <v>34.87941363527878</v>
      </c>
      <c r="AB6" s="2">
        <f t="shared" ca="1" si="2"/>
        <v>33.118676551471687</v>
      </c>
      <c r="AC6" s="2">
        <f t="shared" ca="1" si="2"/>
        <v>30.315696531610303</v>
      </c>
      <c r="AD6" s="2">
        <f t="shared" ca="1" si="2"/>
        <v>33.159263041932945</v>
      </c>
      <c r="AE6" s="2">
        <f t="shared" ca="1" si="2"/>
        <v>29.554752411733588</v>
      </c>
      <c r="AF6" s="2">
        <f t="shared" ca="1" si="2"/>
        <v>32.035341015025082</v>
      </c>
      <c r="AG6" s="2">
        <f t="shared" ca="1" si="2"/>
        <v>27.860264126212392</v>
      </c>
      <c r="AH6" s="2">
        <f t="shared" ca="1" si="2"/>
        <v>28.375076148594871</v>
      </c>
    </row>
    <row r="7" spans="1:34">
      <c r="A7" t="str">
        <f>sets!$H$3</f>
        <v>Teff</v>
      </c>
      <c r="B7" t="str">
        <v>DireDawa</v>
      </c>
      <c r="C7" s="2">
        <f t="shared" ca="1" si="3"/>
        <v>28.901442356402821</v>
      </c>
      <c r="D7" s="2">
        <f t="shared" ca="1" si="2"/>
        <v>26.439079301299955</v>
      </c>
      <c r="E7" s="2">
        <f t="shared" ca="1" si="2"/>
        <v>26.184779476582868</v>
      </c>
      <c r="F7" s="2">
        <f t="shared" ca="1" si="2"/>
        <v>25.005348310400159</v>
      </c>
      <c r="G7" s="2">
        <f t="shared" ca="1" si="2"/>
        <v>32.047766593996371</v>
      </c>
      <c r="H7" s="2">
        <f t="shared" ca="1" si="2"/>
        <v>29.620571655532579</v>
      </c>
      <c r="I7" s="2">
        <f t="shared" ca="1" si="2"/>
        <v>30.866557956207817</v>
      </c>
      <c r="J7" s="2">
        <f t="shared" ca="1" si="2"/>
        <v>33.212301519532446</v>
      </c>
      <c r="K7" s="2">
        <f t="shared" ca="1" si="2"/>
        <v>32.693499419482777</v>
      </c>
      <c r="L7" s="2">
        <f t="shared" ca="1" si="2"/>
        <v>27.87693005189891</v>
      </c>
      <c r="M7" s="2">
        <f t="shared" ca="1" si="2"/>
        <v>31.756578023132576</v>
      </c>
      <c r="N7" s="2">
        <f t="shared" ca="1" si="2"/>
        <v>33.012696989259915</v>
      </c>
      <c r="O7" s="2">
        <f t="shared" ca="1" si="2"/>
        <v>30.353999486809883</v>
      </c>
      <c r="P7" s="2">
        <f t="shared" ca="1" si="2"/>
        <v>28.662966431830029</v>
      </c>
      <c r="Q7" s="2">
        <f t="shared" ca="1" si="2"/>
        <v>25.400574204326411</v>
      </c>
      <c r="R7" s="2">
        <f t="shared" ca="1" si="2"/>
        <v>33.093167755328082</v>
      </c>
      <c r="S7" s="2">
        <f t="shared" ca="1" si="2"/>
        <v>29.335071294704615</v>
      </c>
      <c r="T7" s="2">
        <f t="shared" ca="1" si="2"/>
        <v>34.667109035930558</v>
      </c>
      <c r="U7" s="2">
        <f t="shared" ca="1" si="2"/>
        <v>31.98229414700662</v>
      </c>
      <c r="V7" s="2">
        <f t="shared" ca="1" si="2"/>
        <v>34.642409255799905</v>
      </c>
      <c r="W7" s="2">
        <f t="shared" ca="1" si="2"/>
        <v>31.377315293121359</v>
      </c>
      <c r="X7" s="2">
        <f t="shared" ca="1" si="2"/>
        <v>34.725888582044284</v>
      </c>
      <c r="Y7" s="2">
        <f t="shared" ca="1" si="2"/>
        <v>27.025501040692212</v>
      </c>
      <c r="Z7" s="2">
        <f t="shared" ca="1" si="2"/>
        <v>27.639362368899437</v>
      </c>
      <c r="AA7" s="2">
        <f t="shared" ca="1" si="2"/>
        <v>32.056676414938266</v>
      </c>
      <c r="AB7" s="2">
        <f t="shared" ca="1" si="2"/>
        <v>27.50746142956833</v>
      </c>
      <c r="AC7" s="2">
        <f t="shared" ca="1" si="2"/>
        <v>26.707116838572688</v>
      </c>
      <c r="AD7" s="2">
        <f t="shared" ca="1" si="2"/>
        <v>32.118108876055011</v>
      </c>
      <c r="AE7" s="2">
        <f t="shared" ca="1" si="2"/>
        <v>28.873732997809309</v>
      </c>
      <c r="AF7" s="2">
        <f t="shared" ca="1" si="2"/>
        <v>27.172650194129329</v>
      </c>
      <c r="AG7" s="2">
        <f t="shared" ca="1" si="2"/>
        <v>31.848716850111501</v>
      </c>
      <c r="AH7" s="2">
        <f t="shared" ca="1" si="2"/>
        <v>25.381103228073435</v>
      </c>
    </row>
    <row r="8" spans="1:34">
      <c r="A8" t="str">
        <f>sets!$H$3</f>
        <v>Teff</v>
      </c>
      <c r="B8" t="str">
        <v>Gambela</v>
      </c>
      <c r="C8" s="2">
        <f t="shared" ca="1" si="3"/>
        <v>30.254143209511337</v>
      </c>
      <c r="D8" s="2">
        <f t="shared" ca="1" si="2"/>
        <v>25.558494326720886</v>
      </c>
      <c r="E8" s="2">
        <f t="shared" ca="1" si="2"/>
        <v>31.916460800662389</v>
      </c>
      <c r="F8" s="2">
        <f t="shared" ca="1" si="2"/>
        <v>28.477743421617753</v>
      </c>
      <c r="G8" s="2">
        <f t="shared" ca="1" si="2"/>
        <v>33.091871782103254</v>
      </c>
      <c r="H8" s="2">
        <f t="shared" ca="1" si="2"/>
        <v>31.878350657848351</v>
      </c>
      <c r="I8" s="2">
        <f t="shared" ca="1" si="2"/>
        <v>25.668184722984275</v>
      </c>
      <c r="J8" s="2">
        <f t="shared" ca="1" si="2"/>
        <v>32.411974506792831</v>
      </c>
      <c r="K8" s="2">
        <f t="shared" ca="1" si="2"/>
        <v>29.494183613125454</v>
      </c>
      <c r="L8" s="2">
        <f t="shared" ca="1" si="2"/>
        <v>33.356573318049016</v>
      </c>
      <c r="M8" s="2">
        <f t="shared" ca="1" si="2"/>
        <v>33.760616648040013</v>
      </c>
      <c r="N8" s="2">
        <f t="shared" ca="1" si="2"/>
        <v>33.808855339944969</v>
      </c>
      <c r="O8" s="2">
        <f t="shared" ca="1" si="2"/>
        <v>27.237158157061504</v>
      </c>
      <c r="P8" s="2">
        <f t="shared" ca="1" si="2"/>
        <v>30.299702730497774</v>
      </c>
      <c r="Q8" s="2">
        <f t="shared" ca="1" si="2"/>
        <v>28.748558165744633</v>
      </c>
      <c r="R8" s="2">
        <f t="shared" ca="1" si="2"/>
        <v>34.883575521976098</v>
      </c>
      <c r="S8" s="2">
        <f t="shared" ca="1" si="2"/>
        <v>30.592697596010964</v>
      </c>
      <c r="T8" s="2">
        <f t="shared" ca="1" si="2"/>
        <v>34.69061605741382</v>
      </c>
      <c r="U8" s="2">
        <f t="shared" ca="1" si="2"/>
        <v>33.938707744714662</v>
      </c>
      <c r="V8" s="2">
        <f t="shared" ca="1" si="2"/>
        <v>25.012972083311567</v>
      </c>
      <c r="W8" s="2">
        <f t="shared" ca="1" si="2"/>
        <v>30.521731253176355</v>
      </c>
      <c r="X8" s="2">
        <f t="shared" ca="1" si="2"/>
        <v>33.275675701468856</v>
      </c>
      <c r="Y8" s="2">
        <f t="shared" ca="1" si="2"/>
        <v>29.213361309514063</v>
      </c>
      <c r="Z8" s="2">
        <f t="shared" ca="1" si="2"/>
        <v>32.32999808361248</v>
      </c>
      <c r="AA8" s="2">
        <f t="shared" ca="1" si="2"/>
        <v>30.757112612997119</v>
      </c>
      <c r="AB8" s="2">
        <f t="shared" ca="1" si="2"/>
        <v>30.606274870950809</v>
      </c>
      <c r="AC8" s="2">
        <f t="shared" ca="1" si="2"/>
        <v>30.391247653787051</v>
      </c>
      <c r="AD8" s="2">
        <f t="shared" ca="1" si="2"/>
        <v>29.978770134059268</v>
      </c>
      <c r="AE8" s="2">
        <f t="shared" ca="1" si="2"/>
        <v>26.578783478080435</v>
      </c>
      <c r="AF8" s="2">
        <f t="shared" ca="1" si="2"/>
        <v>27.993196216710878</v>
      </c>
      <c r="AG8" s="2">
        <f t="shared" ca="1" si="2"/>
        <v>29.295139547992719</v>
      </c>
      <c r="AH8" s="2">
        <f t="shared" ca="1" si="2"/>
        <v>32.807249583121852</v>
      </c>
    </row>
    <row r="9" spans="1:34">
      <c r="A9" t="str">
        <f>sets!$H$3</f>
        <v>Teff</v>
      </c>
      <c r="B9" t="str">
        <v>Harari</v>
      </c>
      <c r="C9" s="2">
        <f t="shared" ca="1" si="3"/>
        <v>26.220205649549282</v>
      </c>
      <c r="D9" s="2">
        <f t="shared" ca="1" si="2"/>
        <v>28.580931893346985</v>
      </c>
      <c r="E9" s="2">
        <f t="shared" ca="1" si="2"/>
        <v>30.764148095608004</v>
      </c>
      <c r="F9" s="2">
        <f t="shared" ca="1" si="2"/>
        <v>31.669941639453555</v>
      </c>
      <c r="G9" s="2">
        <f t="shared" ca="1" si="2"/>
        <v>26.731991578700192</v>
      </c>
      <c r="H9" s="2">
        <f t="shared" ca="1" si="2"/>
        <v>26.390461592216173</v>
      </c>
      <c r="I9" s="2">
        <f t="shared" ca="1" si="2"/>
        <v>28.769132925790096</v>
      </c>
      <c r="J9" s="2">
        <f t="shared" ca="1" si="2"/>
        <v>25.559878467259018</v>
      </c>
      <c r="K9" s="2">
        <f t="shared" ca="1" si="2"/>
        <v>32.476378582421127</v>
      </c>
      <c r="L9" s="2">
        <f t="shared" ca="1" si="2"/>
        <v>27.240602577985129</v>
      </c>
      <c r="M9" s="2">
        <f t="shared" ca="1" si="2"/>
        <v>28.878761364729737</v>
      </c>
      <c r="N9" s="2">
        <f t="shared" ca="1" si="2"/>
        <v>32.879344634484731</v>
      </c>
      <c r="O9" s="2">
        <f t="shared" ca="1" si="2"/>
        <v>31.963110015700597</v>
      </c>
      <c r="P9" s="2">
        <f t="shared" ca="1" si="2"/>
        <v>34.086337207601098</v>
      </c>
      <c r="Q9" s="2">
        <f t="shared" ca="1" si="2"/>
        <v>32.618386858851423</v>
      </c>
      <c r="R9" s="2">
        <f t="shared" ca="1" si="2"/>
        <v>31.022613152334362</v>
      </c>
      <c r="S9" s="2">
        <f t="shared" ca="1" si="2"/>
        <v>32.007510042698449</v>
      </c>
      <c r="T9" s="2">
        <f t="shared" ca="1" si="2"/>
        <v>31.417545917757806</v>
      </c>
      <c r="U9" s="2">
        <f t="shared" ca="1" si="2"/>
        <v>26.387353515464888</v>
      </c>
      <c r="V9" s="2">
        <f t="shared" ca="1" si="2"/>
        <v>31.857184580233977</v>
      </c>
      <c r="W9" s="2">
        <f t="shared" ca="1" si="2"/>
        <v>26.126477672009408</v>
      </c>
      <c r="X9" s="2">
        <f t="shared" ca="1" si="2"/>
        <v>32.442324941678294</v>
      </c>
      <c r="Y9" s="2">
        <f t="shared" ca="1" si="2"/>
        <v>33.678619497672891</v>
      </c>
      <c r="Z9" s="2">
        <f t="shared" ca="1" si="2"/>
        <v>33.298102815475794</v>
      </c>
      <c r="AA9" s="2">
        <f t="shared" ca="1" si="2"/>
        <v>32.301387554672701</v>
      </c>
      <c r="AB9" s="2">
        <f t="shared" ca="1" si="2"/>
        <v>29.532887608010306</v>
      </c>
      <c r="AC9" s="2">
        <f t="shared" ca="1" si="2"/>
        <v>31.258754588134522</v>
      </c>
      <c r="AD9" s="2">
        <f t="shared" ca="1" si="2"/>
        <v>26.953723132544184</v>
      </c>
      <c r="AE9" s="2">
        <f t="shared" ca="1" si="2"/>
        <v>32.595065308873387</v>
      </c>
      <c r="AF9" s="2">
        <f t="shared" ca="1" si="2"/>
        <v>28.282010804541507</v>
      </c>
      <c r="AG9" s="2">
        <f t="shared" ca="1" si="2"/>
        <v>33.20077227851715</v>
      </c>
      <c r="AH9" s="2">
        <f t="shared" ca="1" si="2"/>
        <v>33.374315377768788</v>
      </c>
    </row>
    <row r="10" spans="1:34">
      <c r="A10" t="str">
        <f>sets!$H$3</f>
        <v>Teff</v>
      </c>
      <c r="B10" t="str">
        <v>Oromia</v>
      </c>
      <c r="C10" s="2">
        <f t="shared" ca="1" si="3"/>
        <v>30.900115747469545</v>
      </c>
      <c r="D10" s="2">
        <f t="shared" ca="1" si="2"/>
        <v>30.518222481041974</v>
      </c>
      <c r="E10" s="2">
        <f t="shared" ca="1" si="2"/>
        <v>28.23888659026813</v>
      </c>
      <c r="F10" s="2">
        <f t="shared" ca="1" si="2"/>
        <v>31.606036856072937</v>
      </c>
      <c r="G10" s="2">
        <f t="shared" ca="1" si="2"/>
        <v>27.515450201688306</v>
      </c>
      <c r="H10" s="2">
        <f t="shared" ca="1" si="2"/>
        <v>28.014583531145551</v>
      </c>
      <c r="I10" s="2">
        <f t="shared" ca="1" si="2"/>
        <v>31.128231639702847</v>
      </c>
      <c r="J10" s="2">
        <f t="shared" ca="1" si="2"/>
        <v>25.715120585126602</v>
      </c>
      <c r="K10" s="2">
        <f t="shared" ca="1" si="2"/>
        <v>25.002618674010819</v>
      </c>
      <c r="L10" s="2">
        <f t="shared" ca="1" si="2"/>
        <v>28.676574033142927</v>
      </c>
      <c r="M10" s="2">
        <f t="shared" ca="1" si="2"/>
        <v>26.926693941821583</v>
      </c>
      <c r="N10" s="2">
        <f t="shared" ca="1" si="2"/>
        <v>29.0838401118917</v>
      </c>
      <c r="O10" s="2">
        <f t="shared" ca="1" si="2"/>
        <v>26.369042114188822</v>
      </c>
      <c r="P10" s="2">
        <f t="shared" ca="1" si="2"/>
        <v>31.617409455361987</v>
      </c>
      <c r="Q10" s="2">
        <f t="shared" ca="1" si="2"/>
        <v>30.682551683768594</v>
      </c>
      <c r="R10" s="2">
        <f t="shared" ca="1" si="2"/>
        <v>32.833998338782116</v>
      </c>
      <c r="S10" s="2">
        <f t="shared" ca="1" si="2"/>
        <v>28.326761627303114</v>
      </c>
      <c r="T10" s="2">
        <f t="shared" ca="1" si="2"/>
        <v>32.214790308244517</v>
      </c>
      <c r="U10" s="2">
        <f t="shared" ca="1" si="2"/>
        <v>26.578250899380009</v>
      </c>
      <c r="V10" s="2">
        <f t="shared" ca="1" si="2"/>
        <v>33.940455211906745</v>
      </c>
      <c r="W10" s="2">
        <f t="shared" ca="1" si="2"/>
        <v>31.773134590532432</v>
      </c>
      <c r="X10" s="2">
        <f t="shared" ca="1" si="2"/>
        <v>30.46239656798404</v>
      </c>
      <c r="Y10" s="2">
        <f t="shared" ca="1" si="2"/>
        <v>27.821687304268522</v>
      </c>
      <c r="Z10" s="2">
        <f t="shared" ca="1" si="2"/>
        <v>31.357377609875758</v>
      </c>
      <c r="AA10" s="2">
        <f t="shared" ca="1" si="2"/>
        <v>27.77766624285249</v>
      </c>
      <c r="AB10" s="2">
        <f t="shared" ca="1" si="2"/>
        <v>31.991160889827661</v>
      </c>
      <c r="AC10" s="2">
        <f t="shared" ca="1" si="2"/>
        <v>27.512172031183297</v>
      </c>
      <c r="AD10" s="2">
        <f t="shared" ca="1" si="2"/>
        <v>33.95447794040399</v>
      </c>
      <c r="AE10" s="2">
        <f t="shared" ca="1" si="2"/>
        <v>31.388054960378117</v>
      </c>
      <c r="AF10" s="2">
        <f t="shared" ca="1" si="2"/>
        <v>32.151128667001231</v>
      </c>
      <c r="AG10" s="2">
        <f t="shared" ca="1" si="2"/>
        <v>27.154009041529878</v>
      </c>
      <c r="AH10" s="2">
        <f t="shared" ca="1" si="2"/>
        <v>33.284755677619493</v>
      </c>
    </row>
    <row r="11" spans="1:34">
      <c r="A11" t="str">
        <f>sets!$H$3</f>
        <v>Teff</v>
      </c>
      <c r="B11" t="str">
        <v>Somali</v>
      </c>
      <c r="C11" s="2">
        <f t="shared" ca="1" si="3"/>
        <v>33.920089129637219</v>
      </c>
      <c r="D11" s="2">
        <f t="shared" ca="1" si="2"/>
        <v>25.420784344935036</v>
      </c>
      <c r="E11" s="2">
        <f t="shared" ca="1" si="2"/>
        <v>32.660602628086487</v>
      </c>
      <c r="F11" s="2">
        <f t="shared" ca="1" si="2"/>
        <v>30.673734472087347</v>
      </c>
      <c r="G11" s="2">
        <f t="shared" ca="1" si="2"/>
        <v>30.243322094852765</v>
      </c>
      <c r="H11" s="2">
        <f t="shared" ca="1" si="2"/>
        <v>32.999417219232996</v>
      </c>
      <c r="I11" s="2">
        <f t="shared" ca="1" si="2"/>
        <v>29.58455591258253</v>
      </c>
      <c r="J11" s="2">
        <f t="shared" ca="1" si="2"/>
        <v>25.425063999500267</v>
      </c>
      <c r="K11" s="2">
        <f t="shared" ref="K11:Z42" ca="1" si="4">(RAND()*1+2.5)*10</f>
        <v>31.646155134164886</v>
      </c>
      <c r="L11" s="2">
        <f t="shared" ca="1" si="4"/>
        <v>28.163050126126947</v>
      </c>
      <c r="M11" s="2">
        <f t="shared" ca="1" si="4"/>
        <v>33.189053256005337</v>
      </c>
      <c r="N11" s="2">
        <f t="shared" ca="1" si="4"/>
        <v>30.309708079410626</v>
      </c>
      <c r="O11" s="2">
        <f t="shared" ca="1" si="4"/>
        <v>26.888281482694929</v>
      </c>
      <c r="P11" s="2">
        <f t="shared" ca="1" si="4"/>
        <v>32.482858692434668</v>
      </c>
      <c r="Q11" s="2">
        <f t="shared" ca="1" si="4"/>
        <v>33.164901602152305</v>
      </c>
      <c r="R11" s="2">
        <f t="shared" ca="1" si="4"/>
        <v>27.613930769819348</v>
      </c>
      <c r="S11" s="2">
        <f t="shared" ca="1" si="4"/>
        <v>31.066452122898156</v>
      </c>
      <c r="T11" s="2">
        <f t="shared" ca="1" si="4"/>
        <v>29.282552074182462</v>
      </c>
      <c r="U11" s="2">
        <f t="shared" ca="1" si="4"/>
        <v>27.265855449486981</v>
      </c>
      <c r="V11" s="2">
        <f t="shared" ca="1" si="4"/>
        <v>29.364352093316253</v>
      </c>
      <c r="W11" s="2">
        <f t="shared" ca="1" si="4"/>
        <v>34.026736256928729</v>
      </c>
      <c r="X11" s="2">
        <f t="shared" ca="1" si="4"/>
        <v>34.243185344811224</v>
      </c>
      <c r="Y11" s="2">
        <f t="shared" ca="1" si="4"/>
        <v>32.809539959726898</v>
      </c>
      <c r="Z11" s="2">
        <f t="shared" ca="1" si="4"/>
        <v>33.674710477784188</v>
      </c>
      <c r="AA11" s="2">
        <f t="shared" ref="AA11:AH42" ca="1" si="5">(RAND()*1+2.5)*10</f>
        <v>32.354519577567828</v>
      </c>
      <c r="AB11" s="2">
        <f t="shared" ca="1" si="5"/>
        <v>30.755802239867602</v>
      </c>
      <c r="AC11" s="2">
        <f t="shared" ca="1" si="5"/>
        <v>30.922058827811473</v>
      </c>
      <c r="AD11" s="2">
        <f t="shared" ca="1" si="5"/>
        <v>28.649284076824351</v>
      </c>
      <c r="AE11" s="2">
        <f t="shared" ca="1" si="5"/>
        <v>29.618325577171571</v>
      </c>
      <c r="AF11" s="2">
        <f t="shared" ca="1" si="5"/>
        <v>30.69701678456962</v>
      </c>
      <c r="AG11" s="2">
        <f t="shared" ca="1" si="5"/>
        <v>26.624139678555188</v>
      </c>
      <c r="AH11" s="2">
        <f t="shared" ca="1" si="5"/>
        <v>25.563086546945545</v>
      </c>
    </row>
    <row r="12" spans="1:34">
      <c r="A12" t="str">
        <f>sets!$H$3</f>
        <v>Teff</v>
      </c>
      <c r="B12" t="str">
        <v>SNNPR</v>
      </c>
      <c r="C12" s="2">
        <f t="shared" ca="1" si="3"/>
        <v>26.393584682881595</v>
      </c>
      <c r="D12" s="2">
        <f t="shared" ca="1" si="3"/>
        <v>27.26524929209593</v>
      </c>
      <c r="E12" s="2">
        <f t="shared" ca="1" si="3"/>
        <v>30.456488740150899</v>
      </c>
      <c r="F12" s="2">
        <f t="shared" ca="1" si="3"/>
        <v>25.332639963637462</v>
      </c>
      <c r="G12" s="2">
        <f t="shared" ca="1" si="3"/>
        <v>25.795023405752417</v>
      </c>
      <c r="H12" s="2">
        <f t="shared" ca="1" si="3"/>
        <v>32.181859590278648</v>
      </c>
      <c r="I12" s="2">
        <f t="shared" ca="1" si="3"/>
        <v>30.10893146969584</v>
      </c>
      <c r="J12" s="2">
        <f t="shared" ca="1" si="3"/>
        <v>29.646833328446121</v>
      </c>
      <c r="K12" s="2">
        <f t="shared" ca="1" si="3"/>
        <v>34.004461449013085</v>
      </c>
      <c r="L12" s="2">
        <f t="shared" ca="1" si="3"/>
        <v>27.7994005092416</v>
      </c>
      <c r="M12" s="2">
        <f t="shared" ca="1" si="3"/>
        <v>34.061180127344961</v>
      </c>
      <c r="N12" s="2">
        <f t="shared" ca="1" si="3"/>
        <v>27.719312902330529</v>
      </c>
      <c r="O12" s="2">
        <f t="shared" ca="1" si="3"/>
        <v>25.46714383235194</v>
      </c>
      <c r="P12" s="2">
        <f t="shared" ca="1" si="3"/>
        <v>30.505202742212802</v>
      </c>
      <c r="Q12" s="2">
        <f t="shared" ca="1" si="3"/>
        <v>34.205158016297119</v>
      </c>
      <c r="R12" s="2">
        <f t="shared" ca="1" si="3"/>
        <v>27.553051128640295</v>
      </c>
      <c r="S12" s="2">
        <f t="shared" ca="1" si="4"/>
        <v>33.774229962755101</v>
      </c>
      <c r="T12" s="2">
        <f t="shared" ca="1" si="4"/>
        <v>28.227624632943538</v>
      </c>
      <c r="U12" s="2">
        <f t="shared" ca="1" si="4"/>
        <v>27.293286828467572</v>
      </c>
      <c r="V12" s="2">
        <f t="shared" ca="1" si="4"/>
        <v>31.738376543606801</v>
      </c>
      <c r="W12" s="2">
        <f t="shared" ca="1" si="4"/>
        <v>26.367375550023215</v>
      </c>
      <c r="X12" s="2">
        <f t="shared" ca="1" si="4"/>
        <v>28.746197570691695</v>
      </c>
      <c r="Y12" s="2">
        <f t="shared" ca="1" si="4"/>
        <v>29.082737771344043</v>
      </c>
      <c r="Z12" s="2">
        <f t="shared" ca="1" si="4"/>
        <v>30.730714378977577</v>
      </c>
      <c r="AA12" s="2">
        <f t="shared" ca="1" si="5"/>
        <v>29.607145354037311</v>
      </c>
      <c r="AB12" s="2">
        <f t="shared" ca="1" si="5"/>
        <v>29.294660834175986</v>
      </c>
      <c r="AC12" s="2">
        <f t="shared" ca="1" si="5"/>
        <v>31.721337190677996</v>
      </c>
      <c r="AD12" s="2">
        <f t="shared" ca="1" si="5"/>
        <v>30.756314515811269</v>
      </c>
      <c r="AE12" s="2">
        <f t="shared" ca="1" si="5"/>
        <v>25.353297735073433</v>
      </c>
      <c r="AF12" s="2">
        <f t="shared" ca="1" si="5"/>
        <v>30.156241735072076</v>
      </c>
      <c r="AG12" s="2">
        <f t="shared" ca="1" si="5"/>
        <v>28.900531677231989</v>
      </c>
      <c r="AH12" s="2">
        <f t="shared" ca="1" si="5"/>
        <v>25.836799986365101</v>
      </c>
    </row>
    <row r="13" spans="1:34">
      <c r="A13" t="str">
        <f>sets!$H$3</f>
        <v>Teff</v>
      </c>
      <c r="B13" t="str">
        <v>Tigray</v>
      </c>
      <c r="C13" s="2">
        <f t="shared" ca="1" si="3"/>
        <v>28.074989299754492</v>
      </c>
      <c r="D13" s="2">
        <f t="shared" ca="1" si="3"/>
        <v>25.887433586484164</v>
      </c>
      <c r="E13" s="2">
        <f t="shared" ca="1" si="3"/>
        <v>26.418952728796672</v>
      </c>
      <c r="F13" s="2">
        <f t="shared" ca="1" si="3"/>
        <v>34.833326971288258</v>
      </c>
      <c r="G13" s="2">
        <f t="shared" ca="1" si="3"/>
        <v>31.216455008372577</v>
      </c>
      <c r="H13" s="2">
        <f t="shared" ca="1" si="3"/>
        <v>34.342101781461054</v>
      </c>
      <c r="I13" s="2">
        <f t="shared" ca="1" si="3"/>
        <v>28.367567764392724</v>
      </c>
      <c r="J13" s="2">
        <f t="shared" ca="1" si="3"/>
        <v>33.343607324843788</v>
      </c>
      <c r="K13" s="2">
        <f t="shared" ca="1" si="3"/>
        <v>33.701807459389897</v>
      </c>
      <c r="L13" s="2">
        <f t="shared" ca="1" si="3"/>
        <v>25.697987331086708</v>
      </c>
      <c r="M13" s="2">
        <f t="shared" ca="1" si="3"/>
        <v>27.479373127482756</v>
      </c>
      <c r="N13" s="2">
        <f t="shared" ca="1" si="3"/>
        <v>26.500744343722872</v>
      </c>
      <c r="O13" s="2">
        <f t="shared" ca="1" si="3"/>
        <v>31.015815306833296</v>
      </c>
      <c r="P13" s="2">
        <f t="shared" ca="1" si="3"/>
        <v>29.515922168984048</v>
      </c>
      <c r="Q13" s="2">
        <f t="shared" ca="1" si="3"/>
        <v>33.263624130389033</v>
      </c>
      <c r="R13" s="2">
        <f t="shared" ca="1" si="3"/>
        <v>29.134869703392333</v>
      </c>
      <c r="S13" s="2">
        <f t="shared" ca="1" si="4"/>
        <v>28.35859901858084</v>
      </c>
      <c r="T13" s="2">
        <f t="shared" ca="1" si="4"/>
        <v>29.428955678241792</v>
      </c>
      <c r="U13" s="2">
        <f t="shared" ca="1" si="4"/>
        <v>26.059518191718041</v>
      </c>
      <c r="V13" s="2">
        <f t="shared" ca="1" si="4"/>
        <v>31.827123834462228</v>
      </c>
      <c r="W13" s="2">
        <f t="shared" ca="1" si="4"/>
        <v>27.705642745972021</v>
      </c>
      <c r="X13" s="2">
        <f t="shared" ca="1" si="4"/>
        <v>25.156576334606655</v>
      </c>
      <c r="Y13" s="2">
        <f t="shared" ca="1" si="4"/>
        <v>34.871294811303557</v>
      </c>
      <c r="Z13" s="2">
        <f t="shared" ca="1" si="4"/>
        <v>30.415545916874947</v>
      </c>
      <c r="AA13" s="2">
        <f t="shared" ca="1" si="5"/>
        <v>33.387476332184114</v>
      </c>
      <c r="AB13" s="2">
        <f t="shared" ca="1" si="5"/>
        <v>26.598013854459779</v>
      </c>
      <c r="AC13" s="2">
        <f t="shared" ca="1" si="5"/>
        <v>26.088192905660375</v>
      </c>
      <c r="AD13" s="2">
        <f t="shared" ca="1" si="5"/>
        <v>25.03586772511359</v>
      </c>
      <c r="AE13" s="2">
        <f t="shared" ca="1" si="5"/>
        <v>32.192311782526808</v>
      </c>
      <c r="AF13" s="2">
        <f t="shared" ca="1" si="5"/>
        <v>32.96985445432562</v>
      </c>
      <c r="AG13" s="2">
        <f t="shared" ca="1" si="5"/>
        <v>32.01792631943291</v>
      </c>
      <c r="AH13" s="2">
        <f t="shared" ca="1" si="5"/>
        <v>29.535005715995993</v>
      </c>
    </row>
    <row r="14" spans="1:34">
      <c r="A14" t="str">
        <f t="shared" ref="A14:A77" si="6">INDEX(Food,MATCH(A3,Food,0)+1)</f>
        <v>Sorghum</v>
      </c>
      <c r="B14" t="str">
        <f>B3</f>
        <v>AddisAbaba</v>
      </c>
      <c r="C14" s="2">
        <f t="shared" ca="1" si="3"/>
        <v>30.721894889673109</v>
      </c>
      <c r="D14" s="2">
        <f t="shared" ca="1" si="3"/>
        <v>27.798779886077753</v>
      </c>
      <c r="E14" s="2">
        <f t="shared" ca="1" si="3"/>
        <v>25.922681347615466</v>
      </c>
      <c r="F14" s="2">
        <f t="shared" ca="1" si="3"/>
        <v>33.236026300760066</v>
      </c>
      <c r="G14" s="2">
        <f t="shared" ca="1" si="3"/>
        <v>27.446919713071772</v>
      </c>
      <c r="H14" s="2">
        <f t="shared" ca="1" si="3"/>
        <v>32.85201907624878</v>
      </c>
      <c r="I14" s="2">
        <f t="shared" ca="1" si="3"/>
        <v>34.463949293870108</v>
      </c>
      <c r="J14" s="2">
        <f t="shared" ca="1" si="3"/>
        <v>31.85523989706402</v>
      </c>
      <c r="K14" s="2">
        <f t="shared" ca="1" si="3"/>
        <v>34.139934961521746</v>
      </c>
      <c r="L14" s="2">
        <f t="shared" ca="1" si="3"/>
        <v>27.810418878287525</v>
      </c>
      <c r="M14" s="2">
        <f t="shared" ca="1" si="3"/>
        <v>25.021476865939867</v>
      </c>
      <c r="N14" s="2">
        <f t="shared" ca="1" si="3"/>
        <v>27.613043292101153</v>
      </c>
      <c r="O14" s="2">
        <f t="shared" ca="1" si="3"/>
        <v>28.4565168103865</v>
      </c>
      <c r="P14" s="2">
        <f t="shared" ca="1" si="3"/>
        <v>26.631372450319539</v>
      </c>
      <c r="Q14" s="2">
        <f t="shared" ca="1" si="3"/>
        <v>31.313033493539798</v>
      </c>
      <c r="R14" s="2">
        <f t="shared" ca="1" si="3"/>
        <v>29.047054254979301</v>
      </c>
      <c r="S14" s="2">
        <f t="shared" ca="1" si="4"/>
        <v>28.184006451200958</v>
      </c>
      <c r="T14" s="2">
        <f t="shared" ca="1" si="4"/>
        <v>26.427318195278019</v>
      </c>
      <c r="U14" s="2">
        <f t="shared" ca="1" si="4"/>
        <v>25.638977917052451</v>
      </c>
      <c r="V14" s="2">
        <f t="shared" ca="1" si="4"/>
        <v>27.777968262392484</v>
      </c>
      <c r="W14" s="2">
        <f t="shared" ca="1" si="4"/>
        <v>25.571214718070777</v>
      </c>
      <c r="X14" s="2">
        <f t="shared" ca="1" si="4"/>
        <v>26.473165142950613</v>
      </c>
      <c r="Y14" s="2">
        <f t="shared" ca="1" si="4"/>
        <v>29.572983730798565</v>
      </c>
      <c r="Z14" s="2">
        <f t="shared" ca="1" si="4"/>
        <v>33.073002141728232</v>
      </c>
      <c r="AA14" s="2">
        <f t="shared" ca="1" si="5"/>
        <v>25.209511625199347</v>
      </c>
      <c r="AB14" s="2">
        <f t="shared" ca="1" si="5"/>
        <v>27.097267590125487</v>
      </c>
      <c r="AC14" s="2">
        <f t="shared" ca="1" si="5"/>
        <v>29.322390011467888</v>
      </c>
      <c r="AD14" s="2">
        <f t="shared" ca="1" si="5"/>
        <v>32.063797926148006</v>
      </c>
      <c r="AE14" s="2">
        <f t="shared" ca="1" si="5"/>
        <v>33.923504521663162</v>
      </c>
      <c r="AF14" s="2">
        <f t="shared" ca="1" si="5"/>
        <v>29.119557932697138</v>
      </c>
      <c r="AG14" s="2">
        <f t="shared" ca="1" si="5"/>
        <v>30.475502986076265</v>
      </c>
      <c r="AH14" s="2">
        <f t="shared" ca="1" si="5"/>
        <v>29.021543857728066</v>
      </c>
    </row>
    <row r="15" spans="1:34">
      <c r="A15" t="str">
        <f t="shared" si="6"/>
        <v>Sorghum</v>
      </c>
      <c r="B15" t="str">
        <f t="shared" ref="B15:B78" si="7">B4</f>
        <v>Afar</v>
      </c>
      <c r="C15" s="2">
        <f t="shared" ca="1" si="3"/>
        <v>29.406035567168068</v>
      </c>
      <c r="D15" s="2">
        <f t="shared" ca="1" si="3"/>
        <v>32.69083572766769</v>
      </c>
      <c r="E15" s="2">
        <f t="shared" ca="1" si="3"/>
        <v>28.684818901301949</v>
      </c>
      <c r="F15" s="2">
        <f t="shared" ca="1" si="3"/>
        <v>25.844308344732596</v>
      </c>
      <c r="G15" s="2">
        <f t="shared" ca="1" si="3"/>
        <v>34.086558004383619</v>
      </c>
      <c r="H15" s="2">
        <f t="shared" ca="1" si="3"/>
        <v>26.01250644875881</v>
      </c>
      <c r="I15" s="2">
        <f t="shared" ca="1" si="3"/>
        <v>33.300367397886752</v>
      </c>
      <c r="J15" s="2">
        <f t="shared" ca="1" si="3"/>
        <v>25.003926577046279</v>
      </c>
      <c r="K15" s="2">
        <f t="shared" ca="1" si="3"/>
        <v>27.100563965372288</v>
      </c>
      <c r="L15" s="2">
        <f t="shared" ca="1" si="3"/>
        <v>28.099803943145876</v>
      </c>
      <c r="M15" s="2">
        <f t="shared" ca="1" si="3"/>
        <v>29.926882266847699</v>
      </c>
      <c r="N15" s="2">
        <f t="shared" ca="1" si="3"/>
        <v>29.76403888350881</v>
      </c>
      <c r="O15" s="2">
        <f t="shared" ca="1" si="3"/>
        <v>27.319198642253752</v>
      </c>
      <c r="P15" s="2">
        <f t="shared" ca="1" si="3"/>
        <v>27.341849952707239</v>
      </c>
      <c r="Q15" s="2">
        <f t="shared" ca="1" si="3"/>
        <v>26.006480465956543</v>
      </c>
      <c r="R15" s="2">
        <f t="shared" ca="1" si="3"/>
        <v>34.998758684577012</v>
      </c>
      <c r="S15" s="2">
        <f t="shared" ca="1" si="4"/>
        <v>29.106792109654229</v>
      </c>
      <c r="T15" s="2">
        <f t="shared" ca="1" si="4"/>
        <v>29.089734906438927</v>
      </c>
      <c r="U15" s="2">
        <f t="shared" ca="1" si="4"/>
        <v>27.573398468782216</v>
      </c>
      <c r="V15" s="2">
        <f t="shared" ca="1" si="4"/>
        <v>30.934199573100042</v>
      </c>
      <c r="W15" s="2">
        <f t="shared" ca="1" si="4"/>
        <v>26.698491642112117</v>
      </c>
      <c r="X15" s="2">
        <f t="shared" ca="1" si="4"/>
        <v>30.339404914796347</v>
      </c>
      <c r="Y15" s="2">
        <f t="shared" ca="1" si="4"/>
        <v>26.681499704788454</v>
      </c>
      <c r="Z15" s="2">
        <f t="shared" ca="1" si="4"/>
        <v>30.803243405452896</v>
      </c>
      <c r="AA15" s="2">
        <f t="shared" ca="1" si="5"/>
        <v>32.794084711643045</v>
      </c>
      <c r="AB15" s="2">
        <f t="shared" ca="1" si="5"/>
        <v>34.890346499568004</v>
      </c>
      <c r="AC15" s="2">
        <f t="shared" ca="1" si="5"/>
        <v>29.79531564060434</v>
      </c>
      <c r="AD15" s="2">
        <f t="shared" ca="1" si="5"/>
        <v>26.283442358112346</v>
      </c>
      <c r="AE15" s="2">
        <f t="shared" ca="1" si="5"/>
        <v>31.5010232558833</v>
      </c>
      <c r="AF15" s="2">
        <f t="shared" ca="1" si="5"/>
        <v>27.130652491868371</v>
      </c>
      <c r="AG15" s="2">
        <f t="shared" ca="1" si="5"/>
        <v>29.393841165792765</v>
      </c>
      <c r="AH15" s="2">
        <f t="shared" ca="1" si="5"/>
        <v>29.572445120711347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28.31333865739666</v>
      </c>
      <c r="D16" s="2">
        <f t="shared" ca="1" si="3"/>
        <v>30.041540282392482</v>
      </c>
      <c r="E16" s="2">
        <f t="shared" ca="1" si="3"/>
        <v>32.505317357336232</v>
      </c>
      <c r="F16" s="2">
        <f t="shared" ca="1" si="3"/>
        <v>33.216984922991522</v>
      </c>
      <c r="G16" s="2">
        <f t="shared" ca="1" si="3"/>
        <v>34.030677392042165</v>
      </c>
      <c r="H16" s="2">
        <f t="shared" ca="1" si="3"/>
        <v>34.751772542313653</v>
      </c>
      <c r="I16" s="2">
        <f t="shared" ca="1" si="3"/>
        <v>26.918051081619762</v>
      </c>
      <c r="J16" s="2">
        <f t="shared" ca="1" si="3"/>
        <v>32.225411494149384</v>
      </c>
      <c r="K16" s="2">
        <f t="shared" ca="1" si="3"/>
        <v>31.470179807522936</v>
      </c>
      <c r="L16" s="2">
        <f t="shared" ca="1" si="3"/>
        <v>30.973356702851227</v>
      </c>
      <c r="M16" s="2">
        <f t="shared" ca="1" si="3"/>
        <v>33.241113828949871</v>
      </c>
      <c r="N16" s="2">
        <f t="shared" ca="1" si="3"/>
        <v>27.45406009302225</v>
      </c>
      <c r="O16" s="2">
        <f t="shared" ca="1" si="3"/>
        <v>32.457291563380693</v>
      </c>
      <c r="P16" s="2">
        <f t="shared" ca="1" si="3"/>
        <v>28.185596967602145</v>
      </c>
      <c r="Q16" s="2">
        <f t="shared" ca="1" si="3"/>
        <v>25.491159312160697</v>
      </c>
      <c r="R16" s="2">
        <f t="shared" ca="1" si="3"/>
        <v>29.166400046266538</v>
      </c>
      <c r="S16" s="2">
        <f t="shared" ca="1" si="4"/>
        <v>34.42976374440731</v>
      </c>
      <c r="T16" s="2">
        <f t="shared" ca="1" si="4"/>
        <v>31.755549601000386</v>
      </c>
      <c r="U16" s="2">
        <f t="shared" ca="1" si="4"/>
        <v>28.273988985120468</v>
      </c>
      <c r="V16" s="2">
        <f t="shared" ca="1" si="4"/>
        <v>33.135916772631276</v>
      </c>
      <c r="W16" s="2">
        <f t="shared" ca="1" si="4"/>
        <v>28.387932952049894</v>
      </c>
      <c r="X16" s="2">
        <f t="shared" ca="1" si="4"/>
        <v>31.457289684408764</v>
      </c>
      <c r="Y16" s="2">
        <f t="shared" ca="1" si="4"/>
        <v>27.067617173948449</v>
      </c>
      <c r="Z16" s="2">
        <f t="shared" ca="1" si="4"/>
        <v>29.861657868891701</v>
      </c>
      <c r="AA16" s="2">
        <f t="shared" ca="1" si="5"/>
        <v>26.785293125581497</v>
      </c>
      <c r="AB16" s="2">
        <f t="shared" ca="1" si="5"/>
        <v>29.770110283432921</v>
      </c>
      <c r="AC16" s="2">
        <f t="shared" ca="1" si="5"/>
        <v>33.972927603341532</v>
      </c>
      <c r="AD16" s="2">
        <f t="shared" ca="1" si="5"/>
        <v>25.257897390578972</v>
      </c>
      <c r="AE16" s="2">
        <f t="shared" ca="1" si="5"/>
        <v>32.794659094294403</v>
      </c>
      <c r="AF16" s="2">
        <f t="shared" ca="1" si="5"/>
        <v>29.535240774186352</v>
      </c>
      <c r="AG16" s="2">
        <f t="shared" ca="1" si="5"/>
        <v>26.058763921277446</v>
      </c>
      <c r="AH16" s="2">
        <f t="shared" ca="1" si="5"/>
        <v>28.499184307245862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27.430926730927006</v>
      </c>
      <c r="D17" s="2">
        <f t="shared" ca="1" si="3"/>
        <v>31.431814771864399</v>
      </c>
      <c r="E17" s="2">
        <f t="shared" ca="1" si="3"/>
        <v>29.246855676038418</v>
      </c>
      <c r="F17" s="2">
        <f t="shared" ca="1" si="3"/>
        <v>29.093999248431686</v>
      </c>
      <c r="G17" s="2">
        <f t="shared" ca="1" si="3"/>
        <v>29.719083698554147</v>
      </c>
      <c r="H17" s="2">
        <f t="shared" ca="1" si="3"/>
        <v>25.155718209102695</v>
      </c>
      <c r="I17" s="2">
        <f t="shared" ca="1" si="3"/>
        <v>31.548874616476215</v>
      </c>
      <c r="J17" s="2">
        <f t="shared" ca="1" si="3"/>
        <v>29.984921602414403</v>
      </c>
      <c r="K17" s="2">
        <f t="shared" ca="1" si="3"/>
        <v>34.768395353384228</v>
      </c>
      <c r="L17" s="2">
        <f t="shared" ca="1" si="3"/>
        <v>33.304400042168197</v>
      </c>
      <c r="M17" s="2">
        <f t="shared" ca="1" si="3"/>
        <v>25.502575008851132</v>
      </c>
      <c r="N17" s="2">
        <f t="shared" ca="1" si="3"/>
        <v>30.411405214542988</v>
      </c>
      <c r="O17" s="2">
        <f t="shared" ca="1" si="3"/>
        <v>34.84565700910975</v>
      </c>
      <c r="P17" s="2">
        <f t="shared" ca="1" si="3"/>
        <v>32.932644434836988</v>
      </c>
      <c r="Q17" s="2">
        <f t="shared" ca="1" si="3"/>
        <v>33.945011737371843</v>
      </c>
      <c r="R17" s="2">
        <f t="shared" ca="1" si="3"/>
        <v>31.679121630455526</v>
      </c>
      <c r="S17" s="2">
        <f t="shared" ca="1" si="4"/>
        <v>31.758213462405568</v>
      </c>
      <c r="T17" s="2">
        <f t="shared" ca="1" si="4"/>
        <v>25.161294218411584</v>
      </c>
      <c r="U17" s="2">
        <f t="shared" ca="1" si="4"/>
        <v>26.348176711422369</v>
      </c>
      <c r="V17" s="2">
        <f t="shared" ca="1" si="4"/>
        <v>34.665235145210126</v>
      </c>
      <c r="W17" s="2">
        <f t="shared" ca="1" si="4"/>
        <v>30.742918371819439</v>
      </c>
      <c r="X17" s="2">
        <f t="shared" ca="1" si="4"/>
        <v>27.151551173564982</v>
      </c>
      <c r="Y17" s="2">
        <f t="shared" ca="1" si="4"/>
        <v>32.737733089858466</v>
      </c>
      <c r="Z17" s="2">
        <f t="shared" ca="1" si="4"/>
        <v>26.549903776487991</v>
      </c>
      <c r="AA17" s="2">
        <f t="shared" ca="1" si="5"/>
        <v>33.977702566988448</v>
      </c>
      <c r="AB17" s="2">
        <f t="shared" ca="1" si="5"/>
        <v>26.080219490426973</v>
      </c>
      <c r="AC17" s="2">
        <f t="shared" ca="1" si="5"/>
        <v>26.337740206518031</v>
      </c>
      <c r="AD17" s="2">
        <f t="shared" ca="1" si="5"/>
        <v>29.764270119341234</v>
      </c>
      <c r="AE17" s="2">
        <f t="shared" ca="1" si="5"/>
        <v>34.085427578766392</v>
      </c>
      <c r="AF17" s="2">
        <f t="shared" ca="1" si="5"/>
        <v>33.955200532605673</v>
      </c>
      <c r="AG17" s="2">
        <f t="shared" ca="1" si="5"/>
        <v>29.337938243579561</v>
      </c>
      <c r="AH17" s="2">
        <f t="shared" ca="1" si="5"/>
        <v>34.512466653836498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25.965119113144137</v>
      </c>
      <c r="D18" s="2">
        <f t="shared" ca="1" si="3"/>
        <v>33.634213667094734</v>
      </c>
      <c r="E18" s="2">
        <f t="shared" ca="1" si="3"/>
        <v>25.745282860376136</v>
      </c>
      <c r="F18" s="2">
        <f t="shared" ca="1" si="3"/>
        <v>32.915386098098942</v>
      </c>
      <c r="G18" s="2">
        <f t="shared" ca="1" si="3"/>
        <v>27.289292698509069</v>
      </c>
      <c r="H18" s="2">
        <f t="shared" ca="1" si="3"/>
        <v>28.036928018774482</v>
      </c>
      <c r="I18" s="2">
        <f t="shared" ca="1" si="3"/>
        <v>31.948081141136839</v>
      </c>
      <c r="J18" s="2">
        <f t="shared" ca="1" si="3"/>
        <v>32.958498115219541</v>
      </c>
      <c r="K18" s="2">
        <f t="shared" ca="1" si="3"/>
        <v>29.678973753798804</v>
      </c>
      <c r="L18" s="2">
        <f t="shared" ca="1" si="3"/>
        <v>26.669714584604613</v>
      </c>
      <c r="M18" s="2">
        <f t="shared" ca="1" si="3"/>
        <v>32.37311405673308</v>
      </c>
      <c r="N18" s="2">
        <f t="shared" ca="1" si="3"/>
        <v>33.798291754443113</v>
      </c>
      <c r="O18" s="2">
        <f t="shared" ca="1" si="3"/>
        <v>32.183386770857183</v>
      </c>
      <c r="P18" s="2">
        <f t="shared" ca="1" si="3"/>
        <v>34.90658007240021</v>
      </c>
      <c r="Q18" s="2">
        <f t="shared" ca="1" si="3"/>
        <v>28.835999009847978</v>
      </c>
      <c r="R18" s="2">
        <f t="shared" ca="1" si="3"/>
        <v>28.031564314805877</v>
      </c>
      <c r="S18" s="2">
        <f t="shared" ca="1" si="4"/>
        <v>27.066518093924167</v>
      </c>
      <c r="T18" s="2">
        <f t="shared" ca="1" si="4"/>
        <v>33.888765053209781</v>
      </c>
      <c r="U18" s="2">
        <f t="shared" ca="1" si="4"/>
        <v>31.881871741337015</v>
      </c>
      <c r="V18" s="2">
        <f t="shared" ca="1" si="4"/>
        <v>34.624028372302</v>
      </c>
      <c r="W18" s="2">
        <f t="shared" ca="1" si="4"/>
        <v>29.413421132623657</v>
      </c>
      <c r="X18" s="2">
        <f t="shared" ca="1" si="4"/>
        <v>29.971100683396163</v>
      </c>
      <c r="Y18" s="2">
        <f t="shared" ca="1" si="4"/>
        <v>25.18025546353595</v>
      </c>
      <c r="Z18" s="2">
        <f t="shared" ca="1" si="4"/>
        <v>31.526122834797029</v>
      </c>
      <c r="AA18" s="2">
        <f t="shared" ca="1" si="5"/>
        <v>30.060427871232022</v>
      </c>
      <c r="AB18" s="2">
        <f t="shared" ca="1" si="5"/>
        <v>33.144089806391165</v>
      </c>
      <c r="AC18" s="2">
        <f t="shared" ca="1" si="5"/>
        <v>29.572804373576837</v>
      </c>
      <c r="AD18" s="2">
        <f t="shared" ca="1" si="5"/>
        <v>28.036550470633852</v>
      </c>
      <c r="AE18" s="2">
        <f t="shared" ca="1" si="5"/>
        <v>31.780368107771963</v>
      </c>
      <c r="AF18" s="2">
        <f t="shared" ca="1" si="5"/>
        <v>33.718142117817173</v>
      </c>
      <c r="AG18" s="2">
        <f t="shared" ca="1" si="5"/>
        <v>34.637372279091508</v>
      </c>
      <c r="AH18" s="2">
        <f t="shared" ca="1" si="5"/>
        <v>27.851114970496724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30.429820004400739</v>
      </c>
      <c r="D19" s="2">
        <f t="shared" ca="1" si="3"/>
        <v>30.968553973767268</v>
      </c>
      <c r="E19" s="2">
        <f t="shared" ca="1" si="3"/>
        <v>31.481348447752374</v>
      </c>
      <c r="F19" s="2">
        <f t="shared" ca="1" si="3"/>
        <v>31.560258939918437</v>
      </c>
      <c r="G19" s="2">
        <f t="shared" ca="1" si="3"/>
        <v>34.182252881354358</v>
      </c>
      <c r="H19" s="2">
        <f t="shared" ca="1" si="3"/>
        <v>27.841262715392084</v>
      </c>
      <c r="I19" s="2">
        <f t="shared" ca="1" si="3"/>
        <v>30.939846364200847</v>
      </c>
      <c r="J19" s="2">
        <f t="shared" ca="1" si="3"/>
        <v>33.408058492337943</v>
      </c>
      <c r="K19" s="2">
        <f t="shared" ca="1" si="3"/>
        <v>29.055201064034133</v>
      </c>
      <c r="L19" s="2">
        <f t="shared" ca="1" si="3"/>
        <v>30.452245844669438</v>
      </c>
      <c r="M19" s="2">
        <f t="shared" ca="1" si="3"/>
        <v>30.354681079468104</v>
      </c>
      <c r="N19" s="2">
        <f t="shared" ca="1" si="3"/>
        <v>25.474048663942568</v>
      </c>
      <c r="O19" s="2">
        <f t="shared" ca="1" si="3"/>
        <v>33.160729736997794</v>
      </c>
      <c r="P19" s="2">
        <f t="shared" ca="1" si="3"/>
        <v>28.031169517859453</v>
      </c>
      <c r="Q19" s="2">
        <f t="shared" ca="1" si="3"/>
        <v>33.230973149081798</v>
      </c>
      <c r="R19" s="2">
        <f t="shared" ca="1" si="3"/>
        <v>25.994294347642892</v>
      </c>
      <c r="S19" s="2">
        <f t="shared" ca="1" si="4"/>
        <v>30.728699325935299</v>
      </c>
      <c r="T19" s="2">
        <f t="shared" ca="1" si="4"/>
        <v>29.519954118965778</v>
      </c>
      <c r="U19" s="2">
        <f t="shared" ca="1" si="4"/>
        <v>33.332349037970609</v>
      </c>
      <c r="V19" s="2">
        <f t="shared" ca="1" si="4"/>
        <v>27.83212892319748</v>
      </c>
      <c r="W19" s="2">
        <f t="shared" ca="1" si="4"/>
        <v>31.009679290530187</v>
      </c>
      <c r="X19" s="2">
        <f t="shared" ca="1" si="4"/>
        <v>33.243093539965038</v>
      </c>
      <c r="Y19" s="2">
        <f t="shared" ca="1" si="4"/>
        <v>28.512542946042817</v>
      </c>
      <c r="Z19" s="2">
        <f t="shared" ca="1" si="4"/>
        <v>34.65838370014044</v>
      </c>
      <c r="AA19" s="2">
        <f t="shared" ca="1" si="5"/>
        <v>28.255385738537502</v>
      </c>
      <c r="AB19" s="2">
        <f t="shared" ca="1" si="5"/>
        <v>32.079112841928662</v>
      </c>
      <c r="AC19" s="2">
        <f t="shared" ca="1" si="5"/>
        <v>30.965440325537287</v>
      </c>
      <c r="AD19" s="2">
        <f t="shared" ca="1" si="5"/>
        <v>30.72519872215663</v>
      </c>
      <c r="AE19" s="2">
        <f t="shared" ca="1" si="5"/>
        <v>28.869120765035376</v>
      </c>
      <c r="AF19" s="2">
        <f t="shared" ca="1" si="5"/>
        <v>26.348546816337471</v>
      </c>
      <c r="AG19" s="2">
        <f t="shared" ca="1" si="5"/>
        <v>28.815778039247778</v>
      </c>
      <c r="AH19" s="2">
        <f t="shared" ca="1" si="5"/>
        <v>25.32171880611731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29.542143582883504</v>
      </c>
      <c r="D20" s="2">
        <f t="shared" ca="1" si="3"/>
        <v>31.261045569458126</v>
      </c>
      <c r="E20" s="2">
        <f t="shared" ca="1" si="3"/>
        <v>33.43460670720161</v>
      </c>
      <c r="F20" s="2">
        <f t="shared" ca="1" si="3"/>
        <v>28.363298813596053</v>
      </c>
      <c r="G20" s="2">
        <f t="shared" ca="1" si="3"/>
        <v>26.92436880965062</v>
      </c>
      <c r="H20" s="2">
        <f t="shared" ca="1" si="3"/>
        <v>27.867478505508601</v>
      </c>
      <c r="I20" s="2">
        <f t="shared" ca="1" si="3"/>
        <v>28.346416580297706</v>
      </c>
      <c r="J20" s="2">
        <f t="shared" ca="1" si="3"/>
        <v>25.517031903873214</v>
      </c>
      <c r="K20" s="2">
        <f t="shared" ca="1" si="3"/>
        <v>27.423867844324718</v>
      </c>
      <c r="L20" s="2">
        <f t="shared" ca="1" si="3"/>
        <v>28.686871171573959</v>
      </c>
      <c r="M20" s="2">
        <f t="shared" ca="1" si="3"/>
        <v>31.164347412977168</v>
      </c>
      <c r="N20" s="2">
        <f t="shared" ca="1" si="3"/>
        <v>27.242679767465031</v>
      </c>
      <c r="O20" s="2">
        <f t="shared" ca="1" si="3"/>
        <v>33.950420533543394</v>
      </c>
      <c r="P20" s="2">
        <f t="shared" ca="1" si="3"/>
        <v>34.422733579316152</v>
      </c>
      <c r="Q20" s="2">
        <f t="shared" ca="1" si="3"/>
        <v>29.494028141305471</v>
      </c>
      <c r="R20" s="2">
        <f t="shared" ca="1" si="3"/>
        <v>31.981828555398284</v>
      </c>
      <c r="S20" s="2">
        <f t="shared" ca="1" si="4"/>
        <v>32.366137468803409</v>
      </c>
      <c r="T20" s="2">
        <f t="shared" ca="1" si="4"/>
        <v>32.918047832541966</v>
      </c>
      <c r="U20" s="2">
        <f t="shared" ca="1" si="4"/>
        <v>25.408872079691498</v>
      </c>
      <c r="V20" s="2">
        <f t="shared" ca="1" si="4"/>
        <v>27.027390764981817</v>
      </c>
      <c r="W20" s="2">
        <f t="shared" ca="1" si="4"/>
        <v>34.681633338242797</v>
      </c>
      <c r="X20" s="2">
        <f t="shared" ca="1" si="4"/>
        <v>28.898312327514105</v>
      </c>
      <c r="Y20" s="2">
        <f t="shared" ca="1" si="4"/>
        <v>28.671009498918028</v>
      </c>
      <c r="Z20" s="2">
        <f t="shared" ca="1" si="4"/>
        <v>25.292930905210405</v>
      </c>
      <c r="AA20" s="2">
        <f t="shared" ca="1" si="5"/>
        <v>33.538552217695212</v>
      </c>
      <c r="AB20" s="2">
        <f t="shared" ca="1" si="5"/>
        <v>28.6071774360672</v>
      </c>
      <c r="AC20" s="2">
        <f t="shared" ca="1" si="5"/>
        <v>32.747801026696507</v>
      </c>
      <c r="AD20" s="2">
        <f t="shared" ca="1" si="5"/>
        <v>26.781557922961468</v>
      </c>
      <c r="AE20" s="2">
        <f t="shared" ca="1" si="5"/>
        <v>30.053252633336406</v>
      </c>
      <c r="AF20" s="2">
        <f t="shared" ca="1" si="5"/>
        <v>29.481120381677506</v>
      </c>
      <c r="AG20" s="2">
        <f t="shared" ca="1" si="5"/>
        <v>31.737779523915059</v>
      </c>
      <c r="AH20" s="2">
        <f t="shared" ca="1" si="5"/>
        <v>31.624740774475306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27.117359287357971</v>
      </c>
      <c r="D21" s="2">
        <f t="shared" ca="1" si="3"/>
        <v>27.411284536477488</v>
      </c>
      <c r="E21" s="2">
        <f t="shared" ca="1" si="3"/>
        <v>28.222264912589836</v>
      </c>
      <c r="F21" s="2">
        <f t="shared" ca="1" si="3"/>
        <v>31.572692046669431</v>
      </c>
      <c r="G21" s="2">
        <f t="shared" ca="1" si="3"/>
        <v>26.423780236146026</v>
      </c>
      <c r="H21" s="2">
        <f t="shared" ca="1" si="3"/>
        <v>29.104419757854171</v>
      </c>
      <c r="I21" s="2">
        <f t="shared" ca="1" si="3"/>
        <v>31.370545650498059</v>
      </c>
      <c r="J21" s="2">
        <f t="shared" ca="1" si="3"/>
        <v>26.547384321303923</v>
      </c>
      <c r="K21" s="2">
        <f t="shared" ca="1" si="3"/>
        <v>31.492602366349285</v>
      </c>
      <c r="L21" s="2">
        <f t="shared" ca="1" si="3"/>
        <v>27.244952439703294</v>
      </c>
      <c r="M21" s="2">
        <f t="shared" ca="1" si="3"/>
        <v>26.406499228538639</v>
      </c>
      <c r="N21" s="2">
        <f t="shared" ca="1" si="3"/>
        <v>27.485827028536512</v>
      </c>
      <c r="O21" s="2">
        <f t="shared" ca="1" si="3"/>
        <v>33.505219789180799</v>
      </c>
      <c r="P21" s="2">
        <f t="shared" ca="1" si="3"/>
        <v>26.513694036963127</v>
      </c>
      <c r="Q21" s="2">
        <f t="shared" ca="1" si="3"/>
        <v>27.151241050279435</v>
      </c>
      <c r="R21" s="2">
        <f t="shared" ca="1" si="3"/>
        <v>29.659113382955304</v>
      </c>
      <c r="S21" s="2">
        <f t="shared" ca="1" si="4"/>
        <v>28.747377475464035</v>
      </c>
      <c r="T21" s="2">
        <f t="shared" ca="1" si="4"/>
        <v>27.074379958694923</v>
      </c>
      <c r="U21" s="2">
        <f t="shared" ca="1" si="4"/>
        <v>31.211011655751555</v>
      </c>
      <c r="V21" s="2">
        <f t="shared" ca="1" si="4"/>
        <v>31.75537413270575</v>
      </c>
      <c r="W21" s="2">
        <f t="shared" ca="1" si="4"/>
        <v>27.978272589695287</v>
      </c>
      <c r="X21" s="2">
        <f t="shared" ca="1" si="4"/>
        <v>28.5448003278117</v>
      </c>
      <c r="Y21" s="2">
        <f t="shared" ca="1" si="4"/>
        <v>32.125020618174545</v>
      </c>
      <c r="Z21" s="2">
        <f t="shared" ca="1" si="4"/>
        <v>31.860762459268166</v>
      </c>
      <c r="AA21" s="2">
        <f t="shared" ca="1" si="5"/>
        <v>34.325477357865076</v>
      </c>
      <c r="AB21" s="2">
        <f t="shared" ca="1" si="5"/>
        <v>30.986868786472623</v>
      </c>
      <c r="AC21" s="2">
        <f t="shared" ca="1" si="5"/>
        <v>32.899898375048821</v>
      </c>
      <c r="AD21" s="2">
        <f t="shared" ca="1" si="5"/>
        <v>28.831386695023117</v>
      </c>
      <c r="AE21" s="2">
        <f t="shared" ca="1" si="5"/>
        <v>28.586077580899261</v>
      </c>
      <c r="AF21" s="2">
        <f t="shared" ca="1" si="5"/>
        <v>27.076629531104238</v>
      </c>
      <c r="AG21" s="2">
        <f t="shared" ca="1" si="5"/>
        <v>32.273355077408745</v>
      </c>
      <c r="AH21" s="2">
        <f t="shared" ca="1" si="5"/>
        <v>31.626252477454933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31.745488938190679</v>
      </c>
      <c r="D22" s="2">
        <f t="shared" ca="1" si="3"/>
        <v>29.175758172417765</v>
      </c>
      <c r="E22" s="2">
        <f t="shared" ca="1" si="3"/>
        <v>33.098757714035827</v>
      </c>
      <c r="F22" s="2">
        <f t="shared" ca="1" si="3"/>
        <v>33.93537847474154</v>
      </c>
      <c r="G22" s="2">
        <f t="shared" ca="1" si="3"/>
        <v>27.129859955002729</v>
      </c>
      <c r="H22" s="2">
        <f t="shared" ca="1" si="3"/>
        <v>32.21555532874018</v>
      </c>
      <c r="I22" s="2">
        <f t="shared" ca="1" si="3"/>
        <v>28.661738180708639</v>
      </c>
      <c r="J22" s="2">
        <f t="shared" ca="1" si="3"/>
        <v>27.914657090515025</v>
      </c>
      <c r="K22" s="2">
        <f t="shared" ca="1" si="3"/>
        <v>31.634752706419768</v>
      </c>
      <c r="L22" s="2">
        <f t="shared" ca="1" si="3"/>
        <v>27.638274937487001</v>
      </c>
      <c r="M22" s="2">
        <f t="shared" ca="1" si="3"/>
        <v>30.751447035403796</v>
      </c>
      <c r="N22" s="2">
        <f t="shared" ca="1" si="3"/>
        <v>27.765700537391407</v>
      </c>
      <c r="O22" s="2">
        <f t="shared" ca="1" si="3"/>
        <v>33.332914361082629</v>
      </c>
      <c r="P22" s="2">
        <f t="shared" ca="1" si="3"/>
        <v>28.293870554471489</v>
      </c>
      <c r="Q22" s="2">
        <f t="shared" ca="1" si="3"/>
        <v>28.137332994843028</v>
      </c>
      <c r="R22" s="2">
        <f t="shared" ca="1" si="3"/>
        <v>25.829539210812634</v>
      </c>
      <c r="S22" s="2">
        <f t="shared" ca="1" si="4"/>
        <v>25.218104308192942</v>
      </c>
      <c r="T22" s="2">
        <f t="shared" ca="1" si="4"/>
        <v>34.312063519857951</v>
      </c>
      <c r="U22" s="2">
        <f t="shared" ca="1" si="4"/>
        <v>25.101391443870547</v>
      </c>
      <c r="V22" s="2">
        <f t="shared" ca="1" si="4"/>
        <v>27.103559670302602</v>
      </c>
      <c r="W22" s="2">
        <f t="shared" ca="1" si="4"/>
        <v>31.019947807352757</v>
      </c>
      <c r="X22" s="2">
        <f t="shared" ca="1" si="4"/>
        <v>26.4698242888492</v>
      </c>
      <c r="Y22" s="2">
        <f t="shared" ca="1" si="4"/>
        <v>26.611198078096351</v>
      </c>
      <c r="Z22" s="2">
        <f t="shared" ca="1" si="4"/>
        <v>26.626627128897518</v>
      </c>
      <c r="AA22" s="2">
        <f t="shared" ca="1" si="5"/>
        <v>28.312303893221625</v>
      </c>
      <c r="AB22" s="2">
        <f t="shared" ca="1" si="5"/>
        <v>29.705016414848657</v>
      </c>
      <c r="AC22" s="2">
        <f t="shared" ca="1" si="5"/>
        <v>28.777757294447724</v>
      </c>
      <c r="AD22" s="2">
        <f t="shared" ca="1" si="5"/>
        <v>33.373650520007786</v>
      </c>
      <c r="AE22" s="2">
        <f t="shared" ca="1" si="5"/>
        <v>32.649352178221001</v>
      </c>
      <c r="AF22" s="2">
        <f t="shared" ca="1" si="5"/>
        <v>26.76442230492335</v>
      </c>
      <c r="AG22" s="2">
        <f t="shared" ca="1" si="5"/>
        <v>34.703195601733455</v>
      </c>
      <c r="AH22" s="2">
        <f t="shared" ca="1" si="5"/>
        <v>32.834922370303403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34.058104150330173</v>
      </c>
      <c r="D23" s="2">
        <f t="shared" ca="1" si="3"/>
        <v>29.144912110052914</v>
      </c>
      <c r="E23" s="2">
        <f t="shared" ca="1" si="3"/>
        <v>30.132509415449015</v>
      </c>
      <c r="F23" s="2">
        <f t="shared" ca="1" si="3"/>
        <v>25.340807576736438</v>
      </c>
      <c r="G23" s="2">
        <f t="shared" ca="1" si="3"/>
        <v>28.575583742453144</v>
      </c>
      <c r="H23" s="2">
        <f t="shared" ca="1" si="3"/>
        <v>27.220777966006256</v>
      </c>
      <c r="I23" s="2">
        <f t="shared" ca="1" si="3"/>
        <v>27.624701499039766</v>
      </c>
      <c r="J23" s="2">
        <f t="shared" ca="1" si="3"/>
        <v>29.71754995325157</v>
      </c>
      <c r="K23" s="2">
        <f t="shared" ca="1" si="3"/>
        <v>29.911343483790247</v>
      </c>
      <c r="L23" s="2">
        <f t="shared" ca="1" si="3"/>
        <v>31.194084928316883</v>
      </c>
      <c r="M23" s="2">
        <f t="shared" ca="1" si="3"/>
        <v>28.97736846174055</v>
      </c>
      <c r="N23" s="2">
        <f t="shared" ca="1" si="3"/>
        <v>33.684376059238133</v>
      </c>
      <c r="O23" s="2">
        <f t="shared" ca="1" si="3"/>
        <v>26.304490395677714</v>
      </c>
      <c r="P23" s="2">
        <f t="shared" ca="1" si="3"/>
        <v>30.123982316956983</v>
      </c>
      <c r="Q23" s="2">
        <f t="shared" ca="1" si="3"/>
        <v>29.139431908007971</v>
      </c>
      <c r="R23" s="2">
        <f t="shared" ca="1" si="3"/>
        <v>29.973666652053794</v>
      </c>
      <c r="S23" s="2">
        <f t="shared" ca="1" si="4"/>
        <v>28.094249106416591</v>
      </c>
      <c r="T23" s="2">
        <f t="shared" ca="1" si="4"/>
        <v>28.404632819480987</v>
      </c>
      <c r="U23" s="2">
        <f t="shared" ca="1" si="4"/>
        <v>26.195070013147919</v>
      </c>
      <c r="V23" s="2">
        <f t="shared" ca="1" si="4"/>
        <v>25.104642244134304</v>
      </c>
      <c r="W23" s="2">
        <f t="shared" ca="1" si="4"/>
        <v>33.322562858636246</v>
      </c>
      <c r="X23" s="2">
        <f t="shared" ca="1" si="4"/>
        <v>33.314528572814062</v>
      </c>
      <c r="Y23" s="2">
        <f t="shared" ca="1" si="4"/>
        <v>28.158714551025295</v>
      </c>
      <c r="Z23" s="2">
        <f t="shared" ca="1" si="4"/>
        <v>31.065468254510339</v>
      </c>
      <c r="AA23" s="2">
        <f t="shared" ca="1" si="5"/>
        <v>30.044307984136822</v>
      </c>
      <c r="AB23" s="2">
        <f t="shared" ca="1" si="5"/>
        <v>27.418719273982344</v>
      </c>
      <c r="AC23" s="2">
        <f t="shared" ca="1" si="5"/>
        <v>32.762771712744808</v>
      </c>
      <c r="AD23" s="2">
        <f t="shared" ca="1" si="5"/>
        <v>33.024703799755798</v>
      </c>
      <c r="AE23" s="2">
        <f t="shared" ca="1" si="5"/>
        <v>30.74161906337682</v>
      </c>
      <c r="AF23" s="2">
        <f t="shared" ca="1" si="5"/>
        <v>32.844694378114625</v>
      </c>
      <c r="AG23" s="2">
        <f t="shared" ca="1" si="5"/>
        <v>25.319832026737302</v>
      </c>
      <c r="AH23" s="2">
        <f t="shared" ca="1" si="5"/>
        <v>34.715119750934164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31.016665153980391</v>
      </c>
      <c r="D24" s="2">
        <f t="shared" ca="1" si="3"/>
        <v>30.504088557635498</v>
      </c>
      <c r="E24" s="2">
        <f t="shared" ca="1" si="3"/>
        <v>30.467270493649423</v>
      </c>
      <c r="F24" s="2">
        <f t="shared" ca="1" si="3"/>
        <v>31.93350898821814</v>
      </c>
      <c r="G24" s="2">
        <f t="shared" ca="1" si="3"/>
        <v>25.351174353710043</v>
      </c>
      <c r="H24" s="2">
        <f t="shared" ca="1" si="3"/>
        <v>34.125016049407854</v>
      </c>
      <c r="I24" s="2">
        <f t="shared" ca="1" si="3"/>
        <v>25.144437830899765</v>
      </c>
      <c r="J24" s="2">
        <f t="shared" ca="1" si="3"/>
        <v>25.508949479375694</v>
      </c>
      <c r="K24" s="2">
        <f t="shared" ca="1" si="3"/>
        <v>27.68033764817396</v>
      </c>
      <c r="L24" s="2">
        <f t="shared" ca="1" si="3"/>
        <v>27.853696477033665</v>
      </c>
      <c r="M24" s="2">
        <f t="shared" ca="1" si="3"/>
        <v>31.875752965681883</v>
      </c>
      <c r="N24" s="2">
        <f t="shared" ca="1" si="3"/>
        <v>26.766005977166117</v>
      </c>
      <c r="O24" s="2">
        <f t="shared" ca="1" si="3"/>
        <v>32.545109126953953</v>
      </c>
      <c r="P24" s="2">
        <f t="shared" ca="1" si="3"/>
        <v>30.201777061317326</v>
      </c>
      <c r="Q24" s="2">
        <f t="shared" ca="1" si="3"/>
        <v>27.825522810644287</v>
      </c>
      <c r="R24" s="2">
        <f t="shared" ca="1" si="3"/>
        <v>25.328496117355385</v>
      </c>
      <c r="S24" s="2">
        <f t="shared" ca="1" si="4"/>
        <v>27.537338010714556</v>
      </c>
      <c r="T24" s="2">
        <f t="shared" ca="1" si="4"/>
        <v>30.063928122643475</v>
      </c>
      <c r="U24" s="2">
        <f t="shared" ca="1" si="4"/>
        <v>26.379161747951247</v>
      </c>
      <c r="V24" s="2">
        <f t="shared" ca="1" si="4"/>
        <v>30.282955317989959</v>
      </c>
      <c r="W24" s="2">
        <f t="shared" ca="1" si="4"/>
        <v>25.493388676173119</v>
      </c>
      <c r="X24" s="2">
        <f t="shared" ca="1" si="4"/>
        <v>29.049378307429542</v>
      </c>
      <c r="Y24" s="2">
        <f t="shared" ca="1" si="4"/>
        <v>28.81795537299865</v>
      </c>
      <c r="Z24" s="2">
        <f t="shared" ca="1" si="4"/>
        <v>34.198455684166447</v>
      </c>
      <c r="AA24" s="2">
        <f t="shared" ca="1" si="5"/>
        <v>34.60081118709693</v>
      </c>
      <c r="AB24" s="2">
        <f t="shared" ca="1" si="5"/>
        <v>27.977858619776267</v>
      </c>
      <c r="AC24" s="2">
        <f t="shared" ca="1" si="5"/>
        <v>29.894423277242659</v>
      </c>
      <c r="AD24" s="2">
        <f t="shared" ca="1" si="5"/>
        <v>26.899386849814007</v>
      </c>
      <c r="AE24" s="2">
        <f t="shared" ca="1" si="5"/>
        <v>28.353542441751323</v>
      </c>
      <c r="AF24" s="2">
        <f t="shared" ca="1" si="5"/>
        <v>25.148969574659205</v>
      </c>
      <c r="AG24" s="2">
        <f t="shared" ca="1" si="5"/>
        <v>34.168419303537085</v>
      </c>
      <c r="AH24" s="2">
        <f t="shared" ca="1" si="5"/>
        <v>29.99945545293717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30.35154338138307</v>
      </c>
      <c r="D25" s="2">
        <f t="shared" ca="1" si="3"/>
        <v>28.668479485268445</v>
      </c>
      <c r="E25" s="2">
        <f t="shared" ca="1" si="3"/>
        <v>27.133474679739177</v>
      </c>
      <c r="F25" s="2">
        <f t="shared" ca="1" si="3"/>
        <v>28.58749715038936</v>
      </c>
      <c r="G25" s="2">
        <f t="shared" ca="1" si="3"/>
        <v>27.205055223153391</v>
      </c>
      <c r="H25" s="2">
        <f t="shared" ca="1" si="3"/>
        <v>31.220781532604232</v>
      </c>
      <c r="I25" s="2">
        <f t="shared" ca="1" si="3"/>
        <v>34.207763893821181</v>
      </c>
      <c r="J25" s="2">
        <f t="shared" ca="1" si="3"/>
        <v>27.053781337754359</v>
      </c>
      <c r="K25" s="2">
        <f t="shared" ca="1" si="3"/>
        <v>26.727012559866008</v>
      </c>
      <c r="L25" s="2">
        <f t="shared" ca="1" si="3"/>
        <v>33.215953025096482</v>
      </c>
      <c r="M25" s="2">
        <f t="shared" ca="1" si="3"/>
        <v>32.257403606918423</v>
      </c>
      <c r="N25" s="2">
        <f t="shared" ca="1" si="3"/>
        <v>30.791137763791898</v>
      </c>
      <c r="O25" s="2">
        <f t="shared" ca="1" si="3"/>
        <v>27.346968876870076</v>
      </c>
      <c r="P25" s="2">
        <f t="shared" ca="1" si="3"/>
        <v>31.146528081765531</v>
      </c>
      <c r="Q25" s="2">
        <f t="shared" ca="1" si="3"/>
        <v>25.735939100477058</v>
      </c>
      <c r="R25" s="2">
        <f t="shared" ca="1" si="3"/>
        <v>32.133027336945133</v>
      </c>
      <c r="S25" s="2">
        <f t="shared" ca="1" si="4"/>
        <v>33.016073191952003</v>
      </c>
      <c r="T25" s="2">
        <f t="shared" ca="1" si="4"/>
        <v>34.476057932881126</v>
      </c>
      <c r="U25" s="2">
        <f t="shared" ca="1" si="4"/>
        <v>25.976465514813274</v>
      </c>
      <c r="V25" s="2">
        <f t="shared" ca="1" si="4"/>
        <v>32.428974383822073</v>
      </c>
      <c r="W25" s="2">
        <f t="shared" ca="1" si="4"/>
        <v>32.516415482279797</v>
      </c>
      <c r="X25" s="2">
        <f t="shared" ca="1" si="4"/>
        <v>27.504652256852591</v>
      </c>
      <c r="Y25" s="2">
        <f t="shared" ca="1" si="4"/>
        <v>31.192103600871786</v>
      </c>
      <c r="Z25" s="2">
        <f t="shared" ca="1" si="4"/>
        <v>29.212473717871479</v>
      </c>
      <c r="AA25" s="2">
        <f t="shared" ca="1" si="5"/>
        <v>25.706690305915604</v>
      </c>
      <c r="AB25" s="2">
        <f t="shared" ca="1" si="5"/>
        <v>28.119792979313544</v>
      </c>
      <c r="AC25" s="2">
        <f t="shared" ca="1" si="5"/>
        <v>28.807972564526935</v>
      </c>
      <c r="AD25" s="2">
        <f t="shared" ca="1" si="5"/>
        <v>26.76471421550124</v>
      </c>
      <c r="AE25" s="2">
        <f t="shared" ca="1" si="5"/>
        <v>26.83446427311609</v>
      </c>
      <c r="AF25" s="2">
        <f t="shared" ca="1" si="5"/>
        <v>26.284670971730453</v>
      </c>
      <c r="AG25" s="2">
        <f t="shared" ca="1" si="5"/>
        <v>30.576977268455451</v>
      </c>
      <c r="AH25" s="2">
        <f t="shared" ca="1" si="5"/>
        <v>25.80623446565658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33.485405515237773</v>
      </c>
      <c r="D26" s="2">
        <f t="shared" ca="1" si="3"/>
        <v>29.742447379878449</v>
      </c>
      <c r="E26" s="2">
        <f t="shared" ca="1" si="3"/>
        <v>33.76650702863067</v>
      </c>
      <c r="F26" s="2">
        <f t="shared" ca="1" si="3"/>
        <v>25.037037148669793</v>
      </c>
      <c r="G26" s="2">
        <f t="shared" ca="1" si="3"/>
        <v>34.905340492799539</v>
      </c>
      <c r="H26" s="2">
        <f t="shared" ca="1" si="3"/>
        <v>29.334875762204824</v>
      </c>
      <c r="I26" s="2">
        <f t="shared" ca="1" si="3"/>
        <v>31.379329024649639</v>
      </c>
      <c r="J26" s="2">
        <f t="shared" ca="1" si="3"/>
        <v>25.026919274916057</v>
      </c>
      <c r="K26" s="2">
        <f t="shared" ca="1" si="3"/>
        <v>26.926352055189664</v>
      </c>
      <c r="L26" s="2">
        <f t="shared" ca="1" si="3"/>
        <v>31.787320914168333</v>
      </c>
      <c r="M26" s="2">
        <f t="shared" ca="1" si="3"/>
        <v>33.100929516848659</v>
      </c>
      <c r="N26" s="2">
        <f t="shared" ca="1" si="3"/>
        <v>28.617050790728157</v>
      </c>
      <c r="O26" s="2">
        <f t="shared" ca="1" si="3"/>
        <v>34.819708270817735</v>
      </c>
      <c r="P26" s="2">
        <f t="shared" ca="1" si="3"/>
        <v>32.587982115857713</v>
      </c>
      <c r="Q26" s="2">
        <f t="shared" ca="1" si="3"/>
        <v>26.399708672777976</v>
      </c>
      <c r="R26" s="2">
        <f t="shared" ca="1" si="3"/>
        <v>27.875892652930141</v>
      </c>
      <c r="S26" s="2">
        <f t="shared" ca="1" si="4"/>
        <v>28.379294694883459</v>
      </c>
      <c r="T26" s="2">
        <f t="shared" ca="1" si="4"/>
        <v>25.945510257997736</v>
      </c>
      <c r="U26" s="2">
        <f t="shared" ca="1" si="4"/>
        <v>26.829206497276825</v>
      </c>
      <c r="V26" s="2">
        <f t="shared" ca="1" si="4"/>
        <v>34.357287501077963</v>
      </c>
      <c r="W26" s="2">
        <f t="shared" ca="1" si="4"/>
        <v>32.58024738379811</v>
      </c>
      <c r="X26" s="2">
        <f t="shared" ca="1" si="4"/>
        <v>32.984693877461417</v>
      </c>
      <c r="Y26" s="2">
        <f t="shared" ca="1" si="4"/>
        <v>25.477458407419782</v>
      </c>
      <c r="Z26" s="2">
        <f t="shared" ca="1" si="4"/>
        <v>28.789680189179904</v>
      </c>
      <c r="AA26" s="2">
        <f t="shared" ca="1" si="5"/>
        <v>28.145940809747614</v>
      </c>
      <c r="AB26" s="2">
        <f t="shared" ca="1" si="5"/>
        <v>31.877594550613871</v>
      </c>
      <c r="AC26" s="2">
        <f t="shared" ca="1" si="5"/>
        <v>29.835188895111205</v>
      </c>
      <c r="AD26" s="2">
        <f t="shared" ca="1" si="5"/>
        <v>27.101571067643995</v>
      </c>
      <c r="AE26" s="2">
        <f t="shared" ca="1" si="5"/>
        <v>31.329644309186122</v>
      </c>
      <c r="AF26" s="2">
        <f t="shared" ca="1" si="5"/>
        <v>27.019269829008348</v>
      </c>
      <c r="AG26" s="2">
        <f t="shared" ca="1" si="5"/>
        <v>28.534654819988621</v>
      </c>
      <c r="AH26" s="2">
        <f t="shared" ca="1" si="5"/>
        <v>34.198097050318509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26.077708814934283</v>
      </c>
      <c r="D27" s="2">
        <f t="shared" ca="1" si="3"/>
        <v>30.752106759704553</v>
      </c>
      <c r="E27" s="2">
        <f t="shared" ca="1" si="3"/>
        <v>25.935825538004515</v>
      </c>
      <c r="F27" s="2">
        <f t="shared" ca="1" si="3"/>
        <v>26.475609827192432</v>
      </c>
      <c r="G27" s="2">
        <f t="shared" ca="1" si="3"/>
        <v>31.114480892855894</v>
      </c>
      <c r="H27" s="2">
        <f t="shared" ca="1" si="3"/>
        <v>27.769467885701673</v>
      </c>
      <c r="I27" s="2">
        <f t="shared" ca="1" si="3"/>
        <v>28.793256340011133</v>
      </c>
      <c r="J27" s="2">
        <f t="shared" ref="J27:Y42" ca="1" si="8">(RAND()*1+2.5)*10</f>
        <v>34.557617291652967</v>
      </c>
      <c r="K27" s="2">
        <f t="shared" ca="1" si="8"/>
        <v>25.123720154467819</v>
      </c>
      <c r="L27" s="2">
        <f t="shared" ca="1" si="8"/>
        <v>29.436377049215928</v>
      </c>
      <c r="M27" s="2">
        <f t="shared" ca="1" si="8"/>
        <v>31.566908067288377</v>
      </c>
      <c r="N27" s="2">
        <f t="shared" ca="1" si="8"/>
        <v>27.419953766372647</v>
      </c>
      <c r="O27" s="2">
        <f t="shared" ca="1" si="8"/>
        <v>26.861121805227786</v>
      </c>
      <c r="P27" s="2">
        <f t="shared" ca="1" si="8"/>
        <v>31.178439628105245</v>
      </c>
      <c r="Q27" s="2">
        <f t="shared" ca="1" si="8"/>
        <v>25.905196179886822</v>
      </c>
      <c r="R27" s="2">
        <f t="shared" ca="1" si="8"/>
        <v>29.863493051551551</v>
      </c>
      <c r="S27" s="2">
        <f t="shared" ca="1" si="8"/>
        <v>32.1403958587183</v>
      </c>
      <c r="T27" s="2">
        <f t="shared" ca="1" si="8"/>
        <v>28.72336259921795</v>
      </c>
      <c r="U27" s="2">
        <f t="shared" ca="1" si="8"/>
        <v>30.429209709326631</v>
      </c>
      <c r="V27" s="2">
        <f t="shared" ca="1" si="8"/>
        <v>33.976725893009444</v>
      </c>
      <c r="W27" s="2">
        <f t="shared" ca="1" si="8"/>
        <v>32.701455252302615</v>
      </c>
      <c r="X27" s="2">
        <f t="shared" ca="1" si="8"/>
        <v>27.111897951153836</v>
      </c>
      <c r="Y27" s="2">
        <f t="shared" ca="1" si="8"/>
        <v>30.87920515009472</v>
      </c>
      <c r="Z27" s="2">
        <f t="shared" ca="1" si="4"/>
        <v>29.757484815046567</v>
      </c>
      <c r="AA27" s="2">
        <f t="shared" ca="1" si="5"/>
        <v>32.528102406826434</v>
      </c>
      <c r="AB27" s="2">
        <f t="shared" ca="1" si="5"/>
        <v>32.309523544683728</v>
      </c>
      <c r="AC27" s="2">
        <f t="shared" ca="1" si="5"/>
        <v>25.245494935081592</v>
      </c>
      <c r="AD27" s="2">
        <f t="shared" ca="1" si="5"/>
        <v>34.921953874189178</v>
      </c>
      <c r="AE27" s="2">
        <f t="shared" ca="1" si="5"/>
        <v>26.77019622687537</v>
      </c>
      <c r="AF27" s="2">
        <f t="shared" ca="1" si="5"/>
        <v>27.579414616965362</v>
      </c>
      <c r="AG27" s="2">
        <f t="shared" ca="1" si="5"/>
        <v>30.976852324436752</v>
      </c>
      <c r="AH27" s="2">
        <f t="shared" ca="1" si="5"/>
        <v>32.641289745588807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(RAND()*1+2.5)*10</f>
        <v>31.251489936097101</v>
      </c>
      <c r="D28" s="2">
        <f t="shared" ca="1" si="9"/>
        <v>32.849351405254012</v>
      </c>
      <c r="E28" s="2">
        <f t="shared" ca="1" si="9"/>
        <v>27.509986888606601</v>
      </c>
      <c r="F28" s="2">
        <f t="shared" ca="1" si="9"/>
        <v>33.496628668203662</v>
      </c>
      <c r="G28" s="2">
        <f t="shared" ca="1" si="9"/>
        <v>27.882196166934303</v>
      </c>
      <c r="H28" s="2">
        <f t="shared" ca="1" si="9"/>
        <v>32.540232293966909</v>
      </c>
      <c r="I28" s="2">
        <f t="shared" ca="1" si="9"/>
        <v>25.649915938529254</v>
      </c>
      <c r="J28" s="2">
        <f t="shared" ca="1" si="9"/>
        <v>32.701092755510231</v>
      </c>
      <c r="K28" s="2">
        <f t="shared" ca="1" si="9"/>
        <v>34.866362558644425</v>
      </c>
      <c r="L28" s="2">
        <f t="shared" ca="1" si="9"/>
        <v>31.91845279601095</v>
      </c>
      <c r="M28" s="2">
        <f t="shared" ca="1" si="9"/>
        <v>31.459710903933331</v>
      </c>
      <c r="N28" s="2">
        <f t="shared" ca="1" si="9"/>
        <v>25.574959774847244</v>
      </c>
      <c r="O28" s="2">
        <f t="shared" ca="1" si="9"/>
        <v>34.427010424032929</v>
      </c>
      <c r="P28" s="2">
        <f t="shared" ca="1" si="9"/>
        <v>34.180466378612053</v>
      </c>
      <c r="Q28" s="2">
        <f t="shared" ca="1" si="9"/>
        <v>29.605214855330459</v>
      </c>
      <c r="R28" s="2">
        <f t="shared" ca="1" si="9"/>
        <v>34.87241086336806</v>
      </c>
      <c r="S28" s="2">
        <f t="shared" ca="1" si="8"/>
        <v>26.411661187885834</v>
      </c>
      <c r="T28" s="2">
        <f t="shared" ca="1" si="8"/>
        <v>25.339082711457927</v>
      </c>
      <c r="U28" s="2">
        <f t="shared" ca="1" si="8"/>
        <v>29.11331249470997</v>
      </c>
      <c r="V28" s="2">
        <f t="shared" ca="1" si="8"/>
        <v>32.547390278417566</v>
      </c>
      <c r="W28" s="2">
        <f t="shared" ca="1" si="8"/>
        <v>28.24227993322657</v>
      </c>
      <c r="X28" s="2">
        <f t="shared" ca="1" si="8"/>
        <v>32.24478939762308</v>
      </c>
      <c r="Y28" s="2">
        <f t="shared" ca="1" si="8"/>
        <v>33.962478490435252</v>
      </c>
      <c r="Z28" s="2">
        <f t="shared" ca="1" si="4"/>
        <v>26.96068059048903</v>
      </c>
      <c r="AA28" s="2">
        <f t="shared" ca="1" si="5"/>
        <v>27.721164677439344</v>
      </c>
      <c r="AB28" s="2">
        <f t="shared" ca="1" si="5"/>
        <v>30.064994839335043</v>
      </c>
      <c r="AC28" s="2">
        <f t="shared" ca="1" si="5"/>
        <v>26.5022011747409</v>
      </c>
      <c r="AD28" s="2">
        <f t="shared" ca="1" si="5"/>
        <v>33.425797610502244</v>
      </c>
      <c r="AE28" s="2">
        <f t="shared" ca="1" si="5"/>
        <v>25.321184868468258</v>
      </c>
      <c r="AF28" s="2">
        <f t="shared" ca="1" si="5"/>
        <v>27.358546025009602</v>
      </c>
      <c r="AG28" s="2">
        <f t="shared" ca="1" si="5"/>
        <v>34.257729215910956</v>
      </c>
      <c r="AH28" s="2">
        <f t="shared" ca="1" si="5"/>
        <v>32.986448718737073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30.914584373180801</v>
      </c>
      <c r="D29" s="2">
        <f t="shared" ca="1" si="9"/>
        <v>33.483775800360441</v>
      </c>
      <c r="E29" s="2">
        <f t="shared" ca="1" si="9"/>
        <v>32.942796020862765</v>
      </c>
      <c r="F29" s="2">
        <f t="shared" ca="1" si="9"/>
        <v>32.406490634596267</v>
      </c>
      <c r="G29" s="2">
        <f t="shared" ca="1" si="9"/>
        <v>33.252173180791132</v>
      </c>
      <c r="H29" s="2">
        <f t="shared" ca="1" si="9"/>
        <v>26.181375353436213</v>
      </c>
      <c r="I29" s="2">
        <f t="shared" ca="1" si="9"/>
        <v>30.86536337535879</v>
      </c>
      <c r="J29" s="2">
        <f t="shared" ca="1" si="9"/>
        <v>30.02746888663356</v>
      </c>
      <c r="K29" s="2">
        <f t="shared" ca="1" si="9"/>
        <v>27.614432547691152</v>
      </c>
      <c r="L29" s="2">
        <f t="shared" ca="1" si="9"/>
        <v>29.484364408024337</v>
      </c>
      <c r="M29" s="2">
        <f t="shared" ca="1" si="9"/>
        <v>33.628367012959536</v>
      </c>
      <c r="N29" s="2">
        <f t="shared" ca="1" si="9"/>
        <v>25.483352509293987</v>
      </c>
      <c r="O29" s="2">
        <f t="shared" ca="1" si="9"/>
        <v>25.236238072481754</v>
      </c>
      <c r="P29" s="2">
        <f t="shared" ca="1" si="9"/>
        <v>33.896273065556159</v>
      </c>
      <c r="Q29" s="2">
        <f t="shared" ca="1" si="9"/>
        <v>25.571937088669809</v>
      </c>
      <c r="R29" s="2">
        <f t="shared" ca="1" si="9"/>
        <v>28.020254462552295</v>
      </c>
      <c r="S29" s="2">
        <f t="shared" ca="1" si="8"/>
        <v>33.203501209673689</v>
      </c>
      <c r="T29" s="2">
        <f t="shared" ca="1" si="8"/>
        <v>31.832437598076567</v>
      </c>
      <c r="U29" s="2">
        <f t="shared" ca="1" si="8"/>
        <v>30.370664804052716</v>
      </c>
      <c r="V29" s="2">
        <f t="shared" ca="1" si="8"/>
        <v>31.211868906550858</v>
      </c>
      <c r="W29" s="2">
        <f t="shared" ca="1" si="8"/>
        <v>32.45620833467256</v>
      </c>
      <c r="X29" s="2">
        <f t="shared" ca="1" si="8"/>
        <v>32.551772855769833</v>
      </c>
      <c r="Y29" s="2">
        <f t="shared" ca="1" si="8"/>
        <v>26.715421372188803</v>
      </c>
      <c r="Z29" s="2">
        <f t="shared" ca="1" si="4"/>
        <v>27.986186682719101</v>
      </c>
      <c r="AA29" s="2">
        <f t="shared" ca="1" si="5"/>
        <v>33.932455540920493</v>
      </c>
      <c r="AB29" s="2">
        <f t="shared" ca="1" si="5"/>
        <v>25.835404322597686</v>
      </c>
      <c r="AC29" s="2">
        <f t="shared" ca="1" si="5"/>
        <v>27.208186725166883</v>
      </c>
      <c r="AD29" s="2">
        <f t="shared" ca="1" si="5"/>
        <v>31.36598697659927</v>
      </c>
      <c r="AE29" s="2">
        <f t="shared" ca="1" si="5"/>
        <v>34.734099953453921</v>
      </c>
      <c r="AF29" s="2">
        <f t="shared" ca="1" si="5"/>
        <v>29.067554671836547</v>
      </c>
      <c r="AG29" s="2">
        <f t="shared" ca="1" si="5"/>
        <v>33.894656871405132</v>
      </c>
      <c r="AH29" s="2">
        <f t="shared" ca="1" si="5"/>
        <v>28.176073187614634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30.208041831367886</v>
      </c>
      <c r="D30" s="2">
        <f t="shared" ca="1" si="9"/>
        <v>34.193154201018984</v>
      </c>
      <c r="E30" s="2">
        <f t="shared" ca="1" si="9"/>
        <v>31.269002289959062</v>
      </c>
      <c r="F30" s="2">
        <f t="shared" ca="1" si="9"/>
        <v>29.161381763864131</v>
      </c>
      <c r="G30" s="2">
        <f t="shared" ca="1" si="9"/>
        <v>31.79928571666661</v>
      </c>
      <c r="H30" s="2">
        <f t="shared" ca="1" si="9"/>
        <v>27.572905340216344</v>
      </c>
      <c r="I30" s="2">
        <f t="shared" ca="1" si="9"/>
        <v>29.123968205299917</v>
      </c>
      <c r="J30" s="2">
        <f t="shared" ca="1" si="9"/>
        <v>32.034725299714346</v>
      </c>
      <c r="K30" s="2">
        <f t="shared" ca="1" si="9"/>
        <v>32.666893743574505</v>
      </c>
      <c r="L30" s="2">
        <f t="shared" ca="1" si="9"/>
        <v>30.10675416710022</v>
      </c>
      <c r="M30" s="2">
        <f t="shared" ca="1" si="9"/>
        <v>34.083592766018789</v>
      </c>
      <c r="N30" s="2">
        <f t="shared" ca="1" si="9"/>
        <v>28.015513064474632</v>
      </c>
      <c r="O30" s="2">
        <f t="shared" ca="1" si="9"/>
        <v>28.996505320200995</v>
      </c>
      <c r="P30" s="2">
        <f t="shared" ca="1" si="9"/>
        <v>27.809829325842621</v>
      </c>
      <c r="Q30" s="2">
        <f t="shared" ca="1" si="9"/>
        <v>30.894252535785952</v>
      </c>
      <c r="R30" s="2">
        <f t="shared" ca="1" si="9"/>
        <v>31.480849810631732</v>
      </c>
      <c r="S30" s="2">
        <f t="shared" ca="1" si="8"/>
        <v>27.989118174124961</v>
      </c>
      <c r="T30" s="2">
        <f t="shared" ca="1" si="8"/>
        <v>29.896571272369744</v>
      </c>
      <c r="U30" s="2">
        <f t="shared" ca="1" si="8"/>
        <v>32.136016053463052</v>
      </c>
      <c r="V30" s="2">
        <f t="shared" ca="1" si="8"/>
        <v>26.565540380505634</v>
      </c>
      <c r="W30" s="2">
        <f t="shared" ca="1" si="8"/>
        <v>31.921814460875552</v>
      </c>
      <c r="X30" s="2">
        <f t="shared" ca="1" si="8"/>
        <v>29.624192853554451</v>
      </c>
      <c r="Y30" s="2">
        <f t="shared" ca="1" si="8"/>
        <v>25.658307263146089</v>
      </c>
      <c r="Z30" s="2">
        <f t="shared" ca="1" si="4"/>
        <v>33.631641214577257</v>
      </c>
      <c r="AA30" s="2">
        <f t="shared" ca="1" si="5"/>
        <v>33.750807195706273</v>
      </c>
      <c r="AB30" s="2">
        <f t="shared" ca="1" si="5"/>
        <v>33.189857129073459</v>
      </c>
      <c r="AC30" s="2">
        <f t="shared" ca="1" si="5"/>
        <v>34.020618702196366</v>
      </c>
      <c r="AD30" s="2">
        <f t="shared" ca="1" si="5"/>
        <v>27.885007716661121</v>
      </c>
      <c r="AE30" s="2">
        <f t="shared" ca="1" si="5"/>
        <v>27.100001773391522</v>
      </c>
      <c r="AF30" s="2">
        <f t="shared" ca="1" si="5"/>
        <v>27.71636098591561</v>
      </c>
      <c r="AG30" s="2">
        <f t="shared" ca="1" si="5"/>
        <v>29.276272941591493</v>
      </c>
      <c r="AH30" s="2">
        <f t="shared" ca="1" si="5"/>
        <v>31.389342130938147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31.196332479957888</v>
      </c>
      <c r="D31" s="2">
        <f t="shared" ca="1" si="9"/>
        <v>29.570797360904177</v>
      </c>
      <c r="E31" s="2">
        <f t="shared" ca="1" si="9"/>
        <v>28.026254431609093</v>
      </c>
      <c r="F31" s="2">
        <f t="shared" ca="1" si="9"/>
        <v>28.541565566985714</v>
      </c>
      <c r="G31" s="2">
        <f t="shared" ca="1" si="9"/>
        <v>34.979346546863916</v>
      </c>
      <c r="H31" s="2">
        <f t="shared" ca="1" si="9"/>
        <v>31.228404211578816</v>
      </c>
      <c r="I31" s="2">
        <f t="shared" ca="1" si="9"/>
        <v>33.620870366898913</v>
      </c>
      <c r="J31" s="2">
        <f t="shared" ca="1" si="9"/>
        <v>33.73748021978021</v>
      </c>
      <c r="K31" s="2">
        <f t="shared" ca="1" si="9"/>
        <v>29.124231483937653</v>
      </c>
      <c r="L31" s="2">
        <f t="shared" ca="1" si="9"/>
        <v>30.03705255939358</v>
      </c>
      <c r="M31" s="2">
        <f t="shared" ca="1" si="9"/>
        <v>25.198469138721038</v>
      </c>
      <c r="N31" s="2">
        <f t="shared" ca="1" si="9"/>
        <v>28.09376794486446</v>
      </c>
      <c r="O31" s="2">
        <f t="shared" ca="1" si="9"/>
        <v>34.604321003381145</v>
      </c>
      <c r="P31" s="2">
        <f t="shared" ca="1" si="9"/>
        <v>28.257697903957151</v>
      </c>
      <c r="Q31" s="2">
        <f t="shared" ca="1" si="9"/>
        <v>30.233277642837461</v>
      </c>
      <c r="R31" s="2">
        <f t="shared" ca="1" si="9"/>
        <v>25.056662348401986</v>
      </c>
      <c r="S31" s="2">
        <f t="shared" ca="1" si="8"/>
        <v>26.426238976409739</v>
      </c>
      <c r="T31" s="2">
        <f t="shared" ca="1" si="8"/>
        <v>29.957273977841975</v>
      </c>
      <c r="U31" s="2">
        <f t="shared" ca="1" si="8"/>
        <v>34.912460938203139</v>
      </c>
      <c r="V31" s="2">
        <f t="shared" ca="1" si="8"/>
        <v>29.314199753727038</v>
      </c>
      <c r="W31" s="2">
        <f t="shared" ca="1" si="8"/>
        <v>28.932997477598512</v>
      </c>
      <c r="X31" s="2">
        <f t="shared" ca="1" si="8"/>
        <v>26.707940757517687</v>
      </c>
      <c r="Y31" s="2">
        <f t="shared" ca="1" si="8"/>
        <v>28.489462945944226</v>
      </c>
      <c r="Z31" s="2">
        <f t="shared" ca="1" si="4"/>
        <v>33.787202268411434</v>
      </c>
      <c r="AA31" s="2">
        <f t="shared" ca="1" si="5"/>
        <v>31.844397299206491</v>
      </c>
      <c r="AB31" s="2">
        <f t="shared" ca="1" si="5"/>
        <v>29.728215264997878</v>
      </c>
      <c r="AC31" s="2">
        <f t="shared" ca="1" si="5"/>
        <v>26.69416962964813</v>
      </c>
      <c r="AD31" s="2">
        <f t="shared" ca="1" si="5"/>
        <v>28.330695476329566</v>
      </c>
      <c r="AE31" s="2">
        <f t="shared" ca="1" si="5"/>
        <v>27.993845900369621</v>
      </c>
      <c r="AF31" s="2">
        <f t="shared" ca="1" si="5"/>
        <v>27.38904445454807</v>
      </c>
      <c r="AG31" s="2">
        <f t="shared" ca="1" si="5"/>
        <v>27.281242921139864</v>
      </c>
      <c r="AH31" s="2">
        <f t="shared" ca="1" si="5"/>
        <v>26.935103873026364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29.151112779983606</v>
      </c>
      <c r="D32" s="2">
        <f t="shared" ca="1" si="9"/>
        <v>26.530857087244772</v>
      </c>
      <c r="E32" s="2">
        <f t="shared" ca="1" si="9"/>
        <v>32.286504489308363</v>
      </c>
      <c r="F32" s="2">
        <f t="shared" ca="1" si="9"/>
        <v>25.911294279424531</v>
      </c>
      <c r="G32" s="2">
        <f t="shared" ca="1" si="9"/>
        <v>26.064951293880871</v>
      </c>
      <c r="H32" s="2">
        <f t="shared" ca="1" si="9"/>
        <v>33.577789242411697</v>
      </c>
      <c r="I32" s="2">
        <f t="shared" ca="1" si="9"/>
        <v>34.831412855348404</v>
      </c>
      <c r="J32" s="2">
        <f t="shared" ca="1" si="9"/>
        <v>33.737814449601146</v>
      </c>
      <c r="K32" s="2">
        <f t="shared" ca="1" si="9"/>
        <v>29.500550455918106</v>
      </c>
      <c r="L32" s="2">
        <f t="shared" ca="1" si="9"/>
        <v>30.017134067022859</v>
      </c>
      <c r="M32" s="2">
        <f t="shared" ca="1" si="9"/>
        <v>29.397864782955473</v>
      </c>
      <c r="N32" s="2">
        <f t="shared" ca="1" si="9"/>
        <v>34.608028681673467</v>
      </c>
      <c r="O32" s="2">
        <f t="shared" ca="1" si="9"/>
        <v>31.906670864276421</v>
      </c>
      <c r="P32" s="2">
        <f t="shared" ca="1" si="9"/>
        <v>26.333689178261434</v>
      </c>
      <c r="Q32" s="2">
        <f t="shared" ca="1" si="9"/>
        <v>32.033423283618745</v>
      </c>
      <c r="R32" s="2">
        <f t="shared" ca="1" si="9"/>
        <v>29.641100724507314</v>
      </c>
      <c r="S32" s="2">
        <f t="shared" ca="1" si="8"/>
        <v>26.132695036900557</v>
      </c>
      <c r="T32" s="2">
        <f t="shared" ca="1" si="8"/>
        <v>31.52628404496296</v>
      </c>
      <c r="U32" s="2">
        <f t="shared" ca="1" si="8"/>
        <v>25.41162493638047</v>
      </c>
      <c r="V32" s="2">
        <f t="shared" ca="1" si="8"/>
        <v>28.146075017536919</v>
      </c>
      <c r="W32" s="2">
        <f t="shared" ca="1" si="8"/>
        <v>25.408223707757109</v>
      </c>
      <c r="X32" s="2">
        <f t="shared" ca="1" si="8"/>
        <v>30.964437986060176</v>
      </c>
      <c r="Y32" s="2">
        <f t="shared" ca="1" si="8"/>
        <v>34.161989598273465</v>
      </c>
      <c r="Z32" s="2">
        <f t="shared" ca="1" si="4"/>
        <v>25.312646313453872</v>
      </c>
      <c r="AA32" s="2">
        <f t="shared" ca="1" si="5"/>
        <v>32.163695252625061</v>
      </c>
      <c r="AB32" s="2">
        <f t="shared" ca="1" si="5"/>
        <v>34.358755079921018</v>
      </c>
      <c r="AC32" s="2">
        <f t="shared" ca="1" si="5"/>
        <v>30.960114773941136</v>
      </c>
      <c r="AD32" s="2">
        <f t="shared" ca="1" si="5"/>
        <v>33.199141171454066</v>
      </c>
      <c r="AE32" s="2">
        <f t="shared" ca="1" si="5"/>
        <v>28.780751436053258</v>
      </c>
      <c r="AF32" s="2">
        <f t="shared" ca="1" si="5"/>
        <v>34.104224953049403</v>
      </c>
      <c r="AG32" s="2">
        <f t="shared" ca="1" si="5"/>
        <v>29.291189838260429</v>
      </c>
      <c r="AH32" s="2">
        <f t="shared" ca="1" si="5"/>
        <v>32.46367794553418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34.405104085207618</v>
      </c>
      <c r="D33" s="2">
        <f t="shared" ca="1" si="9"/>
        <v>26.652719756890981</v>
      </c>
      <c r="E33" s="2">
        <f t="shared" ca="1" si="9"/>
        <v>33.017075904324301</v>
      </c>
      <c r="F33" s="2">
        <f t="shared" ca="1" si="9"/>
        <v>30.064465433511643</v>
      </c>
      <c r="G33" s="2">
        <f t="shared" ca="1" si="9"/>
        <v>29.833601489126814</v>
      </c>
      <c r="H33" s="2">
        <f t="shared" ca="1" si="9"/>
        <v>26.788517049953864</v>
      </c>
      <c r="I33" s="2">
        <f t="shared" ca="1" si="9"/>
        <v>32.955558006962491</v>
      </c>
      <c r="J33" s="2">
        <f t="shared" ca="1" si="9"/>
        <v>33.850391288354196</v>
      </c>
      <c r="K33" s="2">
        <f t="shared" ca="1" si="9"/>
        <v>31.19851345889494</v>
      </c>
      <c r="L33" s="2">
        <f t="shared" ca="1" si="9"/>
        <v>32.614232134133346</v>
      </c>
      <c r="M33" s="2">
        <f t="shared" ca="1" si="9"/>
        <v>26.284623080966462</v>
      </c>
      <c r="N33" s="2">
        <f t="shared" ca="1" si="9"/>
        <v>31.267172820623355</v>
      </c>
      <c r="O33" s="2">
        <f t="shared" ca="1" si="9"/>
        <v>29.96915051942895</v>
      </c>
      <c r="P33" s="2">
        <f t="shared" ca="1" si="9"/>
        <v>32.090163912361099</v>
      </c>
      <c r="Q33" s="2">
        <f t="shared" ca="1" si="9"/>
        <v>31.872966093892074</v>
      </c>
      <c r="R33" s="2">
        <f t="shared" ca="1" si="9"/>
        <v>32.95676742337546</v>
      </c>
      <c r="S33" s="2">
        <f t="shared" ca="1" si="8"/>
        <v>29.505638501702421</v>
      </c>
      <c r="T33" s="2">
        <f t="shared" ca="1" si="8"/>
        <v>27.280322033212965</v>
      </c>
      <c r="U33" s="2">
        <f t="shared" ca="1" si="8"/>
        <v>28.95802895191342</v>
      </c>
      <c r="V33" s="2">
        <f t="shared" ca="1" si="8"/>
        <v>29.121875625743819</v>
      </c>
      <c r="W33" s="2">
        <f t="shared" ca="1" si="8"/>
        <v>34.765858094621422</v>
      </c>
      <c r="X33" s="2">
        <f t="shared" ca="1" si="8"/>
        <v>29.365455383353915</v>
      </c>
      <c r="Y33" s="2">
        <f t="shared" ca="1" si="8"/>
        <v>25.963327659752</v>
      </c>
      <c r="Z33" s="2">
        <f t="shared" ca="1" si="4"/>
        <v>34.132773920825905</v>
      </c>
      <c r="AA33" s="2">
        <f t="shared" ca="1" si="5"/>
        <v>26.869877063991513</v>
      </c>
      <c r="AB33" s="2">
        <f t="shared" ca="1" si="5"/>
        <v>27.031431197005809</v>
      </c>
      <c r="AC33" s="2">
        <f t="shared" ca="1" si="5"/>
        <v>34.978262277910289</v>
      </c>
      <c r="AD33" s="2">
        <f t="shared" ca="1" si="5"/>
        <v>27.641598064999716</v>
      </c>
      <c r="AE33" s="2">
        <f t="shared" ca="1" si="5"/>
        <v>31.302939068888037</v>
      </c>
      <c r="AF33" s="2">
        <f t="shared" ca="1" si="5"/>
        <v>30.573691862135416</v>
      </c>
      <c r="AG33" s="2">
        <f t="shared" ca="1" si="5"/>
        <v>28.256818878200992</v>
      </c>
      <c r="AH33" s="2">
        <f t="shared" ca="1" si="5"/>
        <v>31.965845962945387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30.999942758708006</v>
      </c>
      <c r="D34" s="2">
        <f t="shared" ca="1" si="9"/>
        <v>25.412018955185264</v>
      </c>
      <c r="E34" s="2">
        <f t="shared" ca="1" si="9"/>
        <v>34.808409427126961</v>
      </c>
      <c r="F34" s="2">
        <f t="shared" ca="1" si="9"/>
        <v>28.499952805322124</v>
      </c>
      <c r="G34" s="2">
        <f t="shared" ca="1" si="9"/>
        <v>34.277705288008619</v>
      </c>
      <c r="H34" s="2">
        <f t="shared" ca="1" si="9"/>
        <v>32.395638317990752</v>
      </c>
      <c r="I34" s="2">
        <f t="shared" ca="1" si="9"/>
        <v>33.674378292256797</v>
      </c>
      <c r="J34" s="2">
        <f t="shared" ca="1" si="9"/>
        <v>30.179725197067704</v>
      </c>
      <c r="K34" s="2">
        <f t="shared" ca="1" si="9"/>
        <v>29.413694329376625</v>
      </c>
      <c r="L34" s="2">
        <f t="shared" ca="1" si="9"/>
        <v>29.462579944953966</v>
      </c>
      <c r="M34" s="2">
        <f t="shared" ca="1" si="9"/>
        <v>26.056239402606728</v>
      </c>
      <c r="N34" s="2">
        <f t="shared" ca="1" si="9"/>
        <v>34.011460833570951</v>
      </c>
      <c r="O34" s="2">
        <f t="shared" ca="1" si="9"/>
        <v>25.818572739279617</v>
      </c>
      <c r="P34" s="2">
        <f t="shared" ca="1" si="9"/>
        <v>33.749234073846161</v>
      </c>
      <c r="Q34" s="2">
        <f t="shared" ca="1" si="9"/>
        <v>27.846009477737866</v>
      </c>
      <c r="R34" s="2">
        <f t="shared" ca="1" si="9"/>
        <v>26.215707599298661</v>
      </c>
      <c r="S34" s="2">
        <f t="shared" ca="1" si="8"/>
        <v>29.983650667490341</v>
      </c>
      <c r="T34" s="2">
        <f t="shared" ca="1" si="8"/>
        <v>26.518331015393343</v>
      </c>
      <c r="U34" s="2">
        <f t="shared" ca="1" si="8"/>
        <v>27.784652201252026</v>
      </c>
      <c r="V34" s="2">
        <f t="shared" ca="1" si="8"/>
        <v>34.972201095682749</v>
      </c>
      <c r="W34" s="2">
        <f t="shared" ca="1" si="8"/>
        <v>26.339448347317767</v>
      </c>
      <c r="X34" s="2">
        <f t="shared" ca="1" si="8"/>
        <v>31.455318589336557</v>
      </c>
      <c r="Y34" s="2">
        <f t="shared" ca="1" si="8"/>
        <v>28.253412424428252</v>
      </c>
      <c r="Z34" s="2">
        <f t="shared" ca="1" si="4"/>
        <v>30.69983530697661</v>
      </c>
      <c r="AA34" s="2">
        <f t="shared" ca="1" si="5"/>
        <v>32.81023902254109</v>
      </c>
      <c r="AB34" s="2">
        <f t="shared" ca="1" si="5"/>
        <v>29.139409847214853</v>
      </c>
      <c r="AC34" s="2">
        <f t="shared" ca="1" si="5"/>
        <v>32.895508942981941</v>
      </c>
      <c r="AD34" s="2">
        <f t="shared" ca="1" si="5"/>
        <v>25.797875566207008</v>
      </c>
      <c r="AE34" s="2">
        <f t="shared" ca="1" si="5"/>
        <v>31.457536629061075</v>
      </c>
      <c r="AF34" s="2">
        <f t="shared" ca="1" si="5"/>
        <v>29.319938525087412</v>
      </c>
      <c r="AG34" s="2">
        <f t="shared" ca="1" si="5"/>
        <v>26.870262913501843</v>
      </c>
      <c r="AH34" s="2">
        <f t="shared" ca="1" si="5"/>
        <v>30.766285207333304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29.674856526614903</v>
      </c>
      <c r="D35" s="2">
        <f t="shared" ca="1" si="9"/>
        <v>33.504897099062148</v>
      </c>
      <c r="E35" s="2">
        <f t="shared" ca="1" si="9"/>
        <v>27.761074934073768</v>
      </c>
      <c r="F35" s="2">
        <f t="shared" ca="1" si="9"/>
        <v>26.264746412757454</v>
      </c>
      <c r="G35" s="2">
        <f t="shared" ca="1" si="9"/>
        <v>33.766623769343099</v>
      </c>
      <c r="H35" s="2">
        <f t="shared" ca="1" si="9"/>
        <v>28.678502387213044</v>
      </c>
      <c r="I35" s="2">
        <f t="shared" ca="1" si="9"/>
        <v>26.061864113414252</v>
      </c>
      <c r="J35" s="2">
        <f t="shared" ca="1" si="9"/>
        <v>29.682539689010561</v>
      </c>
      <c r="K35" s="2">
        <f t="shared" ca="1" si="9"/>
        <v>29.728545790884773</v>
      </c>
      <c r="L35" s="2">
        <f t="shared" ca="1" si="9"/>
        <v>32.157113111722786</v>
      </c>
      <c r="M35" s="2">
        <f t="shared" ca="1" si="9"/>
        <v>29.819729753955677</v>
      </c>
      <c r="N35" s="2">
        <f t="shared" ca="1" si="9"/>
        <v>27.359410742369331</v>
      </c>
      <c r="O35" s="2">
        <f t="shared" ca="1" si="9"/>
        <v>25.481495113500586</v>
      </c>
      <c r="P35" s="2">
        <f t="shared" ca="1" si="9"/>
        <v>33.227118305784174</v>
      </c>
      <c r="Q35" s="2">
        <f t="shared" ca="1" si="9"/>
        <v>27.654435581972507</v>
      </c>
      <c r="R35" s="2">
        <f t="shared" ca="1" si="9"/>
        <v>29.086672031356695</v>
      </c>
      <c r="S35" s="2">
        <f t="shared" ca="1" si="8"/>
        <v>31.907902899549683</v>
      </c>
      <c r="T35" s="2">
        <f t="shared" ca="1" si="8"/>
        <v>28.985349306334971</v>
      </c>
      <c r="U35" s="2">
        <f t="shared" ca="1" si="8"/>
        <v>30.597044862922715</v>
      </c>
      <c r="V35" s="2">
        <f t="shared" ca="1" si="8"/>
        <v>29.408151877914488</v>
      </c>
      <c r="W35" s="2">
        <f t="shared" ca="1" si="8"/>
        <v>26.905004876439072</v>
      </c>
      <c r="X35" s="2">
        <f t="shared" ca="1" si="8"/>
        <v>34.208100115349794</v>
      </c>
      <c r="Y35" s="2">
        <f t="shared" ca="1" si="8"/>
        <v>27.810692718409339</v>
      </c>
      <c r="Z35" s="2">
        <f t="shared" ca="1" si="4"/>
        <v>26.974617494310568</v>
      </c>
      <c r="AA35" s="2">
        <f t="shared" ca="1" si="5"/>
        <v>32.689785082095028</v>
      </c>
      <c r="AB35" s="2">
        <f t="shared" ca="1" si="5"/>
        <v>34.192130484144279</v>
      </c>
      <c r="AC35" s="2">
        <f t="shared" ca="1" si="5"/>
        <v>33.357310589601397</v>
      </c>
      <c r="AD35" s="2">
        <f t="shared" ca="1" si="5"/>
        <v>26.670508456263484</v>
      </c>
      <c r="AE35" s="2">
        <f t="shared" ca="1" si="5"/>
        <v>30.137172878020451</v>
      </c>
      <c r="AF35" s="2">
        <f t="shared" ca="1" si="5"/>
        <v>28.228263406667622</v>
      </c>
      <c r="AG35" s="2">
        <f t="shared" ca="1" si="5"/>
        <v>25.32728505795194</v>
      </c>
      <c r="AH35" s="2">
        <f t="shared" ca="1" si="5"/>
        <v>33.866557849764774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33.127305879878897</v>
      </c>
      <c r="D36" s="2">
        <f t="shared" ca="1" si="9"/>
        <v>33.278388914077055</v>
      </c>
      <c r="E36" s="2">
        <f t="shared" ca="1" si="9"/>
        <v>31.181081338449737</v>
      </c>
      <c r="F36" s="2">
        <f t="shared" ca="1" si="9"/>
        <v>33.0548719268863</v>
      </c>
      <c r="G36" s="2">
        <f t="shared" ca="1" si="9"/>
        <v>28.669420899895496</v>
      </c>
      <c r="H36" s="2">
        <f t="shared" ca="1" si="9"/>
        <v>30.424910379426219</v>
      </c>
      <c r="I36" s="2">
        <f t="shared" ca="1" si="9"/>
        <v>33.667205535300035</v>
      </c>
      <c r="J36" s="2">
        <f t="shared" ca="1" si="9"/>
        <v>29.991513622118443</v>
      </c>
      <c r="K36" s="2">
        <f t="shared" ca="1" si="9"/>
        <v>30.614525063693137</v>
      </c>
      <c r="L36" s="2">
        <f t="shared" ca="1" si="9"/>
        <v>27.269295343699063</v>
      </c>
      <c r="M36" s="2">
        <f t="shared" ca="1" si="9"/>
        <v>25.221469908075637</v>
      </c>
      <c r="N36" s="2">
        <f t="shared" ca="1" si="9"/>
        <v>27.247994830883453</v>
      </c>
      <c r="O36" s="2">
        <f t="shared" ca="1" si="9"/>
        <v>34.841775962758888</v>
      </c>
      <c r="P36" s="2">
        <f t="shared" ca="1" si="9"/>
        <v>27.62007837886933</v>
      </c>
      <c r="Q36" s="2">
        <f t="shared" ca="1" si="9"/>
        <v>28.654560335362365</v>
      </c>
      <c r="R36" s="2">
        <f t="shared" ca="1" si="9"/>
        <v>30.917558422754521</v>
      </c>
      <c r="S36" s="2">
        <f t="shared" ca="1" si="8"/>
        <v>33.678244088539927</v>
      </c>
      <c r="T36" s="2">
        <f t="shared" ca="1" si="8"/>
        <v>31.412154813127849</v>
      </c>
      <c r="U36" s="2">
        <f t="shared" ca="1" si="8"/>
        <v>31.290556729164653</v>
      </c>
      <c r="V36" s="2">
        <f t="shared" ca="1" si="8"/>
        <v>31.579880468788222</v>
      </c>
      <c r="W36" s="2">
        <f t="shared" ca="1" si="8"/>
        <v>34.571143376688831</v>
      </c>
      <c r="X36" s="2">
        <f t="shared" ca="1" si="8"/>
        <v>33.681473803279701</v>
      </c>
      <c r="Y36" s="2">
        <f t="shared" ca="1" si="8"/>
        <v>34.416200492567036</v>
      </c>
      <c r="Z36" s="2">
        <f t="shared" ca="1" si="4"/>
        <v>34.706381318462235</v>
      </c>
      <c r="AA36" s="2">
        <f t="shared" ca="1" si="5"/>
        <v>26.188308523619991</v>
      </c>
      <c r="AB36" s="2">
        <f t="shared" ca="1" si="5"/>
        <v>33.750458410630749</v>
      </c>
      <c r="AC36" s="2">
        <f t="shared" ca="1" si="5"/>
        <v>28.476749588653583</v>
      </c>
      <c r="AD36" s="2">
        <f t="shared" ca="1" si="5"/>
        <v>31.72892454706605</v>
      </c>
      <c r="AE36" s="2">
        <f t="shared" ca="1" si="5"/>
        <v>29.230222424413999</v>
      </c>
      <c r="AF36" s="2">
        <f t="shared" ca="1" si="5"/>
        <v>34.671330141487616</v>
      </c>
      <c r="AG36" s="2">
        <f t="shared" ca="1" si="5"/>
        <v>28.850797664595881</v>
      </c>
      <c r="AH36" s="2">
        <f t="shared" ca="1" si="5"/>
        <v>30.542007280100265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33.644584151070475</v>
      </c>
      <c r="D37" s="2">
        <f t="shared" ca="1" si="9"/>
        <v>27.507521199525836</v>
      </c>
      <c r="E37" s="2">
        <f t="shared" ca="1" si="9"/>
        <v>30.038255806912844</v>
      </c>
      <c r="F37" s="2">
        <f t="shared" ca="1" si="9"/>
        <v>26.131244823750585</v>
      </c>
      <c r="G37" s="2">
        <f t="shared" ca="1" si="9"/>
        <v>30.33997712630309</v>
      </c>
      <c r="H37" s="2">
        <f t="shared" ca="1" si="9"/>
        <v>33.812694489772809</v>
      </c>
      <c r="I37" s="2">
        <f t="shared" ca="1" si="9"/>
        <v>34.994500661006668</v>
      </c>
      <c r="J37" s="2">
        <f t="shared" ca="1" si="9"/>
        <v>32.2040809346828</v>
      </c>
      <c r="K37" s="2">
        <f t="shared" ca="1" si="9"/>
        <v>25.940407331587277</v>
      </c>
      <c r="L37" s="2">
        <f t="shared" ca="1" si="9"/>
        <v>27.418311652117264</v>
      </c>
      <c r="M37" s="2">
        <f t="shared" ca="1" si="9"/>
        <v>25.480893035407203</v>
      </c>
      <c r="N37" s="2">
        <f t="shared" ca="1" si="9"/>
        <v>33.764594570360913</v>
      </c>
      <c r="O37" s="2">
        <f t="shared" ca="1" si="9"/>
        <v>29.248000138714065</v>
      </c>
      <c r="P37" s="2">
        <f t="shared" ca="1" si="9"/>
        <v>33.509869016200426</v>
      </c>
      <c r="Q37" s="2">
        <f t="shared" ca="1" si="9"/>
        <v>26.730047910924238</v>
      </c>
      <c r="R37" s="2">
        <f t="shared" ca="1" si="9"/>
        <v>29.518308863268924</v>
      </c>
      <c r="S37" s="2">
        <f t="shared" ca="1" si="8"/>
        <v>33.172852447899402</v>
      </c>
      <c r="T37" s="2">
        <f t="shared" ca="1" si="8"/>
        <v>31.933711317260901</v>
      </c>
      <c r="U37" s="2">
        <f t="shared" ca="1" si="8"/>
        <v>27.581408001311637</v>
      </c>
      <c r="V37" s="2">
        <f t="shared" ca="1" si="8"/>
        <v>32.714356518850025</v>
      </c>
      <c r="W37" s="2">
        <f t="shared" ca="1" si="8"/>
        <v>28.396823555010357</v>
      </c>
      <c r="X37" s="2">
        <f t="shared" ca="1" si="8"/>
        <v>27.343649098909644</v>
      </c>
      <c r="Y37" s="2">
        <f t="shared" ca="1" si="8"/>
        <v>31.563472364372124</v>
      </c>
      <c r="Z37" s="2">
        <f t="shared" ca="1" si="4"/>
        <v>30.844819033942791</v>
      </c>
      <c r="AA37" s="2">
        <f t="shared" ca="1" si="5"/>
        <v>33.271431374947397</v>
      </c>
      <c r="AB37" s="2">
        <f t="shared" ca="1" si="5"/>
        <v>27.880230863599209</v>
      </c>
      <c r="AC37" s="2">
        <f t="shared" ca="1" si="5"/>
        <v>32.55488561864334</v>
      </c>
      <c r="AD37" s="2">
        <f t="shared" ca="1" si="5"/>
        <v>33.081841026043072</v>
      </c>
      <c r="AE37" s="2">
        <f t="shared" ca="1" si="5"/>
        <v>25.135827615995893</v>
      </c>
      <c r="AF37" s="2">
        <f t="shared" ca="1" si="5"/>
        <v>26.616982562081546</v>
      </c>
      <c r="AG37" s="2">
        <f t="shared" ca="1" si="5"/>
        <v>27.888786926636122</v>
      </c>
      <c r="AH37" s="2">
        <f t="shared" ca="1" si="5"/>
        <v>26.809504344580958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27.668217648812803</v>
      </c>
      <c r="D38" s="2">
        <f t="shared" ca="1" si="9"/>
        <v>30.044185926071382</v>
      </c>
      <c r="E38" s="2">
        <f t="shared" ca="1" si="9"/>
        <v>29.413568387578021</v>
      </c>
      <c r="F38" s="2">
        <f t="shared" ca="1" si="9"/>
        <v>28.63421680132457</v>
      </c>
      <c r="G38" s="2">
        <f t="shared" ca="1" si="9"/>
        <v>25.453335453592825</v>
      </c>
      <c r="H38" s="2">
        <f t="shared" ca="1" si="9"/>
        <v>27.949751986918425</v>
      </c>
      <c r="I38" s="2">
        <f t="shared" ca="1" si="9"/>
        <v>30.515627460087067</v>
      </c>
      <c r="J38" s="2">
        <f t="shared" ca="1" si="9"/>
        <v>29.891845016660383</v>
      </c>
      <c r="K38" s="2">
        <f t="shared" ca="1" si="9"/>
        <v>29.609826053552403</v>
      </c>
      <c r="L38" s="2">
        <f t="shared" ca="1" si="9"/>
        <v>31.109738662780728</v>
      </c>
      <c r="M38" s="2">
        <f t="shared" ca="1" si="9"/>
        <v>25.362353356886391</v>
      </c>
      <c r="N38" s="2">
        <f t="shared" ca="1" si="9"/>
        <v>25.5637234414618</v>
      </c>
      <c r="O38" s="2">
        <f t="shared" ca="1" si="9"/>
        <v>30.481764934112739</v>
      </c>
      <c r="P38" s="2">
        <f t="shared" ca="1" si="9"/>
        <v>31.763285341811276</v>
      </c>
      <c r="Q38" s="2">
        <f t="shared" ca="1" si="9"/>
        <v>31.361530373162907</v>
      </c>
      <c r="R38" s="2">
        <f t="shared" ca="1" si="9"/>
        <v>34.437818606864248</v>
      </c>
      <c r="S38" s="2">
        <f t="shared" ca="1" si="8"/>
        <v>26.692455673090855</v>
      </c>
      <c r="T38" s="2">
        <f t="shared" ca="1" si="8"/>
        <v>29.127506341758274</v>
      </c>
      <c r="U38" s="2">
        <f t="shared" ca="1" si="8"/>
        <v>25.301663689683398</v>
      </c>
      <c r="V38" s="2">
        <f t="shared" ca="1" si="8"/>
        <v>28.506414507034094</v>
      </c>
      <c r="W38" s="2">
        <f t="shared" ca="1" si="8"/>
        <v>30.152966639633959</v>
      </c>
      <c r="X38" s="2">
        <f t="shared" ca="1" si="8"/>
        <v>25.679829471828313</v>
      </c>
      <c r="Y38" s="2">
        <f t="shared" ca="1" si="8"/>
        <v>34.174731188735208</v>
      </c>
      <c r="Z38" s="2">
        <f t="shared" ca="1" si="4"/>
        <v>27.38717906969347</v>
      </c>
      <c r="AA38" s="2">
        <f t="shared" ca="1" si="5"/>
        <v>34.550948034532155</v>
      </c>
      <c r="AB38" s="2">
        <f t="shared" ca="1" si="5"/>
        <v>31.451906126595269</v>
      </c>
      <c r="AC38" s="2">
        <f t="shared" ca="1" si="5"/>
        <v>33.277390571279533</v>
      </c>
      <c r="AD38" s="2">
        <f t="shared" ca="1" si="5"/>
        <v>25.615021072988796</v>
      </c>
      <c r="AE38" s="2">
        <f t="shared" ca="1" si="5"/>
        <v>33.623161923444734</v>
      </c>
      <c r="AF38" s="2">
        <f t="shared" ca="1" si="5"/>
        <v>27.299712165121086</v>
      </c>
      <c r="AG38" s="2">
        <f t="shared" ca="1" si="5"/>
        <v>33.269777480657574</v>
      </c>
      <c r="AH38" s="2">
        <f t="shared" ca="1" si="5"/>
        <v>29.173097198546579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25.015155042110131</v>
      </c>
      <c r="D39" s="2">
        <f t="shared" ca="1" si="9"/>
        <v>34.481853491690266</v>
      </c>
      <c r="E39" s="2">
        <f t="shared" ca="1" si="9"/>
        <v>27.984876497434307</v>
      </c>
      <c r="F39" s="2">
        <f t="shared" ca="1" si="9"/>
        <v>30.505856554042587</v>
      </c>
      <c r="G39" s="2">
        <f t="shared" ca="1" si="9"/>
        <v>27.396688494992429</v>
      </c>
      <c r="H39" s="2">
        <f t="shared" ca="1" si="9"/>
        <v>29.630620305887561</v>
      </c>
      <c r="I39" s="2">
        <f t="shared" ca="1" si="9"/>
        <v>27.318559924461887</v>
      </c>
      <c r="J39" s="2">
        <f t="shared" ca="1" si="9"/>
        <v>27.715375599973111</v>
      </c>
      <c r="K39" s="2">
        <f t="shared" ca="1" si="9"/>
        <v>32.357962870033717</v>
      </c>
      <c r="L39" s="2">
        <f t="shared" ca="1" si="9"/>
        <v>31.23682935111475</v>
      </c>
      <c r="M39" s="2">
        <f t="shared" ca="1" si="9"/>
        <v>25.702308744805713</v>
      </c>
      <c r="N39" s="2">
        <f t="shared" ca="1" si="9"/>
        <v>30.551682953653881</v>
      </c>
      <c r="O39" s="2">
        <f t="shared" ca="1" si="9"/>
        <v>31.915881074792289</v>
      </c>
      <c r="P39" s="2">
        <f t="shared" ca="1" si="9"/>
        <v>29.772365349017981</v>
      </c>
      <c r="Q39" s="2">
        <f t="shared" ca="1" si="9"/>
        <v>29.634788853434976</v>
      </c>
      <c r="R39" s="2">
        <f t="shared" ca="1" si="9"/>
        <v>28.004412702343913</v>
      </c>
      <c r="S39" s="2">
        <f t="shared" ca="1" si="8"/>
        <v>25.925037810767474</v>
      </c>
      <c r="T39" s="2">
        <f t="shared" ca="1" si="8"/>
        <v>26.806724177888555</v>
      </c>
      <c r="U39" s="2">
        <f t="shared" ca="1" si="8"/>
        <v>26.975908423500528</v>
      </c>
      <c r="V39" s="2">
        <f t="shared" ca="1" si="8"/>
        <v>28.681791430726488</v>
      </c>
      <c r="W39" s="2">
        <f t="shared" ca="1" si="8"/>
        <v>31.332449550085435</v>
      </c>
      <c r="X39" s="2">
        <f t="shared" ca="1" si="8"/>
        <v>25.223593911967448</v>
      </c>
      <c r="Y39" s="2">
        <f t="shared" ca="1" si="8"/>
        <v>32.039326733401587</v>
      </c>
      <c r="Z39" s="2">
        <f t="shared" ca="1" si="4"/>
        <v>26.009411070049516</v>
      </c>
      <c r="AA39" s="2">
        <f t="shared" ca="1" si="5"/>
        <v>30.766216587791206</v>
      </c>
      <c r="AB39" s="2">
        <f t="shared" ca="1" si="5"/>
        <v>25.837482386294845</v>
      </c>
      <c r="AC39" s="2">
        <f t="shared" ca="1" si="5"/>
        <v>28.374957229576104</v>
      </c>
      <c r="AD39" s="2">
        <f t="shared" ca="1" si="5"/>
        <v>31.038032384560378</v>
      </c>
      <c r="AE39" s="2">
        <f t="shared" ca="1" si="5"/>
        <v>28.127790219943503</v>
      </c>
      <c r="AF39" s="2">
        <f t="shared" ca="1" si="5"/>
        <v>28.083246971881842</v>
      </c>
      <c r="AG39" s="2">
        <f t="shared" ca="1" si="5"/>
        <v>32.648924315996062</v>
      </c>
      <c r="AH39" s="2">
        <f t="shared" ca="1" si="5"/>
        <v>27.018794374618302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31.567959450680291</v>
      </c>
      <c r="D40" s="2">
        <f t="shared" ca="1" si="9"/>
        <v>25.66550758495287</v>
      </c>
      <c r="E40" s="2">
        <f t="shared" ca="1" si="9"/>
        <v>34.114421296731251</v>
      </c>
      <c r="F40" s="2">
        <f t="shared" ca="1" si="9"/>
        <v>26.905435369028826</v>
      </c>
      <c r="G40" s="2">
        <f t="shared" ca="1" si="9"/>
        <v>30.428472450961124</v>
      </c>
      <c r="H40" s="2">
        <f t="shared" ca="1" si="9"/>
        <v>34.410962914861415</v>
      </c>
      <c r="I40" s="2">
        <f t="shared" ca="1" si="9"/>
        <v>25.606512385900999</v>
      </c>
      <c r="J40" s="2">
        <f t="shared" ca="1" si="9"/>
        <v>32.326330356304922</v>
      </c>
      <c r="K40" s="2">
        <f t="shared" ca="1" si="9"/>
        <v>34.7987258509811</v>
      </c>
      <c r="L40" s="2">
        <f t="shared" ca="1" si="9"/>
        <v>31.383472267187411</v>
      </c>
      <c r="M40" s="2">
        <f t="shared" ca="1" si="9"/>
        <v>25.214187887147808</v>
      </c>
      <c r="N40" s="2">
        <f t="shared" ca="1" si="9"/>
        <v>31.239629972878529</v>
      </c>
      <c r="O40" s="2">
        <f t="shared" ca="1" si="9"/>
        <v>32.069864258557466</v>
      </c>
      <c r="P40" s="2">
        <f t="shared" ca="1" si="9"/>
        <v>34.189660782203831</v>
      </c>
      <c r="Q40" s="2">
        <f t="shared" ca="1" si="9"/>
        <v>26.121330976974882</v>
      </c>
      <c r="R40" s="2">
        <f t="shared" ca="1" si="9"/>
        <v>25.985305553465725</v>
      </c>
      <c r="S40" s="2">
        <f t="shared" ca="1" si="8"/>
        <v>26.738515886435501</v>
      </c>
      <c r="T40" s="2">
        <f t="shared" ca="1" si="8"/>
        <v>32.143407809651741</v>
      </c>
      <c r="U40" s="2">
        <f t="shared" ca="1" si="8"/>
        <v>27.919059531796087</v>
      </c>
      <c r="V40" s="2">
        <f t="shared" ca="1" si="8"/>
        <v>25.979199417508294</v>
      </c>
      <c r="W40" s="2">
        <f t="shared" ca="1" si="8"/>
        <v>31.892651070604575</v>
      </c>
      <c r="X40" s="2">
        <f t="shared" ca="1" si="8"/>
        <v>26.799159131273672</v>
      </c>
      <c r="Y40" s="2">
        <f t="shared" ca="1" si="8"/>
        <v>26.447047570316407</v>
      </c>
      <c r="Z40" s="2">
        <f t="shared" ca="1" si="4"/>
        <v>34.177810773832803</v>
      </c>
      <c r="AA40" s="2">
        <f t="shared" ca="1" si="5"/>
        <v>28.866948442929893</v>
      </c>
      <c r="AB40" s="2">
        <f t="shared" ca="1" si="5"/>
        <v>27.240620529085646</v>
      </c>
      <c r="AC40" s="2">
        <f t="shared" ca="1" si="5"/>
        <v>32.328098499419561</v>
      </c>
      <c r="AD40" s="2">
        <f t="shared" ca="1" si="5"/>
        <v>26.58996305483489</v>
      </c>
      <c r="AE40" s="2">
        <f t="shared" ca="1" si="5"/>
        <v>26.531971524535596</v>
      </c>
      <c r="AF40" s="2">
        <f t="shared" ca="1" si="5"/>
        <v>33.888914374812671</v>
      </c>
      <c r="AG40" s="2">
        <f t="shared" ca="1" si="5"/>
        <v>31.800617997241091</v>
      </c>
      <c r="AH40" s="2">
        <f t="shared" ca="1" si="5"/>
        <v>26.247571335326313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26.261737230923003</v>
      </c>
      <c r="D41" s="2">
        <f t="shared" ca="1" si="9"/>
        <v>28.367115545637233</v>
      </c>
      <c r="E41" s="2">
        <f t="shared" ca="1" si="9"/>
        <v>27.211604986594068</v>
      </c>
      <c r="F41" s="2">
        <f t="shared" ca="1" si="9"/>
        <v>34.319799597795594</v>
      </c>
      <c r="G41" s="2">
        <f t="shared" ca="1" si="9"/>
        <v>26.025764907427504</v>
      </c>
      <c r="H41" s="2">
        <f t="shared" ca="1" si="9"/>
        <v>33.434244321333708</v>
      </c>
      <c r="I41" s="2">
        <f t="shared" ca="1" si="9"/>
        <v>28.729820512813298</v>
      </c>
      <c r="J41" s="2">
        <f t="shared" ca="1" si="9"/>
        <v>32.788201347224728</v>
      </c>
      <c r="K41" s="2">
        <f t="shared" ca="1" si="9"/>
        <v>27.960939875170858</v>
      </c>
      <c r="L41" s="2">
        <f t="shared" ca="1" si="9"/>
        <v>25.759579880226138</v>
      </c>
      <c r="M41" s="2">
        <f t="shared" ca="1" si="9"/>
        <v>34.589903132659082</v>
      </c>
      <c r="N41" s="2">
        <f t="shared" ca="1" si="9"/>
        <v>27.551092865491814</v>
      </c>
      <c r="O41" s="2">
        <f t="shared" ca="1" si="9"/>
        <v>28.102306841172148</v>
      </c>
      <c r="P41" s="2">
        <f t="shared" ca="1" si="9"/>
        <v>27.071859093536283</v>
      </c>
      <c r="Q41" s="2">
        <f t="shared" ca="1" si="9"/>
        <v>29.643917856171697</v>
      </c>
      <c r="R41" s="2">
        <f t="shared" ca="1" si="9"/>
        <v>31.772785698685517</v>
      </c>
      <c r="S41" s="2">
        <f t="shared" ca="1" si="8"/>
        <v>26.283357462806936</v>
      </c>
      <c r="T41" s="2">
        <f t="shared" ca="1" si="8"/>
        <v>27.423447973859982</v>
      </c>
      <c r="U41" s="2">
        <f t="shared" ca="1" si="8"/>
        <v>32.148368253009643</v>
      </c>
      <c r="V41" s="2">
        <f t="shared" ca="1" si="8"/>
        <v>29.968622479019587</v>
      </c>
      <c r="W41" s="2">
        <f t="shared" ca="1" si="8"/>
        <v>31.328150479068405</v>
      </c>
      <c r="X41" s="2">
        <f t="shared" ca="1" si="8"/>
        <v>31.90789676347126</v>
      </c>
      <c r="Y41" s="2">
        <f t="shared" ca="1" si="8"/>
        <v>32.372315053592033</v>
      </c>
      <c r="Z41" s="2">
        <f t="shared" ca="1" si="4"/>
        <v>28.172474582138342</v>
      </c>
      <c r="AA41" s="2">
        <f t="shared" ca="1" si="5"/>
        <v>34.071155739208415</v>
      </c>
      <c r="AB41" s="2">
        <f t="shared" ca="1" si="5"/>
        <v>28.08982230450891</v>
      </c>
      <c r="AC41" s="2">
        <f t="shared" ca="1" si="5"/>
        <v>26.274691524193337</v>
      </c>
      <c r="AD41" s="2">
        <f t="shared" ca="1" si="5"/>
        <v>28.33183187153038</v>
      </c>
      <c r="AE41" s="2">
        <f t="shared" ca="1" si="5"/>
        <v>34.781468640182361</v>
      </c>
      <c r="AF41" s="2">
        <f t="shared" ca="1" si="5"/>
        <v>27.311193075848799</v>
      </c>
      <c r="AG41" s="2">
        <f t="shared" ca="1" si="5"/>
        <v>29.707674348003017</v>
      </c>
      <c r="AH41" s="2">
        <f t="shared" ca="1" si="5"/>
        <v>28.458594854436509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26.865948810680329</v>
      </c>
      <c r="D42" s="2">
        <f t="shared" ca="1" si="9"/>
        <v>27.930866604072214</v>
      </c>
      <c r="E42" s="2">
        <f t="shared" ca="1" si="9"/>
        <v>27.84812732484739</v>
      </c>
      <c r="F42" s="2">
        <f t="shared" ca="1" si="9"/>
        <v>33.807423711383436</v>
      </c>
      <c r="G42" s="2">
        <f t="shared" ca="1" si="9"/>
        <v>31.447935688266611</v>
      </c>
      <c r="H42" s="2">
        <f t="shared" ca="1" si="9"/>
        <v>26.22873294441284</v>
      </c>
      <c r="I42" s="2">
        <f t="shared" ca="1" si="9"/>
        <v>31.663899163336879</v>
      </c>
      <c r="J42" s="2">
        <f t="shared" ca="1" si="9"/>
        <v>32.984049508520606</v>
      </c>
      <c r="K42" s="2">
        <f t="shared" ca="1" si="9"/>
        <v>28.282816588923247</v>
      </c>
      <c r="L42" s="2">
        <f t="shared" ca="1" si="9"/>
        <v>29.815142694996268</v>
      </c>
      <c r="M42" s="2">
        <f t="shared" ca="1" si="9"/>
        <v>30.889764879314132</v>
      </c>
      <c r="N42" s="2">
        <f t="shared" ca="1" si="9"/>
        <v>31.606904530064256</v>
      </c>
      <c r="O42" s="2">
        <f t="shared" ca="1" si="9"/>
        <v>32.323763216340737</v>
      </c>
      <c r="P42" s="2">
        <f t="shared" ca="1" si="9"/>
        <v>33.222084114613743</v>
      </c>
      <c r="Q42" s="2">
        <f t="shared" ca="1" si="9"/>
        <v>31.570105085009107</v>
      </c>
      <c r="R42" s="2">
        <f t="shared" ca="1" si="9"/>
        <v>34.942132145589781</v>
      </c>
      <c r="S42" s="2">
        <f t="shared" ca="1" si="8"/>
        <v>31.262735654110998</v>
      </c>
      <c r="T42" s="2">
        <f t="shared" ca="1" si="8"/>
        <v>32.08699007512827</v>
      </c>
      <c r="U42" s="2">
        <f t="shared" ca="1" si="8"/>
        <v>29.500840818537803</v>
      </c>
      <c r="V42" s="2">
        <f t="shared" ca="1" si="8"/>
        <v>31.467767500781967</v>
      </c>
      <c r="W42" s="2">
        <f t="shared" ca="1" si="8"/>
        <v>27.827472019685811</v>
      </c>
      <c r="X42" s="2">
        <f t="shared" ca="1" si="8"/>
        <v>26.731557411905797</v>
      </c>
      <c r="Y42" s="2">
        <f t="shared" ca="1" si="8"/>
        <v>32.277112890421868</v>
      </c>
      <c r="Z42" s="2">
        <f t="shared" ca="1" si="4"/>
        <v>34.353909889262866</v>
      </c>
      <c r="AA42" s="2">
        <f t="shared" ca="1" si="5"/>
        <v>25.866175004730103</v>
      </c>
      <c r="AB42" s="2">
        <f t="shared" ca="1" si="5"/>
        <v>27.000290395685866</v>
      </c>
      <c r="AC42" s="2">
        <f t="shared" ca="1" si="5"/>
        <v>33.428447167202762</v>
      </c>
      <c r="AD42" s="2">
        <f t="shared" ca="1" si="5"/>
        <v>32.174418957268799</v>
      </c>
      <c r="AE42" s="2">
        <f t="shared" ca="1" si="5"/>
        <v>28.575744372455961</v>
      </c>
      <c r="AF42" s="2">
        <f t="shared" ca="1" si="5"/>
        <v>29.02373747214493</v>
      </c>
      <c r="AG42" s="2">
        <f t="shared" ca="1" si="5"/>
        <v>26.80834456680293</v>
      </c>
      <c r="AH42" s="2">
        <f t="shared" ref="D42:AH51" ca="1" si="10">(RAND()*1+2.5)*10</f>
        <v>28.599277538342331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28.798109809574768</v>
      </c>
      <c r="D43" s="2">
        <f t="shared" ca="1" si="10"/>
        <v>27.66067846679676</v>
      </c>
      <c r="E43" s="2">
        <f t="shared" ca="1" si="10"/>
        <v>25.673853562072551</v>
      </c>
      <c r="F43" s="2">
        <f t="shared" ca="1" si="10"/>
        <v>26.085947515465541</v>
      </c>
      <c r="G43" s="2">
        <f t="shared" ca="1" si="10"/>
        <v>28.026639064920058</v>
      </c>
      <c r="H43" s="2">
        <f t="shared" ca="1" si="10"/>
        <v>34.6411440959793</v>
      </c>
      <c r="I43" s="2">
        <f t="shared" ca="1" si="10"/>
        <v>31.093043342618891</v>
      </c>
      <c r="J43" s="2">
        <f t="shared" ca="1" si="10"/>
        <v>33.577363845404733</v>
      </c>
      <c r="K43" s="2">
        <f t="shared" ca="1" si="10"/>
        <v>28.416810496236664</v>
      </c>
      <c r="L43" s="2">
        <f t="shared" ca="1" si="10"/>
        <v>29.371169085140064</v>
      </c>
      <c r="M43" s="2">
        <f t="shared" ca="1" si="10"/>
        <v>33.49126543501103</v>
      </c>
      <c r="N43" s="2">
        <f t="shared" ca="1" si="10"/>
        <v>34.052943631520222</v>
      </c>
      <c r="O43" s="2">
        <f t="shared" ca="1" si="10"/>
        <v>27.885820863481896</v>
      </c>
      <c r="P43" s="2">
        <f t="shared" ca="1" si="10"/>
        <v>32.873808579225646</v>
      </c>
      <c r="Q43" s="2">
        <f t="shared" ca="1" si="10"/>
        <v>29.048422804183073</v>
      </c>
      <c r="R43" s="2">
        <f t="shared" ca="1" si="10"/>
        <v>27.936995054333629</v>
      </c>
      <c r="S43" s="2">
        <f t="shared" ca="1" si="10"/>
        <v>33.673764659745615</v>
      </c>
      <c r="T43" s="2">
        <f t="shared" ca="1" si="10"/>
        <v>25.479035836045654</v>
      </c>
      <c r="U43" s="2">
        <f t="shared" ca="1" si="10"/>
        <v>26.429586758046209</v>
      </c>
      <c r="V43" s="2">
        <f t="shared" ca="1" si="10"/>
        <v>32.981184991900996</v>
      </c>
      <c r="W43" s="2">
        <f t="shared" ca="1" si="10"/>
        <v>34.964500219742817</v>
      </c>
      <c r="X43" s="2">
        <f t="shared" ca="1" si="10"/>
        <v>33.914826345671933</v>
      </c>
      <c r="Y43" s="2">
        <f t="shared" ca="1" si="10"/>
        <v>28.308520070671726</v>
      </c>
      <c r="Z43" s="2">
        <f t="shared" ca="1" si="10"/>
        <v>33.917602392602888</v>
      </c>
      <c r="AA43" s="2">
        <f t="shared" ca="1" si="10"/>
        <v>27.819252050393235</v>
      </c>
      <c r="AB43" s="2">
        <f t="shared" ca="1" si="10"/>
        <v>25.194698545162989</v>
      </c>
      <c r="AC43" s="2">
        <f t="shared" ca="1" si="10"/>
        <v>25.798195441932393</v>
      </c>
      <c r="AD43" s="2">
        <f t="shared" ca="1" si="10"/>
        <v>33.971581806115438</v>
      </c>
      <c r="AE43" s="2">
        <f t="shared" ca="1" si="10"/>
        <v>33.531957357673001</v>
      </c>
      <c r="AF43" s="2">
        <f t="shared" ca="1" si="10"/>
        <v>25.502199758447301</v>
      </c>
      <c r="AG43" s="2">
        <f t="shared" ca="1" si="10"/>
        <v>30.627031629014979</v>
      </c>
      <c r="AH43" s="2">
        <f t="shared" ca="1" si="10"/>
        <v>28.988151261447367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26.170783584053517</v>
      </c>
      <c r="D44" s="2">
        <f t="shared" ca="1" si="10"/>
        <v>31.387141267517492</v>
      </c>
      <c r="E44" s="2">
        <f t="shared" ca="1" si="10"/>
        <v>26.281595888669994</v>
      </c>
      <c r="F44" s="2">
        <f t="shared" ca="1" si="10"/>
        <v>34.25341848281068</v>
      </c>
      <c r="G44" s="2">
        <f t="shared" ca="1" si="10"/>
        <v>26.195794532671815</v>
      </c>
      <c r="H44" s="2">
        <f t="shared" ca="1" si="10"/>
        <v>27.15383160942757</v>
      </c>
      <c r="I44" s="2">
        <f t="shared" ca="1" si="10"/>
        <v>30.133503682482829</v>
      </c>
      <c r="J44" s="2">
        <f t="shared" ca="1" si="10"/>
        <v>29.391636616169208</v>
      </c>
      <c r="K44" s="2">
        <f t="shared" ca="1" si="10"/>
        <v>34.96055683343404</v>
      </c>
      <c r="L44" s="2">
        <f t="shared" ca="1" si="10"/>
        <v>32.688752086488385</v>
      </c>
      <c r="M44" s="2">
        <f t="shared" ca="1" si="10"/>
        <v>30.59956359799315</v>
      </c>
      <c r="N44" s="2">
        <f t="shared" ca="1" si="10"/>
        <v>25.230196322804002</v>
      </c>
      <c r="O44" s="2">
        <f t="shared" ca="1" si="10"/>
        <v>32.801381454953813</v>
      </c>
      <c r="P44" s="2">
        <f t="shared" ca="1" si="10"/>
        <v>25.629962889343531</v>
      </c>
      <c r="Q44" s="2">
        <f t="shared" ca="1" si="10"/>
        <v>33.095369188374605</v>
      </c>
      <c r="R44" s="2">
        <f t="shared" ca="1" si="10"/>
        <v>34.100017102535382</v>
      </c>
      <c r="S44" s="2">
        <f t="shared" ca="1" si="10"/>
        <v>32.684995717308205</v>
      </c>
      <c r="T44" s="2">
        <f t="shared" ca="1" si="10"/>
        <v>30.641061587167204</v>
      </c>
      <c r="U44" s="2">
        <f t="shared" ca="1" si="10"/>
        <v>34.217940418319984</v>
      </c>
      <c r="V44" s="2">
        <f t="shared" ca="1" si="10"/>
        <v>31.903107753535593</v>
      </c>
      <c r="W44" s="2">
        <f t="shared" ca="1" si="10"/>
        <v>34.569676483505575</v>
      </c>
      <c r="X44" s="2">
        <f t="shared" ca="1" si="10"/>
        <v>25.662936292527231</v>
      </c>
      <c r="Y44" s="2">
        <f t="shared" ca="1" si="10"/>
        <v>31.460403041953377</v>
      </c>
      <c r="Z44" s="2">
        <f t="shared" ca="1" si="10"/>
        <v>28.66068964951414</v>
      </c>
      <c r="AA44" s="2">
        <f t="shared" ca="1" si="10"/>
        <v>26.065418759077406</v>
      </c>
      <c r="AB44" s="2">
        <f t="shared" ca="1" si="10"/>
        <v>28.76378682538094</v>
      </c>
      <c r="AC44" s="2">
        <f t="shared" ca="1" si="10"/>
        <v>34.239452080479921</v>
      </c>
      <c r="AD44" s="2">
        <f t="shared" ca="1" si="10"/>
        <v>27.170484091122859</v>
      </c>
      <c r="AE44" s="2">
        <f t="shared" ca="1" si="10"/>
        <v>26.226991702616054</v>
      </c>
      <c r="AF44" s="2">
        <f t="shared" ca="1" si="10"/>
        <v>25.323123907651738</v>
      </c>
      <c r="AG44" s="2">
        <f t="shared" ca="1" si="10"/>
        <v>31.881275251541787</v>
      </c>
      <c r="AH44" s="2">
        <f t="shared" ca="1" si="10"/>
        <v>25.614698438658774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32.849955480034367</v>
      </c>
      <c r="D45" s="2">
        <f t="shared" ca="1" si="10"/>
        <v>32.180879831424029</v>
      </c>
      <c r="E45" s="2">
        <f t="shared" ca="1" si="10"/>
        <v>29.636919836495032</v>
      </c>
      <c r="F45" s="2">
        <f t="shared" ca="1" si="10"/>
        <v>33.125204048657586</v>
      </c>
      <c r="G45" s="2">
        <f t="shared" ca="1" si="10"/>
        <v>27.799917743104725</v>
      </c>
      <c r="H45" s="2">
        <f t="shared" ca="1" si="10"/>
        <v>29.361037183897722</v>
      </c>
      <c r="I45" s="2">
        <f t="shared" ca="1" si="10"/>
        <v>34.706106338113656</v>
      </c>
      <c r="J45" s="2">
        <f t="shared" ca="1" si="10"/>
        <v>30.033363714912625</v>
      </c>
      <c r="K45" s="2">
        <f t="shared" ca="1" si="10"/>
        <v>25.285356779991503</v>
      </c>
      <c r="L45" s="2">
        <f t="shared" ca="1" si="10"/>
        <v>28.95913336129577</v>
      </c>
      <c r="M45" s="2">
        <f t="shared" ca="1" si="10"/>
        <v>32.740330504250167</v>
      </c>
      <c r="N45" s="2">
        <f t="shared" ca="1" si="10"/>
        <v>31.947389683118935</v>
      </c>
      <c r="O45" s="2">
        <f t="shared" ca="1" si="10"/>
        <v>34.280816059178456</v>
      </c>
      <c r="P45" s="2">
        <f t="shared" ca="1" si="10"/>
        <v>25.211222014042765</v>
      </c>
      <c r="Q45" s="2">
        <f t="shared" ca="1" si="10"/>
        <v>29.156520023707962</v>
      </c>
      <c r="R45" s="2">
        <f t="shared" ca="1" si="10"/>
        <v>33.769343643102076</v>
      </c>
      <c r="S45" s="2">
        <f t="shared" ca="1" si="10"/>
        <v>33.576944358391977</v>
      </c>
      <c r="T45" s="2">
        <f t="shared" ca="1" si="10"/>
        <v>25.934012748563585</v>
      </c>
      <c r="U45" s="2">
        <f t="shared" ca="1" si="10"/>
        <v>31.526774778973525</v>
      </c>
      <c r="V45" s="2">
        <f t="shared" ca="1" si="10"/>
        <v>30.447845279299258</v>
      </c>
      <c r="W45" s="2">
        <f t="shared" ca="1" si="10"/>
        <v>31.053179298521627</v>
      </c>
      <c r="X45" s="2">
        <f t="shared" ca="1" si="10"/>
        <v>31.675527943271575</v>
      </c>
      <c r="Y45" s="2">
        <f t="shared" ca="1" si="10"/>
        <v>26.345690670198685</v>
      </c>
      <c r="Z45" s="2">
        <f t="shared" ca="1" si="10"/>
        <v>31.357811386778785</v>
      </c>
      <c r="AA45" s="2">
        <f t="shared" ca="1" si="10"/>
        <v>26.063692002896076</v>
      </c>
      <c r="AB45" s="2">
        <f t="shared" ca="1" si="10"/>
        <v>30.975185718233249</v>
      </c>
      <c r="AC45" s="2">
        <f t="shared" ca="1" si="10"/>
        <v>29.493215358954675</v>
      </c>
      <c r="AD45" s="2">
        <f t="shared" ca="1" si="10"/>
        <v>30.153565703060199</v>
      </c>
      <c r="AE45" s="2">
        <f t="shared" ca="1" si="10"/>
        <v>31.270144830652356</v>
      </c>
      <c r="AF45" s="2">
        <f t="shared" ca="1" si="10"/>
        <v>31.03757730075829</v>
      </c>
      <c r="AG45" s="2">
        <f t="shared" ca="1" si="10"/>
        <v>34.660476940836496</v>
      </c>
      <c r="AH45" s="2">
        <f t="shared" ca="1" si="10"/>
        <v>26.654081816430086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29.075039815900958</v>
      </c>
      <c r="D46" s="2">
        <f t="shared" ca="1" si="10"/>
        <v>28.890331974242986</v>
      </c>
      <c r="E46" s="2">
        <f t="shared" ca="1" si="10"/>
        <v>27.909333494806383</v>
      </c>
      <c r="F46" s="2">
        <f t="shared" ca="1" si="10"/>
        <v>29.199944917165496</v>
      </c>
      <c r="G46" s="2">
        <f t="shared" ca="1" si="10"/>
        <v>28.952336871675868</v>
      </c>
      <c r="H46" s="2">
        <f t="shared" ca="1" si="10"/>
        <v>31.477985185073628</v>
      </c>
      <c r="I46" s="2">
        <f t="shared" ca="1" si="10"/>
        <v>29.049572663256914</v>
      </c>
      <c r="J46" s="2">
        <f t="shared" ca="1" si="10"/>
        <v>28.477224738293589</v>
      </c>
      <c r="K46" s="2">
        <f t="shared" ca="1" si="10"/>
        <v>29.48448006375439</v>
      </c>
      <c r="L46" s="2">
        <f t="shared" ca="1" si="10"/>
        <v>31.863645497104439</v>
      </c>
      <c r="M46" s="2">
        <f t="shared" ca="1" si="10"/>
        <v>32.332144922394207</v>
      </c>
      <c r="N46" s="2">
        <f t="shared" ca="1" si="10"/>
        <v>28.527458624674399</v>
      </c>
      <c r="O46" s="2">
        <f t="shared" ca="1" si="10"/>
        <v>30.734157697153691</v>
      </c>
      <c r="P46" s="2">
        <f t="shared" ca="1" si="10"/>
        <v>28.677087260965468</v>
      </c>
      <c r="Q46" s="2">
        <f t="shared" ca="1" si="10"/>
        <v>27.065029380077455</v>
      </c>
      <c r="R46" s="2">
        <f t="shared" ca="1" si="10"/>
        <v>30.463070886395805</v>
      </c>
      <c r="S46" s="2">
        <f t="shared" ca="1" si="10"/>
        <v>27.589541362009786</v>
      </c>
      <c r="T46" s="2">
        <f t="shared" ca="1" si="10"/>
        <v>25.006287514935881</v>
      </c>
      <c r="U46" s="2">
        <f t="shared" ca="1" si="10"/>
        <v>30.9554124695558</v>
      </c>
      <c r="V46" s="2">
        <f t="shared" ca="1" si="10"/>
        <v>32.804038845494965</v>
      </c>
      <c r="W46" s="2">
        <f t="shared" ca="1" si="10"/>
        <v>32.405511039121976</v>
      </c>
      <c r="X46" s="2">
        <f t="shared" ca="1" si="10"/>
        <v>31.222521803662886</v>
      </c>
      <c r="Y46" s="2">
        <f t="shared" ca="1" si="10"/>
        <v>28.095288526235628</v>
      </c>
      <c r="Z46" s="2">
        <f t="shared" ca="1" si="10"/>
        <v>26.230532354924307</v>
      </c>
      <c r="AA46" s="2">
        <f t="shared" ca="1" si="10"/>
        <v>25.196328157138602</v>
      </c>
      <c r="AB46" s="2">
        <f t="shared" ca="1" si="10"/>
        <v>33.998866830022735</v>
      </c>
      <c r="AC46" s="2">
        <f t="shared" ca="1" si="10"/>
        <v>25.464305824942912</v>
      </c>
      <c r="AD46" s="2">
        <f t="shared" ca="1" si="10"/>
        <v>33.363372339419776</v>
      </c>
      <c r="AE46" s="2">
        <f t="shared" ca="1" si="10"/>
        <v>31.267633974845054</v>
      </c>
      <c r="AF46" s="2">
        <f t="shared" ca="1" si="10"/>
        <v>26.97476603617876</v>
      </c>
      <c r="AG46" s="2">
        <f t="shared" ca="1" si="10"/>
        <v>27.53322899684218</v>
      </c>
      <c r="AH46" s="2">
        <f t="shared" ca="1" si="10"/>
        <v>28.900142608947824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27.798036282242862</v>
      </c>
      <c r="D47" s="2">
        <f t="shared" ca="1" si="10"/>
        <v>34.408367636171235</v>
      </c>
      <c r="E47" s="2">
        <f t="shared" ca="1" si="10"/>
        <v>32.777676844373275</v>
      </c>
      <c r="F47" s="2">
        <f t="shared" ca="1" si="10"/>
        <v>32.788074435697787</v>
      </c>
      <c r="G47" s="2">
        <f t="shared" ca="1" si="10"/>
        <v>25.402022543037155</v>
      </c>
      <c r="H47" s="2">
        <f t="shared" ca="1" si="10"/>
        <v>31.100272003342859</v>
      </c>
      <c r="I47" s="2">
        <f t="shared" ca="1" si="10"/>
        <v>30.087873887304802</v>
      </c>
      <c r="J47" s="2">
        <f t="shared" ca="1" si="10"/>
        <v>33.173121428466416</v>
      </c>
      <c r="K47" s="2">
        <f t="shared" ca="1" si="10"/>
        <v>25.694029412743944</v>
      </c>
      <c r="L47" s="2">
        <f t="shared" ca="1" si="10"/>
        <v>26.620534133880764</v>
      </c>
      <c r="M47" s="2">
        <f t="shared" ca="1" si="10"/>
        <v>25.285044777302851</v>
      </c>
      <c r="N47" s="2">
        <f t="shared" ca="1" si="10"/>
        <v>29.075208825360104</v>
      </c>
      <c r="O47" s="2">
        <f t="shared" ca="1" si="10"/>
        <v>27.252954451209668</v>
      </c>
      <c r="P47" s="2">
        <f t="shared" ca="1" si="10"/>
        <v>28.677268281801638</v>
      </c>
      <c r="Q47" s="2">
        <f t="shared" ca="1" si="10"/>
        <v>30.454465435246789</v>
      </c>
      <c r="R47" s="2">
        <f t="shared" ca="1" si="10"/>
        <v>28.157014409803146</v>
      </c>
      <c r="S47" s="2">
        <f t="shared" ca="1" si="10"/>
        <v>27.564498844227472</v>
      </c>
      <c r="T47" s="2">
        <f t="shared" ca="1" si="10"/>
        <v>34.787415637464917</v>
      </c>
      <c r="U47" s="2">
        <f t="shared" ca="1" si="10"/>
        <v>32.109814163854381</v>
      </c>
      <c r="V47" s="2">
        <f t="shared" ca="1" si="10"/>
        <v>31.380424756267075</v>
      </c>
      <c r="W47" s="2">
        <f t="shared" ca="1" si="10"/>
        <v>25.261235310395378</v>
      </c>
      <c r="X47" s="2">
        <f t="shared" ca="1" si="10"/>
        <v>29.120560642397301</v>
      </c>
      <c r="Y47" s="2">
        <f t="shared" ca="1" si="10"/>
        <v>26.502009844562451</v>
      </c>
      <c r="Z47" s="2">
        <f t="shared" ca="1" si="10"/>
        <v>27.255573841373497</v>
      </c>
      <c r="AA47" s="2">
        <f t="shared" ca="1" si="10"/>
        <v>30.356580805275264</v>
      </c>
      <c r="AB47" s="2">
        <f t="shared" ca="1" si="10"/>
        <v>27.672758717023569</v>
      </c>
      <c r="AC47" s="2">
        <f t="shared" ca="1" si="10"/>
        <v>32.017595015253889</v>
      </c>
      <c r="AD47" s="2">
        <f t="shared" ca="1" si="10"/>
        <v>25.898579021764291</v>
      </c>
      <c r="AE47" s="2">
        <f t="shared" ca="1" si="10"/>
        <v>29.310403616692856</v>
      </c>
      <c r="AF47" s="2">
        <f t="shared" ca="1" si="10"/>
        <v>34.213971110107167</v>
      </c>
      <c r="AG47" s="2">
        <f t="shared" ca="1" si="10"/>
        <v>31.783372795940981</v>
      </c>
      <c r="AH47" s="2">
        <f t="shared" ca="1" si="10"/>
        <v>27.293433557885542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28.860332759952048</v>
      </c>
      <c r="D48" s="2">
        <f t="shared" ca="1" si="10"/>
        <v>30.475353897813797</v>
      </c>
      <c r="E48" s="2">
        <f t="shared" ca="1" si="10"/>
        <v>34.600590040876241</v>
      </c>
      <c r="F48" s="2">
        <f t="shared" ca="1" si="10"/>
        <v>29.756196527862009</v>
      </c>
      <c r="G48" s="2">
        <f t="shared" ca="1" si="10"/>
        <v>29.251523564371684</v>
      </c>
      <c r="H48" s="2">
        <f t="shared" ca="1" si="10"/>
        <v>27.731118236556117</v>
      </c>
      <c r="I48" s="2">
        <f t="shared" ca="1" si="10"/>
        <v>34.32937107524522</v>
      </c>
      <c r="J48" s="2">
        <f t="shared" ca="1" si="10"/>
        <v>27.412205147214138</v>
      </c>
      <c r="K48" s="2">
        <f t="shared" ca="1" si="10"/>
        <v>30.883575273136294</v>
      </c>
      <c r="L48" s="2">
        <f t="shared" ca="1" si="10"/>
        <v>30.941223915367395</v>
      </c>
      <c r="M48" s="2">
        <f t="shared" ca="1" si="10"/>
        <v>30.461405389036212</v>
      </c>
      <c r="N48" s="2">
        <f t="shared" ca="1" si="10"/>
        <v>31.806724507265582</v>
      </c>
      <c r="O48" s="2">
        <f t="shared" ca="1" si="10"/>
        <v>32.934973722411556</v>
      </c>
      <c r="P48" s="2">
        <f t="shared" ca="1" si="10"/>
        <v>26.5829234414391</v>
      </c>
      <c r="Q48" s="2">
        <f t="shared" ca="1" si="10"/>
        <v>32.829578085629322</v>
      </c>
      <c r="R48" s="2">
        <f t="shared" ca="1" si="10"/>
        <v>25.709440742698618</v>
      </c>
      <c r="S48" s="2">
        <f t="shared" ca="1" si="10"/>
        <v>25.894231505199045</v>
      </c>
      <c r="T48" s="2">
        <f t="shared" ca="1" si="10"/>
        <v>25.724796687893434</v>
      </c>
      <c r="U48" s="2">
        <f t="shared" ca="1" si="10"/>
        <v>27.287636819806536</v>
      </c>
      <c r="V48" s="2">
        <f t="shared" ca="1" si="10"/>
        <v>31.935394850857094</v>
      </c>
      <c r="W48" s="2">
        <f t="shared" ca="1" si="10"/>
        <v>26.891534366736607</v>
      </c>
      <c r="X48" s="2">
        <f t="shared" ca="1" si="10"/>
        <v>29.324876101347694</v>
      </c>
      <c r="Y48" s="2">
        <f t="shared" ca="1" si="10"/>
        <v>31.593547991438335</v>
      </c>
      <c r="Z48" s="2">
        <f t="shared" ca="1" si="10"/>
        <v>32.541367396139648</v>
      </c>
      <c r="AA48" s="2">
        <f t="shared" ca="1" si="10"/>
        <v>29.296964303142687</v>
      </c>
      <c r="AB48" s="2">
        <f t="shared" ca="1" si="10"/>
        <v>26.813576623855759</v>
      </c>
      <c r="AC48" s="2">
        <f t="shared" ca="1" si="10"/>
        <v>28.865515363768608</v>
      </c>
      <c r="AD48" s="2">
        <f t="shared" ca="1" si="10"/>
        <v>26.899360314685783</v>
      </c>
      <c r="AE48" s="2">
        <f t="shared" ca="1" si="10"/>
        <v>33.153173772857265</v>
      </c>
      <c r="AF48" s="2">
        <f t="shared" ca="1" si="10"/>
        <v>28.722005194272935</v>
      </c>
      <c r="AG48" s="2">
        <f t="shared" ca="1" si="10"/>
        <v>28.480338288017339</v>
      </c>
      <c r="AH48" s="2">
        <f t="shared" ca="1" si="10"/>
        <v>29.823665752518909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27.659595109348622</v>
      </c>
      <c r="D49" s="2">
        <f t="shared" ca="1" si="10"/>
        <v>30.757912361277814</v>
      </c>
      <c r="E49" s="2">
        <f t="shared" ca="1" si="10"/>
        <v>31.168813538732355</v>
      </c>
      <c r="F49" s="2">
        <f t="shared" ca="1" si="10"/>
        <v>30.052097547511902</v>
      </c>
      <c r="G49" s="2">
        <f t="shared" ca="1" si="10"/>
        <v>26.6884202839178</v>
      </c>
      <c r="H49" s="2">
        <f t="shared" ca="1" si="10"/>
        <v>26.086327891547548</v>
      </c>
      <c r="I49" s="2">
        <f t="shared" ca="1" si="10"/>
        <v>31.204942012390966</v>
      </c>
      <c r="J49" s="2">
        <f t="shared" ca="1" si="10"/>
        <v>29.116458391861375</v>
      </c>
      <c r="K49" s="2">
        <f t="shared" ca="1" si="10"/>
        <v>33.074524697384284</v>
      </c>
      <c r="L49" s="2">
        <f t="shared" ca="1" si="10"/>
        <v>33.737101193189631</v>
      </c>
      <c r="M49" s="2">
        <f t="shared" ca="1" si="10"/>
        <v>28.149479791294041</v>
      </c>
      <c r="N49" s="2">
        <f t="shared" ca="1" si="10"/>
        <v>30.45411955928649</v>
      </c>
      <c r="O49" s="2">
        <f t="shared" ca="1" si="10"/>
        <v>33.383352006094896</v>
      </c>
      <c r="P49" s="2">
        <f t="shared" ca="1" si="10"/>
        <v>33.128293373422551</v>
      </c>
      <c r="Q49" s="2">
        <f t="shared" ca="1" si="10"/>
        <v>32.874880302739633</v>
      </c>
      <c r="R49" s="2">
        <f t="shared" ca="1" si="10"/>
        <v>29.447922198702031</v>
      </c>
      <c r="S49" s="2">
        <f t="shared" ca="1" si="10"/>
        <v>27.352250166175228</v>
      </c>
      <c r="T49" s="2">
        <f t="shared" ca="1" si="10"/>
        <v>34.715342035800674</v>
      </c>
      <c r="U49" s="2">
        <f t="shared" ca="1" si="10"/>
        <v>28.717842648769306</v>
      </c>
      <c r="V49" s="2">
        <f t="shared" ca="1" si="10"/>
        <v>33.279410499893352</v>
      </c>
      <c r="W49" s="2">
        <f t="shared" ca="1" si="10"/>
        <v>25.857087746850311</v>
      </c>
      <c r="X49" s="2">
        <f t="shared" ca="1" si="10"/>
        <v>34.418663281085301</v>
      </c>
      <c r="Y49" s="2">
        <f t="shared" ca="1" si="10"/>
        <v>25.771439450364753</v>
      </c>
      <c r="Z49" s="2">
        <f t="shared" ca="1" si="10"/>
        <v>33.790392049689913</v>
      </c>
      <c r="AA49" s="2">
        <f t="shared" ca="1" si="10"/>
        <v>27.035846842583702</v>
      </c>
      <c r="AB49" s="2">
        <f t="shared" ca="1" si="10"/>
        <v>33.678326022395318</v>
      </c>
      <c r="AC49" s="2">
        <f t="shared" ca="1" si="10"/>
        <v>29.545441604710287</v>
      </c>
      <c r="AD49" s="2">
        <f t="shared" ca="1" si="10"/>
        <v>28.302606620290138</v>
      </c>
      <c r="AE49" s="2">
        <f t="shared" ca="1" si="10"/>
        <v>31.897007306644714</v>
      </c>
      <c r="AF49" s="2">
        <f t="shared" ca="1" si="10"/>
        <v>33.109276747977773</v>
      </c>
      <c r="AG49" s="2">
        <f t="shared" ca="1" si="10"/>
        <v>26.284629810783855</v>
      </c>
      <c r="AH49" s="2">
        <f t="shared" ca="1" si="10"/>
        <v>25.380417450124291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26.930439928345919</v>
      </c>
      <c r="D50" s="2">
        <f t="shared" ca="1" si="10"/>
        <v>34.110694792429513</v>
      </c>
      <c r="E50" s="2">
        <f t="shared" ca="1" si="10"/>
        <v>30.274345350724367</v>
      </c>
      <c r="F50" s="2">
        <f t="shared" ca="1" si="10"/>
        <v>26.54728361150914</v>
      </c>
      <c r="G50" s="2">
        <f t="shared" ca="1" si="10"/>
        <v>27.251872652073558</v>
      </c>
      <c r="H50" s="2">
        <f t="shared" ca="1" si="10"/>
        <v>27.664776909262351</v>
      </c>
      <c r="I50" s="2">
        <f t="shared" ca="1" si="10"/>
        <v>32.819556481436919</v>
      </c>
      <c r="J50" s="2">
        <f t="shared" ca="1" si="10"/>
        <v>28.947815176977016</v>
      </c>
      <c r="K50" s="2">
        <f t="shared" ca="1" si="10"/>
        <v>25.910421662593023</v>
      </c>
      <c r="L50" s="2">
        <f t="shared" ca="1" si="10"/>
        <v>33.931474932008726</v>
      </c>
      <c r="M50" s="2">
        <f t="shared" ca="1" si="10"/>
        <v>29.554923618123485</v>
      </c>
      <c r="N50" s="2">
        <f t="shared" ca="1" si="10"/>
        <v>25.290293672230497</v>
      </c>
      <c r="O50" s="2">
        <f t="shared" ca="1" si="10"/>
        <v>27.228654547098344</v>
      </c>
      <c r="P50" s="2">
        <f t="shared" ca="1" si="10"/>
        <v>32.964313141378618</v>
      </c>
      <c r="Q50" s="2">
        <f t="shared" ca="1" si="10"/>
        <v>28.441003508810798</v>
      </c>
      <c r="R50" s="2">
        <f t="shared" ca="1" si="10"/>
        <v>32.267779915613701</v>
      </c>
      <c r="S50" s="2">
        <f t="shared" ca="1" si="10"/>
        <v>26.069450006261267</v>
      </c>
      <c r="T50" s="2">
        <f t="shared" ca="1" si="10"/>
        <v>25.53663612759641</v>
      </c>
      <c r="U50" s="2">
        <f t="shared" ca="1" si="10"/>
        <v>28.534092028201805</v>
      </c>
      <c r="V50" s="2">
        <f t="shared" ca="1" si="10"/>
        <v>34.785145259346841</v>
      </c>
      <c r="W50" s="2">
        <f t="shared" ca="1" si="10"/>
        <v>25.189994308344094</v>
      </c>
      <c r="X50" s="2">
        <f t="shared" ca="1" si="10"/>
        <v>25.448226530041683</v>
      </c>
      <c r="Y50" s="2">
        <f t="shared" ca="1" si="10"/>
        <v>28.940673746883292</v>
      </c>
      <c r="Z50" s="2">
        <f t="shared" ca="1" si="10"/>
        <v>27.022118545830484</v>
      </c>
      <c r="AA50" s="2">
        <f t="shared" ca="1" si="10"/>
        <v>30.180214567013337</v>
      </c>
      <c r="AB50" s="2">
        <f t="shared" ca="1" si="10"/>
        <v>28.229567348033747</v>
      </c>
      <c r="AC50" s="2">
        <f t="shared" ca="1" si="10"/>
        <v>29.676487090531616</v>
      </c>
      <c r="AD50" s="2">
        <f t="shared" ca="1" si="10"/>
        <v>32.889987712420854</v>
      </c>
      <c r="AE50" s="2">
        <f t="shared" ca="1" si="10"/>
        <v>25.078765094242463</v>
      </c>
      <c r="AF50" s="2">
        <f t="shared" ca="1" si="10"/>
        <v>28.990574067453842</v>
      </c>
      <c r="AG50" s="2">
        <f t="shared" ca="1" si="10"/>
        <v>30.879298349280884</v>
      </c>
      <c r="AH50" s="2">
        <f t="shared" ca="1" si="10"/>
        <v>29.481962249316339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31.868151277889865</v>
      </c>
      <c r="D51" s="2">
        <f t="shared" ca="1" si="10"/>
        <v>32.07977771348552</v>
      </c>
      <c r="E51" s="2">
        <f t="shared" ca="1" si="10"/>
        <v>31.253973261672119</v>
      </c>
      <c r="F51" s="2">
        <f t="shared" ca="1" si="10"/>
        <v>26.966183860125838</v>
      </c>
      <c r="G51" s="2">
        <f t="shared" ca="1" si="10"/>
        <v>29.88111889438531</v>
      </c>
      <c r="H51" s="2">
        <f t="shared" ca="1" si="10"/>
        <v>32.93306220305324</v>
      </c>
      <c r="I51" s="2">
        <f t="shared" ca="1" si="10"/>
        <v>34.226825977926154</v>
      </c>
      <c r="J51" s="2">
        <f t="shared" ref="J51:Y67" ca="1" si="11">(RAND()*1+2.5)*10</f>
        <v>30.111242882587934</v>
      </c>
      <c r="K51" s="2">
        <f t="shared" ca="1" si="11"/>
        <v>25.672979599576614</v>
      </c>
      <c r="L51" s="2">
        <f t="shared" ca="1" si="11"/>
        <v>29.417912688561518</v>
      </c>
      <c r="M51" s="2">
        <f t="shared" ca="1" si="11"/>
        <v>25.178018866527843</v>
      </c>
      <c r="N51" s="2">
        <f t="shared" ca="1" si="11"/>
        <v>33.365550916824454</v>
      </c>
      <c r="O51" s="2">
        <f t="shared" ca="1" si="11"/>
        <v>31.585661894484922</v>
      </c>
      <c r="P51" s="2">
        <f t="shared" ca="1" si="11"/>
        <v>26.052496318243925</v>
      </c>
      <c r="Q51" s="2">
        <f t="shared" ca="1" si="11"/>
        <v>31.224136243220777</v>
      </c>
      <c r="R51" s="2">
        <f t="shared" ca="1" si="11"/>
        <v>33.244394759871973</v>
      </c>
      <c r="S51" s="2">
        <f t="shared" ca="1" si="11"/>
        <v>26.171642713674142</v>
      </c>
      <c r="T51" s="2">
        <f t="shared" ca="1" si="11"/>
        <v>28.282873023482811</v>
      </c>
      <c r="U51" s="2">
        <f t="shared" ca="1" si="11"/>
        <v>26.774196048485031</v>
      </c>
      <c r="V51" s="2">
        <f t="shared" ca="1" si="11"/>
        <v>26.119573887960495</v>
      </c>
      <c r="W51" s="2">
        <f t="shared" ca="1" si="11"/>
        <v>28.682229104921451</v>
      </c>
      <c r="X51" s="2">
        <f t="shared" ca="1" si="11"/>
        <v>32.348238493142517</v>
      </c>
      <c r="Y51" s="2">
        <f t="shared" ca="1" si="11"/>
        <v>28.899720513781691</v>
      </c>
      <c r="Z51" s="2">
        <f t="shared" ref="Z51:AH67" ca="1" si="12">(RAND()*1+2.5)*10</f>
        <v>33.601354545804213</v>
      </c>
      <c r="AA51" s="2">
        <f t="shared" ca="1" si="12"/>
        <v>27.08917952837686</v>
      </c>
      <c r="AB51" s="2">
        <f t="shared" ca="1" si="12"/>
        <v>25.058484166922398</v>
      </c>
      <c r="AC51" s="2">
        <f t="shared" ca="1" si="12"/>
        <v>32.63754563093098</v>
      </c>
      <c r="AD51" s="2">
        <f t="shared" ca="1" si="12"/>
        <v>28.479169233066912</v>
      </c>
      <c r="AE51" s="2">
        <f t="shared" ca="1" si="12"/>
        <v>30.067042004170894</v>
      </c>
      <c r="AF51" s="2">
        <f t="shared" ca="1" si="12"/>
        <v>27.855304087440196</v>
      </c>
      <c r="AG51" s="2">
        <f t="shared" ca="1" si="12"/>
        <v>28.055459090903323</v>
      </c>
      <c r="AH51" s="2">
        <f t="shared" ca="1" si="12"/>
        <v>34.2951106177808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34.09409778437508</v>
      </c>
      <c r="D52" s="2">
        <f t="shared" ca="1" si="9"/>
        <v>34.680187514304379</v>
      </c>
      <c r="E52" s="2">
        <f t="shared" ca="1" si="9"/>
        <v>26.163757429733991</v>
      </c>
      <c r="F52" s="2">
        <f t="shared" ca="1" si="9"/>
        <v>29.22821573153669</v>
      </c>
      <c r="G52" s="2">
        <f t="shared" ca="1" si="9"/>
        <v>28.166621269064464</v>
      </c>
      <c r="H52" s="2">
        <f t="shared" ca="1" si="9"/>
        <v>30.395843183649628</v>
      </c>
      <c r="I52" s="2">
        <f t="shared" ref="I52:X67" ca="1" si="13">(RAND()*1+2.5)*10</f>
        <v>28.77018428262279</v>
      </c>
      <c r="J52" s="2">
        <f t="shared" ca="1" si="13"/>
        <v>30.515120928362446</v>
      </c>
      <c r="K52" s="2">
        <f t="shared" ca="1" si="13"/>
        <v>26.42475146750364</v>
      </c>
      <c r="L52" s="2">
        <f t="shared" ca="1" si="13"/>
        <v>28.941897208422699</v>
      </c>
      <c r="M52" s="2">
        <f t="shared" ca="1" si="13"/>
        <v>29.513383392788089</v>
      </c>
      <c r="N52" s="2">
        <f t="shared" ca="1" si="13"/>
        <v>25.921219537010238</v>
      </c>
      <c r="O52" s="2">
        <f t="shared" ca="1" si="13"/>
        <v>32.780917327809796</v>
      </c>
      <c r="P52" s="2">
        <f t="shared" ca="1" si="13"/>
        <v>32.308480119666783</v>
      </c>
      <c r="Q52" s="2">
        <f t="shared" ca="1" si="13"/>
        <v>27.710381298728997</v>
      </c>
      <c r="R52" s="2">
        <f t="shared" ca="1" si="13"/>
        <v>33.999564915136347</v>
      </c>
      <c r="S52" s="2">
        <f t="shared" ca="1" si="13"/>
        <v>32.748035717108749</v>
      </c>
      <c r="T52" s="2">
        <f t="shared" ca="1" si="13"/>
        <v>28.359238380515677</v>
      </c>
      <c r="U52" s="2">
        <f t="shared" ca="1" si="13"/>
        <v>33.799012772215541</v>
      </c>
      <c r="V52" s="2">
        <f t="shared" ca="1" si="13"/>
        <v>27.053698767540983</v>
      </c>
      <c r="W52" s="2">
        <f t="shared" ca="1" si="13"/>
        <v>30.246168782397334</v>
      </c>
      <c r="X52" s="2">
        <f t="shared" ca="1" si="13"/>
        <v>29.863032702206663</v>
      </c>
      <c r="Y52" s="2">
        <f t="shared" ca="1" si="11"/>
        <v>25.730610282385513</v>
      </c>
      <c r="Z52" s="2">
        <f t="shared" ca="1" si="12"/>
        <v>28.226669919835853</v>
      </c>
      <c r="AA52" s="2">
        <f t="shared" ca="1" si="12"/>
        <v>27.302456416816501</v>
      </c>
      <c r="AB52" s="2">
        <f t="shared" ca="1" si="12"/>
        <v>30.139090935941496</v>
      </c>
      <c r="AC52" s="2">
        <f t="shared" ca="1" si="12"/>
        <v>28.854513779345794</v>
      </c>
      <c r="AD52" s="2">
        <f t="shared" ca="1" si="12"/>
        <v>32.16894385854529</v>
      </c>
      <c r="AE52" s="2">
        <f t="shared" ca="1" si="12"/>
        <v>32.02941178298996</v>
      </c>
      <c r="AF52" s="2">
        <f t="shared" ca="1" si="12"/>
        <v>30.792434130836035</v>
      </c>
      <c r="AG52" s="2">
        <f t="shared" ca="1" si="12"/>
        <v>30.016859062147034</v>
      </c>
      <c r="AH52" s="2">
        <f t="shared" ca="1" si="12"/>
        <v>34.818652048069431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(RAND()*1+2.5)*10</f>
        <v>25.899648748940795</v>
      </c>
      <c r="D53" s="2">
        <f t="shared" ca="1" si="14"/>
        <v>30.041250479565957</v>
      </c>
      <c r="E53" s="2">
        <f t="shared" ca="1" si="14"/>
        <v>26.374662250353033</v>
      </c>
      <c r="F53" s="2">
        <f t="shared" ca="1" si="14"/>
        <v>33.342649146911953</v>
      </c>
      <c r="G53" s="2">
        <f t="shared" ca="1" si="14"/>
        <v>33.008485796061777</v>
      </c>
      <c r="H53" s="2">
        <f t="shared" ca="1" si="14"/>
        <v>31.727803742121555</v>
      </c>
      <c r="I53" s="2">
        <f t="shared" ca="1" si="14"/>
        <v>32.896143487271232</v>
      </c>
      <c r="J53" s="2">
        <f t="shared" ca="1" si="14"/>
        <v>30.012681227953561</v>
      </c>
      <c r="K53" s="2">
        <f t="shared" ca="1" si="14"/>
        <v>32.946931569612786</v>
      </c>
      <c r="L53" s="2">
        <f t="shared" ca="1" si="14"/>
        <v>33.213787248565865</v>
      </c>
      <c r="M53" s="2">
        <f t="shared" ca="1" si="14"/>
        <v>34.879201737068108</v>
      </c>
      <c r="N53" s="2">
        <f t="shared" ca="1" si="14"/>
        <v>29.367812396880023</v>
      </c>
      <c r="O53" s="2">
        <f t="shared" ca="1" si="14"/>
        <v>28.999629522708922</v>
      </c>
      <c r="P53" s="2">
        <f t="shared" ca="1" si="14"/>
        <v>25.305688880700306</v>
      </c>
      <c r="Q53" s="2">
        <f t="shared" ca="1" si="14"/>
        <v>32.374836579666251</v>
      </c>
      <c r="R53" s="2">
        <f t="shared" ca="1" si="14"/>
        <v>28.456917768901391</v>
      </c>
      <c r="S53" s="2">
        <f t="shared" ca="1" si="13"/>
        <v>27.795369588069974</v>
      </c>
      <c r="T53" s="2">
        <f t="shared" ca="1" si="13"/>
        <v>26.16738791825847</v>
      </c>
      <c r="U53" s="2">
        <f t="shared" ca="1" si="13"/>
        <v>30.403228305858249</v>
      </c>
      <c r="V53" s="2">
        <f t="shared" ca="1" si="13"/>
        <v>33.739949087711004</v>
      </c>
      <c r="W53" s="2">
        <f t="shared" ca="1" si="13"/>
        <v>34.819502346967596</v>
      </c>
      <c r="X53" s="2">
        <f t="shared" ca="1" si="13"/>
        <v>27.540790979782521</v>
      </c>
      <c r="Y53" s="2">
        <f t="shared" ca="1" si="11"/>
        <v>29.228090090951252</v>
      </c>
      <c r="Z53" s="2">
        <f t="shared" ca="1" si="12"/>
        <v>28.061205356332046</v>
      </c>
      <c r="AA53" s="2">
        <f t="shared" ca="1" si="12"/>
        <v>31.812195342839182</v>
      </c>
      <c r="AB53" s="2">
        <f t="shared" ca="1" si="12"/>
        <v>32.846001491839139</v>
      </c>
      <c r="AC53" s="2">
        <f t="shared" ca="1" si="12"/>
        <v>27.932673631058826</v>
      </c>
      <c r="AD53" s="2">
        <f t="shared" ca="1" si="12"/>
        <v>26.999922645772251</v>
      </c>
      <c r="AE53" s="2">
        <f t="shared" ca="1" si="12"/>
        <v>31.019029555998266</v>
      </c>
      <c r="AF53" s="2">
        <f t="shared" ca="1" si="12"/>
        <v>27.879085260033424</v>
      </c>
      <c r="AG53" s="2">
        <f t="shared" ca="1" si="12"/>
        <v>31.010432910643743</v>
      </c>
      <c r="AH53" s="2">
        <f t="shared" ca="1" si="12"/>
        <v>33.818926655351504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25.068536907803622</v>
      </c>
      <c r="D54" s="2">
        <f t="shared" ca="1" si="14"/>
        <v>28.931062091264121</v>
      </c>
      <c r="E54" s="2">
        <f t="shared" ca="1" si="14"/>
        <v>26.418407568088298</v>
      </c>
      <c r="F54" s="2">
        <f t="shared" ca="1" si="14"/>
        <v>30.73627009447684</v>
      </c>
      <c r="G54" s="2">
        <f t="shared" ca="1" si="14"/>
        <v>29.695091721429261</v>
      </c>
      <c r="H54" s="2">
        <f t="shared" ca="1" si="14"/>
        <v>27.978268392166747</v>
      </c>
      <c r="I54" s="2">
        <f t="shared" ca="1" si="14"/>
        <v>25.158147764936345</v>
      </c>
      <c r="J54" s="2">
        <f t="shared" ca="1" si="14"/>
        <v>27.182194453994256</v>
      </c>
      <c r="K54" s="2">
        <f t="shared" ca="1" si="14"/>
        <v>28.507655693042878</v>
      </c>
      <c r="L54" s="2">
        <f t="shared" ca="1" si="14"/>
        <v>29.092645870429816</v>
      </c>
      <c r="M54" s="2">
        <f t="shared" ca="1" si="14"/>
        <v>32.973312981946854</v>
      </c>
      <c r="N54" s="2">
        <f t="shared" ca="1" si="14"/>
        <v>27.390924401508521</v>
      </c>
      <c r="O54" s="2">
        <f t="shared" ca="1" si="14"/>
        <v>32.452571750571131</v>
      </c>
      <c r="P54" s="2">
        <f t="shared" ca="1" si="14"/>
        <v>30.544601383567141</v>
      </c>
      <c r="Q54" s="2">
        <f t="shared" ca="1" si="14"/>
        <v>27.084021716152307</v>
      </c>
      <c r="R54" s="2">
        <f t="shared" ca="1" si="14"/>
        <v>26.759329068732207</v>
      </c>
      <c r="S54" s="2">
        <f t="shared" ca="1" si="13"/>
        <v>29.79027806132839</v>
      </c>
      <c r="T54" s="2">
        <f t="shared" ca="1" si="13"/>
        <v>29.248618426622059</v>
      </c>
      <c r="U54" s="2">
        <f t="shared" ca="1" si="13"/>
        <v>31.795688262275483</v>
      </c>
      <c r="V54" s="2">
        <f t="shared" ca="1" si="13"/>
        <v>34.693694819495342</v>
      </c>
      <c r="W54" s="2">
        <f t="shared" ca="1" si="13"/>
        <v>25.230868784201519</v>
      </c>
      <c r="X54" s="2">
        <f t="shared" ca="1" si="13"/>
        <v>29.768337366605504</v>
      </c>
      <c r="Y54" s="2">
        <f t="shared" ca="1" si="11"/>
        <v>29.900956376996714</v>
      </c>
      <c r="Z54" s="2">
        <f t="shared" ca="1" si="12"/>
        <v>34.968493501852755</v>
      </c>
      <c r="AA54" s="2">
        <f t="shared" ca="1" si="12"/>
        <v>31.152646989738038</v>
      </c>
      <c r="AB54" s="2">
        <f t="shared" ca="1" si="12"/>
        <v>33.287256311420627</v>
      </c>
      <c r="AC54" s="2">
        <f t="shared" ca="1" si="12"/>
        <v>28.527635908749236</v>
      </c>
      <c r="AD54" s="2">
        <f t="shared" ca="1" si="12"/>
        <v>25.531263820762451</v>
      </c>
      <c r="AE54" s="2">
        <f t="shared" ca="1" si="12"/>
        <v>32.466271614436863</v>
      </c>
      <c r="AF54" s="2">
        <f t="shared" ca="1" si="12"/>
        <v>34.623567197161876</v>
      </c>
      <c r="AG54" s="2">
        <f t="shared" ca="1" si="12"/>
        <v>31.525143836575094</v>
      </c>
      <c r="AH54" s="2">
        <f t="shared" ca="1" si="12"/>
        <v>29.959377914574663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26.401346336621494</v>
      </c>
      <c r="D55" s="2">
        <f t="shared" ca="1" si="14"/>
        <v>34.898328324941915</v>
      </c>
      <c r="E55" s="2">
        <f t="shared" ca="1" si="14"/>
        <v>34.657023267730068</v>
      </c>
      <c r="F55" s="2">
        <f t="shared" ca="1" si="14"/>
        <v>32.245277426839777</v>
      </c>
      <c r="G55" s="2">
        <f t="shared" ca="1" si="14"/>
        <v>34.18426004715036</v>
      </c>
      <c r="H55" s="2">
        <f t="shared" ca="1" si="14"/>
        <v>28.11018348175385</v>
      </c>
      <c r="I55" s="2">
        <f t="shared" ca="1" si="14"/>
        <v>33.064209384915898</v>
      </c>
      <c r="J55" s="2">
        <f t="shared" ca="1" si="14"/>
        <v>25.271132651450788</v>
      </c>
      <c r="K55" s="2">
        <f t="shared" ca="1" si="14"/>
        <v>25.819952965182075</v>
      </c>
      <c r="L55" s="2">
        <f t="shared" ca="1" si="14"/>
        <v>26.613716144181229</v>
      </c>
      <c r="M55" s="2">
        <f t="shared" ca="1" si="14"/>
        <v>26.980992786816373</v>
      </c>
      <c r="N55" s="2">
        <f t="shared" ca="1" si="14"/>
        <v>25.766540543316793</v>
      </c>
      <c r="O55" s="2">
        <f t="shared" ca="1" si="14"/>
        <v>33.400397811738372</v>
      </c>
      <c r="P55" s="2">
        <f t="shared" ca="1" si="14"/>
        <v>25.842090018445298</v>
      </c>
      <c r="Q55" s="2">
        <f t="shared" ca="1" si="14"/>
        <v>27.904253654558001</v>
      </c>
      <c r="R55" s="2">
        <f t="shared" ca="1" si="14"/>
        <v>31.515385917285418</v>
      </c>
      <c r="S55" s="2">
        <f t="shared" ca="1" si="13"/>
        <v>34.97232466221574</v>
      </c>
      <c r="T55" s="2">
        <f t="shared" ca="1" si="13"/>
        <v>29.872301520523223</v>
      </c>
      <c r="U55" s="2">
        <f t="shared" ca="1" si="13"/>
        <v>34.692751494623707</v>
      </c>
      <c r="V55" s="2">
        <f t="shared" ca="1" si="13"/>
        <v>34.112665091731856</v>
      </c>
      <c r="W55" s="2">
        <f t="shared" ca="1" si="13"/>
        <v>29.862905084645579</v>
      </c>
      <c r="X55" s="2">
        <f t="shared" ca="1" si="13"/>
        <v>29.637397215339849</v>
      </c>
      <c r="Y55" s="2">
        <f t="shared" ca="1" si="11"/>
        <v>30.233117217047131</v>
      </c>
      <c r="Z55" s="2">
        <f t="shared" ca="1" si="12"/>
        <v>30.731504252701768</v>
      </c>
      <c r="AA55" s="2">
        <f t="shared" ca="1" si="12"/>
        <v>31.228026424527563</v>
      </c>
      <c r="AB55" s="2">
        <f t="shared" ca="1" si="12"/>
        <v>27.496907858504844</v>
      </c>
      <c r="AC55" s="2">
        <f t="shared" ca="1" si="12"/>
        <v>30.635461346667704</v>
      </c>
      <c r="AD55" s="2">
        <f t="shared" ca="1" si="12"/>
        <v>30.344973261946322</v>
      </c>
      <c r="AE55" s="2">
        <f t="shared" ca="1" si="12"/>
        <v>32.271101990453708</v>
      </c>
      <c r="AF55" s="2">
        <f t="shared" ca="1" si="12"/>
        <v>34.52155201970097</v>
      </c>
      <c r="AG55" s="2">
        <f t="shared" ca="1" si="12"/>
        <v>31.401031629860388</v>
      </c>
      <c r="AH55" s="2">
        <f t="shared" ca="1" si="12"/>
        <v>34.392275168539108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27.608011749315335</v>
      </c>
      <c r="D56" s="2">
        <f t="shared" ca="1" si="14"/>
        <v>32.73060280006144</v>
      </c>
      <c r="E56" s="2">
        <f t="shared" ca="1" si="14"/>
        <v>26.770262379035504</v>
      </c>
      <c r="F56" s="2">
        <f t="shared" ca="1" si="14"/>
        <v>30.997438933350104</v>
      </c>
      <c r="G56" s="2">
        <f t="shared" ca="1" si="14"/>
        <v>25.44848865967149</v>
      </c>
      <c r="H56" s="2">
        <f t="shared" ca="1" si="14"/>
        <v>32.040991405803354</v>
      </c>
      <c r="I56" s="2">
        <f t="shared" ca="1" si="14"/>
        <v>25.071072994124162</v>
      </c>
      <c r="J56" s="2">
        <f t="shared" ca="1" si="14"/>
        <v>34.383896960321756</v>
      </c>
      <c r="K56" s="2">
        <f t="shared" ca="1" si="14"/>
        <v>32.041255124063689</v>
      </c>
      <c r="L56" s="2">
        <f t="shared" ca="1" si="14"/>
        <v>25.040210112282967</v>
      </c>
      <c r="M56" s="2">
        <f t="shared" ca="1" si="14"/>
        <v>25.320677817464976</v>
      </c>
      <c r="N56" s="2">
        <f t="shared" ca="1" si="14"/>
        <v>25.537708395339692</v>
      </c>
      <c r="O56" s="2">
        <f t="shared" ca="1" si="14"/>
        <v>28.082418217721138</v>
      </c>
      <c r="P56" s="2">
        <f t="shared" ca="1" si="14"/>
        <v>30.837750217243276</v>
      </c>
      <c r="Q56" s="2">
        <f t="shared" ca="1" si="14"/>
        <v>27.47430717142592</v>
      </c>
      <c r="R56" s="2">
        <f t="shared" ca="1" si="14"/>
        <v>27.976722877812964</v>
      </c>
      <c r="S56" s="2">
        <f t="shared" ca="1" si="13"/>
        <v>26.381003965760339</v>
      </c>
      <c r="T56" s="2">
        <f t="shared" ca="1" si="13"/>
        <v>32.663195456325333</v>
      </c>
      <c r="U56" s="2">
        <f t="shared" ca="1" si="13"/>
        <v>26.10587353992484</v>
      </c>
      <c r="V56" s="2">
        <f t="shared" ca="1" si="13"/>
        <v>31.603860057022018</v>
      </c>
      <c r="W56" s="2">
        <f t="shared" ca="1" si="13"/>
        <v>29.126414052069727</v>
      </c>
      <c r="X56" s="2">
        <f t="shared" ca="1" si="13"/>
        <v>28.211494252300575</v>
      </c>
      <c r="Y56" s="2">
        <f t="shared" ca="1" si="11"/>
        <v>34.07279329518056</v>
      </c>
      <c r="Z56" s="2">
        <f t="shared" ca="1" si="12"/>
        <v>26.031481817118301</v>
      </c>
      <c r="AA56" s="2">
        <f t="shared" ca="1" si="12"/>
        <v>32.711511491785068</v>
      </c>
      <c r="AB56" s="2">
        <f t="shared" ca="1" si="12"/>
        <v>31.625421510446991</v>
      </c>
      <c r="AC56" s="2">
        <f t="shared" ca="1" si="12"/>
        <v>30.479678195254149</v>
      </c>
      <c r="AD56" s="2">
        <f t="shared" ca="1" si="12"/>
        <v>31.171399653260352</v>
      </c>
      <c r="AE56" s="2">
        <f t="shared" ca="1" si="12"/>
        <v>27.756773940513352</v>
      </c>
      <c r="AF56" s="2">
        <f t="shared" ca="1" si="12"/>
        <v>29.263656774258891</v>
      </c>
      <c r="AG56" s="2">
        <f t="shared" ca="1" si="12"/>
        <v>31.710995886889258</v>
      </c>
      <c r="AH56" s="2">
        <f t="shared" ca="1" si="12"/>
        <v>29.335821095926057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34.807545017983294</v>
      </c>
      <c r="D57" s="2">
        <f t="shared" ca="1" si="14"/>
        <v>31.992079734067246</v>
      </c>
      <c r="E57" s="2">
        <f t="shared" ca="1" si="14"/>
        <v>30.287914652624693</v>
      </c>
      <c r="F57" s="2">
        <f t="shared" ca="1" si="14"/>
        <v>33.634140397255365</v>
      </c>
      <c r="G57" s="2">
        <f t="shared" ca="1" si="14"/>
        <v>31.34801808310926</v>
      </c>
      <c r="H57" s="2">
        <f t="shared" ca="1" si="14"/>
        <v>27.497086895752311</v>
      </c>
      <c r="I57" s="2">
        <f t="shared" ca="1" si="14"/>
        <v>31.77253312269713</v>
      </c>
      <c r="J57" s="2">
        <f t="shared" ca="1" si="14"/>
        <v>31.136417619753765</v>
      </c>
      <c r="K57" s="2">
        <f t="shared" ca="1" si="14"/>
        <v>27.395992364225155</v>
      </c>
      <c r="L57" s="2">
        <f t="shared" ca="1" si="14"/>
        <v>31.463079705663162</v>
      </c>
      <c r="M57" s="2">
        <f t="shared" ca="1" si="14"/>
        <v>27.725400383682132</v>
      </c>
      <c r="N57" s="2">
        <f t="shared" ca="1" si="14"/>
        <v>34.050132957318475</v>
      </c>
      <c r="O57" s="2">
        <f t="shared" ca="1" si="14"/>
        <v>34.581134589286606</v>
      </c>
      <c r="P57" s="2">
        <f t="shared" ca="1" si="14"/>
        <v>30.933099608453645</v>
      </c>
      <c r="Q57" s="2">
        <f t="shared" ca="1" si="14"/>
        <v>31.181998610186888</v>
      </c>
      <c r="R57" s="2">
        <f t="shared" ca="1" si="14"/>
        <v>31.813708684669759</v>
      </c>
      <c r="S57" s="2">
        <f t="shared" ca="1" si="13"/>
        <v>34.860559918031015</v>
      </c>
      <c r="T57" s="2">
        <f t="shared" ca="1" si="13"/>
        <v>27.375802614756743</v>
      </c>
      <c r="U57" s="2">
        <f t="shared" ca="1" si="13"/>
        <v>27.986215498815188</v>
      </c>
      <c r="V57" s="2">
        <f t="shared" ca="1" si="13"/>
        <v>25.736521990409599</v>
      </c>
      <c r="W57" s="2">
        <f t="shared" ca="1" si="13"/>
        <v>28.430626724630631</v>
      </c>
      <c r="X57" s="2">
        <f t="shared" ca="1" si="13"/>
        <v>32.1360338358935</v>
      </c>
      <c r="Y57" s="2">
        <f t="shared" ca="1" si="11"/>
        <v>29.953585195363956</v>
      </c>
      <c r="Z57" s="2">
        <f t="shared" ca="1" si="12"/>
        <v>25.305063680217785</v>
      </c>
      <c r="AA57" s="2">
        <f t="shared" ca="1" si="12"/>
        <v>32.047680628537393</v>
      </c>
      <c r="AB57" s="2">
        <f t="shared" ca="1" si="12"/>
        <v>30.429840056935468</v>
      </c>
      <c r="AC57" s="2">
        <f t="shared" ca="1" si="12"/>
        <v>30.049025293841044</v>
      </c>
      <c r="AD57" s="2">
        <f t="shared" ca="1" si="12"/>
        <v>34.079263830379915</v>
      </c>
      <c r="AE57" s="2">
        <f t="shared" ca="1" si="12"/>
        <v>29.511219521033713</v>
      </c>
      <c r="AF57" s="2">
        <f t="shared" ca="1" si="12"/>
        <v>34.854703217331497</v>
      </c>
      <c r="AG57" s="2">
        <f t="shared" ca="1" si="12"/>
        <v>31.866899636298989</v>
      </c>
      <c r="AH57" s="2">
        <f t="shared" ca="1" si="12"/>
        <v>34.68387729116796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26.109989729985379</v>
      </c>
      <c r="D58" s="2">
        <f t="shared" ca="1" si="14"/>
        <v>33.46752491040003</v>
      </c>
      <c r="E58" s="2">
        <f t="shared" ca="1" si="14"/>
        <v>34.825397213657176</v>
      </c>
      <c r="F58" s="2">
        <f t="shared" ca="1" si="14"/>
        <v>33.335651828542787</v>
      </c>
      <c r="G58" s="2">
        <f t="shared" ca="1" si="14"/>
        <v>31.829109134191526</v>
      </c>
      <c r="H58" s="2">
        <f t="shared" ca="1" si="14"/>
        <v>31.826265429287233</v>
      </c>
      <c r="I58" s="2">
        <f t="shared" ca="1" si="14"/>
        <v>28.597725302972712</v>
      </c>
      <c r="J58" s="2">
        <f t="shared" ca="1" si="14"/>
        <v>26.618251727685276</v>
      </c>
      <c r="K58" s="2">
        <f t="shared" ca="1" si="14"/>
        <v>29.030638024564688</v>
      </c>
      <c r="L58" s="2">
        <f t="shared" ca="1" si="14"/>
        <v>28.911922761681122</v>
      </c>
      <c r="M58" s="2">
        <f t="shared" ca="1" si="14"/>
        <v>28.454458498157663</v>
      </c>
      <c r="N58" s="2">
        <f t="shared" ca="1" si="14"/>
        <v>33.979871646349821</v>
      </c>
      <c r="O58" s="2">
        <f t="shared" ca="1" si="14"/>
        <v>27.927938404042472</v>
      </c>
      <c r="P58" s="2">
        <f t="shared" ca="1" si="14"/>
        <v>32.124816502715873</v>
      </c>
      <c r="Q58" s="2">
        <f t="shared" ca="1" si="14"/>
        <v>25.446065879721147</v>
      </c>
      <c r="R58" s="2">
        <f t="shared" ca="1" si="14"/>
        <v>32.778520499673881</v>
      </c>
      <c r="S58" s="2">
        <f t="shared" ca="1" si="13"/>
        <v>30.402981057433934</v>
      </c>
      <c r="T58" s="2">
        <f t="shared" ca="1" si="13"/>
        <v>26.956332521079808</v>
      </c>
      <c r="U58" s="2">
        <f t="shared" ca="1" si="13"/>
        <v>29.714243526080555</v>
      </c>
      <c r="V58" s="2">
        <f t="shared" ca="1" si="13"/>
        <v>27.198370950351006</v>
      </c>
      <c r="W58" s="2">
        <f t="shared" ca="1" si="13"/>
        <v>33.819104771686966</v>
      </c>
      <c r="X58" s="2">
        <f t="shared" ca="1" si="13"/>
        <v>27.79539706239661</v>
      </c>
      <c r="Y58" s="2">
        <f t="shared" ca="1" si="11"/>
        <v>26.689549915041209</v>
      </c>
      <c r="Z58" s="2">
        <f t="shared" ca="1" si="12"/>
        <v>25.733982007327082</v>
      </c>
      <c r="AA58" s="2">
        <f t="shared" ca="1" si="12"/>
        <v>28.112427294914145</v>
      </c>
      <c r="AB58" s="2">
        <f t="shared" ca="1" si="12"/>
        <v>33.74137143801368</v>
      </c>
      <c r="AC58" s="2">
        <f t="shared" ca="1" si="12"/>
        <v>25.596500611335827</v>
      </c>
      <c r="AD58" s="2">
        <f t="shared" ca="1" si="12"/>
        <v>33.932392020714573</v>
      </c>
      <c r="AE58" s="2">
        <f t="shared" ca="1" si="12"/>
        <v>26.448343051194012</v>
      </c>
      <c r="AF58" s="2">
        <f t="shared" ca="1" si="12"/>
        <v>34.717237591416627</v>
      </c>
      <c r="AG58" s="2">
        <f t="shared" ca="1" si="12"/>
        <v>28.966497458120038</v>
      </c>
      <c r="AH58" s="2">
        <f t="shared" ca="1" si="12"/>
        <v>31.044944053464366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32.739176447041906</v>
      </c>
      <c r="D59" s="2">
        <f t="shared" ca="1" si="14"/>
        <v>32.754268696938553</v>
      </c>
      <c r="E59" s="2">
        <f t="shared" ca="1" si="14"/>
        <v>33.719192568552366</v>
      </c>
      <c r="F59" s="2">
        <f t="shared" ca="1" si="14"/>
        <v>25.888089399239632</v>
      </c>
      <c r="G59" s="2">
        <f t="shared" ca="1" si="14"/>
        <v>29.362741542103592</v>
      </c>
      <c r="H59" s="2">
        <f t="shared" ca="1" si="14"/>
        <v>25.364068425932356</v>
      </c>
      <c r="I59" s="2">
        <f t="shared" ca="1" si="14"/>
        <v>26.540002735847228</v>
      </c>
      <c r="J59" s="2">
        <f t="shared" ca="1" si="14"/>
        <v>33.441096815747059</v>
      </c>
      <c r="K59" s="2">
        <f t="shared" ca="1" si="14"/>
        <v>34.512111824037305</v>
      </c>
      <c r="L59" s="2">
        <f t="shared" ca="1" si="14"/>
        <v>25.897987900237549</v>
      </c>
      <c r="M59" s="2">
        <f t="shared" ca="1" si="14"/>
        <v>27.147003570599281</v>
      </c>
      <c r="N59" s="2">
        <f t="shared" ca="1" si="14"/>
        <v>25.478729341517923</v>
      </c>
      <c r="O59" s="2">
        <f t="shared" ca="1" si="14"/>
        <v>25.645673169970792</v>
      </c>
      <c r="P59" s="2">
        <f t="shared" ca="1" si="14"/>
        <v>31.597451255915541</v>
      </c>
      <c r="Q59" s="2">
        <f t="shared" ca="1" si="14"/>
        <v>32.402418202773475</v>
      </c>
      <c r="R59" s="2">
        <f t="shared" ca="1" si="14"/>
        <v>33.945527925817963</v>
      </c>
      <c r="S59" s="2">
        <f t="shared" ca="1" si="13"/>
        <v>33.95462059141542</v>
      </c>
      <c r="T59" s="2">
        <f t="shared" ca="1" si="13"/>
        <v>25.932209386578716</v>
      </c>
      <c r="U59" s="2">
        <f t="shared" ca="1" si="13"/>
        <v>28.539969432403133</v>
      </c>
      <c r="V59" s="2">
        <f t="shared" ca="1" si="13"/>
        <v>27.069847249709152</v>
      </c>
      <c r="W59" s="2">
        <f t="shared" ca="1" si="13"/>
        <v>28.087097210888071</v>
      </c>
      <c r="X59" s="2">
        <f t="shared" ca="1" si="13"/>
        <v>31.184860488145738</v>
      </c>
      <c r="Y59" s="2">
        <f t="shared" ca="1" si="11"/>
        <v>33.725396642271015</v>
      </c>
      <c r="Z59" s="2">
        <f t="shared" ca="1" si="12"/>
        <v>26.810890540509167</v>
      </c>
      <c r="AA59" s="2">
        <f t="shared" ca="1" si="12"/>
        <v>27.382200238268858</v>
      </c>
      <c r="AB59" s="2">
        <f t="shared" ca="1" si="12"/>
        <v>29.235996932268861</v>
      </c>
      <c r="AC59" s="2">
        <f t="shared" ca="1" si="12"/>
        <v>34.994792507404135</v>
      </c>
      <c r="AD59" s="2">
        <f t="shared" ca="1" si="12"/>
        <v>30.501297419389122</v>
      </c>
      <c r="AE59" s="2">
        <f t="shared" ca="1" si="12"/>
        <v>27.824231374760746</v>
      </c>
      <c r="AF59" s="2">
        <f t="shared" ca="1" si="12"/>
        <v>25.860774004758397</v>
      </c>
      <c r="AG59" s="2">
        <f t="shared" ca="1" si="12"/>
        <v>28.587770070502096</v>
      </c>
      <c r="AH59" s="2">
        <f t="shared" ca="1" si="12"/>
        <v>30.450450891057649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34.22769085568595</v>
      </c>
      <c r="D60" s="2">
        <f t="shared" ca="1" si="14"/>
        <v>32.888491526722305</v>
      </c>
      <c r="E60" s="2">
        <f t="shared" ca="1" si="14"/>
        <v>31.76840055036191</v>
      </c>
      <c r="F60" s="2">
        <f t="shared" ca="1" si="14"/>
        <v>32.96336367756976</v>
      </c>
      <c r="G60" s="2">
        <f t="shared" ca="1" si="14"/>
        <v>27.422829050544571</v>
      </c>
      <c r="H60" s="2">
        <f t="shared" ca="1" si="14"/>
        <v>31.547768642752875</v>
      </c>
      <c r="I60" s="2">
        <f t="shared" ca="1" si="14"/>
        <v>31.556644233191406</v>
      </c>
      <c r="J60" s="2">
        <f t="shared" ca="1" si="14"/>
        <v>34.887267830141923</v>
      </c>
      <c r="K60" s="2">
        <f t="shared" ca="1" si="14"/>
        <v>31.395405613410738</v>
      </c>
      <c r="L60" s="2">
        <f t="shared" ca="1" si="14"/>
        <v>31.674045331531346</v>
      </c>
      <c r="M60" s="2">
        <f t="shared" ca="1" si="14"/>
        <v>30.231346840103281</v>
      </c>
      <c r="N60" s="2">
        <f t="shared" ca="1" si="14"/>
        <v>30.746246674922638</v>
      </c>
      <c r="O60" s="2">
        <f t="shared" ca="1" si="14"/>
        <v>27.45337784471436</v>
      </c>
      <c r="P60" s="2">
        <f t="shared" ca="1" si="14"/>
        <v>26.300286994826884</v>
      </c>
      <c r="Q60" s="2">
        <f t="shared" ca="1" si="14"/>
        <v>32.971779364123151</v>
      </c>
      <c r="R60" s="2">
        <f t="shared" ca="1" si="14"/>
        <v>29.556318926454047</v>
      </c>
      <c r="S60" s="2">
        <f t="shared" ca="1" si="13"/>
        <v>30.97088550332937</v>
      </c>
      <c r="T60" s="2">
        <f t="shared" ca="1" si="13"/>
        <v>26.939798979921168</v>
      </c>
      <c r="U60" s="2">
        <f t="shared" ca="1" si="13"/>
        <v>30.147424046433112</v>
      </c>
      <c r="V60" s="2">
        <f t="shared" ca="1" si="13"/>
        <v>26.11882230151209</v>
      </c>
      <c r="W60" s="2">
        <f t="shared" ca="1" si="13"/>
        <v>26.392784043145355</v>
      </c>
      <c r="X60" s="2">
        <f t="shared" ca="1" si="13"/>
        <v>26.762149549518817</v>
      </c>
      <c r="Y60" s="2">
        <f t="shared" ca="1" si="11"/>
        <v>25.361582327027712</v>
      </c>
      <c r="Z60" s="2">
        <f t="shared" ca="1" si="12"/>
        <v>28.514523055355475</v>
      </c>
      <c r="AA60" s="2">
        <f t="shared" ca="1" si="12"/>
        <v>29.146422278259365</v>
      </c>
      <c r="AB60" s="2">
        <f t="shared" ca="1" si="12"/>
        <v>34.171147480224199</v>
      </c>
      <c r="AC60" s="2">
        <f t="shared" ca="1" si="12"/>
        <v>32.451886577423267</v>
      </c>
      <c r="AD60" s="2">
        <f t="shared" ca="1" si="12"/>
        <v>31.099397587256096</v>
      </c>
      <c r="AE60" s="2">
        <f t="shared" ca="1" si="12"/>
        <v>29.73281356143697</v>
      </c>
      <c r="AF60" s="2">
        <f t="shared" ca="1" si="12"/>
        <v>28.781842073727706</v>
      </c>
      <c r="AG60" s="2">
        <f t="shared" ca="1" si="12"/>
        <v>32.876684503683407</v>
      </c>
      <c r="AH60" s="2">
        <f t="shared" ca="1" si="12"/>
        <v>29.835681595263701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33.453552605215066</v>
      </c>
      <c r="D61" s="2">
        <f t="shared" ca="1" si="14"/>
        <v>26.466428524705549</v>
      </c>
      <c r="E61" s="2">
        <f t="shared" ca="1" si="14"/>
        <v>33.202216100811022</v>
      </c>
      <c r="F61" s="2">
        <f t="shared" ca="1" si="14"/>
        <v>26.54948535235317</v>
      </c>
      <c r="G61" s="2">
        <f t="shared" ca="1" si="14"/>
        <v>32.173267753985321</v>
      </c>
      <c r="H61" s="2">
        <f t="shared" ca="1" si="14"/>
        <v>28.913589911776334</v>
      </c>
      <c r="I61" s="2">
        <f t="shared" ca="1" si="14"/>
        <v>25.677250299123969</v>
      </c>
      <c r="J61" s="2">
        <f t="shared" ca="1" si="14"/>
        <v>25.814945262947646</v>
      </c>
      <c r="K61" s="2">
        <f t="shared" ca="1" si="14"/>
        <v>26.513506811980086</v>
      </c>
      <c r="L61" s="2">
        <f t="shared" ca="1" si="14"/>
        <v>32.299121329355195</v>
      </c>
      <c r="M61" s="2">
        <f t="shared" ca="1" si="14"/>
        <v>26.025688536629687</v>
      </c>
      <c r="N61" s="2">
        <f t="shared" ca="1" si="14"/>
        <v>33.391460452225488</v>
      </c>
      <c r="O61" s="2">
        <f t="shared" ca="1" si="14"/>
        <v>32.171769709104524</v>
      </c>
      <c r="P61" s="2">
        <f t="shared" ca="1" si="14"/>
        <v>32.52719644043556</v>
      </c>
      <c r="Q61" s="2">
        <f t="shared" ca="1" si="14"/>
        <v>29.605271305866346</v>
      </c>
      <c r="R61" s="2">
        <f t="shared" ca="1" si="14"/>
        <v>25.971835829170441</v>
      </c>
      <c r="S61" s="2">
        <f t="shared" ca="1" si="13"/>
        <v>32.666876005500505</v>
      </c>
      <c r="T61" s="2">
        <f t="shared" ca="1" si="13"/>
        <v>33.162175217938803</v>
      </c>
      <c r="U61" s="2">
        <f t="shared" ca="1" si="13"/>
        <v>26.030287579771571</v>
      </c>
      <c r="V61" s="2">
        <f t="shared" ca="1" si="13"/>
        <v>25.099159578340469</v>
      </c>
      <c r="W61" s="2">
        <f t="shared" ca="1" si="13"/>
        <v>32.396564703551249</v>
      </c>
      <c r="X61" s="2">
        <f t="shared" ca="1" si="13"/>
        <v>29.330782679027937</v>
      </c>
      <c r="Y61" s="2">
        <f t="shared" ca="1" si="11"/>
        <v>31.45837696012892</v>
      </c>
      <c r="Z61" s="2">
        <f t="shared" ca="1" si="12"/>
        <v>26.733243811366645</v>
      </c>
      <c r="AA61" s="2">
        <f t="shared" ca="1" si="12"/>
        <v>25.761322929480095</v>
      </c>
      <c r="AB61" s="2">
        <f t="shared" ca="1" si="12"/>
        <v>26.099346515612943</v>
      </c>
      <c r="AC61" s="2">
        <f t="shared" ca="1" si="12"/>
        <v>27.97738663203689</v>
      </c>
      <c r="AD61" s="2">
        <f t="shared" ca="1" si="12"/>
        <v>26.245619048444304</v>
      </c>
      <c r="AE61" s="2">
        <f t="shared" ca="1" si="12"/>
        <v>28.862867213870366</v>
      </c>
      <c r="AF61" s="2">
        <f t="shared" ca="1" si="12"/>
        <v>30.036855713106924</v>
      </c>
      <c r="AG61" s="2">
        <f t="shared" ca="1" si="12"/>
        <v>30.976911452928597</v>
      </c>
      <c r="AH61" s="2">
        <f t="shared" ca="1" si="12"/>
        <v>32.11547864995449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31.849627487022509</v>
      </c>
      <c r="D62" s="2">
        <f t="shared" ca="1" si="14"/>
        <v>26.53915320689314</v>
      </c>
      <c r="E62" s="2">
        <f t="shared" ca="1" si="14"/>
        <v>25.545275576954801</v>
      </c>
      <c r="F62" s="2">
        <f t="shared" ca="1" si="14"/>
        <v>34.001640596166986</v>
      </c>
      <c r="G62" s="2">
        <f t="shared" ca="1" si="14"/>
        <v>26.074463285781817</v>
      </c>
      <c r="H62" s="2">
        <f t="shared" ca="1" si="14"/>
        <v>27.029070734263421</v>
      </c>
      <c r="I62" s="2">
        <f t="shared" ca="1" si="14"/>
        <v>26.676013376527766</v>
      </c>
      <c r="J62" s="2">
        <f t="shared" ca="1" si="14"/>
        <v>33.09058938565552</v>
      </c>
      <c r="K62" s="2">
        <f t="shared" ca="1" si="14"/>
        <v>32.663135278823532</v>
      </c>
      <c r="L62" s="2">
        <f t="shared" ca="1" si="14"/>
        <v>26.171254101886937</v>
      </c>
      <c r="M62" s="2">
        <f t="shared" ca="1" si="14"/>
        <v>27.30507928270513</v>
      </c>
      <c r="N62" s="2">
        <f t="shared" ca="1" si="14"/>
        <v>28.239882153922238</v>
      </c>
      <c r="O62" s="2">
        <f t="shared" ca="1" si="14"/>
        <v>29.013219130226233</v>
      </c>
      <c r="P62" s="2">
        <f t="shared" ca="1" si="14"/>
        <v>28.815136262358831</v>
      </c>
      <c r="Q62" s="2">
        <f t="shared" ca="1" si="14"/>
        <v>33.627064867378024</v>
      </c>
      <c r="R62" s="2">
        <f t="shared" ca="1" si="14"/>
        <v>31.805676704843229</v>
      </c>
      <c r="S62" s="2">
        <f t="shared" ca="1" si="13"/>
        <v>27.203318135739334</v>
      </c>
      <c r="T62" s="2">
        <f t="shared" ca="1" si="13"/>
        <v>28.99375448656075</v>
      </c>
      <c r="U62" s="2">
        <f t="shared" ca="1" si="13"/>
        <v>33.955742054390335</v>
      </c>
      <c r="V62" s="2">
        <f t="shared" ca="1" si="13"/>
        <v>25.145064919909235</v>
      </c>
      <c r="W62" s="2">
        <f t="shared" ca="1" si="13"/>
        <v>31.539045074561948</v>
      </c>
      <c r="X62" s="2">
        <f t="shared" ca="1" si="13"/>
        <v>27.247329134307279</v>
      </c>
      <c r="Y62" s="2">
        <f t="shared" ca="1" si="11"/>
        <v>31.963090967747981</v>
      </c>
      <c r="Z62" s="2">
        <f t="shared" ca="1" si="12"/>
        <v>26.271413837349222</v>
      </c>
      <c r="AA62" s="2">
        <f t="shared" ca="1" si="12"/>
        <v>31.669665194543661</v>
      </c>
      <c r="AB62" s="2">
        <f t="shared" ca="1" si="12"/>
        <v>34.28273864131765</v>
      </c>
      <c r="AC62" s="2">
        <f t="shared" ca="1" si="12"/>
        <v>26.409388950497082</v>
      </c>
      <c r="AD62" s="2">
        <f t="shared" ca="1" si="12"/>
        <v>31.950744125520277</v>
      </c>
      <c r="AE62" s="2">
        <f t="shared" ca="1" si="12"/>
        <v>34.442538144638043</v>
      </c>
      <c r="AF62" s="2">
        <f t="shared" ca="1" si="12"/>
        <v>33.219423006392084</v>
      </c>
      <c r="AG62" s="2">
        <f t="shared" ca="1" si="12"/>
        <v>28.637177408460094</v>
      </c>
      <c r="AH62" s="2">
        <f t="shared" ca="1" si="12"/>
        <v>32.044502901430015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26.58796111328045</v>
      </c>
      <c r="D63" s="2">
        <f t="shared" ca="1" si="14"/>
        <v>29.191390416222454</v>
      </c>
      <c r="E63" s="2">
        <f t="shared" ca="1" si="14"/>
        <v>26.756564644485156</v>
      </c>
      <c r="F63" s="2">
        <f t="shared" ca="1" si="14"/>
        <v>32.802232543367204</v>
      </c>
      <c r="G63" s="2">
        <f t="shared" ca="1" si="14"/>
        <v>27.916338122483069</v>
      </c>
      <c r="H63" s="2">
        <f t="shared" ca="1" si="14"/>
        <v>28.910762146492974</v>
      </c>
      <c r="I63" s="2">
        <f t="shared" ca="1" si="14"/>
        <v>31.848154455353885</v>
      </c>
      <c r="J63" s="2">
        <f t="shared" ca="1" si="14"/>
        <v>26.672624738241247</v>
      </c>
      <c r="K63" s="2">
        <f t="shared" ca="1" si="14"/>
        <v>31.324736078342291</v>
      </c>
      <c r="L63" s="2">
        <f t="shared" ca="1" si="14"/>
        <v>33.347503463716428</v>
      </c>
      <c r="M63" s="2">
        <f t="shared" ca="1" si="14"/>
        <v>28.169766270868998</v>
      </c>
      <c r="N63" s="2">
        <f t="shared" ca="1" si="14"/>
        <v>27.542005741279922</v>
      </c>
      <c r="O63" s="2">
        <f t="shared" ca="1" si="14"/>
        <v>28.962645184861739</v>
      </c>
      <c r="P63" s="2">
        <f t="shared" ca="1" si="14"/>
        <v>33.407938321729524</v>
      </c>
      <c r="Q63" s="2">
        <f t="shared" ca="1" si="14"/>
        <v>29.917511846785079</v>
      </c>
      <c r="R63" s="2">
        <f t="shared" ca="1" si="14"/>
        <v>26.421219824898202</v>
      </c>
      <c r="S63" s="2">
        <f t="shared" ca="1" si="13"/>
        <v>27.402407122838945</v>
      </c>
      <c r="T63" s="2">
        <f t="shared" ca="1" si="13"/>
        <v>34.857860075209373</v>
      </c>
      <c r="U63" s="2">
        <f t="shared" ca="1" si="13"/>
        <v>31.765312287209625</v>
      </c>
      <c r="V63" s="2">
        <f t="shared" ca="1" si="13"/>
        <v>26.576395372024983</v>
      </c>
      <c r="W63" s="2">
        <f t="shared" ca="1" si="13"/>
        <v>34.358006610905683</v>
      </c>
      <c r="X63" s="2">
        <f t="shared" ca="1" si="13"/>
        <v>25.373047716685406</v>
      </c>
      <c r="Y63" s="2">
        <f t="shared" ca="1" si="11"/>
        <v>26.840677902918131</v>
      </c>
      <c r="Z63" s="2">
        <f t="shared" ca="1" si="12"/>
        <v>33.37346993056871</v>
      </c>
      <c r="AA63" s="2">
        <f t="shared" ca="1" si="12"/>
        <v>32.928728571705697</v>
      </c>
      <c r="AB63" s="2">
        <f t="shared" ca="1" si="12"/>
        <v>33.940937613230538</v>
      </c>
      <c r="AC63" s="2">
        <f t="shared" ca="1" si="12"/>
        <v>28.048632750511739</v>
      </c>
      <c r="AD63" s="2">
        <f t="shared" ca="1" si="12"/>
        <v>31.491755541973646</v>
      </c>
      <c r="AE63" s="2">
        <f t="shared" ca="1" si="12"/>
        <v>31.79797309588146</v>
      </c>
      <c r="AF63" s="2">
        <f t="shared" ca="1" si="12"/>
        <v>32.663862697096576</v>
      </c>
      <c r="AG63" s="2">
        <f t="shared" ca="1" si="12"/>
        <v>27.119328885511408</v>
      </c>
      <c r="AH63" s="2">
        <f t="shared" ca="1" si="12"/>
        <v>27.173229859786364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25.944437612894497</v>
      </c>
      <c r="D64" s="2">
        <f t="shared" ca="1" si="14"/>
        <v>29.081674120409275</v>
      </c>
      <c r="E64" s="2">
        <f t="shared" ca="1" si="14"/>
        <v>32.235067404093151</v>
      </c>
      <c r="F64" s="2">
        <f t="shared" ca="1" si="14"/>
        <v>26.58264096164503</v>
      </c>
      <c r="G64" s="2">
        <f t="shared" ca="1" si="14"/>
        <v>26.662193089580654</v>
      </c>
      <c r="H64" s="2">
        <f t="shared" ca="1" si="14"/>
        <v>32.701942906389874</v>
      </c>
      <c r="I64" s="2">
        <f t="shared" ca="1" si="14"/>
        <v>30.704763207132991</v>
      </c>
      <c r="J64" s="2">
        <f t="shared" ca="1" si="14"/>
        <v>33.814648993998212</v>
      </c>
      <c r="K64" s="2">
        <f t="shared" ca="1" si="14"/>
        <v>34.957861268575066</v>
      </c>
      <c r="L64" s="2">
        <f t="shared" ca="1" si="14"/>
        <v>28.869952357967655</v>
      </c>
      <c r="M64" s="2">
        <f t="shared" ca="1" si="14"/>
        <v>33.455486392781509</v>
      </c>
      <c r="N64" s="2">
        <f t="shared" ca="1" si="14"/>
        <v>32.750242272147339</v>
      </c>
      <c r="O64" s="2">
        <f t="shared" ca="1" si="14"/>
        <v>33.884294250017959</v>
      </c>
      <c r="P64" s="2">
        <f t="shared" ca="1" si="14"/>
        <v>29.789098785369639</v>
      </c>
      <c r="Q64" s="2">
        <f t="shared" ca="1" si="14"/>
        <v>27.786769486108163</v>
      </c>
      <c r="R64" s="2">
        <f t="shared" ca="1" si="14"/>
        <v>30.127349152211302</v>
      </c>
      <c r="S64" s="2">
        <f t="shared" ca="1" si="13"/>
        <v>32.543586831077384</v>
      </c>
      <c r="T64" s="2">
        <f t="shared" ca="1" si="13"/>
        <v>31.394680987198974</v>
      </c>
      <c r="U64" s="2">
        <f t="shared" ca="1" si="13"/>
        <v>34.267927089836199</v>
      </c>
      <c r="V64" s="2">
        <f t="shared" ca="1" si="13"/>
        <v>28.513685183463089</v>
      </c>
      <c r="W64" s="2">
        <f t="shared" ca="1" si="13"/>
        <v>29.597083891679748</v>
      </c>
      <c r="X64" s="2">
        <f t="shared" ca="1" si="13"/>
        <v>31.100495122431791</v>
      </c>
      <c r="Y64" s="2">
        <f t="shared" ca="1" si="11"/>
        <v>31.295627648688622</v>
      </c>
      <c r="Z64" s="2">
        <f t="shared" ca="1" si="12"/>
        <v>25.715064109198138</v>
      </c>
      <c r="AA64" s="2">
        <f t="shared" ca="1" si="12"/>
        <v>25.390085535730343</v>
      </c>
      <c r="AB64" s="2">
        <f t="shared" ca="1" si="12"/>
        <v>29.204570883378402</v>
      </c>
      <c r="AC64" s="2">
        <f t="shared" ca="1" si="12"/>
        <v>34.205960850435261</v>
      </c>
      <c r="AD64" s="2">
        <f t="shared" ca="1" si="12"/>
        <v>26.985377392203297</v>
      </c>
      <c r="AE64" s="2">
        <f t="shared" ca="1" si="12"/>
        <v>31.716759773811241</v>
      </c>
      <c r="AF64" s="2">
        <f t="shared" ca="1" si="12"/>
        <v>28.268544000528266</v>
      </c>
      <c r="AG64" s="2">
        <f t="shared" ca="1" si="12"/>
        <v>29.425162977168409</v>
      </c>
      <c r="AH64" s="2">
        <f t="shared" ca="1" si="12"/>
        <v>31.283902535463504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30.440782716961667</v>
      </c>
      <c r="D65" s="2">
        <f t="shared" ca="1" si="14"/>
        <v>26.105672653984744</v>
      </c>
      <c r="E65" s="2">
        <f t="shared" ca="1" si="14"/>
        <v>30.846507022716878</v>
      </c>
      <c r="F65" s="2">
        <f t="shared" ca="1" si="14"/>
        <v>33.049544621940782</v>
      </c>
      <c r="G65" s="2">
        <f t="shared" ca="1" si="14"/>
        <v>30.939206682044372</v>
      </c>
      <c r="H65" s="2">
        <f t="shared" ca="1" si="14"/>
        <v>31.9474604968525</v>
      </c>
      <c r="I65" s="2">
        <f t="shared" ca="1" si="14"/>
        <v>32.341477579229895</v>
      </c>
      <c r="J65" s="2">
        <f t="shared" ca="1" si="14"/>
        <v>33.393644807834811</v>
      </c>
      <c r="K65" s="2">
        <f t="shared" ca="1" si="14"/>
        <v>27.125034978887133</v>
      </c>
      <c r="L65" s="2">
        <f t="shared" ca="1" si="14"/>
        <v>28.606468929485061</v>
      </c>
      <c r="M65" s="2">
        <f t="shared" ca="1" si="14"/>
        <v>26.755317529046778</v>
      </c>
      <c r="N65" s="2">
        <f t="shared" ca="1" si="14"/>
        <v>25.056385338533609</v>
      </c>
      <c r="O65" s="2">
        <f t="shared" ca="1" si="14"/>
        <v>31.271815921619925</v>
      </c>
      <c r="P65" s="2">
        <f t="shared" ca="1" si="14"/>
        <v>32.377262223475192</v>
      </c>
      <c r="Q65" s="2">
        <f t="shared" ca="1" si="14"/>
        <v>31.013042936325462</v>
      </c>
      <c r="R65" s="2">
        <f t="shared" ca="1" si="14"/>
        <v>32.681022633691498</v>
      </c>
      <c r="S65" s="2">
        <f t="shared" ca="1" si="13"/>
        <v>29.015714934701723</v>
      </c>
      <c r="T65" s="2">
        <f t="shared" ca="1" si="13"/>
        <v>31.458938507724671</v>
      </c>
      <c r="U65" s="2">
        <f t="shared" ca="1" si="13"/>
        <v>34.175846947908639</v>
      </c>
      <c r="V65" s="2">
        <f t="shared" ca="1" si="13"/>
        <v>29.248031612292742</v>
      </c>
      <c r="W65" s="2">
        <f t="shared" ca="1" si="13"/>
        <v>27.724479407321571</v>
      </c>
      <c r="X65" s="2">
        <f t="shared" ca="1" si="13"/>
        <v>34.434626050242287</v>
      </c>
      <c r="Y65" s="2">
        <f t="shared" ca="1" si="11"/>
        <v>28.538178783609929</v>
      </c>
      <c r="Z65" s="2">
        <f t="shared" ca="1" si="12"/>
        <v>30.02636384386479</v>
      </c>
      <c r="AA65" s="2">
        <f t="shared" ca="1" si="12"/>
        <v>34.035735496358122</v>
      </c>
      <c r="AB65" s="2">
        <f t="shared" ca="1" si="12"/>
        <v>28.593782094627773</v>
      </c>
      <c r="AC65" s="2">
        <f t="shared" ca="1" si="12"/>
        <v>30.809742112753263</v>
      </c>
      <c r="AD65" s="2">
        <f t="shared" ca="1" si="12"/>
        <v>32.187349443650675</v>
      </c>
      <c r="AE65" s="2">
        <f t="shared" ca="1" si="12"/>
        <v>33.830882450330783</v>
      </c>
      <c r="AF65" s="2">
        <f t="shared" ca="1" si="12"/>
        <v>30.810981773124219</v>
      </c>
      <c r="AG65" s="2">
        <f t="shared" ca="1" si="12"/>
        <v>31.00279481682707</v>
      </c>
      <c r="AH65" s="2">
        <f t="shared" ca="1" si="12"/>
        <v>25.23852661307448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29.425831938102682</v>
      </c>
      <c r="D66" s="2">
        <f t="shared" ca="1" si="14"/>
        <v>28.018635660128872</v>
      </c>
      <c r="E66" s="2">
        <f t="shared" ca="1" si="14"/>
        <v>27.937544495926964</v>
      </c>
      <c r="F66" s="2">
        <f t="shared" ca="1" si="14"/>
        <v>33.722541807435746</v>
      </c>
      <c r="G66" s="2">
        <f t="shared" ca="1" si="14"/>
        <v>25.360096636919831</v>
      </c>
      <c r="H66" s="2">
        <f t="shared" ca="1" si="14"/>
        <v>26.38124189631543</v>
      </c>
      <c r="I66" s="2">
        <f t="shared" ca="1" si="14"/>
        <v>27.535559089554567</v>
      </c>
      <c r="J66" s="2">
        <f t="shared" ca="1" si="14"/>
        <v>26.827695842633155</v>
      </c>
      <c r="K66" s="2">
        <f t="shared" ca="1" si="14"/>
        <v>33.246284920303324</v>
      </c>
      <c r="L66" s="2">
        <f t="shared" ca="1" si="14"/>
        <v>33.451045940686235</v>
      </c>
      <c r="M66" s="2">
        <f t="shared" ca="1" si="14"/>
        <v>28.071999496309218</v>
      </c>
      <c r="N66" s="2">
        <f t="shared" ca="1" si="14"/>
        <v>27.265519448863131</v>
      </c>
      <c r="O66" s="2">
        <f t="shared" ca="1" si="14"/>
        <v>32.346619737213835</v>
      </c>
      <c r="P66" s="2">
        <f t="shared" ca="1" si="14"/>
        <v>29.491829649705412</v>
      </c>
      <c r="Q66" s="2">
        <f t="shared" ca="1" si="14"/>
        <v>33.439608231049469</v>
      </c>
      <c r="R66" s="2">
        <f t="shared" ca="1" si="14"/>
        <v>28.95235180996114</v>
      </c>
      <c r="S66" s="2">
        <f t="shared" ca="1" si="13"/>
        <v>32.298678772655201</v>
      </c>
      <c r="T66" s="2">
        <f t="shared" ca="1" si="13"/>
        <v>32.166721929872736</v>
      </c>
      <c r="U66" s="2">
        <f t="shared" ca="1" si="13"/>
        <v>30.902501154572484</v>
      </c>
      <c r="V66" s="2">
        <f t="shared" ca="1" si="13"/>
        <v>31.979845894133728</v>
      </c>
      <c r="W66" s="2">
        <f t="shared" ca="1" si="13"/>
        <v>29.135056393160891</v>
      </c>
      <c r="X66" s="2">
        <f t="shared" ca="1" si="13"/>
        <v>28.840249026139485</v>
      </c>
      <c r="Y66" s="2">
        <f t="shared" ca="1" si="11"/>
        <v>28.745919940393009</v>
      </c>
      <c r="Z66" s="2">
        <f t="shared" ca="1" si="12"/>
        <v>26.11195097773647</v>
      </c>
      <c r="AA66" s="2">
        <f t="shared" ca="1" si="12"/>
        <v>33.435357128644455</v>
      </c>
      <c r="AB66" s="2">
        <f t="shared" ca="1" si="12"/>
        <v>27.805142034241619</v>
      </c>
      <c r="AC66" s="2">
        <f t="shared" ca="1" si="12"/>
        <v>25.31534397711652</v>
      </c>
      <c r="AD66" s="2">
        <f t="shared" ca="1" si="12"/>
        <v>29.458629095368998</v>
      </c>
      <c r="AE66" s="2">
        <f t="shared" ca="1" si="12"/>
        <v>33.289235647337009</v>
      </c>
      <c r="AF66" s="2">
        <f t="shared" ca="1" si="12"/>
        <v>32.02353702850332</v>
      </c>
      <c r="AG66" s="2">
        <f t="shared" ca="1" si="12"/>
        <v>29.902068142960232</v>
      </c>
      <c r="AH66" s="2">
        <f t="shared" ca="1" si="12"/>
        <v>28.218339558026763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29.23930850118396</v>
      </c>
      <c r="D67" s="2">
        <f t="shared" ca="1" si="14"/>
        <v>26.171546489160061</v>
      </c>
      <c r="E67" s="2">
        <f t="shared" ca="1" si="14"/>
        <v>32.05456665985858</v>
      </c>
      <c r="F67" s="2">
        <f t="shared" ca="1" si="14"/>
        <v>26.804850452786802</v>
      </c>
      <c r="G67" s="2">
        <f t="shared" ca="1" si="14"/>
        <v>26.597712070012669</v>
      </c>
      <c r="H67" s="2">
        <f t="shared" ca="1" si="14"/>
        <v>32.008870766615296</v>
      </c>
      <c r="I67" s="2">
        <f t="shared" ca="1" si="14"/>
        <v>26.251802007824992</v>
      </c>
      <c r="J67" s="2">
        <f t="shared" ca="1" si="14"/>
        <v>30.22764532048776</v>
      </c>
      <c r="K67" s="2">
        <f t="shared" ca="1" si="14"/>
        <v>27.144992890855374</v>
      </c>
      <c r="L67" s="2">
        <f t="shared" ca="1" si="14"/>
        <v>25.029744250019391</v>
      </c>
      <c r="M67" s="2">
        <f t="shared" ca="1" si="14"/>
        <v>27.575039645932293</v>
      </c>
      <c r="N67" s="2">
        <f t="shared" ca="1" si="14"/>
        <v>31.586113555968033</v>
      </c>
      <c r="O67" s="2">
        <f t="shared" ca="1" si="14"/>
        <v>33.978652634672301</v>
      </c>
      <c r="P67" s="2">
        <f t="shared" ca="1" si="14"/>
        <v>25.477145372247158</v>
      </c>
      <c r="Q67" s="2">
        <f t="shared" ca="1" si="14"/>
        <v>25.521704905575429</v>
      </c>
      <c r="R67" s="2">
        <f t="shared" ca="1" si="14"/>
        <v>28.368447786265143</v>
      </c>
      <c r="S67" s="2">
        <f t="shared" ca="1" si="13"/>
        <v>33.632576786947041</v>
      </c>
      <c r="T67" s="2">
        <f t="shared" ca="1" si="13"/>
        <v>26.417744782672905</v>
      </c>
      <c r="U67" s="2">
        <f t="shared" ca="1" si="13"/>
        <v>25.784313429612734</v>
      </c>
      <c r="V67" s="2">
        <f t="shared" ca="1" si="13"/>
        <v>29.840860674369235</v>
      </c>
      <c r="W67" s="2">
        <f t="shared" ca="1" si="13"/>
        <v>31.890340589250489</v>
      </c>
      <c r="X67" s="2">
        <f t="shared" ca="1" si="13"/>
        <v>29.776354708719804</v>
      </c>
      <c r="Y67" s="2">
        <f t="shared" ca="1" si="11"/>
        <v>32.748833672257589</v>
      </c>
      <c r="Z67" s="2">
        <f t="shared" ca="1" si="12"/>
        <v>26.095538370525158</v>
      </c>
      <c r="AA67" s="2">
        <f t="shared" ca="1" si="12"/>
        <v>30.095962863467665</v>
      </c>
      <c r="AB67" s="2">
        <f t="shared" ca="1" si="12"/>
        <v>27.192742393919755</v>
      </c>
      <c r="AC67" s="2">
        <f t="shared" ca="1" si="12"/>
        <v>34.218011862711506</v>
      </c>
      <c r="AD67" s="2">
        <f t="shared" ca="1" si="12"/>
        <v>29.467089126840765</v>
      </c>
      <c r="AE67" s="2">
        <f t="shared" ca="1" si="12"/>
        <v>27.851949709899696</v>
      </c>
      <c r="AF67" s="2">
        <f t="shared" ca="1" si="12"/>
        <v>32.210150554243</v>
      </c>
      <c r="AG67" s="2">
        <f t="shared" ca="1" si="12"/>
        <v>26.235342047405531</v>
      </c>
      <c r="AH67" s="2">
        <f t="shared" ca="1" si="12"/>
        <v>29.98734328083609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34.842359563634759</v>
      </c>
      <c r="D68" s="2">
        <f t="shared" ca="1" si="14"/>
        <v>33.230677399053647</v>
      </c>
      <c r="E68" s="2">
        <f t="shared" ca="1" si="14"/>
        <v>25.255509656796381</v>
      </c>
      <c r="F68" s="2">
        <f t="shared" ca="1" si="14"/>
        <v>28.23311755652324</v>
      </c>
      <c r="G68" s="2">
        <f t="shared" ca="1" si="14"/>
        <v>26.524487594091699</v>
      </c>
      <c r="H68" s="2">
        <f t="shared" ca="1" si="14"/>
        <v>28.791397535976486</v>
      </c>
      <c r="I68" s="2">
        <f t="shared" ca="1" si="14"/>
        <v>32.946731847455467</v>
      </c>
      <c r="J68" s="2">
        <f t="shared" ca="1" si="14"/>
        <v>31.447103069425783</v>
      </c>
      <c r="K68" s="2">
        <f t="shared" ca="1" si="14"/>
        <v>29.704841287363646</v>
      </c>
      <c r="L68" s="2">
        <f t="shared" ca="1" si="14"/>
        <v>26.497623551604505</v>
      </c>
      <c r="M68" s="2">
        <f t="shared" ca="1" si="14"/>
        <v>31.99677058312588</v>
      </c>
      <c r="N68" s="2">
        <f t="shared" ca="1" si="14"/>
        <v>26.245360118515055</v>
      </c>
      <c r="O68" s="2">
        <f t="shared" ca="1" si="14"/>
        <v>26.011473957150066</v>
      </c>
      <c r="P68" s="2">
        <f t="shared" ca="1" si="14"/>
        <v>28.824337041673122</v>
      </c>
      <c r="Q68" s="2">
        <f t="shared" ca="1" si="14"/>
        <v>25.27178391441015</v>
      </c>
      <c r="R68" s="2">
        <f t="shared" ref="R68:AH82" ca="1" si="15">(RAND()*1+2.5)*10</f>
        <v>34.143044961127138</v>
      </c>
      <c r="S68" s="2">
        <f t="shared" ca="1" si="15"/>
        <v>33.935723448878726</v>
      </c>
      <c r="T68" s="2">
        <f t="shared" ca="1" si="15"/>
        <v>34.482985955377444</v>
      </c>
      <c r="U68" s="2">
        <f t="shared" ca="1" si="15"/>
        <v>26.717808267649641</v>
      </c>
      <c r="V68" s="2">
        <f t="shared" ca="1" si="15"/>
        <v>29.542180364756465</v>
      </c>
      <c r="W68" s="2">
        <f t="shared" ca="1" si="15"/>
        <v>34.406469156904933</v>
      </c>
      <c r="X68" s="2">
        <f t="shared" ca="1" si="15"/>
        <v>29.288432422649386</v>
      </c>
      <c r="Y68" s="2">
        <f t="shared" ca="1" si="15"/>
        <v>29.336688276620254</v>
      </c>
      <c r="Z68" s="2">
        <f t="shared" ca="1" si="15"/>
        <v>29.799715953099472</v>
      </c>
      <c r="AA68" s="2">
        <f t="shared" ca="1" si="15"/>
        <v>34.389895647421824</v>
      </c>
      <c r="AB68" s="2">
        <f t="shared" ca="1" si="15"/>
        <v>31.153479072008604</v>
      </c>
      <c r="AC68" s="2">
        <f t="shared" ca="1" si="15"/>
        <v>29.224754627032667</v>
      </c>
      <c r="AD68" s="2">
        <f t="shared" ca="1" si="15"/>
        <v>25.827184104544347</v>
      </c>
      <c r="AE68" s="2">
        <f t="shared" ca="1" si="15"/>
        <v>34.475491103227135</v>
      </c>
      <c r="AF68" s="2">
        <f t="shared" ca="1" si="15"/>
        <v>25.80041297872372</v>
      </c>
      <c r="AG68" s="2">
        <f t="shared" ca="1" si="15"/>
        <v>29.724710733133641</v>
      </c>
      <c r="AH68" s="2">
        <f t="shared" ca="1" si="15"/>
        <v>32.713824621548646</v>
      </c>
    </row>
    <row r="69" spans="1:34">
      <c r="A69" t="str">
        <f t="shared" si="6"/>
        <v>Beef</v>
      </c>
      <c r="B69" t="str">
        <f t="shared" si="7"/>
        <v>AddisAbaba</v>
      </c>
      <c r="C69" s="2">
        <f t="shared" ref="C69:R85" ca="1" si="16">(RAND()*1+2.5)*10</f>
        <v>29.686544804165784</v>
      </c>
      <c r="D69" s="2">
        <f t="shared" ca="1" si="16"/>
        <v>26.702589626051164</v>
      </c>
      <c r="E69" s="2">
        <f t="shared" ca="1" si="16"/>
        <v>31.403764143583437</v>
      </c>
      <c r="F69" s="2">
        <f t="shared" ca="1" si="16"/>
        <v>29.932172541515534</v>
      </c>
      <c r="G69" s="2">
        <f t="shared" ca="1" si="16"/>
        <v>32.907801123657919</v>
      </c>
      <c r="H69" s="2">
        <f t="shared" ca="1" si="16"/>
        <v>34.69716028880071</v>
      </c>
      <c r="I69" s="2">
        <f t="shared" ca="1" si="16"/>
        <v>34.907331636230658</v>
      </c>
      <c r="J69" s="2">
        <f t="shared" ca="1" si="16"/>
        <v>27.78305153944574</v>
      </c>
      <c r="K69" s="2">
        <f t="shared" ca="1" si="16"/>
        <v>26.482734083617242</v>
      </c>
      <c r="L69" s="2">
        <f t="shared" ca="1" si="16"/>
        <v>30.690097664883265</v>
      </c>
      <c r="M69" s="2">
        <f t="shared" ca="1" si="16"/>
        <v>30.420834067845828</v>
      </c>
      <c r="N69" s="2">
        <f t="shared" ca="1" si="16"/>
        <v>28.274438086817213</v>
      </c>
      <c r="O69" s="2">
        <f t="shared" ca="1" si="16"/>
        <v>25.292452971539994</v>
      </c>
      <c r="P69" s="2">
        <f t="shared" ca="1" si="16"/>
        <v>33.227836627121718</v>
      </c>
      <c r="Q69" s="2">
        <f t="shared" ca="1" si="16"/>
        <v>33.219818804267042</v>
      </c>
      <c r="R69" s="2">
        <f t="shared" ca="1" si="15"/>
        <v>33.096100690999698</v>
      </c>
      <c r="S69" s="2">
        <f t="shared" ca="1" si="15"/>
        <v>32.685423129707132</v>
      </c>
      <c r="T69" s="2">
        <f t="shared" ca="1" si="15"/>
        <v>30.816954338879917</v>
      </c>
      <c r="U69" s="2">
        <f t="shared" ca="1" si="15"/>
        <v>30.724548993470449</v>
      </c>
      <c r="V69" s="2">
        <f t="shared" ca="1" si="15"/>
        <v>32.007495445866105</v>
      </c>
      <c r="W69" s="2">
        <f t="shared" ca="1" si="15"/>
        <v>32.70982396799927</v>
      </c>
      <c r="X69" s="2">
        <f t="shared" ca="1" si="15"/>
        <v>33.410666437643343</v>
      </c>
      <c r="Y69" s="2">
        <f t="shared" ca="1" si="15"/>
        <v>25.794046005126159</v>
      </c>
      <c r="Z69" s="2">
        <f t="shared" ca="1" si="15"/>
        <v>32.984600748885128</v>
      </c>
      <c r="AA69" s="2">
        <f t="shared" ca="1" si="15"/>
        <v>32.254603179285397</v>
      </c>
      <c r="AB69" s="2">
        <f t="shared" ca="1" si="15"/>
        <v>26.317073515818528</v>
      </c>
      <c r="AC69" s="2">
        <f t="shared" ca="1" si="15"/>
        <v>33.817644764600402</v>
      </c>
      <c r="AD69" s="2">
        <f t="shared" ca="1" si="15"/>
        <v>30.387665668097931</v>
      </c>
      <c r="AE69" s="2">
        <f t="shared" ca="1" si="15"/>
        <v>34.287232360852542</v>
      </c>
      <c r="AF69" s="2">
        <f t="shared" ca="1" si="15"/>
        <v>28.993682811096452</v>
      </c>
      <c r="AG69" s="2">
        <f t="shared" ca="1" si="15"/>
        <v>32.027122642271941</v>
      </c>
      <c r="AH69" s="2">
        <f t="shared" ca="1" si="15"/>
        <v>31.700826957829285</v>
      </c>
    </row>
    <row r="70" spans="1:34">
      <c r="A70" t="str">
        <f t="shared" si="6"/>
        <v>Beef</v>
      </c>
      <c r="B70" t="str">
        <f t="shared" si="7"/>
        <v>Afar</v>
      </c>
      <c r="C70" s="2">
        <f t="shared" ca="1" si="16"/>
        <v>33.987912224180931</v>
      </c>
      <c r="D70" s="2">
        <f t="shared" ca="1" si="16"/>
        <v>28.453432557894661</v>
      </c>
      <c r="E70" s="2">
        <f t="shared" ca="1" si="16"/>
        <v>29.868491346280472</v>
      </c>
      <c r="F70" s="2">
        <f t="shared" ca="1" si="16"/>
        <v>30.724310268124128</v>
      </c>
      <c r="G70" s="2">
        <f t="shared" ca="1" si="16"/>
        <v>34.53810742495326</v>
      </c>
      <c r="H70" s="2">
        <f t="shared" ca="1" si="16"/>
        <v>26.009256267873177</v>
      </c>
      <c r="I70" s="2">
        <f t="shared" ca="1" si="16"/>
        <v>32.785045697548398</v>
      </c>
      <c r="J70" s="2">
        <f t="shared" ca="1" si="16"/>
        <v>31.222757485348129</v>
      </c>
      <c r="K70" s="2">
        <f t="shared" ca="1" si="16"/>
        <v>26.392921263029073</v>
      </c>
      <c r="L70" s="2">
        <f t="shared" ca="1" si="16"/>
        <v>34.122261167812283</v>
      </c>
      <c r="M70" s="2">
        <f t="shared" ca="1" si="16"/>
        <v>26.288511947659337</v>
      </c>
      <c r="N70" s="2">
        <f t="shared" ca="1" si="16"/>
        <v>26.271692950081761</v>
      </c>
      <c r="O70" s="2">
        <f t="shared" ca="1" si="16"/>
        <v>30.999219097338191</v>
      </c>
      <c r="P70" s="2">
        <f t="shared" ca="1" si="16"/>
        <v>28.939960409513237</v>
      </c>
      <c r="Q70" s="2">
        <f t="shared" ca="1" si="16"/>
        <v>30.59769906916322</v>
      </c>
      <c r="R70" s="2">
        <f t="shared" ca="1" si="15"/>
        <v>30.031743218275658</v>
      </c>
      <c r="S70" s="2">
        <f t="shared" ca="1" si="15"/>
        <v>25.271312070156846</v>
      </c>
      <c r="T70" s="2">
        <f t="shared" ca="1" si="15"/>
        <v>27.904356865011803</v>
      </c>
      <c r="U70" s="2">
        <f t="shared" ca="1" si="15"/>
        <v>33.163826026822271</v>
      </c>
      <c r="V70" s="2">
        <f t="shared" ca="1" si="15"/>
        <v>34.601942744627607</v>
      </c>
      <c r="W70" s="2">
        <f t="shared" ca="1" si="15"/>
        <v>33.228541913971611</v>
      </c>
      <c r="X70" s="2">
        <f t="shared" ca="1" si="15"/>
        <v>25.47121381870463</v>
      </c>
      <c r="Y70" s="2">
        <f t="shared" ca="1" si="15"/>
        <v>31.588006067797586</v>
      </c>
      <c r="Z70" s="2">
        <f t="shared" ca="1" si="15"/>
        <v>27.162347505001009</v>
      </c>
      <c r="AA70" s="2">
        <f t="shared" ca="1" si="15"/>
        <v>26.686119126254869</v>
      </c>
      <c r="AB70" s="2">
        <f t="shared" ca="1" si="15"/>
        <v>29.342866640060969</v>
      </c>
      <c r="AC70" s="2">
        <f t="shared" ca="1" si="15"/>
        <v>28.898963850352004</v>
      </c>
      <c r="AD70" s="2">
        <f t="shared" ca="1" si="15"/>
        <v>30.780187491719936</v>
      </c>
      <c r="AE70" s="2">
        <f t="shared" ca="1" si="15"/>
        <v>30.611146763727731</v>
      </c>
      <c r="AF70" s="2">
        <f t="shared" ca="1" si="15"/>
        <v>27.731288752600175</v>
      </c>
      <c r="AG70" s="2">
        <f t="shared" ca="1" si="15"/>
        <v>26.079899159158355</v>
      </c>
      <c r="AH70" s="2">
        <f t="shared" ca="1" si="15"/>
        <v>33.563007945650391</v>
      </c>
    </row>
    <row r="71" spans="1:34">
      <c r="A71" t="str">
        <f t="shared" si="6"/>
        <v>Beef</v>
      </c>
      <c r="B71" t="str">
        <f t="shared" si="7"/>
        <v>Amhara</v>
      </c>
      <c r="C71" s="2">
        <f t="shared" ca="1" si="16"/>
        <v>25.638587494846359</v>
      </c>
      <c r="D71" s="2">
        <f t="shared" ca="1" si="16"/>
        <v>28.986907303391853</v>
      </c>
      <c r="E71" s="2">
        <f t="shared" ca="1" si="16"/>
        <v>28.104981327706913</v>
      </c>
      <c r="F71" s="2">
        <f t="shared" ca="1" si="16"/>
        <v>26.439841523972269</v>
      </c>
      <c r="G71" s="2">
        <f t="shared" ca="1" si="16"/>
        <v>27.08335162077962</v>
      </c>
      <c r="H71" s="2">
        <f t="shared" ca="1" si="16"/>
        <v>25.89292250069682</v>
      </c>
      <c r="I71" s="2">
        <f t="shared" ca="1" si="16"/>
        <v>33.670974366293521</v>
      </c>
      <c r="J71" s="2">
        <f t="shared" ca="1" si="16"/>
        <v>34.075591841269627</v>
      </c>
      <c r="K71" s="2">
        <f t="shared" ca="1" si="16"/>
        <v>28.997742423914254</v>
      </c>
      <c r="L71" s="2">
        <f t="shared" ca="1" si="16"/>
        <v>26.44159134754927</v>
      </c>
      <c r="M71" s="2">
        <f t="shared" ca="1" si="16"/>
        <v>32.992985486060277</v>
      </c>
      <c r="N71" s="2">
        <f t="shared" ca="1" si="16"/>
        <v>34.890041889098548</v>
      </c>
      <c r="O71" s="2">
        <f t="shared" ca="1" si="16"/>
        <v>32.346386333976575</v>
      </c>
      <c r="P71" s="2">
        <f t="shared" ca="1" si="16"/>
        <v>31.202056961630326</v>
      </c>
      <c r="Q71" s="2">
        <f t="shared" ca="1" si="16"/>
        <v>27.007800684732057</v>
      </c>
      <c r="R71" s="2">
        <f t="shared" ca="1" si="15"/>
        <v>33.61391023159343</v>
      </c>
      <c r="S71" s="2">
        <f t="shared" ca="1" si="15"/>
        <v>30.862897552490391</v>
      </c>
      <c r="T71" s="2">
        <f t="shared" ca="1" si="15"/>
        <v>29.435834141192903</v>
      </c>
      <c r="U71" s="2">
        <f t="shared" ca="1" si="15"/>
        <v>32.083960394763714</v>
      </c>
      <c r="V71" s="2">
        <f t="shared" ca="1" si="15"/>
        <v>25.744181566731772</v>
      </c>
      <c r="W71" s="2">
        <f t="shared" ca="1" si="15"/>
        <v>25.006550865747084</v>
      </c>
      <c r="X71" s="2">
        <f t="shared" ca="1" si="15"/>
        <v>26.183387380820694</v>
      </c>
      <c r="Y71" s="2">
        <f t="shared" ca="1" si="15"/>
        <v>26.233038749057304</v>
      </c>
      <c r="Z71" s="2">
        <f t="shared" ca="1" si="15"/>
        <v>33.388830333096081</v>
      </c>
      <c r="AA71" s="2">
        <f t="shared" ca="1" si="15"/>
        <v>30.021098330873674</v>
      </c>
      <c r="AB71" s="2">
        <f t="shared" ca="1" si="15"/>
        <v>33.067600249760488</v>
      </c>
      <c r="AC71" s="2">
        <f t="shared" ca="1" si="15"/>
        <v>31.708555924380576</v>
      </c>
      <c r="AD71" s="2">
        <f t="shared" ca="1" si="15"/>
        <v>27.190875953959321</v>
      </c>
      <c r="AE71" s="2">
        <f t="shared" ca="1" si="15"/>
        <v>31.585983994648803</v>
      </c>
      <c r="AF71" s="2">
        <f t="shared" ca="1" si="15"/>
        <v>28.615163559346136</v>
      </c>
      <c r="AG71" s="2">
        <f t="shared" ca="1" si="15"/>
        <v>25.025903202246198</v>
      </c>
      <c r="AH71" s="2">
        <f t="shared" ca="1" si="15"/>
        <v>26.434348916218575</v>
      </c>
    </row>
    <row r="72" spans="1:34">
      <c r="A72" t="str">
        <f t="shared" si="6"/>
        <v>Beef</v>
      </c>
      <c r="B72" t="str">
        <f t="shared" si="7"/>
        <v>Gumuz</v>
      </c>
      <c r="C72" s="2">
        <f t="shared" ca="1" si="16"/>
        <v>26.742174800778816</v>
      </c>
      <c r="D72" s="2">
        <f t="shared" ca="1" si="16"/>
        <v>32.50654207812692</v>
      </c>
      <c r="E72" s="2">
        <f t="shared" ca="1" si="16"/>
        <v>27.713700590051992</v>
      </c>
      <c r="F72" s="2">
        <f t="shared" ca="1" si="16"/>
        <v>33.274081214816192</v>
      </c>
      <c r="G72" s="2">
        <f t="shared" ca="1" si="16"/>
        <v>32.373393843597832</v>
      </c>
      <c r="H72" s="2">
        <f t="shared" ca="1" si="16"/>
        <v>31.666942799303655</v>
      </c>
      <c r="I72" s="2">
        <f t="shared" ca="1" si="16"/>
        <v>28.797950481757372</v>
      </c>
      <c r="J72" s="2">
        <f t="shared" ca="1" si="16"/>
        <v>31.651378626009368</v>
      </c>
      <c r="K72" s="2">
        <f t="shared" ca="1" si="16"/>
        <v>31.322788336613392</v>
      </c>
      <c r="L72" s="2">
        <f t="shared" ca="1" si="16"/>
        <v>26.281209874561846</v>
      </c>
      <c r="M72" s="2">
        <f t="shared" ca="1" si="16"/>
        <v>26.535380420928234</v>
      </c>
      <c r="N72" s="2">
        <f t="shared" ca="1" si="16"/>
        <v>31.262011649186967</v>
      </c>
      <c r="O72" s="2">
        <f t="shared" ca="1" si="16"/>
        <v>33.125558668661711</v>
      </c>
      <c r="P72" s="2">
        <f t="shared" ca="1" si="16"/>
        <v>25.163648876056271</v>
      </c>
      <c r="Q72" s="2">
        <f t="shared" ca="1" si="16"/>
        <v>31.8344474056398</v>
      </c>
      <c r="R72" s="2">
        <f t="shared" ca="1" si="15"/>
        <v>34.257236622942301</v>
      </c>
      <c r="S72" s="2">
        <f t="shared" ca="1" si="15"/>
        <v>29.260876107765483</v>
      </c>
      <c r="T72" s="2">
        <f t="shared" ca="1" si="15"/>
        <v>26.340463211880522</v>
      </c>
      <c r="U72" s="2">
        <f t="shared" ca="1" si="15"/>
        <v>25.411192225146465</v>
      </c>
      <c r="V72" s="2">
        <f t="shared" ca="1" si="15"/>
        <v>29.100952003635079</v>
      </c>
      <c r="W72" s="2">
        <f t="shared" ca="1" si="15"/>
        <v>27.752195065440919</v>
      </c>
      <c r="X72" s="2">
        <f t="shared" ca="1" si="15"/>
        <v>34.552030575527141</v>
      </c>
      <c r="Y72" s="2">
        <f t="shared" ca="1" si="15"/>
        <v>26.391820332016675</v>
      </c>
      <c r="Z72" s="2">
        <f t="shared" ca="1" si="15"/>
        <v>30.380708753862766</v>
      </c>
      <c r="AA72" s="2">
        <f t="shared" ca="1" si="15"/>
        <v>27.251139419061978</v>
      </c>
      <c r="AB72" s="2">
        <f t="shared" ca="1" si="15"/>
        <v>28.907372138117069</v>
      </c>
      <c r="AC72" s="2">
        <f t="shared" ca="1" si="15"/>
        <v>32.675621954050079</v>
      </c>
      <c r="AD72" s="2">
        <f t="shared" ca="1" si="15"/>
        <v>31.797137629108203</v>
      </c>
      <c r="AE72" s="2">
        <f t="shared" ca="1" si="15"/>
        <v>34.059706256699968</v>
      </c>
      <c r="AF72" s="2">
        <f t="shared" ca="1" si="15"/>
        <v>27.633108222998331</v>
      </c>
      <c r="AG72" s="2">
        <f t="shared" ca="1" si="15"/>
        <v>31.287363800880392</v>
      </c>
      <c r="AH72" s="2">
        <f t="shared" ca="1" si="15"/>
        <v>31.855809583487542</v>
      </c>
    </row>
    <row r="73" spans="1:34">
      <c r="A73" t="str">
        <f t="shared" si="6"/>
        <v>Beef</v>
      </c>
      <c r="B73" t="str">
        <f t="shared" si="7"/>
        <v>DireDawa</v>
      </c>
      <c r="C73" s="2">
        <f t="shared" ca="1" si="16"/>
        <v>25.040182312181173</v>
      </c>
      <c r="D73" s="2">
        <f t="shared" ca="1" si="16"/>
        <v>30.765651344486407</v>
      </c>
      <c r="E73" s="2">
        <f t="shared" ca="1" si="16"/>
        <v>28.18139054771342</v>
      </c>
      <c r="F73" s="2">
        <f t="shared" ca="1" si="16"/>
        <v>34.297010594877889</v>
      </c>
      <c r="G73" s="2">
        <f t="shared" ca="1" si="16"/>
        <v>25.30604788547468</v>
      </c>
      <c r="H73" s="2">
        <f t="shared" ca="1" si="16"/>
        <v>26.688496107119171</v>
      </c>
      <c r="I73" s="2">
        <f t="shared" ca="1" si="16"/>
        <v>32.265630663239293</v>
      </c>
      <c r="J73" s="2">
        <f t="shared" ca="1" si="16"/>
        <v>27.320331857603371</v>
      </c>
      <c r="K73" s="2">
        <f t="shared" ca="1" si="16"/>
        <v>26.54774295433463</v>
      </c>
      <c r="L73" s="2">
        <f t="shared" ca="1" si="16"/>
        <v>26.216565941890089</v>
      </c>
      <c r="M73" s="2">
        <f t="shared" ca="1" si="16"/>
        <v>27.506842884876267</v>
      </c>
      <c r="N73" s="2">
        <f t="shared" ca="1" si="16"/>
        <v>26.161473333517343</v>
      </c>
      <c r="O73" s="2">
        <f t="shared" ca="1" si="16"/>
        <v>27.698736093383896</v>
      </c>
      <c r="P73" s="2">
        <f t="shared" ca="1" si="16"/>
        <v>27.541841686942146</v>
      </c>
      <c r="Q73" s="2">
        <f t="shared" ca="1" si="16"/>
        <v>34.947617982215995</v>
      </c>
      <c r="R73" s="2">
        <f t="shared" ca="1" si="15"/>
        <v>34.730372042859003</v>
      </c>
      <c r="S73" s="2">
        <f t="shared" ca="1" si="15"/>
        <v>27.880216579145525</v>
      </c>
      <c r="T73" s="2">
        <f t="shared" ca="1" si="15"/>
        <v>26.47866951408367</v>
      </c>
      <c r="U73" s="2">
        <f t="shared" ca="1" si="15"/>
        <v>32.103579284870783</v>
      </c>
      <c r="V73" s="2">
        <f t="shared" ca="1" si="15"/>
        <v>26.350640702581956</v>
      </c>
      <c r="W73" s="2">
        <f t="shared" ca="1" si="15"/>
        <v>25.697217162088201</v>
      </c>
      <c r="X73" s="2">
        <f t="shared" ca="1" si="15"/>
        <v>25.951811698532829</v>
      </c>
      <c r="Y73" s="2">
        <f t="shared" ca="1" si="15"/>
        <v>27.147864228769166</v>
      </c>
      <c r="Z73" s="2">
        <f t="shared" ca="1" si="15"/>
        <v>28.071672775699223</v>
      </c>
      <c r="AA73" s="2">
        <f t="shared" ca="1" si="15"/>
        <v>25.138342983636981</v>
      </c>
      <c r="AB73" s="2">
        <f t="shared" ca="1" si="15"/>
        <v>27.775670600077483</v>
      </c>
      <c r="AC73" s="2">
        <f t="shared" ca="1" si="15"/>
        <v>30.278411281478434</v>
      </c>
      <c r="AD73" s="2">
        <f t="shared" ca="1" si="15"/>
        <v>27.17868141732432</v>
      </c>
      <c r="AE73" s="2">
        <f t="shared" ca="1" si="15"/>
        <v>25.241163363136224</v>
      </c>
      <c r="AF73" s="2">
        <f t="shared" ca="1" si="15"/>
        <v>29.827134861810638</v>
      </c>
      <c r="AG73" s="2">
        <f t="shared" ca="1" si="15"/>
        <v>33.55809995774819</v>
      </c>
      <c r="AH73" s="2">
        <f t="shared" ca="1" si="15"/>
        <v>33.642817299050193</v>
      </c>
    </row>
    <row r="74" spans="1:34">
      <c r="A74" t="str">
        <f t="shared" si="6"/>
        <v>Beef</v>
      </c>
      <c r="B74" t="str">
        <f t="shared" si="7"/>
        <v>Gambela</v>
      </c>
      <c r="C74" s="2">
        <f t="shared" ca="1" si="16"/>
        <v>28.924377709361405</v>
      </c>
      <c r="D74" s="2">
        <f t="shared" ca="1" si="16"/>
        <v>25.85772313476733</v>
      </c>
      <c r="E74" s="2">
        <f t="shared" ca="1" si="16"/>
        <v>25.046705895832613</v>
      </c>
      <c r="F74" s="2">
        <f t="shared" ca="1" si="16"/>
        <v>29.952887400038843</v>
      </c>
      <c r="G74" s="2">
        <f t="shared" ca="1" si="16"/>
        <v>34.077610975608444</v>
      </c>
      <c r="H74" s="2">
        <f t="shared" ca="1" si="16"/>
        <v>31.194992281317692</v>
      </c>
      <c r="I74" s="2">
        <f t="shared" ca="1" si="16"/>
        <v>28.800883915184215</v>
      </c>
      <c r="J74" s="2">
        <f t="shared" ca="1" si="16"/>
        <v>30.889025735035091</v>
      </c>
      <c r="K74" s="2">
        <f t="shared" ca="1" si="16"/>
        <v>30.59848407690842</v>
      </c>
      <c r="L74" s="2">
        <f t="shared" ca="1" si="16"/>
        <v>34.254313644581167</v>
      </c>
      <c r="M74" s="2">
        <f t="shared" ca="1" si="16"/>
        <v>33.719002932933776</v>
      </c>
      <c r="N74" s="2">
        <f t="shared" ca="1" si="16"/>
        <v>34.656301545222256</v>
      </c>
      <c r="O74" s="2">
        <f t="shared" ca="1" si="16"/>
        <v>27.898715143925191</v>
      </c>
      <c r="P74" s="2">
        <f t="shared" ca="1" si="16"/>
        <v>27.046940756392985</v>
      </c>
      <c r="Q74" s="2">
        <f t="shared" ca="1" si="16"/>
        <v>25.461101685047126</v>
      </c>
      <c r="R74" s="2">
        <f t="shared" ca="1" si="15"/>
        <v>27.650406067782498</v>
      </c>
      <c r="S74" s="2">
        <f t="shared" ca="1" si="15"/>
        <v>34.821345594185139</v>
      </c>
      <c r="T74" s="2">
        <f t="shared" ca="1" si="15"/>
        <v>27.940515982711393</v>
      </c>
      <c r="U74" s="2">
        <f t="shared" ca="1" si="15"/>
        <v>32.481468556797282</v>
      </c>
      <c r="V74" s="2">
        <f t="shared" ca="1" si="15"/>
        <v>31.558217954566992</v>
      </c>
      <c r="W74" s="2">
        <f t="shared" ca="1" si="15"/>
        <v>33.632722439751007</v>
      </c>
      <c r="X74" s="2">
        <f t="shared" ca="1" si="15"/>
        <v>25.473056584440229</v>
      </c>
      <c r="Y74" s="2">
        <f t="shared" ca="1" si="15"/>
        <v>30.675892024286075</v>
      </c>
      <c r="Z74" s="2">
        <f t="shared" ca="1" si="15"/>
        <v>29.929307260519778</v>
      </c>
      <c r="AA74" s="2">
        <f t="shared" ca="1" si="15"/>
        <v>34.600763942298173</v>
      </c>
      <c r="AB74" s="2">
        <f t="shared" ca="1" si="15"/>
        <v>33.997831252535228</v>
      </c>
      <c r="AC74" s="2">
        <f t="shared" ca="1" si="15"/>
        <v>32.360249808320795</v>
      </c>
      <c r="AD74" s="2">
        <f t="shared" ca="1" si="15"/>
        <v>33.192471555439596</v>
      </c>
      <c r="AE74" s="2">
        <f t="shared" ca="1" si="15"/>
        <v>34.891848399610844</v>
      </c>
      <c r="AF74" s="2">
        <f t="shared" ca="1" si="15"/>
        <v>26.970256881766215</v>
      </c>
      <c r="AG74" s="2">
        <f t="shared" ca="1" si="15"/>
        <v>28.006606872920901</v>
      </c>
      <c r="AH74" s="2">
        <f t="shared" ca="1" si="15"/>
        <v>32.259965312418899</v>
      </c>
    </row>
    <row r="75" spans="1:34">
      <c r="A75" t="str">
        <f t="shared" si="6"/>
        <v>Beef</v>
      </c>
      <c r="B75" t="str">
        <f t="shared" si="7"/>
        <v>Harari</v>
      </c>
      <c r="C75" s="2">
        <f t="shared" ca="1" si="16"/>
        <v>32.128168695712176</v>
      </c>
      <c r="D75" s="2">
        <f t="shared" ca="1" si="16"/>
        <v>28.366269549871575</v>
      </c>
      <c r="E75" s="2">
        <f t="shared" ca="1" si="16"/>
        <v>30.322890721196639</v>
      </c>
      <c r="F75" s="2">
        <f t="shared" ca="1" si="16"/>
        <v>26.348180971461211</v>
      </c>
      <c r="G75" s="2">
        <f t="shared" ca="1" si="16"/>
        <v>29.35131611525691</v>
      </c>
      <c r="H75" s="2">
        <f t="shared" ca="1" si="16"/>
        <v>28.910882924323712</v>
      </c>
      <c r="I75" s="2">
        <f t="shared" ca="1" si="16"/>
        <v>27.457055978232603</v>
      </c>
      <c r="J75" s="2">
        <f t="shared" ca="1" si="16"/>
        <v>29.209048434429544</v>
      </c>
      <c r="K75" s="2">
        <f t="shared" ca="1" si="16"/>
        <v>31.23978652459293</v>
      </c>
      <c r="L75" s="2">
        <f t="shared" ca="1" si="16"/>
        <v>32.582646062911735</v>
      </c>
      <c r="M75" s="2">
        <f t="shared" ca="1" si="16"/>
        <v>33.980702831599359</v>
      </c>
      <c r="N75" s="2">
        <f t="shared" ca="1" si="16"/>
        <v>25.228591322967592</v>
      </c>
      <c r="O75" s="2">
        <f t="shared" ca="1" si="16"/>
        <v>26.583266222472247</v>
      </c>
      <c r="P75" s="2">
        <f t="shared" ca="1" si="16"/>
        <v>28.524829281181887</v>
      </c>
      <c r="Q75" s="2">
        <f t="shared" ca="1" si="16"/>
        <v>30.643614755049455</v>
      </c>
      <c r="R75" s="2">
        <f t="shared" ca="1" si="15"/>
        <v>29.48795125014572</v>
      </c>
      <c r="S75" s="2">
        <f t="shared" ca="1" si="15"/>
        <v>26.738756847966979</v>
      </c>
      <c r="T75" s="2">
        <f t="shared" ca="1" si="15"/>
        <v>28.330007337448095</v>
      </c>
      <c r="U75" s="2">
        <f t="shared" ca="1" si="15"/>
        <v>29.494939666309303</v>
      </c>
      <c r="V75" s="2">
        <f t="shared" ca="1" si="15"/>
        <v>27.364375758811224</v>
      </c>
      <c r="W75" s="2">
        <f t="shared" ca="1" si="15"/>
        <v>32.687551430209531</v>
      </c>
      <c r="X75" s="2">
        <f t="shared" ca="1" si="15"/>
        <v>31.52239875711123</v>
      </c>
      <c r="Y75" s="2">
        <f t="shared" ca="1" si="15"/>
        <v>26.595131170913774</v>
      </c>
      <c r="Z75" s="2">
        <f t="shared" ca="1" si="15"/>
        <v>33.160237901010504</v>
      </c>
      <c r="AA75" s="2">
        <f t="shared" ca="1" si="15"/>
        <v>27.193206530320005</v>
      </c>
      <c r="AB75" s="2">
        <f t="shared" ca="1" si="15"/>
        <v>26.13711062207642</v>
      </c>
      <c r="AC75" s="2">
        <f t="shared" ca="1" si="15"/>
        <v>32.307173378952953</v>
      </c>
      <c r="AD75" s="2">
        <f t="shared" ca="1" si="15"/>
        <v>25.279278191711008</v>
      </c>
      <c r="AE75" s="2">
        <f t="shared" ca="1" si="15"/>
        <v>27.574465462668964</v>
      </c>
      <c r="AF75" s="2">
        <f t="shared" ca="1" si="15"/>
        <v>30.203375422538148</v>
      </c>
      <c r="AG75" s="2">
        <f t="shared" ca="1" si="15"/>
        <v>33.885608052710083</v>
      </c>
      <c r="AH75" s="2">
        <f t="shared" ca="1" si="15"/>
        <v>28.6516091616678</v>
      </c>
    </row>
    <row r="76" spans="1:34">
      <c r="A76" t="str">
        <f t="shared" si="6"/>
        <v>Beef</v>
      </c>
      <c r="B76" t="str">
        <f t="shared" si="7"/>
        <v>Oromia</v>
      </c>
      <c r="C76" s="2">
        <f t="shared" ca="1" si="16"/>
        <v>34.826813498867331</v>
      </c>
      <c r="D76" s="2">
        <f t="shared" ca="1" si="16"/>
        <v>28.821292662656681</v>
      </c>
      <c r="E76" s="2">
        <f t="shared" ca="1" si="16"/>
        <v>30.924340060340434</v>
      </c>
      <c r="F76" s="2">
        <f t="shared" ca="1" si="16"/>
        <v>30.308737556270188</v>
      </c>
      <c r="G76" s="2">
        <f t="shared" ca="1" si="16"/>
        <v>33.21418173239401</v>
      </c>
      <c r="H76" s="2">
        <f t="shared" ca="1" si="16"/>
        <v>34.177051950672222</v>
      </c>
      <c r="I76" s="2">
        <f t="shared" ca="1" si="16"/>
        <v>28.119573861585362</v>
      </c>
      <c r="J76" s="2">
        <f t="shared" ca="1" si="16"/>
        <v>33.783565095366242</v>
      </c>
      <c r="K76" s="2">
        <f t="shared" ca="1" si="16"/>
        <v>33.321094593544871</v>
      </c>
      <c r="L76" s="2">
        <f t="shared" ca="1" si="16"/>
        <v>32.405366923951327</v>
      </c>
      <c r="M76" s="2">
        <f t="shared" ca="1" si="16"/>
        <v>34.379902714722718</v>
      </c>
      <c r="N76" s="2">
        <f t="shared" ca="1" si="16"/>
        <v>30.410632977779848</v>
      </c>
      <c r="O76" s="2">
        <f t="shared" ca="1" si="16"/>
        <v>31.346758420300056</v>
      </c>
      <c r="P76" s="2">
        <f t="shared" ca="1" si="16"/>
        <v>29.269370234232248</v>
      </c>
      <c r="Q76" s="2">
        <f t="shared" ca="1" si="16"/>
        <v>27.769049971331551</v>
      </c>
      <c r="R76" s="2">
        <f t="shared" ca="1" si="15"/>
        <v>33.187353915688902</v>
      </c>
      <c r="S76" s="2">
        <f t="shared" ca="1" si="15"/>
        <v>33.609972685772213</v>
      </c>
      <c r="T76" s="2">
        <f t="shared" ca="1" si="15"/>
        <v>34.932693364180381</v>
      </c>
      <c r="U76" s="2">
        <f t="shared" ca="1" si="15"/>
        <v>31.298716797018365</v>
      </c>
      <c r="V76" s="2">
        <f t="shared" ca="1" si="15"/>
        <v>28.214537918877944</v>
      </c>
      <c r="W76" s="2">
        <f t="shared" ca="1" si="15"/>
        <v>34.062263813497971</v>
      </c>
      <c r="X76" s="2">
        <f t="shared" ca="1" si="15"/>
        <v>33.431136801010489</v>
      </c>
      <c r="Y76" s="2">
        <f t="shared" ca="1" si="15"/>
        <v>32.790777655433828</v>
      </c>
      <c r="Z76" s="2">
        <f t="shared" ca="1" si="15"/>
        <v>32.398543105925519</v>
      </c>
      <c r="AA76" s="2">
        <f t="shared" ca="1" si="15"/>
        <v>25.027227542454135</v>
      </c>
      <c r="AB76" s="2">
        <f t="shared" ca="1" si="15"/>
        <v>26.114882218205018</v>
      </c>
      <c r="AC76" s="2">
        <f t="shared" ca="1" si="15"/>
        <v>31.768218625176758</v>
      </c>
      <c r="AD76" s="2">
        <f t="shared" ca="1" si="15"/>
        <v>25.873811694097391</v>
      </c>
      <c r="AE76" s="2">
        <f t="shared" ca="1" si="15"/>
        <v>34.257060894869099</v>
      </c>
      <c r="AF76" s="2">
        <f t="shared" ca="1" si="15"/>
        <v>34.12995025922222</v>
      </c>
      <c r="AG76" s="2">
        <f t="shared" ca="1" si="15"/>
        <v>26.820250455735991</v>
      </c>
      <c r="AH76" s="2">
        <f t="shared" ca="1" si="15"/>
        <v>28.729296491154518</v>
      </c>
    </row>
    <row r="77" spans="1:34">
      <c r="A77" t="str">
        <f t="shared" si="6"/>
        <v>Beef</v>
      </c>
      <c r="B77" t="str">
        <f t="shared" si="7"/>
        <v>Somali</v>
      </c>
      <c r="C77" s="2">
        <f t="shared" ca="1" si="16"/>
        <v>26.518061557665966</v>
      </c>
      <c r="D77" s="2">
        <f t="shared" ca="1" si="16"/>
        <v>32.281332811941901</v>
      </c>
      <c r="E77" s="2">
        <f t="shared" ca="1" si="16"/>
        <v>33.272461347814655</v>
      </c>
      <c r="F77" s="2">
        <f t="shared" ca="1" si="16"/>
        <v>27.423656321840358</v>
      </c>
      <c r="G77" s="2">
        <f t="shared" ca="1" si="16"/>
        <v>26.770321837444989</v>
      </c>
      <c r="H77" s="2">
        <f t="shared" ca="1" si="16"/>
        <v>28.527287082838917</v>
      </c>
      <c r="I77" s="2">
        <f t="shared" ca="1" si="16"/>
        <v>25.28575653606854</v>
      </c>
      <c r="J77" s="2">
        <f t="shared" ca="1" si="16"/>
        <v>26.453130492692285</v>
      </c>
      <c r="K77" s="2">
        <f t="shared" ca="1" si="16"/>
        <v>27.200418625414375</v>
      </c>
      <c r="L77" s="2">
        <f t="shared" ca="1" si="16"/>
        <v>26.390900582263921</v>
      </c>
      <c r="M77" s="2">
        <f t="shared" ca="1" si="16"/>
        <v>25.399270355625116</v>
      </c>
      <c r="N77" s="2">
        <f t="shared" ca="1" si="16"/>
        <v>33.581087072771332</v>
      </c>
      <c r="O77" s="2">
        <f t="shared" ca="1" si="16"/>
        <v>29.212002604171605</v>
      </c>
      <c r="P77" s="2">
        <f t="shared" ca="1" si="16"/>
        <v>25.537457468925474</v>
      </c>
      <c r="Q77" s="2">
        <f t="shared" ca="1" si="16"/>
        <v>34.323666270202217</v>
      </c>
      <c r="R77" s="2">
        <f t="shared" ca="1" si="15"/>
        <v>28.304957431576856</v>
      </c>
      <c r="S77" s="2">
        <f t="shared" ca="1" si="15"/>
        <v>27.664570239706606</v>
      </c>
      <c r="T77" s="2">
        <f t="shared" ca="1" si="15"/>
        <v>27.641084630481348</v>
      </c>
      <c r="U77" s="2">
        <f t="shared" ca="1" si="15"/>
        <v>25.990025608145963</v>
      </c>
      <c r="V77" s="2">
        <f t="shared" ca="1" si="15"/>
        <v>29.549301537050813</v>
      </c>
      <c r="W77" s="2">
        <f t="shared" ca="1" si="15"/>
        <v>28.032603892558583</v>
      </c>
      <c r="X77" s="2">
        <f t="shared" ca="1" si="15"/>
        <v>32.185655596839126</v>
      </c>
      <c r="Y77" s="2">
        <f t="shared" ca="1" si="15"/>
        <v>34.877529623981388</v>
      </c>
      <c r="Z77" s="2">
        <f t="shared" ca="1" si="15"/>
        <v>32.285138383503835</v>
      </c>
      <c r="AA77" s="2">
        <f t="shared" ca="1" si="15"/>
        <v>31.156881374046833</v>
      </c>
      <c r="AB77" s="2">
        <f t="shared" ca="1" si="15"/>
        <v>33.633256725459447</v>
      </c>
      <c r="AC77" s="2">
        <f t="shared" ca="1" si="15"/>
        <v>27.75955262281343</v>
      </c>
      <c r="AD77" s="2">
        <f t="shared" ca="1" si="15"/>
        <v>25.487047694217114</v>
      </c>
      <c r="AE77" s="2">
        <f t="shared" ca="1" si="15"/>
        <v>30.713117735984163</v>
      </c>
      <c r="AF77" s="2">
        <f t="shared" ca="1" si="15"/>
        <v>25.246977965824001</v>
      </c>
      <c r="AG77" s="2">
        <f t="shared" ca="1" si="15"/>
        <v>30.943251964339218</v>
      </c>
      <c r="AH77" s="2">
        <f t="shared" ca="1" si="15"/>
        <v>32.443556839014903</v>
      </c>
    </row>
    <row r="78" spans="1:34">
      <c r="A78" t="str">
        <f t="shared" ref="A78:A90" si="17">INDEX(Food,MATCH(A67,Food,0)+1)</f>
        <v>Beef</v>
      </c>
      <c r="B78" t="str">
        <f t="shared" si="7"/>
        <v>SNNPR</v>
      </c>
      <c r="C78" s="2">
        <f t="shared" ca="1" si="16"/>
        <v>32.052716924950751</v>
      </c>
      <c r="D78" s="2">
        <f t="shared" ca="1" si="16"/>
        <v>30.524907917915357</v>
      </c>
      <c r="E78" s="2">
        <f t="shared" ca="1" si="16"/>
        <v>28.203632616014389</v>
      </c>
      <c r="F78" s="2">
        <f t="shared" ca="1" si="16"/>
        <v>30.235608739249233</v>
      </c>
      <c r="G78" s="2">
        <f t="shared" ca="1" si="16"/>
        <v>29.383389524044986</v>
      </c>
      <c r="H78" s="2">
        <f t="shared" ca="1" si="16"/>
        <v>27.348254153236468</v>
      </c>
      <c r="I78" s="2">
        <f t="shared" ca="1" si="16"/>
        <v>26.393507473539799</v>
      </c>
      <c r="J78" s="2">
        <f t="shared" ca="1" si="16"/>
        <v>34.316256683454363</v>
      </c>
      <c r="K78" s="2">
        <f t="shared" ca="1" si="16"/>
        <v>33.584140751642487</v>
      </c>
      <c r="L78" s="2">
        <f t="shared" ca="1" si="16"/>
        <v>29.831712648921641</v>
      </c>
      <c r="M78" s="2">
        <f t="shared" ca="1" si="16"/>
        <v>32.026342861375447</v>
      </c>
      <c r="N78" s="2">
        <f t="shared" ca="1" si="16"/>
        <v>34.13599087773359</v>
      </c>
      <c r="O78" s="2">
        <f t="shared" ca="1" si="16"/>
        <v>30.086333289846582</v>
      </c>
      <c r="P78" s="2">
        <f t="shared" ca="1" si="16"/>
        <v>28.157986923617283</v>
      </c>
      <c r="Q78" s="2">
        <f t="shared" ca="1" si="16"/>
        <v>30.873457842368069</v>
      </c>
      <c r="R78" s="2">
        <f t="shared" ca="1" si="15"/>
        <v>26.370163098542285</v>
      </c>
      <c r="S78" s="2">
        <f t="shared" ca="1" si="15"/>
        <v>26.394940930573057</v>
      </c>
      <c r="T78" s="2">
        <f t="shared" ca="1" si="15"/>
        <v>27.530239828398081</v>
      </c>
      <c r="U78" s="2">
        <f t="shared" ca="1" si="15"/>
        <v>30.393538171254775</v>
      </c>
      <c r="V78" s="2">
        <f t="shared" ca="1" si="15"/>
        <v>29.921862766985473</v>
      </c>
      <c r="W78" s="2">
        <f t="shared" ca="1" si="15"/>
        <v>32.337781435622411</v>
      </c>
      <c r="X78" s="2">
        <f t="shared" ca="1" si="15"/>
        <v>26.079168652632376</v>
      </c>
      <c r="Y78" s="2">
        <f t="shared" ca="1" si="15"/>
        <v>25.705216818185409</v>
      </c>
      <c r="Z78" s="2">
        <f t="shared" ca="1" si="15"/>
        <v>29.384642066796424</v>
      </c>
      <c r="AA78" s="2">
        <f t="shared" ca="1" si="15"/>
        <v>28.239876345636155</v>
      </c>
      <c r="AB78" s="2">
        <f t="shared" ca="1" si="15"/>
        <v>27.06701528733797</v>
      </c>
      <c r="AC78" s="2">
        <f t="shared" ca="1" si="15"/>
        <v>30.80046608217242</v>
      </c>
      <c r="AD78" s="2">
        <f t="shared" ca="1" si="15"/>
        <v>33.697183922244385</v>
      </c>
      <c r="AE78" s="2">
        <f t="shared" ca="1" si="15"/>
        <v>30.984839881191082</v>
      </c>
      <c r="AF78" s="2">
        <f t="shared" ca="1" si="15"/>
        <v>30.6890117163151</v>
      </c>
      <c r="AG78" s="2">
        <f t="shared" ca="1" si="15"/>
        <v>33.007247126877076</v>
      </c>
      <c r="AH78" s="2">
        <f t="shared" ca="1" si="15"/>
        <v>32.089712924697913</v>
      </c>
    </row>
    <row r="79" spans="1:34">
      <c r="A79" t="str">
        <f t="shared" si="17"/>
        <v>Beef</v>
      </c>
      <c r="B79" t="str">
        <f t="shared" ref="B79:B90" si="18">B68</f>
        <v>Tigray</v>
      </c>
      <c r="C79" s="2">
        <f t="shared" ca="1" si="16"/>
        <v>33.936541167604084</v>
      </c>
      <c r="D79" s="2">
        <f t="shared" ca="1" si="16"/>
        <v>33.606922788884781</v>
      </c>
      <c r="E79" s="2">
        <f t="shared" ca="1" si="16"/>
        <v>27.710847505277272</v>
      </c>
      <c r="F79" s="2">
        <f t="shared" ca="1" si="16"/>
        <v>28.22699554453806</v>
      </c>
      <c r="G79" s="2">
        <f t="shared" ca="1" si="16"/>
        <v>26.19807139239995</v>
      </c>
      <c r="H79" s="2">
        <f t="shared" ca="1" si="16"/>
        <v>32.085624345708666</v>
      </c>
      <c r="I79" s="2">
        <f t="shared" ca="1" si="16"/>
        <v>28.689355455452315</v>
      </c>
      <c r="J79" s="2">
        <f t="shared" ca="1" si="16"/>
        <v>27.461460626414336</v>
      </c>
      <c r="K79" s="2">
        <f t="shared" ca="1" si="16"/>
        <v>30.064507906122167</v>
      </c>
      <c r="L79" s="2">
        <f t="shared" ca="1" si="16"/>
        <v>26.787649854572795</v>
      </c>
      <c r="M79" s="2">
        <f t="shared" ca="1" si="16"/>
        <v>32.606091671489864</v>
      </c>
      <c r="N79" s="2">
        <f t="shared" ca="1" si="16"/>
        <v>33.948131908261644</v>
      </c>
      <c r="O79" s="2">
        <f t="shared" ca="1" si="16"/>
        <v>26.771037273132116</v>
      </c>
      <c r="P79" s="2">
        <f t="shared" ca="1" si="16"/>
        <v>30.034032014690794</v>
      </c>
      <c r="Q79" s="2">
        <f t="shared" ca="1" si="16"/>
        <v>25.998859170889972</v>
      </c>
      <c r="R79" s="2">
        <f t="shared" ca="1" si="15"/>
        <v>27.18589526222738</v>
      </c>
      <c r="S79" s="2">
        <f t="shared" ca="1" si="15"/>
        <v>34.22085718474159</v>
      </c>
      <c r="T79" s="2">
        <f t="shared" ca="1" si="15"/>
        <v>32.909974889888794</v>
      </c>
      <c r="U79" s="2">
        <f t="shared" ca="1" si="15"/>
        <v>29.823195792974602</v>
      </c>
      <c r="V79" s="2">
        <f t="shared" ca="1" si="15"/>
        <v>34.260070192661864</v>
      </c>
      <c r="W79" s="2">
        <f t="shared" ca="1" si="15"/>
        <v>25.650106879232499</v>
      </c>
      <c r="X79" s="2">
        <f t="shared" ca="1" si="15"/>
        <v>32.979667412004339</v>
      </c>
      <c r="Y79" s="2">
        <f t="shared" ca="1" si="15"/>
        <v>32.058856115865012</v>
      </c>
      <c r="Z79" s="2">
        <f t="shared" ca="1" si="15"/>
        <v>29.219669644457888</v>
      </c>
      <c r="AA79" s="2">
        <f t="shared" ca="1" si="15"/>
        <v>33.092664053975284</v>
      </c>
      <c r="AB79" s="2">
        <f t="shared" ca="1" si="15"/>
        <v>28.221143251061577</v>
      </c>
      <c r="AC79" s="2">
        <f t="shared" ca="1" si="15"/>
        <v>28.425174680719628</v>
      </c>
      <c r="AD79" s="2">
        <f t="shared" ca="1" si="15"/>
        <v>28.858169079343913</v>
      </c>
      <c r="AE79" s="2">
        <f t="shared" ca="1" si="15"/>
        <v>28.464606597785483</v>
      </c>
      <c r="AF79" s="2">
        <f t="shared" ca="1" si="15"/>
        <v>32.948879445400728</v>
      </c>
      <c r="AG79" s="2">
        <f t="shared" ca="1" si="15"/>
        <v>30.811570653095156</v>
      </c>
      <c r="AH79" s="2">
        <f t="shared" ca="1" si="15"/>
        <v>26.943467353260626</v>
      </c>
    </row>
    <row r="80" spans="1:34">
      <c r="A80" t="str">
        <f t="shared" si="17"/>
        <v>Milk</v>
      </c>
      <c r="B80" t="str">
        <f t="shared" si="18"/>
        <v>AddisAbaba</v>
      </c>
      <c r="C80" s="2">
        <f t="shared" ca="1" si="16"/>
        <v>33.761046136532826</v>
      </c>
      <c r="D80" s="2">
        <f t="shared" ca="1" si="16"/>
        <v>30.286581053434098</v>
      </c>
      <c r="E80" s="2">
        <f t="shared" ca="1" si="16"/>
        <v>27.291963429241662</v>
      </c>
      <c r="F80" s="2">
        <f t="shared" ca="1" si="16"/>
        <v>28.533268705263151</v>
      </c>
      <c r="G80" s="2">
        <f t="shared" ca="1" si="16"/>
        <v>25.992273998422341</v>
      </c>
      <c r="H80" s="2">
        <f t="shared" ca="1" si="16"/>
        <v>33.824916397211169</v>
      </c>
      <c r="I80" s="2">
        <f t="shared" ca="1" si="16"/>
        <v>25.997358757810201</v>
      </c>
      <c r="J80" s="2">
        <f t="shared" ca="1" si="16"/>
        <v>25.056601033696499</v>
      </c>
      <c r="K80" s="2">
        <f t="shared" ca="1" si="16"/>
        <v>34.13788753988748</v>
      </c>
      <c r="L80" s="2">
        <f t="shared" ca="1" si="16"/>
        <v>26.037891042480901</v>
      </c>
      <c r="M80" s="2">
        <f t="shared" ca="1" si="16"/>
        <v>31.715029987181552</v>
      </c>
      <c r="N80" s="2">
        <f t="shared" ca="1" si="16"/>
        <v>30.450533195223034</v>
      </c>
      <c r="O80" s="2">
        <f t="shared" ca="1" si="16"/>
        <v>31.806081425345354</v>
      </c>
      <c r="P80" s="2">
        <f t="shared" ca="1" si="16"/>
        <v>27.066157370524621</v>
      </c>
      <c r="Q80" s="2">
        <f t="shared" ca="1" si="16"/>
        <v>34.72708479156671</v>
      </c>
      <c r="R80" s="2">
        <f t="shared" ca="1" si="15"/>
        <v>32.53034442657647</v>
      </c>
      <c r="S80" s="2">
        <f t="shared" ca="1" si="15"/>
        <v>31.707175056488065</v>
      </c>
      <c r="T80" s="2">
        <f t="shared" ca="1" si="15"/>
        <v>33.958854709792519</v>
      </c>
      <c r="U80" s="2">
        <f t="shared" ca="1" si="15"/>
        <v>30.82532831495687</v>
      </c>
      <c r="V80" s="2">
        <f t="shared" ca="1" si="15"/>
        <v>25.857168635627303</v>
      </c>
      <c r="W80" s="2">
        <f t="shared" ca="1" si="15"/>
        <v>34.937107598912824</v>
      </c>
      <c r="X80" s="2">
        <f t="shared" ca="1" si="15"/>
        <v>26.054136526770741</v>
      </c>
      <c r="Y80" s="2">
        <f t="shared" ca="1" si="15"/>
        <v>28.560604055422228</v>
      </c>
      <c r="Z80" s="2">
        <f t="shared" ca="1" si="15"/>
        <v>32.251978942836018</v>
      </c>
      <c r="AA80" s="2">
        <f t="shared" ca="1" si="15"/>
        <v>28.065666839511078</v>
      </c>
      <c r="AB80" s="2">
        <f t="shared" ca="1" si="15"/>
        <v>34.0685706634642</v>
      </c>
      <c r="AC80" s="2">
        <f t="shared" ca="1" si="15"/>
        <v>28.193012614091195</v>
      </c>
      <c r="AD80" s="2">
        <f t="shared" ca="1" si="15"/>
        <v>31.068236693895003</v>
      </c>
      <c r="AE80" s="2">
        <f t="shared" ca="1" si="15"/>
        <v>31.19362060887271</v>
      </c>
      <c r="AF80" s="2">
        <f t="shared" ca="1" si="15"/>
        <v>30.188128673741453</v>
      </c>
      <c r="AG80" s="2">
        <f t="shared" ca="1" si="15"/>
        <v>26.130992113578834</v>
      </c>
      <c r="AH80" s="2">
        <f t="shared" ca="1" si="15"/>
        <v>28.857884471333335</v>
      </c>
    </row>
    <row r="81" spans="1:34">
      <c r="A81" t="str">
        <f t="shared" si="17"/>
        <v>Milk</v>
      </c>
      <c r="B81" t="str">
        <f t="shared" si="18"/>
        <v>Afar</v>
      </c>
      <c r="C81" s="2">
        <f t="shared" ca="1" si="16"/>
        <v>32.723459835133731</v>
      </c>
      <c r="D81" s="2">
        <f t="shared" ca="1" si="16"/>
        <v>30.98308377967048</v>
      </c>
      <c r="E81" s="2">
        <f t="shared" ca="1" si="16"/>
        <v>33.436412283431444</v>
      </c>
      <c r="F81" s="2">
        <f t="shared" ca="1" si="16"/>
        <v>34.508186434112666</v>
      </c>
      <c r="G81" s="2">
        <f t="shared" ca="1" si="16"/>
        <v>31.182382187675142</v>
      </c>
      <c r="H81" s="2">
        <f t="shared" ca="1" si="16"/>
        <v>28.302714631158764</v>
      </c>
      <c r="I81" s="2">
        <f t="shared" ca="1" si="16"/>
        <v>32.621612039845431</v>
      </c>
      <c r="J81" s="2">
        <f t="shared" ca="1" si="16"/>
        <v>30.485663033167892</v>
      </c>
      <c r="K81" s="2">
        <f t="shared" ca="1" si="16"/>
        <v>28.437372436777082</v>
      </c>
      <c r="L81" s="2">
        <f t="shared" ca="1" si="16"/>
        <v>29.939612897649198</v>
      </c>
      <c r="M81" s="2">
        <f t="shared" ca="1" si="16"/>
        <v>27.290326783596033</v>
      </c>
      <c r="N81" s="2">
        <f t="shared" ca="1" si="16"/>
        <v>26.392638348133232</v>
      </c>
      <c r="O81" s="2">
        <f t="shared" ca="1" si="16"/>
        <v>25.277036943003083</v>
      </c>
      <c r="P81" s="2">
        <f t="shared" ca="1" si="16"/>
        <v>25.59371598363866</v>
      </c>
      <c r="Q81" s="2">
        <f t="shared" ca="1" si="16"/>
        <v>31.98222742357391</v>
      </c>
      <c r="R81" s="2">
        <f t="shared" ca="1" si="15"/>
        <v>27.881796209881877</v>
      </c>
      <c r="S81" s="2">
        <f t="shared" ca="1" si="15"/>
        <v>25.893429392326031</v>
      </c>
      <c r="T81" s="2">
        <f t="shared" ca="1" si="15"/>
        <v>29.22655906571531</v>
      </c>
      <c r="U81" s="2">
        <f t="shared" ca="1" si="15"/>
        <v>25.81586351007455</v>
      </c>
      <c r="V81" s="2">
        <f t="shared" ca="1" si="15"/>
        <v>25.21911193060097</v>
      </c>
      <c r="W81" s="2">
        <f t="shared" ca="1" si="15"/>
        <v>27.529179815230318</v>
      </c>
      <c r="X81" s="2">
        <f t="shared" ca="1" si="15"/>
        <v>30.646953799232399</v>
      </c>
      <c r="Y81" s="2">
        <f t="shared" ca="1" si="15"/>
        <v>30.576735523218588</v>
      </c>
      <c r="Z81" s="2">
        <f t="shared" ca="1" si="15"/>
        <v>32.508212876894824</v>
      </c>
      <c r="AA81" s="2">
        <f t="shared" ca="1" si="15"/>
        <v>33.149772031415232</v>
      </c>
      <c r="AB81" s="2">
        <f t="shared" ca="1" si="15"/>
        <v>25.371007237934265</v>
      </c>
      <c r="AC81" s="2">
        <f t="shared" ca="1" si="15"/>
        <v>27.878385222469593</v>
      </c>
      <c r="AD81" s="2">
        <f t="shared" ca="1" si="15"/>
        <v>28.357112027345266</v>
      </c>
      <c r="AE81" s="2">
        <f t="shared" ca="1" si="15"/>
        <v>30.877072163197052</v>
      </c>
      <c r="AF81" s="2">
        <f t="shared" ca="1" si="15"/>
        <v>32.350518967397377</v>
      </c>
      <c r="AG81" s="2">
        <f t="shared" ca="1" si="15"/>
        <v>28.329203172129979</v>
      </c>
      <c r="AH81" s="2">
        <f t="shared" ca="1" si="15"/>
        <v>33.270196464822796</v>
      </c>
    </row>
    <row r="82" spans="1:34">
      <c r="A82" t="str">
        <f t="shared" si="17"/>
        <v>Milk</v>
      </c>
      <c r="B82" t="str">
        <f t="shared" si="18"/>
        <v>Amhara</v>
      </c>
      <c r="C82" s="2">
        <f t="shared" ca="1" si="16"/>
        <v>30.438862011934834</v>
      </c>
      <c r="D82" s="2">
        <f t="shared" ca="1" si="16"/>
        <v>34.201223275461452</v>
      </c>
      <c r="E82" s="2">
        <f t="shared" ca="1" si="16"/>
        <v>28.236966753199674</v>
      </c>
      <c r="F82" s="2">
        <f t="shared" ca="1" si="16"/>
        <v>29.954914856664185</v>
      </c>
      <c r="G82" s="2">
        <f t="shared" ca="1" si="16"/>
        <v>33.566512866218631</v>
      </c>
      <c r="H82" s="2">
        <f t="shared" ca="1" si="16"/>
        <v>27.62087290637028</v>
      </c>
      <c r="I82" s="2">
        <f t="shared" ca="1" si="16"/>
        <v>31.194203493474188</v>
      </c>
      <c r="J82" s="2">
        <f t="shared" ca="1" si="16"/>
        <v>28.649672412125902</v>
      </c>
      <c r="K82" s="2">
        <f t="shared" ca="1" si="16"/>
        <v>33.178581693690028</v>
      </c>
      <c r="L82" s="2">
        <f t="shared" ca="1" si="16"/>
        <v>30.195551232908354</v>
      </c>
      <c r="M82" s="2">
        <f t="shared" ca="1" si="16"/>
        <v>31.68410708221041</v>
      </c>
      <c r="N82" s="2">
        <f t="shared" ca="1" si="16"/>
        <v>32.48745699812563</v>
      </c>
      <c r="O82" s="2">
        <f t="shared" ca="1" si="16"/>
        <v>33.052338058276767</v>
      </c>
      <c r="P82" s="2">
        <f t="shared" ca="1" si="16"/>
        <v>28.200503926857216</v>
      </c>
      <c r="Q82" s="2">
        <f t="shared" ca="1" si="16"/>
        <v>25.399862003253538</v>
      </c>
      <c r="R82" s="2">
        <f t="shared" ca="1" si="15"/>
        <v>34.00913389708716</v>
      </c>
      <c r="S82" s="2">
        <f t="shared" ca="1" si="15"/>
        <v>27.93755630755378</v>
      </c>
      <c r="T82" s="2">
        <f t="shared" ca="1" si="15"/>
        <v>34.202102625791817</v>
      </c>
      <c r="U82" s="2">
        <f t="shared" ca="1" si="15"/>
        <v>29.26046073156445</v>
      </c>
      <c r="V82" s="2">
        <f t="shared" ca="1" si="15"/>
        <v>26.765556956428149</v>
      </c>
      <c r="W82" s="2">
        <f t="shared" ca="1" si="15"/>
        <v>31.797619189683111</v>
      </c>
      <c r="X82" s="2">
        <f t="shared" ca="1" si="15"/>
        <v>28.074912542202632</v>
      </c>
      <c r="Y82" s="2">
        <f t="shared" ca="1" si="15"/>
        <v>30.071903398101341</v>
      </c>
      <c r="Z82" s="2">
        <f t="shared" ca="1" si="15"/>
        <v>27.843729511485577</v>
      </c>
      <c r="AA82" s="2">
        <f t="shared" ca="1" si="15"/>
        <v>31.928305166670469</v>
      </c>
      <c r="AB82" s="2">
        <f t="shared" ca="1" si="15"/>
        <v>25.821960087802218</v>
      </c>
      <c r="AC82" s="2">
        <f t="shared" ca="1" si="15"/>
        <v>26.991402838399871</v>
      </c>
      <c r="AD82" s="2">
        <f t="shared" ca="1" si="15"/>
        <v>33.391771435235185</v>
      </c>
      <c r="AE82" s="2">
        <f t="shared" ca="1" si="15"/>
        <v>27.661823053154372</v>
      </c>
      <c r="AF82" s="2">
        <f t="shared" ca="1" si="15"/>
        <v>31.24729333775214</v>
      </c>
      <c r="AG82" s="2">
        <f t="shared" ca="1" si="15"/>
        <v>34.048967652251491</v>
      </c>
      <c r="AH82" s="2">
        <f t="shared" ca="1" si="15"/>
        <v>31.402825892985827</v>
      </c>
    </row>
    <row r="83" spans="1:34">
      <c r="A83" t="str">
        <f t="shared" si="17"/>
        <v>Milk</v>
      </c>
      <c r="B83" t="str">
        <f t="shared" si="18"/>
        <v>Gumuz</v>
      </c>
      <c r="C83" s="2">
        <f t="shared" ca="1" si="16"/>
        <v>34.189443951529867</v>
      </c>
      <c r="D83" s="2">
        <f t="shared" ca="1" si="16"/>
        <v>28.093612238417158</v>
      </c>
      <c r="E83" s="2">
        <f t="shared" ca="1" si="16"/>
        <v>30.132742605067495</v>
      </c>
      <c r="F83" s="2">
        <f t="shared" ca="1" si="16"/>
        <v>30.715973336847853</v>
      </c>
      <c r="G83" s="2">
        <f t="shared" ca="1" si="16"/>
        <v>31.35397857375299</v>
      </c>
      <c r="H83" s="2">
        <f t="shared" ca="1" si="16"/>
        <v>33.342353538712246</v>
      </c>
      <c r="I83" s="2">
        <f t="shared" ca="1" si="16"/>
        <v>31.457772308772132</v>
      </c>
      <c r="J83" s="2">
        <f t="shared" ca="1" si="16"/>
        <v>34.171338427868697</v>
      </c>
      <c r="K83" s="2">
        <f t="shared" ca="1" si="16"/>
        <v>25.956296154506965</v>
      </c>
      <c r="L83" s="2">
        <f t="shared" ca="1" si="16"/>
        <v>32.237877185699197</v>
      </c>
      <c r="M83" s="2">
        <f t="shared" ca="1" si="16"/>
        <v>34.426147876794047</v>
      </c>
      <c r="N83" s="2">
        <f t="shared" ca="1" si="16"/>
        <v>28.416956984760443</v>
      </c>
      <c r="O83" s="2">
        <f t="shared" ca="1" si="16"/>
        <v>30.673158757993612</v>
      </c>
      <c r="P83" s="2">
        <f t="shared" ca="1" si="16"/>
        <v>34.15951131577917</v>
      </c>
      <c r="Q83" s="2">
        <f t="shared" ca="1" si="16"/>
        <v>34.596990905036591</v>
      </c>
      <c r="R83" s="2">
        <f t="shared" ca="1" si="16"/>
        <v>34.155967641595275</v>
      </c>
      <c r="S83" s="2">
        <f t="shared" ref="S83:AH90" ca="1" si="19">(RAND()*1+2.5)*10</f>
        <v>28.568740481114212</v>
      </c>
      <c r="T83" s="2">
        <f t="shared" ca="1" si="19"/>
        <v>31.118709517273224</v>
      </c>
      <c r="U83" s="2">
        <f t="shared" ca="1" si="19"/>
        <v>34.467224088838734</v>
      </c>
      <c r="V83" s="2">
        <f t="shared" ca="1" si="19"/>
        <v>26.996830437169184</v>
      </c>
      <c r="W83" s="2">
        <f t="shared" ca="1" si="19"/>
        <v>25.22653810039035</v>
      </c>
      <c r="X83" s="2">
        <f t="shared" ca="1" si="19"/>
        <v>27.655605582613241</v>
      </c>
      <c r="Y83" s="2">
        <f t="shared" ca="1" si="19"/>
        <v>30.235464116865096</v>
      </c>
      <c r="Z83" s="2">
        <f t="shared" ca="1" si="19"/>
        <v>27.27620302109063</v>
      </c>
      <c r="AA83" s="2">
        <f t="shared" ca="1" si="19"/>
        <v>31.294722111433426</v>
      </c>
      <c r="AB83" s="2">
        <f t="shared" ca="1" si="19"/>
        <v>33.340475491445545</v>
      </c>
      <c r="AC83" s="2">
        <f t="shared" ca="1" si="19"/>
        <v>34.311801832888861</v>
      </c>
      <c r="AD83" s="2">
        <f t="shared" ca="1" si="19"/>
        <v>26.614259201589668</v>
      </c>
      <c r="AE83" s="2">
        <f t="shared" ca="1" si="19"/>
        <v>30.268415600242733</v>
      </c>
      <c r="AF83" s="2">
        <f t="shared" ca="1" si="19"/>
        <v>25.391828010633443</v>
      </c>
      <c r="AG83" s="2">
        <f t="shared" ca="1" si="19"/>
        <v>25.478792846639191</v>
      </c>
      <c r="AH83" s="2">
        <f t="shared" ca="1" si="19"/>
        <v>32.777288973701509</v>
      </c>
    </row>
    <row r="84" spans="1:34">
      <c r="A84" t="str">
        <f t="shared" si="17"/>
        <v>Milk</v>
      </c>
      <c r="B84" t="str">
        <f t="shared" si="18"/>
        <v>DireDawa</v>
      </c>
      <c r="C84" s="2">
        <f t="shared" ca="1" si="16"/>
        <v>32.396399612062147</v>
      </c>
      <c r="D84" s="2">
        <f t="shared" ca="1" si="16"/>
        <v>26.281447553202895</v>
      </c>
      <c r="E84" s="2">
        <f t="shared" ca="1" si="16"/>
        <v>28.402290497913611</v>
      </c>
      <c r="F84" s="2">
        <f t="shared" ca="1" si="16"/>
        <v>31.265558811642681</v>
      </c>
      <c r="G84" s="2">
        <f t="shared" ca="1" si="16"/>
        <v>34.884314818347605</v>
      </c>
      <c r="H84" s="2">
        <f t="shared" ca="1" si="16"/>
        <v>30.122357169758164</v>
      </c>
      <c r="I84" s="2">
        <f t="shared" ca="1" si="16"/>
        <v>26.4732078815317</v>
      </c>
      <c r="J84" s="2">
        <f t="shared" ca="1" si="16"/>
        <v>25.802826469559349</v>
      </c>
      <c r="K84" s="2">
        <f t="shared" ca="1" si="16"/>
        <v>29.652326788298673</v>
      </c>
      <c r="L84" s="2">
        <f t="shared" ca="1" si="16"/>
        <v>34.538068792398093</v>
      </c>
      <c r="M84" s="2">
        <f t="shared" ca="1" si="16"/>
        <v>34.964037868985343</v>
      </c>
      <c r="N84" s="2">
        <f t="shared" ca="1" si="16"/>
        <v>26.131736432926942</v>
      </c>
      <c r="O84" s="2">
        <f t="shared" ca="1" si="16"/>
        <v>32.43427245211403</v>
      </c>
      <c r="P84" s="2">
        <f t="shared" ca="1" si="16"/>
        <v>27.622927300755237</v>
      </c>
      <c r="Q84" s="2">
        <f t="shared" ca="1" si="16"/>
        <v>26.522532451911303</v>
      </c>
      <c r="R84" s="2">
        <f t="shared" ca="1" si="16"/>
        <v>27.715629326667912</v>
      </c>
      <c r="S84" s="2">
        <f t="shared" ca="1" si="19"/>
        <v>33.096152353804158</v>
      </c>
      <c r="T84" s="2">
        <f t="shared" ca="1" si="19"/>
        <v>32.638786333985493</v>
      </c>
      <c r="U84" s="2">
        <f t="shared" ca="1" si="19"/>
        <v>28.713017424501221</v>
      </c>
      <c r="V84" s="2">
        <f t="shared" ca="1" si="19"/>
        <v>34.208130311904497</v>
      </c>
      <c r="W84" s="2">
        <f t="shared" ca="1" si="19"/>
        <v>28.377814302424909</v>
      </c>
      <c r="X84" s="2">
        <f t="shared" ca="1" si="19"/>
        <v>30.578619707914637</v>
      </c>
      <c r="Y84" s="2">
        <f t="shared" ca="1" si="19"/>
        <v>33.374434051870089</v>
      </c>
      <c r="Z84" s="2">
        <f t="shared" ca="1" si="19"/>
        <v>28.106697269936184</v>
      </c>
      <c r="AA84" s="2">
        <f t="shared" ca="1" si="19"/>
        <v>33.911698597422543</v>
      </c>
      <c r="AB84" s="2">
        <f t="shared" ca="1" si="19"/>
        <v>28.77855076760472</v>
      </c>
      <c r="AC84" s="2">
        <f t="shared" ca="1" si="19"/>
        <v>30.631487827853405</v>
      </c>
      <c r="AD84" s="2">
        <f t="shared" ca="1" si="19"/>
        <v>27.624818111409706</v>
      </c>
      <c r="AE84" s="2">
        <f t="shared" ca="1" si="19"/>
        <v>26.71534996188651</v>
      </c>
      <c r="AF84" s="2">
        <f t="shared" ca="1" si="19"/>
        <v>34.747926657310082</v>
      </c>
      <c r="AG84" s="2">
        <f t="shared" ca="1" si="19"/>
        <v>32.59170872777829</v>
      </c>
      <c r="AH84" s="2">
        <f t="shared" ca="1" si="19"/>
        <v>29.174009520638329</v>
      </c>
    </row>
    <row r="85" spans="1:34">
      <c r="A85" t="str">
        <f t="shared" si="17"/>
        <v>Milk</v>
      </c>
      <c r="B85" t="str">
        <f t="shared" si="18"/>
        <v>Gambela</v>
      </c>
      <c r="C85" s="2">
        <f t="shared" ca="1" si="16"/>
        <v>33.302682538723431</v>
      </c>
      <c r="D85" s="2">
        <f t="shared" ca="1" si="16"/>
        <v>33.600756714049041</v>
      </c>
      <c r="E85" s="2">
        <f t="shared" ca="1" si="16"/>
        <v>32.939058064554359</v>
      </c>
      <c r="F85" s="2">
        <f t="shared" ca="1" si="16"/>
        <v>30.161797206787384</v>
      </c>
      <c r="G85" s="2">
        <f t="shared" ca="1" si="16"/>
        <v>33.201950511450001</v>
      </c>
      <c r="H85" s="2">
        <f t="shared" ca="1" si="16"/>
        <v>34.971918570271527</v>
      </c>
      <c r="I85" s="2">
        <f t="shared" ca="1" si="16"/>
        <v>26.378245087784311</v>
      </c>
      <c r="J85" s="2">
        <f t="shared" ca="1" si="16"/>
        <v>29.467020707528512</v>
      </c>
      <c r="K85" s="2">
        <f t="shared" ca="1" si="16"/>
        <v>26.797492549287153</v>
      </c>
      <c r="L85" s="2">
        <f t="shared" ca="1" si="16"/>
        <v>34.379981333956621</v>
      </c>
      <c r="M85" s="2">
        <f t="shared" ca="1" si="16"/>
        <v>30.190753152523971</v>
      </c>
      <c r="N85" s="2">
        <f t="shared" ca="1" si="16"/>
        <v>33.993579622040599</v>
      </c>
      <c r="O85" s="2">
        <f t="shared" ca="1" si="16"/>
        <v>32.81398691813812</v>
      </c>
      <c r="P85" s="2">
        <f t="shared" ref="P85:AE90" ca="1" si="20">(RAND()*1+2.5)*10</f>
        <v>33.825180668750448</v>
      </c>
      <c r="Q85" s="2">
        <f t="shared" ca="1" si="20"/>
        <v>26.223269211319025</v>
      </c>
      <c r="R85" s="2">
        <f t="shared" ca="1" si="20"/>
        <v>27.660817967480348</v>
      </c>
      <c r="S85" s="2">
        <f t="shared" ca="1" si="20"/>
        <v>32.509344978635461</v>
      </c>
      <c r="T85" s="2">
        <f t="shared" ca="1" si="20"/>
        <v>29.089503307098585</v>
      </c>
      <c r="U85" s="2">
        <f t="shared" ca="1" si="20"/>
        <v>29.800591695806531</v>
      </c>
      <c r="V85" s="2">
        <f t="shared" ca="1" si="20"/>
        <v>34.298153374758478</v>
      </c>
      <c r="W85" s="2">
        <f t="shared" ca="1" si="20"/>
        <v>34.810712929457431</v>
      </c>
      <c r="X85" s="2">
        <f t="shared" ca="1" si="20"/>
        <v>30.918466482326295</v>
      </c>
      <c r="Y85" s="2">
        <f t="shared" ca="1" si="20"/>
        <v>33.088656667486624</v>
      </c>
      <c r="Z85" s="2">
        <f t="shared" ca="1" si="20"/>
        <v>30.627200797392689</v>
      </c>
      <c r="AA85" s="2">
        <f t="shared" ca="1" si="20"/>
        <v>27.101031607381824</v>
      </c>
      <c r="AB85" s="2">
        <f t="shared" ca="1" si="20"/>
        <v>25.773885225592341</v>
      </c>
      <c r="AC85" s="2">
        <f t="shared" ca="1" si="20"/>
        <v>29.397154664910083</v>
      </c>
      <c r="AD85" s="2">
        <f t="shared" ca="1" si="20"/>
        <v>28.839423048888079</v>
      </c>
      <c r="AE85" s="2">
        <f t="shared" ca="1" si="20"/>
        <v>30.171550552599019</v>
      </c>
      <c r="AF85" s="2">
        <f t="shared" ca="1" si="19"/>
        <v>32.958380203273549</v>
      </c>
      <c r="AG85" s="2">
        <f t="shared" ca="1" si="19"/>
        <v>32.346594243721384</v>
      </c>
      <c r="AH85" s="2">
        <f t="shared" ca="1" si="19"/>
        <v>32.862287772899037</v>
      </c>
    </row>
    <row r="86" spans="1:34">
      <c r="A86" t="str">
        <f t="shared" si="17"/>
        <v>Milk</v>
      </c>
      <c r="B86" t="str">
        <f t="shared" si="18"/>
        <v>Harari</v>
      </c>
      <c r="C86" s="2">
        <f t="shared" ref="C86:Q90" ca="1" si="21">(RAND()*1+2.5)*10</f>
        <v>31.559591876113899</v>
      </c>
      <c r="D86" s="2">
        <f t="shared" ca="1" si="21"/>
        <v>30.028957078476004</v>
      </c>
      <c r="E86" s="2">
        <f t="shared" ca="1" si="21"/>
        <v>29.974106794702784</v>
      </c>
      <c r="F86" s="2">
        <f t="shared" ca="1" si="21"/>
        <v>32.68767496807839</v>
      </c>
      <c r="G86" s="2">
        <f t="shared" ca="1" si="21"/>
        <v>32.95403231696919</v>
      </c>
      <c r="H86" s="2">
        <f t="shared" ca="1" si="21"/>
        <v>30.497664827414759</v>
      </c>
      <c r="I86" s="2">
        <f t="shared" ca="1" si="21"/>
        <v>26.094386650180759</v>
      </c>
      <c r="J86" s="2">
        <f t="shared" ca="1" si="21"/>
        <v>27.808368111331205</v>
      </c>
      <c r="K86" s="2">
        <f t="shared" ca="1" si="21"/>
        <v>34.028802072065155</v>
      </c>
      <c r="L86" s="2">
        <f t="shared" ca="1" si="21"/>
        <v>27.109876609566879</v>
      </c>
      <c r="M86" s="2">
        <f t="shared" ca="1" si="21"/>
        <v>31.044706031639919</v>
      </c>
      <c r="N86" s="2">
        <f t="shared" ca="1" si="21"/>
        <v>29.141239026386693</v>
      </c>
      <c r="O86" s="2">
        <f t="shared" ca="1" si="21"/>
        <v>27.926139383349089</v>
      </c>
      <c r="P86" s="2">
        <f t="shared" ca="1" si="21"/>
        <v>31.8196934936894</v>
      </c>
      <c r="Q86" s="2">
        <f t="shared" ca="1" si="21"/>
        <v>33.650846168494823</v>
      </c>
      <c r="R86" s="2">
        <f t="shared" ca="1" si="20"/>
        <v>29.261743822030695</v>
      </c>
      <c r="S86" s="2">
        <f t="shared" ca="1" si="20"/>
        <v>30.427199310673526</v>
      </c>
      <c r="T86" s="2">
        <f t="shared" ca="1" si="20"/>
        <v>34.821078793689544</v>
      </c>
      <c r="U86" s="2">
        <f t="shared" ca="1" si="20"/>
        <v>34.550101373729412</v>
      </c>
      <c r="V86" s="2">
        <f t="shared" ca="1" si="20"/>
        <v>31.048251029240447</v>
      </c>
      <c r="W86" s="2">
        <f t="shared" ca="1" si="20"/>
        <v>32.113814981603035</v>
      </c>
      <c r="X86" s="2">
        <f t="shared" ca="1" si="20"/>
        <v>34.894486017473433</v>
      </c>
      <c r="Y86" s="2">
        <f t="shared" ca="1" si="20"/>
        <v>33.830505080091953</v>
      </c>
      <c r="Z86" s="2">
        <f t="shared" ca="1" si="20"/>
        <v>28.348336119436375</v>
      </c>
      <c r="AA86" s="2">
        <f t="shared" ca="1" si="20"/>
        <v>29.303227587865504</v>
      </c>
      <c r="AB86" s="2">
        <f t="shared" ca="1" si="20"/>
        <v>25.656022969979936</v>
      </c>
      <c r="AC86" s="2">
        <f t="shared" ca="1" si="20"/>
        <v>27.6671737652456</v>
      </c>
      <c r="AD86" s="2">
        <f t="shared" ca="1" si="20"/>
        <v>27.15808910840332</v>
      </c>
      <c r="AE86" s="2">
        <f t="shared" ca="1" si="20"/>
        <v>28.315898208498108</v>
      </c>
      <c r="AF86" s="2">
        <f t="shared" ca="1" si="19"/>
        <v>28.523631479207943</v>
      </c>
      <c r="AG86" s="2">
        <f t="shared" ca="1" si="19"/>
        <v>30.690314532629124</v>
      </c>
      <c r="AH86" s="2">
        <f t="shared" ca="1" si="19"/>
        <v>33.906433056684747</v>
      </c>
    </row>
    <row r="87" spans="1:34">
      <c r="A87" t="str">
        <f t="shared" si="17"/>
        <v>Milk</v>
      </c>
      <c r="B87" t="str">
        <f t="shared" si="18"/>
        <v>Oromia</v>
      </c>
      <c r="C87" s="2">
        <f t="shared" ca="1" si="21"/>
        <v>34.185788326462244</v>
      </c>
      <c r="D87" s="2">
        <f t="shared" ca="1" si="21"/>
        <v>30.389450609676601</v>
      </c>
      <c r="E87" s="2">
        <f t="shared" ca="1" si="21"/>
        <v>33.202720569453</v>
      </c>
      <c r="F87" s="2">
        <f t="shared" ca="1" si="21"/>
        <v>29.297056775334866</v>
      </c>
      <c r="G87" s="2">
        <f t="shared" ca="1" si="21"/>
        <v>32.497116586679851</v>
      </c>
      <c r="H87" s="2">
        <f t="shared" ca="1" si="21"/>
        <v>27.186610965383771</v>
      </c>
      <c r="I87" s="2">
        <f t="shared" ca="1" si="21"/>
        <v>25.495144275262909</v>
      </c>
      <c r="J87" s="2">
        <f t="shared" ca="1" si="21"/>
        <v>33.76033638578663</v>
      </c>
      <c r="K87" s="2">
        <f t="shared" ca="1" si="21"/>
        <v>28.722472650782493</v>
      </c>
      <c r="L87" s="2">
        <f t="shared" ca="1" si="21"/>
        <v>33.728687982905292</v>
      </c>
      <c r="M87" s="2">
        <f t="shared" ca="1" si="21"/>
        <v>29.545327168386486</v>
      </c>
      <c r="N87" s="2">
        <f t="shared" ca="1" si="21"/>
        <v>29.278061760286384</v>
      </c>
      <c r="O87" s="2">
        <f t="shared" ca="1" si="21"/>
        <v>33.782777132024044</v>
      </c>
      <c r="P87" s="2">
        <f t="shared" ca="1" si="21"/>
        <v>33.706977569949601</v>
      </c>
      <c r="Q87" s="2">
        <f t="shared" ca="1" si="21"/>
        <v>27.859973977520383</v>
      </c>
      <c r="R87" s="2">
        <f t="shared" ca="1" si="20"/>
        <v>27.264303581402288</v>
      </c>
      <c r="S87" s="2">
        <f t="shared" ca="1" si="20"/>
        <v>31.189335010267595</v>
      </c>
      <c r="T87" s="2">
        <f t="shared" ca="1" si="20"/>
        <v>33.054495817704847</v>
      </c>
      <c r="U87" s="2">
        <f t="shared" ca="1" si="20"/>
        <v>28.981121426459605</v>
      </c>
      <c r="V87" s="2">
        <f t="shared" ca="1" si="20"/>
        <v>29.856986128838724</v>
      </c>
      <c r="W87" s="2">
        <f t="shared" ca="1" si="20"/>
        <v>30.339378623352964</v>
      </c>
      <c r="X87" s="2">
        <f t="shared" ca="1" si="20"/>
        <v>26.48447926085716</v>
      </c>
      <c r="Y87" s="2">
        <f t="shared" ca="1" si="20"/>
        <v>31.400408877412822</v>
      </c>
      <c r="Z87" s="2">
        <f t="shared" ca="1" si="20"/>
        <v>33.413355199069962</v>
      </c>
      <c r="AA87" s="2">
        <f t="shared" ca="1" si="20"/>
        <v>32.471585074689131</v>
      </c>
      <c r="AB87" s="2">
        <f t="shared" ca="1" si="20"/>
        <v>32.612325145523272</v>
      </c>
      <c r="AC87" s="2">
        <f t="shared" ca="1" si="20"/>
        <v>29.819445268953988</v>
      </c>
      <c r="AD87" s="2">
        <f t="shared" ca="1" si="20"/>
        <v>29.370538730257621</v>
      </c>
      <c r="AE87" s="2">
        <f t="shared" ca="1" si="20"/>
        <v>30.418968578289459</v>
      </c>
      <c r="AF87" s="2">
        <f t="shared" ca="1" si="19"/>
        <v>28.09072760036824</v>
      </c>
      <c r="AG87" s="2">
        <f t="shared" ca="1" si="19"/>
        <v>27.660765731083671</v>
      </c>
      <c r="AH87" s="2">
        <f t="shared" ca="1" si="19"/>
        <v>30.166227205014692</v>
      </c>
    </row>
    <row r="88" spans="1:34">
      <c r="A88" t="str">
        <f t="shared" si="17"/>
        <v>Milk</v>
      </c>
      <c r="B88" t="str">
        <f t="shared" si="18"/>
        <v>Somali</v>
      </c>
      <c r="C88" s="2">
        <f t="shared" ca="1" si="21"/>
        <v>28.687373395244762</v>
      </c>
      <c r="D88" s="2">
        <f t="shared" ca="1" si="21"/>
        <v>30.941028163895542</v>
      </c>
      <c r="E88" s="2">
        <f t="shared" ca="1" si="21"/>
        <v>33.872704828388677</v>
      </c>
      <c r="F88" s="2">
        <f t="shared" ca="1" si="21"/>
        <v>30.289982694170053</v>
      </c>
      <c r="G88" s="2">
        <f t="shared" ca="1" si="21"/>
        <v>32.296039330353643</v>
      </c>
      <c r="H88" s="2">
        <f t="shared" ca="1" si="21"/>
        <v>28.120327569390572</v>
      </c>
      <c r="I88" s="2">
        <f t="shared" ca="1" si="21"/>
        <v>26.496407525794815</v>
      </c>
      <c r="J88" s="2">
        <f t="shared" ca="1" si="21"/>
        <v>26.973086741901181</v>
      </c>
      <c r="K88" s="2">
        <f t="shared" ca="1" si="21"/>
        <v>30.627178311662689</v>
      </c>
      <c r="L88" s="2">
        <f t="shared" ca="1" si="21"/>
        <v>34.445023442285596</v>
      </c>
      <c r="M88" s="2">
        <f t="shared" ca="1" si="21"/>
        <v>34.081908499720676</v>
      </c>
      <c r="N88" s="2">
        <f t="shared" ca="1" si="21"/>
        <v>30.811337791725364</v>
      </c>
      <c r="O88" s="2">
        <f t="shared" ca="1" si="21"/>
        <v>33.238581162697031</v>
      </c>
      <c r="P88" s="2">
        <f t="shared" ca="1" si="21"/>
        <v>27.522932330410264</v>
      </c>
      <c r="Q88" s="2">
        <f t="shared" ca="1" si="21"/>
        <v>30.979246146986078</v>
      </c>
      <c r="R88" s="2">
        <f t="shared" ca="1" si="20"/>
        <v>29.45038813637516</v>
      </c>
      <c r="S88" s="2">
        <f t="shared" ca="1" si="20"/>
        <v>29.271192497458554</v>
      </c>
      <c r="T88" s="2">
        <f t="shared" ca="1" si="20"/>
        <v>30.531885032146477</v>
      </c>
      <c r="U88" s="2">
        <f t="shared" ca="1" si="20"/>
        <v>30.486440925008722</v>
      </c>
      <c r="V88" s="2">
        <f t="shared" ca="1" si="20"/>
        <v>30.449895333931106</v>
      </c>
      <c r="W88" s="2">
        <f t="shared" ca="1" si="20"/>
        <v>29.977352516348141</v>
      </c>
      <c r="X88" s="2">
        <f t="shared" ca="1" si="20"/>
        <v>34.417456319534608</v>
      </c>
      <c r="Y88" s="2">
        <f t="shared" ca="1" si="20"/>
        <v>33.039209142160701</v>
      </c>
      <c r="Z88" s="2">
        <f t="shared" ca="1" si="20"/>
        <v>25.544552565792188</v>
      </c>
      <c r="AA88" s="2">
        <f t="shared" ca="1" si="20"/>
        <v>25.926330665462054</v>
      </c>
      <c r="AB88" s="2">
        <f t="shared" ca="1" si="20"/>
        <v>34.207800197225893</v>
      </c>
      <c r="AC88" s="2">
        <f t="shared" ca="1" si="20"/>
        <v>33.03642139871863</v>
      </c>
      <c r="AD88" s="2">
        <f t="shared" ca="1" si="20"/>
        <v>30.421089452141231</v>
      </c>
      <c r="AE88" s="2">
        <f t="shared" ca="1" si="20"/>
        <v>32.069379229779486</v>
      </c>
      <c r="AF88" s="2">
        <f t="shared" ca="1" si="19"/>
        <v>28.690415153032369</v>
      </c>
      <c r="AG88" s="2">
        <f t="shared" ca="1" si="19"/>
        <v>29.952839256918335</v>
      </c>
      <c r="AH88" s="2">
        <f t="shared" ca="1" si="19"/>
        <v>29.378312739348278</v>
      </c>
    </row>
    <row r="89" spans="1:34">
      <c r="A89" t="str">
        <f t="shared" si="17"/>
        <v>Milk</v>
      </c>
      <c r="B89" t="str">
        <f t="shared" si="18"/>
        <v>SNNPR</v>
      </c>
      <c r="C89" s="2">
        <f t="shared" ca="1" si="21"/>
        <v>28.705941994025949</v>
      </c>
      <c r="D89" s="2">
        <f t="shared" ca="1" si="21"/>
        <v>33.330649374112795</v>
      </c>
      <c r="E89" s="2">
        <f t="shared" ca="1" si="21"/>
        <v>34.525204546119618</v>
      </c>
      <c r="F89" s="2">
        <f t="shared" ca="1" si="21"/>
        <v>34.713383828591653</v>
      </c>
      <c r="G89" s="2">
        <f t="shared" ca="1" si="21"/>
        <v>31.578570885534781</v>
      </c>
      <c r="H89" s="2">
        <f t="shared" ca="1" si="21"/>
        <v>30.050940189061443</v>
      </c>
      <c r="I89" s="2">
        <f t="shared" ca="1" si="21"/>
        <v>27.67943654171091</v>
      </c>
      <c r="J89" s="2">
        <f t="shared" ca="1" si="21"/>
        <v>28.782595072307942</v>
      </c>
      <c r="K89" s="2">
        <f t="shared" ca="1" si="21"/>
        <v>31.707610471789636</v>
      </c>
      <c r="L89" s="2">
        <f t="shared" ca="1" si="21"/>
        <v>34.07478948125361</v>
      </c>
      <c r="M89" s="2">
        <f t="shared" ca="1" si="21"/>
        <v>25.015032027814506</v>
      </c>
      <c r="N89" s="2">
        <f t="shared" ca="1" si="21"/>
        <v>29.25433902218321</v>
      </c>
      <c r="O89" s="2">
        <f t="shared" ca="1" si="21"/>
        <v>32.532495445123082</v>
      </c>
      <c r="P89" s="2">
        <f t="shared" ca="1" si="21"/>
        <v>25.153379798870507</v>
      </c>
      <c r="Q89" s="2">
        <f t="shared" ca="1" si="21"/>
        <v>33.547536345455896</v>
      </c>
      <c r="R89" s="2">
        <f t="shared" ca="1" si="20"/>
        <v>27.738570449731785</v>
      </c>
      <c r="S89" s="2">
        <f t="shared" ca="1" si="20"/>
        <v>28.090929629558616</v>
      </c>
      <c r="T89" s="2">
        <f t="shared" ca="1" si="20"/>
        <v>34.557454896448775</v>
      </c>
      <c r="U89" s="2">
        <f t="shared" ca="1" si="20"/>
        <v>33.817166266862564</v>
      </c>
      <c r="V89" s="2">
        <f t="shared" ca="1" si="20"/>
        <v>26.796464354595258</v>
      </c>
      <c r="W89" s="2">
        <f t="shared" ca="1" si="20"/>
        <v>25.541841275350841</v>
      </c>
      <c r="X89" s="2">
        <f t="shared" ca="1" si="20"/>
        <v>28.22361116697283</v>
      </c>
      <c r="Y89" s="2">
        <f t="shared" ca="1" si="20"/>
        <v>29.642470184661498</v>
      </c>
      <c r="Z89" s="2">
        <f t="shared" ca="1" si="20"/>
        <v>28.201692188272492</v>
      </c>
      <c r="AA89" s="2">
        <f t="shared" ca="1" si="20"/>
        <v>32.862095369367729</v>
      </c>
      <c r="AB89" s="2">
        <f t="shared" ca="1" si="20"/>
        <v>29.313109278948328</v>
      </c>
      <c r="AC89" s="2">
        <f t="shared" ca="1" si="20"/>
        <v>28.575705426437381</v>
      </c>
      <c r="AD89" s="2">
        <f t="shared" ca="1" si="20"/>
        <v>33.221759653704808</v>
      </c>
      <c r="AE89" s="2">
        <f t="shared" ca="1" si="20"/>
        <v>33.525126223365696</v>
      </c>
      <c r="AF89" s="2">
        <f t="shared" ca="1" si="19"/>
        <v>28.911865160685725</v>
      </c>
      <c r="AG89" s="2">
        <f t="shared" ca="1" si="19"/>
        <v>25.102183772344119</v>
      </c>
      <c r="AH89" s="2">
        <f t="shared" ca="1" si="19"/>
        <v>31.178010079380503</v>
      </c>
    </row>
    <row r="90" spans="1:34">
      <c r="A90" t="str">
        <f t="shared" si="17"/>
        <v>Milk</v>
      </c>
      <c r="B90" t="str">
        <f t="shared" si="18"/>
        <v>Tigray</v>
      </c>
      <c r="C90" s="2">
        <f t="shared" ca="1" si="21"/>
        <v>33.350444021904714</v>
      </c>
      <c r="D90" s="2">
        <f t="shared" ca="1" si="21"/>
        <v>29.332769938706647</v>
      </c>
      <c r="E90" s="2">
        <f t="shared" ca="1" si="21"/>
        <v>26.461398374708217</v>
      </c>
      <c r="F90" s="2">
        <f t="shared" ca="1" si="21"/>
        <v>34.382764019461753</v>
      </c>
      <c r="G90" s="2">
        <f t="shared" ca="1" si="21"/>
        <v>30.614402497689603</v>
      </c>
      <c r="H90" s="2">
        <f t="shared" ca="1" si="21"/>
        <v>26.533963700800975</v>
      </c>
      <c r="I90" s="2">
        <f t="shared" ca="1" si="21"/>
        <v>33.276938902050695</v>
      </c>
      <c r="J90" s="2">
        <f t="shared" ca="1" si="21"/>
        <v>28.815901458646486</v>
      </c>
      <c r="K90" s="2">
        <f t="shared" ca="1" si="21"/>
        <v>32.111757727921194</v>
      </c>
      <c r="L90" s="2">
        <f t="shared" ca="1" si="21"/>
        <v>29.338880987206938</v>
      </c>
      <c r="M90" s="2">
        <f t="shared" ca="1" si="21"/>
        <v>27.076055501358532</v>
      </c>
      <c r="N90" s="2">
        <f t="shared" ca="1" si="21"/>
        <v>34.003135818532883</v>
      </c>
      <c r="O90" s="2">
        <f t="shared" ca="1" si="21"/>
        <v>34.228475473957445</v>
      </c>
      <c r="P90" s="2">
        <f t="shared" ca="1" si="21"/>
        <v>28.852361102059241</v>
      </c>
      <c r="Q90" s="2">
        <f t="shared" ca="1" si="21"/>
        <v>26.662173821611212</v>
      </c>
      <c r="R90" s="2">
        <f t="shared" ca="1" si="20"/>
        <v>31.826796225188506</v>
      </c>
      <c r="S90" s="2">
        <f t="shared" ca="1" si="20"/>
        <v>26.06051842539884</v>
      </c>
      <c r="T90" s="2">
        <f t="shared" ca="1" si="20"/>
        <v>28.531368992355382</v>
      </c>
      <c r="U90" s="2">
        <f t="shared" ca="1" si="20"/>
        <v>26.250755614384161</v>
      </c>
      <c r="V90" s="2">
        <f t="shared" ca="1" si="20"/>
        <v>26.176283039087423</v>
      </c>
      <c r="W90" s="2">
        <f t="shared" ca="1" si="20"/>
        <v>31.370404868145982</v>
      </c>
      <c r="X90" s="2">
        <f t="shared" ca="1" si="20"/>
        <v>30.056842784223264</v>
      </c>
      <c r="Y90" s="2">
        <f t="shared" ca="1" si="20"/>
        <v>31.50088041251162</v>
      </c>
      <c r="Z90" s="2">
        <f t="shared" ca="1" si="20"/>
        <v>34.734597594431207</v>
      </c>
      <c r="AA90" s="2">
        <f t="shared" ca="1" si="20"/>
        <v>27.101678514898406</v>
      </c>
      <c r="AB90" s="2">
        <f t="shared" ca="1" si="20"/>
        <v>28.325218178642018</v>
      </c>
      <c r="AC90" s="2">
        <f t="shared" ca="1" si="20"/>
        <v>32.367501570721146</v>
      </c>
      <c r="AD90" s="2">
        <f t="shared" ca="1" si="20"/>
        <v>27.973829154509389</v>
      </c>
      <c r="AE90" s="2">
        <f t="shared" ca="1" si="20"/>
        <v>32.170583964331946</v>
      </c>
      <c r="AF90" s="2">
        <f t="shared" ca="1" si="19"/>
        <v>31.065052731540952</v>
      </c>
      <c r="AG90" s="2">
        <f t="shared" ca="1" si="19"/>
        <v>28.682035963316565</v>
      </c>
      <c r="AH90" s="2">
        <f t="shared" ca="1" si="19"/>
        <v>30.825988379642787</v>
      </c>
    </row>
  </sheetData>
  <pageMargins left="0.75" right="0.75" top="1" bottom="1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51"/>
  <sheetViews>
    <sheetView topLeftCell="A13" zoomScale="85" zoomScaleNormal="85" workbookViewId="0">
      <selection activeCell="M53" sqref="M53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Belg</v>
      </c>
      <c r="C1" t="str">
        <v>Kremt</v>
      </c>
      <c r="D1" t="str">
        <f>B1</f>
        <v>Belg</v>
      </c>
      <c r="E1" t="str">
        <f t="shared" ref="E1:AG1" si="0">C1</f>
        <v>Kremt</v>
      </c>
      <c r="F1" t="str">
        <f t="shared" si="0"/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f ca="1">S41*27/SUM($S$41:$S$51)+RAND()*5</f>
        <v>1.395567622948422</v>
      </c>
      <c r="C3" s="2">
        <f t="shared" ref="C3:AG3" ca="1" si="2">T41*27/SUM($S$41:$S$51)+RAND()*5</f>
        <v>3.5290386324416994</v>
      </c>
      <c r="D3" s="2">
        <f t="shared" ca="1" si="2"/>
        <v>3.3385885052827069</v>
      </c>
      <c r="E3" s="2">
        <f t="shared" ca="1" si="2"/>
        <v>3.3930877731070339</v>
      </c>
      <c r="F3" s="2">
        <f t="shared" ca="1" si="2"/>
        <v>1.1885817471618672</v>
      </c>
      <c r="G3" s="2">
        <f t="shared" ca="1" si="2"/>
        <v>2.1884014920760815</v>
      </c>
      <c r="H3" s="2">
        <f t="shared" ca="1" si="2"/>
        <v>0.40415158742424462</v>
      </c>
      <c r="I3" s="2">
        <f t="shared" ca="1" si="2"/>
        <v>0.79620534388165132</v>
      </c>
      <c r="J3" s="2">
        <f t="shared" ca="1" si="2"/>
        <v>0.35677113406262284</v>
      </c>
      <c r="K3" s="2">
        <f t="shared" ca="1" si="2"/>
        <v>3.9651511055601167</v>
      </c>
      <c r="L3" s="2">
        <f t="shared" ca="1" si="2"/>
        <v>0.55056562035703083</v>
      </c>
      <c r="M3" s="2">
        <f t="shared" ca="1" si="2"/>
        <v>1.718277278586597</v>
      </c>
      <c r="N3" s="2">
        <f t="shared" ca="1" si="2"/>
        <v>4.263783232017194</v>
      </c>
      <c r="O3" s="2">
        <f t="shared" ca="1" si="2"/>
        <v>3.130189346889753</v>
      </c>
      <c r="P3" s="2">
        <f t="shared" ca="1" si="2"/>
        <v>4.6747246030151199</v>
      </c>
      <c r="Q3" s="2">
        <f t="shared" ca="1" si="2"/>
        <v>2.770489085452934</v>
      </c>
      <c r="R3" s="2">
        <f t="shared" ca="1" si="2"/>
        <v>2.1092282834822407</v>
      </c>
      <c r="S3" s="2">
        <f t="shared" ca="1" si="2"/>
        <v>4.8516894387859635</v>
      </c>
      <c r="T3" s="2">
        <f t="shared" ca="1" si="2"/>
        <v>1.7749175858700739</v>
      </c>
      <c r="U3" s="2">
        <f t="shared" ca="1" si="2"/>
        <v>4.0454003223088</v>
      </c>
      <c r="V3" s="2">
        <f t="shared" ca="1" si="2"/>
        <v>0.33576280140078185</v>
      </c>
      <c r="W3" s="2">
        <f t="shared" ca="1" si="2"/>
        <v>0.78462573717635264</v>
      </c>
      <c r="X3" s="2">
        <f t="shared" ca="1" si="2"/>
        <v>1.6060026609831684</v>
      </c>
      <c r="Y3" s="2">
        <f t="shared" ca="1" si="2"/>
        <v>3.2978256322653321</v>
      </c>
      <c r="Z3" s="2">
        <f t="shared" ca="1" si="2"/>
        <v>3.3589455080353292</v>
      </c>
      <c r="AA3" s="2">
        <f t="shared" ca="1" si="2"/>
        <v>0.99267594275012028</v>
      </c>
      <c r="AB3" s="2">
        <f t="shared" ca="1" si="2"/>
        <v>2.881273365341146</v>
      </c>
      <c r="AC3" s="2">
        <f t="shared" ca="1" si="2"/>
        <v>4.7261607823799441</v>
      </c>
      <c r="AD3" s="2">
        <f t="shared" ca="1" si="2"/>
        <v>4.183362015064584</v>
      </c>
      <c r="AE3" s="2">
        <f t="shared" ca="1" si="2"/>
        <v>3.4900718341876908</v>
      </c>
      <c r="AF3" s="2">
        <f t="shared" ca="1" si="2"/>
        <v>3.4331902313700349</v>
      </c>
      <c r="AG3" s="2">
        <f t="shared" ca="1" si="2"/>
        <v>3.6891999154917823</v>
      </c>
    </row>
    <row r="4" spans="1:33">
      <c r="A4" t="str">
        <v>Afar</v>
      </c>
      <c r="B4" s="2">
        <f t="shared" ref="B4:B13" ca="1" si="3">S42*27/SUM($S$41:$S$51)+RAND()*5</f>
        <v>3.0856840847430123</v>
      </c>
      <c r="C4" s="2">
        <f t="shared" ref="C4:C13" ca="1" si="4">T42*27/SUM($S$41:$S$51)+RAND()*5</f>
        <v>3.0607197139108222</v>
      </c>
      <c r="D4" s="2">
        <f t="shared" ref="D4:D13" ca="1" si="5">U42*27/SUM($S$41:$S$51)+RAND()*5</f>
        <v>0.31412104984520017</v>
      </c>
      <c r="E4" s="2">
        <f t="shared" ref="E4:E13" ca="1" si="6">V42*27/SUM($S$41:$S$51)+RAND()*5</f>
        <v>0.60297955776994538</v>
      </c>
      <c r="F4" s="2">
        <f t="shared" ref="F4:F13" ca="1" si="7">W42*27/SUM($S$41:$S$51)+RAND()*5</f>
        <v>2.3732949910662073</v>
      </c>
      <c r="G4" s="2">
        <f t="shared" ref="G4:G13" ca="1" si="8">X42*27/SUM($S$41:$S$51)+RAND()*5</f>
        <v>0.4495083543358247</v>
      </c>
      <c r="H4" s="2">
        <f t="shared" ref="H4:H13" ca="1" si="9">Y42*27/SUM($S$41:$S$51)+RAND()*5</f>
        <v>2.570996526807114</v>
      </c>
      <c r="I4" s="2">
        <f t="shared" ref="I4:I13" ca="1" si="10">Z42*27/SUM($S$41:$S$51)+RAND()*5</f>
        <v>1.1464644641004988</v>
      </c>
      <c r="J4" s="2">
        <f t="shared" ref="J4:J13" ca="1" si="11">AA42*27/SUM($S$41:$S$51)+RAND()*5</f>
        <v>1.8201079288241484</v>
      </c>
      <c r="K4" s="2">
        <f t="shared" ref="K4:K13" ca="1" si="12">AB42*27/SUM($S$41:$S$51)+RAND()*5</f>
        <v>1.5591279554597293</v>
      </c>
      <c r="L4" s="2">
        <f t="shared" ref="L4:L13" ca="1" si="13">AC42*27/SUM($S$41:$S$51)+RAND()*5</f>
        <v>0.32964464545524041</v>
      </c>
      <c r="M4" s="2">
        <f t="shared" ref="M4:M13" ca="1" si="14">AD42*27/SUM($S$41:$S$51)+RAND()*5</f>
        <v>3.1019002877740927</v>
      </c>
      <c r="N4" s="2">
        <f t="shared" ref="N4:N13" ca="1" si="15">AE42*27/SUM($S$41:$S$51)+RAND()*5</f>
        <v>0.73225718652435767</v>
      </c>
      <c r="O4" s="2">
        <f t="shared" ref="O4:O13" ca="1" si="16">AF42*27/SUM($S$41:$S$51)+RAND()*5</f>
        <v>2.9570464567298442</v>
      </c>
      <c r="P4" s="2">
        <f t="shared" ref="P4:P13" ca="1" si="17">AG42*27/SUM($S$41:$S$51)+RAND()*5</f>
        <v>1.5895289098798511</v>
      </c>
      <c r="Q4" s="2">
        <f t="shared" ref="Q4:Q13" ca="1" si="18">AH42*27/SUM($S$41:$S$51)+RAND()*5</f>
        <v>0.53719062011273799</v>
      </c>
      <c r="R4" s="2">
        <f t="shared" ref="R4:R13" ca="1" si="19">AI42*27/SUM($S$41:$S$51)+RAND()*5</f>
        <v>0.13317145052099633</v>
      </c>
      <c r="S4" s="2">
        <f t="shared" ref="S4:S13" ca="1" si="20">AJ42*27/SUM($S$41:$S$51)+RAND()*5</f>
        <v>3.3055748562859182</v>
      </c>
      <c r="T4" s="2">
        <f t="shared" ref="T4:T13" ca="1" si="21">AK42*27/SUM($S$41:$S$51)+RAND()*5</f>
        <v>2.1436229441881509</v>
      </c>
      <c r="U4" s="2">
        <f t="shared" ref="U4:U13" ca="1" si="22">AL42*27/SUM($S$41:$S$51)+RAND()*5</f>
        <v>4.6016693973318397</v>
      </c>
      <c r="V4" s="2">
        <f t="shared" ref="V4:V13" ca="1" si="23">AM42*27/SUM($S$41:$S$51)+RAND()*5</f>
        <v>2.8578585122089546</v>
      </c>
      <c r="W4" s="2">
        <f t="shared" ref="W4:W13" ca="1" si="24">AN42*27/SUM($S$41:$S$51)+RAND()*5</f>
        <v>0.76865310384181762</v>
      </c>
      <c r="X4" s="2">
        <f t="shared" ref="X4:X13" ca="1" si="25">AO42*27/SUM($S$41:$S$51)+RAND()*5</f>
        <v>3.0747496369093597</v>
      </c>
      <c r="Y4" s="2">
        <f t="shared" ref="Y4:Y13" ca="1" si="26">AP42*27/SUM($S$41:$S$51)+RAND()*5</f>
        <v>4.0986228233398005</v>
      </c>
      <c r="Z4" s="2">
        <f t="shared" ref="Z4:Z13" ca="1" si="27">AQ42*27/SUM($S$41:$S$51)+RAND()*5</f>
        <v>1.4866463030807853</v>
      </c>
      <c r="AA4" s="2">
        <f t="shared" ref="AA4:AA13" ca="1" si="28">AR42*27/SUM($S$41:$S$51)+RAND()*5</f>
        <v>1.1701239482868486</v>
      </c>
      <c r="AB4" s="2">
        <f t="shared" ref="AB4:AB13" ca="1" si="29">AS42*27/SUM($S$41:$S$51)+RAND()*5</f>
        <v>0.2241220031574781</v>
      </c>
      <c r="AC4" s="2">
        <f t="shared" ref="AC4:AC13" ca="1" si="30">AT42*27/SUM($S$41:$S$51)+RAND()*5</f>
        <v>1.4219994019042641</v>
      </c>
      <c r="AD4" s="2">
        <f t="shared" ref="AD4:AD13" ca="1" si="31">AU42*27/SUM($S$41:$S$51)+RAND()*5</f>
        <v>1.0342079864601135</v>
      </c>
      <c r="AE4" s="2">
        <f t="shared" ref="AE4:AE13" ca="1" si="32">AV42*27/SUM($S$41:$S$51)+RAND()*5</f>
        <v>1.8106259150411526</v>
      </c>
      <c r="AF4" s="2">
        <f t="shared" ref="AF4:AF13" ca="1" si="33">AW42*27/SUM($S$41:$S$51)+RAND()*5</f>
        <v>4.375635246502652</v>
      </c>
      <c r="AG4" s="2">
        <f t="shared" ref="AG4:AG13" ca="1" si="34">AX42*27/SUM($S$41:$S$51)+RAND()*5</f>
        <v>3.6001733669936771</v>
      </c>
    </row>
    <row r="5" spans="1:33">
      <c r="A5" t="str">
        <v>Amhara</v>
      </c>
      <c r="B5" s="2">
        <f t="shared" ca="1" si="3"/>
        <v>7.0635912292788232</v>
      </c>
      <c r="C5" s="2">
        <f t="shared" ca="1" si="4"/>
        <v>0.68401513973595007</v>
      </c>
      <c r="D5" s="2">
        <f t="shared" ca="1" si="5"/>
        <v>2.7429949100217375</v>
      </c>
      <c r="E5" s="2">
        <f t="shared" ca="1" si="6"/>
        <v>4.8958900705633406</v>
      </c>
      <c r="F5" s="2">
        <f t="shared" ca="1" si="7"/>
        <v>1.8070753693744583</v>
      </c>
      <c r="G5" s="2">
        <f t="shared" ca="1" si="8"/>
        <v>1.9672316165568782</v>
      </c>
      <c r="H5" s="2">
        <f t="shared" ca="1" si="9"/>
        <v>4.1433420862902635</v>
      </c>
      <c r="I5" s="2">
        <f t="shared" ca="1" si="10"/>
        <v>0.98285108977612834</v>
      </c>
      <c r="J5" s="2">
        <f t="shared" ca="1" si="11"/>
        <v>3.0579808935140522</v>
      </c>
      <c r="K5" s="2">
        <f t="shared" ca="1" si="12"/>
        <v>4.3390438901373107</v>
      </c>
      <c r="L5" s="2">
        <f t="shared" ca="1" si="13"/>
        <v>2.0386951544281455</v>
      </c>
      <c r="M5" s="2">
        <f t="shared" ca="1" si="14"/>
        <v>2.6378823012817394</v>
      </c>
      <c r="N5" s="2">
        <f t="shared" ca="1" si="15"/>
        <v>4.4385716059914495</v>
      </c>
      <c r="O5" s="2">
        <f t="shared" ca="1" si="16"/>
        <v>3.3723455222677301</v>
      </c>
      <c r="P5" s="2">
        <f t="shared" ca="1" si="17"/>
        <v>0.56820286310229007</v>
      </c>
      <c r="Q5" s="2">
        <f t="shared" ca="1" si="18"/>
        <v>4.8297084752433896</v>
      </c>
      <c r="R5" s="2">
        <f t="shared" ca="1" si="19"/>
        <v>3.3483971770215533</v>
      </c>
      <c r="S5" s="2">
        <f t="shared" ca="1" si="20"/>
        <v>2.7902176951834914</v>
      </c>
      <c r="T5" s="2">
        <f t="shared" ca="1" si="21"/>
        <v>4.1523993453051027</v>
      </c>
      <c r="U5" s="2">
        <f t="shared" ca="1" si="22"/>
        <v>0.44205097208479927</v>
      </c>
      <c r="V5" s="2">
        <f t="shared" ca="1" si="23"/>
        <v>2.0916615686938256</v>
      </c>
      <c r="W5" s="2">
        <f t="shared" ca="1" si="24"/>
        <v>3.6270309054526035</v>
      </c>
      <c r="X5" s="2">
        <f t="shared" ca="1" si="25"/>
        <v>3.3220667874477572</v>
      </c>
      <c r="Y5" s="2">
        <f t="shared" ca="1" si="26"/>
        <v>1.3707977078929168</v>
      </c>
      <c r="Z5" s="2">
        <f t="shared" ca="1" si="27"/>
        <v>2.9453408893614759</v>
      </c>
      <c r="AA5" s="2">
        <f t="shared" ca="1" si="28"/>
        <v>0.48093982234997112</v>
      </c>
      <c r="AB5" s="2">
        <f t="shared" ca="1" si="29"/>
        <v>0.11064629385032054</v>
      </c>
      <c r="AC5" s="2">
        <f t="shared" ca="1" si="30"/>
        <v>1.7566806620246611</v>
      </c>
      <c r="AD5" s="2">
        <f t="shared" ca="1" si="31"/>
        <v>2.942363783762505</v>
      </c>
      <c r="AE5" s="2">
        <f t="shared" ca="1" si="32"/>
        <v>1.2724251480154485</v>
      </c>
      <c r="AF5" s="2">
        <f t="shared" ca="1" si="33"/>
        <v>2.8159418375680785</v>
      </c>
      <c r="AG5" s="2">
        <f t="shared" ca="1" si="34"/>
        <v>0.41061503987774195</v>
      </c>
    </row>
    <row r="6" spans="1:33">
      <c r="A6" t="str">
        <v>Gumuz</v>
      </c>
      <c r="B6" s="2">
        <f t="shared" ca="1" si="3"/>
        <v>3.2278851636990686</v>
      </c>
      <c r="C6" s="2">
        <f t="shared" ca="1" si="4"/>
        <v>4.4294232653501027</v>
      </c>
      <c r="D6" s="2">
        <f t="shared" ca="1" si="5"/>
        <v>4.6715426564953679</v>
      </c>
      <c r="E6" s="2">
        <f t="shared" ca="1" si="6"/>
        <v>4.6937405027673176</v>
      </c>
      <c r="F6" s="2">
        <f t="shared" ca="1" si="7"/>
        <v>0.36376033348714532</v>
      </c>
      <c r="G6" s="2">
        <f t="shared" ca="1" si="8"/>
        <v>4.5673046473280019</v>
      </c>
      <c r="H6" s="2">
        <f t="shared" ca="1" si="9"/>
        <v>2.0710466785531767</v>
      </c>
      <c r="I6" s="2">
        <f t="shared" ca="1" si="10"/>
        <v>2.3134805854538958</v>
      </c>
      <c r="J6" s="2">
        <f t="shared" ca="1" si="11"/>
        <v>4.4802503254391448</v>
      </c>
      <c r="K6" s="2">
        <f t="shared" ca="1" si="12"/>
        <v>4.1744809152397835</v>
      </c>
      <c r="L6" s="2">
        <f t="shared" ca="1" si="13"/>
        <v>4.6797320247671168</v>
      </c>
      <c r="M6" s="2">
        <f t="shared" ca="1" si="14"/>
        <v>4.5020234521797837</v>
      </c>
      <c r="N6" s="2">
        <f t="shared" ca="1" si="15"/>
        <v>3.1365301966338905</v>
      </c>
      <c r="O6" s="2">
        <f t="shared" ca="1" si="16"/>
        <v>0.81064400768881217</v>
      </c>
      <c r="P6" s="2">
        <f t="shared" ca="1" si="17"/>
        <v>4.2704796689661455</v>
      </c>
      <c r="Q6" s="2">
        <f t="shared" ca="1" si="18"/>
        <v>0.38038760756936685</v>
      </c>
      <c r="R6" s="2">
        <f t="shared" ca="1" si="19"/>
        <v>0.37300127890662615</v>
      </c>
      <c r="S6" s="2">
        <f t="shared" ca="1" si="20"/>
        <v>2.6800031260529931</v>
      </c>
      <c r="T6" s="2">
        <f t="shared" ca="1" si="21"/>
        <v>4.928222273742219</v>
      </c>
      <c r="U6" s="2">
        <f t="shared" ca="1" si="22"/>
        <v>4.5413128165052381</v>
      </c>
      <c r="V6" s="2">
        <f t="shared" ca="1" si="23"/>
        <v>4.9946475572466831</v>
      </c>
      <c r="W6" s="2">
        <f t="shared" ca="1" si="24"/>
        <v>1.524869425889241</v>
      </c>
      <c r="X6" s="2">
        <f t="shared" ca="1" si="25"/>
        <v>2.2459898498076605</v>
      </c>
      <c r="Y6" s="2">
        <f t="shared" ca="1" si="26"/>
        <v>2.4321288666850416</v>
      </c>
      <c r="Z6" s="2">
        <f t="shared" ca="1" si="27"/>
        <v>0.65774342852697287</v>
      </c>
      <c r="AA6" s="2">
        <f t="shared" ca="1" si="28"/>
        <v>4.1006242410316149</v>
      </c>
      <c r="AB6" s="2">
        <f t="shared" ca="1" si="29"/>
        <v>2.9973415217186976</v>
      </c>
      <c r="AC6" s="2">
        <f t="shared" ca="1" si="30"/>
        <v>1.3016556280755098</v>
      </c>
      <c r="AD6" s="2">
        <f t="shared" ca="1" si="31"/>
        <v>1.1579695763309372</v>
      </c>
      <c r="AE6" s="2">
        <f t="shared" ca="1" si="32"/>
        <v>1.3398627919491202</v>
      </c>
      <c r="AF6" s="2">
        <f t="shared" ca="1" si="33"/>
        <v>2.364476944702731</v>
      </c>
      <c r="AG6" s="2">
        <f t="shared" ca="1" si="34"/>
        <v>3.0375021199466321</v>
      </c>
    </row>
    <row r="7" spans="1:33">
      <c r="A7" t="str">
        <v>DireDawa</v>
      </c>
      <c r="B7" s="2">
        <f t="shared" ca="1" si="3"/>
        <v>1.9082450874930825</v>
      </c>
      <c r="C7" s="2">
        <f t="shared" ca="1" si="4"/>
        <v>3.8971664358397544</v>
      </c>
      <c r="D7" s="2">
        <f t="shared" ca="1" si="5"/>
        <v>4.415866271235279</v>
      </c>
      <c r="E7" s="2">
        <f t="shared" ca="1" si="6"/>
        <v>2.7869069393823303</v>
      </c>
      <c r="F7" s="2">
        <f t="shared" ca="1" si="7"/>
        <v>4.8600107000227419</v>
      </c>
      <c r="G7" s="2">
        <f t="shared" ca="1" si="8"/>
        <v>4.3871016323188368</v>
      </c>
      <c r="H7" s="2">
        <f t="shared" ca="1" si="9"/>
        <v>1.7063715162143267</v>
      </c>
      <c r="I7" s="2">
        <f t="shared" ca="1" si="10"/>
        <v>1.2378523132723795</v>
      </c>
      <c r="J7" s="2">
        <f t="shared" ca="1" si="11"/>
        <v>2.5403170413241423</v>
      </c>
      <c r="K7" s="2">
        <f t="shared" ca="1" si="12"/>
        <v>4.4482862796376113</v>
      </c>
      <c r="L7" s="2">
        <f t="shared" ca="1" si="13"/>
        <v>4.8725177554355872</v>
      </c>
      <c r="M7" s="2">
        <f t="shared" ca="1" si="14"/>
        <v>2.2989162259221811</v>
      </c>
      <c r="N7" s="2">
        <f t="shared" ca="1" si="15"/>
        <v>1.8542068762794583</v>
      </c>
      <c r="O7" s="2">
        <f t="shared" ca="1" si="16"/>
        <v>1.1717464210177337</v>
      </c>
      <c r="P7" s="2">
        <f t="shared" ca="1" si="17"/>
        <v>1.1296389178654487</v>
      </c>
      <c r="Q7" s="2">
        <f t="shared" ca="1" si="18"/>
        <v>2.1043491300900445</v>
      </c>
      <c r="R7" s="2">
        <f t="shared" ca="1" si="19"/>
        <v>2.8196974767204952</v>
      </c>
      <c r="S7" s="2">
        <f t="shared" ca="1" si="20"/>
        <v>0.56235364846210556</v>
      </c>
      <c r="T7" s="2">
        <f t="shared" ca="1" si="21"/>
        <v>3.0190780832484982</v>
      </c>
      <c r="U7" s="2">
        <f t="shared" ca="1" si="22"/>
        <v>1.9311187846505611</v>
      </c>
      <c r="V7" s="2">
        <f t="shared" ca="1" si="23"/>
        <v>2.2795000890656607</v>
      </c>
      <c r="W7" s="2">
        <f t="shared" ca="1" si="24"/>
        <v>1.1576251249124763</v>
      </c>
      <c r="X7" s="2">
        <f t="shared" ca="1" si="25"/>
        <v>1.0970768201990011</v>
      </c>
      <c r="Y7" s="2">
        <f t="shared" ca="1" si="26"/>
        <v>0.34617915701911306</v>
      </c>
      <c r="Z7" s="2">
        <f t="shared" ca="1" si="27"/>
        <v>1.0691562291322727</v>
      </c>
      <c r="AA7" s="2">
        <f t="shared" ca="1" si="28"/>
        <v>0.44673286253723465</v>
      </c>
      <c r="AB7" s="2">
        <f t="shared" ca="1" si="29"/>
        <v>0.34298633006739243</v>
      </c>
      <c r="AC7" s="2">
        <f t="shared" ca="1" si="30"/>
        <v>1.6108890767713735</v>
      </c>
      <c r="AD7" s="2">
        <f t="shared" ca="1" si="31"/>
        <v>0.65476579918336164</v>
      </c>
      <c r="AE7" s="2">
        <f t="shared" ca="1" si="32"/>
        <v>2.515358707391619</v>
      </c>
      <c r="AF7" s="2">
        <f t="shared" ca="1" si="33"/>
        <v>4.0784027375833283</v>
      </c>
      <c r="AG7" s="2">
        <f t="shared" ca="1" si="34"/>
        <v>3.7836084595188795</v>
      </c>
    </row>
    <row r="8" spans="1:33">
      <c r="A8" t="str">
        <v>Gambela</v>
      </c>
      <c r="B8" s="2">
        <f t="shared" ca="1" si="3"/>
        <v>4.0218304501271538</v>
      </c>
      <c r="C8" s="2">
        <f t="shared" ca="1" si="4"/>
        <v>2.6077116151706345</v>
      </c>
      <c r="D8" s="2">
        <f t="shared" ca="1" si="5"/>
        <v>4.1994337810385804</v>
      </c>
      <c r="E8" s="2">
        <f t="shared" ca="1" si="6"/>
        <v>4.4192565351849264</v>
      </c>
      <c r="F8" s="2">
        <f t="shared" ca="1" si="7"/>
        <v>4.3568429563301052</v>
      </c>
      <c r="G8" s="2">
        <f t="shared" ca="1" si="8"/>
        <v>1.6148961109740863</v>
      </c>
      <c r="H8" s="2">
        <f t="shared" ca="1" si="9"/>
        <v>2.0788095579053545</v>
      </c>
      <c r="I8" s="2">
        <f t="shared" ca="1" si="10"/>
        <v>2.7833180861814055</v>
      </c>
      <c r="J8" s="2">
        <f t="shared" ca="1" si="11"/>
        <v>3.6647545427826991</v>
      </c>
      <c r="K8" s="2">
        <f t="shared" ca="1" si="12"/>
        <v>3.7590739738015646</v>
      </c>
      <c r="L8" s="2">
        <f t="shared" ca="1" si="13"/>
        <v>2.557753779074603</v>
      </c>
      <c r="M8" s="2">
        <f t="shared" ca="1" si="14"/>
        <v>0.94938914650175121</v>
      </c>
      <c r="N8" s="2">
        <f t="shared" ca="1" si="15"/>
        <v>3.6805903966507394</v>
      </c>
      <c r="O8" s="2">
        <f t="shared" ca="1" si="16"/>
        <v>0.60930065829192304</v>
      </c>
      <c r="P8" s="2">
        <f t="shared" ca="1" si="17"/>
        <v>0.92930861700116663</v>
      </c>
      <c r="Q8" s="2">
        <f t="shared" ca="1" si="18"/>
        <v>4.1240013145284324</v>
      </c>
      <c r="R8" s="2">
        <f t="shared" ca="1" si="19"/>
        <v>3.1646973097213449</v>
      </c>
      <c r="S8" s="2">
        <f t="shared" ca="1" si="20"/>
        <v>3.4427727001092374</v>
      </c>
      <c r="T8" s="2">
        <f t="shared" ca="1" si="21"/>
        <v>2.7985153736945998</v>
      </c>
      <c r="U8" s="2">
        <f t="shared" ca="1" si="22"/>
        <v>1.6614333214288184</v>
      </c>
      <c r="V8" s="2">
        <f t="shared" ca="1" si="23"/>
        <v>0.74247518823760461</v>
      </c>
      <c r="W8" s="2">
        <f t="shared" ca="1" si="24"/>
        <v>4.7827183059227618</v>
      </c>
      <c r="X8" s="2">
        <f t="shared" ca="1" si="25"/>
        <v>0.71436149119973424</v>
      </c>
      <c r="Y8" s="2">
        <f t="shared" ca="1" si="26"/>
        <v>0.26706460465071358</v>
      </c>
      <c r="Z8" s="2">
        <f t="shared" ca="1" si="27"/>
        <v>1.0744068553095554</v>
      </c>
      <c r="AA8" s="2">
        <f t="shared" ca="1" si="28"/>
        <v>4.2089346580219296</v>
      </c>
      <c r="AB8" s="2">
        <f t="shared" ca="1" si="29"/>
        <v>0.59545166180664133</v>
      </c>
      <c r="AC8" s="2">
        <f t="shared" ca="1" si="30"/>
        <v>0.22667774392069684</v>
      </c>
      <c r="AD8" s="2">
        <f t="shared" ca="1" si="31"/>
        <v>4.3810806624374905</v>
      </c>
      <c r="AE8" s="2">
        <f t="shared" ca="1" si="32"/>
        <v>3.583144540293008</v>
      </c>
      <c r="AF8" s="2">
        <f t="shared" ca="1" si="33"/>
        <v>3.6089306052525094</v>
      </c>
      <c r="AG8" s="2">
        <f t="shared" ca="1" si="34"/>
        <v>1.1497118802083222</v>
      </c>
    </row>
    <row r="9" spans="1:33">
      <c r="A9" t="str">
        <v>Harari</v>
      </c>
      <c r="B9" s="2">
        <f t="shared" ca="1" si="3"/>
        <v>3.0725683328539488</v>
      </c>
      <c r="C9" s="2">
        <f t="shared" ca="1" si="4"/>
        <v>1.1271154384001392</v>
      </c>
      <c r="D9" s="2">
        <f t="shared" ca="1" si="5"/>
        <v>3.9502387363228419</v>
      </c>
      <c r="E9" s="2">
        <f t="shared" ca="1" si="6"/>
        <v>1.6618767278198221</v>
      </c>
      <c r="F9" s="2">
        <f t="shared" ca="1" si="7"/>
        <v>0.55126855711611189</v>
      </c>
      <c r="G9" s="2">
        <f t="shared" ca="1" si="8"/>
        <v>2.6231198871487429</v>
      </c>
      <c r="H9" s="2">
        <f t="shared" ca="1" si="9"/>
        <v>4.1995497493579688</v>
      </c>
      <c r="I9" s="2">
        <f t="shared" ca="1" si="10"/>
        <v>3.2390768514966735</v>
      </c>
      <c r="J9" s="2">
        <f t="shared" ca="1" si="11"/>
        <v>2.8846321928802068</v>
      </c>
      <c r="K9" s="2">
        <f t="shared" ca="1" si="12"/>
        <v>1.7185341514508834</v>
      </c>
      <c r="L9" s="2">
        <f t="shared" ca="1" si="13"/>
        <v>2.3914251224653116</v>
      </c>
      <c r="M9" s="2">
        <f t="shared" ca="1" si="14"/>
        <v>4.3218920646345991</v>
      </c>
      <c r="N9" s="2">
        <f t="shared" ca="1" si="15"/>
        <v>3.4155748329995244</v>
      </c>
      <c r="O9" s="2">
        <f t="shared" ca="1" si="16"/>
        <v>2.7687003864647015</v>
      </c>
      <c r="P9" s="2">
        <f t="shared" ca="1" si="17"/>
        <v>3.4362892480327503</v>
      </c>
      <c r="Q9" s="2">
        <f t="shared" ca="1" si="18"/>
        <v>0.94989439613445636</v>
      </c>
      <c r="R9" s="2">
        <f t="shared" ca="1" si="19"/>
        <v>1.3882291622587672</v>
      </c>
      <c r="S9" s="2">
        <f t="shared" ca="1" si="20"/>
        <v>1.9768748100090354</v>
      </c>
      <c r="T9" s="2">
        <f t="shared" ca="1" si="21"/>
        <v>3.9866885539976238</v>
      </c>
      <c r="U9" s="2">
        <f t="shared" ca="1" si="22"/>
        <v>4.8795878843875578</v>
      </c>
      <c r="V9" s="2">
        <f t="shared" ca="1" si="23"/>
        <v>1.6784792019726269</v>
      </c>
      <c r="W9" s="2">
        <f t="shared" ca="1" si="24"/>
        <v>2.6475024240287759</v>
      </c>
      <c r="X9" s="2">
        <f t="shared" ca="1" si="25"/>
        <v>1.2631217812397382</v>
      </c>
      <c r="Y9" s="2">
        <f t="shared" ca="1" si="26"/>
        <v>0.89726767609379976</v>
      </c>
      <c r="Z9" s="2">
        <f t="shared" ca="1" si="27"/>
        <v>2.26480289808765</v>
      </c>
      <c r="AA9" s="2">
        <f t="shared" ca="1" si="28"/>
        <v>6.0185623576846647E-2</v>
      </c>
      <c r="AB9" s="2">
        <f t="shared" ca="1" si="29"/>
        <v>2.1117473407730021</v>
      </c>
      <c r="AC9" s="2">
        <f t="shared" ca="1" si="30"/>
        <v>2.0871349185420573</v>
      </c>
      <c r="AD9" s="2">
        <f t="shared" ca="1" si="31"/>
        <v>1.6669561789969696</v>
      </c>
      <c r="AE9" s="2">
        <f t="shared" ca="1" si="32"/>
        <v>4.639311220542286E-2</v>
      </c>
      <c r="AF9" s="2">
        <f t="shared" ca="1" si="33"/>
        <v>3.127153961252485</v>
      </c>
      <c r="AG9" s="2">
        <f t="shared" ca="1" si="34"/>
        <v>2.9772017348933764</v>
      </c>
    </row>
    <row r="10" spans="1:33">
      <c r="A10" t="str">
        <v>Oromia</v>
      </c>
      <c r="B10" s="2">
        <f t="shared" ca="1" si="3"/>
        <v>12.944919469423047</v>
      </c>
      <c r="C10" s="2">
        <f t="shared" ca="1" si="4"/>
        <v>4.5279015985256139</v>
      </c>
      <c r="D10" s="2">
        <f t="shared" ca="1" si="5"/>
        <v>4.124117124705017</v>
      </c>
      <c r="E10" s="2">
        <f t="shared" ca="1" si="6"/>
        <v>1.2157199933094609</v>
      </c>
      <c r="F10" s="2">
        <f t="shared" ca="1" si="7"/>
        <v>4.852621944461788</v>
      </c>
      <c r="G10" s="2">
        <f t="shared" ca="1" si="8"/>
        <v>1.3336761824071031</v>
      </c>
      <c r="H10" s="2">
        <f t="shared" ca="1" si="9"/>
        <v>3.2484965159462269</v>
      </c>
      <c r="I10" s="2">
        <f t="shared" ca="1" si="10"/>
        <v>1.466050452510077</v>
      </c>
      <c r="J10" s="2">
        <f t="shared" ca="1" si="11"/>
        <v>0.13075940283855003</v>
      </c>
      <c r="K10" s="2">
        <f t="shared" ca="1" si="12"/>
        <v>3.962863643978793</v>
      </c>
      <c r="L10" s="2">
        <f t="shared" ca="1" si="13"/>
        <v>3.6267620921347685</v>
      </c>
      <c r="M10" s="2">
        <f t="shared" ca="1" si="14"/>
        <v>2.9999141139067347</v>
      </c>
      <c r="N10" s="2">
        <f t="shared" ca="1" si="15"/>
        <v>4.2467701153775863</v>
      </c>
      <c r="O10" s="2">
        <f t="shared" ca="1" si="16"/>
        <v>1.1902447956853175</v>
      </c>
      <c r="P10" s="2">
        <f t="shared" ca="1" si="17"/>
        <v>0.1114656102103545</v>
      </c>
      <c r="Q10" s="2">
        <f t="shared" ca="1" si="18"/>
        <v>2.9167926656874137</v>
      </c>
      <c r="R10" s="2">
        <f t="shared" ca="1" si="19"/>
        <v>1.142887615042264</v>
      </c>
      <c r="S10" s="2">
        <f t="shared" ca="1" si="20"/>
        <v>0.20212896015398385</v>
      </c>
      <c r="T10" s="2">
        <f t="shared" ca="1" si="21"/>
        <v>0.18123734181948958</v>
      </c>
      <c r="U10" s="2">
        <f t="shared" ca="1" si="22"/>
        <v>2.1200787051147096</v>
      </c>
      <c r="V10" s="2">
        <f t="shared" ca="1" si="23"/>
        <v>3.8540822797540155</v>
      </c>
      <c r="W10" s="2">
        <f t="shared" ca="1" si="24"/>
        <v>0.14484281375263142</v>
      </c>
      <c r="X10" s="2">
        <f t="shared" ca="1" si="25"/>
        <v>1.1445315824714304</v>
      </c>
      <c r="Y10" s="2">
        <f t="shared" ca="1" si="26"/>
        <v>0.61603517162569232</v>
      </c>
      <c r="Z10" s="2">
        <f t="shared" ca="1" si="27"/>
        <v>3.2696433987973794</v>
      </c>
      <c r="AA10" s="2">
        <f t="shared" ca="1" si="28"/>
        <v>1.5278158458640285</v>
      </c>
      <c r="AB10" s="2">
        <f t="shared" ca="1" si="29"/>
        <v>3.5554732039022592</v>
      </c>
      <c r="AC10" s="2">
        <f t="shared" ca="1" si="30"/>
        <v>2.915151874001598</v>
      </c>
      <c r="AD10" s="2">
        <f t="shared" ca="1" si="31"/>
        <v>1.6707615488746697</v>
      </c>
      <c r="AE10" s="2">
        <f t="shared" ca="1" si="32"/>
        <v>2.4223841915056039</v>
      </c>
      <c r="AF10" s="2">
        <f t="shared" ca="1" si="33"/>
        <v>3.2586418644407038</v>
      </c>
      <c r="AG10" s="2">
        <f t="shared" ca="1" si="34"/>
        <v>3.6953072394074802</v>
      </c>
    </row>
    <row r="11" spans="1:33">
      <c r="A11" t="str">
        <v>Somali</v>
      </c>
      <c r="B11" s="2">
        <f t="shared" ca="1" si="3"/>
        <v>6.0442657522603866</v>
      </c>
      <c r="C11" s="2">
        <f t="shared" ca="1" si="4"/>
        <v>3.0628239828148596</v>
      </c>
      <c r="D11" s="2">
        <f t="shared" ca="1" si="5"/>
        <v>3.4947344744213438</v>
      </c>
      <c r="E11" s="2">
        <f t="shared" ca="1" si="6"/>
        <v>3.2145564136847149</v>
      </c>
      <c r="F11" s="2">
        <f t="shared" ca="1" si="7"/>
        <v>1.9847721982906892</v>
      </c>
      <c r="G11" s="2">
        <f t="shared" ca="1" si="8"/>
        <v>2.0778443333000745</v>
      </c>
      <c r="H11" s="2">
        <f t="shared" ca="1" si="9"/>
        <v>2.1498314096471209</v>
      </c>
      <c r="I11" s="2">
        <f t="shared" ca="1" si="10"/>
        <v>3.1126688513354162</v>
      </c>
      <c r="J11" s="2">
        <f t="shared" ca="1" si="11"/>
        <v>1.3374754703215004</v>
      </c>
      <c r="K11" s="2">
        <f t="shared" ca="1" si="12"/>
        <v>2.6804485035483778</v>
      </c>
      <c r="L11" s="2">
        <f t="shared" ca="1" si="13"/>
        <v>1.1871157766227247</v>
      </c>
      <c r="M11" s="2">
        <f t="shared" ca="1" si="14"/>
        <v>0.11143368055766711</v>
      </c>
      <c r="N11" s="2">
        <f t="shared" ca="1" si="15"/>
        <v>4.776467250789616</v>
      </c>
      <c r="O11" s="2">
        <f t="shared" ca="1" si="16"/>
        <v>2.7254469268065207</v>
      </c>
      <c r="P11" s="2">
        <f t="shared" ca="1" si="17"/>
        <v>0.3921134663587611</v>
      </c>
      <c r="Q11" s="2">
        <f t="shared" ca="1" si="18"/>
        <v>2.9830716161803044</v>
      </c>
      <c r="R11" s="2">
        <f t="shared" ca="1" si="19"/>
        <v>4.4438587442886321</v>
      </c>
      <c r="S11" s="2">
        <f t="shared" ca="1" si="20"/>
        <v>3.1790097940846374</v>
      </c>
      <c r="T11" s="2">
        <f t="shared" ca="1" si="21"/>
        <v>0.61096190423198471</v>
      </c>
      <c r="U11" s="2">
        <f t="shared" ca="1" si="22"/>
        <v>0.57936101420448916</v>
      </c>
      <c r="V11" s="2">
        <f t="shared" ca="1" si="23"/>
        <v>2.1105067289615271</v>
      </c>
      <c r="W11" s="2">
        <f t="shared" ca="1" si="24"/>
        <v>0.25220213487638365</v>
      </c>
      <c r="X11" s="2">
        <f t="shared" ca="1" si="25"/>
        <v>0.81939806971309315</v>
      </c>
      <c r="Y11" s="2">
        <f t="shared" ca="1" si="26"/>
        <v>0.2038347791229117</v>
      </c>
      <c r="Z11" s="2">
        <f t="shared" ca="1" si="27"/>
        <v>3.1881592438290234</v>
      </c>
      <c r="AA11" s="2">
        <f t="shared" ca="1" si="28"/>
        <v>0.13810311296461431</v>
      </c>
      <c r="AB11" s="2">
        <f t="shared" ca="1" si="29"/>
        <v>3.4592152674649332</v>
      </c>
      <c r="AC11" s="2">
        <f t="shared" ca="1" si="30"/>
        <v>4.5096871178926534</v>
      </c>
      <c r="AD11" s="2">
        <f t="shared" ca="1" si="31"/>
        <v>1.6836708657573063</v>
      </c>
      <c r="AE11" s="2">
        <f t="shared" ca="1" si="32"/>
        <v>2.7990979677627887</v>
      </c>
      <c r="AF11" s="2">
        <f t="shared" ca="1" si="33"/>
        <v>4.9283988195581578</v>
      </c>
      <c r="AG11" s="2">
        <f t="shared" ca="1" si="34"/>
        <v>2.0294910984419499</v>
      </c>
    </row>
    <row r="12" spans="1:33">
      <c r="A12" t="str">
        <v>SNNPR</v>
      </c>
      <c r="B12" s="2">
        <f t="shared" ca="1" si="3"/>
        <v>10.3324282370827</v>
      </c>
      <c r="C12" s="2">
        <f t="shared" ca="1" si="4"/>
        <v>0.43208732426563923</v>
      </c>
      <c r="D12" s="2">
        <f t="shared" ca="1" si="5"/>
        <v>3.5718838860561397</v>
      </c>
      <c r="E12" s="2">
        <f t="shared" ca="1" si="6"/>
        <v>4.5712649846268114</v>
      </c>
      <c r="F12" s="2">
        <f t="shared" ca="1" si="7"/>
        <v>0.16329520227707395</v>
      </c>
      <c r="G12" s="2">
        <f t="shared" ca="1" si="8"/>
        <v>4.3583265127637514</v>
      </c>
      <c r="H12" s="2">
        <f t="shared" ca="1" si="9"/>
        <v>0.51170631438631653</v>
      </c>
      <c r="I12" s="2">
        <f t="shared" ca="1" si="10"/>
        <v>3.6725394676604957</v>
      </c>
      <c r="J12" s="2">
        <f t="shared" ca="1" si="11"/>
        <v>2.7194604962536535</v>
      </c>
      <c r="K12" s="2">
        <f t="shared" ca="1" si="12"/>
        <v>2.0125504193741515</v>
      </c>
      <c r="L12" s="2">
        <f t="shared" ca="1" si="13"/>
        <v>1.4708137189933412</v>
      </c>
      <c r="M12" s="2">
        <f t="shared" ca="1" si="14"/>
        <v>4.329725549787617</v>
      </c>
      <c r="N12" s="2">
        <f t="shared" ca="1" si="15"/>
        <v>1.4829542795457451</v>
      </c>
      <c r="O12" s="2">
        <f t="shared" ca="1" si="16"/>
        <v>0.77944029533692505</v>
      </c>
      <c r="P12" s="2">
        <f t="shared" ca="1" si="17"/>
        <v>2.1897045685564049</v>
      </c>
      <c r="Q12" s="2">
        <f t="shared" ca="1" si="18"/>
        <v>2.3110084003207083</v>
      </c>
      <c r="R12" s="2">
        <f t="shared" ca="1" si="19"/>
        <v>0.90650042820726195</v>
      </c>
      <c r="S12" s="2">
        <f t="shared" ca="1" si="20"/>
        <v>4.9805950399610541</v>
      </c>
      <c r="T12" s="2">
        <f t="shared" ca="1" si="21"/>
        <v>1.0721392307066195</v>
      </c>
      <c r="U12" s="2">
        <f t="shared" ca="1" si="22"/>
        <v>3.7791602218181053</v>
      </c>
      <c r="V12" s="2">
        <f t="shared" ca="1" si="23"/>
        <v>4.2678962982719479</v>
      </c>
      <c r="W12" s="2">
        <f t="shared" ca="1" si="24"/>
        <v>2.2878602341940479</v>
      </c>
      <c r="X12" s="2">
        <f t="shared" ca="1" si="25"/>
        <v>1.6909044688178327</v>
      </c>
      <c r="Y12" s="2">
        <f t="shared" ca="1" si="26"/>
        <v>0.37455232666368854</v>
      </c>
      <c r="Z12" s="2">
        <f t="shared" ca="1" si="27"/>
        <v>4.556900707634262</v>
      </c>
      <c r="AA12" s="2">
        <f t="shared" ca="1" si="28"/>
        <v>3.1090117769476562</v>
      </c>
      <c r="AB12" s="2">
        <f t="shared" ca="1" si="29"/>
        <v>0.99997859634554875</v>
      </c>
      <c r="AC12" s="2">
        <f t="shared" ca="1" si="30"/>
        <v>2.7673399563978829</v>
      </c>
      <c r="AD12" s="2">
        <f t="shared" ca="1" si="31"/>
        <v>0.57038269796104157</v>
      </c>
      <c r="AE12" s="2">
        <f t="shared" ca="1" si="32"/>
        <v>2.3783522340612699</v>
      </c>
      <c r="AF12" s="2">
        <f t="shared" ca="1" si="33"/>
        <v>3.4201977489179547</v>
      </c>
      <c r="AG12" s="2">
        <f t="shared" ca="1" si="34"/>
        <v>4.6877244142271488</v>
      </c>
    </row>
    <row r="13" spans="1:33">
      <c r="A13" t="str">
        <v>Tigray</v>
      </c>
      <c r="B13" s="2">
        <f t="shared" ca="1" si="3"/>
        <v>5.6620219818749913</v>
      </c>
      <c r="C13" s="2">
        <f t="shared" ca="1" si="4"/>
        <v>0.14999369719700451</v>
      </c>
      <c r="D13" s="2">
        <f t="shared" ca="1" si="5"/>
        <v>0.90747146678478441</v>
      </c>
      <c r="E13" s="2">
        <f t="shared" ca="1" si="6"/>
        <v>2.4626479969717168</v>
      </c>
      <c r="F13" s="2">
        <f t="shared" ca="1" si="7"/>
        <v>1.4025342913664214</v>
      </c>
      <c r="G13" s="2">
        <f t="shared" ca="1" si="8"/>
        <v>2.8896747511189074</v>
      </c>
      <c r="H13" s="2">
        <f t="shared" ca="1" si="9"/>
        <v>0.83424327440365598</v>
      </c>
      <c r="I13" s="2">
        <f t="shared" ca="1" si="10"/>
        <v>0.69201374206551869</v>
      </c>
      <c r="J13" s="2">
        <f t="shared" ca="1" si="11"/>
        <v>0.86514105585766055</v>
      </c>
      <c r="K13" s="2">
        <f t="shared" ca="1" si="12"/>
        <v>2.6101247556452716</v>
      </c>
      <c r="L13" s="2">
        <f t="shared" ca="1" si="13"/>
        <v>0.79535810691280184</v>
      </c>
      <c r="M13" s="2">
        <f t="shared" ca="1" si="14"/>
        <v>0.37048643734509445</v>
      </c>
      <c r="N13" s="2">
        <f t="shared" ca="1" si="15"/>
        <v>4.0996620471854417</v>
      </c>
      <c r="O13" s="2">
        <f t="shared" ca="1" si="16"/>
        <v>0.80472671547570207</v>
      </c>
      <c r="P13" s="2">
        <f t="shared" ca="1" si="17"/>
        <v>0.79121349343837077</v>
      </c>
      <c r="Q13" s="2">
        <f t="shared" ca="1" si="18"/>
        <v>1.169917263867517</v>
      </c>
      <c r="R13" s="2">
        <f t="shared" ca="1" si="19"/>
        <v>4.9903294040705424</v>
      </c>
      <c r="S13" s="2">
        <f t="shared" ca="1" si="20"/>
        <v>3.2464276874726488</v>
      </c>
      <c r="T13" s="2">
        <f t="shared" ca="1" si="21"/>
        <v>1.1994403192603791</v>
      </c>
      <c r="U13" s="2">
        <f t="shared" ca="1" si="22"/>
        <v>2.2061117868065123</v>
      </c>
      <c r="V13" s="2">
        <f t="shared" ca="1" si="23"/>
        <v>2.2703914534191489</v>
      </c>
      <c r="W13" s="2">
        <f t="shared" ca="1" si="24"/>
        <v>0.66039482471553501</v>
      </c>
      <c r="X13" s="2">
        <f t="shared" ca="1" si="25"/>
        <v>1.9983616735898058</v>
      </c>
      <c r="Y13" s="2">
        <f t="shared" ca="1" si="26"/>
        <v>1.1193531542141582</v>
      </c>
      <c r="Z13" s="2">
        <f t="shared" ca="1" si="27"/>
        <v>4.4631254655382611</v>
      </c>
      <c r="AA13" s="2">
        <f t="shared" ca="1" si="28"/>
        <v>0.85559215000710065</v>
      </c>
      <c r="AB13" s="2">
        <f t="shared" ca="1" si="29"/>
        <v>2.3851712553988347</v>
      </c>
      <c r="AC13" s="2">
        <f t="shared" ca="1" si="30"/>
        <v>3.6051759709949032</v>
      </c>
      <c r="AD13" s="2">
        <f t="shared" ca="1" si="31"/>
        <v>4.4523308209568073</v>
      </c>
      <c r="AE13" s="2">
        <f t="shared" ca="1" si="32"/>
        <v>0.36409316809865866</v>
      </c>
      <c r="AF13" s="2">
        <f t="shared" ca="1" si="33"/>
        <v>3.4601869931210527</v>
      </c>
      <c r="AG13" s="2">
        <f t="shared" ca="1" si="34"/>
        <v>1.6191548103468163</v>
      </c>
    </row>
    <row r="40" spans="1:19">
      <c r="R40" s="1" t="s">
        <v>121</v>
      </c>
    </row>
    <row r="41" spans="1:19">
      <c r="A41" t="str">
        <f t="array" ref="A41:A51">Nodes</f>
        <v>AddisAbaba</v>
      </c>
      <c r="B41" s="2">
        <f>0.424+0.153</f>
        <v>0.57699999999999996</v>
      </c>
      <c r="F41" t="str">
        <f t="array" ref="F41:F51">Nodes</f>
        <v>AddisAbaba</v>
      </c>
      <c r="G41" s="2">
        <v>0.1</v>
      </c>
      <c r="K41" t="str">
        <f t="array" ref="K41:K51">Nodes</f>
        <v>AddisAbaba</v>
      </c>
      <c r="L41" s="2">
        <v>0</v>
      </c>
      <c r="R41" t="str">
        <f t="array" ref="R41:R51">Nodes</f>
        <v>AddisAbaba</v>
      </c>
      <c r="S41" s="2">
        <v>3.2730000000000001</v>
      </c>
    </row>
    <row r="42" spans="1:19">
      <c r="A42" t="str">
        <v>Afar</v>
      </c>
      <c r="B42" s="2">
        <v>10</v>
      </c>
      <c r="F42" t="str">
        <v>Afar</v>
      </c>
      <c r="G42" s="2">
        <v>0.1</v>
      </c>
      <c r="K42" t="str">
        <v>Afar</v>
      </c>
      <c r="L42" s="2">
        <v>3</v>
      </c>
      <c r="R42" t="str">
        <v>Afar</v>
      </c>
      <c r="S42" s="2">
        <v>1.7230000000000001</v>
      </c>
    </row>
    <row r="43" spans="1:19">
      <c r="A43" t="str">
        <v>Amhara</v>
      </c>
      <c r="B43" s="2">
        <f>1.6+0.935</f>
        <v>2.5350000000000001</v>
      </c>
      <c r="F43" t="str">
        <v>Amhara</v>
      </c>
      <c r="G43" s="2">
        <v>0.1</v>
      </c>
      <c r="K43" t="str">
        <v>Amhara</v>
      </c>
      <c r="L43" s="2">
        <v>0</v>
      </c>
      <c r="R43" t="str">
        <v>Amhara</v>
      </c>
      <c r="S43" s="2">
        <v>20.401</v>
      </c>
    </row>
    <row r="44" spans="1:19">
      <c r="A44" t="str">
        <v>Gumuz</v>
      </c>
      <c r="B44" s="2">
        <f>6+0.5</f>
        <v>6.5</v>
      </c>
      <c r="F44" t="str">
        <v>Gumuz</v>
      </c>
      <c r="G44" s="2">
        <v>0.1</v>
      </c>
      <c r="K44" t="str">
        <v>Gumuz</v>
      </c>
      <c r="L44" s="2">
        <v>0</v>
      </c>
      <c r="R44" t="str">
        <v>Gumuz</v>
      </c>
      <c r="S44" s="2">
        <v>1.0049999999999999</v>
      </c>
    </row>
    <row r="45" spans="1:19">
      <c r="A45" t="str">
        <v>DireDawa</v>
      </c>
      <c r="B45" s="2">
        <v>0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v>0.44</v>
      </c>
    </row>
    <row r="46" spans="1:19">
      <c r="A46" t="str">
        <v>Gambela</v>
      </c>
      <c r="B46" s="2">
        <f>1.7+0.896</f>
        <v>2.5960000000000001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v>0.40899999999999997</v>
      </c>
    </row>
    <row r="47" spans="1:19">
      <c r="A47" t="str">
        <v>Harari</v>
      </c>
      <c r="B47" s="2">
        <v>0</v>
      </c>
      <c r="F47" t="str">
        <v>Harari</v>
      </c>
      <c r="G47" s="2">
        <v>0.1</v>
      </c>
      <c r="K47" t="str">
        <v>Harari</v>
      </c>
      <c r="L47" s="2">
        <v>0</v>
      </c>
      <c r="R47" t="str">
        <v>Harari</v>
      </c>
      <c r="S47" s="2">
        <v>0.23200000000000001</v>
      </c>
    </row>
    <row r="48" spans="1:19">
      <c r="A48" t="str">
        <v>Oromia</v>
      </c>
      <c r="B48" s="2">
        <f>1+0.5+0.42+0.385+0.184+0.153+0.15+0.15</f>
        <v>2.9419999999999997</v>
      </c>
      <c r="F48" t="str">
        <v>Oromia</v>
      </c>
      <c r="G48" s="2">
        <v>0.1</v>
      </c>
      <c r="K48" t="str">
        <v>Oromia</v>
      </c>
      <c r="L48" s="2">
        <v>0</v>
      </c>
      <c r="R48" t="str">
        <v>Oromia</v>
      </c>
      <c r="S48" s="2">
        <v>33.692</v>
      </c>
    </row>
    <row r="49" spans="1:19">
      <c r="A49" t="str">
        <v>Somali</v>
      </c>
      <c r="B49" s="2">
        <v>0.3</v>
      </c>
      <c r="F49" t="str">
        <v>Somali</v>
      </c>
      <c r="G49" s="2">
        <v>0.1</v>
      </c>
      <c r="K49" t="str">
        <v>Somali</v>
      </c>
      <c r="L49" s="2">
        <v>0</v>
      </c>
      <c r="R49" t="str">
        <v>Somali</v>
      </c>
      <c r="S49" s="2">
        <v>5.4530000000000003</v>
      </c>
    </row>
    <row r="50" spans="1:19">
      <c r="A50" t="str">
        <v>SNNPR</v>
      </c>
      <c r="B50" s="2">
        <f>2+1.8+1.4+0.6</f>
        <v>5.7999999999999989</v>
      </c>
      <c r="F50" t="str">
        <v>SNNPR</v>
      </c>
      <c r="G50" s="2">
        <v>0.1</v>
      </c>
      <c r="K50" t="str">
        <v>SNNPR</v>
      </c>
      <c r="L50" s="2">
        <v>0</v>
      </c>
      <c r="R50" t="str">
        <v>SNNPR</v>
      </c>
      <c r="S50" s="2">
        <v>18.276</v>
      </c>
    </row>
    <row r="51" spans="1:19">
      <c r="A51" t="str">
        <v>Tigray</v>
      </c>
      <c r="B51" s="2">
        <f>0.3+0.12</f>
        <v>0.42</v>
      </c>
      <c r="F51" t="str">
        <v>Tigray</v>
      </c>
      <c r="G51" s="2">
        <v>0.1</v>
      </c>
      <c r="K51" t="str">
        <v>Tigray</v>
      </c>
      <c r="L51" s="2">
        <v>0</v>
      </c>
      <c r="R51" t="str">
        <v>Tigray</v>
      </c>
      <c r="S51" s="2">
        <v>5.056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index</vt:lpstr>
      <vt:lpstr>Explained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2017-08-01T22:25:55Z</dcterms:modified>
</cp:coreProperties>
</file>