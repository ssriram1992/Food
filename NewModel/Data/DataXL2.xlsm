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iram\GDrive\Work\Research\Code\Food\NewModel\Data\"/>
    </mc:Choice>
  </mc:AlternateContent>
  <bookViews>
    <workbookView xWindow="0" yWindow="465" windowWidth="20220" windowHeight="7065" tabRatio="500"/>
  </bookViews>
  <sheets>
    <sheet name="index" sheetId="1" r:id="rId1"/>
    <sheet name="sets" sheetId="3" r:id="rId2"/>
    <sheet name="Roads" sheetId="5" r:id="rId3"/>
    <sheet name="ElecLine" sheetId="10" r:id="rId4"/>
    <sheet name="DiscFact" sheetId="6" r:id="rId5"/>
    <sheet name="CYF" sheetId="4" r:id="rId6"/>
    <sheet name="aFAO" sheetId="11" r:id="rId7"/>
    <sheet name="Crop" sheetId="7" r:id="rId8"/>
    <sheet name="Cattle" sheetId="8" r:id="rId9"/>
    <sheet name="Elec" sheetId="9" r:id="rId10"/>
  </sheets>
  <definedNames>
    <definedName name="_xlnm._FilterDatabase" localSheetId="3" hidden="1">ElecLine!$A$21:$B$86</definedName>
    <definedName name="_xlnm._FilterDatabase" localSheetId="0" hidden="1">index!$A$1:$E$27</definedName>
    <definedName name="_xlnm._FilterDatabase" localSheetId="2" hidden="1">Roads!$A$21:$B$86</definedName>
    <definedName name="_xlnm._FilterDatabase" localSheetId="1" hidden="1">sets!$F$2:$F$13</definedName>
    <definedName name="Crops">sets!$J$3:$J$62</definedName>
    <definedName name="Food">sets!$H$3:$H$62</definedName>
    <definedName name="Nodes">sets!$F$3:$F$62</definedName>
    <definedName name="RoadList" localSheetId="3">ElecLine!$A$21</definedName>
    <definedName name="RoadList">Roads!$A$21</definedName>
    <definedName name="Seasons">sets!$D$3:$D$62</definedName>
    <definedName name="Years">sets!$B$3:$B$62</definedName>
  </definedNames>
  <calcPr calcId="171027" concurrentCalc="0"/>
</workbook>
</file>

<file path=xl/calcChain.xml><?xml version="1.0" encoding="utf-8"?>
<calcChain xmlns="http://schemas.openxmlformats.org/spreadsheetml/2006/main">
  <c r="C4" i="11" l="1"/>
  <c r="D4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C5" i="11"/>
  <c r="D5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C6" i="11"/>
  <c r="D6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C7" i="11"/>
  <c r="D7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C8" i="11"/>
  <c r="D8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C9" i="11"/>
  <c r="D9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AH9" i="11"/>
  <c r="C10" i="11"/>
  <c r="D10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C11" i="11"/>
  <c r="D11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AH11" i="11"/>
  <c r="C12" i="11"/>
  <c r="D12" i="11"/>
  <c r="E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C13" i="11"/>
  <c r="D13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C14" i="11"/>
  <c r="D14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AH14" i="11"/>
  <c r="C15" i="11"/>
  <c r="D15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C16" i="11"/>
  <c r="D16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AH16" i="11"/>
  <c r="C17" i="11"/>
  <c r="D17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C18" i="11"/>
  <c r="D18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C19" i="11"/>
  <c r="D19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C20" i="11"/>
  <c r="D20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C21" i="11"/>
  <c r="D21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C22" i="11"/>
  <c r="D22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C23" i="11"/>
  <c r="D23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C24" i="11"/>
  <c r="D24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C25" i="11"/>
  <c r="D25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C26" i="11"/>
  <c r="D26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C27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C28" i="11"/>
  <c r="D28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C29" i="11"/>
  <c r="D29" i="11"/>
  <c r="E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C30" i="11"/>
  <c r="D30" i="11"/>
  <c r="E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AH30" i="11"/>
  <c r="C31" i="11"/>
  <c r="D31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C32" i="11"/>
  <c r="D32" i="11"/>
  <c r="E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C33" i="11"/>
  <c r="D33" i="11"/>
  <c r="E33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C34" i="11"/>
  <c r="D34" i="11"/>
  <c r="E34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C35" i="11"/>
  <c r="D35" i="11"/>
  <c r="E35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C36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C37" i="11"/>
  <c r="D37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C38" i="11"/>
  <c r="D38" i="11"/>
  <c r="E38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C39" i="11"/>
  <c r="D39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C40" i="11"/>
  <c r="D40" i="11"/>
  <c r="E40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C41" i="11"/>
  <c r="D41" i="11"/>
  <c r="E41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C42" i="11"/>
  <c r="D42" i="11"/>
  <c r="E42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C43" i="11"/>
  <c r="D43" i="11"/>
  <c r="E43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AA43" i="11"/>
  <c r="AB43" i="11"/>
  <c r="AC43" i="11"/>
  <c r="AD43" i="11"/>
  <c r="AE43" i="11"/>
  <c r="AF43" i="11"/>
  <c r="AG43" i="11"/>
  <c r="AH43" i="11"/>
  <c r="C44" i="11"/>
  <c r="D44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AA44" i="11"/>
  <c r="AB44" i="11"/>
  <c r="AC44" i="11"/>
  <c r="AD44" i="11"/>
  <c r="AE44" i="11"/>
  <c r="AF44" i="11"/>
  <c r="AG44" i="11"/>
  <c r="AH44" i="11"/>
  <c r="C45" i="11"/>
  <c r="D45" i="11"/>
  <c r="E45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AH45" i="11"/>
  <c r="C46" i="11"/>
  <c r="D46" i="11"/>
  <c r="E46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AA46" i="11"/>
  <c r="AB46" i="11"/>
  <c r="AC46" i="11"/>
  <c r="AD46" i="11"/>
  <c r="AE46" i="11"/>
  <c r="AF46" i="11"/>
  <c r="AG46" i="11"/>
  <c r="AH46" i="11"/>
  <c r="C47" i="11"/>
  <c r="D47" i="11"/>
  <c r="E47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Z47" i="11"/>
  <c r="AA47" i="11"/>
  <c r="AB47" i="11"/>
  <c r="AC47" i="11"/>
  <c r="AD47" i="11"/>
  <c r="AE47" i="11"/>
  <c r="AF47" i="11"/>
  <c r="AG47" i="11"/>
  <c r="AH47" i="11"/>
  <c r="C48" i="11"/>
  <c r="D48" i="11"/>
  <c r="E48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Z48" i="11"/>
  <c r="AA48" i="11"/>
  <c r="AB48" i="11"/>
  <c r="AC48" i="11"/>
  <c r="AD48" i="11"/>
  <c r="AE48" i="11"/>
  <c r="AF48" i="11"/>
  <c r="AG48" i="11"/>
  <c r="AH48" i="11"/>
  <c r="C49" i="11"/>
  <c r="D49" i="11"/>
  <c r="E49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C50" i="11"/>
  <c r="D50" i="11"/>
  <c r="E50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AH50" i="11"/>
  <c r="C51" i="11"/>
  <c r="D51" i="11"/>
  <c r="E51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AA51" i="11"/>
  <c r="AB51" i="11"/>
  <c r="AC51" i="11"/>
  <c r="AD51" i="11"/>
  <c r="AE51" i="11"/>
  <c r="AF51" i="11"/>
  <c r="AG51" i="11"/>
  <c r="AH51" i="11"/>
  <c r="C52" i="11"/>
  <c r="D52" i="11"/>
  <c r="E52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AA52" i="11"/>
  <c r="AB52" i="11"/>
  <c r="AC52" i="11"/>
  <c r="AD52" i="11"/>
  <c r="AE52" i="11"/>
  <c r="AF52" i="11"/>
  <c r="AG52" i="11"/>
  <c r="AH52" i="11"/>
  <c r="C53" i="11"/>
  <c r="D53" i="11"/>
  <c r="E53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AA53" i="11"/>
  <c r="AB53" i="11"/>
  <c r="AC53" i="11"/>
  <c r="AD53" i="11"/>
  <c r="AE53" i="11"/>
  <c r="AF53" i="11"/>
  <c r="AG53" i="11"/>
  <c r="AH53" i="11"/>
  <c r="C54" i="11"/>
  <c r="D54" i="11"/>
  <c r="E54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AA54" i="11"/>
  <c r="AB54" i="11"/>
  <c r="AC54" i="11"/>
  <c r="AD54" i="11"/>
  <c r="AE54" i="11"/>
  <c r="AF54" i="11"/>
  <c r="AG54" i="11"/>
  <c r="AH54" i="11"/>
  <c r="C55" i="11"/>
  <c r="D55" i="11"/>
  <c r="E55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AA55" i="11"/>
  <c r="AB55" i="11"/>
  <c r="AC55" i="11"/>
  <c r="AD55" i="11"/>
  <c r="AE55" i="11"/>
  <c r="AF55" i="11"/>
  <c r="AG55" i="11"/>
  <c r="AH55" i="11"/>
  <c r="C56" i="11"/>
  <c r="D56" i="11"/>
  <c r="E56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C57" i="11"/>
  <c r="D57" i="11"/>
  <c r="E57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C58" i="11"/>
  <c r="D58" i="11"/>
  <c r="E58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Z58" i="11"/>
  <c r="AA58" i="11"/>
  <c r="AB58" i="11"/>
  <c r="AC58" i="11"/>
  <c r="AD58" i="11"/>
  <c r="AE58" i="11"/>
  <c r="AF58" i="11"/>
  <c r="AG58" i="11"/>
  <c r="AH58" i="11"/>
  <c r="C59" i="11"/>
  <c r="D59" i="11"/>
  <c r="E59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AA59" i="11"/>
  <c r="AB59" i="11"/>
  <c r="AC59" i="11"/>
  <c r="AD59" i="11"/>
  <c r="AE59" i="11"/>
  <c r="AF59" i="11"/>
  <c r="AG59" i="11"/>
  <c r="AH59" i="11"/>
  <c r="C60" i="11"/>
  <c r="D60" i="11"/>
  <c r="E60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AA60" i="11"/>
  <c r="AB60" i="11"/>
  <c r="AC60" i="11"/>
  <c r="AD60" i="11"/>
  <c r="AE60" i="11"/>
  <c r="AF60" i="11"/>
  <c r="AG60" i="11"/>
  <c r="AH60" i="11"/>
  <c r="C61" i="11"/>
  <c r="D61" i="11"/>
  <c r="E61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AA61" i="11"/>
  <c r="AB61" i="11"/>
  <c r="AC61" i="11"/>
  <c r="AD61" i="11"/>
  <c r="AE61" i="11"/>
  <c r="AF61" i="11"/>
  <c r="AG61" i="11"/>
  <c r="AH61" i="11"/>
  <c r="C62" i="11"/>
  <c r="D62" i="11"/>
  <c r="E62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AA62" i="11"/>
  <c r="AB62" i="11"/>
  <c r="AC62" i="11"/>
  <c r="AD62" i="11"/>
  <c r="AE62" i="11"/>
  <c r="AF62" i="11"/>
  <c r="AG62" i="11"/>
  <c r="AH62" i="11"/>
  <c r="C63" i="11"/>
  <c r="D63" i="11"/>
  <c r="E63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C64" i="11"/>
  <c r="D64" i="11"/>
  <c r="E64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C65" i="11"/>
  <c r="D65" i="11"/>
  <c r="E65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AA65" i="11"/>
  <c r="AB65" i="11"/>
  <c r="AC65" i="11"/>
  <c r="AD65" i="11"/>
  <c r="AE65" i="11"/>
  <c r="AF65" i="11"/>
  <c r="AG65" i="11"/>
  <c r="AH65" i="11"/>
  <c r="C66" i="11"/>
  <c r="D66" i="11"/>
  <c r="E66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AA66" i="11"/>
  <c r="AB66" i="11"/>
  <c r="AC66" i="11"/>
  <c r="AD66" i="11"/>
  <c r="AE66" i="11"/>
  <c r="AF66" i="11"/>
  <c r="AG66" i="11"/>
  <c r="AH66" i="11"/>
  <c r="C67" i="11"/>
  <c r="D67" i="11"/>
  <c r="E67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C68" i="11"/>
  <c r="D68" i="11"/>
  <c r="E68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D3" i="11"/>
  <c r="E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AB3" i="11"/>
  <c r="AC3" i="11"/>
  <c r="AD3" i="11"/>
  <c r="AE3" i="11"/>
  <c r="AF3" i="11"/>
  <c r="AG3" i="11"/>
  <c r="AH3" i="11"/>
  <c r="C3" i="11"/>
  <c r="B3" i="11" a="1"/>
  <c r="B13" i="11"/>
  <c r="B24" i="11"/>
  <c r="B35" i="11"/>
  <c r="B46" i="11"/>
  <c r="B57" i="11"/>
  <c r="B68" i="11"/>
  <c r="A13" i="11"/>
  <c r="A24" i="11"/>
  <c r="A35" i="11"/>
  <c r="A46" i="11"/>
  <c r="A57" i="11"/>
  <c r="A68" i="11"/>
  <c r="B12" i="11"/>
  <c r="B23" i="11"/>
  <c r="B34" i="11"/>
  <c r="B45" i="11"/>
  <c r="B56" i="11"/>
  <c r="B67" i="11"/>
  <c r="A12" i="11"/>
  <c r="A23" i="11"/>
  <c r="A34" i="11"/>
  <c r="A45" i="11"/>
  <c r="A56" i="11"/>
  <c r="A67" i="11"/>
  <c r="B11" i="11"/>
  <c r="B22" i="11"/>
  <c r="B33" i="11"/>
  <c r="B44" i="11"/>
  <c r="B55" i="11"/>
  <c r="B66" i="11"/>
  <c r="A11" i="11"/>
  <c r="A22" i="11"/>
  <c r="A33" i="11"/>
  <c r="A44" i="11"/>
  <c r="A55" i="11"/>
  <c r="A66" i="11"/>
  <c r="B10" i="11"/>
  <c r="B21" i="11"/>
  <c r="B32" i="11"/>
  <c r="B43" i="11"/>
  <c r="B54" i="11"/>
  <c r="B65" i="11"/>
  <c r="A10" i="11"/>
  <c r="A21" i="11"/>
  <c r="A32" i="11"/>
  <c r="A43" i="11"/>
  <c r="A54" i="11"/>
  <c r="A65" i="11"/>
  <c r="B9" i="11"/>
  <c r="B20" i="11"/>
  <c r="B31" i="11"/>
  <c r="B42" i="11"/>
  <c r="B53" i="11"/>
  <c r="B64" i="11"/>
  <c r="A9" i="11"/>
  <c r="A20" i="11"/>
  <c r="A31" i="11"/>
  <c r="A42" i="11"/>
  <c r="A53" i="11"/>
  <c r="A64" i="11"/>
  <c r="B8" i="11"/>
  <c r="B19" i="11"/>
  <c r="B30" i="11"/>
  <c r="B41" i="11"/>
  <c r="B52" i="11"/>
  <c r="B63" i="11"/>
  <c r="A8" i="11"/>
  <c r="A19" i="11"/>
  <c r="A30" i="11"/>
  <c r="A41" i="11"/>
  <c r="A52" i="11"/>
  <c r="A63" i="11"/>
  <c r="B7" i="11"/>
  <c r="B18" i="11"/>
  <c r="B29" i="11"/>
  <c r="B40" i="11"/>
  <c r="B51" i="11"/>
  <c r="B62" i="11"/>
  <c r="A7" i="11"/>
  <c r="A18" i="11"/>
  <c r="A29" i="11"/>
  <c r="A40" i="11"/>
  <c r="A51" i="11"/>
  <c r="A62" i="11"/>
  <c r="B6" i="11"/>
  <c r="B17" i="11"/>
  <c r="B28" i="11"/>
  <c r="B39" i="11"/>
  <c r="B50" i="11"/>
  <c r="B61" i="11"/>
  <c r="A6" i="11"/>
  <c r="A17" i="11"/>
  <c r="A28" i="11"/>
  <c r="A39" i="11"/>
  <c r="A50" i="11"/>
  <c r="A61" i="11"/>
  <c r="B5" i="11"/>
  <c r="B16" i="11"/>
  <c r="B27" i="11"/>
  <c r="B38" i="11"/>
  <c r="B49" i="11"/>
  <c r="B60" i="11"/>
  <c r="A5" i="11"/>
  <c r="A16" i="11"/>
  <c r="A27" i="11"/>
  <c r="A38" i="11"/>
  <c r="A49" i="11"/>
  <c r="A60" i="11"/>
  <c r="B4" i="11"/>
  <c r="B15" i="11"/>
  <c r="B26" i="11"/>
  <c r="B37" i="11"/>
  <c r="B48" i="11"/>
  <c r="B59" i="11"/>
  <c r="A4" i="11"/>
  <c r="A15" i="11"/>
  <c r="A26" i="11"/>
  <c r="A37" i="11"/>
  <c r="A48" i="11"/>
  <c r="A59" i="11"/>
  <c r="B3" i="11"/>
  <c r="B14" i="11"/>
  <c r="B25" i="11"/>
  <c r="B36" i="11"/>
  <c r="B47" i="11"/>
  <c r="B58" i="11"/>
  <c r="A3" i="11"/>
  <c r="A14" i="11"/>
  <c r="A25" i="11"/>
  <c r="A36" i="11"/>
  <c r="A47" i="11"/>
  <c r="A58" i="11"/>
  <c r="C2" i="11" a="1"/>
  <c r="D2" i="11"/>
  <c r="F2" i="11"/>
  <c r="H2" i="11"/>
  <c r="J2" i="11"/>
  <c r="L2" i="11"/>
  <c r="N2" i="11"/>
  <c r="P2" i="11"/>
  <c r="R2" i="11"/>
  <c r="T2" i="11"/>
  <c r="V2" i="11"/>
  <c r="X2" i="11"/>
  <c r="Z2" i="11"/>
  <c r="AB2" i="11"/>
  <c r="AD2" i="11"/>
  <c r="AF2" i="11"/>
  <c r="AH2" i="11"/>
  <c r="C2" i="11"/>
  <c r="E2" i="11"/>
  <c r="G2" i="11"/>
  <c r="I2" i="11"/>
  <c r="K2" i="11"/>
  <c r="M2" i="11"/>
  <c r="O2" i="11"/>
  <c r="Q2" i="11"/>
  <c r="S2" i="11"/>
  <c r="U2" i="11"/>
  <c r="W2" i="11"/>
  <c r="Y2" i="11"/>
  <c r="AA2" i="11"/>
  <c r="AC2" i="11"/>
  <c r="AE2" i="11"/>
  <c r="AG2" i="11"/>
  <c r="F1" i="11"/>
  <c r="H1" i="11"/>
  <c r="J1" i="11"/>
  <c r="L1" i="11"/>
  <c r="N1" i="11"/>
  <c r="P1" i="11"/>
  <c r="R1" i="11"/>
  <c r="T1" i="11"/>
  <c r="V1" i="11"/>
  <c r="X1" i="11"/>
  <c r="Z1" i="11"/>
  <c r="AB1" i="11"/>
  <c r="AD1" i="11"/>
  <c r="AF1" i="11"/>
  <c r="AH1" i="11"/>
  <c r="E1" i="11"/>
  <c r="G1" i="11"/>
  <c r="I1" i="11"/>
  <c r="K1" i="11"/>
  <c r="M1" i="11"/>
  <c r="O1" i="11"/>
  <c r="Q1" i="11"/>
  <c r="S1" i="11"/>
  <c r="U1" i="11"/>
  <c r="W1" i="11"/>
  <c r="Y1" i="11"/>
  <c r="AA1" i="11"/>
  <c r="AC1" i="11"/>
  <c r="AE1" i="11"/>
  <c r="AG1" i="11"/>
  <c r="AK12" i="10"/>
  <c r="AJ12" i="10"/>
  <c r="AI12" i="10"/>
  <c r="AH12" i="10"/>
  <c r="AG12" i="10"/>
  <c r="AF12" i="10"/>
  <c r="AE12" i="10"/>
  <c r="AD12" i="10"/>
  <c r="AC12" i="10"/>
  <c r="X12" i="10"/>
  <c r="W12" i="10"/>
  <c r="V12" i="10"/>
  <c r="U12" i="10"/>
  <c r="T12" i="10"/>
  <c r="S12" i="10"/>
  <c r="R12" i="10"/>
  <c r="Q12" i="10"/>
  <c r="P12" i="10"/>
  <c r="AL11" i="10"/>
  <c r="AJ11" i="10"/>
  <c r="AI11" i="10"/>
  <c r="AH11" i="10"/>
  <c r="AG11" i="10"/>
  <c r="AF11" i="10"/>
  <c r="AE11" i="10"/>
  <c r="AD11" i="10"/>
  <c r="AC11" i="10"/>
  <c r="Y11" i="10"/>
  <c r="W11" i="10"/>
  <c r="V11" i="10"/>
  <c r="U11" i="10"/>
  <c r="T11" i="10"/>
  <c r="S11" i="10"/>
  <c r="R11" i="10"/>
  <c r="Q11" i="10"/>
  <c r="P11" i="10"/>
  <c r="AL10" i="10"/>
  <c r="AK10" i="10"/>
  <c r="AI10" i="10"/>
  <c r="AH10" i="10"/>
  <c r="AG10" i="10"/>
  <c r="AF10" i="10"/>
  <c r="AE10" i="10"/>
  <c r="AD10" i="10"/>
  <c r="AC10" i="10"/>
  <c r="Y10" i="10"/>
  <c r="X10" i="10"/>
  <c r="V10" i="10"/>
  <c r="U10" i="10"/>
  <c r="T10" i="10"/>
  <c r="S10" i="10"/>
  <c r="R10" i="10"/>
  <c r="Q10" i="10"/>
  <c r="P10" i="10"/>
  <c r="AL9" i="10"/>
  <c r="AK9" i="10"/>
  <c r="AJ9" i="10"/>
  <c r="AH9" i="10"/>
  <c r="AG9" i="10"/>
  <c r="AF9" i="10"/>
  <c r="AE9" i="10"/>
  <c r="AD9" i="10"/>
  <c r="AC9" i="10"/>
  <c r="Y9" i="10"/>
  <c r="X9" i="10"/>
  <c r="W9" i="10"/>
  <c r="U9" i="10"/>
  <c r="T9" i="10"/>
  <c r="S9" i="10"/>
  <c r="R9" i="10"/>
  <c r="Q9" i="10"/>
  <c r="P9" i="10"/>
  <c r="AL8" i="10"/>
  <c r="AK8" i="10"/>
  <c r="AJ8" i="10"/>
  <c r="AI8" i="10"/>
  <c r="AG8" i="10"/>
  <c r="AF8" i="10"/>
  <c r="AE8" i="10"/>
  <c r="AD8" i="10"/>
  <c r="AC8" i="10"/>
  <c r="Y8" i="10"/>
  <c r="X8" i="10"/>
  <c r="W8" i="10"/>
  <c r="V8" i="10"/>
  <c r="T8" i="10"/>
  <c r="S8" i="10"/>
  <c r="R8" i="10"/>
  <c r="Q8" i="10"/>
  <c r="P8" i="10"/>
  <c r="AL7" i="10"/>
  <c r="AK7" i="10"/>
  <c r="AJ7" i="10"/>
  <c r="AI7" i="10"/>
  <c r="AH7" i="10"/>
  <c r="AF7" i="10"/>
  <c r="AE7" i="10"/>
  <c r="AD7" i="10"/>
  <c r="AC7" i="10"/>
  <c r="Y7" i="10"/>
  <c r="X7" i="10"/>
  <c r="W7" i="10"/>
  <c r="V7" i="10"/>
  <c r="U7" i="10"/>
  <c r="S7" i="10"/>
  <c r="R7" i="10"/>
  <c r="Q7" i="10"/>
  <c r="P7" i="10"/>
  <c r="AL6" i="10"/>
  <c r="AK6" i="10"/>
  <c r="AJ6" i="10"/>
  <c r="AI6" i="10"/>
  <c r="AH6" i="10"/>
  <c r="AG6" i="10"/>
  <c r="AE6" i="10"/>
  <c r="AD6" i="10"/>
  <c r="AC6" i="10"/>
  <c r="Y6" i="10"/>
  <c r="X6" i="10"/>
  <c r="W6" i="10"/>
  <c r="V6" i="10"/>
  <c r="U6" i="10"/>
  <c r="T6" i="10"/>
  <c r="R6" i="10"/>
  <c r="Q6" i="10"/>
  <c r="P6" i="10"/>
  <c r="AL5" i="10"/>
  <c r="AK5" i="10"/>
  <c r="AJ5" i="10"/>
  <c r="AI5" i="10"/>
  <c r="AH5" i="10"/>
  <c r="AG5" i="10"/>
  <c r="AF5" i="10"/>
  <c r="AD5" i="10"/>
  <c r="AC5" i="10"/>
  <c r="Y5" i="10"/>
  <c r="X5" i="10"/>
  <c r="W5" i="10"/>
  <c r="V5" i="10"/>
  <c r="U5" i="10"/>
  <c r="T5" i="10"/>
  <c r="S5" i="10"/>
  <c r="Q5" i="10"/>
  <c r="P5" i="10"/>
  <c r="AL4" i="10"/>
  <c r="AK4" i="10"/>
  <c r="AJ4" i="10"/>
  <c r="AI4" i="10"/>
  <c r="AH4" i="10"/>
  <c r="AG4" i="10"/>
  <c r="AF4" i="10"/>
  <c r="AE4" i="10"/>
  <c r="AC4" i="10"/>
  <c r="Y4" i="10"/>
  <c r="X4" i="10"/>
  <c r="W4" i="10"/>
  <c r="V4" i="10"/>
  <c r="U4" i="10"/>
  <c r="T4" i="10"/>
  <c r="S4" i="10"/>
  <c r="R4" i="10"/>
  <c r="P4" i="10"/>
  <c r="AL3" i="10"/>
  <c r="AK3" i="10"/>
  <c r="AJ3" i="10"/>
  <c r="AI3" i="10"/>
  <c r="AH3" i="10"/>
  <c r="AG3" i="10"/>
  <c r="AF3" i="10"/>
  <c r="AE3" i="10"/>
  <c r="AD3" i="10"/>
  <c r="Y3" i="10"/>
  <c r="X3" i="10"/>
  <c r="W3" i="10"/>
  <c r="V3" i="10"/>
  <c r="U3" i="10"/>
  <c r="T3" i="10"/>
  <c r="S3" i="10"/>
  <c r="R3" i="10"/>
  <c r="Q3" i="10"/>
  <c r="AD3" i="5"/>
  <c r="AE3" i="5"/>
  <c r="AF3" i="5"/>
  <c r="AG3" i="5"/>
  <c r="AH3" i="5"/>
  <c r="AI3" i="5"/>
  <c r="AJ3" i="5"/>
  <c r="AK3" i="5"/>
  <c r="AL3" i="5"/>
  <c r="AC4" i="5"/>
  <c r="AE4" i="5"/>
  <c r="AF4" i="5"/>
  <c r="AG4" i="5"/>
  <c r="AH4" i="5"/>
  <c r="AI4" i="5"/>
  <c r="AJ4" i="5"/>
  <c r="AK4" i="5"/>
  <c r="AL4" i="5"/>
  <c r="AC5" i="5"/>
  <c r="AD5" i="5"/>
  <c r="AF5" i="5"/>
  <c r="AG5" i="5"/>
  <c r="AH5" i="5"/>
  <c r="AI5" i="5"/>
  <c r="AJ5" i="5"/>
  <c r="AK5" i="5"/>
  <c r="AL5" i="5"/>
  <c r="AC6" i="5"/>
  <c r="AD6" i="5"/>
  <c r="AE6" i="5"/>
  <c r="AG6" i="5"/>
  <c r="AH6" i="5"/>
  <c r="AI6" i="5"/>
  <c r="AJ6" i="5"/>
  <c r="AK6" i="5"/>
  <c r="AL6" i="5"/>
  <c r="AC7" i="5"/>
  <c r="AD7" i="5"/>
  <c r="AE7" i="5"/>
  <c r="AF7" i="5"/>
  <c r="AH7" i="5"/>
  <c r="AI7" i="5"/>
  <c r="AJ7" i="5"/>
  <c r="AK7" i="5"/>
  <c r="AL7" i="5"/>
  <c r="AC8" i="5"/>
  <c r="AD8" i="5"/>
  <c r="AE8" i="5"/>
  <c r="AF8" i="5"/>
  <c r="AG8" i="5"/>
  <c r="AI8" i="5"/>
  <c r="AJ8" i="5"/>
  <c r="AK8" i="5"/>
  <c r="AL8" i="5"/>
  <c r="AC9" i="5"/>
  <c r="AD9" i="5"/>
  <c r="AE9" i="5"/>
  <c r="AF9" i="5"/>
  <c r="AG9" i="5"/>
  <c r="AH9" i="5"/>
  <c r="AJ9" i="5"/>
  <c r="AK9" i="5"/>
  <c r="AL9" i="5"/>
  <c r="AC10" i="5"/>
  <c r="AD10" i="5"/>
  <c r="AE10" i="5"/>
  <c r="AF10" i="5"/>
  <c r="AG10" i="5"/>
  <c r="AH10" i="5"/>
  <c r="AI10" i="5"/>
  <c r="AK10" i="5"/>
  <c r="AL10" i="5"/>
  <c r="AC11" i="5"/>
  <c r="AD11" i="5"/>
  <c r="AE11" i="5"/>
  <c r="AF11" i="5"/>
  <c r="AG11" i="5"/>
  <c r="AH11" i="5"/>
  <c r="AI11" i="5"/>
  <c r="AJ11" i="5"/>
  <c r="AL11" i="5"/>
  <c r="AC12" i="5"/>
  <c r="AD12" i="5"/>
  <c r="AE12" i="5"/>
  <c r="AF12" i="5"/>
  <c r="AG12" i="5"/>
  <c r="AH12" i="5"/>
  <c r="AI12" i="5"/>
  <c r="AJ12" i="5"/>
  <c r="AK12" i="5"/>
  <c r="Q3" i="5"/>
  <c r="R3" i="5"/>
  <c r="S3" i="5"/>
  <c r="T3" i="5"/>
  <c r="U3" i="5"/>
  <c r="V3" i="5"/>
  <c r="W3" i="5"/>
  <c r="X3" i="5"/>
  <c r="Y3" i="5"/>
  <c r="P4" i="5"/>
  <c r="R4" i="5"/>
  <c r="S4" i="5"/>
  <c r="T4" i="5"/>
  <c r="U4" i="5"/>
  <c r="V4" i="5"/>
  <c r="W4" i="5"/>
  <c r="X4" i="5"/>
  <c r="Y4" i="5"/>
  <c r="P5" i="5"/>
  <c r="Q5" i="5"/>
  <c r="S5" i="5"/>
  <c r="T5" i="5"/>
  <c r="U5" i="5"/>
  <c r="V5" i="5"/>
  <c r="W5" i="5"/>
  <c r="X5" i="5"/>
  <c r="Y5" i="5"/>
  <c r="P6" i="5"/>
  <c r="Q6" i="5"/>
  <c r="R6" i="5"/>
  <c r="T6" i="5"/>
  <c r="U6" i="5"/>
  <c r="V6" i="5"/>
  <c r="W6" i="5"/>
  <c r="X6" i="5"/>
  <c r="Y6" i="5"/>
  <c r="P7" i="5"/>
  <c r="Q7" i="5"/>
  <c r="R7" i="5"/>
  <c r="S7" i="5"/>
  <c r="U7" i="5"/>
  <c r="V7" i="5"/>
  <c r="W7" i="5"/>
  <c r="X7" i="5"/>
  <c r="Y7" i="5"/>
  <c r="P8" i="5"/>
  <c r="Q8" i="5"/>
  <c r="R8" i="5"/>
  <c r="S8" i="5"/>
  <c r="T8" i="5"/>
  <c r="V8" i="5"/>
  <c r="W8" i="5"/>
  <c r="X8" i="5"/>
  <c r="Y8" i="5"/>
  <c r="P9" i="5"/>
  <c r="Q9" i="5"/>
  <c r="R9" i="5"/>
  <c r="S9" i="5"/>
  <c r="T9" i="5"/>
  <c r="U9" i="5"/>
  <c r="W9" i="5"/>
  <c r="X9" i="5"/>
  <c r="Y9" i="5"/>
  <c r="P10" i="5"/>
  <c r="Q10" i="5"/>
  <c r="R10" i="5"/>
  <c r="S10" i="5"/>
  <c r="T10" i="5"/>
  <c r="U10" i="5"/>
  <c r="V10" i="5"/>
  <c r="X10" i="5"/>
  <c r="Y10" i="5"/>
  <c r="P11" i="5"/>
  <c r="Q11" i="5"/>
  <c r="R11" i="5"/>
  <c r="S11" i="5"/>
  <c r="T11" i="5"/>
  <c r="U11" i="5"/>
  <c r="V11" i="5"/>
  <c r="W11" i="5"/>
  <c r="Y11" i="5"/>
  <c r="P12" i="5"/>
  <c r="Q12" i="5"/>
  <c r="R12" i="5"/>
  <c r="S12" i="5"/>
  <c r="T12" i="5"/>
  <c r="U12" i="5"/>
  <c r="V12" i="5"/>
  <c r="W12" i="5"/>
  <c r="X12" i="5"/>
  <c r="I38" i="10" a="1"/>
  <c r="I38" i="10"/>
  <c r="I37" i="10" a="1"/>
  <c r="I37" i="10"/>
  <c r="I36" i="10" a="1"/>
  <c r="I36" i="10"/>
  <c r="I35" i="10" a="1"/>
  <c r="I35" i="10"/>
  <c r="J34" i="10"/>
  <c r="P33" i="10" a="1"/>
  <c r="P33" i="10"/>
  <c r="O33" i="10" a="1"/>
  <c r="O33" i="10"/>
  <c r="N33" i="10" a="1"/>
  <c r="N33" i="10"/>
  <c r="M33" i="10" a="1"/>
  <c r="M33" i="10"/>
  <c r="L33" i="10" a="1"/>
  <c r="L33" i="10"/>
  <c r="K33" i="10" a="1"/>
  <c r="K33" i="10"/>
  <c r="J33" i="10" a="1"/>
  <c r="J33" i="10"/>
  <c r="I33" i="10" a="1"/>
  <c r="I33" i="10"/>
  <c r="H33" i="10" a="1"/>
  <c r="H33" i="10"/>
  <c r="G33" i="10" a="1"/>
  <c r="G33" i="10"/>
  <c r="F33" i="10" a="1"/>
  <c r="F33" i="10"/>
  <c r="E23" i="10"/>
  <c r="E24" i="10"/>
  <c r="E25" i="10"/>
  <c r="E26" i="10"/>
  <c r="E27" i="10"/>
  <c r="E28" i="10"/>
  <c r="E29" i="10"/>
  <c r="E30" i="10"/>
  <c r="E31" i="10"/>
  <c r="E32" i="10"/>
  <c r="P32" i="10" a="1"/>
  <c r="P32" i="10"/>
  <c r="O32" i="10" a="1"/>
  <c r="O32" i="10"/>
  <c r="N32" i="10" a="1"/>
  <c r="N32" i="10"/>
  <c r="M32" i="10" a="1"/>
  <c r="M32" i="10"/>
  <c r="L32" i="10" a="1"/>
  <c r="L32" i="10"/>
  <c r="K32" i="10" a="1"/>
  <c r="K32" i="10"/>
  <c r="J32" i="10" a="1"/>
  <c r="J32" i="10"/>
  <c r="I32" i="10" a="1"/>
  <c r="I32" i="10"/>
  <c r="H32" i="10" a="1"/>
  <c r="H32" i="10"/>
  <c r="G32" i="10" a="1"/>
  <c r="G32" i="10"/>
  <c r="F32" i="10" a="1"/>
  <c r="F32" i="10"/>
  <c r="P31" i="10" a="1"/>
  <c r="P31" i="10"/>
  <c r="O31" i="10" a="1"/>
  <c r="O31" i="10"/>
  <c r="N31" i="10" a="1"/>
  <c r="N31" i="10"/>
  <c r="M31" i="10" a="1"/>
  <c r="M31" i="10"/>
  <c r="L31" i="10" a="1"/>
  <c r="L31" i="10"/>
  <c r="K31" i="10" a="1"/>
  <c r="K31" i="10"/>
  <c r="J31" i="10" a="1"/>
  <c r="J31" i="10"/>
  <c r="I31" i="10" a="1"/>
  <c r="I31" i="10"/>
  <c r="H31" i="10" a="1"/>
  <c r="H31" i="10"/>
  <c r="G31" i="10" a="1"/>
  <c r="G31" i="10"/>
  <c r="F31" i="10" a="1"/>
  <c r="F31" i="10"/>
  <c r="P30" i="10" a="1"/>
  <c r="P30" i="10"/>
  <c r="O30" i="10" a="1"/>
  <c r="O30" i="10"/>
  <c r="N30" i="10" a="1"/>
  <c r="N30" i="10"/>
  <c r="M30" i="10" a="1"/>
  <c r="M30" i="10"/>
  <c r="L30" i="10" a="1"/>
  <c r="L30" i="10"/>
  <c r="K30" i="10" a="1"/>
  <c r="K30" i="10"/>
  <c r="J30" i="10" a="1"/>
  <c r="J30" i="10"/>
  <c r="I30" i="10" a="1"/>
  <c r="I30" i="10"/>
  <c r="H30" i="10" a="1"/>
  <c r="H30" i="10"/>
  <c r="G30" i="10" a="1"/>
  <c r="G30" i="10"/>
  <c r="F30" i="10" a="1"/>
  <c r="F30" i="10"/>
  <c r="P29" i="10" a="1"/>
  <c r="P29" i="10"/>
  <c r="O29" i="10" a="1"/>
  <c r="O29" i="10"/>
  <c r="N29" i="10" a="1"/>
  <c r="N29" i="10"/>
  <c r="M29" i="10" a="1"/>
  <c r="M29" i="10"/>
  <c r="L29" i="10" a="1"/>
  <c r="L29" i="10"/>
  <c r="K29" i="10" a="1"/>
  <c r="K29" i="10"/>
  <c r="J29" i="10" a="1"/>
  <c r="J29" i="10"/>
  <c r="I29" i="10" a="1"/>
  <c r="I29" i="10"/>
  <c r="H29" i="10" a="1"/>
  <c r="H29" i="10"/>
  <c r="G29" i="10" a="1"/>
  <c r="G29" i="10"/>
  <c r="F29" i="10" a="1"/>
  <c r="F29" i="10"/>
  <c r="P28" i="10" a="1"/>
  <c r="P28" i="10"/>
  <c r="O28" i="10" a="1"/>
  <c r="O28" i="10"/>
  <c r="N28" i="10" a="1"/>
  <c r="N28" i="10"/>
  <c r="M28" i="10" a="1"/>
  <c r="M28" i="10"/>
  <c r="L28" i="10" a="1"/>
  <c r="L28" i="10"/>
  <c r="K28" i="10" a="1"/>
  <c r="K28" i="10"/>
  <c r="J28" i="10" a="1"/>
  <c r="J28" i="10"/>
  <c r="I28" i="10" a="1"/>
  <c r="I28" i="10"/>
  <c r="H28" i="10" a="1"/>
  <c r="H28" i="10"/>
  <c r="G28" i="10" a="1"/>
  <c r="G28" i="10"/>
  <c r="F28" i="10" a="1"/>
  <c r="F28" i="10"/>
  <c r="P27" i="10" a="1"/>
  <c r="P27" i="10"/>
  <c r="O27" i="10" a="1"/>
  <c r="O27" i="10"/>
  <c r="N27" i="10" a="1"/>
  <c r="N27" i="10"/>
  <c r="M27" i="10" a="1"/>
  <c r="M27" i="10"/>
  <c r="L27" i="10" a="1"/>
  <c r="L27" i="10"/>
  <c r="K27" i="10" a="1"/>
  <c r="K27" i="10"/>
  <c r="J27" i="10" a="1"/>
  <c r="J27" i="10"/>
  <c r="I27" i="10" a="1"/>
  <c r="I27" i="10"/>
  <c r="H27" i="10" a="1"/>
  <c r="H27" i="10"/>
  <c r="G27" i="10" a="1"/>
  <c r="G27" i="10"/>
  <c r="F27" i="10" a="1"/>
  <c r="F27" i="10"/>
  <c r="P26" i="10" a="1"/>
  <c r="P26" i="10"/>
  <c r="O26" i="10" a="1"/>
  <c r="O26" i="10"/>
  <c r="N26" i="10" a="1"/>
  <c r="N26" i="10"/>
  <c r="M26" i="10" a="1"/>
  <c r="M26" i="10"/>
  <c r="L26" i="10" a="1"/>
  <c r="L26" i="10"/>
  <c r="K26" i="10" a="1"/>
  <c r="K26" i="10"/>
  <c r="J26" i="10" a="1"/>
  <c r="J26" i="10"/>
  <c r="I26" i="10" a="1"/>
  <c r="I26" i="10"/>
  <c r="H26" i="10" a="1"/>
  <c r="H26" i="10"/>
  <c r="G26" i="10" a="1"/>
  <c r="G26" i="10"/>
  <c r="F26" i="10" a="1"/>
  <c r="F26" i="10"/>
  <c r="P25" i="10" a="1"/>
  <c r="P25" i="10"/>
  <c r="O25" i="10" a="1"/>
  <c r="O25" i="10"/>
  <c r="N25" i="10" a="1"/>
  <c r="N25" i="10"/>
  <c r="M25" i="10" a="1"/>
  <c r="M25" i="10"/>
  <c r="L25" i="10" a="1"/>
  <c r="L25" i="10"/>
  <c r="K25" i="10" a="1"/>
  <c r="K25" i="10"/>
  <c r="J25" i="10" a="1"/>
  <c r="J25" i="10"/>
  <c r="I25" i="10" a="1"/>
  <c r="I25" i="10"/>
  <c r="H25" i="10" a="1"/>
  <c r="H25" i="10"/>
  <c r="G25" i="10" a="1"/>
  <c r="G25" i="10"/>
  <c r="F25" i="10" a="1"/>
  <c r="F25" i="10"/>
  <c r="P24" i="10" a="1"/>
  <c r="P24" i="10"/>
  <c r="O24" i="10" a="1"/>
  <c r="O24" i="10"/>
  <c r="N24" i="10" a="1"/>
  <c r="N24" i="10"/>
  <c r="M24" i="10" a="1"/>
  <c r="M24" i="10"/>
  <c r="L24" i="10" a="1"/>
  <c r="L24" i="10"/>
  <c r="K24" i="10" a="1"/>
  <c r="K24" i="10"/>
  <c r="J24" i="10" a="1"/>
  <c r="J24" i="10"/>
  <c r="I24" i="10" a="1"/>
  <c r="I24" i="10"/>
  <c r="H24" i="10" a="1"/>
  <c r="H24" i="10"/>
  <c r="G24" i="10" a="1"/>
  <c r="G24" i="10"/>
  <c r="F24" i="10" a="1"/>
  <c r="F24" i="10"/>
  <c r="P23" i="10" a="1"/>
  <c r="P23" i="10"/>
  <c r="O23" i="10" a="1"/>
  <c r="O23" i="10"/>
  <c r="N23" i="10" a="1"/>
  <c r="N23" i="10"/>
  <c r="M23" i="10" a="1"/>
  <c r="M23" i="10"/>
  <c r="L23" i="10" a="1"/>
  <c r="L23" i="10"/>
  <c r="K23" i="10" a="1"/>
  <c r="K23" i="10"/>
  <c r="J23" i="10" a="1"/>
  <c r="J23" i="10"/>
  <c r="I23" i="10" a="1"/>
  <c r="I23" i="10"/>
  <c r="H23" i="10" a="1"/>
  <c r="H23" i="10"/>
  <c r="G23" i="10" a="1"/>
  <c r="G23" i="10"/>
  <c r="F23" i="10" a="1"/>
  <c r="F23" i="10"/>
  <c r="P22" i="10" a="1"/>
  <c r="P22" i="10"/>
  <c r="O22" i="10" a="1"/>
  <c r="O22" i="10"/>
  <c r="N22" i="10" a="1"/>
  <c r="N22" i="10"/>
  <c r="M22" i="10" a="1"/>
  <c r="M22" i="10"/>
  <c r="L22" i="10" a="1"/>
  <c r="L22" i="10"/>
  <c r="K22" i="10" a="1"/>
  <c r="K22" i="10"/>
  <c r="J22" i="10" a="1"/>
  <c r="J22" i="10"/>
  <c r="I22" i="10" a="1"/>
  <c r="I22" i="10"/>
  <c r="H22" i="10" a="1"/>
  <c r="H22" i="10"/>
  <c r="G22" i="10" a="1"/>
  <c r="G22" i="10"/>
  <c r="F22" i="10" a="1"/>
  <c r="F22" i="10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B2" i="10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A1" i="6" a="1"/>
  <c r="A1" i="6"/>
  <c r="B4" i="3"/>
  <c r="A2" i="6"/>
  <c r="B5" i="3"/>
  <c r="A3" i="6"/>
  <c r="B6" i="3"/>
  <c r="A4" i="6"/>
  <c r="B7" i="3"/>
  <c r="A5" i="6"/>
  <c r="B8" i="3"/>
  <c r="A6" i="6"/>
  <c r="B9" i="3"/>
  <c r="A7" i="6"/>
  <c r="B10" i="3"/>
  <c r="A8" i="6"/>
  <c r="B11" i="3"/>
  <c r="A9" i="6"/>
  <c r="B12" i="3"/>
  <c r="A10" i="6"/>
  <c r="B13" i="3"/>
  <c r="A11" i="6"/>
  <c r="B14" i="3"/>
  <c r="A12" i="6"/>
  <c r="B15" i="3"/>
  <c r="A13" i="6"/>
  <c r="B16" i="3"/>
  <c r="A14" i="6"/>
  <c r="B17" i="3"/>
  <c r="A15" i="6"/>
  <c r="B18" i="3"/>
  <c r="A16" i="6"/>
  <c r="F22" i="5" a="1"/>
  <c r="F22" i="5"/>
  <c r="E23" i="5"/>
  <c r="F23" i="5" a="1"/>
  <c r="F23" i="5"/>
  <c r="E24" i="5"/>
  <c r="F24" i="5" a="1"/>
  <c r="F24" i="5"/>
  <c r="E25" i="5"/>
  <c r="F25" i="5" a="1"/>
  <c r="F25" i="5"/>
  <c r="E26" i="5"/>
  <c r="F26" i="5" a="1"/>
  <c r="E27" i="5"/>
  <c r="F27" i="5" a="1"/>
  <c r="E28" i="5"/>
  <c r="F28" i="5" a="1"/>
  <c r="E29" i="5"/>
  <c r="F29" i="5" a="1"/>
  <c r="E30" i="5"/>
  <c r="F30" i="5" a="1"/>
  <c r="E31" i="5"/>
  <c r="F31" i="5" a="1"/>
  <c r="E32" i="5"/>
  <c r="F32" i="5" a="1"/>
  <c r="F33" i="5" a="1"/>
  <c r="F26" i="5"/>
  <c r="F27" i="5"/>
  <c r="F28" i="5"/>
  <c r="F29" i="5"/>
  <c r="F30" i="5"/>
  <c r="F31" i="5"/>
  <c r="F32" i="5"/>
  <c r="F33" i="5"/>
  <c r="B3" i="5"/>
  <c r="G22" i="5" a="1"/>
  <c r="G22" i="5"/>
  <c r="G23" i="5" a="1"/>
  <c r="G23" i="5"/>
  <c r="G24" i="5" a="1"/>
  <c r="G25" i="5" a="1"/>
  <c r="G26" i="5" a="1"/>
  <c r="G27" i="5" a="1"/>
  <c r="G28" i="5" a="1"/>
  <c r="G29" i="5" a="1"/>
  <c r="G30" i="5" a="1"/>
  <c r="G31" i="5" a="1"/>
  <c r="G32" i="5" a="1"/>
  <c r="G33" i="5" a="1"/>
  <c r="G24" i="5"/>
  <c r="G25" i="5"/>
  <c r="G26" i="5"/>
  <c r="G27" i="5"/>
  <c r="G28" i="5"/>
  <c r="G29" i="5"/>
  <c r="G30" i="5"/>
  <c r="G31" i="5"/>
  <c r="G32" i="5"/>
  <c r="G33" i="5"/>
  <c r="C3" i="5"/>
  <c r="H22" i="5" a="1"/>
  <c r="H22" i="5"/>
  <c r="H23" i="5" a="1"/>
  <c r="H23" i="5"/>
  <c r="H24" i="5" a="1"/>
  <c r="H25" i="5" a="1"/>
  <c r="H26" i="5" a="1"/>
  <c r="H27" i="5" a="1"/>
  <c r="H28" i="5" a="1"/>
  <c r="H29" i="5" a="1"/>
  <c r="H30" i="5" a="1"/>
  <c r="H31" i="5" a="1"/>
  <c r="H32" i="5" a="1"/>
  <c r="H33" i="5" a="1"/>
  <c r="H24" i="5"/>
  <c r="H25" i="5"/>
  <c r="H26" i="5"/>
  <c r="H27" i="5"/>
  <c r="H28" i="5"/>
  <c r="H29" i="5"/>
  <c r="H30" i="5"/>
  <c r="H31" i="5"/>
  <c r="H32" i="5"/>
  <c r="H33" i="5"/>
  <c r="D3" i="5"/>
  <c r="I22" i="5" a="1"/>
  <c r="I22" i="5"/>
  <c r="I23" i="5" a="1"/>
  <c r="I23" i="5"/>
  <c r="E3" i="5"/>
  <c r="J34" i="5"/>
  <c r="J22" i="5" a="1"/>
  <c r="J22" i="5"/>
  <c r="J23" i="5" a="1"/>
  <c r="J23" i="5"/>
  <c r="J24" i="5" a="1"/>
  <c r="J25" i="5" a="1"/>
  <c r="J26" i="5" a="1"/>
  <c r="J27" i="5" a="1"/>
  <c r="J28" i="5" a="1"/>
  <c r="J29" i="5" a="1"/>
  <c r="J30" i="5" a="1"/>
  <c r="J31" i="5" a="1"/>
  <c r="J32" i="5" a="1"/>
  <c r="J33" i="5" a="1"/>
  <c r="J24" i="5"/>
  <c r="J25" i="5"/>
  <c r="J26" i="5"/>
  <c r="J27" i="5"/>
  <c r="J28" i="5"/>
  <c r="J29" i="5"/>
  <c r="J30" i="5"/>
  <c r="J31" i="5"/>
  <c r="J32" i="5"/>
  <c r="J33" i="5"/>
  <c r="F3" i="5"/>
  <c r="K22" i="5" a="1"/>
  <c r="K22" i="5"/>
  <c r="K23" i="5" a="1"/>
  <c r="K23" i="5"/>
  <c r="K24" i="5" a="1"/>
  <c r="K25" i="5" a="1"/>
  <c r="K26" i="5" a="1"/>
  <c r="K27" i="5" a="1"/>
  <c r="K28" i="5" a="1"/>
  <c r="K29" i="5" a="1"/>
  <c r="K30" i="5" a="1"/>
  <c r="K31" i="5" a="1"/>
  <c r="K32" i="5" a="1"/>
  <c r="K33" i="5" a="1"/>
  <c r="K24" i="5"/>
  <c r="K25" i="5"/>
  <c r="K26" i="5"/>
  <c r="K27" i="5"/>
  <c r="K28" i="5"/>
  <c r="K29" i="5"/>
  <c r="K30" i="5"/>
  <c r="K31" i="5"/>
  <c r="K32" i="5"/>
  <c r="K33" i="5"/>
  <c r="G3" i="5"/>
  <c r="L22" i="5" a="1"/>
  <c r="L22" i="5"/>
  <c r="L23" i="5" a="1"/>
  <c r="L23" i="5"/>
  <c r="L24" i="5" a="1"/>
  <c r="L25" i="5" a="1"/>
  <c r="L26" i="5" a="1"/>
  <c r="L27" i="5" a="1"/>
  <c r="L28" i="5" a="1"/>
  <c r="L29" i="5" a="1"/>
  <c r="L30" i="5" a="1"/>
  <c r="L31" i="5" a="1"/>
  <c r="L32" i="5" a="1"/>
  <c r="L33" i="5" a="1"/>
  <c r="L24" i="5"/>
  <c r="L25" i="5"/>
  <c r="L26" i="5"/>
  <c r="L27" i="5"/>
  <c r="L28" i="5"/>
  <c r="L29" i="5"/>
  <c r="L30" i="5"/>
  <c r="L31" i="5"/>
  <c r="L32" i="5"/>
  <c r="L33" i="5"/>
  <c r="H3" i="5"/>
  <c r="M22" i="5" a="1"/>
  <c r="M22" i="5"/>
  <c r="M23" i="5" a="1"/>
  <c r="M23" i="5"/>
  <c r="M24" i="5" a="1"/>
  <c r="M25" i="5" a="1"/>
  <c r="M26" i="5" a="1"/>
  <c r="M27" i="5" a="1"/>
  <c r="M28" i="5" a="1"/>
  <c r="M29" i="5" a="1"/>
  <c r="M30" i="5" a="1"/>
  <c r="M31" i="5" a="1"/>
  <c r="M32" i="5" a="1"/>
  <c r="M33" i="5" a="1"/>
  <c r="M24" i="5"/>
  <c r="M25" i="5"/>
  <c r="M26" i="5"/>
  <c r="M27" i="5"/>
  <c r="M28" i="5"/>
  <c r="M29" i="5"/>
  <c r="M30" i="5"/>
  <c r="M31" i="5"/>
  <c r="M32" i="5"/>
  <c r="M33" i="5"/>
  <c r="I3" i="5"/>
  <c r="N22" i="5" a="1"/>
  <c r="N22" i="5"/>
  <c r="N23" i="5" a="1"/>
  <c r="N23" i="5"/>
  <c r="N24" i="5" a="1"/>
  <c r="N25" i="5" a="1"/>
  <c r="N26" i="5" a="1"/>
  <c r="N27" i="5" a="1"/>
  <c r="N28" i="5" a="1"/>
  <c r="N29" i="5" a="1"/>
  <c r="N30" i="5" a="1"/>
  <c r="N31" i="5" a="1"/>
  <c r="N32" i="5" a="1"/>
  <c r="N33" i="5" a="1"/>
  <c r="N24" i="5"/>
  <c r="N25" i="5"/>
  <c r="N26" i="5"/>
  <c r="N27" i="5"/>
  <c r="N28" i="5"/>
  <c r="N29" i="5"/>
  <c r="N30" i="5"/>
  <c r="N31" i="5"/>
  <c r="N32" i="5"/>
  <c r="N33" i="5"/>
  <c r="J3" i="5"/>
  <c r="O22" i="5" a="1"/>
  <c r="O22" i="5"/>
  <c r="O23" i="5" a="1"/>
  <c r="O23" i="5"/>
  <c r="O24" i="5" a="1"/>
  <c r="O25" i="5" a="1"/>
  <c r="O26" i="5" a="1"/>
  <c r="O27" i="5" a="1"/>
  <c r="O28" i="5" a="1"/>
  <c r="O29" i="5" a="1"/>
  <c r="O30" i="5" a="1"/>
  <c r="O31" i="5" a="1"/>
  <c r="O32" i="5" a="1"/>
  <c r="O33" i="5" a="1"/>
  <c r="O24" i="5"/>
  <c r="O25" i="5"/>
  <c r="O26" i="5"/>
  <c r="O27" i="5"/>
  <c r="O28" i="5"/>
  <c r="O29" i="5"/>
  <c r="O30" i="5"/>
  <c r="O31" i="5"/>
  <c r="O32" i="5"/>
  <c r="O33" i="5"/>
  <c r="K3" i="5"/>
  <c r="P22" i="5" a="1"/>
  <c r="P22" i="5"/>
  <c r="P23" i="5" a="1"/>
  <c r="P23" i="5"/>
  <c r="P24" i="5" a="1"/>
  <c r="P25" i="5" a="1"/>
  <c r="P26" i="5" a="1"/>
  <c r="P27" i="5" a="1"/>
  <c r="P28" i="5" a="1"/>
  <c r="P29" i="5" a="1"/>
  <c r="P30" i="5" a="1"/>
  <c r="P31" i="5" a="1"/>
  <c r="P32" i="5" a="1"/>
  <c r="P33" i="5" a="1"/>
  <c r="P24" i="5"/>
  <c r="P25" i="5"/>
  <c r="P26" i="5"/>
  <c r="P27" i="5"/>
  <c r="P28" i="5"/>
  <c r="P29" i="5"/>
  <c r="P30" i="5"/>
  <c r="P31" i="5"/>
  <c r="P32" i="5"/>
  <c r="P33" i="5"/>
  <c r="L3" i="5"/>
  <c r="B4" i="5"/>
  <c r="C4" i="5"/>
  <c r="D4" i="5"/>
  <c r="I24" i="5" a="1"/>
  <c r="I24" i="5"/>
  <c r="E4" i="5"/>
  <c r="F4" i="5"/>
  <c r="G4" i="5"/>
  <c r="H4" i="5"/>
  <c r="I4" i="5"/>
  <c r="J4" i="5"/>
  <c r="K4" i="5"/>
  <c r="L4" i="5"/>
  <c r="B5" i="5"/>
  <c r="C5" i="5"/>
  <c r="D5" i="5"/>
  <c r="I35" i="5" a="1"/>
  <c r="I35" i="5"/>
  <c r="I36" i="5" a="1"/>
  <c r="I36" i="5"/>
  <c r="I37" i="5" a="1"/>
  <c r="I38" i="5" a="1"/>
  <c r="I37" i="5"/>
  <c r="I38" i="5"/>
  <c r="I25" i="5" a="1"/>
  <c r="I25" i="5"/>
  <c r="I26" i="5" a="1"/>
  <c r="I27" i="5" a="1"/>
  <c r="I28" i="5" a="1"/>
  <c r="I29" i="5" a="1"/>
  <c r="I30" i="5" a="1"/>
  <c r="I31" i="5" a="1"/>
  <c r="I32" i="5" a="1"/>
  <c r="I33" i="5" a="1"/>
  <c r="I26" i="5"/>
  <c r="I27" i="5"/>
  <c r="I28" i="5"/>
  <c r="I29" i="5"/>
  <c r="I30" i="5"/>
  <c r="I31" i="5"/>
  <c r="I32" i="5"/>
  <c r="I33" i="5"/>
  <c r="E5" i="5"/>
  <c r="F5" i="5"/>
  <c r="G5" i="5"/>
  <c r="H5" i="5"/>
  <c r="I5" i="5"/>
  <c r="J5" i="5"/>
  <c r="K5" i="5"/>
  <c r="L5" i="5"/>
  <c r="B6" i="5"/>
  <c r="C6" i="5"/>
  <c r="D6" i="5"/>
  <c r="E6" i="5"/>
  <c r="F6" i="5"/>
  <c r="G6" i="5"/>
  <c r="H6" i="5"/>
  <c r="I6" i="5"/>
  <c r="J6" i="5"/>
  <c r="K6" i="5"/>
  <c r="L6" i="5"/>
  <c r="B7" i="5"/>
  <c r="C7" i="5"/>
  <c r="D7" i="5"/>
  <c r="E7" i="5"/>
  <c r="F7" i="5"/>
  <c r="G7" i="5"/>
  <c r="H7" i="5"/>
  <c r="I7" i="5"/>
  <c r="J7" i="5"/>
  <c r="K7" i="5"/>
  <c r="L7" i="5"/>
  <c r="B8" i="5"/>
  <c r="C8" i="5"/>
  <c r="D8" i="5"/>
  <c r="E8" i="5"/>
  <c r="F8" i="5"/>
  <c r="G8" i="5"/>
  <c r="H8" i="5"/>
  <c r="I8" i="5"/>
  <c r="J8" i="5"/>
  <c r="K8" i="5"/>
  <c r="L8" i="5"/>
  <c r="B9" i="5"/>
  <c r="C9" i="5"/>
  <c r="D9" i="5"/>
  <c r="E9" i="5"/>
  <c r="F9" i="5"/>
  <c r="G9" i="5"/>
  <c r="H9" i="5"/>
  <c r="I9" i="5"/>
  <c r="J9" i="5"/>
  <c r="K9" i="5"/>
  <c r="L9" i="5"/>
  <c r="B10" i="5"/>
  <c r="C10" i="5"/>
  <c r="D10" i="5"/>
  <c r="E10" i="5"/>
  <c r="F10" i="5"/>
  <c r="G10" i="5"/>
  <c r="H10" i="5"/>
  <c r="I10" i="5"/>
  <c r="J10" i="5"/>
  <c r="K10" i="5"/>
  <c r="L10" i="5"/>
  <c r="B11" i="5"/>
  <c r="C11" i="5"/>
  <c r="D11" i="5"/>
  <c r="E11" i="5"/>
  <c r="F11" i="5"/>
  <c r="G11" i="5"/>
  <c r="H11" i="5"/>
  <c r="I11" i="5"/>
  <c r="J11" i="5"/>
  <c r="K11" i="5"/>
  <c r="L11" i="5"/>
  <c r="B12" i="5"/>
  <c r="C12" i="5"/>
  <c r="D12" i="5"/>
  <c r="E12" i="5"/>
  <c r="F12" i="5"/>
  <c r="G12" i="5"/>
  <c r="H12" i="5"/>
  <c r="I12" i="5"/>
  <c r="J12" i="5"/>
  <c r="K12" i="5"/>
  <c r="L12" i="5"/>
  <c r="C2" i="5"/>
  <c r="D2" i="5"/>
  <c r="E2" i="5"/>
  <c r="F2" i="5"/>
  <c r="G2" i="5"/>
  <c r="H2" i="5"/>
  <c r="I2" i="5"/>
  <c r="J2" i="5"/>
  <c r="K2" i="5"/>
  <c r="L2" i="5"/>
  <c r="B2" i="5"/>
  <c r="K121" i="8" a="1"/>
  <c r="K121" i="8"/>
  <c r="K122" i="8"/>
  <c r="K123" i="8"/>
  <c r="K124" i="8"/>
  <c r="K125" i="8"/>
  <c r="K126" i="8"/>
  <c r="K127" i="8"/>
  <c r="K128" i="8"/>
  <c r="K129" i="8"/>
  <c r="K130" i="8"/>
  <c r="K131" i="8"/>
  <c r="F121" i="8" a="1"/>
  <c r="F121" i="8"/>
  <c r="F122" i="8"/>
  <c r="F123" i="8"/>
  <c r="F124" i="8"/>
  <c r="F125" i="8"/>
  <c r="F126" i="8"/>
  <c r="F127" i="8"/>
  <c r="F128" i="8"/>
  <c r="F129" i="8"/>
  <c r="F130" i="8"/>
  <c r="F131" i="8"/>
  <c r="A121" i="8" a="1"/>
  <c r="A121" i="8"/>
  <c r="A122" i="8"/>
  <c r="A123" i="8"/>
  <c r="A124" i="8"/>
  <c r="A125" i="8"/>
  <c r="A126" i="8"/>
  <c r="A127" i="8"/>
  <c r="A128" i="8"/>
  <c r="A129" i="8"/>
  <c r="A130" i="8"/>
  <c r="A131" i="8"/>
  <c r="A82" i="8" a="1"/>
  <c r="A82" i="8"/>
  <c r="A83" i="8"/>
  <c r="A84" i="8"/>
  <c r="A85" i="8"/>
  <c r="A86" i="8"/>
  <c r="A87" i="8"/>
  <c r="A88" i="8"/>
  <c r="A89" i="8"/>
  <c r="A90" i="8"/>
  <c r="A91" i="8"/>
  <c r="A92" i="8"/>
  <c r="B81" i="8" a="1"/>
  <c r="B81" i="8"/>
  <c r="C81" i="8"/>
  <c r="D81" i="8"/>
  <c r="E81" i="8"/>
  <c r="F81" i="8"/>
  <c r="G81" i="8"/>
  <c r="H81" i="8"/>
  <c r="I81" i="8"/>
  <c r="J81" i="8"/>
  <c r="K81" i="8"/>
  <c r="L81" i="8"/>
  <c r="M81" i="8"/>
  <c r="N81" i="8"/>
  <c r="O81" i="8"/>
  <c r="P81" i="8"/>
  <c r="Q81" i="8"/>
  <c r="A62" i="8" a="1"/>
  <c r="A62" i="8"/>
  <c r="A63" i="8"/>
  <c r="A64" i="8"/>
  <c r="A65" i="8"/>
  <c r="A66" i="8"/>
  <c r="A67" i="8"/>
  <c r="A68" i="8"/>
  <c r="A69" i="8"/>
  <c r="A70" i="8"/>
  <c r="A71" i="8"/>
  <c r="A72" i="8"/>
  <c r="B61" i="8" a="1"/>
  <c r="B61" i="8"/>
  <c r="C61" i="8"/>
  <c r="D61" i="8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A42" i="8" a="1"/>
  <c r="A42" i="8"/>
  <c r="A43" i="8"/>
  <c r="A44" i="8"/>
  <c r="A45" i="8"/>
  <c r="A46" i="8"/>
  <c r="A47" i="8"/>
  <c r="A48" i="8"/>
  <c r="A49" i="8"/>
  <c r="A50" i="8"/>
  <c r="A51" i="8"/>
  <c r="A52" i="8"/>
  <c r="B41" i="8" a="1"/>
  <c r="B41" i="8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A22" i="8" a="1"/>
  <c r="A22" i="8"/>
  <c r="A23" i="8"/>
  <c r="A24" i="8"/>
  <c r="A25" i="8"/>
  <c r="A26" i="8"/>
  <c r="A27" i="8"/>
  <c r="A28" i="8"/>
  <c r="A29" i="8"/>
  <c r="A30" i="8"/>
  <c r="A31" i="8"/>
  <c r="A32" i="8"/>
  <c r="B21" i="8" a="1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A2" i="8" a="1"/>
  <c r="A2" i="8"/>
  <c r="A3" i="8"/>
  <c r="A4" i="8"/>
  <c r="A5" i="8"/>
  <c r="A6" i="8"/>
  <c r="A7" i="8"/>
  <c r="A8" i="8"/>
  <c r="A9" i="8"/>
  <c r="A10" i="8"/>
  <c r="A11" i="8"/>
  <c r="A12" i="8"/>
  <c r="B1" i="8" a="1"/>
  <c r="B1" i="8"/>
  <c r="C1" i="8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B162" i="7"/>
  <c r="B163" i="7"/>
  <c r="B164" i="7"/>
  <c r="B165" i="7"/>
  <c r="B166" i="7"/>
  <c r="B167" i="7"/>
  <c r="B168" i="7"/>
  <c r="B169" i="7"/>
  <c r="B170" i="7"/>
  <c r="B171" i="7"/>
  <c r="B161" i="7"/>
  <c r="A161" i="7" a="1"/>
  <c r="A161" i="7"/>
  <c r="A162" i="7"/>
  <c r="A163" i="7"/>
  <c r="A164" i="7"/>
  <c r="A165" i="7"/>
  <c r="A166" i="7"/>
  <c r="A167" i="7"/>
  <c r="A168" i="7"/>
  <c r="A169" i="7"/>
  <c r="A170" i="7"/>
  <c r="A171" i="7"/>
  <c r="A141" i="7" a="1"/>
  <c r="A141" i="7"/>
  <c r="A142" i="7"/>
  <c r="A143" i="7"/>
  <c r="A144" i="7"/>
  <c r="A145" i="7"/>
  <c r="A146" i="7"/>
  <c r="A147" i="7"/>
  <c r="A148" i="7"/>
  <c r="A149" i="7"/>
  <c r="A150" i="7"/>
  <c r="A151" i="7"/>
  <c r="A122" i="7" a="1"/>
  <c r="A122" i="7"/>
  <c r="A123" i="7"/>
  <c r="A124" i="7"/>
  <c r="A125" i="7"/>
  <c r="A126" i="7"/>
  <c r="A127" i="7"/>
  <c r="A128" i="7"/>
  <c r="A129" i="7"/>
  <c r="A130" i="7"/>
  <c r="A131" i="7"/>
  <c r="A132" i="7"/>
  <c r="B121" i="7" a="1"/>
  <c r="B121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B101" i="7" a="1"/>
  <c r="B101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A102" i="7" a="1"/>
  <c r="A102" i="7"/>
  <c r="A103" i="7"/>
  <c r="A104" i="7"/>
  <c r="A105" i="7"/>
  <c r="A106" i="7"/>
  <c r="A107" i="7"/>
  <c r="A108" i="7"/>
  <c r="A109" i="7"/>
  <c r="A110" i="7"/>
  <c r="A111" i="7"/>
  <c r="A112" i="7"/>
  <c r="C2" i="4" a="1"/>
  <c r="C2" i="4"/>
  <c r="C2" i="7"/>
  <c r="D2" i="4"/>
  <c r="D2" i="7"/>
  <c r="E2" i="4"/>
  <c r="E2" i="7"/>
  <c r="F2" i="4"/>
  <c r="F2" i="7"/>
  <c r="G2" i="4"/>
  <c r="G2" i="7"/>
  <c r="H2" i="4"/>
  <c r="H2" i="7"/>
  <c r="I2" i="4"/>
  <c r="I2" i="7"/>
  <c r="J2" i="4"/>
  <c r="J2" i="7"/>
  <c r="K2" i="4"/>
  <c r="K2" i="7"/>
  <c r="L2" i="4"/>
  <c r="L2" i="7"/>
  <c r="M2" i="4"/>
  <c r="M2" i="7"/>
  <c r="N2" i="4"/>
  <c r="N2" i="7"/>
  <c r="O2" i="4"/>
  <c r="O2" i="7"/>
  <c r="P2" i="4"/>
  <c r="P2" i="7"/>
  <c r="Q2" i="4"/>
  <c r="Q2" i="7"/>
  <c r="R2" i="4"/>
  <c r="R2" i="7"/>
  <c r="S2" i="4"/>
  <c r="S2" i="7"/>
  <c r="T2" i="4"/>
  <c r="T2" i="7"/>
  <c r="U2" i="4"/>
  <c r="U2" i="7"/>
  <c r="V2" i="4"/>
  <c r="V2" i="7"/>
  <c r="W2" i="4"/>
  <c r="W2" i="7"/>
  <c r="X2" i="4"/>
  <c r="X2" i="7"/>
  <c r="Y2" i="4"/>
  <c r="Y2" i="7"/>
  <c r="Z2" i="4"/>
  <c r="Z2" i="7"/>
  <c r="AA2" i="4"/>
  <c r="AA2" i="7"/>
  <c r="AB2" i="4"/>
  <c r="AB2" i="7"/>
  <c r="AC2" i="4"/>
  <c r="AC2" i="7"/>
  <c r="AD2" i="4"/>
  <c r="AD2" i="7"/>
  <c r="AE2" i="4"/>
  <c r="AE2" i="7"/>
  <c r="AF2" i="4"/>
  <c r="AF2" i="7"/>
  <c r="AG2" i="4"/>
  <c r="AG2" i="7"/>
  <c r="AH2" i="4"/>
  <c r="AH2" i="7"/>
  <c r="D1" i="7"/>
  <c r="E1" i="4"/>
  <c r="E1" i="7"/>
  <c r="F1" i="4"/>
  <c r="F1" i="7"/>
  <c r="G1" i="4"/>
  <c r="G1" i="7"/>
  <c r="H1" i="4"/>
  <c r="H1" i="7"/>
  <c r="I1" i="4"/>
  <c r="I1" i="7"/>
  <c r="J1" i="4"/>
  <c r="J1" i="7"/>
  <c r="K1" i="4"/>
  <c r="K1" i="7"/>
  <c r="L1" i="4"/>
  <c r="L1" i="7"/>
  <c r="M1" i="4"/>
  <c r="M1" i="7"/>
  <c r="N1" i="4"/>
  <c r="N1" i="7"/>
  <c r="O1" i="4"/>
  <c r="O1" i="7"/>
  <c r="P1" i="4"/>
  <c r="P1" i="7"/>
  <c r="Q1" i="4"/>
  <c r="Q1" i="7"/>
  <c r="R1" i="4"/>
  <c r="R1" i="7"/>
  <c r="S1" i="4"/>
  <c r="S1" i="7"/>
  <c r="T1" i="4"/>
  <c r="T1" i="7"/>
  <c r="U1" i="4"/>
  <c r="U1" i="7"/>
  <c r="V1" i="4"/>
  <c r="V1" i="7"/>
  <c r="W1" i="4"/>
  <c r="W1" i="7"/>
  <c r="X1" i="4"/>
  <c r="X1" i="7"/>
  <c r="Y1" i="4"/>
  <c r="Y1" i="7"/>
  <c r="Z1" i="4"/>
  <c r="Z1" i="7"/>
  <c r="AA1" i="4"/>
  <c r="AA1" i="7"/>
  <c r="AB1" i="4"/>
  <c r="AB1" i="7"/>
  <c r="AC1" i="4"/>
  <c r="AC1" i="7"/>
  <c r="AD1" i="4"/>
  <c r="AD1" i="7"/>
  <c r="AE1" i="4"/>
  <c r="AE1" i="7"/>
  <c r="AF1" i="4"/>
  <c r="AF1" i="7"/>
  <c r="AG1" i="4"/>
  <c r="AG1" i="7"/>
  <c r="AH1" i="4"/>
  <c r="AH1" i="7"/>
  <c r="C1" i="7"/>
  <c r="B3" i="4" a="1"/>
  <c r="B3" i="4"/>
  <c r="B3" i="7"/>
  <c r="B4" i="4"/>
  <c r="B4" i="7"/>
  <c r="B5" i="4"/>
  <c r="B5" i="7"/>
  <c r="B6" i="4"/>
  <c r="B6" i="7"/>
  <c r="B7" i="4"/>
  <c r="B7" i="7"/>
  <c r="B8" i="4"/>
  <c r="B8" i="7"/>
  <c r="B9" i="4"/>
  <c r="B9" i="7"/>
  <c r="B10" i="4"/>
  <c r="B10" i="7"/>
  <c r="B11" i="4"/>
  <c r="B11" i="7"/>
  <c r="B12" i="4"/>
  <c r="B12" i="7"/>
  <c r="B13" i="4"/>
  <c r="B13" i="7"/>
  <c r="B14" i="4"/>
  <c r="B14" i="7"/>
  <c r="B15" i="4"/>
  <c r="B15" i="7"/>
  <c r="B16" i="4"/>
  <c r="B16" i="7"/>
  <c r="B17" i="4"/>
  <c r="B17" i="7"/>
  <c r="B18" i="4"/>
  <c r="B18" i="7"/>
  <c r="B19" i="4"/>
  <c r="B19" i="7"/>
  <c r="B20" i="4"/>
  <c r="B20" i="7"/>
  <c r="B21" i="4"/>
  <c r="B21" i="7"/>
  <c r="B22" i="4"/>
  <c r="B22" i="7"/>
  <c r="B23" i="4"/>
  <c r="B23" i="7"/>
  <c r="B24" i="4"/>
  <c r="B24" i="7"/>
  <c r="B25" i="4"/>
  <c r="B25" i="7"/>
  <c r="B26" i="4"/>
  <c r="B26" i="7"/>
  <c r="B27" i="4"/>
  <c r="B27" i="7"/>
  <c r="B28" i="4"/>
  <c r="B28" i="7"/>
  <c r="B29" i="4"/>
  <c r="B29" i="7"/>
  <c r="B30" i="4"/>
  <c r="B30" i="7"/>
  <c r="B31" i="4"/>
  <c r="B31" i="7"/>
  <c r="B32" i="4"/>
  <c r="B32" i="7"/>
  <c r="B33" i="4"/>
  <c r="B33" i="7"/>
  <c r="B34" i="4"/>
  <c r="B34" i="7"/>
  <c r="B35" i="4"/>
  <c r="B35" i="7"/>
  <c r="B36" i="4"/>
  <c r="B36" i="7"/>
  <c r="B37" i="4"/>
  <c r="B37" i="7"/>
  <c r="B38" i="4"/>
  <c r="B38" i="7"/>
  <c r="B39" i="4"/>
  <c r="B39" i="7"/>
  <c r="B40" i="4"/>
  <c r="B40" i="7"/>
  <c r="B41" i="4"/>
  <c r="B41" i="7"/>
  <c r="B42" i="4"/>
  <c r="B42" i="7"/>
  <c r="B43" i="4"/>
  <c r="B43" i="7"/>
  <c r="B44" i="4"/>
  <c r="B44" i="7"/>
  <c r="B45" i="4"/>
  <c r="B45" i="7"/>
  <c r="B46" i="4"/>
  <c r="B46" i="7"/>
  <c r="B47" i="4"/>
  <c r="B47" i="7"/>
  <c r="B48" i="4"/>
  <c r="B48" i="7"/>
  <c r="B49" i="4"/>
  <c r="B49" i="7"/>
  <c r="B50" i="4"/>
  <c r="B50" i="7"/>
  <c r="B51" i="4"/>
  <c r="B51" i="7"/>
  <c r="B52" i="4"/>
  <c r="B52" i="7"/>
  <c r="B53" i="4"/>
  <c r="B53" i="7"/>
  <c r="B54" i="4"/>
  <c r="B54" i="7"/>
  <c r="B55" i="4"/>
  <c r="B55" i="7"/>
  <c r="B56" i="4"/>
  <c r="B56" i="7"/>
  <c r="B57" i="4"/>
  <c r="B57" i="7"/>
  <c r="B58" i="4"/>
  <c r="B58" i="7"/>
  <c r="B59" i="4"/>
  <c r="B59" i="7"/>
  <c r="B60" i="4"/>
  <c r="B60" i="7"/>
  <c r="B61" i="4"/>
  <c r="B61" i="7"/>
  <c r="B62" i="4"/>
  <c r="B62" i="7"/>
  <c r="B63" i="4"/>
  <c r="B63" i="7"/>
  <c r="B64" i="4"/>
  <c r="B64" i="7"/>
  <c r="B65" i="4"/>
  <c r="B65" i="7"/>
  <c r="B66" i="4"/>
  <c r="B66" i="7"/>
  <c r="B67" i="4"/>
  <c r="B67" i="7"/>
  <c r="B68" i="4"/>
  <c r="B68" i="7"/>
  <c r="A4" i="4"/>
  <c r="A4" i="7"/>
  <c r="A5" i="4"/>
  <c r="A5" i="7"/>
  <c r="A6" i="4"/>
  <c r="A6" i="7"/>
  <c r="A7" i="4"/>
  <c r="A7" i="7"/>
  <c r="A8" i="4"/>
  <c r="A8" i="7"/>
  <c r="A9" i="4"/>
  <c r="A9" i="7"/>
  <c r="A10" i="4"/>
  <c r="A10" i="7"/>
  <c r="A11" i="4"/>
  <c r="A11" i="7"/>
  <c r="A12" i="4"/>
  <c r="A12" i="7"/>
  <c r="A13" i="4"/>
  <c r="A13" i="7"/>
  <c r="A3" i="4"/>
  <c r="A14" i="4"/>
  <c r="A14" i="7"/>
  <c r="A15" i="4"/>
  <c r="A15" i="7"/>
  <c r="A16" i="4"/>
  <c r="A16" i="7"/>
  <c r="A17" i="4"/>
  <c r="A17" i="7"/>
  <c r="A18" i="4"/>
  <c r="A18" i="7"/>
  <c r="A19" i="4"/>
  <c r="A19" i="7"/>
  <c r="A20" i="4"/>
  <c r="A20" i="7"/>
  <c r="A21" i="4"/>
  <c r="A21" i="7"/>
  <c r="A22" i="4"/>
  <c r="A22" i="7"/>
  <c r="A23" i="4"/>
  <c r="A23" i="7"/>
  <c r="A24" i="4"/>
  <c r="A24" i="7"/>
  <c r="A25" i="4"/>
  <c r="A25" i="7"/>
  <c r="A26" i="4"/>
  <c r="A26" i="7"/>
  <c r="A27" i="4"/>
  <c r="A27" i="7"/>
  <c r="A28" i="4"/>
  <c r="A28" i="7"/>
  <c r="A29" i="4"/>
  <c r="A29" i="7"/>
  <c r="A30" i="4"/>
  <c r="A30" i="7"/>
  <c r="A31" i="4"/>
  <c r="A31" i="7"/>
  <c r="A32" i="4"/>
  <c r="A32" i="7"/>
  <c r="A33" i="4"/>
  <c r="A33" i="7"/>
  <c r="A34" i="4"/>
  <c r="A34" i="7"/>
  <c r="A35" i="4"/>
  <c r="A35" i="7"/>
  <c r="A36" i="4"/>
  <c r="A36" i="7"/>
  <c r="A37" i="4"/>
  <c r="A37" i="7"/>
  <c r="A38" i="4"/>
  <c r="A38" i="7"/>
  <c r="A39" i="4"/>
  <c r="A39" i="7"/>
  <c r="A40" i="4"/>
  <c r="A40" i="7"/>
  <c r="A41" i="4"/>
  <c r="A41" i="7"/>
  <c r="A42" i="4"/>
  <c r="A42" i="7"/>
  <c r="A43" i="4"/>
  <c r="A43" i="7"/>
  <c r="A44" i="4"/>
  <c r="A44" i="7"/>
  <c r="A45" i="4"/>
  <c r="A45" i="7"/>
  <c r="A46" i="4"/>
  <c r="A46" i="7"/>
  <c r="A47" i="4"/>
  <c r="A47" i="7"/>
  <c r="A48" i="4"/>
  <c r="A48" i="7"/>
  <c r="A49" i="4"/>
  <c r="A49" i="7"/>
  <c r="A50" i="4"/>
  <c r="A50" i="7"/>
  <c r="A51" i="4"/>
  <c r="A51" i="7"/>
  <c r="A52" i="4"/>
  <c r="A52" i="7"/>
  <c r="A53" i="4"/>
  <c r="A53" i="7"/>
  <c r="A54" i="4"/>
  <c r="A54" i="7"/>
  <c r="A55" i="4"/>
  <c r="A55" i="7"/>
  <c r="A56" i="4"/>
  <c r="A56" i="7"/>
  <c r="A57" i="4"/>
  <c r="A57" i="7"/>
  <c r="A58" i="4"/>
  <c r="A58" i="7"/>
  <c r="A59" i="4"/>
  <c r="A59" i="7"/>
  <c r="A60" i="4"/>
  <c r="A60" i="7"/>
  <c r="A61" i="4"/>
  <c r="A61" i="7"/>
  <c r="A62" i="4"/>
  <c r="A62" i="7"/>
  <c r="A63" i="4"/>
  <c r="A63" i="7"/>
  <c r="A64" i="4"/>
  <c r="A64" i="7"/>
  <c r="A65" i="4"/>
  <c r="A65" i="7"/>
  <c r="A66" i="4"/>
  <c r="A66" i="7"/>
  <c r="A67" i="4"/>
  <c r="A67" i="7"/>
  <c r="A68" i="4"/>
  <c r="A68" i="7"/>
  <c r="A3" i="7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AD67" i="4"/>
  <c r="AE67" i="4"/>
  <c r="AF67" i="4"/>
  <c r="AG67" i="4"/>
  <c r="AH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AD68" i="4"/>
  <c r="AE68" i="4"/>
  <c r="AF68" i="4"/>
  <c r="AG68" i="4"/>
  <c r="AH68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C3" i="4"/>
</calcChain>
</file>

<file path=xl/sharedStrings.xml><?xml version="1.0" encoding="utf-8"?>
<sst xmlns="http://schemas.openxmlformats.org/spreadsheetml/2006/main" count="572" uniqueCount="86">
  <si>
    <t>Years</t>
  </si>
  <si>
    <t>Seasons</t>
  </si>
  <si>
    <t>Belg</t>
  </si>
  <si>
    <t>Kremt</t>
  </si>
  <si>
    <t>Nodes</t>
  </si>
  <si>
    <t>AddisAbaba</t>
  </si>
  <si>
    <t>Afar</t>
  </si>
  <si>
    <t>Amhara</t>
  </si>
  <si>
    <t>Gumuz</t>
  </si>
  <si>
    <t>DireDawa</t>
  </si>
  <si>
    <t>Gambela</t>
  </si>
  <si>
    <t>Harari</t>
  </si>
  <si>
    <t>Oromia</t>
  </si>
  <si>
    <t>Somali</t>
  </si>
  <si>
    <t>Tigray</t>
  </si>
  <si>
    <t>Crops</t>
  </si>
  <si>
    <t>Teff</t>
  </si>
  <si>
    <t>Maize</t>
  </si>
  <si>
    <t>Coffee</t>
  </si>
  <si>
    <t>SNNPR</t>
  </si>
  <si>
    <t>Sorghum</t>
  </si>
  <si>
    <t>Vegetables</t>
  </si>
  <si>
    <t>Beef</t>
  </si>
  <si>
    <t>Milk</t>
  </si>
  <si>
    <t>Lentils</t>
  </si>
  <si>
    <t>set</t>
  </si>
  <si>
    <t>sets!B3</t>
  </si>
  <si>
    <t>sets!d3</t>
  </si>
  <si>
    <t>sets!f3</t>
  </si>
  <si>
    <t>sets!h3</t>
  </si>
  <si>
    <t>Food</t>
  </si>
  <si>
    <t>rdim</t>
  </si>
  <si>
    <t>cdim</t>
  </si>
  <si>
    <t>par</t>
  </si>
  <si>
    <t>CYF</t>
  </si>
  <si>
    <t>CYF!A1</t>
  </si>
  <si>
    <t>Roads!A1</t>
  </si>
  <si>
    <t>DiscFact</t>
  </si>
  <si>
    <t>DiscFact!A1</t>
  </si>
  <si>
    <t>C_convert</t>
  </si>
  <si>
    <t>C_chg</t>
  </si>
  <si>
    <t>Crop!A101</t>
  </si>
  <si>
    <t>Crop!A121</t>
  </si>
  <si>
    <t>Crop!A141</t>
  </si>
  <si>
    <t>Crop!A161</t>
  </si>
  <si>
    <t>pr_Hide</t>
  </si>
  <si>
    <t>Cattle!A1</t>
  </si>
  <si>
    <t>Yld_H</t>
  </si>
  <si>
    <t>Cattle!A21</t>
  </si>
  <si>
    <t>k</t>
  </si>
  <si>
    <t>kappa</t>
  </si>
  <si>
    <t>Cattle!A41</t>
  </si>
  <si>
    <t>Cattle!A61</t>
  </si>
  <si>
    <t>C_Cow</t>
  </si>
  <si>
    <t>Cattle!A81</t>
  </si>
  <si>
    <t>CowtranYr1</t>
  </si>
  <si>
    <t>Cattle!A101</t>
  </si>
  <si>
    <t>Cattle!A121</t>
  </si>
  <si>
    <t>InitCow</t>
  </si>
  <si>
    <t>Herdsize</t>
  </si>
  <si>
    <t>CowDeath</t>
  </si>
  <si>
    <t>2. Press the button below</t>
  </si>
  <si>
    <t>1. Select the region with the 1 and no's (along with heading)</t>
  </si>
  <si>
    <t>Start</t>
  </si>
  <si>
    <t>End</t>
  </si>
  <si>
    <t>TotArea</t>
  </si>
  <si>
    <t>Area_init</t>
  </si>
  <si>
    <t>Cattle!F121</t>
  </si>
  <si>
    <t>Cattle!K121</t>
  </si>
  <si>
    <t>Eline</t>
  </si>
  <si>
    <t>ElecLine!A1</t>
  </si>
  <si>
    <t>Cap_Road</t>
  </si>
  <si>
    <t>Roads!N1</t>
  </si>
  <si>
    <t>CF_Road_data</t>
  </si>
  <si>
    <t>Roads!AA1</t>
  </si>
  <si>
    <t>Year</t>
  </si>
  <si>
    <t>Season</t>
  </si>
  <si>
    <t>Node</t>
  </si>
  <si>
    <t>FoodItem</t>
  </si>
  <si>
    <t>Crop</t>
  </si>
  <si>
    <t>sets!j3</t>
  </si>
  <si>
    <t>Road</t>
  </si>
  <si>
    <t>aFAO</t>
  </si>
  <si>
    <t>aFAO!A1</t>
  </si>
  <si>
    <t>C_prod</t>
  </si>
  <si>
    <t>Crop!A1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</si>
</sst>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2"/>
      <color theme="0" tint="-0.34998626667073579"/>
      <name val="Inherit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0">
    <xf numFmtId="0" fontId="0" fillId="0" borderId="0" xfId="0"/>
    <xf numFmtId="0" fontId="2" fillId="0" borderId="0" xfId="0" applyFont="1"/>
    <xf numFmtId="4" fontId="0" fillId="0" borderId="0" xfId="0" applyNumberFormat="1"/>
    <xf numFmtId="3" fontId="0" fillId="0" borderId="0" xfId="0" applyNumberFormat="1"/>
    <xf numFmtId="0" fontId="0" fillId="0" borderId="0" xfId="0" applyFill="1"/>
    <xf numFmtId="0" fontId="1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3" borderId="0" xfId="0" applyFill="1"/>
  </cellXfs>
  <cellStyles count="2">
    <cellStyle name="Input" xfId="1" builtinId="20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7"/>
  <sheetViews>
    <sheetView tabSelected="1" zoomScale="85" zoomScaleNormal="85" workbookViewId="0">
      <selection activeCell="A2" sqref="A2:E2"/>
    </sheetView>
  </sheetViews>
  <sheetFormatPr defaultColWidth="11" defaultRowHeight="15.75"/>
  <cols>
    <col min="2" max="2" width="13.125" bestFit="1" customWidth="1"/>
  </cols>
  <sheetData>
    <row r="1" spans="1:5">
      <c r="D1" t="s">
        <v>31</v>
      </c>
      <c r="E1" t="s">
        <v>32</v>
      </c>
    </row>
    <row r="2" spans="1:5">
      <c r="A2" t="s">
        <v>33</v>
      </c>
      <c r="B2" s="9" t="s">
        <v>82</v>
      </c>
      <c r="C2" t="s">
        <v>83</v>
      </c>
      <c r="D2">
        <v>2</v>
      </c>
      <c r="E2">
        <v>2</v>
      </c>
    </row>
    <row r="3" spans="1:5">
      <c r="A3" t="s">
        <v>33</v>
      </c>
      <c r="B3" t="s">
        <v>45</v>
      </c>
      <c r="C3" t="s">
        <v>46</v>
      </c>
      <c r="D3">
        <v>1</v>
      </c>
      <c r="E3">
        <v>1</v>
      </c>
    </row>
    <row r="4" spans="1:5">
      <c r="A4" t="s">
        <v>33</v>
      </c>
      <c r="B4" t="s">
        <v>55</v>
      </c>
      <c r="C4" t="s">
        <v>56</v>
      </c>
      <c r="D4">
        <v>1</v>
      </c>
      <c r="E4">
        <v>1</v>
      </c>
    </row>
    <row r="5" spans="1:5">
      <c r="A5" t="s">
        <v>33</v>
      </c>
      <c r="B5" t="s">
        <v>58</v>
      </c>
      <c r="C5" t="s">
        <v>57</v>
      </c>
      <c r="D5">
        <v>1</v>
      </c>
      <c r="E5">
        <v>0</v>
      </c>
    </row>
    <row r="6" spans="1:5">
      <c r="A6" t="s">
        <v>33</v>
      </c>
      <c r="B6" t="s">
        <v>47</v>
      </c>
      <c r="C6" t="s">
        <v>48</v>
      </c>
      <c r="D6">
        <v>1</v>
      </c>
      <c r="E6">
        <v>1</v>
      </c>
    </row>
    <row r="7" spans="1:5">
      <c r="A7" t="s">
        <v>33</v>
      </c>
      <c r="B7" t="s">
        <v>49</v>
      </c>
      <c r="C7" t="s">
        <v>51</v>
      </c>
      <c r="D7">
        <v>1</v>
      </c>
      <c r="E7">
        <v>1</v>
      </c>
    </row>
    <row r="8" spans="1:5">
      <c r="A8" t="s">
        <v>33</v>
      </c>
      <c r="B8" t="s">
        <v>50</v>
      </c>
      <c r="C8" t="s">
        <v>52</v>
      </c>
      <c r="D8">
        <v>1</v>
      </c>
      <c r="E8">
        <v>1</v>
      </c>
    </row>
    <row r="9" spans="1:5">
      <c r="A9" t="s">
        <v>33</v>
      </c>
      <c r="B9" t="s">
        <v>53</v>
      </c>
      <c r="C9" t="s">
        <v>54</v>
      </c>
      <c r="D9">
        <v>1</v>
      </c>
      <c r="E9">
        <v>1</v>
      </c>
    </row>
    <row r="10" spans="1:5">
      <c r="A10" t="s">
        <v>33</v>
      </c>
      <c r="B10" t="s">
        <v>59</v>
      </c>
      <c r="C10" t="s">
        <v>67</v>
      </c>
      <c r="D10">
        <v>1</v>
      </c>
      <c r="E10">
        <v>0</v>
      </c>
    </row>
    <row r="11" spans="1:5">
      <c r="A11" t="s">
        <v>33</v>
      </c>
      <c r="B11" t="s">
        <v>60</v>
      </c>
      <c r="C11" t="s">
        <v>68</v>
      </c>
      <c r="D11">
        <v>1</v>
      </c>
      <c r="E11">
        <v>0</v>
      </c>
    </row>
    <row r="12" spans="1:5">
      <c r="A12" t="s">
        <v>33</v>
      </c>
      <c r="B12" t="s">
        <v>84</v>
      </c>
      <c r="C12" t="s">
        <v>85</v>
      </c>
      <c r="D12">
        <v>2</v>
      </c>
      <c r="E12">
        <v>2</v>
      </c>
    </row>
    <row r="13" spans="1:5">
      <c r="A13" t="s">
        <v>33</v>
      </c>
      <c r="B13" t="s">
        <v>39</v>
      </c>
      <c r="C13" t="s">
        <v>41</v>
      </c>
      <c r="D13">
        <v>1</v>
      </c>
      <c r="E13">
        <v>1</v>
      </c>
    </row>
    <row r="14" spans="1:5">
      <c r="A14" t="s">
        <v>33</v>
      </c>
      <c r="B14" t="s">
        <v>40</v>
      </c>
      <c r="C14" t="s">
        <v>42</v>
      </c>
      <c r="D14">
        <v>1</v>
      </c>
      <c r="E14">
        <v>1</v>
      </c>
    </row>
    <row r="15" spans="1:5">
      <c r="A15" t="s">
        <v>33</v>
      </c>
      <c r="B15" s="9" t="s">
        <v>65</v>
      </c>
      <c r="C15" t="s">
        <v>43</v>
      </c>
      <c r="D15">
        <v>1</v>
      </c>
      <c r="E15">
        <v>0</v>
      </c>
    </row>
    <row r="16" spans="1:5">
      <c r="A16" t="s">
        <v>33</v>
      </c>
      <c r="B16" s="9" t="s">
        <v>66</v>
      </c>
      <c r="C16" t="s">
        <v>44</v>
      </c>
      <c r="D16">
        <v>1</v>
      </c>
      <c r="E16">
        <v>0</v>
      </c>
    </row>
    <row r="17" spans="1:5">
      <c r="A17" t="s">
        <v>33</v>
      </c>
      <c r="B17" s="9" t="s">
        <v>34</v>
      </c>
      <c r="C17" t="s">
        <v>35</v>
      </c>
      <c r="D17">
        <v>2</v>
      </c>
      <c r="E17">
        <v>2</v>
      </c>
    </row>
    <row r="18" spans="1:5">
      <c r="A18" t="s">
        <v>33</v>
      </c>
      <c r="B18" s="9" t="s">
        <v>37</v>
      </c>
      <c r="C18" t="s">
        <v>38</v>
      </c>
      <c r="D18">
        <v>1</v>
      </c>
      <c r="E18">
        <v>0</v>
      </c>
    </row>
    <row r="19" spans="1:5">
      <c r="A19" t="s">
        <v>25</v>
      </c>
      <c r="B19" s="9" t="s">
        <v>69</v>
      </c>
      <c r="C19" t="s">
        <v>70</v>
      </c>
      <c r="D19">
        <v>1</v>
      </c>
      <c r="E19">
        <v>1</v>
      </c>
    </row>
    <row r="20" spans="1:5">
      <c r="A20" t="s">
        <v>25</v>
      </c>
      <c r="B20" s="9" t="s">
        <v>81</v>
      </c>
      <c r="C20" t="s">
        <v>36</v>
      </c>
      <c r="D20">
        <v>1</v>
      </c>
      <c r="E20">
        <v>1</v>
      </c>
    </row>
    <row r="21" spans="1:5">
      <c r="A21" t="s">
        <v>33</v>
      </c>
      <c r="B21" t="s">
        <v>73</v>
      </c>
      <c r="C21" t="s">
        <v>74</v>
      </c>
      <c r="D21">
        <v>1</v>
      </c>
      <c r="E21">
        <v>1</v>
      </c>
    </row>
    <row r="22" spans="1:5">
      <c r="A22" t="s">
        <v>33</v>
      </c>
      <c r="B22" t="s">
        <v>71</v>
      </c>
      <c r="C22" t="s">
        <v>72</v>
      </c>
      <c r="D22">
        <v>1</v>
      </c>
      <c r="E22">
        <v>1</v>
      </c>
    </row>
    <row r="23" spans="1:5">
      <c r="A23" t="s">
        <v>25</v>
      </c>
      <c r="B23" s="9" t="s">
        <v>75</v>
      </c>
      <c r="C23" t="s">
        <v>26</v>
      </c>
      <c r="D23">
        <v>1</v>
      </c>
      <c r="E23">
        <v>0</v>
      </c>
    </row>
    <row r="24" spans="1:5">
      <c r="A24" t="s">
        <v>25</v>
      </c>
      <c r="B24" s="9" t="s">
        <v>76</v>
      </c>
      <c r="C24" t="s">
        <v>27</v>
      </c>
      <c r="D24">
        <v>1</v>
      </c>
      <c r="E24">
        <v>0</v>
      </c>
    </row>
    <row r="25" spans="1:5">
      <c r="A25" t="s">
        <v>25</v>
      </c>
      <c r="B25" s="9" t="s">
        <v>77</v>
      </c>
      <c r="C25" t="s">
        <v>28</v>
      </c>
      <c r="D25">
        <v>1</v>
      </c>
      <c r="E25">
        <v>0</v>
      </c>
    </row>
    <row r="26" spans="1:5">
      <c r="A26" t="s">
        <v>25</v>
      </c>
      <c r="B26" s="9" t="s">
        <v>78</v>
      </c>
      <c r="C26" t="s">
        <v>29</v>
      </c>
      <c r="D26">
        <v>1</v>
      </c>
      <c r="E26">
        <v>0</v>
      </c>
    </row>
    <row r="27" spans="1:5">
      <c r="A27" t="s">
        <v>25</v>
      </c>
      <c r="B27" s="9" t="s">
        <v>79</v>
      </c>
      <c r="C27" t="s">
        <v>80</v>
      </c>
      <c r="D27">
        <v>1</v>
      </c>
      <c r="E27">
        <v>0</v>
      </c>
    </row>
  </sheetData>
  <autoFilter ref="A1:E27">
    <sortState ref="A2:E26">
      <sortCondition ref="C1:C26"/>
    </sortState>
  </autoFilter>
  <pageMargins left="0.75" right="0.75" top="1" bottom="1" header="0.3" footer="0.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18"/>
  <sheetViews>
    <sheetView zoomScale="85" zoomScaleNormal="85" workbookViewId="0">
      <selection activeCell="B3" sqref="B3:B62"/>
    </sheetView>
  </sheetViews>
  <sheetFormatPr defaultColWidth="11" defaultRowHeight="15.75"/>
  <sheetData>
    <row r="2" spans="2:10" s="1" customFormat="1">
      <c r="B2" s="1" t="s">
        <v>0</v>
      </c>
      <c r="D2" s="1" t="s">
        <v>1</v>
      </c>
      <c r="F2" s="1" t="s">
        <v>4</v>
      </c>
      <c r="H2" s="1" t="s">
        <v>30</v>
      </c>
      <c r="J2" s="1" t="s">
        <v>15</v>
      </c>
    </row>
    <row r="3" spans="2:10">
      <c r="B3">
        <v>2015</v>
      </c>
      <c r="D3" t="s">
        <v>2</v>
      </c>
      <c r="F3" t="s">
        <v>5</v>
      </c>
      <c r="H3" t="s">
        <v>16</v>
      </c>
      <c r="J3" t="s">
        <v>16</v>
      </c>
    </row>
    <row r="4" spans="2:10">
      <c r="B4">
        <f>B3+1</f>
        <v>2016</v>
      </c>
      <c r="D4" t="s">
        <v>3</v>
      </c>
      <c r="F4" t="s">
        <v>6</v>
      </c>
      <c r="H4" t="s">
        <v>20</v>
      </c>
      <c r="J4" t="s">
        <v>20</v>
      </c>
    </row>
    <row r="5" spans="2:10">
      <c r="B5">
        <f t="shared" ref="B5:B18" si="0">B4+1</f>
        <v>2017</v>
      </c>
      <c r="F5" t="s">
        <v>7</v>
      </c>
      <c r="H5" t="s">
        <v>17</v>
      </c>
      <c r="J5" t="s">
        <v>17</v>
      </c>
    </row>
    <row r="6" spans="2:10">
      <c r="B6">
        <f t="shared" si="0"/>
        <v>2018</v>
      </c>
      <c r="F6" t="s">
        <v>8</v>
      </c>
      <c r="H6" t="s">
        <v>24</v>
      </c>
      <c r="J6" t="s">
        <v>24</v>
      </c>
    </row>
    <row r="7" spans="2:10">
      <c r="B7">
        <f t="shared" si="0"/>
        <v>2019</v>
      </c>
      <c r="F7" t="s">
        <v>9</v>
      </c>
      <c r="H7" t="s">
        <v>21</v>
      </c>
      <c r="J7" t="s">
        <v>21</v>
      </c>
    </row>
    <row r="8" spans="2:10">
      <c r="B8">
        <f t="shared" si="0"/>
        <v>2020</v>
      </c>
      <c r="F8" t="s">
        <v>10</v>
      </c>
      <c r="H8" t="s">
        <v>18</v>
      </c>
      <c r="J8" t="s">
        <v>18</v>
      </c>
    </row>
    <row r="9" spans="2:10">
      <c r="B9">
        <f t="shared" si="0"/>
        <v>2021</v>
      </c>
      <c r="F9" t="s">
        <v>11</v>
      </c>
      <c r="H9" t="s">
        <v>22</v>
      </c>
    </row>
    <row r="10" spans="2:10">
      <c r="B10">
        <f t="shared" si="0"/>
        <v>2022</v>
      </c>
      <c r="F10" t="s">
        <v>12</v>
      </c>
      <c r="H10" t="s">
        <v>23</v>
      </c>
    </row>
    <row r="11" spans="2:10">
      <c r="B11">
        <f t="shared" si="0"/>
        <v>2023</v>
      </c>
      <c r="F11" t="s">
        <v>13</v>
      </c>
    </row>
    <row r="12" spans="2:10">
      <c r="B12">
        <f t="shared" si="0"/>
        <v>2024</v>
      </c>
      <c r="F12" t="s">
        <v>19</v>
      </c>
    </row>
    <row r="13" spans="2:10">
      <c r="B13">
        <f t="shared" si="0"/>
        <v>2025</v>
      </c>
      <c r="F13" t="s">
        <v>14</v>
      </c>
    </row>
    <row r="14" spans="2:10">
      <c r="B14">
        <f t="shared" si="0"/>
        <v>2026</v>
      </c>
    </row>
    <row r="15" spans="2:10">
      <c r="B15">
        <f t="shared" si="0"/>
        <v>2027</v>
      </c>
    </row>
    <row r="16" spans="2:10">
      <c r="B16">
        <f t="shared" si="0"/>
        <v>2028</v>
      </c>
    </row>
    <row r="17" spans="2:2">
      <c r="B17">
        <f t="shared" si="0"/>
        <v>2029</v>
      </c>
    </row>
    <row r="18" spans="2:2">
      <c r="B18">
        <f t="shared" si="0"/>
        <v>2030</v>
      </c>
    </row>
  </sheetData>
  <pageMargins left="0.75" right="0.75" top="1" bottom="1" header="0.3" footer="0.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214"/>
  <sheetViews>
    <sheetView zoomScale="85" zoomScaleNormal="85" workbookViewId="0">
      <selection activeCell="H9" sqref="H9"/>
    </sheetView>
  </sheetViews>
  <sheetFormatPr defaultColWidth="8.875" defaultRowHeight="15.75"/>
  <cols>
    <col min="1" max="2" width="11.5" bestFit="1" customWidth="1"/>
  </cols>
  <sheetData>
    <row r="1" spans="1:38" s="1" customFormat="1"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19</v>
      </c>
      <c r="L1" s="1" t="s">
        <v>14</v>
      </c>
      <c r="O1" s="1" t="s">
        <v>5</v>
      </c>
      <c r="P1" s="1" t="s">
        <v>6</v>
      </c>
      <c r="Q1" s="1" t="s">
        <v>7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19</v>
      </c>
      <c r="Y1" s="1" t="s">
        <v>14</v>
      </c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19</v>
      </c>
      <c r="AL1" s="1" t="s">
        <v>14</v>
      </c>
    </row>
    <row r="2" spans="1:38">
      <c r="A2" s="1" t="s">
        <v>5</v>
      </c>
      <c r="B2" s="4" t="str">
        <f>IF(ISERROR(MATCH($A2,F$22:F$330,0)),"No","Yes")</f>
        <v>No</v>
      </c>
      <c r="C2" s="4" t="str">
        <f t="shared" ref="C2:L2" si="0">IF(ISERROR(MATCH($A2,G$22:G$330,0)),"No","Yes")</f>
        <v>Yes</v>
      </c>
      <c r="D2" s="4" t="str">
        <f t="shared" si="0"/>
        <v>Yes</v>
      </c>
      <c r="E2" s="4" t="str">
        <f t="shared" si="0"/>
        <v>Yes</v>
      </c>
      <c r="F2" s="4" t="str">
        <f t="shared" si="0"/>
        <v>Yes</v>
      </c>
      <c r="G2" s="4" t="str">
        <f t="shared" si="0"/>
        <v>Yes</v>
      </c>
      <c r="H2" s="4" t="str">
        <f t="shared" si="0"/>
        <v>Yes</v>
      </c>
      <c r="I2" s="4" t="str">
        <f t="shared" si="0"/>
        <v>Yes</v>
      </c>
      <c r="J2" s="4" t="str">
        <f t="shared" si="0"/>
        <v>Yes</v>
      </c>
      <c r="K2" s="4" t="str">
        <f t="shared" si="0"/>
        <v>Yes</v>
      </c>
      <c r="L2" s="4" t="str">
        <f t="shared" si="0"/>
        <v>Yes</v>
      </c>
      <c r="N2" s="1" t="s">
        <v>5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AA2" s="1" t="s">
        <v>5</v>
      </c>
      <c r="AC2">
        <v>500</v>
      </c>
      <c r="AD2">
        <v>500</v>
      </c>
      <c r="AE2">
        <v>500</v>
      </c>
      <c r="AF2">
        <v>500</v>
      </c>
      <c r="AG2">
        <v>500</v>
      </c>
      <c r="AH2">
        <v>500</v>
      </c>
      <c r="AI2">
        <v>500</v>
      </c>
      <c r="AJ2">
        <v>500</v>
      </c>
      <c r="AK2">
        <v>500</v>
      </c>
      <c r="AL2">
        <v>500</v>
      </c>
    </row>
    <row r="3" spans="1:38">
      <c r="A3" s="1" t="s">
        <v>6</v>
      </c>
      <c r="B3" s="4" t="str">
        <f t="shared" ref="B3:B12" si="1">IF(ISERROR(MATCH($A3,F$22:F$330,0)),"No","Yes")</f>
        <v>Yes</v>
      </c>
      <c r="C3" s="4" t="str">
        <f t="shared" ref="C3:C12" si="2">IF(ISERROR(MATCH($A3,G$22:G$330,0)),"No","Yes")</f>
        <v>No</v>
      </c>
      <c r="D3" s="4" t="str">
        <f t="shared" ref="D3:D12" si="3">IF(ISERROR(MATCH($A3,H$22:H$330,0)),"No","Yes")</f>
        <v>No</v>
      </c>
      <c r="E3" s="4" t="str">
        <f t="shared" ref="E3:E12" si="4">IF(ISERROR(MATCH($A3,I$22:I$330,0)),"No","Yes")</f>
        <v>Yes</v>
      </c>
      <c r="F3" s="4" t="str">
        <f t="shared" ref="F3:F12" si="5">IF(ISERROR(MATCH($A3,J$22:J$330,0)),"No","Yes")</f>
        <v>No</v>
      </c>
      <c r="G3" s="4" t="str">
        <f t="shared" ref="G3:G12" si="6">IF(ISERROR(MATCH($A3,K$22:K$330,0)),"No","Yes")</f>
        <v>Yes</v>
      </c>
      <c r="H3" s="4" t="str">
        <f t="shared" ref="H3:H12" si="7">IF(ISERROR(MATCH($A3,L$22:L$330,0)),"No","Yes")</f>
        <v>Yes</v>
      </c>
      <c r="I3" s="4" t="str">
        <f t="shared" ref="I3:I12" si="8">IF(ISERROR(MATCH($A3,M$22:M$330,0)),"No","Yes")</f>
        <v>Yes</v>
      </c>
      <c r="J3" s="4" t="str">
        <f t="shared" ref="J3:J12" si="9">IF(ISERROR(MATCH($A3,N$22:N$330,0)),"No","Yes")</f>
        <v>No</v>
      </c>
      <c r="K3" s="4" t="str">
        <f t="shared" ref="K3:K12" si="10">IF(ISERROR(MATCH($A3,O$22:O$330,0)),"No","Yes")</f>
        <v>Yes</v>
      </c>
      <c r="L3" s="4" t="str">
        <f t="shared" ref="L3:L12" si="11">IF(ISERROR(MATCH($A3,P$22:P$330,0)),"No","Yes")</f>
        <v>No</v>
      </c>
      <c r="N3" s="1" t="s">
        <v>6</v>
      </c>
      <c r="O3">
        <v>10</v>
      </c>
      <c r="Q3">
        <f t="shared" ref="P3:Y12" ca="1" si="12">10+5*RAND()</f>
        <v>13.221161189013108</v>
      </c>
      <c r="R3">
        <f t="shared" ca="1" si="12"/>
        <v>13.87441876758502</v>
      </c>
      <c r="S3">
        <f t="shared" ca="1" si="12"/>
        <v>14.226652097936258</v>
      </c>
      <c r="T3">
        <f t="shared" ca="1" si="12"/>
        <v>10.226984150306992</v>
      </c>
      <c r="U3">
        <f t="shared" ca="1" si="12"/>
        <v>13.121796067176534</v>
      </c>
      <c r="V3">
        <f t="shared" ca="1" si="12"/>
        <v>14.510997392636156</v>
      </c>
      <c r="W3">
        <f t="shared" ca="1" si="12"/>
        <v>13.50849833820163</v>
      </c>
      <c r="X3">
        <f t="shared" ca="1" si="12"/>
        <v>12.154323336657594</v>
      </c>
      <c r="Y3">
        <f t="shared" ca="1" si="12"/>
        <v>14.168422944753312</v>
      </c>
      <c r="AA3" s="1" t="s">
        <v>6</v>
      </c>
      <c r="AB3">
        <v>500</v>
      </c>
      <c r="AD3">
        <f t="shared" ref="AC3:AL12" ca="1" si="13">300-50*RAND()</f>
        <v>256.87555968616056</v>
      </c>
      <c r="AE3">
        <f t="shared" ca="1" si="13"/>
        <v>256.71956144288725</v>
      </c>
      <c r="AF3">
        <f t="shared" ca="1" si="13"/>
        <v>292.99828827355583</v>
      </c>
      <c r="AG3">
        <f t="shared" ca="1" si="13"/>
        <v>295.18664830167927</v>
      </c>
      <c r="AH3">
        <f t="shared" ca="1" si="13"/>
        <v>277.71480660251086</v>
      </c>
      <c r="AI3">
        <f t="shared" ca="1" si="13"/>
        <v>260.54416861533446</v>
      </c>
      <c r="AJ3">
        <f t="shared" ca="1" si="13"/>
        <v>274.19563235059559</v>
      </c>
      <c r="AK3">
        <f t="shared" ca="1" si="13"/>
        <v>287.56824931708752</v>
      </c>
      <c r="AL3">
        <f t="shared" ca="1" si="13"/>
        <v>288.88334746206323</v>
      </c>
    </row>
    <row r="4" spans="1:38">
      <c r="A4" s="1" t="s">
        <v>7</v>
      </c>
      <c r="B4" s="4" t="str">
        <f t="shared" si="1"/>
        <v>Yes</v>
      </c>
      <c r="C4" s="4" t="str">
        <f t="shared" si="2"/>
        <v>No</v>
      </c>
      <c r="D4" s="4" t="str">
        <f t="shared" si="3"/>
        <v>No</v>
      </c>
      <c r="E4" s="4" t="str">
        <f t="shared" si="4"/>
        <v>Yes</v>
      </c>
      <c r="F4" s="4" t="str">
        <f t="shared" si="5"/>
        <v>No</v>
      </c>
      <c r="G4" s="4" t="str">
        <f t="shared" si="6"/>
        <v>No</v>
      </c>
      <c r="H4" s="4" t="str">
        <f t="shared" si="7"/>
        <v>Yes</v>
      </c>
      <c r="I4" s="4" t="str">
        <f t="shared" si="8"/>
        <v>No</v>
      </c>
      <c r="J4" s="4" t="str">
        <f t="shared" si="9"/>
        <v>Yes</v>
      </c>
      <c r="K4" s="4" t="str">
        <f t="shared" si="10"/>
        <v>Yes</v>
      </c>
      <c r="L4" s="4" t="str">
        <f t="shared" si="11"/>
        <v>Yes</v>
      </c>
      <c r="N4" s="1" t="s">
        <v>7</v>
      </c>
      <c r="O4">
        <v>10</v>
      </c>
      <c r="P4">
        <f t="shared" ca="1" si="12"/>
        <v>12.283935398183019</v>
      </c>
      <c r="R4">
        <f t="shared" ca="1" si="12"/>
        <v>14.749118159063775</v>
      </c>
      <c r="S4">
        <f t="shared" ca="1" si="12"/>
        <v>11.146591332652763</v>
      </c>
      <c r="T4">
        <f t="shared" ca="1" si="12"/>
        <v>11.198996507516302</v>
      </c>
      <c r="U4">
        <f t="shared" ca="1" si="12"/>
        <v>10.184490775734275</v>
      </c>
      <c r="V4">
        <f t="shared" ca="1" si="12"/>
        <v>12.654831569805976</v>
      </c>
      <c r="W4">
        <f t="shared" ca="1" si="12"/>
        <v>14.693053938614064</v>
      </c>
      <c r="X4">
        <f t="shared" ca="1" si="12"/>
        <v>10.625679557175815</v>
      </c>
      <c r="Y4">
        <f t="shared" ca="1" si="12"/>
        <v>14.75700743407995</v>
      </c>
      <c r="AA4" s="1" t="s">
        <v>7</v>
      </c>
      <c r="AB4">
        <v>500</v>
      </c>
      <c r="AC4">
        <f t="shared" ca="1" si="13"/>
        <v>282.96752365814825</v>
      </c>
      <c r="AE4">
        <f t="shared" ca="1" si="13"/>
        <v>272.506355109796</v>
      </c>
      <c r="AF4">
        <f t="shared" ca="1" si="13"/>
        <v>270.17068785226701</v>
      </c>
      <c r="AG4">
        <f t="shared" ca="1" si="13"/>
        <v>295.9547777045214</v>
      </c>
      <c r="AH4">
        <f t="shared" ca="1" si="13"/>
        <v>287.84233619489504</v>
      </c>
      <c r="AI4">
        <f t="shared" ca="1" si="13"/>
        <v>264.83814531727342</v>
      </c>
      <c r="AJ4">
        <f t="shared" ca="1" si="13"/>
        <v>284.75522313391366</v>
      </c>
      <c r="AK4">
        <f t="shared" ca="1" si="13"/>
        <v>279.80179809184278</v>
      </c>
      <c r="AL4">
        <f t="shared" ca="1" si="13"/>
        <v>255.49911799123041</v>
      </c>
    </row>
    <row r="5" spans="1:38">
      <c r="A5" s="1" t="s">
        <v>8</v>
      </c>
      <c r="B5" s="4" t="str">
        <f t="shared" si="1"/>
        <v>Yes</v>
      </c>
      <c r="C5" s="4" t="str">
        <f t="shared" si="2"/>
        <v>Yes</v>
      </c>
      <c r="D5" s="4" t="str">
        <f t="shared" si="3"/>
        <v>Yes</v>
      </c>
      <c r="E5" s="4" t="str">
        <f t="shared" si="4"/>
        <v>No</v>
      </c>
      <c r="F5" s="4" t="str">
        <f t="shared" si="5"/>
        <v>Yes</v>
      </c>
      <c r="G5" s="4" t="str">
        <f t="shared" si="6"/>
        <v>No</v>
      </c>
      <c r="H5" s="4" t="str">
        <f t="shared" si="7"/>
        <v>No</v>
      </c>
      <c r="I5" s="4" t="str">
        <f t="shared" si="8"/>
        <v>Yes</v>
      </c>
      <c r="J5" s="4" t="str">
        <f t="shared" si="9"/>
        <v>No</v>
      </c>
      <c r="K5" s="4" t="str">
        <f t="shared" si="10"/>
        <v>No</v>
      </c>
      <c r="L5" s="4" t="str">
        <f t="shared" si="11"/>
        <v>Yes</v>
      </c>
      <c r="N5" s="1" t="s">
        <v>8</v>
      </c>
      <c r="O5">
        <v>10</v>
      </c>
      <c r="P5">
        <f t="shared" ca="1" si="12"/>
        <v>11.735604753599082</v>
      </c>
      <c r="Q5">
        <f t="shared" ca="1" si="12"/>
        <v>11.965969517513287</v>
      </c>
      <c r="S5">
        <f t="shared" ca="1" si="12"/>
        <v>13.520551063202277</v>
      </c>
      <c r="T5">
        <f t="shared" ca="1" si="12"/>
        <v>11.626506065459344</v>
      </c>
      <c r="U5">
        <f t="shared" ca="1" si="12"/>
        <v>13.057886259068948</v>
      </c>
      <c r="V5">
        <f t="shared" ca="1" si="12"/>
        <v>12.744488432285729</v>
      </c>
      <c r="W5">
        <f t="shared" ca="1" si="12"/>
        <v>14.839548321796512</v>
      </c>
      <c r="X5">
        <f t="shared" ca="1" si="12"/>
        <v>14.350305202473237</v>
      </c>
      <c r="Y5">
        <f t="shared" ca="1" si="12"/>
        <v>14.453648472220388</v>
      </c>
      <c r="AA5" s="1" t="s">
        <v>8</v>
      </c>
      <c r="AB5">
        <v>500</v>
      </c>
      <c r="AC5">
        <f t="shared" ca="1" si="13"/>
        <v>255.76536091990414</v>
      </c>
      <c r="AD5">
        <f t="shared" ca="1" si="13"/>
        <v>273.72045483760888</v>
      </c>
      <c r="AF5">
        <f t="shared" ca="1" si="13"/>
        <v>288.52283512571188</v>
      </c>
      <c r="AG5">
        <f t="shared" ca="1" si="13"/>
        <v>294.00753585549677</v>
      </c>
      <c r="AH5">
        <f t="shared" ca="1" si="13"/>
        <v>283.41328813608936</v>
      </c>
      <c r="AI5">
        <f t="shared" ca="1" si="13"/>
        <v>297.09347681127031</v>
      </c>
      <c r="AJ5">
        <f t="shared" ca="1" si="13"/>
        <v>255.39192278937702</v>
      </c>
      <c r="AK5">
        <f t="shared" ca="1" si="13"/>
        <v>288.4186494061841</v>
      </c>
      <c r="AL5">
        <f t="shared" ca="1" si="13"/>
        <v>296.08707950833906</v>
      </c>
    </row>
    <row r="6" spans="1:38">
      <c r="A6" s="1" t="s">
        <v>9</v>
      </c>
      <c r="B6" s="4" t="str">
        <f t="shared" si="1"/>
        <v>Yes</v>
      </c>
      <c r="C6" s="4" t="str">
        <f t="shared" si="2"/>
        <v>No</v>
      </c>
      <c r="D6" s="4" t="str">
        <f t="shared" si="3"/>
        <v>No</v>
      </c>
      <c r="E6" s="4" t="str">
        <f t="shared" si="4"/>
        <v>Yes</v>
      </c>
      <c r="F6" s="4" t="str">
        <f t="shared" si="5"/>
        <v>No</v>
      </c>
      <c r="G6" s="4" t="str">
        <f t="shared" si="6"/>
        <v>Yes</v>
      </c>
      <c r="H6" s="4" t="str">
        <f t="shared" si="7"/>
        <v>Yes</v>
      </c>
      <c r="I6" s="4" t="str">
        <f t="shared" si="8"/>
        <v>Yes</v>
      </c>
      <c r="J6" s="4" t="str">
        <f t="shared" si="9"/>
        <v>No</v>
      </c>
      <c r="K6" s="4" t="str">
        <f t="shared" si="10"/>
        <v>No</v>
      </c>
      <c r="L6" s="4" t="str">
        <f t="shared" si="11"/>
        <v>Yes</v>
      </c>
      <c r="N6" s="1" t="s">
        <v>9</v>
      </c>
      <c r="O6">
        <v>10</v>
      </c>
      <c r="P6">
        <f t="shared" ca="1" si="12"/>
        <v>13.872101658929928</v>
      </c>
      <c r="Q6">
        <f t="shared" ca="1" si="12"/>
        <v>11.889265639798927</v>
      </c>
      <c r="R6">
        <f t="shared" ca="1" si="12"/>
        <v>11.620810813373605</v>
      </c>
      <c r="T6">
        <f t="shared" ca="1" si="12"/>
        <v>10.865811039192206</v>
      </c>
      <c r="U6">
        <f t="shared" ca="1" si="12"/>
        <v>11.441270709665353</v>
      </c>
      <c r="V6">
        <f t="shared" ca="1" si="12"/>
        <v>11.290668477748262</v>
      </c>
      <c r="W6">
        <f t="shared" ca="1" si="12"/>
        <v>12.469699527547593</v>
      </c>
      <c r="X6">
        <f t="shared" ca="1" si="12"/>
        <v>14.308711481786595</v>
      </c>
      <c r="Y6">
        <f t="shared" ca="1" si="12"/>
        <v>12.791158698491875</v>
      </c>
      <c r="AA6" s="1" t="s">
        <v>9</v>
      </c>
      <c r="AB6">
        <v>500</v>
      </c>
      <c r="AC6">
        <f t="shared" ca="1" si="13"/>
        <v>267.83130058972739</v>
      </c>
      <c r="AD6">
        <f t="shared" ca="1" si="13"/>
        <v>271.90708795374331</v>
      </c>
      <c r="AE6">
        <f t="shared" ca="1" si="13"/>
        <v>252.39090063718666</v>
      </c>
      <c r="AG6">
        <f t="shared" ca="1" si="13"/>
        <v>278.66201658793671</v>
      </c>
      <c r="AH6">
        <f t="shared" ca="1" si="13"/>
        <v>294.2458879453398</v>
      </c>
      <c r="AI6">
        <f t="shared" ca="1" si="13"/>
        <v>276.86388619020602</v>
      </c>
      <c r="AJ6">
        <f t="shared" ca="1" si="13"/>
        <v>282.10355817430752</v>
      </c>
      <c r="AK6">
        <f t="shared" ca="1" si="13"/>
        <v>290.77482301591522</v>
      </c>
      <c r="AL6">
        <f t="shared" ca="1" si="13"/>
        <v>258.86986391387063</v>
      </c>
    </row>
    <row r="7" spans="1:38">
      <c r="A7" s="1" t="s">
        <v>10</v>
      </c>
      <c r="B7" s="4" t="str">
        <f t="shared" si="1"/>
        <v>Yes</v>
      </c>
      <c r="C7" s="4" t="str">
        <f t="shared" si="2"/>
        <v>Yes</v>
      </c>
      <c r="D7" s="4" t="str">
        <f t="shared" si="3"/>
        <v>No</v>
      </c>
      <c r="E7" s="4" t="str">
        <f t="shared" si="4"/>
        <v>No</v>
      </c>
      <c r="F7" s="4" t="str">
        <f t="shared" si="5"/>
        <v>Yes</v>
      </c>
      <c r="G7" s="4" t="str">
        <f t="shared" si="6"/>
        <v>No</v>
      </c>
      <c r="H7" s="4" t="str">
        <f t="shared" si="7"/>
        <v>No</v>
      </c>
      <c r="I7" s="4" t="str">
        <f t="shared" si="8"/>
        <v>Yes</v>
      </c>
      <c r="J7" s="4" t="str">
        <f t="shared" si="9"/>
        <v>Yes</v>
      </c>
      <c r="K7" s="4" t="str">
        <f t="shared" si="10"/>
        <v>Yes</v>
      </c>
      <c r="L7" s="4" t="str">
        <f t="shared" si="11"/>
        <v>Yes</v>
      </c>
      <c r="N7" s="1" t="s">
        <v>10</v>
      </c>
      <c r="O7">
        <v>10</v>
      </c>
      <c r="P7">
        <f t="shared" ca="1" si="12"/>
        <v>13.946609772711655</v>
      </c>
      <c r="Q7">
        <f t="shared" ca="1" si="12"/>
        <v>13.612498008061893</v>
      </c>
      <c r="R7">
        <f t="shared" ca="1" si="12"/>
        <v>14.547077760846179</v>
      </c>
      <c r="S7">
        <f t="shared" ca="1" si="12"/>
        <v>11.372687555838453</v>
      </c>
      <c r="U7">
        <f t="shared" ca="1" si="12"/>
        <v>11.677567375217663</v>
      </c>
      <c r="V7">
        <f t="shared" ca="1" si="12"/>
        <v>10.369613482072527</v>
      </c>
      <c r="W7">
        <f t="shared" ca="1" si="12"/>
        <v>13.029317536220637</v>
      </c>
      <c r="X7">
        <f t="shared" ca="1" si="12"/>
        <v>10.900859383107388</v>
      </c>
      <c r="Y7">
        <f t="shared" ca="1" si="12"/>
        <v>10.091577498805053</v>
      </c>
      <c r="AA7" s="1" t="s">
        <v>10</v>
      </c>
      <c r="AB7">
        <v>500</v>
      </c>
      <c r="AC7">
        <f t="shared" ca="1" si="13"/>
        <v>292.53741581682897</v>
      </c>
      <c r="AD7">
        <f t="shared" ca="1" si="13"/>
        <v>275.84245356988305</v>
      </c>
      <c r="AE7">
        <f t="shared" ca="1" si="13"/>
        <v>286.38358190684977</v>
      </c>
      <c r="AF7">
        <f t="shared" ca="1" si="13"/>
        <v>286.25788508877287</v>
      </c>
      <c r="AH7">
        <f t="shared" ca="1" si="13"/>
        <v>277.05667659863775</v>
      </c>
      <c r="AI7">
        <f t="shared" ca="1" si="13"/>
        <v>257.62104559441343</v>
      </c>
      <c r="AJ7">
        <f t="shared" ca="1" si="13"/>
        <v>259.55734468794708</v>
      </c>
      <c r="AK7">
        <f t="shared" ca="1" si="13"/>
        <v>294.00887276489726</v>
      </c>
      <c r="AL7">
        <f t="shared" ca="1" si="13"/>
        <v>270.3135869983646</v>
      </c>
    </row>
    <row r="8" spans="1:38">
      <c r="A8" s="1" t="s">
        <v>11</v>
      </c>
      <c r="B8" s="4" t="str">
        <f t="shared" si="1"/>
        <v>Yes</v>
      </c>
      <c r="C8" s="4" t="str">
        <f t="shared" si="2"/>
        <v>Yes</v>
      </c>
      <c r="D8" s="4" t="str">
        <f t="shared" si="3"/>
        <v>Yes</v>
      </c>
      <c r="E8" s="4" t="str">
        <f t="shared" si="4"/>
        <v>No</v>
      </c>
      <c r="F8" s="4" t="str">
        <f t="shared" si="5"/>
        <v>Yes</v>
      </c>
      <c r="G8" s="4" t="str">
        <f t="shared" si="6"/>
        <v>No</v>
      </c>
      <c r="H8" s="4" t="str">
        <f t="shared" si="7"/>
        <v>No</v>
      </c>
      <c r="I8" s="4" t="str">
        <f t="shared" si="8"/>
        <v>No</v>
      </c>
      <c r="J8" s="4" t="str">
        <f t="shared" si="9"/>
        <v>Yes</v>
      </c>
      <c r="K8" s="4" t="str">
        <f t="shared" si="10"/>
        <v>Yes</v>
      </c>
      <c r="L8" s="4" t="str">
        <f t="shared" si="11"/>
        <v>Yes</v>
      </c>
      <c r="N8" s="1" t="s">
        <v>11</v>
      </c>
      <c r="O8">
        <v>10</v>
      </c>
      <c r="P8">
        <f t="shared" ca="1" si="12"/>
        <v>14.672815312930981</v>
      </c>
      <c r="Q8">
        <f t="shared" ca="1" si="12"/>
        <v>14.009362446869369</v>
      </c>
      <c r="R8">
        <f t="shared" ca="1" si="12"/>
        <v>11.580531345441283</v>
      </c>
      <c r="S8">
        <f t="shared" ca="1" si="12"/>
        <v>12.278808953405736</v>
      </c>
      <c r="T8">
        <f t="shared" ca="1" si="12"/>
        <v>12.088441020790439</v>
      </c>
      <c r="V8">
        <f t="shared" ca="1" si="12"/>
        <v>12.50737700633883</v>
      </c>
      <c r="W8">
        <f t="shared" ca="1" si="12"/>
        <v>12.123075893724369</v>
      </c>
      <c r="X8">
        <f t="shared" ca="1" si="12"/>
        <v>10.489414942107286</v>
      </c>
      <c r="Y8">
        <f t="shared" ca="1" si="12"/>
        <v>11.689085783984748</v>
      </c>
      <c r="AA8" s="1" t="s">
        <v>11</v>
      </c>
      <c r="AB8">
        <v>500</v>
      </c>
      <c r="AC8">
        <f t="shared" ca="1" si="13"/>
        <v>257.57089985248916</v>
      </c>
      <c r="AD8">
        <f t="shared" ca="1" si="13"/>
        <v>256.4799940438192</v>
      </c>
      <c r="AE8">
        <f t="shared" ca="1" si="13"/>
        <v>298.2882220942322</v>
      </c>
      <c r="AF8">
        <f t="shared" ca="1" si="13"/>
        <v>263.31576387801408</v>
      </c>
      <c r="AG8">
        <f t="shared" ca="1" si="13"/>
        <v>258.78320746607142</v>
      </c>
      <c r="AI8">
        <f t="shared" ca="1" si="13"/>
        <v>252.56110380433512</v>
      </c>
      <c r="AJ8">
        <f t="shared" ca="1" si="13"/>
        <v>277.08165669909573</v>
      </c>
      <c r="AK8">
        <f t="shared" ca="1" si="13"/>
        <v>272.04515933071667</v>
      </c>
      <c r="AL8">
        <f t="shared" ca="1" si="13"/>
        <v>286.85338169092898</v>
      </c>
    </row>
    <row r="9" spans="1:38">
      <c r="A9" s="1" t="s">
        <v>12</v>
      </c>
      <c r="B9" s="4" t="str">
        <f t="shared" si="1"/>
        <v>Yes</v>
      </c>
      <c r="C9" s="4" t="str">
        <f t="shared" si="2"/>
        <v>Yes</v>
      </c>
      <c r="D9" s="4" t="str">
        <f t="shared" si="3"/>
        <v>No</v>
      </c>
      <c r="E9" s="4" t="str">
        <f t="shared" si="4"/>
        <v>Yes</v>
      </c>
      <c r="F9" s="4" t="str">
        <f t="shared" si="5"/>
        <v>Yes</v>
      </c>
      <c r="G9" s="4" t="str">
        <f t="shared" si="6"/>
        <v>Yes</v>
      </c>
      <c r="H9" s="4" t="str">
        <f t="shared" si="7"/>
        <v>No</v>
      </c>
      <c r="I9" s="4" t="str">
        <f t="shared" si="8"/>
        <v>No</v>
      </c>
      <c r="J9" s="4" t="str">
        <f t="shared" si="9"/>
        <v>Yes</v>
      </c>
      <c r="K9" s="4" t="str">
        <f t="shared" si="10"/>
        <v>No</v>
      </c>
      <c r="L9" s="4" t="str">
        <f t="shared" si="11"/>
        <v>No</v>
      </c>
      <c r="N9" s="1" t="s">
        <v>12</v>
      </c>
      <c r="O9">
        <v>10</v>
      </c>
      <c r="P9">
        <f t="shared" ca="1" si="12"/>
        <v>11.263772732373868</v>
      </c>
      <c r="Q9">
        <f t="shared" ca="1" si="12"/>
        <v>14.400814561532354</v>
      </c>
      <c r="R9">
        <f t="shared" ca="1" si="12"/>
        <v>14.354989321304521</v>
      </c>
      <c r="S9">
        <f t="shared" ca="1" si="12"/>
        <v>12.349160940798154</v>
      </c>
      <c r="T9">
        <f t="shared" ca="1" si="12"/>
        <v>14.762171073138656</v>
      </c>
      <c r="U9">
        <f t="shared" ca="1" si="12"/>
        <v>10.631413398942829</v>
      </c>
      <c r="W9">
        <f t="shared" ca="1" si="12"/>
        <v>14.377709838943952</v>
      </c>
      <c r="X9">
        <f t="shared" ca="1" si="12"/>
        <v>10.910110536701568</v>
      </c>
      <c r="Y9">
        <f t="shared" ca="1" si="12"/>
        <v>10.201755446178618</v>
      </c>
      <c r="AA9" s="1" t="s">
        <v>12</v>
      </c>
      <c r="AB9">
        <v>500</v>
      </c>
      <c r="AC9">
        <f t="shared" ca="1" si="13"/>
        <v>270.66271132515448</v>
      </c>
      <c r="AD9">
        <f t="shared" ca="1" si="13"/>
        <v>276.81879283535989</v>
      </c>
      <c r="AE9">
        <f t="shared" ca="1" si="13"/>
        <v>298.92379474812731</v>
      </c>
      <c r="AF9">
        <f t="shared" ca="1" si="13"/>
        <v>298.83344263190548</v>
      </c>
      <c r="AG9">
        <f t="shared" ca="1" si="13"/>
        <v>266.13260304704153</v>
      </c>
      <c r="AH9">
        <f t="shared" ca="1" si="13"/>
        <v>263.0153928695895</v>
      </c>
      <c r="AJ9">
        <f t="shared" ca="1" si="13"/>
        <v>259.2838250981419</v>
      </c>
      <c r="AK9">
        <f t="shared" ca="1" si="13"/>
        <v>270.93187975830671</v>
      </c>
      <c r="AL9">
        <f t="shared" ca="1" si="13"/>
        <v>256.06248174102251</v>
      </c>
    </row>
    <row r="10" spans="1:38">
      <c r="A10" s="1" t="s">
        <v>13</v>
      </c>
      <c r="B10" s="4" t="str">
        <f t="shared" si="1"/>
        <v>Yes</v>
      </c>
      <c r="C10" s="4" t="str">
        <f t="shared" si="2"/>
        <v>No</v>
      </c>
      <c r="D10" s="4" t="str">
        <f t="shared" si="3"/>
        <v>Yes</v>
      </c>
      <c r="E10" s="4" t="str">
        <f t="shared" si="4"/>
        <v>No</v>
      </c>
      <c r="F10" s="4" t="str">
        <f t="shared" si="5"/>
        <v>No</v>
      </c>
      <c r="G10" s="4" t="str">
        <f t="shared" si="6"/>
        <v>Yes</v>
      </c>
      <c r="H10" s="4" t="str">
        <f t="shared" si="7"/>
        <v>Yes</v>
      </c>
      <c r="I10" s="4" t="str">
        <f t="shared" si="8"/>
        <v>Yes</v>
      </c>
      <c r="J10" s="4" t="str">
        <f t="shared" si="9"/>
        <v>No</v>
      </c>
      <c r="K10" s="4" t="str">
        <f t="shared" si="10"/>
        <v>Yes</v>
      </c>
      <c r="L10" s="4" t="str">
        <f t="shared" si="11"/>
        <v>No</v>
      </c>
      <c r="N10" s="1" t="s">
        <v>13</v>
      </c>
      <c r="O10">
        <v>10</v>
      </c>
      <c r="P10">
        <f t="shared" ca="1" si="12"/>
        <v>12.379521713369531</v>
      </c>
      <c r="Q10">
        <f t="shared" ca="1" si="12"/>
        <v>13.199511814473889</v>
      </c>
      <c r="R10">
        <f t="shared" ca="1" si="12"/>
        <v>13.007873688192367</v>
      </c>
      <c r="S10">
        <f t="shared" ca="1" si="12"/>
        <v>14.892182560695133</v>
      </c>
      <c r="T10">
        <f t="shared" ca="1" si="12"/>
        <v>10.958322787134259</v>
      </c>
      <c r="U10">
        <f t="shared" ca="1" si="12"/>
        <v>14.43898643857842</v>
      </c>
      <c r="V10">
        <f t="shared" ca="1" si="12"/>
        <v>10.357058802516098</v>
      </c>
      <c r="X10">
        <f t="shared" ca="1" si="12"/>
        <v>12.2728483355818</v>
      </c>
      <c r="Y10">
        <f t="shared" ca="1" si="12"/>
        <v>10.950832790840202</v>
      </c>
      <c r="AA10" s="1" t="s">
        <v>13</v>
      </c>
      <c r="AB10">
        <v>500</v>
      </c>
      <c r="AC10">
        <f t="shared" ca="1" si="13"/>
        <v>257.39279060690882</v>
      </c>
      <c r="AD10">
        <f t="shared" ca="1" si="13"/>
        <v>261.17434117576215</v>
      </c>
      <c r="AE10">
        <f t="shared" ca="1" si="13"/>
        <v>295.71097035994336</v>
      </c>
      <c r="AF10">
        <f t="shared" ca="1" si="13"/>
        <v>296.16119037938716</v>
      </c>
      <c r="AG10">
        <f t="shared" ca="1" si="13"/>
        <v>294.9484370833548</v>
      </c>
      <c r="AH10">
        <f t="shared" ca="1" si="13"/>
        <v>273.74161140513928</v>
      </c>
      <c r="AI10">
        <f t="shared" ca="1" si="13"/>
        <v>268.2368572970172</v>
      </c>
      <c r="AK10">
        <f t="shared" ca="1" si="13"/>
        <v>268.83076361810816</v>
      </c>
      <c r="AL10">
        <f t="shared" ca="1" si="13"/>
        <v>282.73323873498077</v>
      </c>
    </row>
    <row r="11" spans="1:38">
      <c r="A11" s="1" t="s">
        <v>19</v>
      </c>
      <c r="B11" s="4" t="str">
        <f t="shared" si="1"/>
        <v>Yes</v>
      </c>
      <c r="C11" s="4" t="str">
        <f t="shared" si="2"/>
        <v>Yes</v>
      </c>
      <c r="D11" s="4" t="str">
        <f t="shared" si="3"/>
        <v>Yes</v>
      </c>
      <c r="E11" s="4" t="str">
        <f t="shared" si="4"/>
        <v>No</v>
      </c>
      <c r="F11" s="4" t="str">
        <f t="shared" si="5"/>
        <v>No</v>
      </c>
      <c r="G11" s="4" t="str">
        <f t="shared" si="6"/>
        <v>Yes</v>
      </c>
      <c r="H11" s="4" t="str">
        <f t="shared" si="7"/>
        <v>Yes</v>
      </c>
      <c r="I11" s="4" t="str">
        <f t="shared" si="8"/>
        <v>No</v>
      </c>
      <c r="J11" s="4" t="str">
        <f t="shared" si="9"/>
        <v>Yes</v>
      </c>
      <c r="K11" s="4" t="str">
        <f t="shared" si="10"/>
        <v>No</v>
      </c>
      <c r="L11" s="4" t="str">
        <f t="shared" si="11"/>
        <v>Yes</v>
      </c>
      <c r="N11" s="1" t="s">
        <v>19</v>
      </c>
      <c r="O11">
        <v>10</v>
      </c>
      <c r="P11">
        <f t="shared" ca="1" si="12"/>
        <v>10.268914556426372</v>
      </c>
      <c r="Q11">
        <f t="shared" ca="1" si="12"/>
        <v>14.25828345184193</v>
      </c>
      <c r="R11">
        <f t="shared" ca="1" si="12"/>
        <v>13.067625337008021</v>
      </c>
      <c r="S11">
        <f t="shared" ca="1" si="12"/>
        <v>10.934328418429599</v>
      </c>
      <c r="T11">
        <f t="shared" ca="1" si="12"/>
        <v>13.626561448205125</v>
      </c>
      <c r="U11">
        <f t="shared" ca="1" si="12"/>
        <v>11.036299215275985</v>
      </c>
      <c r="V11">
        <f t="shared" ca="1" si="12"/>
        <v>13.373034232199554</v>
      </c>
      <c r="W11">
        <f t="shared" ca="1" si="12"/>
        <v>12.394623621359848</v>
      </c>
      <c r="Y11">
        <f t="shared" ca="1" si="12"/>
        <v>11.505454225114182</v>
      </c>
      <c r="AA11" s="1" t="s">
        <v>19</v>
      </c>
      <c r="AB11">
        <v>500</v>
      </c>
      <c r="AC11">
        <f t="shared" ca="1" si="13"/>
        <v>265.64210053794397</v>
      </c>
      <c r="AD11">
        <f t="shared" ca="1" si="13"/>
        <v>294.71306185232669</v>
      </c>
      <c r="AE11">
        <f t="shared" ca="1" si="13"/>
        <v>269.56781050797872</v>
      </c>
      <c r="AF11">
        <f t="shared" ca="1" si="13"/>
        <v>271.64142536653185</v>
      </c>
      <c r="AG11">
        <f t="shared" ca="1" si="13"/>
        <v>299.2316270738358</v>
      </c>
      <c r="AH11">
        <f t="shared" ca="1" si="13"/>
        <v>278.27393692936755</v>
      </c>
      <c r="AI11">
        <f t="shared" ca="1" si="13"/>
        <v>256.41883271522323</v>
      </c>
      <c r="AJ11">
        <f t="shared" ca="1" si="13"/>
        <v>269.45195500300554</v>
      </c>
      <c r="AL11">
        <f t="shared" ca="1" si="13"/>
        <v>261.14262429432432</v>
      </c>
    </row>
    <row r="12" spans="1:38">
      <c r="A12" s="1" t="s">
        <v>14</v>
      </c>
      <c r="B12" s="4" t="str">
        <f t="shared" si="1"/>
        <v>Yes</v>
      </c>
      <c r="C12" s="4" t="str">
        <f t="shared" si="2"/>
        <v>No</v>
      </c>
      <c r="D12" s="4" t="str">
        <f t="shared" si="3"/>
        <v>Yes</v>
      </c>
      <c r="E12" s="4" t="str">
        <f t="shared" si="4"/>
        <v>Yes</v>
      </c>
      <c r="F12" s="4" t="str">
        <f t="shared" si="5"/>
        <v>Yes</v>
      </c>
      <c r="G12" s="4" t="str">
        <f t="shared" si="6"/>
        <v>Yes</v>
      </c>
      <c r="H12" s="4" t="str">
        <f t="shared" si="7"/>
        <v>No</v>
      </c>
      <c r="I12" s="4" t="str">
        <f t="shared" si="8"/>
        <v>No</v>
      </c>
      <c r="J12" s="4" t="str">
        <f t="shared" si="9"/>
        <v>No</v>
      </c>
      <c r="K12" s="4" t="str">
        <f t="shared" si="10"/>
        <v>Yes</v>
      </c>
      <c r="L12" s="4" t="str">
        <f t="shared" si="11"/>
        <v>No</v>
      </c>
      <c r="N12" s="1" t="s">
        <v>14</v>
      </c>
      <c r="O12">
        <v>10</v>
      </c>
      <c r="P12">
        <f t="shared" ca="1" si="12"/>
        <v>14.580706925107894</v>
      </c>
      <c r="Q12">
        <f t="shared" ca="1" si="12"/>
        <v>14.072547679902609</v>
      </c>
      <c r="R12">
        <f t="shared" ca="1" si="12"/>
        <v>10.57485236176478</v>
      </c>
      <c r="S12">
        <f t="shared" ca="1" si="12"/>
        <v>11.570550432219761</v>
      </c>
      <c r="T12">
        <f t="shared" ca="1" si="12"/>
        <v>11.358696165746103</v>
      </c>
      <c r="U12">
        <f t="shared" ca="1" si="12"/>
        <v>12.492367831914498</v>
      </c>
      <c r="V12">
        <f t="shared" ca="1" si="12"/>
        <v>13.924774329743164</v>
      </c>
      <c r="W12">
        <f t="shared" ca="1" si="12"/>
        <v>10.661125975993059</v>
      </c>
      <c r="X12">
        <f t="shared" ca="1" si="12"/>
        <v>10.422107733880482</v>
      </c>
      <c r="AA12" s="1" t="s">
        <v>14</v>
      </c>
      <c r="AB12">
        <v>500</v>
      </c>
      <c r="AC12">
        <f t="shared" ca="1" si="13"/>
        <v>250.52862416315594</v>
      </c>
      <c r="AD12">
        <f t="shared" ca="1" si="13"/>
        <v>272.41572360451005</v>
      </c>
      <c r="AE12">
        <f t="shared" ca="1" si="13"/>
        <v>267.19672036595449</v>
      </c>
      <c r="AF12">
        <f t="shared" ca="1" si="13"/>
        <v>270.47093882155457</v>
      </c>
      <c r="AG12">
        <f t="shared" ca="1" si="13"/>
        <v>275.41559691665412</v>
      </c>
      <c r="AH12">
        <f t="shared" ca="1" si="13"/>
        <v>268.77849441102262</v>
      </c>
      <c r="AI12">
        <f t="shared" ca="1" si="13"/>
        <v>285.88541822781065</v>
      </c>
      <c r="AJ12">
        <f t="shared" ca="1" si="13"/>
        <v>270.43340033532371</v>
      </c>
      <c r="AK12">
        <f t="shared" ca="1" si="13"/>
        <v>271.53745609729373</v>
      </c>
    </row>
    <row r="18" spans="1:21">
      <c r="A18" t="s">
        <v>62</v>
      </c>
    </row>
    <row r="19" spans="1:21">
      <c r="A19" t="s">
        <v>61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63</v>
      </c>
      <c r="B21" s="1" t="s">
        <v>64</v>
      </c>
      <c r="E21" s="6"/>
      <c r="F21" s="7" t="s">
        <v>5</v>
      </c>
      <c r="G21" s="7" t="s">
        <v>6</v>
      </c>
      <c r="H21" s="7" t="s">
        <v>7</v>
      </c>
      <c r="I21" s="7" t="s">
        <v>8</v>
      </c>
      <c r="J21" s="7" t="s">
        <v>9</v>
      </c>
      <c r="K21" s="7" t="s">
        <v>10</v>
      </c>
      <c r="L21" s="7" t="s">
        <v>11</v>
      </c>
      <c r="M21" s="7" t="s">
        <v>12</v>
      </c>
      <c r="N21" s="7" t="s">
        <v>13</v>
      </c>
      <c r="O21" s="7" t="s">
        <v>19</v>
      </c>
      <c r="P21" s="7" t="s">
        <v>14</v>
      </c>
    </row>
    <row r="22" spans="1:21">
      <c r="A22" s="5" t="s">
        <v>5</v>
      </c>
      <c r="B22" s="5" t="s">
        <v>6</v>
      </c>
      <c r="E22" s="6">
        <v>1</v>
      </c>
      <c r="F22" s="6" t="str">
        <f t="array" ref="F22">IFERROR(INDEX($B$22:$B$610,SMALL(IF($A$22:$A$610=F$21,ROW(Roads!$A$22:$A$610)),Roads!$E22)-ROW(RoadList)),"")</f>
        <v>Afar</v>
      </c>
      <c r="G22" s="6" t="str">
        <f t="array" ref="G22">IFERROR(INDEX($B$22:$B$610,SMALL(IF($A$22:$A$610=G$21,ROW(Roads!$A$22:$A$610)),Roads!$E22)-ROW(RoadList)),"")</f>
        <v>AddisAbaba</v>
      </c>
      <c r="H22" s="6" t="str">
        <f t="array" ref="H22">IFERROR(INDEX($B$22:$B$610,SMALL(IF($A$22:$A$610=H$21,ROW(Roads!$A$22:$A$610)),Roads!$E22)-ROW(RoadList)),"")</f>
        <v>AddisAbaba</v>
      </c>
      <c r="I22" s="6" t="str">
        <f t="array" ref="I22">IFERROR(INDEX($B$22:$B$610,SMALL(IF($A$22:$A$610=I$21,ROW(Roads!$A$22:$A$610)),Roads!$E22)-ROW(RoadList)),"")</f>
        <v>AddisAbaba</v>
      </c>
      <c r="J22" s="6" t="str">
        <f t="array" ref="J22">IFERROR(INDEX($B$22:$B$610,SMALL(IF($A$22:$A$610=J$21,ROW(Roads!$A$22:$A$610)),Roads!$E22)-ROW(RoadList)),"")</f>
        <v>AddisAbaba</v>
      </c>
      <c r="K22" s="6" t="str">
        <f t="array" ref="K22">IFERROR(INDEX($B$22:$B$610,SMALL(IF($A$22:$A$610=K$21,ROW(Roads!$A$22:$A$610)),Roads!$E22)-ROW(RoadList)),"")</f>
        <v>AddisAbaba</v>
      </c>
      <c r="L22" s="6" t="str">
        <f t="array" ref="L22">IFERROR(INDEX($B$22:$B$610,SMALL(IF($A$22:$A$610=L$21,ROW(Roads!$A$22:$A$610)),Roads!$E22)-ROW(RoadList)),"")</f>
        <v>AddisAbaba</v>
      </c>
      <c r="M22" s="6" t="str">
        <f t="array" ref="M22">IFERROR(INDEX($B$22:$B$610,SMALL(IF($A$22:$A$610=M$21,ROW(Roads!$A$22:$A$610)),Roads!$E22)-ROW(RoadList)),"")</f>
        <v>AddisAbaba</v>
      </c>
      <c r="N22" s="6" t="str">
        <f t="array" ref="N22">IFERROR(INDEX($B$22:$B$610,SMALL(IF($A$22:$A$610=N$21,ROW(Roads!$A$22:$A$610)),Roads!$E22)-ROW(RoadList)),"")</f>
        <v>AddisAbaba</v>
      </c>
      <c r="O22" s="6" t="str">
        <f t="array" ref="O22">IFERROR(INDEX($B$22:$B$610,SMALL(IF($A$22:$A$610=O$21,ROW(Roads!$A$22:$A$610)),Roads!$E22)-ROW(RoadList)),"")</f>
        <v>AddisAbaba</v>
      </c>
      <c r="P22" s="6" t="str">
        <f t="array" ref="P22">IFERROR(INDEX($B$22:$B$610,SMALL(IF($A$22:$A$610=P$21,ROW(Roads!$A$22:$A$610)),Roads!$E22)-ROW(RoadList)),"")</f>
        <v>AddisAbaba</v>
      </c>
    </row>
    <row r="23" spans="1:21">
      <c r="A23" s="5" t="s">
        <v>5</v>
      </c>
      <c r="B23" s="5" t="s">
        <v>7</v>
      </c>
      <c r="E23" s="6">
        <f>E22+1</f>
        <v>2</v>
      </c>
      <c r="F23" s="6" t="str">
        <f t="array" ref="F23">IFERROR(INDEX($B$22:$B$610,SMALL(IF($A$22:$A$610=F$21,ROW(Roads!$A$22:$A$610)),Roads!$E23)-ROW(RoadList)),"")</f>
        <v>Amhara</v>
      </c>
      <c r="G23" s="6" t="str">
        <f t="array" ref="G23">IFERROR(INDEX($B$22:$B$610,SMALL(IF($A$22:$A$610=G$21,ROW(Roads!$A$22:$A$610)),Roads!$E23)-ROW(RoadList)),"")</f>
        <v>Gambela</v>
      </c>
      <c r="H23" s="6" t="str">
        <f t="array" ref="H23">IFERROR(INDEX($B$22:$B$610,SMALL(IF($A$22:$A$610=H$21,ROW(Roads!$A$22:$A$610)),Roads!$E23)-ROW(RoadList)),"")</f>
        <v>Gumuz</v>
      </c>
      <c r="I23" s="6" t="str">
        <f t="array" ref="I23">IFERROR(INDEX($B$22:$B$610,SMALL(IF($A$22:$A$610=I$21,ROW(Roads!$A$22:$A$610)),Roads!$E23)-ROW(RoadList)),"")</f>
        <v>Afar</v>
      </c>
      <c r="J23" s="6" t="str">
        <f t="array" ref="J23">IFERROR(INDEX($B$22:$B$610,SMALL(IF($A$22:$A$610=J$21,ROW(Roads!$A$22:$A$610)),Roads!$E23)-ROW(RoadList)),"")</f>
        <v>Gambela</v>
      </c>
      <c r="K23" s="6" t="str">
        <f t="array" ref="K23">IFERROR(INDEX($B$22:$B$610,SMALL(IF($A$22:$A$610=K$21,ROW(Roads!$A$22:$A$610)),Roads!$E23)-ROW(RoadList)),"")</f>
        <v>Afar</v>
      </c>
      <c r="L23" s="6" t="str">
        <f t="array" ref="L23">IFERROR(INDEX($B$22:$B$610,SMALL(IF($A$22:$A$610=L$21,ROW(Roads!$A$22:$A$610)),Roads!$E23)-ROW(RoadList)),"")</f>
        <v>Afar</v>
      </c>
      <c r="M23" s="6" t="str">
        <f t="array" ref="M23">IFERROR(INDEX($B$22:$B$610,SMALL(IF($A$22:$A$610=M$21,ROW(Roads!$A$22:$A$610)),Roads!$E23)-ROW(RoadList)),"")</f>
        <v>Afar</v>
      </c>
      <c r="N23" s="6" t="str">
        <f t="array" ref="N23">IFERROR(INDEX($B$22:$B$610,SMALL(IF($A$22:$A$610=N$21,ROW(Roads!$A$22:$A$610)),Roads!$E23)-ROW(RoadList)),"")</f>
        <v>Amhara</v>
      </c>
      <c r="O23" s="6" t="str">
        <f t="array" ref="O23">IFERROR(INDEX($B$22:$B$610,SMALL(IF($A$22:$A$610=O$21,ROW(Roads!$A$22:$A$610)),Roads!$E23)-ROW(RoadList)),"")</f>
        <v>Afar</v>
      </c>
      <c r="P23" s="6" t="str">
        <f t="array" ref="P23">IFERROR(INDEX($B$22:$B$610,SMALL(IF($A$22:$A$610=P$21,ROW(Roads!$A$22:$A$610)),Roads!$E23)-ROW(RoadList)),"")</f>
        <v>Amhara</v>
      </c>
    </row>
    <row r="24" spans="1:21">
      <c r="A24" s="5" t="s">
        <v>5</v>
      </c>
      <c r="B24" s="5" t="s">
        <v>9</v>
      </c>
      <c r="E24" s="6">
        <f t="shared" ref="E24:E32" si="14">E23+1</f>
        <v>3</v>
      </c>
      <c r="F24" s="6" t="str">
        <f t="array" ref="F24">IFERROR(INDEX($B$22:$B$610,SMALL(IF($A$22:$A$610=F$21,ROW(Roads!$A$22:$A$610)),Roads!$E24)-ROW(RoadList)),"")</f>
        <v>DireDawa</v>
      </c>
      <c r="G24" s="6" t="str">
        <f t="array" ref="G24">IFERROR(INDEX($B$22:$B$610,SMALL(IF($A$22:$A$610=G$21,ROW(Roads!$A$22:$A$610)),Roads!$E24)-ROW(RoadList)),"")</f>
        <v>Gumuz</v>
      </c>
      <c r="H24" s="6" t="str">
        <f t="array" ref="H24">IFERROR(INDEX($B$22:$B$610,SMALL(IF($A$22:$A$610=H$21,ROW(Roads!$A$22:$A$610)),Roads!$E24)-ROW(RoadList)),"")</f>
        <v>Harari</v>
      </c>
      <c r="I24" s="6" t="str">
        <f t="array" ref="I24">IFERROR(INDEX($B$22:$B$610,SMALL(IF($A$22:$A$610=I$21,ROW(Roads!$A$22:$A$610)),Roads!$E24)-ROW(RoadList)),"")</f>
        <v>Amhara</v>
      </c>
      <c r="J24" s="6" t="str">
        <f t="array" ref="J24">IFERROR(INDEX($B$22:$B$610,SMALL(IF($A$22:$A$610=J$21,ROW(Roads!$A$22:$A$610)),Roads!$E24)-ROW(RoadList)),"")</f>
        <v>Gumuz</v>
      </c>
      <c r="K24" s="6" t="str">
        <f t="array" ref="K24">IFERROR(INDEX($B$22:$B$610,SMALL(IF($A$22:$A$610=K$21,ROW(Roads!$A$22:$A$610)),Roads!$E24)-ROW(RoadList)),"")</f>
        <v>DireDawa</v>
      </c>
      <c r="L24" s="6" t="str">
        <f t="array" ref="L24">IFERROR(INDEX($B$22:$B$610,SMALL(IF($A$22:$A$610=L$21,ROW(Roads!$A$22:$A$610)),Roads!$E24)-ROW(RoadList)),"")</f>
        <v>Amhara</v>
      </c>
      <c r="M24" s="6" t="str">
        <f t="array" ref="M24">IFERROR(INDEX($B$22:$B$610,SMALL(IF($A$22:$A$610=M$21,ROW(Roads!$A$22:$A$610)),Roads!$E24)-ROW(RoadList)),"")</f>
        <v>DireDawa</v>
      </c>
      <c r="N24" s="6" t="str">
        <f t="array" ref="N24">IFERROR(INDEX($B$22:$B$610,SMALL(IF($A$22:$A$610=N$21,ROW(Roads!$A$22:$A$610)),Roads!$E24)-ROW(RoadList)),"")</f>
        <v>Gambela</v>
      </c>
      <c r="O24" s="6" t="str">
        <f t="array" ref="O24">IFERROR(INDEX($B$22:$B$610,SMALL(IF($A$22:$A$610=O$21,ROW(Roads!$A$22:$A$610)),Roads!$E24)-ROW(RoadList)),"")</f>
        <v>Amhara</v>
      </c>
      <c r="P24" s="6" t="str">
        <f t="array" ref="P24">IFERROR(INDEX($B$22:$B$610,SMALL(IF($A$22:$A$610=P$21,ROW(Roads!$A$22:$A$610)),Roads!$E24)-ROW(RoadList)),"")</f>
        <v>DireDawa</v>
      </c>
    </row>
    <row r="25" spans="1:21">
      <c r="A25" s="5" t="s">
        <v>5</v>
      </c>
      <c r="B25" s="5" t="s">
        <v>10</v>
      </c>
      <c r="E25" s="6">
        <f t="shared" si="14"/>
        <v>4</v>
      </c>
      <c r="F25" s="6" t="str">
        <f t="array" ref="F25">IFERROR(INDEX($B$22:$B$610,SMALL(IF($A$22:$A$610=F$21,ROW(Roads!$A$22:$A$610)),Roads!$E25)-ROW(RoadList)),"")</f>
        <v>Gambela</v>
      </c>
      <c r="G25" s="6" t="str">
        <f t="array" ref="G25">IFERROR(INDEX($B$22:$B$610,SMALL(IF($A$22:$A$610=G$21,ROW(Roads!$A$22:$A$610)),Roads!$E25)-ROW(RoadList)),"")</f>
        <v>Harari</v>
      </c>
      <c r="H25" s="6" t="str">
        <f t="array" ref="H25">IFERROR(INDEX($B$22:$B$610,SMALL(IF($A$22:$A$610=H$21,ROW(Roads!$A$22:$A$610)),Roads!$E25)-ROW(RoadList)),"")</f>
        <v>SNNPR</v>
      </c>
      <c r="I25" s="6" t="str">
        <f t="array" ref="I25">IFERROR(INDEX($B$22:$B$610,SMALL(IF($A$22:$A$610=I$21,ROW(Roads!$A$22:$A$610)),Roads!$E25)-ROW(RoadList)),"")</f>
        <v>DireDawa</v>
      </c>
      <c r="J25" s="6" t="str">
        <f t="array" ref="J25">IFERROR(INDEX($B$22:$B$610,SMALL(IF($A$22:$A$610=J$21,ROW(Roads!$A$22:$A$610)),Roads!$E25)-ROW(RoadList)),"")</f>
        <v>Harari</v>
      </c>
      <c r="K25" s="6" t="str">
        <f t="array" ref="K25">IFERROR(INDEX($B$22:$B$610,SMALL(IF($A$22:$A$610=K$21,ROW(Roads!$A$22:$A$610)),Roads!$E25)-ROW(RoadList)),"")</f>
        <v>Oromia</v>
      </c>
      <c r="L25" s="6" t="str">
        <f t="array" ref="L25">IFERROR(INDEX($B$22:$B$610,SMALL(IF($A$22:$A$610=L$21,ROW(Roads!$A$22:$A$610)),Roads!$E25)-ROW(RoadList)),"")</f>
        <v>DireDawa</v>
      </c>
      <c r="M25" s="6" t="str">
        <f t="array" ref="M25">IFERROR(INDEX($B$22:$B$610,SMALL(IF($A$22:$A$610=M$21,ROW(Roads!$A$22:$A$610)),Roads!$E25)-ROW(RoadList)),"")</f>
        <v>Gambela</v>
      </c>
      <c r="N25" s="6" t="str">
        <f t="array" ref="N25">IFERROR(INDEX($B$22:$B$610,SMALL(IF($A$22:$A$610=N$21,ROW(Roads!$A$22:$A$610)),Roads!$E25)-ROW(RoadList)),"")</f>
        <v>Harari</v>
      </c>
      <c r="O25" s="6" t="str">
        <f t="array" ref="O25">IFERROR(INDEX($B$22:$B$610,SMALL(IF($A$22:$A$610=O$21,ROW(Roads!$A$22:$A$610)),Roads!$E25)-ROW(RoadList)),"")</f>
        <v>Gambela</v>
      </c>
      <c r="P25" s="6" t="str">
        <f t="array" ref="P25">IFERROR(INDEX($B$22:$B$610,SMALL(IF($A$22:$A$610=P$21,ROW(Roads!$A$22:$A$610)),Roads!$E25)-ROW(RoadList)),"")</f>
        <v>Gambela</v>
      </c>
    </row>
    <row r="26" spans="1:21">
      <c r="A26" s="5" t="s">
        <v>5</v>
      </c>
      <c r="B26" s="5" t="s">
        <v>8</v>
      </c>
      <c r="E26" s="6">
        <f t="shared" si="14"/>
        <v>5</v>
      </c>
      <c r="F26" s="6" t="str">
        <f t="array" ref="F26">IFERROR(INDEX($B$22:$B$610,SMALL(IF($A$22:$A$610=F$21,ROW(Roads!$A$22:$A$610)),Roads!$E26)-ROW(RoadList)),"")</f>
        <v>Gumuz</v>
      </c>
      <c r="G26" s="6" t="str">
        <f t="array" ref="G26">IFERROR(INDEX($B$22:$B$610,SMALL(IF($A$22:$A$610=G$21,ROW(Roads!$A$22:$A$610)),Roads!$E26)-ROW(RoadList)),"")</f>
        <v>Oromia</v>
      </c>
      <c r="H26" s="6" t="str">
        <f t="array" ref="H26">IFERROR(INDEX($B$22:$B$610,SMALL(IF($A$22:$A$610=H$21,ROW(Roads!$A$22:$A$610)),Roads!$E26)-ROW(RoadList)),"")</f>
        <v>Somali</v>
      </c>
      <c r="I26" s="6" t="str">
        <f t="array" ref="I26">IFERROR(INDEX($B$22:$B$610,SMALL(IF($A$22:$A$610=I$21,ROW(Roads!$A$22:$A$610)),Roads!$E26)-ROW(RoadList)),"")</f>
        <v>Oromia</v>
      </c>
      <c r="J26" s="6" t="str">
        <f t="array" ref="J26">IFERROR(INDEX($B$22:$B$610,SMALL(IF($A$22:$A$610=J$21,ROW(Roads!$A$22:$A$610)),Roads!$E26)-ROW(RoadList)),"")</f>
        <v>Oromia</v>
      </c>
      <c r="K26" s="6" t="str">
        <f t="array" ref="K26">IFERROR(INDEX($B$22:$B$610,SMALL(IF($A$22:$A$610=K$21,ROW(Roads!$A$22:$A$610)),Roads!$E26)-ROW(RoadList)),"")</f>
        <v>SNNPR</v>
      </c>
      <c r="L26" s="6" t="str">
        <f t="array" ref="L26">IFERROR(INDEX($B$22:$B$610,SMALL(IF($A$22:$A$610=L$21,ROW(Roads!$A$22:$A$610)),Roads!$E26)-ROW(RoadList)),"")</f>
        <v>SNNPR</v>
      </c>
      <c r="M26" s="6" t="str">
        <f t="array" ref="M26">IFERROR(INDEX($B$22:$B$610,SMALL(IF($A$22:$A$610=M$21,ROW(Roads!$A$22:$A$610)),Roads!$E26)-ROW(RoadList)),"")</f>
        <v>Gumuz</v>
      </c>
      <c r="N26" s="6" t="str">
        <f t="array" ref="N26">IFERROR(INDEX($B$22:$B$610,SMALL(IF($A$22:$A$610=N$21,ROW(Roads!$A$22:$A$610)),Roads!$E26)-ROW(RoadList)),"")</f>
        <v>Oromia</v>
      </c>
      <c r="O26" s="6" t="str">
        <f t="array" ref="O26">IFERROR(INDEX($B$22:$B$610,SMALL(IF($A$22:$A$610=O$21,ROW(Roads!$A$22:$A$610)),Roads!$E26)-ROW(RoadList)),"")</f>
        <v>Harari</v>
      </c>
      <c r="P26" s="6" t="str">
        <f t="array" ref="P26">IFERROR(INDEX($B$22:$B$610,SMALL(IF($A$22:$A$610=P$21,ROW(Roads!$A$22:$A$610)),Roads!$E26)-ROW(RoadList)),"")</f>
        <v>Gumuz</v>
      </c>
    </row>
    <row r="27" spans="1:21">
      <c r="A27" s="5" t="s">
        <v>5</v>
      </c>
      <c r="B27" s="5" t="s">
        <v>11</v>
      </c>
      <c r="E27" s="6">
        <f t="shared" si="14"/>
        <v>6</v>
      </c>
      <c r="F27" s="6" t="str">
        <f t="array" ref="F27">IFERROR(INDEX($B$22:$B$610,SMALL(IF($A$22:$A$610=F$21,ROW(Roads!$A$22:$A$610)),Roads!$E27)-ROW(RoadList)),"")</f>
        <v>Harari</v>
      </c>
      <c r="G27" s="6" t="str">
        <f t="array" ref="G27">IFERROR(INDEX($B$22:$B$610,SMALL(IF($A$22:$A$610=G$21,ROW(Roads!$A$22:$A$610)),Roads!$E27)-ROW(RoadList)),"")</f>
        <v>SNNPR</v>
      </c>
      <c r="H27" s="6" t="str">
        <f t="array" ref="H27">IFERROR(INDEX($B$22:$B$610,SMALL(IF($A$22:$A$610=H$21,ROW(Roads!$A$22:$A$610)),Roads!$E27)-ROW(RoadList)),"")</f>
        <v>Tigray</v>
      </c>
      <c r="I27" s="6" t="str">
        <f t="array" ref="I27">IFERROR(INDEX($B$22:$B$610,SMALL(IF($A$22:$A$610=I$21,ROW(Roads!$A$22:$A$610)),Roads!$E27)-ROW(RoadList)),"")</f>
        <v>Tigray</v>
      </c>
      <c r="J27" s="6" t="str">
        <f t="array" ref="J27">IFERROR(INDEX($B$22:$B$610,SMALL(IF($A$22:$A$610=J$21,ROW(Roads!$A$22:$A$610)),Roads!$E27)-ROW(RoadList)),"")</f>
        <v>Tigray</v>
      </c>
      <c r="K27" s="6" t="str">
        <f t="array" ref="K27">IFERROR(INDEX($B$22:$B$610,SMALL(IF($A$22:$A$610=K$21,ROW(Roads!$A$22:$A$610)),Roads!$E27)-ROW(RoadList)),"")</f>
        <v>Somali</v>
      </c>
      <c r="L27" s="6" t="str">
        <f t="array" ref="L27">IFERROR(INDEX($B$22:$B$610,SMALL(IF($A$22:$A$610=L$21,ROW(Roads!$A$22:$A$610)),Roads!$E27)-ROW(RoadList)),"")</f>
        <v>Somali</v>
      </c>
      <c r="M27" s="6" t="str">
        <f t="array" ref="M27">IFERROR(INDEX($B$22:$B$610,SMALL(IF($A$22:$A$610=M$21,ROW(Roads!$A$22:$A$610)),Roads!$E27)-ROW(RoadList)),"")</f>
        <v>Somali</v>
      </c>
      <c r="N27" s="6" t="str">
        <f t="array" ref="N27">IFERROR(INDEX($B$22:$B$610,SMALL(IF($A$22:$A$610=N$21,ROW(Roads!$A$22:$A$610)),Roads!$E27)-ROW(RoadList)),"")</f>
        <v>SNNPR</v>
      </c>
      <c r="O27" s="6" t="str">
        <f t="array" ref="O27">IFERROR(INDEX($B$22:$B$610,SMALL(IF($A$22:$A$610=O$21,ROW(Roads!$A$22:$A$610)),Roads!$E27)-ROW(RoadList)),"")</f>
        <v>Somali</v>
      </c>
      <c r="P27" s="6" t="str">
        <f t="array" ref="P27">IFERROR(INDEX($B$22:$B$610,SMALL(IF($A$22:$A$610=P$21,ROW(Roads!$A$22:$A$610)),Roads!$E27)-ROW(RoadList)),"")</f>
        <v>Harari</v>
      </c>
    </row>
    <row r="28" spans="1:21">
      <c r="A28" s="5" t="s">
        <v>5</v>
      </c>
      <c r="B28" s="5" t="s">
        <v>12</v>
      </c>
      <c r="E28" s="6">
        <f t="shared" si="14"/>
        <v>7</v>
      </c>
      <c r="F28" s="6" t="str">
        <f t="array" ref="F28">IFERROR(INDEX($B$22:$B$610,SMALL(IF($A$22:$A$610=F$21,ROW(Roads!$A$22:$A$610)),Roads!$E28)-ROW(RoadList)),"")</f>
        <v>Oromia</v>
      </c>
      <c r="G28" s="6" t="str">
        <f t="array" ref="G28">IFERROR(INDEX($B$22:$B$610,SMALL(IF($A$22:$A$610=G$21,ROW(Roads!$A$22:$A$610)),Roads!$E28)-ROW(RoadList)),"")</f>
        <v/>
      </c>
      <c r="H28" s="6" t="str">
        <f t="array" ref="H28">IFERROR(INDEX($B$22:$B$610,SMALL(IF($A$22:$A$610=H$21,ROW(Roads!$A$22:$A$610)),Roads!$E28)-ROW(RoadList)),"")</f>
        <v/>
      </c>
      <c r="I28" s="6" t="str">
        <f t="array" ref="I28">IFERROR(INDEX($B$22:$B$610,SMALL(IF($A$22:$A$610=I$21,ROW(Roads!$A$22:$A$610)),Roads!$E28)-ROW(RoadList)),"")</f>
        <v/>
      </c>
      <c r="J28" s="6" t="str">
        <f t="array" ref="J28">IFERROR(INDEX($B$22:$B$610,SMALL(IF($A$22:$A$610=J$21,ROW(Roads!$A$22:$A$610)),Roads!$E28)-ROW(RoadList)),"")</f>
        <v/>
      </c>
      <c r="K28" s="6" t="str">
        <f t="array" ref="K28">IFERROR(INDEX($B$22:$B$610,SMALL(IF($A$22:$A$610=K$21,ROW(Roads!$A$22:$A$610)),Roads!$E28)-ROW(RoadList)),"")</f>
        <v>Tigray</v>
      </c>
      <c r="L28" s="6" t="str">
        <f t="array" ref="L28">IFERROR(INDEX($B$22:$B$610,SMALL(IF($A$22:$A$610=L$21,ROW(Roads!$A$22:$A$610)),Roads!$E28)-ROW(RoadList)),"")</f>
        <v/>
      </c>
      <c r="M28" s="6" t="str">
        <f t="array" ref="M28">IFERROR(INDEX($B$22:$B$610,SMALL(IF($A$22:$A$610=M$21,ROW(Roads!$A$22:$A$610)),Roads!$E28)-ROW(RoadList)),"")</f>
        <v/>
      </c>
      <c r="N28" s="6" t="str">
        <f t="array" ref="N28">IFERROR(INDEX($B$22:$B$610,SMALL(IF($A$22:$A$610=N$21,ROW(Roads!$A$22:$A$610)),Roads!$E28)-ROW(RoadList)),"")</f>
        <v/>
      </c>
      <c r="O28" s="6" t="str">
        <f t="array" ref="O28">IFERROR(INDEX($B$22:$B$610,SMALL(IF($A$22:$A$610=O$21,ROW(Roads!$A$22:$A$610)),Roads!$E28)-ROW(RoadList)),"")</f>
        <v>Tigray</v>
      </c>
      <c r="P28" s="6" t="str">
        <f t="array" ref="P28">IFERROR(INDEX($B$22:$B$610,SMALL(IF($A$22:$A$610=P$21,ROW(Roads!$A$22:$A$610)),Roads!$E28)-ROW(RoadList)),"")</f>
        <v>SNNPR</v>
      </c>
    </row>
    <row r="29" spans="1:21">
      <c r="A29" s="5" t="s">
        <v>5</v>
      </c>
      <c r="B29" s="5" t="s">
        <v>19</v>
      </c>
      <c r="E29" s="6">
        <f t="shared" si="14"/>
        <v>8</v>
      </c>
      <c r="F29" s="6" t="str">
        <f t="array" ref="F29">IFERROR(INDEX($B$22:$B$610,SMALL(IF($A$22:$A$610=F$21,ROW(Roads!$A$22:$A$610)),Roads!$E29)-ROW(RoadList)),"")</f>
        <v>SNNPR</v>
      </c>
      <c r="G29" s="6" t="str">
        <f t="array" ref="G29">IFERROR(INDEX($B$22:$B$610,SMALL(IF($A$22:$A$610=G$21,ROW(Roads!$A$22:$A$610)),Roads!$E29)-ROW(RoadList)),"")</f>
        <v/>
      </c>
      <c r="H29" s="6" t="str">
        <f t="array" ref="H29">IFERROR(INDEX($B$22:$B$610,SMALL(IF($A$22:$A$610=H$21,ROW(Roads!$A$22:$A$610)),Roads!$E29)-ROW(RoadList)),"")</f>
        <v/>
      </c>
      <c r="I29" s="6" t="str">
        <f t="array" ref="I29">IFERROR(INDEX($B$22:$B$610,SMALL(IF($A$22:$A$610=I$21,ROW(Roads!$A$22:$A$610)),Roads!$E29)-ROW(RoadList)),"")</f>
        <v/>
      </c>
      <c r="J29" s="6" t="str">
        <f t="array" ref="J29">IFERROR(INDEX($B$22:$B$610,SMALL(IF($A$22:$A$610=J$21,ROW(Roads!$A$22:$A$610)),Roads!$E29)-ROW(RoadList)),"")</f>
        <v/>
      </c>
      <c r="K29" s="6" t="str">
        <f t="array" ref="K29">IFERROR(INDEX($B$22:$B$610,SMALL(IF($A$22:$A$610=K$21,ROW(Roads!$A$22:$A$610)),Roads!$E29)-ROW(RoadList)),"")</f>
        <v/>
      </c>
      <c r="L29" s="6" t="str">
        <f t="array" ref="L29">IFERROR(INDEX($B$22:$B$610,SMALL(IF($A$22:$A$610=L$21,ROW(Roads!$A$22:$A$610)),Roads!$E29)-ROW(RoadList)),"")</f>
        <v/>
      </c>
      <c r="M29" s="6" t="str">
        <f t="array" ref="M29">IFERROR(INDEX($B$22:$B$610,SMALL(IF($A$22:$A$610=M$21,ROW(Roads!$A$22:$A$610)),Roads!$E29)-ROW(RoadList)),"")</f>
        <v/>
      </c>
      <c r="N29" s="6" t="str">
        <f t="array" ref="N29">IFERROR(INDEX($B$22:$B$610,SMALL(IF($A$22:$A$610=N$21,ROW(Roads!$A$22:$A$610)),Roads!$E29)-ROW(RoadList)),"")</f>
        <v/>
      </c>
      <c r="O29" s="6" t="str">
        <f t="array" ref="O29">IFERROR(INDEX($B$22:$B$610,SMALL(IF($A$22:$A$610=O$21,ROW(Roads!$A$22:$A$610)),Roads!$E29)-ROW(RoadList)),"")</f>
        <v/>
      </c>
      <c r="P29" s="6" t="str">
        <f t="array" ref="P29">IFERROR(INDEX($B$22:$B$610,SMALL(IF($A$22:$A$610=P$21,ROW(Roads!$A$22:$A$610)),Roads!$E29)-ROW(RoadList)),"")</f>
        <v/>
      </c>
    </row>
    <row r="30" spans="1:21">
      <c r="A30" s="5" t="s">
        <v>5</v>
      </c>
      <c r="B30" s="5" t="s">
        <v>13</v>
      </c>
      <c r="E30" s="6">
        <f t="shared" si="14"/>
        <v>9</v>
      </c>
      <c r="F30" s="6" t="str">
        <f t="array" ref="F30">IFERROR(INDEX($B$22:$B$610,SMALL(IF($A$22:$A$610=F$21,ROW(Roads!$A$22:$A$610)),Roads!$E30)-ROW(RoadList)),"")</f>
        <v>Somali</v>
      </c>
      <c r="G30" s="6" t="str">
        <f t="array" ref="G30">IFERROR(INDEX($B$22:$B$610,SMALL(IF($A$22:$A$610=G$21,ROW(Roads!$A$22:$A$610)),Roads!$E30)-ROW(RoadList)),"")</f>
        <v/>
      </c>
      <c r="H30" s="6" t="str">
        <f t="array" ref="H30">IFERROR(INDEX($B$22:$B$610,SMALL(IF($A$22:$A$610=H$21,ROW(Roads!$A$22:$A$610)),Roads!$E30)-ROW(RoadList)),"")</f>
        <v/>
      </c>
      <c r="I30" s="6" t="str">
        <f t="array" ref="I30">IFERROR(INDEX($B$22:$B$610,SMALL(IF($A$22:$A$610=I$21,ROW(Roads!$A$22:$A$610)),Roads!$E30)-ROW(RoadList)),"")</f>
        <v/>
      </c>
      <c r="J30" s="6" t="str">
        <f t="array" ref="J30">IFERROR(INDEX($B$22:$B$610,SMALL(IF($A$22:$A$610=J$21,ROW(Roads!$A$22:$A$610)),Roads!$E30)-ROW(RoadList)),"")</f>
        <v/>
      </c>
      <c r="K30" s="6" t="str">
        <f t="array" ref="K30">IFERROR(INDEX($B$22:$B$610,SMALL(IF($A$22:$A$610=K$21,ROW(Roads!$A$22:$A$610)),Roads!$E30)-ROW(RoadList)),"")</f>
        <v/>
      </c>
      <c r="L30" s="6" t="str">
        <f t="array" ref="L30">IFERROR(INDEX($B$22:$B$610,SMALL(IF($A$22:$A$610=L$21,ROW(Roads!$A$22:$A$610)),Roads!$E30)-ROW(RoadList)),"")</f>
        <v/>
      </c>
      <c r="M30" s="6" t="str">
        <f t="array" ref="M30">IFERROR(INDEX($B$22:$B$610,SMALL(IF($A$22:$A$610=M$21,ROW(Roads!$A$22:$A$610)),Roads!$E30)-ROW(RoadList)),"")</f>
        <v/>
      </c>
      <c r="N30" s="6" t="str">
        <f t="array" ref="N30">IFERROR(INDEX($B$22:$B$610,SMALL(IF($A$22:$A$610=N$21,ROW(Roads!$A$22:$A$610)),Roads!$E30)-ROW(RoadList)),"")</f>
        <v/>
      </c>
      <c r="O30" s="6" t="str">
        <f t="array" ref="O30">IFERROR(INDEX($B$22:$B$610,SMALL(IF($A$22:$A$610=O$21,ROW(Roads!$A$22:$A$610)),Roads!$E30)-ROW(RoadList)),"")</f>
        <v/>
      </c>
      <c r="P30" s="6" t="str">
        <f t="array" ref="P30">IFERROR(INDEX($B$22:$B$610,SMALL(IF($A$22:$A$610=P$21,ROW(Roads!$A$22:$A$610)),Roads!$E30)-ROW(RoadList)),"")</f>
        <v/>
      </c>
    </row>
    <row r="31" spans="1:21">
      <c r="A31" s="5" t="s">
        <v>5</v>
      </c>
      <c r="B31" s="5" t="s">
        <v>14</v>
      </c>
      <c r="E31" s="6">
        <f t="shared" si="14"/>
        <v>10</v>
      </c>
      <c r="F31" s="6" t="str">
        <f t="array" ref="F31">IFERROR(INDEX($B$22:$B$610,SMALL(IF($A$22:$A$610=F$21,ROW(Roads!$A$22:$A$610)),Roads!$E31)-ROW(RoadList)),"")</f>
        <v>Tigray</v>
      </c>
      <c r="G31" s="6" t="str">
        <f t="array" ref="G31">IFERROR(INDEX($B$22:$B$610,SMALL(IF($A$22:$A$610=G$21,ROW(Roads!$A$22:$A$610)),Roads!$E31)-ROW(RoadList)),"")</f>
        <v/>
      </c>
      <c r="H31" s="6" t="str">
        <f t="array" ref="H31">IFERROR(INDEX($B$22:$B$610,SMALL(IF($A$22:$A$610=H$21,ROW(Roads!$A$22:$A$610)),Roads!$E31)-ROW(RoadList)),"")</f>
        <v/>
      </c>
      <c r="I31" s="6" t="str">
        <f t="array" ref="I31">IFERROR(INDEX($B$22:$B$610,SMALL(IF($A$22:$A$610=I$21,ROW(Roads!$A$22:$A$610)),Roads!$E31)-ROW(RoadList)),"")</f>
        <v/>
      </c>
      <c r="J31" s="6" t="str">
        <f t="array" ref="J31">IFERROR(INDEX($B$22:$B$610,SMALL(IF($A$22:$A$610=J$21,ROW(Roads!$A$22:$A$610)),Roads!$E31)-ROW(RoadList)),"")</f>
        <v/>
      </c>
      <c r="K31" s="6" t="str">
        <f t="array" ref="K31">IFERROR(INDEX($B$22:$B$610,SMALL(IF($A$22:$A$610=K$21,ROW(Roads!$A$22:$A$610)),Roads!$E31)-ROW(RoadList)),"")</f>
        <v/>
      </c>
      <c r="L31" s="6" t="str">
        <f t="array" ref="L31">IFERROR(INDEX($B$22:$B$610,SMALL(IF($A$22:$A$610=L$21,ROW(Roads!$A$22:$A$610)),Roads!$E31)-ROW(RoadList)),"")</f>
        <v/>
      </c>
      <c r="M31" s="6" t="str">
        <f t="array" ref="M31">IFERROR(INDEX($B$22:$B$610,SMALL(IF($A$22:$A$610=M$21,ROW(Roads!$A$22:$A$610)),Roads!$E31)-ROW(RoadList)),"")</f>
        <v/>
      </c>
      <c r="N31" s="6" t="str">
        <f t="array" ref="N31">IFERROR(INDEX($B$22:$B$610,SMALL(IF($A$22:$A$610=N$21,ROW(Roads!$A$22:$A$610)),Roads!$E31)-ROW(RoadList)),"")</f>
        <v/>
      </c>
      <c r="O31" s="6" t="str">
        <f t="array" ref="O31">IFERROR(INDEX($B$22:$B$610,SMALL(IF($A$22:$A$610=O$21,ROW(Roads!$A$22:$A$610)),Roads!$E31)-ROW(RoadList)),"")</f>
        <v/>
      </c>
      <c r="P31" s="6" t="str">
        <f t="array" ref="P31">IFERROR(INDEX($B$22:$B$610,SMALL(IF($A$22:$A$610=P$21,ROW(Roads!$A$22:$A$610)),Roads!$E31)-ROW(RoadList)),"")</f>
        <v/>
      </c>
    </row>
    <row r="32" spans="1:21">
      <c r="A32" s="5" t="s">
        <v>6</v>
      </c>
      <c r="B32" s="5" t="s">
        <v>5</v>
      </c>
      <c r="E32" s="6">
        <f t="shared" si="14"/>
        <v>11</v>
      </c>
      <c r="F32" s="6" t="str">
        <f t="array" ref="F32">IFERROR(INDEX($B$22:$B$610,SMALL(IF($A$22:$A$610=F$21,ROW(Roads!$A$22:$A$610)),Roads!$E32)-ROW(RoadList)),"")</f>
        <v/>
      </c>
      <c r="G32" s="6" t="str">
        <f t="array" ref="G32">IFERROR(INDEX($B$22:$B$610,SMALL(IF($A$22:$A$610=G$21,ROW(Roads!$A$22:$A$610)),Roads!$E32)-ROW(RoadList)),"")</f>
        <v/>
      </c>
      <c r="H32" s="6" t="str">
        <f t="array" ref="H32">IFERROR(INDEX($B$22:$B$610,SMALL(IF($A$22:$A$610=H$21,ROW(Roads!$A$22:$A$610)),Roads!$E32)-ROW(RoadList)),"")</f>
        <v/>
      </c>
      <c r="I32" s="6" t="str">
        <f t="array" ref="I32">IFERROR(INDEX($B$22:$B$610,SMALL(IF($A$22:$A$610=I$21,ROW(Roads!$A$22:$A$610)),Roads!$E32)-ROW(RoadList)),"")</f>
        <v/>
      </c>
      <c r="J32" s="6" t="str">
        <f t="array" ref="J32">IFERROR(INDEX($B$22:$B$610,SMALL(IF($A$22:$A$610=J$21,ROW(Roads!$A$22:$A$610)),Roads!$E32)-ROW(RoadList)),"")</f>
        <v/>
      </c>
      <c r="K32" s="6" t="str">
        <f t="array" ref="K32">IFERROR(INDEX($B$22:$B$610,SMALL(IF($A$22:$A$610=K$21,ROW(Roads!$A$22:$A$610)),Roads!$E32)-ROW(RoadList)),"")</f>
        <v/>
      </c>
      <c r="L32" s="6" t="str">
        <f t="array" ref="L32">IFERROR(INDEX($B$22:$B$610,SMALL(IF($A$22:$A$610=L$21,ROW(Roads!$A$22:$A$610)),Roads!$E32)-ROW(RoadList)),"")</f>
        <v/>
      </c>
      <c r="M32" s="6" t="str">
        <f t="array" ref="M32">IFERROR(INDEX($B$22:$B$610,SMALL(IF($A$22:$A$610=M$21,ROW(Roads!$A$22:$A$610)),Roads!$E32)-ROW(RoadList)),"")</f>
        <v/>
      </c>
      <c r="N32" s="6" t="str">
        <f t="array" ref="N32">IFERROR(INDEX($B$22:$B$610,SMALL(IF($A$22:$A$610=N$21,ROW(Roads!$A$22:$A$610)),Roads!$E32)-ROW(RoadList)),"")</f>
        <v/>
      </c>
      <c r="O32" s="6" t="str">
        <f t="array" ref="O32">IFERROR(INDEX($B$22:$B$610,SMALL(IF($A$22:$A$610=O$21,ROW(Roads!$A$22:$A$610)),Roads!$E32)-ROW(RoadList)),"")</f>
        <v/>
      </c>
      <c r="P32" s="6" t="str">
        <f t="array" ref="P32">IFERROR(INDEX($B$22:$B$610,SMALL(IF($A$22:$A$610=P$21,ROW(Roads!$A$22:$A$610)),Roads!$E32)-ROW(RoadList)),"")</f>
        <v/>
      </c>
    </row>
    <row r="33" spans="1:16">
      <c r="A33" s="5" t="s">
        <v>6</v>
      </c>
      <c r="B33" s="5" t="s">
        <v>10</v>
      </c>
      <c r="E33" s="6"/>
      <c r="F33" s="6" t="str">
        <f t="array" ref="F33">IFERROR(INDEX($B$22:$B$610,SMALL(IF($A$22:$A$610=F$21,ROW(Roads!$A$22:$A$610)),Roads!$E33)-ROW(RoadList)),"")</f>
        <v/>
      </c>
      <c r="G33" s="6" t="str">
        <f t="array" ref="G33">IFERROR(INDEX($B$22:$B$610,SMALL(IF($A$22:$A$610=G$21,ROW(Roads!$A$22:$A$610)),Roads!$E33)-ROW(RoadList)),"")</f>
        <v/>
      </c>
      <c r="H33" s="6" t="str">
        <f t="array" ref="H33">IFERROR(INDEX($B$22:$B$610,SMALL(IF($A$22:$A$610=H$21,ROW(Roads!$A$22:$A$610)),Roads!$E33)-ROW(RoadList)),"")</f>
        <v/>
      </c>
      <c r="I33" s="6" t="str">
        <f t="array" ref="I33">IFERROR(INDEX($B$22:$B$610,SMALL(IF($A$22:$A$610=I$21,ROW(Roads!$A$22:$A$610)),Roads!$E33)-ROW(RoadList)),"")</f>
        <v/>
      </c>
      <c r="J33" s="6" t="str">
        <f t="array" ref="J33">IFERROR(INDEX($B$22:$B$610,SMALL(IF($A$22:$A$610=J$21,ROW(Roads!$A$22:$A$610)),Roads!$E33)-ROW(RoadList)),"")</f>
        <v/>
      </c>
      <c r="K33" s="6" t="str">
        <f t="array" ref="K33">IFERROR(INDEX($B$22:$B$610,SMALL(IF($A$22:$A$610=K$21,ROW(Roads!$A$22:$A$610)),Roads!$E33)-ROW(RoadList)),"")</f>
        <v/>
      </c>
      <c r="L33" s="6" t="str">
        <f t="array" ref="L33">IFERROR(INDEX($B$22:$B$610,SMALL(IF($A$22:$A$610=L$21,ROW(Roads!$A$22:$A$610)),Roads!$E33)-ROW(RoadList)),"")</f>
        <v/>
      </c>
      <c r="M33" s="6" t="str">
        <f t="array" ref="M33">IFERROR(INDEX($B$22:$B$610,SMALL(IF($A$22:$A$610=M$21,ROW(Roads!$A$22:$A$610)),Roads!$E33)-ROW(RoadList)),"")</f>
        <v/>
      </c>
      <c r="N33" s="6" t="str">
        <f t="array" ref="N33">IFERROR(INDEX($B$22:$B$610,SMALL(IF($A$22:$A$610=N$21,ROW(Roads!$A$22:$A$610)),Roads!$E33)-ROW(RoadList)),"")</f>
        <v/>
      </c>
      <c r="O33" s="6" t="str">
        <f t="array" ref="O33">IFERROR(INDEX($B$22:$B$610,SMALL(IF($A$22:$A$610=O$21,ROW(Roads!$A$22:$A$610)),Roads!$E33)-ROW(RoadList)),"")</f>
        <v/>
      </c>
      <c r="P33" s="6" t="str">
        <f t="array" ref="P33">IFERROR(INDEX($B$22:$B$610,SMALL(IF($A$22:$A$610=P$21,ROW(Roads!$A$22:$A$610)),Roads!$E33)-ROW(RoadList)),"")</f>
        <v/>
      </c>
    </row>
    <row r="34" spans="1:16">
      <c r="A34" s="5" t="s">
        <v>6</v>
      </c>
      <c r="B34" s="5" t="s">
        <v>8</v>
      </c>
      <c r="E34" s="6"/>
      <c r="F34" s="6"/>
      <c r="G34" s="6"/>
      <c r="H34" s="6"/>
      <c r="I34" s="8"/>
      <c r="J34" s="8" t="str">
        <f>IF(ISERROR(INDEX($A$1:$B$8,SMALL(IF($A$1:$A$8=$E$1,ROW($A$1:$A$8)),ROW(1:1)),2)),"",INDEX($A$1:$B$8,SMALL(IF($A$1:$A$8=$E$1,ROW($A$1:$A$8)),ROW(1:1)),2))</f>
        <v/>
      </c>
      <c r="K34" s="6"/>
      <c r="L34" s="6"/>
      <c r="M34" s="6"/>
      <c r="N34" s="6"/>
      <c r="O34" s="6"/>
      <c r="P34" s="6"/>
    </row>
    <row r="35" spans="1:16">
      <c r="A35" s="5" t="s">
        <v>6</v>
      </c>
      <c r="B35" s="5" t="s">
        <v>11</v>
      </c>
      <c r="E35" s="6"/>
      <c r="F35" s="6"/>
      <c r="G35" s="6"/>
      <c r="H35" s="6"/>
      <c r="I35" s="8" t="str">
        <f t="array" ref="I35">IF(ISERROR(INDEX($A$1:$B$8,SMALL(IF($A$1:$A$8=$E$1,ROW($A$1:$A$8)),ROW(2:2)),2)),"",INDEX($A$1:$B$8,SMALL(IF($A$1:$A$8=$E$1,ROW($A$1:$A$8)),ROW(2:2)),2))</f>
        <v/>
      </c>
      <c r="J35" s="6"/>
      <c r="K35" s="6"/>
      <c r="L35" s="6"/>
      <c r="M35" s="6"/>
      <c r="N35" s="6"/>
      <c r="O35" s="6"/>
      <c r="P35" s="6"/>
    </row>
    <row r="36" spans="1:16">
      <c r="A36" s="5" t="s">
        <v>6</v>
      </c>
      <c r="B36" s="5" t="s">
        <v>12</v>
      </c>
      <c r="E36" s="6"/>
      <c r="F36" s="6"/>
      <c r="G36" s="6"/>
      <c r="H36" s="6"/>
      <c r="I36" s="8" t="str">
        <f t="array" ref="I36">IF(ISERROR(INDEX($A$1:$B$8,SMALL(IF($A$1:$A$8=$E$1,ROW($A$1:$A$8)),ROW(3:3)),2)),"",INDEX($A$1:$B$8,SMALL(IF($A$1:$A$8=$E$1,ROW($A$1:$A$8)),ROW(3:3)),2))</f>
        <v/>
      </c>
      <c r="J36" s="6"/>
      <c r="K36" s="6"/>
      <c r="L36" s="6"/>
      <c r="M36" s="6"/>
      <c r="N36" s="6"/>
      <c r="O36" s="6"/>
      <c r="P36" s="6"/>
    </row>
    <row r="37" spans="1:16">
      <c r="A37" s="5" t="s">
        <v>6</v>
      </c>
      <c r="B37" s="5" t="s">
        <v>19</v>
      </c>
      <c r="E37" s="6"/>
      <c r="F37" s="6"/>
      <c r="G37" s="6"/>
      <c r="H37" s="6"/>
      <c r="I37" s="8" t="str">
        <f t="array" ref="I37">IF(ISERROR(INDEX($A$1:$B$8,SMALL(IF($A$1:$A$8=$E$1,ROW($A$1:$A$8)),ROW(4:4)),2)),"",INDEX($A$1:$B$8,SMALL(IF($A$1:$A$8=$E$1,ROW($A$1:$A$8)),ROW(4:4)),2))</f>
        <v/>
      </c>
      <c r="J37" s="6"/>
      <c r="K37" s="6"/>
      <c r="L37" s="6"/>
      <c r="M37" s="6"/>
      <c r="N37" s="6"/>
      <c r="O37" s="6"/>
      <c r="P37" s="6"/>
    </row>
    <row r="38" spans="1:16">
      <c r="A38" s="5" t="s">
        <v>7</v>
      </c>
      <c r="B38" s="5" t="s">
        <v>5</v>
      </c>
      <c r="E38" s="6"/>
      <c r="F38" s="6"/>
      <c r="G38" s="6"/>
      <c r="H38" s="6"/>
      <c r="I38" s="8" t="str">
        <f t="array" ref="I38">IF(ISERROR(INDEX($A$1:$B$8,SMALL(IF($A$1:$A$8=$E$1,ROW($A$1:$A$8)),ROW(5:5)),2)),"",INDEX($A$1:$B$8,SMALL(IF($A$1:$A$8=$E$1,ROW($A$1:$A$8)),ROW(5:5)),2))</f>
        <v/>
      </c>
      <c r="J38" s="6"/>
      <c r="K38" s="6"/>
      <c r="L38" s="6"/>
      <c r="M38" s="6"/>
      <c r="N38" s="6"/>
      <c r="O38" s="6"/>
      <c r="P38" s="6"/>
    </row>
    <row r="39" spans="1:16">
      <c r="A39" s="5" t="s">
        <v>7</v>
      </c>
      <c r="B39" s="5" t="s">
        <v>8</v>
      </c>
    </row>
    <row r="40" spans="1:16">
      <c r="A40" s="5" t="s">
        <v>7</v>
      </c>
      <c r="B40" s="5" t="s">
        <v>11</v>
      </c>
    </row>
    <row r="41" spans="1:16">
      <c r="A41" s="5" t="s">
        <v>7</v>
      </c>
      <c r="B41" s="5" t="s">
        <v>19</v>
      </c>
    </row>
    <row r="42" spans="1:16">
      <c r="A42" s="5" t="s">
        <v>7</v>
      </c>
      <c r="B42" s="5" t="s">
        <v>13</v>
      </c>
    </row>
    <row r="43" spans="1:16">
      <c r="A43" s="5" t="s">
        <v>7</v>
      </c>
      <c r="B43" s="5" t="s">
        <v>14</v>
      </c>
    </row>
    <row r="44" spans="1:16">
      <c r="A44" s="5" t="s">
        <v>9</v>
      </c>
      <c r="B44" s="5" t="s">
        <v>5</v>
      </c>
    </row>
    <row r="45" spans="1:16">
      <c r="A45" s="5" t="s">
        <v>9</v>
      </c>
      <c r="B45" s="5" t="s">
        <v>10</v>
      </c>
    </row>
    <row r="46" spans="1:16">
      <c r="A46" s="5" t="s">
        <v>9</v>
      </c>
      <c r="B46" s="5" t="s">
        <v>8</v>
      </c>
    </row>
    <row r="47" spans="1:16">
      <c r="A47" s="5" t="s">
        <v>9</v>
      </c>
      <c r="B47" s="5" t="s">
        <v>11</v>
      </c>
    </row>
    <row r="48" spans="1:16">
      <c r="A48" s="5" t="s">
        <v>9</v>
      </c>
      <c r="B48" s="5" t="s">
        <v>12</v>
      </c>
    </row>
    <row r="49" spans="1:2">
      <c r="A49" s="5" t="s">
        <v>9</v>
      </c>
      <c r="B49" s="5" t="s">
        <v>14</v>
      </c>
    </row>
    <row r="50" spans="1:2">
      <c r="A50" s="5" t="s">
        <v>10</v>
      </c>
      <c r="B50" s="5" t="s">
        <v>5</v>
      </c>
    </row>
    <row r="51" spans="1:2">
      <c r="A51" s="5" t="s">
        <v>10</v>
      </c>
      <c r="B51" s="5" t="s">
        <v>6</v>
      </c>
    </row>
    <row r="52" spans="1:2">
      <c r="A52" s="5" t="s">
        <v>10</v>
      </c>
      <c r="B52" s="5" t="s">
        <v>9</v>
      </c>
    </row>
    <row r="53" spans="1:2">
      <c r="A53" s="5" t="s">
        <v>10</v>
      </c>
      <c r="B53" s="5" t="s">
        <v>12</v>
      </c>
    </row>
    <row r="54" spans="1:2">
      <c r="A54" s="5" t="s">
        <v>10</v>
      </c>
      <c r="B54" s="5" t="s">
        <v>19</v>
      </c>
    </row>
    <row r="55" spans="1:2">
      <c r="A55" s="5" t="s">
        <v>10</v>
      </c>
      <c r="B55" s="5" t="s">
        <v>13</v>
      </c>
    </row>
    <row r="56" spans="1:2">
      <c r="A56" s="5" t="s">
        <v>10</v>
      </c>
      <c r="B56" s="5" t="s">
        <v>14</v>
      </c>
    </row>
    <row r="57" spans="1:2">
      <c r="A57" s="5" t="s">
        <v>8</v>
      </c>
      <c r="B57" s="5" t="s">
        <v>5</v>
      </c>
    </row>
    <row r="58" spans="1:2">
      <c r="A58" s="5" t="s">
        <v>8</v>
      </c>
      <c r="B58" s="5" t="s">
        <v>6</v>
      </c>
    </row>
    <row r="59" spans="1:2">
      <c r="A59" s="5" t="s">
        <v>8</v>
      </c>
      <c r="B59" s="5" t="s">
        <v>7</v>
      </c>
    </row>
    <row r="60" spans="1:2">
      <c r="A60" s="5" t="s">
        <v>8</v>
      </c>
      <c r="B60" s="5" t="s">
        <v>9</v>
      </c>
    </row>
    <row r="61" spans="1:2">
      <c r="A61" s="5" t="s">
        <v>8</v>
      </c>
      <c r="B61" s="5" t="s">
        <v>12</v>
      </c>
    </row>
    <row r="62" spans="1:2">
      <c r="A62" s="5" t="s">
        <v>8</v>
      </c>
      <c r="B62" s="5" t="s">
        <v>14</v>
      </c>
    </row>
    <row r="63" spans="1:2">
      <c r="A63" s="5" t="s">
        <v>11</v>
      </c>
      <c r="B63" s="5" t="s">
        <v>5</v>
      </c>
    </row>
    <row r="64" spans="1:2">
      <c r="A64" s="5" t="s">
        <v>11</v>
      </c>
      <c r="B64" s="5" t="s">
        <v>6</v>
      </c>
    </row>
    <row r="65" spans="1:2">
      <c r="A65" s="5" t="s">
        <v>11</v>
      </c>
      <c r="B65" s="5" t="s">
        <v>7</v>
      </c>
    </row>
    <row r="66" spans="1:2">
      <c r="A66" s="5" t="s">
        <v>11</v>
      </c>
      <c r="B66" s="5" t="s">
        <v>9</v>
      </c>
    </row>
    <row r="67" spans="1:2">
      <c r="A67" s="5" t="s">
        <v>11</v>
      </c>
      <c r="B67" s="5" t="s">
        <v>19</v>
      </c>
    </row>
    <row r="68" spans="1:2">
      <c r="A68" s="5" t="s">
        <v>11</v>
      </c>
      <c r="B68" s="5" t="s">
        <v>13</v>
      </c>
    </row>
    <row r="69" spans="1:2">
      <c r="A69" s="5" t="s">
        <v>12</v>
      </c>
      <c r="B69" s="5" t="s">
        <v>5</v>
      </c>
    </row>
    <row r="70" spans="1:2">
      <c r="A70" s="5" t="s">
        <v>12</v>
      </c>
      <c r="B70" s="5" t="s">
        <v>6</v>
      </c>
    </row>
    <row r="71" spans="1:2">
      <c r="A71" s="5" t="s">
        <v>12</v>
      </c>
      <c r="B71" s="5" t="s">
        <v>9</v>
      </c>
    </row>
    <row r="72" spans="1:2">
      <c r="A72" s="5" t="s">
        <v>12</v>
      </c>
      <c r="B72" s="5" t="s">
        <v>10</v>
      </c>
    </row>
    <row r="73" spans="1:2">
      <c r="A73" s="5" t="s">
        <v>12</v>
      </c>
      <c r="B73" s="5" t="s">
        <v>8</v>
      </c>
    </row>
    <row r="74" spans="1:2">
      <c r="A74" s="5" t="s">
        <v>12</v>
      </c>
      <c r="B74" s="5" t="s">
        <v>13</v>
      </c>
    </row>
    <row r="75" spans="1:2">
      <c r="A75" s="5" t="s">
        <v>19</v>
      </c>
      <c r="B75" s="5" t="s">
        <v>5</v>
      </c>
    </row>
    <row r="76" spans="1:2">
      <c r="A76" s="5" t="s">
        <v>19</v>
      </c>
      <c r="B76" s="5" t="s">
        <v>6</v>
      </c>
    </row>
    <row r="77" spans="1:2">
      <c r="A77" s="5" t="s">
        <v>19</v>
      </c>
      <c r="B77" s="5" t="s">
        <v>7</v>
      </c>
    </row>
    <row r="78" spans="1:2">
      <c r="A78" s="5" t="s">
        <v>19</v>
      </c>
      <c r="B78" s="5" t="s">
        <v>10</v>
      </c>
    </row>
    <row r="79" spans="1:2">
      <c r="A79" s="5" t="s">
        <v>19</v>
      </c>
      <c r="B79" s="5" t="s">
        <v>11</v>
      </c>
    </row>
    <row r="80" spans="1:2">
      <c r="A80" s="5" t="s">
        <v>19</v>
      </c>
      <c r="B80" s="5" t="s">
        <v>13</v>
      </c>
    </row>
    <row r="81" spans="1:2">
      <c r="A81" s="5" t="s">
        <v>19</v>
      </c>
      <c r="B81" s="5" t="s">
        <v>14</v>
      </c>
    </row>
    <row r="82" spans="1:2">
      <c r="A82" s="5" t="s">
        <v>13</v>
      </c>
      <c r="B82" s="5" t="s">
        <v>5</v>
      </c>
    </row>
    <row r="83" spans="1:2">
      <c r="A83" s="5" t="s">
        <v>13</v>
      </c>
      <c r="B83" s="5" t="s">
        <v>7</v>
      </c>
    </row>
    <row r="84" spans="1:2">
      <c r="A84" s="5" t="s">
        <v>13</v>
      </c>
      <c r="B84" s="5" t="s">
        <v>10</v>
      </c>
    </row>
    <row r="85" spans="1:2">
      <c r="A85" s="5" t="s">
        <v>13</v>
      </c>
      <c r="B85" s="5" t="s">
        <v>11</v>
      </c>
    </row>
    <row r="86" spans="1:2">
      <c r="A86" s="5" t="s">
        <v>13</v>
      </c>
      <c r="B86" s="5" t="s">
        <v>12</v>
      </c>
    </row>
    <row r="87" spans="1:2">
      <c r="A87" s="5" t="s">
        <v>13</v>
      </c>
      <c r="B87" s="5" t="s">
        <v>19</v>
      </c>
    </row>
    <row r="88" spans="1:2">
      <c r="A88" s="5" t="s">
        <v>14</v>
      </c>
      <c r="B88" s="5" t="s">
        <v>5</v>
      </c>
    </row>
    <row r="89" spans="1:2">
      <c r="A89" s="5" t="s">
        <v>14</v>
      </c>
      <c r="B89" s="5" t="s">
        <v>7</v>
      </c>
    </row>
    <row r="90" spans="1:2">
      <c r="A90" s="5" t="s">
        <v>14</v>
      </c>
      <c r="B90" s="5" t="s">
        <v>9</v>
      </c>
    </row>
    <row r="91" spans="1:2">
      <c r="A91" s="5" t="s">
        <v>14</v>
      </c>
      <c r="B91" s="5" t="s">
        <v>10</v>
      </c>
    </row>
    <row r="92" spans="1:2">
      <c r="A92" s="5" t="s">
        <v>14</v>
      </c>
      <c r="B92" s="5" t="s">
        <v>8</v>
      </c>
    </row>
    <row r="93" spans="1:2">
      <c r="A93" s="5" t="s">
        <v>14</v>
      </c>
      <c r="B93" s="5" t="s">
        <v>11</v>
      </c>
    </row>
    <row r="94" spans="1:2">
      <c r="A94" s="5" t="s">
        <v>14</v>
      </c>
      <c r="B94" s="5" t="s">
        <v>19</v>
      </c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1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214"/>
  <sheetViews>
    <sheetView zoomScale="85" zoomScaleNormal="85" workbookViewId="0">
      <selection activeCell="M1" sqref="M1"/>
    </sheetView>
  </sheetViews>
  <sheetFormatPr defaultColWidth="8.875" defaultRowHeight="15.75"/>
  <cols>
    <col min="1" max="2" width="11.5" bestFit="1" customWidth="1"/>
  </cols>
  <sheetData>
    <row r="1" spans="1:38"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19</v>
      </c>
      <c r="L1" s="1" t="s">
        <v>14</v>
      </c>
      <c r="N1" s="1"/>
      <c r="O1" s="1" t="s">
        <v>5</v>
      </c>
      <c r="P1" s="1" t="s">
        <v>6</v>
      </c>
      <c r="Q1" s="1" t="s">
        <v>7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19</v>
      </c>
      <c r="Y1" s="1" t="s">
        <v>14</v>
      </c>
      <c r="Z1" s="1"/>
      <c r="AA1" s="1"/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19</v>
      </c>
      <c r="AL1" s="1" t="s">
        <v>14</v>
      </c>
    </row>
    <row r="2" spans="1:38">
      <c r="A2" s="1" t="s">
        <v>5</v>
      </c>
      <c r="B2" s="4" t="str">
        <f>IF(ISERROR(MATCH($A2,F$22:F$330,0)),"No","Yes")</f>
        <v>No</v>
      </c>
      <c r="C2" s="4" t="str">
        <f t="shared" ref="C2:L12" si="0">IF(ISERROR(MATCH($A2,G$22:G$330,0)),"No","Yes")</f>
        <v>Yes</v>
      </c>
      <c r="D2" s="4" t="str">
        <f t="shared" si="0"/>
        <v>Yes</v>
      </c>
      <c r="E2" s="4" t="str">
        <f t="shared" si="0"/>
        <v>Yes</v>
      </c>
      <c r="F2" s="4" t="str">
        <f t="shared" si="0"/>
        <v>Yes</v>
      </c>
      <c r="G2" s="4" t="str">
        <f t="shared" si="0"/>
        <v>Yes</v>
      </c>
      <c r="H2" s="4" t="str">
        <f t="shared" si="0"/>
        <v>Yes</v>
      </c>
      <c r="I2" s="4" t="str">
        <f t="shared" si="0"/>
        <v>Yes</v>
      </c>
      <c r="J2" s="4" t="str">
        <f t="shared" si="0"/>
        <v>Yes</v>
      </c>
      <c r="K2" s="4" t="str">
        <f t="shared" si="0"/>
        <v>Yes</v>
      </c>
      <c r="L2" s="4" t="str">
        <f t="shared" si="0"/>
        <v>Yes</v>
      </c>
      <c r="N2" s="1" t="s">
        <v>5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AA2" s="1" t="s">
        <v>5</v>
      </c>
      <c r="AC2">
        <v>500</v>
      </c>
      <c r="AD2">
        <v>500</v>
      </c>
      <c r="AE2">
        <v>500</v>
      </c>
      <c r="AF2">
        <v>500</v>
      </c>
      <c r="AG2">
        <v>500</v>
      </c>
      <c r="AH2">
        <v>500</v>
      </c>
      <c r="AI2">
        <v>500</v>
      </c>
      <c r="AJ2">
        <v>500</v>
      </c>
      <c r="AK2">
        <v>500</v>
      </c>
      <c r="AL2">
        <v>500</v>
      </c>
    </row>
    <row r="3" spans="1:38">
      <c r="A3" s="1" t="s">
        <v>6</v>
      </c>
      <c r="B3" s="4" t="str">
        <f t="shared" ref="B3:B12" si="1">IF(ISERROR(MATCH($A3,F$22:F$330,0)),"No","Yes")</f>
        <v>Yes</v>
      </c>
      <c r="C3" s="4" t="str">
        <f t="shared" si="0"/>
        <v>No</v>
      </c>
      <c r="D3" s="4" t="str">
        <f t="shared" si="0"/>
        <v>No</v>
      </c>
      <c r="E3" s="4" t="str">
        <f t="shared" si="0"/>
        <v>Yes</v>
      </c>
      <c r="F3" s="4" t="str">
        <f t="shared" si="0"/>
        <v>No</v>
      </c>
      <c r="G3" s="4" t="str">
        <f t="shared" si="0"/>
        <v>Yes</v>
      </c>
      <c r="H3" s="4" t="str">
        <f t="shared" si="0"/>
        <v>Yes</v>
      </c>
      <c r="I3" s="4" t="str">
        <f t="shared" si="0"/>
        <v>Yes</v>
      </c>
      <c r="J3" s="4" t="str">
        <f t="shared" si="0"/>
        <v>No</v>
      </c>
      <c r="K3" s="4" t="str">
        <f t="shared" si="0"/>
        <v>Yes</v>
      </c>
      <c r="L3" s="4" t="str">
        <f t="shared" si="0"/>
        <v>No</v>
      </c>
      <c r="N3" s="1" t="s">
        <v>6</v>
      </c>
      <c r="O3">
        <v>10</v>
      </c>
      <c r="Q3">
        <f t="shared" ref="P3:Y12" ca="1" si="2">10+5*RAND()</f>
        <v>14.193369486418526</v>
      </c>
      <c r="R3">
        <f t="shared" ca="1" si="2"/>
        <v>11.790044827744332</v>
      </c>
      <c r="S3">
        <f t="shared" ca="1" si="2"/>
        <v>14.061241327607318</v>
      </c>
      <c r="T3">
        <f t="shared" ca="1" si="2"/>
        <v>11.28018674581681</v>
      </c>
      <c r="U3">
        <f t="shared" ca="1" si="2"/>
        <v>11.185979925290884</v>
      </c>
      <c r="V3">
        <f t="shared" ca="1" si="2"/>
        <v>14.96731008306465</v>
      </c>
      <c r="W3">
        <f t="shared" ca="1" si="2"/>
        <v>13.434322541365878</v>
      </c>
      <c r="X3">
        <f t="shared" ca="1" si="2"/>
        <v>13.278566692780096</v>
      </c>
      <c r="Y3">
        <f t="shared" ca="1" si="2"/>
        <v>12.561139417345858</v>
      </c>
      <c r="AA3" s="1" t="s">
        <v>6</v>
      </c>
      <c r="AB3">
        <v>500</v>
      </c>
      <c r="AD3">
        <f t="shared" ref="AC3:AL12" ca="1" si="3">300-50*RAND()</f>
        <v>287.63980755223974</v>
      </c>
      <c r="AE3">
        <f t="shared" ca="1" si="3"/>
        <v>291.1108585668477</v>
      </c>
      <c r="AF3">
        <f t="shared" ca="1" si="3"/>
        <v>294.56799059647972</v>
      </c>
      <c r="AG3">
        <f t="shared" ca="1" si="3"/>
        <v>258.45231949941797</v>
      </c>
      <c r="AH3">
        <f t="shared" ca="1" si="3"/>
        <v>298.50053766968057</v>
      </c>
      <c r="AI3">
        <f t="shared" ca="1" si="3"/>
        <v>253.24986408473922</v>
      </c>
      <c r="AJ3">
        <f t="shared" ca="1" si="3"/>
        <v>284.35211852899914</v>
      </c>
      <c r="AK3">
        <f t="shared" ca="1" si="3"/>
        <v>262.0945596639005</v>
      </c>
      <c r="AL3">
        <f t="shared" ca="1" si="3"/>
        <v>250.40043520419127</v>
      </c>
    </row>
    <row r="4" spans="1:38">
      <c r="A4" s="1" t="s">
        <v>7</v>
      </c>
      <c r="B4" s="4" t="str">
        <f t="shared" si="1"/>
        <v>Yes</v>
      </c>
      <c r="C4" s="4" t="str">
        <f t="shared" si="0"/>
        <v>No</v>
      </c>
      <c r="D4" s="4" t="str">
        <f t="shared" si="0"/>
        <v>No</v>
      </c>
      <c r="E4" s="4" t="str">
        <f t="shared" si="0"/>
        <v>Yes</v>
      </c>
      <c r="F4" s="4" t="str">
        <f t="shared" si="0"/>
        <v>No</v>
      </c>
      <c r="G4" s="4" t="str">
        <f t="shared" si="0"/>
        <v>No</v>
      </c>
      <c r="H4" s="4" t="str">
        <f t="shared" si="0"/>
        <v>Yes</v>
      </c>
      <c r="I4" s="4" t="str">
        <f t="shared" si="0"/>
        <v>No</v>
      </c>
      <c r="J4" s="4" t="str">
        <f t="shared" si="0"/>
        <v>Yes</v>
      </c>
      <c r="K4" s="4" t="str">
        <f t="shared" si="0"/>
        <v>Yes</v>
      </c>
      <c r="L4" s="4" t="str">
        <f t="shared" si="0"/>
        <v>No</v>
      </c>
      <c r="N4" s="1" t="s">
        <v>7</v>
      </c>
      <c r="O4">
        <v>10</v>
      </c>
      <c r="P4">
        <f t="shared" ca="1" si="2"/>
        <v>12.472680517352979</v>
      </c>
      <c r="R4">
        <f t="shared" ca="1" si="2"/>
        <v>11.916586881587341</v>
      </c>
      <c r="S4">
        <f t="shared" ca="1" si="2"/>
        <v>10.891229705166772</v>
      </c>
      <c r="T4">
        <f t="shared" ca="1" si="2"/>
        <v>14.569568719477918</v>
      </c>
      <c r="U4">
        <f t="shared" ca="1" si="2"/>
        <v>10.820164065944361</v>
      </c>
      <c r="V4">
        <f t="shared" ca="1" si="2"/>
        <v>13.554748705221947</v>
      </c>
      <c r="W4">
        <f t="shared" ca="1" si="2"/>
        <v>13.56684193153508</v>
      </c>
      <c r="X4">
        <f t="shared" ca="1" si="2"/>
        <v>14.789262544016925</v>
      </c>
      <c r="Y4">
        <f t="shared" ca="1" si="2"/>
        <v>14.338901969060315</v>
      </c>
      <c r="AA4" s="1" t="s">
        <v>7</v>
      </c>
      <c r="AB4">
        <v>500</v>
      </c>
      <c r="AC4">
        <f t="shared" ca="1" si="3"/>
        <v>291.67106050805808</v>
      </c>
      <c r="AE4">
        <f t="shared" ca="1" si="3"/>
        <v>291.20604979322053</v>
      </c>
      <c r="AF4">
        <f t="shared" ca="1" si="3"/>
        <v>273.71181286171668</v>
      </c>
      <c r="AG4">
        <f t="shared" ca="1" si="3"/>
        <v>298.43463934433373</v>
      </c>
      <c r="AH4">
        <f t="shared" ca="1" si="3"/>
        <v>271.03203888290204</v>
      </c>
      <c r="AI4">
        <f t="shared" ca="1" si="3"/>
        <v>289.81988602241773</v>
      </c>
      <c r="AJ4">
        <f t="shared" ca="1" si="3"/>
        <v>271.53451133833374</v>
      </c>
      <c r="AK4">
        <f t="shared" ca="1" si="3"/>
        <v>299.06609183259985</v>
      </c>
      <c r="AL4">
        <f t="shared" ca="1" si="3"/>
        <v>283.10986007934679</v>
      </c>
    </row>
    <row r="5" spans="1:38">
      <c r="A5" s="1" t="s">
        <v>8</v>
      </c>
      <c r="B5" s="4" t="str">
        <f t="shared" si="1"/>
        <v>Yes</v>
      </c>
      <c r="C5" s="4" t="str">
        <f t="shared" si="0"/>
        <v>Yes</v>
      </c>
      <c r="D5" s="4" t="str">
        <f t="shared" si="0"/>
        <v>No</v>
      </c>
      <c r="E5" s="4" t="str">
        <f t="shared" si="0"/>
        <v>No</v>
      </c>
      <c r="F5" s="4" t="str">
        <f t="shared" si="0"/>
        <v>Yes</v>
      </c>
      <c r="G5" s="4" t="str">
        <f t="shared" si="0"/>
        <v>No</v>
      </c>
      <c r="H5" s="4" t="str">
        <f t="shared" si="0"/>
        <v>No</v>
      </c>
      <c r="I5" s="4" t="str">
        <f t="shared" si="0"/>
        <v>Yes</v>
      </c>
      <c r="J5" s="4" t="str">
        <f t="shared" si="0"/>
        <v>No</v>
      </c>
      <c r="K5" s="4" t="str">
        <f t="shared" si="0"/>
        <v>No</v>
      </c>
      <c r="L5" s="4" t="str">
        <f t="shared" si="0"/>
        <v>Yes</v>
      </c>
      <c r="N5" s="1" t="s">
        <v>8</v>
      </c>
      <c r="O5">
        <v>10</v>
      </c>
      <c r="P5">
        <f t="shared" ca="1" si="2"/>
        <v>11.643282567107253</v>
      </c>
      <c r="Q5">
        <f t="shared" ca="1" si="2"/>
        <v>14.329488634818532</v>
      </c>
      <c r="S5">
        <f t="shared" ca="1" si="2"/>
        <v>10.248061006179364</v>
      </c>
      <c r="T5">
        <f t="shared" ca="1" si="2"/>
        <v>11.844515539458833</v>
      </c>
      <c r="U5">
        <f t="shared" ca="1" si="2"/>
        <v>14.655515991206272</v>
      </c>
      <c r="V5">
        <f t="shared" ca="1" si="2"/>
        <v>11.257221021904252</v>
      </c>
      <c r="W5">
        <f t="shared" ca="1" si="2"/>
        <v>11.873794941037076</v>
      </c>
      <c r="X5">
        <f t="shared" ca="1" si="2"/>
        <v>14.029675899858631</v>
      </c>
      <c r="Y5">
        <f t="shared" ca="1" si="2"/>
        <v>11.24792259507347</v>
      </c>
      <c r="AA5" s="1" t="s">
        <v>8</v>
      </c>
      <c r="AB5">
        <v>500</v>
      </c>
      <c r="AC5">
        <f t="shared" ca="1" si="3"/>
        <v>286.87609666970212</v>
      </c>
      <c r="AD5">
        <f t="shared" ca="1" si="3"/>
        <v>259.12150064107215</v>
      </c>
      <c r="AF5">
        <f t="shared" ca="1" si="3"/>
        <v>260.91830169476088</v>
      </c>
      <c r="AG5">
        <f t="shared" ca="1" si="3"/>
        <v>290.01706388072654</v>
      </c>
      <c r="AH5">
        <f t="shared" ca="1" si="3"/>
        <v>291.38817521525419</v>
      </c>
      <c r="AI5">
        <f t="shared" ca="1" si="3"/>
        <v>280.58440178023909</v>
      </c>
      <c r="AJ5">
        <f t="shared" ca="1" si="3"/>
        <v>258.13846162061873</v>
      </c>
      <c r="AK5">
        <f t="shared" ca="1" si="3"/>
        <v>259.4720923358193</v>
      </c>
      <c r="AL5">
        <f t="shared" ca="1" si="3"/>
        <v>297.80019663517947</v>
      </c>
    </row>
    <row r="6" spans="1:38">
      <c r="A6" s="1" t="s">
        <v>9</v>
      </c>
      <c r="B6" s="4" t="str">
        <f t="shared" si="1"/>
        <v>Yes</v>
      </c>
      <c r="C6" s="4" t="str">
        <f t="shared" si="0"/>
        <v>No</v>
      </c>
      <c r="D6" s="4" t="str">
        <f t="shared" si="0"/>
        <v>No</v>
      </c>
      <c r="E6" s="4" t="str">
        <f t="shared" si="0"/>
        <v>Yes</v>
      </c>
      <c r="F6" s="4" t="str">
        <f t="shared" si="0"/>
        <v>No</v>
      </c>
      <c r="G6" s="4" t="str">
        <f t="shared" si="0"/>
        <v>Yes</v>
      </c>
      <c r="H6" s="4" t="str">
        <f t="shared" si="0"/>
        <v>Yes</v>
      </c>
      <c r="I6" s="4" t="str">
        <f t="shared" si="0"/>
        <v>Yes</v>
      </c>
      <c r="J6" s="4" t="str">
        <f t="shared" si="0"/>
        <v>No</v>
      </c>
      <c r="K6" s="4" t="str">
        <f t="shared" si="0"/>
        <v>No</v>
      </c>
      <c r="L6" s="4" t="str">
        <f t="shared" si="0"/>
        <v>Yes</v>
      </c>
      <c r="N6" s="1" t="s">
        <v>9</v>
      </c>
      <c r="O6">
        <v>10</v>
      </c>
      <c r="P6">
        <f t="shared" ca="1" si="2"/>
        <v>11.975425406529379</v>
      </c>
      <c r="Q6">
        <f t="shared" ca="1" si="2"/>
        <v>11.267453978765392</v>
      </c>
      <c r="R6">
        <f t="shared" ca="1" si="2"/>
        <v>13.024657781791706</v>
      </c>
      <c r="T6">
        <f t="shared" ca="1" si="2"/>
        <v>13.888679472824135</v>
      </c>
      <c r="U6">
        <f t="shared" ca="1" si="2"/>
        <v>12.878386085374434</v>
      </c>
      <c r="V6">
        <f t="shared" ca="1" si="2"/>
        <v>11.294394549444872</v>
      </c>
      <c r="W6">
        <f t="shared" ca="1" si="2"/>
        <v>12.64424919743692</v>
      </c>
      <c r="X6">
        <f t="shared" ca="1" si="2"/>
        <v>12.485383600336434</v>
      </c>
      <c r="Y6">
        <f t="shared" ca="1" si="2"/>
        <v>11.970363375209482</v>
      </c>
      <c r="AA6" s="1" t="s">
        <v>9</v>
      </c>
      <c r="AB6">
        <v>500</v>
      </c>
      <c r="AC6">
        <f t="shared" ca="1" si="3"/>
        <v>271.27068534623851</v>
      </c>
      <c r="AD6">
        <f t="shared" ca="1" si="3"/>
        <v>270.63566696798051</v>
      </c>
      <c r="AE6">
        <f t="shared" ca="1" si="3"/>
        <v>285.73852513774773</v>
      </c>
      <c r="AG6">
        <f t="shared" ca="1" si="3"/>
        <v>254.92428601413837</v>
      </c>
      <c r="AH6">
        <f t="shared" ca="1" si="3"/>
        <v>253.78780733383226</v>
      </c>
      <c r="AI6">
        <f t="shared" ca="1" si="3"/>
        <v>279.94916443301037</v>
      </c>
      <c r="AJ6">
        <f t="shared" ca="1" si="3"/>
        <v>299.37434019553757</v>
      </c>
      <c r="AK6">
        <f t="shared" ca="1" si="3"/>
        <v>294.97936907622471</v>
      </c>
      <c r="AL6">
        <f t="shared" ca="1" si="3"/>
        <v>272.53488690909143</v>
      </c>
    </row>
    <row r="7" spans="1:38">
      <c r="A7" s="1" t="s">
        <v>10</v>
      </c>
      <c r="B7" s="4" t="str">
        <f t="shared" si="1"/>
        <v>Yes</v>
      </c>
      <c r="C7" s="4" t="str">
        <f t="shared" si="0"/>
        <v>No</v>
      </c>
      <c r="D7" s="4" t="str">
        <f t="shared" si="0"/>
        <v>No</v>
      </c>
      <c r="E7" s="4" t="str">
        <f t="shared" si="0"/>
        <v>No</v>
      </c>
      <c r="F7" s="4" t="str">
        <f t="shared" si="0"/>
        <v>Yes</v>
      </c>
      <c r="G7" s="4" t="str">
        <f t="shared" si="0"/>
        <v>No</v>
      </c>
      <c r="H7" s="4" t="str">
        <f t="shared" si="0"/>
        <v>No</v>
      </c>
      <c r="I7" s="4" t="str">
        <f t="shared" si="0"/>
        <v>Yes</v>
      </c>
      <c r="J7" s="4" t="str">
        <f t="shared" si="0"/>
        <v>Yes</v>
      </c>
      <c r="K7" s="4" t="str">
        <f t="shared" si="0"/>
        <v>Yes</v>
      </c>
      <c r="L7" s="4" t="str">
        <f t="shared" si="0"/>
        <v>Yes</v>
      </c>
      <c r="N7" s="1" t="s">
        <v>10</v>
      </c>
      <c r="O7">
        <v>10</v>
      </c>
      <c r="P7">
        <f t="shared" ca="1" si="2"/>
        <v>11.78409767466915</v>
      </c>
      <c r="Q7">
        <f t="shared" ca="1" si="2"/>
        <v>10.429088679685981</v>
      </c>
      <c r="R7">
        <f t="shared" ca="1" si="2"/>
        <v>11.840928937692224</v>
      </c>
      <c r="S7">
        <f t="shared" ca="1" si="2"/>
        <v>13.915571023155259</v>
      </c>
      <c r="U7">
        <f t="shared" ca="1" si="2"/>
        <v>11.723996861674221</v>
      </c>
      <c r="V7">
        <f t="shared" ca="1" si="2"/>
        <v>12.887271115511801</v>
      </c>
      <c r="W7">
        <f t="shared" ca="1" si="2"/>
        <v>13.82651017845269</v>
      </c>
      <c r="X7">
        <f t="shared" ca="1" si="2"/>
        <v>13.448506633767618</v>
      </c>
      <c r="Y7">
        <f t="shared" ca="1" si="2"/>
        <v>13.053264821481319</v>
      </c>
      <c r="AA7" s="1" t="s">
        <v>10</v>
      </c>
      <c r="AB7">
        <v>500</v>
      </c>
      <c r="AC7">
        <f t="shared" ca="1" si="3"/>
        <v>263.87883256562492</v>
      </c>
      <c r="AD7">
        <f t="shared" ca="1" si="3"/>
        <v>251.22969423578039</v>
      </c>
      <c r="AE7">
        <f t="shared" ca="1" si="3"/>
        <v>250.92499700412031</v>
      </c>
      <c r="AF7">
        <f t="shared" ca="1" si="3"/>
        <v>256.68537357697483</v>
      </c>
      <c r="AH7">
        <f t="shared" ca="1" si="3"/>
        <v>258.71715713903063</v>
      </c>
      <c r="AI7">
        <f t="shared" ca="1" si="3"/>
        <v>261.03306370542907</v>
      </c>
      <c r="AJ7">
        <f t="shared" ca="1" si="3"/>
        <v>264.3303537108423</v>
      </c>
      <c r="AK7">
        <f t="shared" ca="1" si="3"/>
        <v>293.69379992819819</v>
      </c>
      <c r="AL7">
        <f t="shared" ca="1" si="3"/>
        <v>274.6030261920497</v>
      </c>
    </row>
    <row r="8" spans="1:38">
      <c r="A8" s="1" t="s">
        <v>11</v>
      </c>
      <c r="B8" s="4" t="str">
        <f t="shared" si="1"/>
        <v>Yes</v>
      </c>
      <c r="C8" s="4" t="str">
        <f t="shared" si="0"/>
        <v>Yes</v>
      </c>
      <c r="D8" s="4" t="str">
        <f t="shared" si="0"/>
        <v>Yes</v>
      </c>
      <c r="E8" s="4" t="str">
        <f t="shared" si="0"/>
        <v>No</v>
      </c>
      <c r="F8" s="4" t="str">
        <f t="shared" si="0"/>
        <v>No</v>
      </c>
      <c r="G8" s="4" t="str">
        <f t="shared" si="0"/>
        <v>No</v>
      </c>
      <c r="H8" s="4" t="str">
        <f t="shared" si="0"/>
        <v>No</v>
      </c>
      <c r="I8" s="4" t="str">
        <f t="shared" si="0"/>
        <v>No</v>
      </c>
      <c r="J8" s="4" t="str">
        <f t="shared" si="0"/>
        <v>Yes</v>
      </c>
      <c r="K8" s="4" t="str">
        <f t="shared" si="0"/>
        <v>Yes</v>
      </c>
      <c r="L8" s="4" t="str">
        <f t="shared" si="0"/>
        <v>Yes</v>
      </c>
      <c r="N8" s="1" t="s">
        <v>11</v>
      </c>
      <c r="O8">
        <v>10</v>
      </c>
      <c r="P8">
        <f t="shared" ca="1" si="2"/>
        <v>11.715694455215065</v>
      </c>
      <c r="Q8">
        <f t="shared" ca="1" si="2"/>
        <v>14.141173521597498</v>
      </c>
      <c r="R8">
        <f t="shared" ca="1" si="2"/>
        <v>13.070059299263441</v>
      </c>
      <c r="S8">
        <f t="shared" ca="1" si="2"/>
        <v>10.653552155267672</v>
      </c>
      <c r="T8">
        <f t="shared" ca="1" si="2"/>
        <v>11.149675245765476</v>
      </c>
      <c r="V8">
        <f t="shared" ca="1" si="2"/>
        <v>10.887806840259758</v>
      </c>
      <c r="W8">
        <f t="shared" ca="1" si="2"/>
        <v>14.422275204722006</v>
      </c>
      <c r="X8">
        <f t="shared" ca="1" si="2"/>
        <v>13.156208529223337</v>
      </c>
      <c r="Y8">
        <f t="shared" ca="1" si="2"/>
        <v>12.524341537059328</v>
      </c>
      <c r="AA8" s="1" t="s">
        <v>11</v>
      </c>
      <c r="AB8">
        <v>500</v>
      </c>
      <c r="AC8">
        <f t="shared" ca="1" si="3"/>
        <v>256.39414037405641</v>
      </c>
      <c r="AD8">
        <f t="shared" ca="1" si="3"/>
        <v>261.07324864687524</v>
      </c>
      <c r="AE8">
        <f t="shared" ca="1" si="3"/>
        <v>279.97089553454759</v>
      </c>
      <c r="AF8">
        <f t="shared" ca="1" si="3"/>
        <v>299.96599851074444</v>
      </c>
      <c r="AG8">
        <f t="shared" ca="1" si="3"/>
        <v>280.13676388591557</v>
      </c>
      <c r="AI8">
        <f t="shared" ca="1" si="3"/>
        <v>260.55035779336788</v>
      </c>
      <c r="AJ8">
        <f t="shared" ca="1" si="3"/>
        <v>263.57292152389778</v>
      </c>
      <c r="AK8">
        <f t="shared" ca="1" si="3"/>
        <v>293.59587474304243</v>
      </c>
      <c r="AL8">
        <f t="shared" ca="1" si="3"/>
        <v>269.53372298217761</v>
      </c>
    </row>
    <row r="9" spans="1:38">
      <c r="A9" s="1" t="s">
        <v>12</v>
      </c>
      <c r="B9" s="4" t="str">
        <f t="shared" si="1"/>
        <v>Yes</v>
      </c>
      <c r="C9" s="4" t="str">
        <f t="shared" si="0"/>
        <v>Yes</v>
      </c>
      <c r="D9" s="4" t="str">
        <f t="shared" si="0"/>
        <v>No</v>
      </c>
      <c r="E9" s="4" t="str">
        <f t="shared" si="0"/>
        <v>Yes</v>
      </c>
      <c r="F9" s="4" t="str">
        <f t="shared" si="0"/>
        <v>Yes</v>
      </c>
      <c r="G9" s="4" t="str">
        <f t="shared" si="0"/>
        <v>No</v>
      </c>
      <c r="H9" s="4" t="str">
        <f t="shared" si="0"/>
        <v>No</v>
      </c>
      <c r="I9" s="4" t="str">
        <f t="shared" si="0"/>
        <v>No</v>
      </c>
      <c r="J9" s="4" t="str">
        <f t="shared" si="0"/>
        <v>Yes</v>
      </c>
      <c r="K9" s="4" t="str">
        <f t="shared" si="0"/>
        <v>No</v>
      </c>
      <c r="L9" s="4" t="str">
        <f t="shared" si="0"/>
        <v>No</v>
      </c>
      <c r="N9" s="1" t="s">
        <v>12</v>
      </c>
      <c r="O9">
        <v>10</v>
      </c>
      <c r="P9">
        <f t="shared" ca="1" si="2"/>
        <v>11.536936961301173</v>
      </c>
      <c r="Q9">
        <f t="shared" ca="1" si="2"/>
        <v>12.251516589430794</v>
      </c>
      <c r="R9">
        <f t="shared" ca="1" si="2"/>
        <v>11.84889952004286</v>
      </c>
      <c r="S9">
        <f t="shared" ca="1" si="2"/>
        <v>14.47786721046846</v>
      </c>
      <c r="T9">
        <f t="shared" ca="1" si="2"/>
        <v>11.15343291378078</v>
      </c>
      <c r="U9">
        <f t="shared" ca="1" si="2"/>
        <v>11.928410995383615</v>
      </c>
      <c r="W9">
        <f t="shared" ca="1" si="2"/>
        <v>11.181990953983457</v>
      </c>
      <c r="X9">
        <f t="shared" ca="1" si="2"/>
        <v>12.542650408886434</v>
      </c>
      <c r="Y9">
        <f t="shared" ca="1" si="2"/>
        <v>10.7449687742052</v>
      </c>
      <c r="AA9" s="1" t="s">
        <v>12</v>
      </c>
      <c r="AB9">
        <v>500</v>
      </c>
      <c r="AC9">
        <f t="shared" ca="1" si="3"/>
        <v>273.46468916525561</v>
      </c>
      <c r="AD9">
        <f t="shared" ca="1" si="3"/>
        <v>282.98818248027396</v>
      </c>
      <c r="AE9">
        <f t="shared" ca="1" si="3"/>
        <v>298.72202441192525</v>
      </c>
      <c r="AF9">
        <f t="shared" ca="1" si="3"/>
        <v>253.76576285890212</v>
      </c>
      <c r="AG9">
        <f t="shared" ca="1" si="3"/>
        <v>272.95719402075264</v>
      </c>
      <c r="AH9">
        <f t="shared" ca="1" si="3"/>
        <v>288.37920702197619</v>
      </c>
      <c r="AJ9">
        <f t="shared" ca="1" si="3"/>
        <v>281.33150104259391</v>
      </c>
      <c r="AK9">
        <f t="shared" ca="1" si="3"/>
        <v>270.13317551440218</v>
      </c>
      <c r="AL9">
        <f t="shared" ca="1" si="3"/>
        <v>270.39085695676852</v>
      </c>
    </row>
    <row r="10" spans="1:38">
      <c r="A10" s="1" t="s">
        <v>13</v>
      </c>
      <c r="B10" s="4" t="str">
        <f t="shared" si="1"/>
        <v>Yes</v>
      </c>
      <c r="C10" s="4" t="str">
        <f t="shared" si="0"/>
        <v>No</v>
      </c>
      <c r="D10" s="4" t="str">
        <f t="shared" si="0"/>
        <v>Yes</v>
      </c>
      <c r="E10" s="4" t="str">
        <f t="shared" si="0"/>
        <v>No</v>
      </c>
      <c r="F10" s="4" t="str">
        <f t="shared" si="0"/>
        <v>No</v>
      </c>
      <c r="G10" s="4" t="str">
        <f t="shared" si="0"/>
        <v>Yes</v>
      </c>
      <c r="H10" s="4" t="str">
        <f t="shared" si="0"/>
        <v>Yes</v>
      </c>
      <c r="I10" s="4" t="str">
        <f t="shared" si="0"/>
        <v>Yes</v>
      </c>
      <c r="J10" s="4" t="str">
        <f t="shared" si="0"/>
        <v>No</v>
      </c>
      <c r="K10" s="4" t="str">
        <f t="shared" si="0"/>
        <v>No</v>
      </c>
      <c r="L10" s="4" t="str">
        <f t="shared" si="0"/>
        <v>No</v>
      </c>
      <c r="N10" s="1" t="s">
        <v>13</v>
      </c>
      <c r="O10">
        <v>10</v>
      </c>
      <c r="P10">
        <f t="shared" ca="1" si="2"/>
        <v>12.515152299298393</v>
      </c>
      <c r="Q10">
        <f t="shared" ca="1" si="2"/>
        <v>13.421459459031471</v>
      </c>
      <c r="R10">
        <f t="shared" ca="1" si="2"/>
        <v>10.129317365018732</v>
      </c>
      <c r="S10">
        <f t="shared" ca="1" si="2"/>
        <v>12.774267692575812</v>
      </c>
      <c r="T10">
        <f t="shared" ca="1" si="2"/>
        <v>10.859775577376915</v>
      </c>
      <c r="U10">
        <f t="shared" ca="1" si="2"/>
        <v>13.106579197695799</v>
      </c>
      <c r="V10">
        <f t="shared" ca="1" si="2"/>
        <v>13.255174286461987</v>
      </c>
      <c r="X10">
        <f t="shared" ca="1" si="2"/>
        <v>13.825694411735082</v>
      </c>
      <c r="Y10">
        <f t="shared" ca="1" si="2"/>
        <v>14.277438299606699</v>
      </c>
      <c r="AA10" s="1" t="s">
        <v>13</v>
      </c>
      <c r="AB10">
        <v>500</v>
      </c>
      <c r="AC10">
        <f t="shared" ca="1" si="3"/>
        <v>294.71442114344478</v>
      </c>
      <c r="AD10">
        <f t="shared" ca="1" si="3"/>
        <v>293.71690861404721</v>
      </c>
      <c r="AE10">
        <f t="shared" ca="1" si="3"/>
        <v>263.47435751426815</v>
      </c>
      <c r="AF10">
        <f t="shared" ca="1" si="3"/>
        <v>258.06973165412734</v>
      </c>
      <c r="AG10">
        <f t="shared" ca="1" si="3"/>
        <v>286.82285912668294</v>
      </c>
      <c r="AH10">
        <f t="shared" ca="1" si="3"/>
        <v>260.16048853367511</v>
      </c>
      <c r="AI10">
        <f t="shared" ca="1" si="3"/>
        <v>267.54923595396701</v>
      </c>
      <c r="AK10">
        <f t="shared" ca="1" si="3"/>
        <v>268.74655257785741</v>
      </c>
      <c r="AL10">
        <f t="shared" ca="1" si="3"/>
        <v>276.65441887108562</v>
      </c>
    </row>
    <row r="11" spans="1:38">
      <c r="A11" s="1" t="s">
        <v>19</v>
      </c>
      <c r="B11" s="4" t="str">
        <f t="shared" si="1"/>
        <v>Yes</v>
      </c>
      <c r="C11" s="4" t="str">
        <f t="shared" si="0"/>
        <v>Yes</v>
      </c>
      <c r="D11" s="4" t="str">
        <f t="shared" si="0"/>
        <v>Yes</v>
      </c>
      <c r="E11" s="4" t="str">
        <f t="shared" si="0"/>
        <v>No</v>
      </c>
      <c r="F11" s="4" t="str">
        <f t="shared" si="0"/>
        <v>No</v>
      </c>
      <c r="G11" s="4" t="str">
        <f t="shared" si="0"/>
        <v>Yes</v>
      </c>
      <c r="H11" s="4" t="str">
        <f t="shared" si="0"/>
        <v>No</v>
      </c>
      <c r="I11" s="4" t="str">
        <f t="shared" si="0"/>
        <v>No</v>
      </c>
      <c r="J11" s="4" t="str">
        <f t="shared" si="0"/>
        <v>Yes</v>
      </c>
      <c r="K11" s="4" t="str">
        <f t="shared" si="0"/>
        <v>No</v>
      </c>
      <c r="L11" s="4" t="str">
        <f t="shared" si="0"/>
        <v>Yes</v>
      </c>
      <c r="N11" s="1" t="s">
        <v>19</v>
      </c>
      <c r="O11">
        <v>10</v>
      </c>
      <c r="P11">
        <f t="shared" ca="1" si="2"/>
        <v>14.179023144949346</v>
      </c>
      <c r="Q11">
        <f t="shared" ca="1" si="2"/>
        <v>11.286348119149704</v>
      </c>
      <c r="R11">
        <f t="shared" ca="1" si="2"/>
        <v>11.569062090343905</v>
      </c>
      <c r="S11">
        <f t="shared" ca="1" si="2"/>
        <v>14.304836933562292</v>
      </c>
      <c r="T11">
        <f t="shared" ca="1" si="2"/>
        <v>13.749025767611204</v>
      </c>
      <c r="U11">
        <f t="shared" ca="1" si="2"/>
        <v>10.864413151909014</v>
      </c>
      <c r="V11">
        <f t="shared" ca="1" si="2"/>
        <v>14.2666700230007</v>
      </c>
      <c r="W11">
        <f t="shared" ca="1" si="2"/>
        <v>11.773162314015702</v>
      </c>
      <c r="Y11">
        <f t="shared" ca="1" si="2"/>
        <v>11.582545713984441</v>
      </c>
      <c r="AA11" s="1" t="s">
        <v>19</v>
      </c>
      <c r="AB11">
        <v>500</v>
      </c>
      <c r="AC11">
        <f t="shared" ca="1" si="3"/>
        <v>288.23904960630563</v>
      </c>
      <c r="AD11">
        <f t="shared" ca="1" si="3"/>
        <v>289.89266930528731</v>
      </c>
      <c r="AE11">
        <f t="shared" ca="1" si="3"/>
        <v>259.05593396071106</v>
      </c>
      <c r="AF11">
        <f t="shared" ca="1" si="3"/>
        <v>250.38330207658004</v>
      </c>
      <c r="AG11">
        <f t="shared" ca="1" si="3"/>
        <v>273.94243369098615</v>
      </c>
      <c r="AH11">
        <f t="shared" ca="1" si="3"/>
        <v>287.55267127510933</v>
      </c>
      <c r="AI11">
        <f t="shared" ca="1" si="3"/>
        <v>299.51420124045529</v>
      </c>
      <c r="AJ11">
        <f t="shared" ca="1" si="3"/>
        <v>282.928046668614</v>
      </c>
      <c r="AL11">
        <f t="shared" ca="1" si="3"/>
        <v>281.66961706497278</v>
      </c>
    </row>
    <row r="12" spans="1:38">
      <c r="A12" s="1" t="s">
        <v>14</v>
      </c>
      <c r="B12" s="4" t="str">
        <f t="shared" si="1"/>
        <v>Yes</v>
      </c>
      <c r="C12" s="4" t="str">
        <f t="shared" si="0"/>
        <v>No</v>
      </c>
      <c r="D12" s="4" t="str">
        <f t="shared" si="0"/>
        <v>Yes</v>
      </c>
      <c r="E12" s="4" t="str">
        <f t="shared" si="0"/>
        <v>No</v>
      </c>
      <c r="F12" s="4" t="str">
        <f t="shared" si="0"/>
        <v>Yes</v>
      </c>
      <c r="G12" s="4" t="str">
        <f t="shared" si="0"/>
        <v>Yes</v>
      </c>
      <c r="H12" s="4" t="str">
        <f t="shared" si="0"/>
        <v>No</v>
      </c>
      <c r="I12" s="4" t="str">
        <f t="shared" si="0"/>
        <v>No</v>
      </c>
      <c r="J12" s="4" t="str">
        <f t="shared" si="0"/>
        <v>No</v>
      </c>
      <c r="K12" s="4" t="str">
        <f t="shared" si="0"/>
        <v>Yes</v>
      </c>
      <c r="L12" s="4" t="str">
        <f t="shared" si="0"/>
        <v>No</v>
      </c>
      <c r="N12" s="1" t="s">
        <v>14</v>
      </c>
      <c r="O12">
        <v>10</v>
      </c>
      <c r="P12">
        <f t="shared" ca="1" si="2"/>
        <v>10.413488971340257</v>
      </c>
      <c r="Q12">
        <f t="shared" ca="1" si="2"/>
        <v>14.8440638909291</v>
      </c>
      <c r="R12">
        <f t="shared" ca="1" si="2"/>
        <v>14.791716318452888</v>
      </c>
      <c r="S12">
        <f t="shared" ca="1" si="2"/>
        <v>12.974357788932549</v>
      </c>
      <c r="T12">
        <f t="shared" ca="1" si="2"/>
        <v>14.047726986398116</v>
      </c>
      <c r="U12">
        <f t="shared" ca="1" si="2"/>
        <v>13.789853921495347</v>
      </c>
      <c r="V12">
        <f t="shared" ca="1" si="2"/>
        <v>13.664705932219579</v>
      </c>
      <c r="W12">
        <f t="shared" ca="1" si="2"/>
        <v>10.246342301890142</v>
      </c>
      <c r="X12">
        <f t="shared" ca="1" si="2"/>
        <v>11.185188828644849</v>
      </c>
      <c r="AA12" s="1" t="s">
        <v>14</v>
      </c>
      <c r="AB12">
        <v>500</v>
      </c>
      <c r="AC12">
        <f t="shared" ca="1" si="3"/>
        <v>277.05229572540622</v>
      </c>
      <c r="AD12">
        <f t="shared" ca="1" si="3"/>
        <v>293.70092963357655</v>
      </c>
      <c r="AE12">
        <f t="shared" ca="1" si="3"/>
        <v>294.2686660455571</v>
      </c>
      <c r="AF12">
        <f t="shared" ca="1" si="3"/>
        <v>272.43007266964997</v>
      </c>
      <c r="AG12">
        <f t="shared" ca="1" si="3"/>
        <v>258.61233947818545</v>
      </c>
      <c r="AH12">
        <f t="shared" ca="1" si="3"/>
        <v>290.81894197463083</v>
      </c>
      <c r="AI12">
        <f t="shared" ca="1" si="3"/>
        <v>262.11264420647336</v>
      </c>
      <c r="AJ12">
        <f t="shared" ca="1" si="3"/>
        <v>295.93345334825256</v>
      </c>
      <c r="AK12">
        <f t="shared" ca="1" si="3"/>
        <v>269.9067351869312</v>
      </c>
    </row>
    <row r="18" spans="1:21">
      <c r="A18" t="s">
        <v>62</v>
      </c>
    </row>
    <row r="19" spans="1:21">
      <c r="A19" t="s">
        <v>61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63</v>
      </c>
      <c r="B21" s="1" t="s">
        <v>64</v>
      </c>
      <c r="E21" s="6"/>
      <c r="F21" s="7" t="s">
        <v>5</v>
      </c>
      <c r="G21" s="7" t="s">
        <v>6</v>
      </c>
      <c r="H21" s="7" t="s">
        <v>7</v>
      </c>
      <c r="I21" s="7" t="s">
        <v>8</v>
      </c>
      <c r="J21" s="7" t="s">
        <v>9</v>
      </c>
      <c r="K21" s="7" t="s">
        <v>10</v>
      </c>
      <c r="L21" s="7" t="s">
        <v>11</v>
      </c>
      <c r="M21" s="7" t="s">
        <v>12</v>
      </c>
      <c r="N21" s="7" t="s">
        <v>13</v>
      </c>
      <c r="O21" s="7" t="s">
        <v>19</v>
      </c>
      <c r="P21" s="7" t="s">
        <v>14</v>
      </c>
    </row>
    <row r="22" spans="1:21">
      <c r="A22" s="5" t="s">
        <v>5</v>
      </c>
      <c r="B22" s="5" t="s">
        <v>6</v>
      </c>
      <c r="E22" s="6">
        <v>1</v>
      </c>
      <c r="F22" s="6" t="str">
        <f t="array" ref="F22">IFERROR(INDEX($B$22:$B$610,SMALL(IF($A$22:$A$610=F$21,ROW(ElecLine!$A$22:$A$610)),ElecLine!$E22)-ROW(RoadList)),"")</f>
        <v>Afar</v>
      </c>
      <c r="G22" s="6" t="str">
        <f t="array" ref="G22">IFERROR(INDEX($B$22:$B$610,SMALL(IF($A$22:$A$610=G$21,ROW(ElecLine!$A$22:$A$610)),ElecLine!$E22)-ROW(RoadList)),"")</f>
        <v>AddisAbaba</v>
      </c>
      <c r="H22" s="6" t="str">
        <f t="array" ref="H22">IFERROR(INDEX($B$22:$B$610,SMALL(IF($A$22:$A$610=H$21,ROW(ElecLine!$A$22:$A$610)),ElecLine!$E22)-ROW(RoadList)),"")</f>
        <v>AddisAbaba</v>
      </c>
      <c r="I22" s="6" t="str">
        <f t="array" ref="I22">IFERROR(INDEX($B$22:$B$610,SMALL(IF($A$22:$A$610=I$21,ROW(ElecLine!$A$22:$A$610)),ElecLine!$E22)-ROW(RoadList)),"")</f>
        <v>AddisAbaba</v>
      </c>
      <c r="J22" s="6" t="str">
        <f t="array" ref="J22">IFERROR(INDEX($B$22:$B$610,SMALL(IF($A$22:$A$610=J$21,ROW(ElecLine!$A$22:$A$610)),ElecLine!$E22)-ROW(RoadList)),"")</f>
        <v>AddisAbaba</v>
      </c>
      <c r="K22" s="6" t="str">
        <f t="array" ref="K22">IFERROR(INDEX($B$22:$B$610,SMALL(IF($A$22:$A$610=K$21,ROW(ElecLine!$A$22:$A$610)),ElecLine!$E22)-ROW(RoadList)),"")</f>
        <v>AddisAbaba</v>
      </c>
      <c r="L22" s="6" t="str">
        <f t="array" ref="L22">IFERROR(INDEX($B$22:$B$610,SMALL(IF($A$22:$A$610=L$21,ROW(ElecLine!$A$22:$A$610)),ElecLine!$E22)-ROW(RoadList)),"")</f>
        <v>AddisAbaba</v>
      </c>
      <c r="M22" s="6" t="str">
        <f t="array" ref="M22">IFERROR(INDEX($B$22:$B$610,SMALL(IF($A$22:$A$610=M$21,ROW(ElecLine!$A$22:$A$610)),ElecLine!$E22)-ROW(RoadList)),"")</f>
        <v>AddisAbaba</v>
      </c>
      <c r="N22" s="6" t="str">
        <f t="array" ref="N22">IFERROR(INDEX($B$22:$B$610,SMALL(IF($A$22:$A$610=N$21,ROW(ElecLine!$A$22:$A$610)),ElecLine!$E22)-ROW(RoadList)),"")</f>
        <v>AddisAbaba</v>
      </c>
      <c r="O22" s="6" t="str">
        <f t="array" ref="O22">IFERROR(INDEX($B$22:$B$610,SMALL(IF($A$22:$A$610=O$21,ROW(ElecLine!$A$22:$A$610)),ElecLine!$E22)-ROW(RoadList)),"")</f>
        <v>AddisAbaba</v>
      </c>
      <c r="P22" s="6" t="str">
        <f t="array" ref="P22">IFERROR(INDEX($B$22:$B$610,SMALL(IF($A$22:$A$610=P$21,ROW(ElecLine!$A$22:$A$610)),ElecLine!$E22)-ROW(RoadList)),"")</f>
        <v>AddisAbaba</v>
      </c>
    </row>
    <row r="23" spans="1:21">
      <c r="A23" s="5" t="s">
        <v>5</v>
      </c>
      <c r="B23" s="5" t="s">
        <v>7</v>
      </c>
      <c r="E23" s="6">
        <f>E22+1</f>
        <v>2</v>
      </c>
      <c r="F23" s="6" t="str">
        <f t="array" ref="F23">IFERROR(INDEX($B$22:$B$610,SMALL(IF($A$22:$A$610=F$21,ROW(ElecLine!$A$22:$A$610)),ElecLine!$E23)-ROW(RoadList)),"")</f>
        <v>Amhara</v>
      </c>
      <c r="G23" s="6" t="str">
        <f t="array" ref="G23">IFERROR(INDEX($B$22:$B$610,SMALL(IF($A$22:$A$610=G$21,ROW(ElecLine!$A$22:$A$610)),ElecLine!$E23)-ROW(RoadList)),"")</f>
        <v>Gumuz</v>
      </c>
      <c r="H23" s="6" t="str">
        <f t="array" ref="H23">IFERROR(INDEX($B$22:$B$610,SMALL(IF($A$22:$A$610=H$21,ROW(ElecLine!$A$22:$A$610)),ElecLine!$E23)-ROW(RoadList)),"")</f>
        <v>Harari</v>
      </c>
      <c r="I23" s="6" t="str">
        <f t="array" ref="I23">IFERROR(INDEX($B$22:$B$610,SMALL(IF($A$22:$A$610=I$21,ROW(ElecLine!$A$22:$A$610)),ElecLine!$E23)-ROW(RoadList)),"")</f>
        <v>Afar</v>
      </c>
      <c r="J23" s="6" t="str">
        <f t="array" ref="J23">IFERROR(INDEX($B$22:$B$610,SMALL(IF($A$22:$A$610=J$21,ROW(ElecLine!$A$22:$A$610)),ElecLine!$E23)-ROW(RoadList)),"")</f>
        <v>Gambela</v>
      </c>
      <c r="K23" s="6" t="str">
        <f t="array" ref="K23">IFERROR(INDEX($B$22:$B$610,SMALL(IF($A$22:$A$610=K$21,ROW(ElecLine!$A$22:$A$610)),ElecLine!$E23)-ROW(RoadList)),"")</f>
        <v>Afar</v>
      </c>
      <c r="L23" s="6" t="str">
        <f t="array" ref="L23">IFERROR(INDEX($B$22:$B$610,SMALL(IF($A$22:$A$610=L$21,ROW(ElecLine!$A$22:$A$610)),ElecLine!$E23)-ROW(RoadList)),"")</f>
        <v>Afar</v>
      </c>
      <c r="M23" s="6" t="str">
        <f t="array" ref="M23">IFERROR(INDEX($B$22:$B$610,SMALL(IF($A$22:$A$610=M$21,ROW(ElecLine!$A$22:$A$610)),ElecLine!$E23)-ROW(RoadList)),"")</f>
        <v>Afar</v>
      </c>
      <c r="N23" s="6" t="str">
        <f t="array" ref="N23">IFERROR(INDEX($B$22:$B$610,SMALL(IF($A$22:$A$610=N$21,ROW(ElecLine!$A$22:$A$610)),ElecLine!$E23)-ROW(RoadList)),"")</f>
        <v>Amhara</v>
      </c>
      <c r="O23" s="6" t="str">
        <f t="array" ref="O23">IFERROR(INDEX($B$22:$B$610,SMALL(IF($A$22:$A$610=O$21,ROW(ElecLine!$A$22:$A$610)),ElecLine!$E23)-ROW(RoadList)),"")</f>
        <v>Afar</v>
      </c>
      <c r="P23" s="6" t="str">
        <f t="array" ref="P23">IFERROR(INDEX($B$22:$B$610,SMALL(IF($A$22:$A$610=P$21,ROW(ElecLine!$A$22:$A$610)),ElecLine!$E23)-ROW(RoadList)),"")</f>
        <v>DireDawa</v>
      </c>
    </row>
    <row r="24" spans="1:21">
      <c r="A24" s="5" t="s">
        <v>5</v>
      </c>
      <c r="B24" s="5" t="s">
        <v>9</v>
      </c>
      <c r="E24" s="6">
        <f t="shared" ref="E24:E32" si="4">E23+1</f>
        <v>3</v>
      </c>
      <c r="F24" s="6" t="str">
        <f t="array" ref="F24">IFERROR(INDEX($B$22:$B$610,SMALL(IF($A$22:$A$610=F$21,ROW(ElecLine!$A$22:$A$610)),ElecLine!$E24)-ROW(RoadList)),"")</f>
        <v>DireDawa</v>
      </c>
      <c r="G24" s="6" t="str">
        <f t="array" ref="G24">IFERROR(INDEX($B$22:$B$610,SMALL(IF($A$22:$A$610=G$21,ROW(ElecLine!$A$22:$A$610)),ElecLine!$E24)-ROW(RoadList)),"")</f>
        <v>Harari</v>
      </c>
      <c r="H24" s="6" t="str">
        <f t="array" ref="H24">IFERROR(INDEX($B$22:$B$610,SMALL(IF($A$22:$A$610=H$21,ROW(ElecLine!$A$22:$A$610)),ElecLine!$E24)-ROW(RoadList)),"")</f>
        <v>SNNPR</v>
      </c>
      <c r="I24" s="6" t="str">
        <f t="array" ref="I24">IFERROR(INDEX($B$22:$B$610,SMALL(IF($A$22:$A$610=I$21,ROW(ElecLine!$A$22:$A$610)),ElecLine!$E24)-ROW(RoadList)),"")</f>
        <v>Amhara</v>
      </c>
      <c r="J24" s="6" t="str">
        <f t="array" ref="J24">IFERROR(INDEX($B$22:$B$610,SMALL(IF($A$22:$A$610=J$21,ROW(ElecLine!$A$22:$A$610)),ElecLine!$E24)-ROW(RoadList)),"")</f>
        <v>Gumuz</v>
      </c>
      <c r="K24" s="6" t="str">
        <f t="array" ref="K24">IFERROR(INDEX($B$22:$B$610,SMALL(IF($A$22:$A$610=K$21,ROW(ElecLine!$A$22:$A$610)),ElecLine!$E24)-ROW(RoadList)),"")</f>
        <v>DireDawa</v>
      </c>
      <c r="L24" s="6" t="str">
        <f t="array" ref="L24">IFERROR(INDEX($B$22:$B$610,SMALL(IF($A$22:$A$610=L$21,ROW(ElecLine!$A$22:$A$610)),ElecLine!$E24)-ROW(RoadList)),"")</f>
        <v>Amhara</v>
      </c>
      <c r="M24" s="6" t="str">
        <f t="array" ref="M24">IFERROR(INDEX($B$22:$B$610,SMALL(IF($A$22:$A$610=M$21,ROW(ElecLine!$A$22:$A$610)),ElecLine!$E24)-ROW(RoadList)),"")</f>
        <v>DireDawa</v>
      </c>
      <c r="N24" s="6" t="str">
        <f t="array" ref="N24">IFERROR(INDEX($B$22:$B$610,SMALL(IF($A$22:$A$610=N$21,ROW(ElecLine!$A$22:$A$610)),ElecLine!$E24)-ROW(RoadList)),"")</f>
        <v>Gambela</v>
      </c>
      <c r="O24" s="6" t="str">
        <f t="array" ref="O24">IFERROR(INDEX($B$22:$B$610,SMALL(IF($A$22:$A$610=O$21,ROW(ElecLine!$A$22:$A$610)),ElecLine!$E24)-ROW(RoadList)),"")</f>
        <v>Amhara</v>
      </c>
      <c r="P24" s="6" t="str">
        <f t="array" ref="P24">IFERROR(INDEX($B$22:$B$610,SMALL(IF($A$22:$A$610=P$21,ROW(ElecLine!$A$22:$A$610)),ElecLine!$E24)-ROW(RoadList)),"")</f>
        <v>Gambela</v>
      </c>
    </row>
    <row r="25" spans="1:21">
      <c r="A25" s="5" t="s">
        <v>5</v>
      </c>
      <c r="B25" s="5" t="s">
        <v>10</v>
      </c>
      <c r="E25" s="6">
        <f t="shared" si="4"/>
        <v>4</v>
      </c>
      <c r="F25" s="6" t="str">
        <f t="array" ref="F25">IFERROR(INDEX($B$22:$B$610,SMALL(IF($A$22:$A$610=F$21,ROW(ElecLine!$A$22:$A$610)),ElecLine!$E25)-ROW(RoadList)),"")</f>
        <v>Gambela</v>
      </c>
      <c r="G25" s="6" t="str">
        <f t="array" ref="G25">IFERROR(INDEX($B$22:$B$610,SMALL(IF($A$22:$A$610=G$21,ROW(ElecLine!$A$22:$A$610)),ElecLine!$E25)-ROW(RoadList)),"")</f>
        <v>Oromia</v>
      </c>
      <c r="H25" s="6" t="str">
        <f t="array" ref="H25">IFERROR(INDEX($B$22:$B$610,SMALL(IF($A$22:$A$610=H$21,ROW(ElecLine!$A$22:$A$610)),ElecLine!$E25)-ROW(RoadList)),"")</f>
        <v>Somali</v>
      </c>
      <c r="I25" s="6" t="str">
        <f t="array" ref="I25">IFERROR(INDEX($B$22:$B$610,SMALL(IF($A$22:$A$610=I$21,ROW(ElecLine!$A$22:$A$610)),ElecLine!$E25)-ROW(RoadList)),"")</f>
        <v>DireDawa</v>
      </c>
      <c r="J25" s="6" t="str">
        <f t="array" ref="J25">IFERROR(INDEX($B$22:$B$610,SMALL(IF($A$22:$A$610=J$21,ROW(ElecLine!$A$22:$A$610)),ElecLine!$E25)-ROW(RoadList)),"")</f>
        <v>Oromia</v>
      </c>
      <c r="K25" s="6" t="str">
        <f t="array" ref="K25">IFERROR(INDEX($B$22:$B$610,SMALL(IF($A$22:$A$610=K$21,ROW(ElecLine!$A$22:$A$610)),ElecLine!$E25)-ROW(RoadList)),"")</f>
        <v>SNNPR</v>
      </c>
      <c r="L25" s="6" t="str">
        <f t="array" ref="L25">IFERROR(INDEX($B$22:$B$610,SMALL(IF($A$22:$A$610=L$21,ROW(ElecLine!$A$22:$A$610)),ElecLine!$E25)-ROW(RoadList)),"")</f>
        <v>DireDawa</v>
      </c>
      <c r="M25" s="6" t="str">
        <f t="array" ref="M25">IFERROR(INDEX($B$22:$B$610,SMALL(IF($A$22:$A$610=M$21,ROW(ElecLine!$A$22:$A$610)),ElecLine!$E25)-ROW(RoadList)),"")</f>
        <v>Gambela</v>
      </c>
      <c r="N25" s="6" t="str">
        <f t="array" ref="N25">IFERROR(INDEX($B$22:$B$610,SMALL(IF($A$22:$A$610=N$21,ROW(ElecLine!$A$22:$A$610)),ElecLine!$E25)-ROW(RoadList)),"")</f>
        <v>Harari</v>
      </c>
      <c r="O25" s="6" t="str">
        <f t="array" ref="O25">IFERROR(INDEX($B$22:$B$610,SMALL(IF($A$22:$A$610=O$21,ROW(ElecLine!$A$22:$A$610)),ElecLine!$E25)-ROW(RoadList)),"")</f>
        <v>Gambela</v>
      </c>
      <c r="P25" s="6" t="str">
        <f t="array" ref="P25">IFERROR(INDEX($B$22:$B$610,SMALL(IF($A$22:$A$610=P$21,ROW(ElecLine!$A$22:$A$610)),ElecLine!$E25)-ROW(RoadList)),"")</f>
        <v>Gumuz</v>
      </c>
    </row>
    <row r="26" spans="1:21">
      <c r="A26" s="5" t="s">
        <v>5</v>
      </c>
      <c r="B26" s="5" t="s">
        <v>8</v>
      </c>
      <c r="E26" s="6">
        <f t="shared" si="4"/>
        <v>5</v>
      </c>
      <c r="F26" s="6" t="str">
        <f t="array" ref="F26">IFERROR(INDEX($B$22:$B$610,SMALL(IF($A$22:$A$610=F$21,ROW(ElecLine!$A$22:$A$610)),ElecLine!$E26)-ROW(RoadList)),"")</f>
        <v>Gumuz</v>
      </c>
      <c r="G26" s="6" t="str">
        <f t="array" ref="G26">IFERROR(INDEX($B$22:$B$610,SMALL(IF($A$22:$A$610=G$21,ROW(ElecLine!$A$22:$A$610)),ElecLine!$E26)-ROW(RoadList)),"")</f>
        <v>SNNPR</v>
      </c>
      <c r="H26" s="6" t="str">
        <f t="array" ref="H26">IFERROR(INDEX($B$22:$B$610,SMALL(IF($A$22:$A$610=H$21,ROW(ElecLine!$A$22:$A$610)),ElecLine!$E26)-ROW(RoadList)),"")</f>
        <v>Tigray</v>
      </c>
      <c r="I26" s="6" t="str">
        <f t="array" ref="I26">IFERROR(INDEX($B$22:$B$610,SMALL(IF($A$22:$A$610=I$21,ROW(ElecLine!$A$22:$A$610)),ElecLine!$E26)-ROW(RoadList)),"")</f>
        <v>Oromia</v>
      </c>
      <c r="J26" s="6" t="str">
        <f t="array" ref="J26">IFERROR(INDEX($B$22:$B$610,SMALL(IF($A$22:$A$610=J$21,ROW(ElecLine!$A$22:$A$610)),ElecLine!$E26)-ROW(RoadList)),"")</f>
        <v>Tigray</v>
      </c>
      <c r="K26" s="6" t="str">
        <f t="array" ref="K26">IFERROR(INDEX($B$22:$B$610,SMALL(IF($A$22:$A$610=K$21,ROW(ElecLine!$A$22:$A$610)),ElecLine!$E26)-ROW(RoadList)),"")</f>
        <v>Somali</v>
      </c>
      <c r="L26" s="6" t="str">
        <f t="array" ref="L26">IFERROR(INDEX($B$22:$B$610,SMALL(IF($A$22:$A$610=L$21,ROW(ElecLine!$A$22:$A$610)),ElecLine!$E26)-ROW(RoadList)),"")</f>
        <v>Somali</v>
      </c>
      <c r="M26" s="6" t="str">
        <f t="array" ref="M26">IFERROR(INDEX($B$22:$B$610,SMALL(IF($A$22:$A$610=M$21,ROW(ElecLine!$A$22:$A$610)),ElecLine!$E26)-ROW(RoadList)),"")</f>
        <v>Gumuz</v>
      </c>
      <c r="N26" s="6" t="str">
        <f t="array" ref="N26">IFERROR(INDEX($B$22:$B$610,SMALL(IF($A$22:$A$610=N$21,ROW(ElecLine!$A$22:$A$610)),ElecLine!$E26)-ROW(RoadList)),"")</f>
        <v>Oromia</v>
      </c>
      <c r="O26" s="6" t="str">
        <f t="array" ref="O26">IFERROR(INDEX($B$22:$B$610,SMALL(IF($A$22:$A$610=O$21,ROW(ElecLine!$A$22:$A$610)),ElecLine!$E26)-ROW(RoadList)),"")</f>
        <v>Harari</v>
      </c>
      <c r="P26" s="6" t="str">
        <f t="array" ref="P26">IFERROR(INDEX($B$22:$B$610,SMALL(IF($A$22:$A$610=P$21,ROW(ElecLine!$A$22:$A$610)),ElecLine!$E26)-ROW(RoadList)),"")</f>
        <v>Harari</v>
      </c>
    </row>
    <row r="27" spans="1:21">
      <c r="A27" s="5" t="s">
        <v>5</v>
      </c>
      <c r="B27" s="5" t="s">
        <v>11</v>
      </c>
      <c r="E27" s="6">
        <f t="shared" si="4"/>
        <v>6</v>
      </c>
      <c r="F27" s="6" t="str">
        <f t="array" ref="F27">IFERROR(INDEX($B$22:$B$610,SMALL(IF($A$22:$A$610=F$21,ROW(ElecLine!$A$22:$A$610)),ElecLine!$E27)-ROW(RoadList)),"")</f>
        <v>Harari</v>
      </c>
      <c r="G27" s="6" t="str">
        <f t="array" ref="G27">IFERROR(INDEX($B$22:$B$610,SMALL(IF($A$22:$A$610=G$21,ROW(ElecLine!$A$22:$A$610)),ElecLine!$E27)-ROW(RoadList)),"")</f>
        <v/>
      </c>
      <c r="H27" s="6" t="str">
        <f t="array" ref="H27">IFERROR(INDEX($B$22:$B$610,SMALL(IF($A$22:$A$610=H$21,ROW(ElecLine!$A$22:$A$610)),ElecLine!$E27)-ROW(RoadList)),"")</f>
        <v/>
      </c>
      <c r="I27" s="6" t="str">
        <f t="array" ref="I27">IFERROR(INDEX($B$22:$B$610,SMALL(IF($A$22:$A$610=I$21,ROW(ElecLine!$A$22:$A$610)),ElecLine!$E27)-ROW(RoadList)),"")</f>
        <v/>
      </c>
      <c r="J27" s="6" t="str">
        <f t="array" ref="J27">IFERROR(INDEX($B$22:$B$610,SMALL(IF($A$22:$A$610=J$21,ROW(ElecLine!$A$22:$A$610)),ElecLine!$E27)-ROW(RoadList)),"")</f>
        <v/>
      </c>
      <c r="K27" s="6" t="str">
        <f t="array" ref="K27">IFERROR(INDEX($B$22:$B$610,SMALL(IF($A$22:$A$610=K$21,ROW(ElecLine!$A$22:$A$610)),ElecLine!$E27)-ROW(RoadList)),"")</f>
        <v>Tigray</v>
      </c>
      <c r="L27" s="6" t="str">
        <f t="array" ref="L27">IFERROR(INDEX($B$22:$B$610,SMALL(IF($A$22:$A$610=L$21,ROW(ElecLine!$A$22:$A$610)),ElecLine!$E27)-ROW(RoadList)),"")</f>
        <v/>
      </c>
      <c r="M27" s="6" t="str">
        <f t="array" ref="M27">IFERROR(INDEX($B$22:$B$610,SMALL(IF($A$22:$A$610=M$21,ROW(ElecLine!$A$22:$A$610)),ElecLine!$E27)-ROW(RoadList)),"")</f>
        <v>Somali</v>
      </c>
      <c r="N27" s="6" t="str">
        <f t="array" ref="N27">IFERROR(INDEX($B$22:$B$610,SMALL(IF($A$22:$A$610=N$21,ROW(ElecLine!$A$22:$A$610)),ElecLine!$E27)-ROW(RoadList)),"")</f>
        <v>SNNPR</v>
      </c>
      <c r="O27" s="6" t="str">
        <f t="array" ref="O27">IFERROR(INDEX($B$22:$B$610,SMALL(IF($A$22:$A$610=O$21,ROW(ElecLine!$A$22:$A$610)),ElecLine!$E27)-ROW(RoadList)),"")</f>
        <v>Tigray</v>
      </c>
      <c r="P27" s="6" t="str">
        <f t="array" ref="P27">IFERROR(INDEX($B$22:$B$610,SMALL(IF($A$22:$A$610=P$21,ROW(ElecLine!$A$22:$A$610)),ElecLine!$E27)-ROW(RoadList)),"")</f>
        <v>SNNPR</v>
      </c>
    </row>
    <row r="28" spans="1:21">
      <c r="A28" s="5" t="s">
        <v>5</v>
      </c>
      <c r="B28" s="5" t="s">
        <v>12</v>
      </c>
      <c r="E28" s="6">
        <f t="shared" si="4"/>
        <v>7</v>
      </c>
      <c r="F28" s="6" t="str">
        <f t="array" ref="F28">IFERROR(INDEX($B$22:$B$610,SMALL(IF($A$22:$A$610=F$21,ROW(ElecLine!$A$22:$A$610)),ElecLine!$E28)-ROW(RoadList)),"")</f>
        <v>Oromia</v>
      </c>
      <c r="G28" s="6" t="str">
        <f t="array" ref="G28">IFERROR(INDEX($B$22:$B$610,SMALL(IF($A$22:$A$610=G$21,ROW(ElecLine!$A$22:$A$610)),ElecLine!$E28)-ROW(RoadList)),"")</f>
        <v/>
      </c>
      <c r="H28" s="6" t="str">
        <f t="array" ref="H28">IFERROR(INDEX($B$22:$B$610,SMALL(IF($A$22:$A$610=H$21,ROW(ElecLine!$A$22:$A$610)),ElecLine!$E28)-ROW(RoadList)),"")</f>
        <v/>
      </c>
      <c r="I28" s="6" t="str">
        <f t="array" ref="I28">IFERROR(INDEX($B$22:$B$610,SMALL(IF($A$22:$A$610=I$21,ROW(ElecLine!$A$22:$A$610)),ElecLine!$E28)-ROW(RoadList)),"")</f>
        <v/>
      </c>
      <c r="J28" s="6" t="str">
        <f t="array" ref="J28">IFERROR(INDEX($B$22:$B$610,SMALL(IF($A$22:$A$610=J$21,ROW(ElecLine!$A$22:$A$610)),ElecLine!$E28)-ROW(RoadList)),"")</f>
        <v/>
      </c>
      <c r="K28" s="6" t="str">
        <f t="array" ref="K28">IFERROR(INDEX($B$22:$B$610,SMALL(IF($A$22:$A$610=K$21,ROW(ElecLine!$A$22:$A$610)),ElecLine!$E28)-ROW(RoadList)),"")</f>
        <v/>
      </c>
      <c r="L28" s="6" t="str">
        <f t="array" ref="L28">IFERROR(INDEX($B$22:$B$610,SMALL(IF($A$22:$A$610=L$21,ROW(ElecLine!$A$22:$A$610)),ElecLine!$E28)-ROW(RoadList)),"")</f>
        <v/>
      </c>
      <c r="M28" s="6" t="str">
        <f t="array" ref="M28">IFERROR(INDEX($B$22:$B$610,SMALL(IF($A$22:$A$610=M$21,ROW(ElecLine!$A$22:$A$610)),ElecLine!$E28)-ROW(RoadList)),"")</f>
        <v/>
      </c>
      <c r="N28" s="6" t="str">
        <f t="array" ref="N28">IFERROR(INDEX($B$22:$B$610,SMALL(IF($A$22:$A$610=N$21,ROW(ElecLine!$A$22:$A$610)),ElecLine!$E28)-ROW(RoadList)),"")</f>
        <v/>
      </c>
      <c r="O28" s="6" t="str">
        <f t="array" ref="O28">IFERROR(INDEX($B$22:$B$610,SMALL(IF($A$22:$A$610=O$21,ROW(ElecLine!$A$22:$A$610)),ElecLine!$E28)-ROW(RoadList)),"")</f>
        <v/>
      </c>
      <c r="P28" s="6" t="str">
        <f t="array" ref="P28">IFERROR(INDEX($B$22:$B$610,SMALL(IF($A$22:$A$610=P$21,ROW(ElecLine!$A$22:$A$610)),ElecLine!$E28)-ROW(RoadList)),"")</f>
        <v/>
      </c>
    </row>
    <row r="29" spans="1:21">
      <c r="A29" s="5" t="s">
        <v>5</v>
      </c>
      <c r="B29" s="5" t="s">
        <v>19</v>
      </c>
      <c r="E29" s="6">
        <f t="shared" si="4"/>
        <v>8</v>
      </c>
      <c r="F29" s="6" t="str">
        <f t="array" ref="F29">IFERROR(INDEX($B$22:$B$610,SMALL(IF($A$22:$A$610=F$21,ROW(ElecLine!$A$22:$A$610)),ElecLine!$E29)-ROW(RoadList)),"")</f>
        <v>SNNPR</v>
      </c>
      <c r="G29" s="6" t="str">
        <f t="array" ref="G29">IFERROR(INDEX($B$22:$B$610,SMALL(IF($A$22:$A$610=G$21,ROW(ElecLine!$A$22:$A$610)),ElecLine!$E29)-ROW(RoadList)),"")</f>
        <v/>
      </c>
      <c r="H29" s="6" t="str">
        <f t="array" ref="H29">IFERROR(INDEX($B$22:$B$610,SMALL(IF($A$22:$A$610=H$21,ROW(ElecLine!$A$22:$A$610)),ElecLine!$E29)-ROW(RoadList)),"")</f>
        <v/>
      </c>
      <c r="I29" s="6" t="str">
        <f t="array" ref="I29">IFERROR(INDEX($B$22:$B$610,SMALL(IF($A$22:$A$610=I$21,ROW(ElecLine!$A$22:$A$610)),ElecLine!$E29)-ROW(RoadList)),"")</f>
        <v/>
      </c>
      <c r="J29" s="6" t="str">
        <f t="array" ref="J29">IFERROR(INDEX($B$22:$B$610,SMALL(IF($A$22:$A$610=J$21,ROW(ElecLine!$A$22:$A$610)),ElecLine!$E29)-ROW(RoadList)),"")</f>
        <v/>
      </c>
      <c r="K29" s="6" t="str">
        <f t="array" ref="K29">IFERROR(INDEX($B$22:$B$610,SMALL(IF($A$22:$A$610=K$21,ROW(ElecLine!$A$22:$A$610)),ElecLine!$E29)-ROW(RoadList)),"")</f>
        <v/>
      </c>
      <c r="L29" s="6" t="str">
        <f t="array" ref="L29">IFERROR(INDEX($B$22:$B$610,SMALL(IF($A$22:$A$610=L$21,ROW(ElecLine!$A$22:$A$610)),ElecLine!$E29)-ROW(RoadList)),"")</f>
        <v/>
      </c>
      <c r="M29" s="6" t="str">
        <f t="array" ref="M29">IFERROR(INDEX($B$22:$B$610,SMALL(IF($A$22:$A$610=M$21,ROW(ElecLine!$A$22:$A$610)),ElecLine!$E29)-ROW(RoadList)),"")</f>
        <v/>
      </c>
      <c r="N29" s="6" t="str">
        <f t="array" ref="N29">IFERROR(INDEX($B$22:$B$610,SMALL(IF($A$22:$A$610=N$21,ROW(ElecLine!$A$22:$A$610)),ElecLine!$E29)-ROW(RoadList)),"")</f>
        <v/>
      </c>
      <c r="O29" s="6" t="str">
        <f t="array" ref="O29">IFERROR(INDEX($B$22:$B$610,SMALL(IF($A$22:$A$610=O$21,ROW(ElecLine!$A$22:$A$610)),ElecLine!$E29)-ROW(RoadList)),"")</f>
        <v/>
      </c>
      <c r="P29" s="6" t="str">
        <f t="array" ref="P29">IFERROR(INDEX($B$22:$B$610,SMALL(IF($A$22:$A$610=P$21,ROW(ElecLine!$A$22:$A$610)),ElecLine!$E29)-ROW(RoadList)),"")</f>
        <v/>
      </c>
    </row>
    <row r="30" spans="1:21">
      <c r="A30" s="5" t="s">
        <v>5</v>
      </c>
      <c r="B30" s="5" t="s">
        <v>13</v>
      </c>
      <c r="E30" s="6">
        <f t="shared" si="4"/>
        <v>9</v>
      </c>
      <c r="F30" s="6" t="str">
        <f t="array" ref="F30">IFERROR(INDEX($B$22:$B$610,SMALL(IF($A$22:$A$610=F$21,ROW(ElecLine!$A$22:$A$610)),ElecLine!$E30)-ROW(RoadList)),"")</f>
        <v>Somali</v>
      </c>
      <c r="G30" s="6" t="str">
        <f t="array" ref="G30">IFERROR(INDEX($B$22:$B$610,SMALL(IF($A$22:$A$610=G$21,ROW(ElecLine!$A$22:$A$610)),ElecLine!$E30)-ROW(RoadList)),"")</f>
        <v/>
      </c>
      <c r="H30" s="6" t="str">
        <f t="array" ref="H30">IFERROR(INDEX($B$22:$B$610,SMALL(IF($A$22:$A$610=H$21,ROW(ElecLine!$A$22:$A$610)),ElecLine!$E30)-ROW(RoadList)),"")</f>
        <v/>
      </c>
      <c r="I30" s="6" t="str">
        <f t="array" ref="I30">IFERROR(INDEX($B$22:$B$610,SMALL(IF($A$22:$A$610=I$21,ROW(ElecLine!$A$22:$A$610)),ElecLine!$E30)-ROW(RoadList)),"")</f>
        <v/>
      </c>
      <c r="J30" s="6" t="str">
        <f t="array" ref="J30">IFERROR(INDEX($B$22:$B$610,SMALL(IF($A$22:$A$610=J$21,ROW(ElecLine!$A$22:$A$610)),ElecLine!$E30)-ROW(RoadList)),"")</f>
        <v/>
      </c>
      <c r="K30" s="6" t="str">
        <f t="array" ref="K30">IFERROR(INDEX($B$22:$B$610,SMALL(IF($A$22:$A$610=K$21,ROW(ElecLine!$A$22:$A$610)),ElecLine!$E30)-ROW(RoadList)),"")</f>
        <v/>
      </c>
      <c r="L30" s="6" t="str">
        <f t="array" ref="L30">IFERROR(INDEX($B$22:$B$610,SMALL(IF($A$22:$A$610=L$21,ROW(ElecLine!$A$22:$A$610)),ElecLine!$E30)-ROW(RoadList)),"")</f>
        <v/>
      </c>
      <c r="M30" s="6" t="str">
        <f t="array" ref="M30">IFERROR(INDEX($B$22:$B$610,SMALL(IF($A$22:$A$610=M$21,ROW(ElecLine!$A$22:$A$610)),ElecLine!$E30)-ROW(RoadList)),"")</f>
        <v/>
      </c>
      <c r="N30" s="6" t="str">
        <f t="array" ref="N30">IFERROR(INDEX($B$22:$B$610,SMALL(IF($A$22:$A$610=N$21,ROW(ElecLine!$A$22:$A$610)),ElecLine!$E30)-ROW(RoadList)),"")</f>
        <v/>
      </c>
      <c r="O30" s="6" t="str">
        <f t="array" ref="O30">IFERROR(INDEX($B$22:$B$610,SMALL(IF($A$22:$A$610=O$21,ROW(ElecLine!$A$22:$A$610)),ElecLine!$E30)-ROW(RoadList)),"")</f>
        <v/>
      </c>
      <c r="P30" s="6" t="str">
        <f t="array" ref="P30">IFERROR(INDEX($B$22:$B$610,SMALL(IF($A$22:$A$610=P$21,ROW(ElecLine!$A$22:$A$610)),ElecLine!$E30)-ROW(RoadList)),"")</f>
        <v/>
      </c>
    </row>
    <row r="31" spans="1:21">
      <c r="A31" s="5" t="s">
        <v>5</v>
      </c>
      <c r="B31" s="5" t="s">
        <v>14</v>
      </c>
      <c r="E31" s="6">
        <f t="shared" si="4"/>
        <v>10</v>
      </c>
      <c r="F31" s="6" t="str">
        <f t="array" ref="F31">IFERROR(INDEX($B$22:$B$610,SMALL(IF($A$22:$A$610=F$21,ROW(ElecLine!$A$22:$A$610)),ElecLine!$E31)-ROW(RoadList)),"")</f>
        <v>Tigray</v>
      </c>
      <c r="G31" s="6" t="str">
        <f t="array" ref="G31">IFERROR(INDEX($B$22:$B$610,SMALL(IF($A$22:$A$610=G$21,ROW(ElecLine!$A$22:$A$610)),ElecLine!$E31)-ROW(RoadList)),"")</f>
        <v/>
      </c>
      <c r="H31" s="6" t="str">
        <f t="array" ref="H31">IFERROR(INDEX($B$22:$B$610,SMALL(IF($A$22:$A$610=H$21,ROW(ElecLine!$A$22:$A$610)),ElecLine!$E31)-ROW(RoadList)),"")</f>
        <v/>
      </c>
      <c r="I31" s="6" t="str">
        <f t="array" ref="I31">IFERROR(INDEX($B$22:$B$610,SMALL(IF($A$22:$A$610=I$21,ROW(ElecLine!$A$22:$A$610)),ElecLine!$E31)-ROW(RoadList)),"")</f>
        <v/>
      </c>
      <c r="J31" s="6" t="str">
        <f t="array" ref="J31">IFERROR(INDEX($B$22:$B$610,SMALL(IF($A$22:$A$610=J$21,ROW(ElecLine!$A$22:$A$610)),ElecLine!$E31)-ROW(RoadList)),"")</f>
        <v/>
      </c>
      <c r="K31" s="6" t="str">
        <f t="array" ref="K31">IFERROR(INDEX($B$22:$B$610,SMALL(IF($A$22:$A$610=K$21,ROW(ElecLine!$A$22:$A$610)),ElecLine!$E31)-ROW(RoadList)),"")</f>
        <v/>
      </c>
      <c r="L31" s="6" t="str">
        <f t="array" ref="L31">IFERROR(INDEX($B$22:$B$610,SMALL(IF($A$22:$A$610=L$21,ROW(ElecLine!$A$22:$A$610)),ElecLine!$E31)-ROW(RoadList)),"")</f>
        <v/>
      </c>
      <c r="M31" s="6" t="str">
        <f t="array" ref="M31">IFERROR(INDEX($B$22:$B$610,SMALL(IF($A$22:$A$610=M$21,ROW(ElecLine!$A$22:$A$610)),ElecLine!$E31)-ROW(RoadList)),"")</f>
        <v/>
      </c>
      <c r="N31" s="6" t="str">
        <f t="array" ref="N31">IFERROR(INDEX($B$22:$B$610,SMALL(IF($A$22:$A$610=N$21,ROW(ElecLine!$A$22:$A$610)),ElecLine!$E31)-ROW(RoadList)),"")</f>
        <v/>
      </c>
      <c r="O31" s="6" t="str">
        <f t="array" ref="O31">IFERROR(INDEX($B$22:$B$610,SMALL(IF($A$22:$A$610=O$21,ROW(ElecLine!$A$22:$A$610)),ElecLine!$E31)-ROW(RoadList)),"")</f>
        <v/>
      </c>
      <c r="P31" s="6" t="str">
        <f t="array" ref="P31">IFERROR(INDEX($B$22:$B$610,SMALL(IF($A$22:$A$610=P$21,ROW(ElecLine!$A$22:$A$610)),ElecLine!$E31)-ROW(RoadList)),"")</f>
        <v/>
      </c>
    </row>
    <row r="32" spans="1:21">
      <c r="A32" s="5" t="s">
        <v>6</v>
      </c>
      <c r="B32" s="5" t="s">
        <v>5</v>
      </c>
      <c r="E32" s="6">
        <f t="shared" si="4"/>
        <v>11</v>
      </c>
      <c r="F32" s="6" t="str">
        <f t="array" ref="F32">IFERROR(INDEX($B$22:$B$610,SMALL(IF($A$22:$A$610=F$21,ROW(ElecLine!$A$22:$A$610)),ElecLine!$E32)-ROW(RoadList)),"")</f>
        <v/>
      </c>
      <c r="G32" s="6" t="str">
        <f t="array" ref="G32">IFERROR(INDEX($B$22:$B$610,SMALL(IF($A$22:$A$610=G$21,ROW(ElecLine!$A$22:$A$610)),ElecLine!$E32)-ROW(RoadList)),"")</f>
        <v/>
      </c>
      <c r="H32" s="6" t="str">
        <f t="array" ref="H32">IFERROR(INDEX($B$22:$B$610,SMALL(IF($A$22:$A$610=H$21,ROW(ElecLine!$A$22:$A$610)),ElecLine!$E32)-ROW(RoadList)),"")</f>
        <v/>
      </c>
      <c r="I32" s="6" t="str">
        <f t="array" ref="I32">IFERROR(INDEX($B$22:$B$610,SMALL(IF($A$22:$A$610=I$21,ROW(ElecLine!$A$22:$A$610)),ElecLine!$E32)-ROW(RoadList)),"")</f>
        <v/>
      </c>
      <c r="J32" s="6" t="str">
        <f t="array" ref="J32">IFERROR(INDEX($B$22:$B$610,SMALL(IF($A$22:$A$610=J$21,ROW(ElecLine!$A$22:$A$610)),ElecLine!$E32)-ROW(RoadList)),"")</f>
        <v/>
      </c>
      <c r="K32" s="6" t="str">
        <f t="array" ref="K32">IFERROR(INDEX($B$22:$B$610,SMALL(IF($A$22:$A$610=K$21,ROW(ElecLine!$A$22:$A$610)),ElecLine!$E32)-ROW(RoadList)),"")</f>
        <v/>
      </c>
      <c r="L32" s="6" t="str">
        <f t="array" ref="L32">IFERROR(INDEX($B$22:$B$610,SMALL(IF($A$22:$A$610=L$21,ROW(ElecLine!$A$22:$A$610)),ElecLine!$E32)-ROW(RoadList)),"")</f>
        <v/>
      </c>
      <c r="M32" s="6" t="str">
        <f t="array" ref="M32">IFERROR(INDEX($B$22:$B$610,SMALL(IF($A$22:$A$610=M$21,ROW(ElecLine!$A$22:$A$610)),ElecLine!$E32)-ROW(RoadList)),"")</f>
        <v/>
      </c>
      <c r="N32" s="6" t="str">
        <f t="array" ref="N32">IFERROR(INDEX($B$22:$B$610,SMALL(IF($A$22:$A$610=N$21,ROW(ElecLine!$A$22:$A$610)),ElecLine!$E32)-ROW(RoadList)),"")</f>
        <v/>
      </c>
      <c r="O32" s="6" t="str">
        <f t="array" ref="O32">IFERROR(INDEX($B$22:$B$610,SMALL(IF($A$22:$A$610=O$21,ROW(ElecLine!$A$22:$A$610)),ElecLine!$E32)-ROW(RoadList)),"")</f>
        <v/>
      </c>
      <c r="P32" s="6" t="str">
        <f t="array" ref="P32">IFERROR(INDEX($B$22:$B$610,SMALL(IF($A$22:$A$610=P$21,ROW(ElecLine!$A$22:$A$610)),ElecLine!$E32)-ROW(RoadList)),"")</f>
        <v/>
      </c>
    </row>
    <row r="33" spans="1:16">
      <c r="A33" s="5"/>
      <c r="B33" s="5"/>
      <c r="E33" s="6"/>
      <c r="F33" s="6" t="str">
        <f t="array" ref="F33">IFERROR(INDEX($B$22:$B$610,SMALL(IF($A$22:$A$610=F$21,ROW(ElecLine!$A$22:$A$610)),ElecLine!$E33)-ROW(RoadList)),"")</f>
        <v/>
      </c>
      <c r="G33" s="6" t="str">
        <f t="array" ref="G33">IFERROR(INDEX($B$22:$B$610,SMALL(IF($A$22:$A$610=G$21,ROW(ElecLine!$A$22:$A$610)),ElecLine!$E33)-ROW(RoadList)),"")</f>
        <v/>
      </c>
      <c r="H33" s="6" t="str">
        <f t="array" ref="H33">IFERROR(INDEX($B$22:$B$610,SMALL(IF($A$22:$A$610=H$21,ROW(ElecLine!$A$22:$A$610)),ElecLine!$E33)-ROW(RoadList)),"")</f>
        <v/>
      </c>
      <c r="I33" s="6" t="str">
        <f t="array" ref="I33">IFERROR(INDEX($B$22:$B$610,SMALL(IF($A$22:$A$610=I$21,ROW(ElecLine!$A$22:$A$610)),ElecLine!$E33)-ROW(RoadList)),"")</f>
        <v/>
      </c>
      <c r="J33" s="6" t="str">
        <f t="array" ref="J33">IFERROR(INDEX($B$22:$B$610,SMALL(IF($A$22:$A$610=J$21,ROW(ElecLine!$A$22:$A$610)),ElecLine!$E33)-ROW(RoadList)),"")</f>
        <v/>
      </c>
      <c r="K33" s="6" t="str">
        <f t="array" ref="K33">IFERROR(INDEX($B$22:$B$610,SMALL(IF($A$22:$A$610=K$21,ROW(ElecLine!$A$22:$A$610)),ElecLine!$E33)-ROW(RoadList)),"")</f>
        <v/>
      </c>
      <c r="L33" s="6" t="str">
        <f t="array" ref="L33">IFERROR(INDEX($B$22:$B$610,SMALL(IF($A$22:$A$610=L$21,ROW(ElecLine!$A$22:$A$610)),ElecLine!$E33)-ROW(RoadList)),"")</f>
        <v/>
      </c>
      <c r="M33" s="6" t="str">
        <f t="array" ref="M33">IFERROR(INDEX($B$22:$B$610,SMALL(IF($A$22:$A$610=M$21,ROW(ElecLine!$A$22:$A$610)),ElecLine!$E33)-ROW(RoadList)),"")</f>
        <v/>
      </c>
      <c r="N33" s="6" t="str">
        <f t="array" ref="N33">IFERROR(INDEX($B$22:$B$610,SMALL(IF($A$22:$A$610=N$21,ROW(ElecLine!$A$22:$A$610)),ElecLine!$E33)-ROW(RoadList)),"")</f>
        <v/>
      </c>
      <c r="O33" s="6" t="str">
        <f t="array" ref="O33">IFERROR(INDEX($B$22:$B$610,SMALL(IF($A$22:$A$610=O$21,ROW(ElecLine!$A$22:$A$610)),ElecLine!$E33)-ROW(RoadList)),"")</f>
        <v/>
      </c>
      <c r="P33" s="6" t="str">
        <f t="array" ref="P33">IFERROR(INDEX($B$22:$B$610,SMALL(IF($A$22:$A$610=P$21,ROW(ElecLine!$A$22:$A$610)),ElecLine!$E33)-ROW(RoadList)),"")</f>
        <v/>
      </c>
    </row>
    <row r="34" spans="1:16">
      <c r="A34" s="5" t="s">
        <v>6</v>
      </c>
      <c r="B34" s="5" t="s">
        <v>8</v>
      </c>
      <c r="E34" s="6"/>
      <c r="F34" s="6"/>
      <c r="G34" s="6"/>
      <c r="H34" s="6"/>
      <c r="I34" s="8"/>
      <c r="J34" s="8" t="str">
        <f>IF(ISERROR(INDEX($A$1:$B$8,SMALL(IF($A$1:$A$8=$E$1,ROW($A$1:$A$8)),ROW(1:1)),2)),"",INDEX($A$1:$B$8,SMALL(IF($A$1:$A$8=$E$1,ROW($A$1:$A$8)),ROW(1:1)),2))</f>
        <v/>
      </c>
      <c r="K34" s="6"/>
      <c r="L34" s="6"/>
      <c r="M34" s="6"/>
      <c r="N34" s="6"/>
      <c r="O34" s="6"/>
      <c r="P34" s="6"/>
    </row>
    <row r="35" spans="1:16">
      <c r="A35" s="5" t="s">
        <v>6</v>
      </c>
      <c r="B35" s="5" t="s">
        <v>11</v>
      </c>
      <c r="E35" s="6"/>
      <c r="F35" s="6"/>
      <c r="G35" s="6"/>
      <c r="H35" s="6"/>
      <c r="I35" s="8" t="str">
        <f t="array" ref="I35">IF(ISERROR(INDEX($A$1:$B$8,SMALL(IF($A$1:$A$8=$E$1,ROW($A$1:$A$8)),ROW(2:2)),2)),"",INDEX($A$1:$B$8,SMALL(IF($A$1:$A$8=$E$1,ROW($A$1:$A$8)),ROW(2:2)),2))</f>
        <v/>
      </c>
      <c r="J35" s="6"/>
      <c r="K35" s="6"/>
      <c r="L35" s="6"/>
      <c r="M35" s="6"/>
      <c r="N35" s="6"/>
      <c r="O35" s="6"/>
      <c r="P35" s="6"/>
    </row>
    <row r="36" spans="1:16">
      <c r="A36" s="5" t="s">
        <v>6</v>
      </c>
      <c r="B36" s="5" t="s">
        <v>12</v>
      </c>
      <c r="E36" s="6"/>
      <c r="F36" s="6"/>
      <c r="G36" s="6"/>
      <c r="H36" s="6"/>
      <c r="I36" s="8" t="str">
        <f t="array" ref="I36">IF(ISERROR(INDEX($A$1:$B$8,SMALL(IF($A$1:$A$8=$E$1,ROW($A$1:$A$8)),ROW(3:3)),2)),"",INDEX($A$1:$B$8,SMALL(IF($A$1:$A$8=$E$1,ROW($A$1:$A$8)),ROW(3:3)),2))</f>
        <v/>
      </c>
      <c r="J36" s="6"/>
      <c r="K36" s="6"/>
      <c r="L36" s="6"/>
      <c r="M36" s="6"/>
      <c r="N36" s="6"/>
      <c r="O36" s="6"/>
      <c r="P36" s="6"/>
    </row>
    <row r="37" spans="1:16">
      <c r="A37" s="5" t="s">
        <v>6</v>
      </c>
      <c r="B37" s="5" t="s">
        <v>19</v>
      </c>
      <c r="E37" s="6"/>
      <c r="F37" s="6"/>
      <c r="G37" s="6"/>
      <c r="H37" s="6"/>
      <c r="I37" s="8" t="str">
        <f t="array" ref="I37">IF(ISERROR(INDEX($A$1:$B$8,SMALL(IF($A$1:$A$8=$E$1,ROW($A$1:$A$8)),ROW(4:4)),2)),"",INDEX($A$1:$B$8,SMALL(IF($A$1:$A$8=$E$1,ROW($A$1:$A$8)),ROW(4:4)),2))</f>
        <v/>
      </c>
      <c r="J37" s="6"/>
      <c r="K37" s="6"/>
      <c r="L37" s="6"/>
      <c r="M37" s="6"/>
      <c r="N37" s="6"/>
      <c r="O37" s="6"/>
      <c r="P37" s="6"/>
    </row>
    <row r="38" spans="1:16">
      <c r="A38" s="5" t="s">
        <v>7</v>
      </c>
      <c r="B38" s="5" t="s">
        <v>5</v>
      </c>
      <c r="E38" s="6"/>
      <c r="F38" s="6"/>
      <c r="G38" s="6"/>
      <c r="H38" s="6"/>
      <c r="I38" s="8" t="str">
        <f t="array" ref="I38">IF(ISERROR(INDEX($A$1:$B$8,SMALL(IF($A$1:$A$8=$E$1,ROW($A$1:$A$8)),ROW(5:5)),2)),"",INDEX($A$1:$B$8,SMALL(IF($A$1:$A$8=$E$1,ROW($A$1:$A$8)),ROW(5:5)),2))</f>
        <v/>
      </c>
      <c r="J38" s="6"/>
      <c r="K38" s="6"/>
      <c r="L38" s="6"/>
      <c r="M38" s="6"/>
      <c r="N38" s="6"/>
      <c r="O38" s="6"/>
      <c r="P38" s="6"/>
    </row>
    <row r="39" spans="1:16">
      <c r="A39" s="5"/>
      <c r="B39" s="5"/>
    </row>
    <row r="40" spans="1:16">
      <c r="A40" s="5" t="s">
        <v>7</v>
      </c>
      <c r="B40" s="5" t="s">
        <v>11</v>
      </c>
    </row>
    <row r="41" spans="1:16">
      <c r="A41" s="5" t="s">
        <v>7</v>
      </c>
      <c r="B41" s="5" t="s">
        <v>19</v>
      </c>
    </row>
    <row r="42" spans="1:16">
      <c r="A42" s="5" t="s">
        <v>7</v>
      </c>
      <c r="B42" s="5" t="s">
        <v>13</v>
      </c>
    </row>
    <row r="43" spans="1:16">
      <c r="A43" s="5" t="s">
        <v>7</v>
      </c>
      <c r="B43" s="5" t="s">
        <v>14</v>
      </c>
    </row>
    <row r="44" spans="1:16">
      <c r="A44" s="5" t="s">
        <v>9</v>
      </c>
      <c r="B44" s="5" t="s">
        <v>5</v>
      </c>
    </row>
    <row r="45" spans="1:16">
      <c r="A45" s="5" t="s">
        <v>9</v>
      </c>
      <c r="B45" s="5" t="s">
        <v>10</v>
      </c>
    </row>
    <row r="46" spans="1:16">
      <c r="A46" s="5" t="s">
        <v>9</v>
      </c>
      <c r="B46" s="5" t="s">
        <v>8</v>
      </c>
    </row>
    <row r="47" spans="1:16">
      <c r="A47" s="5"/>
      <c r="B47" s="5"/>
    </row>
    <row r="48" spans="1:16">
      <c r="A48" s="5" t="s">
        <v>9</v>
      </c>
      <c r="B48" s="5" t="s">
        <v>12</v>
      </c>
    </row>
    <row r="49" spans="1:2">
      <c r="A49" s="5" t="s">
        <v>9</v>
      </c>
      <c r="B49" s="5" t="s">
        <v>14</v>
      </c>
    </row>
    <row r="50" spans="1:2">
      <c r="A50" s="5" t="s">
        <v>10</v>
      </c>
      <c r="B50" s="5" t="s">
        <v>5</v>
      </c>
    </row>
    <row r="51" spans="1:2">
      <c r="A51" s="5" t="s">
        <v>10</v>
      </c>
      <c r="B51" s="5" t="s">
        <v>6</v>
      </c>
    </row>
    <row r="52" spans="1:2">
      <c r="A52" s="5" t="s">
        <v>10</v>
      </c>
      <c r="B52" s="5" t="s">
        <v>9</v>
      </c>
    </row>
    <row r="53" spans="1:2">
      <c r="A53" s="5"/>
      <c r="B53" s="5"/>
    </row>
    <row r="54" spans="1:2">
      <c r="A54" s="5" t="s">
        <v>10</v>
      </c>
      <c r="B54" s="5" t="s">
        <v>19</v>
      </c>
    </row>
    <row r="55" spans="1:2">
      <c r="A55" s="5" t="s">
        <v>10</v>
      </c>
      <c r="B55" s="5" t="s">
        <v>13</v>
      </c>
    </row>
    <row r="56" spans="1:2">
      <c r="A56" s="5" t="s">
        <v>10</v>
      </c>
      <c r="B56" s="5" t="s">
        <v>14</v>
      </c>
    </row>
    <row r="57" spans="1:2">
      <c r="A57" s="5" t="s">
        <v>8</v>
      </c>
      <c r="B57" s="5" t="s">
        <v>5</v>
      </c>
    </row>
    <row r="58" spans="1:2">
      <c r="A58" s="5" t="s">
        <v>8</v>
      </c>
      <c r="B58" s="5" t="s">
        <v>6</v>
      </c>
    </row>
    <row r="59" spans="1:2">
      <c r="A59" s="5" t="s">
        <v>8</v>
      </c>
      <c r="B59" s="5" t="s">
        <v>7</v>
      </c>
    </row>
    <row r="60" spans="1:2">
      <c r="A60" s="5" t="s">
        <v>8</v>
      </c>
      <c r="B60" s="5" t="s">
        <v>9</v>
      </c>
    </row>
    <row r="61" spans="1:2">
      <c r="A61" s="5" t="s">
        <v>8</v>
      </c>
      <c r="B61" s="5" t="s">
        <v>12</v>
      </c>
    </row>
    <row r="62" spans="1:2">
      <c r="A62" s="5"/>
      <c r="B62" s="5"/>
    </row>
    <row r="63" spans="1:2">
      <c r="A63" s="5" t="s">
        <v>11</v>
      </c>
      <c r="B63" s="5" t="s">
        <v>5</v>
      </c>
    </row>
    <row r="64" spans="1:2">
      <c r="A64" s="5" t="s">
        <v>11</v>
      </c>
      <c r="B64" s="5" t="s">
        <v>6</v>
      </c>
    </row>
    <row r="65" spans="1:2">
      <c r="A65" s="5" t="s">
        <v>11</v>
      </c>
      <c r="B65" s="5" t="s">
        <v>7</v>
      </c>
    </row>
    <row r="66" spans="1:2">
      <c r="A66" s="5" t="s">
        <v>11</v>
      </c>
      <c r="B66" s="5" t="s">
        <v>9</v>
      </c>
    </row>
    <row r="67" spans="1:2">
      <c r="A67" s="5"/>
      <c r="B67" s="5"/>
    </row>
    <row r="68" spans="1:2">
      <c r="A68" s="5" t="s">
        <v>11</v>
      </c>
      <c r="B68" s="5" t="s">
        <v>13</v>
      </c>
    </row>
    <row r="69" spans="1:2">
      <c r="A69" s="5" t="s">
        <v>12</v>
      </c>
      <c r="B69" s="5" t="s">
        <v>5</v>
      </c>
    </row>
    <row r="70" spans="1:2">
      <c r="A70" s="5" t="s">
        <v>12</v>
      </c>
      <c r="B70" s="5" t="s">
        <v>6</v>
      </c>
    </row>
    <row r="71" spans="1:2">
      <c r="A71" s="5" t="s">
        <v>12</v>
      </c>
      <c r="B71" s="5" t="s">
        <v>9</v>
      </c>
    </row>
    <row r="72" spans="1:2">
      <c r="A72" s="5" t="s">
        <v>12</v>
      </c>
      <c r="B72" s="5" t="s">
        <v>10</v>
      </c>
    </row>
    <row r="73" spans="1:2">
      <c r="A73" s="5" t="s">
        <v>12</v>
      </c>
      <c r="B73" s="5" t="s">
        <v>8</v>
      </c>
    </row>
    <row r="74" spans="1:2">
      <c r="A74" s="5" t="s">
        <v>12</v>
      </c>
      <c r="B74" s="5" t="s">
        <v>13</v>
      </c>
    </row>
    <row r="75" spans="1:2">
      <c r="A75" s="5" t="s">
        <v>19</v>
      </c>
      <c r="B75" s="5" t="s">
        <v>5</v>
      </c>
    </row>
    <row r="76" spans="1:2">
      <c r="A76" s="5" t="s">
        <v>19</v>
      </c>
      <c r="B76" s="5" t="s">
        <v>6</v>
      </c>
    </row>
    <row r="77" spans="1:2">
      <c r="A77" s="5" t="s">
        <v>19</v>
      </c>
      <c r="B77" s="5" t="s">
        <v>7</v>
      </c>
    </row>
    <row r="78" spans="1:2">
      <c r="A78" s="5" t="s">
        <v>19</v>
      </c>
      <c r="B78" s="5" t="s">
        <v>10</v>
      </c>
    </row>
    <row r="79" spans="1:2">
      <c r="A79" s="5" t="s">
        <v>19</v>
      </c>
      <c r="B79" s="5" t="s">
        <v>11</v>
      </c>
    </row>
    <row r="80" spans="1:2">
      <c r="A80" s="5"/>
      <c r="B80" s="5"/>
    </row>
    <row r="81" spans="1:2">
      <c r="A81" s="5" t="s">
        <v>19</v>
      </c>
      <c r="B81" s="5" t="s">
        <v>14</v>
      </c>
    </row>
    <row r="82" spans="1:2">
      <c r="A82" s="5" t="s">
        <v>13</v>
      </c>
      <c r="B82" s="5" t="s">
        <v>5</v>
      </c>
    </row>
    <row r="83" spans="1:2">
      <c r="A83" s="5" t="s">
        <v>13</v>
      </c>
      <c r="B83" s="5" t="s">
        <v>7</v>
      </c>
    </row>
    <row r="84" spans="1:2">
      <c r="A84" s="5" t="s">
        <v>13</v>
      </c>
      <c r="B84" s="5" t="s">
        <v>10</v>
      </c>
    </row>
    <row r="85" spans="1:2">
      <c r="A85" s="5" t="s">
        <v>13</v>
      </c>
      <c r="B85" s="5" t="s">
        <v>11</v>
      </c>
    </row>
    <row r="86" spans="1:2">
      <c r="A86" s="5" t="s">
        <v>13</v>
      </c>
      <c r="B86" s="5" t="s">
        <v>12</v>
      </c>
    </row>
    <row r="87" spans="1:2">
      <c r="A87" s="5" t="s">
        <v>13</v>
      </c>
      <c r="B87" s="5" t="s">
        <v>19</v>
      </c>
    </row>
    <row r="88" spans="1:2">
      <c r="A88" s="5" t="s">
        <v>14</v>
      </c>
      <c r="B88" s="5" t="s">
        <v>5</v>
      </c>
    </row>
    <row r="89" spans="1:2">
      <c r="A89" s="5"/>
      <c r="B89" s="5"/>
    </row>
    <row r="90" spans="1:2">
      <c r="A90" s="5" t="s">
        <v>14</v>
      </c>
      <c r="B90" s="5" t="s">
        <v>9</v>
      </c>
    </row>
    <row r="91" spans="1:2">
      <c r="A91" s="5" t="s">
        <v>14</v>
      </c>
      <c r="B91" s="5" t="s">
        <v>10</v>
      </c>
    </row>
    <row r="92" spans="1:2">
      <c r="A92" s="5" t="s">
        <v>14</v>
      </c>
      <c r="B92" s="5" t="s">
        <v>8</v>
      </c>
    </row>
    <row r="93" spans="1:2">
      <c r="A93" s="5" t="s">
        <v>14</v>
      </c>
      <c r="B93" s="5" t="s">
        <v>11</v>
      </c>
    </row>
    <row r="94" spans="1:2">
      <c r="A94" s="5" t="s">
        <v>14</v>
      </c>
      <c r="B94" s="5" t="s">
        <v>19</v>
      </c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0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6"/>
  <sheetViews>
    <sheetView workbookViewId="0">
      <selection activeCell="B16" sqref="B10:B16"/>
    </sheetView>
  </sheetViews>
  <sheetFormatPr defaultColWidth="8.875" defaultRowHeight="15.75"/>
  <sheetData>
    <row r="1" spans="1:2">
      <c r="A1">
        <f t="array" ref="A1:A16">Years</f>
        <v>2015</v>
      </c>
      <c r="B1">
        <v>1</v>
      </c>
    </row>
    <row r="2" spans="1:2">
      <c r="A2">
        <v>2016</v>
      </c>
      <c r="B2" s="2">
        <f>B1*0.99</f>
        <v>0.99</v>
      </c>
    </row>
    <row r="3" spans="1:2">
      <c r="A3">
        <v>2017</v>
      </c>
      <c r="B3" s="2">
        <f t="shared" ref="B3:B16" si="0">B2*0.99</f>
        <v>0.98009999999999997</v>
      </c>
    </row>
    <row r="4" spans="1:2">
      <c r="A4">
        <v>2018</v>
      </c>
      <c r="B4" s="2">
        <f t="shared" si="0"/>
        <v>0.97029899999999991</v>
      </c>
    </row>
    <row r="5" spans="1:2">
      <c r="A5">
        <v>2019</v>
      </c>
      <c r="B5" s="2">
        <f t="shared" si="0"/>
        <v>0.96059600999999994</v>
      </c>
    </row>
    <row r="6" spans="1:2">
      <c r="A6">
        <v>2020</v>
      </c>
      <c r="B6" s="2">
        <f t="shared" si="0"/>
        <v>0.95099004989999991</v>
      </c>
    </row>
    <row r="7" spans="1:2">
      <c r="A7">
        <v>2021</v>
      </c>
      <c r="B7" s="2">
        <f t="shared" si="0"/>
        <v>0.94148014940099989</v>
      </c>
    </row>
    <row r="8" spans="1:2">
      <c r="A8">
        <v>2022</v>
      </c>
      <c r="B8" s="2">
        <f t="shared" si="0"/>
        <v>0.93206534790698992</v>
      </c>
    </row>
    <row r="9" spans="1:2">
      <c r="A9">
        <v>2023</v>
      </c>
      <c r="B9" s="2">
        <f t="shared" si="0"/>
        <v>0.92274469442791995</v>
      </c>
    </row>
    <row r="10" spans="1:2">
      <c r="A10">
        <v>2024</v>
      </c>
      <c r="B10" s="2">
        <f t="shared" si="0"/>
        <v>0.91351724748364072</v>
      </c>
    </row>
    <row r="11" spans="1:2">
      <c r="A11">
        <v>2025</v>
      </c>
      <c r="B11" s="2">
        <f t="shared" si="0"/>
        <v>0.9043820750088043</v>
      </c>
    </row>
    <row r="12" spans="1:2">
      <c r="A12">
        <v>2026</v>
      </c>
      <c r="B12" s="2">
        <f t="shared" si="0"/>
        <v>0.89533825425871627</v>
      </c>
    </row>
    <row r="13" spans="1:2">
      <c r="A13">
        <v>2027</v>
      </c>
      <c r="B13" s="2">
        <f t="shared" si="0"/>
        <v>0.88638487171612912</v>
      </c>
    </row>
    <row r="14" spans="1:2">
      <c r="A14">
        <v>2028</v>
      </c>
      <c r="B14" s="2">
        <f t="shared" si="0"/>
        <v>0.87752102299896784</v>
      </c>
    </row>
    <row r="15" spans="1:2">
      <c r="A15">
        <v>2029</v>
      </c>
      <c r="B15" s="2">
        <f t="shared" si="0"/>
        <v>0.86874581276897811</v>
      </c>
    </row>
    <row r="16" spans="1:2">
      <c r="A16">
        <v>2030</v>
      </c>
      <c r="B16" s="2">
        <f t="shared" si="0"/>
        <v>0.86005835464128833</v>
      </c>
    </row>
  </sheetData>
  <pageMargins left="0.75" right="0.75" top="1" bottom="1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68"/>
  <sheetViews>
    <sheetView zoomScale="85" zoomScaleNormal="85" workbookViewId="0">
      <selection activeCell="A3" sqref="A3:A68"/>
    </sheetView>
  </sheetViews>
  <sheetFormatPr defaultColWidth="8.875" defaultRowHeight="15.75"/>
  <cols>
    <col min="1" max="1" width="10.125" bestFit="1" customWidth="1"/>
    <col min="2" max="2" width="10.625" bestFit="1" customWidth="1"/>
  </cols>
  <sheetData>
    <row r="1" spans="1:34">
      <c r="C1">
        <v>2015</v>
      </c>
      <c r="D1">
        <v>2015</v>
      </c>
      <c r="E1">
        <f>C1+1</f>
        <v>2016</v>
      </c>
      <c r="F1">
        <f t="shared" ref="F1:AH1" si="0">D1+1</f>
        <v>2016</v>
      </c>
      <c r="G1">
        <f t="shared" si="0"/>
        <v>2017</v>
      </c>
      <c r="H1">
        <f t="shared" si="0"/>
        <v>2017</v>
      </c>
      <c r="I1">
        <f t="shared" si="0"/>
        <v>2018</v>
      </c>
      <c r="J1">
        <f t="shared" si="0"/>
        <v>2018</v>
      </c>
      <c r="K1">
        <f t="shared" si="0"/>
        <v>2019</v>
      </c>
      <c r="L1">
        <f t="shared" si="0"/>
        <v>2019</v>
      </c>
      <c r="M1">
        <f t="shared" si="0"/>
        <v>2020</v>
      </c>
      <c r="N1">
        <f t="shared" si="0"/>
        <v>2020</v>
      </c>
      <c r="O1">
        <f t="shared" si="0"/>
        <v>2021</v>
      </c>
      <c r="P1">
        <f t="shared" si="0"/>
        <v>2021</v>
      </c>
      <c r="Q1">
        <f t="shared" si="0"/>
        <v>2022</v>
      </c>
      <c r="R1">
        <f t="shared" si="0"/>
        <v>2022</v>
      </c>
      <c r="S1">
        <f t="shared" si="0"/>
        <v>2023</v>
      </c>
      <c r="T1">
        <f t="shared" si="0"/>
        <v>2023</v>
      </c>
      <c r="U1">
        <f t="shared" si="0"/>
        <v>2024</v>
      </c>
      <c r="V1">
        <f t="shared" si="0"/>
        <v>2024</v>
      </c>
      <c r="W1">
        <f t="shared" si="0"/>
        <v>2025</v>
      </c>
      <c r="X1">
        <f t="shared" si="0"/>
        <v>2025</v>
      </c>
      <c r="Y1">
        <f t="shared" si="0"/>
        <v>2026</v>
      </c>
      <c r="Z1">
        <f t="shared" si="0"/>
        <v>2026</v>
      </c>
      <c r="AA1">
        <f t="shared" si="0"/>
        <v>2027</v>
      </c>
      <c r="AB1">
        <f t="shared" si="0"/>
        <v>2027</v>
      </c>
      <c r="AC1">
        <f t="shared" si="0"/>
        <v>2028</v>
      </c>
      <c r="AD1">
        <f t="shared" si="0"/>
        <v>2028</v>
      </c>
      <c r="AE1">
        <f t="shared" si="0"/>
        <v>2029</v>
      </c>
      <c r="AF1">
        <f t="shared" si="0"/>
        <v>2029</v>
      </c>
      <c r="AG1">
        <f t="shared" si="0"/>
        <v>2030</v>
      </c>
      <c r="AH1">
        <f t="shared" si="0"/>
        <v>2030</v>
      </c>
    </row>
    <row r="2" spans="1:34">
      <c r="C2" t="str">
        <f t="array" ref="C2:D2">TRANSPOSE(Seasons)</f>
        <v>Belg</v>
      </c>
      <c r="D2" t="str">
        <v>Kremt</v>
      </c>
      <c r="E2" t="str">
        <f>C2</f>
        <v>Belg</v>
      </c>
      <c r="F2" t="str">
        <f t="shared" ref="F2:AH2" si="1">D2</f>
        <v>Kremt</v>
      </c>
      <c r="G2" t="str">
        <f t="shared" si="1"/>
        <v>Belg</v>
      </c>
      <c r="H2" t="str">
        <f t="shared" si="1"/>
        <v>Kremt</v>
      </c>
      <c r="I2" t="str">
        <f t="shared" si="1"/>
        <v>Belg</v>
      </c>
      <c r="J2" t="str">
        <f t="shared" si="1"/>
        <v>Kremt</v>
      </c>
      <c r="K2" t="str">
        <f t="shared" si="1"/>
        <v>Belg</v>
      </c>
      <c r="L2" t="str">
        <f t="shared" si="1"/>
        <v>Kremt</v>
      </c>
      <c r="M2" t="str">
        <f t="shared" si="1"/>
        <v>Belg</v>
      </c>
      <c r="N2" t="str">
        <f t="shared" si="1"/>
        <v>Kremt</v>
      </c>
      <c r="O2" t="str">
        <f t="shared" si="1"/>
        <v>Belg</v>
      </c>
      <c r="P2" t="str">
        <f t="shared" si="1"/>
        <v>Kremt</v>
      </c>
      <c r="Q2" t="str">
        <f t="shared" si="1"/>
        <v>Belg</v>
      </c>
      <c r="R2" t="str">
        <f t="shared" si="1"/>
        <v>Kremt</v>
      </c>
      <c r="S2" t="str">
        <f t="shared" si="1"/>
        <v>Belg</v>
      </c>
      <c r="T2" t="str">
        <f t="shared" si="1"/>
        <v>Kremt</v>
      </c>
      <c r="U2" t="str">
        <f t="shared" si="1"/>
        <v>Belg</v>
      </c>
      <c r="V2" t="str">
        <f t="shared" si="1"/>
        <v>Kremt</v>
      </c>
      <c r="W2" t="str">
        <f t="shared" si="1"/>
        <v>Belg</v>
      </c>
      <c r="X2" t="str">
        <f t="shared" si="1"/>
        <v>Kremt</v>
      </c>
      <c r="Y2" t="str">
        <f t="shared" si="1"/>
        <v>Belg</v>
      </c>
      <c r="Z2" t="str">
        <f t="shared" si="1"/>
        <v>Kremt</v>
      </c>
      <c r="AA2" t="str">
        <f t="shared" si="1"/>
        <v>Belg</v>
      </c>
      <c r="AB2" t="str">
        <f t="shared" si="1"/>
        <v>Kremt</v>
      </c>
      <c r="AC2" t="str">
        <f t="shared" si="1"/>
        <v>Belg</v>
      </c>
      <c r="AD2" t="str">
        <f t="shared" si="1"/>
        <v>Kremt</v>
      </c>
      <c r="AE2" t="str">
        <f t="shared" si="1"/>
        <v>Belg</v>
      </c>
      <c r="AF2" t="str">
        <f t="shared" si="1"/>
        <v>Kremt</v>
      </c>
      <c r="AG2" t="str">
        <f t="shared" si="1"/>
        <v>Belg</v>
      </c>
      <c r="AH2" t="str">
        <f t="shared" si="1"/>
        <v>Kremt</v>
      </c>
    </row>
    <row r="3" spans="1:34">
      <c r="A3" t="str">
        <f>sets!$H$3</f>
        <v>Teff</v>
      </c>
      <c r="B3" t="str">
        <f t="array" ref="B3:B13">Nodes</f>
        <v>AddisAbaba</v>
      </c>
      <c r="C3" s="2">
        <f t="shared" ref="C3:C34" ca="1" si="2">RAND()*0.1+0.2</f>
        <v>0.27319431703004521</v>
      </c>
      <c r="D3" s="2">
        <f t="shared" ref="D3:AH11" ca="1" si="3">RAND()*0.1+0.2</f>
        <v>0.27187286724966564</v>
      </c>
      <c r="E3" s="2">
        <f t="shared" ca="1" si="3"/>
        <v>0.27810115447656736</v>
      </c>
      <c r="F3" s="2">
        <f t="shared" ca="1" si="3"/>
        <v>0.29482553948307721</v>
      </c>
      <c r="G3" s="2">
        <f t="shared" ca="1" si="3"/>
        <v>0.21269103901455938</v>
      </c>
      <c r="H3" s="2">
        <f t="shared" ca="1" si="3"/>
        <v>0.21495140560867418</v>
      </c>
      <c r="I3" s="2">
        <f t="shared" ca="1" si="3"/>
        <v>0.28400651589146786</v>
      </c>
      <c r="J3" s="2">
        <f t="shared" ca="1" si="3"/>
        <v>0.26513733823671765</v>
      </c>
      <c r="K3" s="2">
        <f t="shared" ca="1" si="3"/>
        <v>0.24314915358491021</v>
      </c>
      <c r="L3" s="2">
        <f t="shared" ca="1" si="3"/>
        <v>0.23672277036923134</v>
      </c>
      <c r="M3" s="2">
        <f t="shared" ca="1" si="3"/>
        <v>0.29736985830398749</v>
      </c>
      <c r="N3" s="2">
        <f t="shared" ca="1" si="3"/>
        <v>0.20339476948854274</v>
      </c>
      <c r="O3" s="2">
        <f t="shared" ca="1" si="3"/>
        <v>0.2854309366865353</v>
      </c>
      <c r="P3" s="2">
        <f t="shared" ca="1" si="3"/>
        <v>0.24513107975658296</v>
      </c>
      <c r="Q3" s="2">
        <f t="shared" ca="1" si="3"/>
        <v>0.28617538895143491</v>
      </c>
      <c r="R3" s="2">
        <f t="shared" ca="1" si="3"/>
        <v>0.24430806940215183</v>
      </c>
      <c r="S3" s="2">
        <f t="shared" ca="1" si="3"/>
        <v>0.25295841675292646</v>
      </c>
      <c r="T3" s="2">
        <f t="shared" ca="1" si="3"/>
        <v>0.22380583342033997</v>
      </c>
      <c r="U3" s="2">
        <f t="shared" ca="1" si="3"/>
        <v>0.26558491191550671</v>
      </c>
      <c r="V3" s="2">
        <f t="shared" ca="1" si="3"/>
        <v>0.26159201986928632</v>
      </c>
      <c r="W3" s="2">
        <f t="shared" ca="1" si="3"/>
        <v>0.2074642499150027</v>
      </c>
      <c r="X3" s="2">
        <f t="shared" ca="1" si="3"/>
        <v>0.23357845186957973</v>
      </c>
      <c r="Y3" s="2">
        <f t="shared" ca="1" si="3"/>
        <v>0.29422060771208386</v>
      </c>
      <c r="Z3" s="2">
        <f t="shared" ca="1" si="3"/>
        <v>0.26659324613149754</v>
      </c>
      <c r="AA3" s="2">
        <f t="shared" ca="1" si="3"/>
        <v>0.29934070821872394</v>
      </c>
      <c r="AB3" s="2">
        <f t="shared" ca="1" si="3"/>
        <v>0.27017424867997902</v>
      </c>
      <c r="AC3" s="2">
        <f t="shared" ca="1" si="3"/>
        <v>0.22926109863362062</v>
      </c>
      <c r="AD3" s="2">
        <f t="shared" ca="1" si="3"/>
        <v>0.27974340581382462</v>
      </c>
      <c r="AE3" s="2">
        <f t="shared" ca="1" si="3"/>
        <v>0.20105218586186543</v>
      </c>
      <c r="AF3" s="2">
        <f t="shared" ca="1" si="3"/>
        <v>0.28527540405573992</v>
      </c>
      <c r="AG3" s="2">
        <f t="shared" ca="1" si="3"/>
        <v>0.28941389989812055</v>
      </c>
      <c r="AH3" s="2">
        <f t="shared" ca="1" si="3"/>
        <v>0.28444495396434299</v>
      </c>
    </row>
    <row r="4" spans="1:34">
      <c r="A4" t="str">
        <f>sets!$H$3</f>
        <v>Teff</v>
      </c>
      <c r="B4" t="str">
        <v>Afar</v>
      </c>
      <c r="C4" s="2">
        <f t="shared" ca="1" si="2"/>
        <v>0.26520776166953813</v>
      </c>
      <c r="D4" s="2">
        <f t="shared" ca="1" si="3"/>
        <v>0.28531510971384744</v>
      </c>
      <c r="E4" s="2">
        <f t="shared" ca="1" si="3"/>
        <v>0.27055767910491024</v>
      </c>
      <c r="F4" s="2">
        <f t="shared" ca="1" si="3"/>
        <v>0.2739124880397964</v>
      </c>
      <c r="G4" s="2">
        <f t="shared" ca="1" si="3"/>
        <v>0.22670205285666739</v>
      </c>
      <c r="H4" s="2">
        <f t="shared" ca="1" si="3"/>
        <v>0.21020046797315767</v>
      </c>
      <c r="I4" s="2">
        <f t="shared" ca="1" si="3"/>
        <v>0.22431054012140217</v>
      </c>
      <c r="J4" s="2">
        <f t="shared" ca="1" si="3"/>
        <v>0.28706687639524964</v>
      </c>
      <c r="K4" s="2">
        <f t="shared" ca="1" si="3"/>
        <v>0.268270203402663</v>
      </c>
      <c r="L4" s="2">
        <f t="shared" ca="1" si="3"/>
        <v>0.23398278525097788</v>
      </c>
      <c r="M4" s="2">
        <f t="shared" ca="1" si="3"/>
        <v>0.21415743601956758</v>
      </c>
      <c r="N4" s="2">
        <f t="shared" ca="1" si="3"/>
        <v>0.24060349912135598</v>
      </c>
      <c r="O4" s="2">
        <f t="shared" ca="1" si="3"/>
        <v>0.26145153446987163</v>
      </c>
      <c r="P4" s="2">
        <f t="shared" ca="1" si="3"/>
        <v>0.24540701941442131</v>
      </c>
      <c r="Q4" s="2">
        <f t="shared" ca="1" si="3"/>
        <v>0.21280757128708766</v>
      </c>
      <c r="R4" s="2">
        <f t="shared" ca="1" si="3"/>
        <v>0.24946325546577658</v>
      </c>
      <c r="S4" s="2">
        <f t="shared" ca="1" si="3"/>
        <v>0.23521989272762359</v>
      </c>
      <c r="T4" s="2">
        <f t="shared" ca="1" si="3"/>
        <v>0.27266668268641764</v>
      </c>
      <c r="U4" s="2">
        <f t="shared" ca="1" si="3"/>
        <v>0.20043364924851736</v>
      </c>
      <c r="V4" s="2">
        <f t="shared" ca="1" si="3"/>
        <v>0.2536769541419357</v>
      </c>
      <c r="W4" s="2">
        <f t="shared" ca="1" si="3"/>
        <v>0.24890797475304899</v>
      </c>
      <c r="X4" s="2">
        <f t="shared" ca="1" si="3"/>
        <v>0.28530330214864402</v>
      </c>
      <c r="Y4" s="2">
        <f t="shared" ca="1" si="3"/>
        <v>0.27924255913240476</v>
      </c>
      <c r="Z4" s="2">
        <f t="shared" ca="1" si="3"/>
        <v>0.21449100302542023</v>
      </c>
      <c r="AA4" s="2">
        <f t="shared" ca="1" si="3"/>
        <v>0.23342340482318927</v>
      </c>
      <c r="AB4" s="2">
        <f t="shared" ca="1" si="3"/>
        <v>0.26427132987220503</v>
      </c>
      <c r="AC4" s="2">
        <f t="shared" ca="1" si="3"/>
        <v>0.23311291567282266</v>
      </c>
      <c r="AD4" s="2">
        <f t="shared" ca="1" si="3"/>
        <v>0.25841666145015596</v>
      </c>
      <c r="AE4" s="2">
        <f t="shared" ca="1" si="3"/>
        <v>0.27135996776865673</v>
      </c>
      <c r="AF4" s="2">
        <f t="shared" ca="1" si="3"/>
        <v>0.25967570301243065</v>
      </c>
      <c r="AG4" s="2">
        <f t="shared" ca="1" si="3"/>
        <v>0.29298415652712229</v>
      </c>
      <c r="AH4" s="2">
        <f t="shared" ca="1" si="3"/>
        <v>0.22195224881778242</v>
      </c>
    </row>
    <row r="5" spans="1:34">
      <c r="A5" t="str">
        <f>sets!$H$3</f>
        <v>Teff</v>
      </c>
      <c r="B5" t="str">
        <v>Amhara</v>
      </c>
      <c r="C5" s="2">
        <f t="shared" ca="1" si="2"/>
        <v>0.28503599235273525</v>
      </c>
      <c r="D5" s="2">
        <f t="shared" ca="1" si="3"/>
        <v>0.27843396488572913</v>
      </c>
      <c r="E5" s="2">
        <f t="shared" ca="1" si="3"/>
        <v>0.25293627326527368</v>
      </c>
      <c r="F5" s="2">
        <f t="shared" ca="1" si="3"/>
        <v>0.2566016564574094</v>
      </c>
      <c r="G5" s="2">
        <f t="shared" ca="1" si="3"/>
        <v>0.23071665885394504</v>
      </c>
      <c r="H5" s="2">
        <f t="shared" ca="1" si="3"/>
        <v>0.29274046067057347</v>
      </c>
      <c r="I5" s="2">
        <f t="shared" ca="1" si="3"/>
        <v>0.24720954655319738</v>
      </c>
      <c r="J5" s="2">
        <f t="shared" ca="1" si="3"/>
        <v>0.22073031116310682</v>
      </c>
      <c r="K5" s="2">
        <f t="shared" ca="1" si="3"/>
        <v>0.26685400845646229</v>
      </c>
      <c r="L5" s="2">
        <f t="shared" ca="1" si="3"/>
        <v>0.28170377284693193</v>
      </c>
      <c r="M5" s="2">
        <f t="shared" ca="1" si="3"/>
        <v>0.26261269468403958</v>
      </c>
      <c r="N5" s="2">
        <f t="shared" ca="1" si="3"/>
        <v>0.25130092264901394</v>
      </c>
      <c r="O5" s="2">
        <f t="shared" ca="1" si="3"/>
        <v>0.25303619863275517</v>
      </c>
      <c r="P5" s="2">
        <f t="shared" ca="1" si="3"/>
        <v>0.22905289723553074</v>
      </c>
      <c r="Q5" s="2">
        <f t="shared" ca="1" si="3"/>
        <v>0.22933704276705391</v>
      </c>
      <c r="R5" s="2">
        <f t="shared" ca="1" si="3"/>
        <v>0.26664464141123584</v>
      </c>
      <c r="S5" s="2">
        <f t="shared" ca="1" si="3"/>
        <v>0.27761335860998682</v>
      </c>
      <c r="T5" s="2">
        <f t="shared" ca="1" si="3"/>
        <v>0.21882563594139678</v>
      </c>
      <c r="U5" s="2">
        <f t="shared" ca="1" si="3"/>
        <v>0.20474700734448542</v>
      </c>
      <c r="V5" s="2">
        <f t="shared" ca="1" si="3"/>
        <v>0.24522923294263554</v>
      </c>
      <c r="W5" s="2">
        <f t="shared" ca="1" si="3"/>
        <v>0.2427590063514273</v>
      </c>
      <c r="X5" s="2">
        <f t="shared" ca="1" si="3"/>
        <v>0.23436962883954604</v>
      </c>
      <c r="Y5" s="2">
        <f t="shared" ca="1" si="3"/>
        <v>0.21391740686497845</v>
      </c>
      <c r="Z5" s="2">
        <f t="shared" ca="1" si="3"/>
        <v>0.24841291838621943</v>
      </c>
      <c r="AA5" s="2">
        <f t="shared" ca="1" si="3"/>
        <v>0.28839619369309188</v>
      </c>
      <c r="AB5" s="2">
        <f t="shared" ca="1" si="3"/>
        <v>0.22617131491755943</v>
      </c>
      <c r="AC5" s="2">
        <f t="shared" ca="1" si="3"/>
        <v>0.26193273953983404</v>
      </c>
      <c r="AD5" s="2">
        <f t="shared" ca="1" si="3"/>
        <v>0.22546050098629838</v>
      </c>
      <c r="AE5" s="2">
        <f t="shared" ca="1" si="3"/>
        <v>0.25476955157552944</v>
      </c>
      <c r="AF5" s="2">
        <f t="shared" ca="1" si="3"/>
        <v>0.27795032516417739</v>
      </c>
      <c r="AG5" s="2">
        <f t="shared" ca="1" si="3"/>
        <v>0.27435560128571507</v>
      </c>
      <c r="AH5" s="2">
        <f t="shared" ca="1" si="3"/>
        <v>0.29875461518331836</v>
      </c>
    </row>
    <row r="6" spans="1:34">
      <c r="A6" t="str">
        <f>sets!$H$3</f>
        <v>Teff</v>
      </c>
      <c r="B6" t="str">
        <v>Gumuz</v>
      </c>
      <c r="C6" s="2">
        <f t="shared" ca="1" si="2"/>
        <v>0.2567484829194232</v>
      </c>
      <c r="D6" s="2">
        <f t="shared" ca="1" si="3"/>
        <v>0.29202290271484571</v>
      </c>
      <c r="E6" s="2">
        <f t="shared" ca="1" si="3"/>
        <v>0.22879877799110396</v>
      </c>
      <c r="F6" s="2">
        <f t="shared" ca="1" si="3"/>
        <v>0.22852925505239335</v>
      </c>
      <c r="G6" s="2">
        <f t="shared" ca="1" si="3"/>
        <v>0.20534973109988802</v>
      </c>
      <c r="H6" s="2">
        <f t="shared" ca="1" si="3"/>
        <v>0.2228345714284076</v>
      </c>
      <c r="I6" s="2">
        <f t="shared" ca="1" si="3"/>
        <v>0.28814732743153909</v>
      </c>
      <c r="J6" s="2">
        <f t="shared" ca="1" si="3"/>
        <v>0.26463612167394535</v>
      </c>
      <c r="K6" s="2">
        <f t="shared" ca="1" si="3"/>
        <v>0.27547768865340305</v>
      </c>
      <c r="L6" s="2">
        <f t="shared" ca="1" si="3"/>
        <v>0.24324185411147742</v>
      </c>
      <c r="M6" s="2">
        <f t="shared" ca="1" si="3"/>
        <v>0.24225032350968054</v>
      </c>
      <c r="N6" s="2">
        <f t="shared" ca="1" si="3"/>
        <v>0.24744955318260459</v>
      </c>
      <c r="O6" s="2">
        <f t="shared" ca="1" si="3"/>
        <v>0.25591013552234232</v>
      </c>
      <c r="P6" s="2">
        <f t="shared" ca="1" si="3"/>
        <v>0.28731411178698163</v>
      </c>
      <c r="Q6" s="2">
        <f t="shared" ca="1" si="3"/>
        <v>0.24435369543881968</v>
      </c>
      <c r="R6" s="2">
        <f t="shared" ca="1" si="3"/>
        <v>0.2541020043650471</v>
      </c>
      <c r="S6" s="2">
        <f t="shared" ca="1" si="3"/>
        <v>0.21499270026674336</v>
      </c>
      <c r="T6" s="2">
        <f t="shared" ca="1" si="3"/>
        <v>0.22807468308457021</v>
      </c>
      <c r="U6" s="2">
        <f t="shared" ca="1" si="3"/>
        <v>0.24813250987345653</v>
      </c>
      <c r="V6" s="2">
        <f t="shared" ca="1" si="3"/>
        <v>0.22512963159742119</v>
      </c>
      <c r="W6" s="2">
        <f t="shared" ca="1" si="3"/>
        <v>0.2563472402627599</v>
      </c>
      <c r="X6" s="2">
        <f t="shared" ca="1" si="3"/>
        <v>0.26266613928298838</v>
      </c>
      <c r="Y6" s="2">
        <f t="shared" ca="1" si="3"/>
        <v>0.25880339696080457</v>
      </c>
      <c r="Z6" s="2">
        <f t="shared" ca="1" si="3"/>
        <v>0.24513919796521672</v>
      </c>
      <c r="AA6" s="2">
        <f t="shared" ca="1" si="3"/>
        <v>0.22408591790023699</v>
      </c>
      <c r="AB6" s="2">
        <f t="shared" ca="1" si="3"/>
        <v>0.2906681851152601</v>
      </c>
      <c r="AC6" s="2">
        <f t="shared" ca="1" si="3"/>
        <v>0.25580635129881146</v>
      </c>
      <c r="AD6" s="2">
        <f t="shared" ca="1" si="3"/>
        <v>0.27645365199168354</v>
      </c>
      <c r="AE6" s="2">
        <f t="shared" ca="1" si="3"/>
        <v>0.22365709905319633</v>
      </c>
      <c r="AF6" s="2">
        <f t="shared" ca="1" si="3"/>
        <v>0.25684276471163536</v>
      </c>
      <c r="AG6" s="2">
        <f t="shared" ca="1" si="3"/>
        <v>0.20684443083971335</v>
      </c>
      <c r="AH6" s="2">
        <f t="shared" ca="1" si="3"/>
        <v>0.20325018696238273</v>
      </c>
    </row>
    <row r="7" spans="1:34">
      <c r="A7" t="str">
        <f>sets!$H$3</f>
        <v>Teff</v>
      </c>
      <c r="B7" t="str">
        <v>DireDawa</v>
      </c>
      <c r="C7" s="2">
        <f t="shared" ca="1" si="2"/>
        <v>0.27123913064562422</v>
      </c>
      <c r="D7" s="2">
        <f t="shared" ca="1" si="3"/>
        <v>0.29209491274734617</v>
      </c>
      <c r="E7" s="2">
        <f t="shared" ca="1" si="3"/>
        <v>0.26357427743666922</v>
      </c>
      <c r="F7" s="2">
        <f t="shared" ca="1" si="3"/>
        <v>0.20108182571024247</v>
      </c>
      <c r="G7" s="2">
        <f t="shared" ca="1" si="3"/>
        <v>0.2383770888319732</v>
      </c>
      <c r="H7" s="2">
        <f t="shared" ca="1" si="3"/>
        <v>0.21728529719449147</v>
      </c>
      <c r="I7" s="2">
        <f t="shared" ca="1" si="3"/>
        <v>0.24581113074353306</v>
      </c>
      <c r="J7" s="2">
        <f t="shared" ca="1" si="3"/>
        <v>0.2918490980048371</v>
      </c>
      <c r="K7" s="2">
        <f t="shared" ca="1" si="3"/>
        <v>0.22585457431857778</v>
      </c>
      <c r="L7" s="2">
        <f t="shared" ca="1" si="3"/>
        <v>0.26625333407125512</v>
      </c>
      <c r="M7" s="2">
        <f t="shared" ca="1" si="3"/>
        <v>0.22737001709885665</v>
      </c>
      <c r="N7" s="2">
        <f t="shared" ca="1" si="3"/>
        <v>0.21297123222760173</v>
      </c>
      <c r="O7" s="2">
        <f t="shared" ca="1" si="3"/>
        <v>0.24262680222856756</v>
      </c>
      <c r="P7" s="2">
        <f t="shared" ca="1" si="3"/>
        <v>0.29613543732230979</v>
      </c>
      <c r="Q7" s="2">
        <f t="shared" ca="1" si="3"/>
        <v>0.27024262652397907</v>
      </c>
      <c r="R7" s="2">
        <f t="shared" ca="1" si="3"/>
        <v>0.21715515734715449</v>
      </c>
      <c r="S7" s="2">
        <f t="shared" ca="1" si="3"/>
        <v>0.24612186071323916</v>
      </c>
      <c r="T7" s="2">
        <f t="shared" ca="1" si="3"/>
        <v>0.24078939158329957</v>
      </c>
      <c r="U7" s="2">
        <f t="shared" ca="1" si="3"/>
        <v>0.25757535880020083</v>
      </c>
      <c r="V7" s="2">
        <f t="shared" ca="1" si="3"/>
        <v>0.29998468533353212</v>
      </c>
      <c r="W7" s="2">
        <f t="shared" ca="1" si="3"/>
        <v>0.282068732945011</v>
      </c>
      <c r="X7" s="2">
        <f t="shared" ca="1" si="3"/>
        <v>0.23466756374365128</v>
      </c>
      <c r="Y7" s="2">
        <f t="shared" ca="1" si="3"/>
        <v>0.26378658455386517</v>
      </c>
      <c r="Z7" s="2">
        <f t="shared" ca="1" si="3"/>
        <v>0.22296093081970125</v>
      </c>
      <c r="AA7" s="2">
        <f t="shared" ca="1" si="3"/>
        <v>0.25267021948069923</v>
      </c>
      <c r="AB7" s="2">
        <f t="shared" ca="1" si="3"/>
        <v>0.28800451642915359</v>
      </c>
      <c r="AC7" s="2">
        <f t="shared" ca="1" si="3"/>
        <v>0.27541667165525002</v>
      </c>
      <c r="AD7" s="2">
        <f t="shared" ca="1" si="3"/>
        <v>0.24449587231068493</v>
      </c>
      <c r="AE7" s="2">
        <f t="shared" ca="1" si="3"/>
        <v>0.22873151387457913</v>
      </c>
      <c r="AF7" s="2">
        <f t="shared" ca="1" si="3"/>
        <v>0.27923771367893702</v>
      </c>
      <c r="AG7" s="2">
        <f t="shared" ca="1" si="3"/>
        <v>0.23974133253261468</v>
      </c>
      <c r="AH7" s="2">
        <f t="shared" ca="1" si="3"/>
        <v>0.27993435097998753</v>
      </c>
    </row>
    <row r="8" spans="1:34">
      <c r="A8" t="str">
        <f>sets!$H$3</f>
        <v>Teff</v>
      </c>
      <c r="B8" t="str">
        <v>Gambela</v>
      </c>
      <c r="C8" s="2">
        <f t="shared" ca="1" si="2"/>
        <v>0.25201292346076853</v>
      </c>
      <c r="D8" s="2">
        <f t="shared" ca="1" si="3"/>
        <v>0.2489555444145525</v>
      </c>
      <c r="E8" s="2">
        <f t="shared" ca="1" si="3"/>
        <v>0.22880904832871174</v>
      </c>
      <c r="F8" s="2">
        <f t="shared" ca="1" si="3"/>
        <v>0.27641541219532439</v>
      </c>
      <c r="G8" s="2">
        <f t="shared" ca="1" si="3"/>
        <v>0.20008283632557258</v>
      </c>
      <c r="H8" s="2">
        <f t="shared" ca="1" si="3"/>
        <v>0.25131078722939831</v>
      </c>
      <c r="I8" s="2">
        <f t="shared" ca="1" si="3"/>
        <v>0.23494241018210704</v>
      </c>
      <c r="J8" s="2">
        <f t="shared" ca="1" si="3"/>
        <v>0.29268172652987756</v>
      </c>
      <c r="K8" s="2">
        <f t="shared" ca="1" si="3"/>
        <v>0.27812105807439536</v>
      </c>
      <c r="L8" s="2">
        <f t="shared" ca="1" si="3"/>
        <v>0.20585995052766165</v>
      </c>
      <c r="M8" s="2">
        <f t="shared" ca="1" si="3"/>
        <v>0.26428949474647523</v>
      </c>
      <c r="N8" s="2">
        <f t="shared" ca="1" si="3"/>
        <v>0.28878186468013589</v>
      </c>
      <c r="O8" s="2">
        <f t="shared" ca="1" si="3"/>
        <v>0.20754673833075765</v>
      </c>
      <c r="P8" s="2">
        <f t="shared" ca="1" si="3"/>
        <v>0.27638683194231112</v>
      </c>
      <c r="Q8" s="2">
        <f t="shared" ca="1" si="3"/>
        <v>0.27005809265065317</v>
      </c>
      <c r="R8" s="2">
        <f t="shared" ca="1" si="3"/>
        <v>0.26657598560943385</v>
      </c>
      <c r="S8" s="2">
        <f t="shared" ca="1" si="3"/>
        <v>0.23080945589927679</v>
      </c>
      <c r="T8" s="2">
        <f t="shared" ca="1" si="3"/>
        <v>0.26616967937798336</v>
      </c>
      <c r="U8" s="2">
        <f t="shared" ca="1" si="3"/>
        <v>0.20784706846645384</v>
      </c>
      <c r="V8" s="2">
        <f t="shared" ca="1" si="3"/>
        <v>0.21735427257165552</v>
      </c>
      <c r="W8" s="2">
        <f t="shared" ca="1" si="3"/>
        <v>0.28294630774331425</v>
      </c>
      <c r="X8" s="2">
        <f t="shared" ca="1" si="3"/>
        <v>0.2146100982939331</v>
      </c>
      <c r="Y8" s="2">
        <f t="shared" ca="1" si="3"/>
        <v>0.25596500934484351</v>
      </c>
      <c r="Z8" s="2">
        <f t="shared" ca="1" si="3"/>
        <v>0.2102938654456841</v>
      </c>
      <c r="AA8" s="2">
        <f t="shared" ca="1" si="3"/>
        <v>0.24410132631213816</v>
      </c>
      <c r="AB8" s="2">
        <f t="shared" ca="1" si="3"/>
        <v>0.23600573522692103</v>
      </c>
      <c r="AC8" s="2">
        <f t="shared" ca="1" si="3"/>
        <v>0.27993092489606458</v>
      </c>
      <c r="AD8" s="2">
        <f t="shared" ca="1" si="3"/>
        <v>0.25420906912057745</v>
      </c>
      <c r="AE8" s="2">
        <f t="shared" ca="1" si="3"/>
        <v>0.23425628373355528</v>
      </c>
      <c r="AF8" s="2">
        <f t="shared" ca="1" si="3"/>
        <v>0.25192091155288643</v>
      </c>
      <c r="AG8" s="2">
        <f t="shared" ca="1" si="3"/>
        <v>0.24930235462150993</v>
      </c>
      <c r="AH8" s="2">
        <f t="shared" ca="1" si="3"/>
        <v>0.21382112053638602</v>
      </c>
    </row>
    <row r="9" spans="1:34">
      <c r="A9" t="str">
        <f>sets!$H$3</f>
        <v>Teff</v>
      </c>
      <c r="B9" t="str">
        <v>Harari</v>
      </c>
      <c r="C9" s="2">
        <f t="shared" ca="1" si="2"/>
        <v>0.29138306843073009</v>
      </c>
      <c r="D9" s="2">
        <f t="shared" ca="1" si="3"/>
        <v>0.2640507670278614</v>
      </c>
      <c r="E9" s="2">
        <f t="shared" ca="1" si="3"/>
        <v>0.24576570768725467</v>
      </c>
      <c r="F9" s="2">
        <f t="shared" ca="1" si="3"/>
        <v>0.29175925701878669</v>
      </c>
      <c r="G9" s="2">
        <f t="shared" ca="1" si="3"/>
        <v>0.25543180368090279</v>
      </c>
      <c r="H9" s="2">
        <f t="shared" ca="1" si="3"/>
        <v>0.27602210440010744</v>
      </c>
      <c r="I9" s="2">
        <f t="shared" ca="1" si="3"/>
        <v>0.217161190199091</v>
      </c>
      <c r="J9" s="2">
        <f t="shared" ca="1" si="3"/>
        <v>0.2549374981836498</v>
      </c>
      <c r="K9" s="2">
        <f t="shared" ca="1" si="3"/>
        <v>0.28263643760307916</v>
      </c>
      <c r="L9" s="2">
        <f t="shared" ca="1" si="3"/>
        <v>0.29661028239433485</v>
      </c>
      <c r="M9" s="2">
        <f t="shared" ca="1" si="3"/>
        <v>0.25507386931823856</v>
      </c>
      <c r="N9" s="2">
        <f t="shared" ca="1" si="3"/>
        <v>0.23628120734174757</v>
      </c>
      <c r="O9" s="2">
        <f t="shared" ca="1" si="3"/>
        <v>0.26102857693240294</v>
      </c>
      <c r="P9" s="2">
        <f t="shared" ca="1" si="3"/>
        <v>0.23835445646095571</v>
      </c>
      <c r="Q9" s="2">
        <f t="shared" ca="1" si="3"/>
        <v>0.21731414463679555</v>
      </c>
      <c r="R9" s="2">
        <f t="shared" ca="1" si="3"/>
        <v>0.23599124035066388</v>
      </c>
      <c r="S9" s="2">
        <f t="shared" ca="1" si="3"/>
        <v>0.23370428746572233</v>
      </c>
      <c r="T9" s="2">
        <f t="shared" ca="1" si="3"/>
        <v>0.23618278683298624</v>
      </c>
      <c r="U9" s="2">
        <f t="shared" ca="1" si="3"/>
        <v>0.29366294703458895</v>
      </c>
      <c r="V9" s="2">
        <f t="shared" ca="1" si="3"/>
        <v>0.29065383580853088</v>
      </c>
      <c r="W9" s="2">
        <f t="shared" ca="1" si="3"/>
        <v>0.221434087416783</v>
      </c>
      <c r="X9" s="2">
        <f t="shared" ca="1" si="3"/>
        <v>0.29544674602063725</v>
      </c>
      <c r="Y9" s="2">
        <f t="shared" ca="1" si="3"/>
        <v>0.23670559360940835</v>
      </c>
      <c r="Z9" s="2">
        <f t="shared" ca="1" si="3"/>
        <v>0.27586018462345441</v>
      </c>
      <c r="AA9" s="2">
        <f t="shared" ca="1" si="3"/>
        <v>0.29498357610938941</v>
      </c>
      <c r="AB9" s="2">
        <f t="shared" ca="1" si="3"/>
        <v>0.29111157475956295</v>
      </c>
      <c r="AC9" s="2">
        <f t="shared" ca="1" si="3"/>
        <v>0.28160922539783001</v>
      </c>
      <c r="AD9" s="2">
        <f t="shared" ca="1" si="3"/>
        <v>0.27057775723310828</v>
      </c>
      <c r="AE9" s="2">
        <f t="shared" ca="1" si="3"/>
        <v>0.25711696124187178</v>
      </c>
      <c r="AF9" s="2">
        <f t="shared" ca="1" si="3"/>
        <v>0.2281605209708471</v>
      </c>
      <c r="AG9" s="2">
        <f t="shared" ca="1" si="3"/>
        <v>0.2419960382401361</v>
      </c>
      <c r="AH9" s="2">
        <f t="shared" ca="1" si="3"/>
        <v>0.27748063606542694</v>
      </c>
    </row>
    <row r="10" spans="1:34">
      <c r="A10" t="str">
        <f>sets!$H$3</f>
        <v>Teff</v>
      </c>
      <c r="B10" t="str">
        <v>Oromia</v>
      </c>
      <c r="C10" s="2">
        <f t="shared" ca="1" si="2"/>
        <v>0.20978228080957617</v>
      </c>
      <c r="D10" s="2">
        <f t="shared" ca="1" si="3"/>
        <v>0.21596964558562251</v>
      </c>
      <c r="E10" s="2">
        <f t="shared" ca="1" si="3"/>
        <v>0.29009257481970557</v>
      </c>
      <c r="F10" s="2">
        <f t="shared" ca="1" si="3"/>
        <v>0.29772283102807134</v>
      </c>
      <c r="G10" s="2">
        <f t="shared" ca="1" si="3"/>
        <v>0.24015159775570388</v>
      </c>
      <c r="H10" s="2">
        <f t="shared" ca="1" si="3"/>
        <v>0.20252302104347195</v>
      </c>
      <c r="I10" s="2">
        <f t="shared" ca="1" si="3"/>
        <v>0.22060329956937852</v>
      </c>
      <c r="J10" s="2">
        <f t="shared" ca="1" si="3"/>
        <v>0.29720853524261176</v>
      </c>
      <c r="K10" s="2">
        <f t="shared" ca="1" si="3"/>
        <v>0.23810213510244962</v>
      </c>
      <c r="L10" s="2">
        <f t="shared" ca="1" si="3"/>
        <v>0.21848633414841948</v>
      </c>
      <c r="M10" s="2">
        <f t="shared" ca="1" si="3"/>
        <v>0.25163187218009447</v>
      </c>
      <c r="N10" s="2">
        <f t="shared" ca="1" si="3"/>
        <v>0.20583031126029044</v>
      </c>
      <c r="O10" s="2">
        <f t="shared" ca="1" si="3"/>
        <v>0.24062523324210133</v>
      </c>
      <c r="P10" s="2">
        <f t="shared" ca="1" si="3"/>
        <v>0.20985684139371719</v>
      </c>
      <c r="Q10" s="2">
        <f t="shared" ca="1" si="3"/>
        <v>0.28792419594482449</v>
      </c>
      <c r="R10" s="2">
        <f t="shared" ca="1" si="3"/>
        <v>0.24410261187834423</v>
      </c>
      <c r="S10" s="2">
        <f t="shared" ca="1" si="3"/>
        <v>0.24839619997543017</v>
      </c>
      <c r="T10" s="2">
        <f t="shared" ca="1" si="3"/>
        <v>0.20411881201583937</v>
      </c>
      <c r="U10" s="2">
        <f t="shared" ca="1" si="3"/>
        <v>0.24481543718664134</v>
      </c>
      <c r="V10" s="2">
        <f t="shared" ca="1" si="3"/>
        <v>0.28234757242859732</v>
      </c>
      <c r="W10" s="2">
        <f t="shared" ca="1" si="3"/>
        <v>0.20020175538382984</v>
      </c>
      <c r="X10" s="2">
        <f t="shared" ca="1" si="3"/>
        <v>0.29533254681357884</v>
      </c>
      <c r="Y10" s="2">
        <f t="shared" ca="1" si="3"/>
        <v>0.22755213107034403</v>
      </c>
      <c r="Z10" s="2">
        <f t="shared" ca="1" si="3"/>
        <v>0.20540739108375078</v>
      </c>
      <c r="AA10" s="2">
        <f t="shared" ca="1" si="3"/>
        <v>0.20618192657642426</v>
      </c>
      <c r="AB10" s="2">
        <f t="shared" ca="1" si="3"/>
        <v>0.21102759718396485</v>
      </c>
      <c r="AC10" s="2">
        <f t="shared" ca="1" si="3"/>
        <v>0.27391816314058037</v>
      </c>
      <c r="AD10" s="2">
        <f t="shared" ca="1" si="3"/>
        <v>0.25721238489660508</v>
      </c>
      <c r="AE10" s="2">
        <f t="shared" ca="1" si="3"/>
        <v>0.2867942887871936</v>
      </c>
      <c r="AF10" s="2">
        <f t="shared" ca="1" si="3"/>
        <v>0.27725035130956599</v>
      </c>
      <c r="AG10" s="2">
        <f t="shared" ca="1" si="3"/>
        <v>0.22191473563146455</v>
      </c>
      <c r="AH10" s="2">
        <f t="shared" ca="1" si="3"/>
        <v>0.25016194070075032</v>
      </c>
    </row>
    <row r="11" spans="1:34">
      <c r="A11" t="str">
        <f>sets!$H$3</f>
        <v>Teff</v>
      </c>
      <c r="B11" t="str">
        <v>Somali</v>
      </c>
      <c r="C11" s="2">
        <f t="shared" ca="1" si="2"/>
        <v>0.26911722950240635</v>
      </c>
      <c r="D11" s="2">
        <f t="shared" ca="1" si="3"/>
        <v>0.27502901356000836</v>
      </c>
      <c r="E11" s="2">
        <f t="shared" ca="1" si="3"/>
        <v>0.23538282745431843</v>
      </c>
      <c r="F11" s="2">
        <f t="shared" ca="1" si="3"/>
        <v>0.24614385903578512</v>
      </c>
      <c r="G11" s="2">
        <f t="shared" ca="1" si="3"/>
        <v>0.20514057281260001</v>
      </c>
      <c r="H11" s="2">
        <f t="shared" ca="1" si="3"/>
        <v>0.26205357052689554</v>
      </c>
      <c r="I11" s="2">
        <f t="shared" ca="1" si="3"/>
        <v>0.28599633234145821</v>
      </c>
      <c r="J11" s="2">
        <f t="shared" ca="1" si="3"/>
        <v>0.23687617151514448</v>
      </c>
      <c r="K11" s="2">
        <f t="shared" ref="K11:Z20" ca="1" si="4">RAND()*0.1+0.2</f>
        <v>0.25671155955893121</v>
      </c>
      <c r="L11" s="2">
        <f t="shared" ca="1" si="4"/>
        <v>0.2681470507995159</v>
      </c>
      <c r="M11" s="2">
        <f t="shared" ca="1" si="4"/>
        <v>0.21363335576032796</v>
      </c>
      <c r="N11" s="2">
        <f t="shared" ca="1" si="4"/>
        <v>0.2982565817727979</v>
      </c>
      <c r="O11" s="2">
        <f t="shared" ca="1" si="4"/>
        <v>0.24698491979954498</v>
      </c>
      <c r="P11" s="2">
        <f t="shared" ca="1" si="4"/>
        <v>0.25851484972354305</v>
      </c>
      <c r="Q11" s="2">
        <f t="shared" ca="1" si="4"/>
        <v>0.28538104026806937</v>
      </c>
      <c r="R11" s="2">
        <f t="shared" ca="1" si="4"/>
        <v>0.25260288989131557</v>
      </c>
      <c r="S11" s="2">
        <f t="shared" ca="1" si="4"/>
        <v>0.23870724005366889</v>
      </c>
      <c r="T11" s="2">
        <f t="shared" ca="1" si="4"/>
        <v>0.24376601357361299</v>
      </c>
      <c r="U11" s="2">
        <f t="shared" ca="1" si="4"/>
        <v>0.23463768817368325</v>
      </c>
      <c r="V11" s="2">
        <f t="shared" ca="1" si="4"/>
        <v>0.29478801441007396</v>
      </c>
      <c r="W11" s="2">
        <f t="shared" ca="1" si="4"/>
        <v>0.24385216143723584</v>
      </c>
      <c r="X11" s="2">
        <f t="shared" ca="1" si="4"/>
        <v>0.24464119024913902</v>
      </c>
      <c r="Y11" s="2">
        <f t="shared" ca="1" si="4"/>
        <v>0.21435459797428774</v>
      </c>
      <c r="Z11" s="2">
        <f t="shared" ca="1" si="4"/>
        <v>0.21487371573076938</v>
      </c>
      <c r="AA11" s="2">
        <f t="shared" ref="AA11:AH42" ca="1" si="5">RAND()*0.1+0.2</f>
        <v>0.21265467849018002</v>
      </c>
      <c r="AB11" s="2">
        <f t="shared" ca="1" si="5"/>
        <v>0.23790176133155733</v>
      </c>
      <c r="AC11" s="2">
        <f t="shared" ca="1" si="5"/>
        <v>0.24708194744751119</v>
      </c>
      <c r="AD11" s="2">
        <f t="shared" ca="1" si="5"/>
        <v>0.28259077589390302</v>
      </c>
      <c r="AE11" s="2">
        <f t="shared" ca="1" si="5"/>
        <v>0.24428086981623495</v>
      </c>
      <c r="AF11" s="2">
        <f t="shared" ca="1" si="5"/>
        <v>0.20313982697022262</v>
      </c>
      <c r="AG11" s="2">
        <f t="shared" ca="1" si="5"/>
        <v>0.21135492655032373</v>
      </c>
      <c r="AH11" s="2">
        <f t="shared" ca="1" si="5"/>
        <v>0.27153559557333967</v>
      </c>
    </row>
    <row r="12" spans="1:34">
      <c r="A12" t="str">
        <f>sets!$H$3</f>
        <v>Teff</v>
      </c>
      <c r="B12" t="str">
        <v>SNNPR</v>
      </c>
      <c r="C12" s="2">
        <f t="shared" ca="1" si="2"/>
        <v>0.23122409609213079</v>
      </c>
      <c r="D12" s="2">
        <f t="shared" ref="D12:J21" ca="1" si="6">RAND()*0.1+0.2</f>
        <v>0.23510299657844169</v>
      </c>
      <c r="E12" s="2">
        <f t="shared" ca="1" si="6"/>
        <v>0.23599088239890642</v>
      </c>
      <c r="F12" s="2">
        <f t="shared" ca="1" si="6"/>
        <v>0.28110639144084598</v>
      </c>
      <c r="G12" s="2">
        <f t="shared" ca="1" si="6"/>
        <v>0.28956284244609176</v>
      </c>
      <c r="H12" s="2">
        <f t="shared" ca="1" si="6"/>
        <v>0.2876583843377461</v>
      </c>
      <c r="I12" s="2">
        <f t="shared" ca="1" si="6"/>
        <v>0.26775210533589267</v>
      </c>
      <c r="J12" s="2">
        <f t="shared" ca="1" si="6"/>
        <v>0.23727209269392713</v>
      </c>
      <c r="K12" s="2">
        <f t="shared" ca="1" si="4"/>
        <v>0.23655150970954122</v>
      </c>
      <c r="L12" s="2">
        <f t="shared" ca="1" si="4"/>
        <v>0.25875958292358842</v>
      </c>
      <c r="M12" s="2">
        <f t="shared" ca="1" si="4"/>
        <v>0.24423807289308594</v>
      </c>
      <c r="N12" s="2">
        <f t="shared" ca="1" si="4"/>
        <v>0.23058031046641178</v>
      </c>
      <c r="O12" s="2">
        <f t="shared" ca="1" si="4"/>
        <v>0.25118323835614476</v>
      </c>
      <c r="P12" s="2">
        <f t="shared" ca="1" si="4"/>
        <v>0.22902555476750244</v>
      </c>
      <c r="Q12" s="2">
        <f t="shared" ca="1" si="4"/>
        <v>0.24488353701737675</v>
      </c>
      <c r="R12" s="2">
        <f t="shared" ca="1" si="4"/>
        <v>0.2930969302196802</v>
      </c>
      <c r="S12" s="2">
        <f t="shared" ca="1" si="4"/>
        <v>0.23831544502882679</v>
      </c>
      <c r="T12" s="2">
        <f t="shared" ca="1" si="4"/>
        <v>0.26813223588483592</v>
      </c>
      <c r="U12" s="2">
        <f t="shared" ca="1" si="4"/>
        <v>0.26053524967066616</v>
      </c>
      <c r="V12" s="2">
        <f t="shared" ca="1" si="4"/>
        <v>0.2318113072426316</v>
      </c>
      <c r="W12" s="2">
        <f t="shared" ca="1" si="4"/>
        <v>0.20210098911846325</v>
      </c>
      <c r="X12" s="2">
        <f t="shared" ca="1" si="4"/>
        <v>0.262417268274654</v>
      </c>
      <c r="Y12" s="2">
        <f t="shared" ca="1" si="4"/>
        <v>0.26883232280365288</v>
      </c>
      <c r="Z12" s="2">
        <f t="shared" ca="1" si="4"/>
        <v>0.27375768929275573</v>
      </c>
      <c r="AA12" s="2">
        <f t="shared" ca="1" si="5"/>
        <v>0.22472534345140419</v>
      </c>
      <c r="AB12" s="2">
        <f t="shared" ca="1" si="5"/>
        <v>0.20402224633172308</v>
      </c>
      <c r="AC12" s="2">
        <f t="shared" ca="1" si="5"/>
        <v>0.21953248999305669</v>
      </c>
      <c r="AD12" s="2">
        <f t="shared" ca="1" si="5"/>
        <v>0.26745320025546288</v>
      </c>
      <c r="AE12" s="2">
        <f t="shared" ca="1" si="5"/>
        <v>0.28213018376859145</v>
      </c>
      <c r="AF12" s="2">
        <f t="shared" ca="1" si="5"/>
        <v>0.2581083065376828</v>
      </c>
      <c r="AG12" s="2">
        <f t="shared" ca="1" si="5"/>
        <v>0.25743463034465197</v>
      </c>
      <c r="AH12" s="2">
        <f t="shared" ca="1" si="5"/>
        <v>0.21444860278242714</v>
      </c>
    </row>
    <row r="13" spans="1:34">
      <c r="A13" t="str">
        <f>sets!$H$3</f>
        <v>Teff</v>
      </c>
      <c r="B13" t="str">
        <v>Tigray</v>
      </c>
      <c r="C13" s="2">
        <f t="shared" ca="1" si="2"/>
        <v>0.23003006275900331</v>
      </c>
      <c r="D13" s="2">
        <f t="shared" ca="1" si="6"/>
        <v>0.21375447466699327</v>
      </c>
      <c r="E13" s="2">
        <f t="shared" ca="1" si="6"/>
        <v>0.20443140399337509</v>
      </c>
      <c r="F13" s="2">
        <f t="shared" ca="1" si="6"/>
        <v>0.26393893947916103</v>
      </c>
      <c r="G13" s="2">
        <f t="shared" ca="1" si="6"/>
        <v>0.21484434640023176</v>
      </c>
      <c r="H13" s="2">
        <f t="shared" ca="1" si="6"/>
        <v>0.23264687841863596</v>
      </c>
      <c r="I13" s="2">
        <f t="shared" ca="1" si="6"/>
        <v>0.2180448893887201</v>
      </c>
      <c r="J13" s="2">
        <f t="shared" ca="1" si="6"/>
        <v>0.2397196570461135</v>
      </c>
      <c r="K13" s="2">
        <f t="shared" ca="1" si="4"/>
        <v>0.2415842500558158</v>
      </c>
      <c r="L13" s="2">
        <f t="shared" ca="1" si="4"/>
        <v>0.20865294475382751</v>
      </c>
      <c r="M13" s="2">
        <f t="shared" ca="1" si="4"/>
        <v>0.27149420783585138</v>
      </c>
      <c r="N13" s="2">
        <f t="shared" ca="1" si="4"/>
        <v>0.28115614655185595</v>
      </c>
      <c r="O13" s="2">
        <f t="shared" ca="1" si="4"/>
        <v>0.29981698026525999</v>
      </c>
      <c r="P13" s="2">
        <f t="shared" ca="1" si="4"/>
        <v>0.20722481332979559</v>
      </c>
      <c r="Q13" s="2">
        <f t="shared" ca="1" si="4"/>
        <v>0.2297432309711111</v>
      </c>
      <c r="R13" s="2">
        <f t="shared" ca="1" si="4"/>
        <v>0.21787777267338063</v>
      </c>
      <c r="S13" s="2">
        <f t="shared" ca="1" si="4"/>
        <v>0.20678571371965873</v>
      </c>
      <c r="T13" s="2">
        <f t="shared" ca="1" si="4"/>
        <v>0.26000035364292889</v>
      </c>
      <c r="U13" s="2">
        <f t="shared" ca="1" si="4"/>
        <v>0.22631839917413812</v>
      </c>
      <c r="V13" s="2">
        <f t="shared" ca="1" si="4"/>
        <v>0.25093933676819613</v>
      </c>
      <c r="W13" s="2">
        <f t="shared" ca="1" si="4"/>
        <v>0.29065222960927517</v>
      </c>
      <c r="X13" s="2">
        <f t="shared" ca="1" si="4"/>
        <v>0.2491107344258415</v>
      </c>
      <c r="Y13" s="2">
        <f t="shared" ca="1" si="4"/>
        <v>0.29267563876975344</v>
      </c>
      <c r="Z13" s="2">
        <f t="shared" ca="1" si="4"/>
        <v>0.23768712756631563</v>
      </c>
      <c r="AA13" s="2">
        <f t="shared" ca="1" si="5"/>
        <v>0.28804547391745594</v>
      </c>
      <c r="AB13" s="2">
        <f t="shared" ca="1" si="5"/>
        <v>0.20715380284998833</v>
      </c>
      <c r="AC13" s="2">
        <f t="shared" ca="1" si="5"/>
        <v>0.22495188167485536</v>
      </c>
      <c r="AD13" s="2">
        <f t="shared" ca="1" si="5"/>
        <v>0.28651404153305149</v>
      </c>
      <c r="AE13" s="2">
        <f t="shared" ca="1" si="5"/>
        <v>0.2346386668389705</v>
      </c>
      <c r="AF13" s="2">
        <f t="shared" ca="1" si="5"/>
        <v>0.29216538854444141</v>
      </c>
      <c r="AG13" s="2">
        <f t="shared" ca="1" si="5"/>
        <v>0.26403791740997529</v>
      </c>
      <c r="AH13" s="2">
        <f t="shared" ca="1" si="5"/>
        <v>0.29761806948019376</v>
      </c>
    </row>
    <row r="14" spans="1:34">
      <c r="A14" t="str">
        <f t="shared" ref="A14:A45" si="7">INDEX(Food,MATCH(A3,Food,0)+1)</f>
        <v>Sorghum</v>
      </c>
      <c r="B14" t="str">
        <f>B3</f>
        <v>AddisAbaba</v>
      </c>
      <c r="C14" s="2">
        <f t="shared" ca="1" si="2"/>
        <v>0.20778212267745272</v>
      </c>
      <c r="D14" s="2">
        <f t="shared" ca="1" si="6"/>
        <v>0.29172572986696399</v>
      </c>
      <c r="E14" s="2">
        <f t="shared" ca="1" si="6"/>
        <v>0.29927889099061156</v>
      </c>
      <c r="F14" s="2">
        <f t="shared" ca="1" si="6"/>
        <v>0.20421544310991677</v>
      </c>
      <c r="G14" s="2">
        <f t="shared" ca="1" si="6"/>
        <v>0.29416132026846653</v>
      </c>
      <c r="H14" s="2">
        <f t="shared" ca="1" si="6"/>
        <v>0.25025518572647193</v>
      </c>
      <c r="I14" s="2">
        <f t="shared" ca="1" si="6"/>
        <v>0.21829605697601279</v>
      </c>
      <c r="J14" s="2">
        <f t="shared" ca="1" si="6"/>
        <v>0.25201554642097834</v>
      </c>
      <c r="K14" s="2">
        <f t="shared" ca="1" si="4"/>
        <v>0.23063892034570427</v>
      </c>
      <c r="L14" s="2">
        <f t="shared" ca="1" si="4"/>
        <v>0.29914693648700963</v>
      </c>
      <c r="M14" s="2">
        <f t="shared" ca="1" si="4"/>
        <v>0.28204106504486431</v>
      </c>
      <c r="N14" s="2">
        <f t="shared" ca="1" si="4"/>
        <v>0.21746825813513995</v>
      </c>
      <c r="O14" s="2">
        <f t="shared" ca="1" si="4"/>
        <v>0.25638632689244867</v>
      </c>
      <c r="P14" s="2">
        <f t="shared" ca="1" si="4"/>
        <v>0.26421618986397977</v>
      </c>
      <c r="Q14" s="2">
        <f t="shared" ca="1" si="4"/>
        <v>0.22965736312079429</v>
      </c>
      <c r="R14" s="2">
        <f t="shared" ca="1" si="4"/>
        <v>0.2572268645766273</v>
      </c>
      <c r="S14" s="2">
        <f t="shared" ca="1" si="4"/>
        <v>0.26688955922308794</v>
      </c>
      <c r="T14" s="2">
        <f t="shared" ca="1" si="4"/>
        <v>0.24599143825862235</v>
      </c>
      <c r="U14" s="2">
        <f t="shared" ca="1" si="4"/>
        <v>0.26402845890724619</v>
      </c>
      <c r="V14" s="2">
        <f t="shared" ca="1" si="4"/>
        <v>0.25647872007008854</v>
      </c>
      <c r="W14" s="2">
        <f t="shared" ca="1" si="4"/>
        <v>0.28541629775722321</v>
      </c>
      <c r="X14" s="2">
        <f t="shared" ca="1" si="4"/>
        <v>0.27760021915574695</v>
      </c>
      <c r="Y14" s="2">
        <f t="shared" ca="1" si="4"/>
        <v>0.28403100423315092</v>
      </c>
      <c r="Z14" s="2">
        <f t="shared" ca="1" si="4"/>
        <v>0.2002769361299713</v>
      </c>
      <c r="AA14" s="2">
        <f t="shared" ca="1" si="5"/>
        <v>0.26996111440850862</v>
      </c>
      <c r="AB14" s="2">
        <f t="shared" ca="1" si="5"/>
        <v>0.24462790018498565</v>
      </c>
      <c r="AC14" s="2">
        <f t="shared" ca="1" si="5"/>
        <v>0.20511303291784189</v>
      </c>
      <c r="AD14" s="2">
        <f t="shared" ca="1" si="5"/>
        <v>0.22537850237055185</v>
      </c>
      <c r="AE14" s="2">
        <f t="shared" ca="1" si="5"/>
        <v>0.24570192066437915</v>
      </c>
      <c r="AF14" s="2">
        <f t="shared" ca="1" si="5"/>
        <v>0.20203311666439974</v>
      </c>
      <c r="AG14" s="2">
        <f t="shared" ca="1" si="5"/>
        <v>0.21628754444247061</v>
      </c>
      <c r="AH14" s="2">
        <f t="shared" ca="1" si="5"/>
        <v>0.26560294723171446</v>
      </c>
    </row>
    <row r="15" spans="1:34">
      <c r="A15" t="str">
        <f t="shared" si="7"/>
        <v>Sorghum</v>
      </c>
      <c r="B15" t="str">
        <f t="shared" ref="B15:B68" si="8">B4</f>
        <v>Afar</v>
      </c>
      <c r="C15" s="2">
        <f t="shared" ca="1" si="2"/>
        <v>0.24442951239608754</v>
      </c>
      <c r="D15" s="2">
        <f t="shared" ca="1" si="6"/>
        <v>0.29605151933042628</v>
      </c>
      <c r="E15" s="2">
        <f t="shared" ca="1" si="6"/>
        <v>0.24738850703370235</v>
      </c>
      <c r="F15" s="2">
        <f t="shared" ca="1" si="6"/>
        <v>0.20881263618125684</v>
      </c>
      <c r="G15" s="2">
        <f t="shared" ca="1" si="6"/>
        <v>0.21671738335714522</v>
      </c>
      <c r="H15" s="2">
        <f t="shared" ca="1" si="6"/>
        <v>0.23855750117588004</v>
      </c>
      <c r="I15" s="2">
        <f t="shared" ca="1" si="6"/>
        <v>0.24588201785185809</v>
      </c>
      <c r="J15" s="2">
        <f t="shared" ca="1" si="6"/>
        <v>0.24907209267441413</v>
      </c>
      <c r="K15" s="2">
        <f t="shared" ca="1" si="4"/>
        <v>0.21968650181412502</v>
      </c>
      <c r="L15" s="2">
        <f t="shared" ca="1" si="4"/>
        <v>0.21787466065297129</v>
      </c>
      <c r="M15" s="2">
        <f t="shared" ca="1" si="4"/>
        <v>0.20050898257767205</v>
      </c>
      <c r="N15" s="2">
        <f t="shared" ca="1" si="4"/>
        <v>0.29241521913343621</v>
      </c>
      <c r="O15" s="2">
        <f t="shared" ca="1" si="4"/>
        <v>0.28840075191411757</v>
      </c>
      <c r="P15" s="2">
        <f t="shared" ca="1" si="4"/>
        <v>0.21525696536817193</v>
      </c>
      <c r="Q15" s="2">
        <f t="shared" ca="1" si="4"/>
        <v>0.29652156170114408</v>
      </c>
      <c r="R15" s="2">
        <f t="shared" ca="1" si="4"/>
        <v>0.22138425824671401</v>
      </c>
      <c r="S15" s="2">
        <f t="shared" ca="1" si="4"/>
        <v>0.22908789381106737</v>
      </c>
      <c r="T15" s="2">
        <f t="shared" ca="1" si="4"/>
        <v>0.21429556552790668</v>
      </c>
      <c r="U15" s="2">
        <f t="shared" ca="1" si="4"/>
        <v>0.25817070949111515</v>
      </c>
      <c r="V15" s="2">
        <f t="shared" ca="1" si="4"/>
        <v>0.21234602992152579</v>
      </c>
      <c r="W15" s="2">
        <f t="shared" ca="1" si="4"/>
        <v>0.26100917300673615</v>
      </c>
      <c r="X15" s="2">
        <f t="shared" ca="1" si="4"/>
        <v>0.26007883759838629</v>
      </c>
      <c r="Y15" s="2">
        <f t="shared" ca="1" si="4"/>
        <v>0.23482790572411724</v>
      </c>
      <c r="Z15" s="2">
        <f t="shared" ca="1" si="4"/>
        <v>0.25490499600471395</v>
      </c>
      <c r="AA15" s="2">
        <f t="shared" ca="1" si="5"/>
        <v>0.27292401917037989</v>
      </c>
      <c r="AB15" s="2">
        <f t="shared" ca="1" si="5"/>
        <v>0.26975150850574542</v>
      </c>
      <c r="AC15" s="2">
        <f t="shared" ca="1" si="5"/>
        <v>0.23738266234056613</v>
      </c>
      <c r="AD15" s="2">
        <f t="shared" ca="1" si="5"/>
        <v>0.27326610277271512</v>
      </c>
      <c r="AE15" s="2">
        <f t="shared" ca="1" si="5"/>
        <v>0.20541369471636725</v>
      </c>
      <c r="AF15" s="2">
        <f t="shared" ca="1" si="5"/>
        <v>0.29924137042710119</v>
      </c>
      <c r="AG15" s="2">
        <f t="shared" ca="1" si="5"/>
        <v>0.28137587942008652</v>
      </c>
      <c r="AH15" s="2">
        <f t="shared" ca="1" si="5"/>
        <v>0.23299462115617042</v>
      </c>
    </row>
    <row r="16" spans="1:34">
      <c r="A16" t="str">
        <f t="shared" si="7"/>
        <v>Sorghum</v>
      </c>
      <c r="B16" t="str">
        <f t="shared" si="8"/>
        <v>Amhara</v>
      </c>
      <c r="C16" s="2">
        <f t="shared" ca="1" si="2"/>
        <v>0.23987375127997218</v>
      </c>
      <c r="D16" s="2">
        <f t="shared" ca="1" si="6"/>
        <v>0.22323542142541375</v>
      </c>
      <c r="E16" s="2">
        <f t="shared" ca="1" si="6"/>
        <v>0.22461955068750802</v>
      </c>
      <c r="F16" s="2">
        <f t="shared" ca="1" si="6"/>
        <v>0.245083622505258</v>
      </c>
      <c r="G16" s="2">
        <f t="shared" ca="1" si="6"/>
        <v>0.23821234524018414</v>
      </c>
      <c r="H16" s="2">
        <f t="shared" ca="1" si="6"/>
        <v>0.21275248308923944</v>
      </c>
      <c r="I16" s="2">
        <f t="shared" ca="1" si="6"/>
        <v>0.25155089976232681</v>
      </c>
      <c r="J16" s="2">
        <f t="shared" ca="1" si="6"/>
        <v>0.21397991670355429</v>
      </c>
      <c r="K16" s="2">
        <f t="shared" ca="1" si="4"/>
        <v>0.24331712605799316</v>
      </c>
      <c r="L16" s="2">
        <f t="shared" ca="1" si="4"/>
        <v>0.26446615208665875</v>
      </c>
      <c r="M16" s="2">
        <f t="shared" ca="1" si="4"/>
        <v>0.22044028111146374</v>
      </c>
      <c r="N16" s="2">
        <f t="shared" ca="1" si="4"/>
        <v>0.25272594652174518</v>
      </c>
      <c r="O16" s="2">
        <f t="shared" ca="1" si="4"/>
        <v>0.27905861872634635</v>
      </c>
      <c r="P16" s="2">
        <f t="shared" ca="1" si="4"/>
        <v>0.2370630022734028</v>
      </c>
      <c r="Q16" s="2">
        <f t="shared" ca="1" si="4"/>
        <v>0.22291596911758699</v>
      </c>
      <c r="R16" s="2">
        <f t="shared" ca="1" si="4"/>
        <v>0.25874737137287274</v>
      </c>
      <c r="S16" s="2">
        <f t="shared" ca="1" si="4"/>
        <v>0.22726952399616235</v>
      </c>
      <c r="T16" s="2">
        <f t="shared" ca="1" si="4"/>
        <v>0.25077525876617301</v>
      </c>
      <c r="U16" s="2">
        <f t="shared" ca="1" si="4"/>
        <v>0.20684068035314998</v>
      </c>
      <c r="V16" s="2">
        <f t="shared" ca="1" si="4"/>
        <v>0.27174837249768974</v>
      </c>
      <c r="W16" s="2">
        <f t="shared" ca="1" si="4"/>
        <v>0.29847938128647467</v>
      </c>
      <c r="X16" s="2">
        <f t="shared" ca="1" si="4"/>
        <v>0.29823380736245186</v>
      </c>
      <c r="Y16" s="2">
        <f t="shared" ca="1" si="4"/>
        <v>0.23961644412923142</v>
      </c>
      <c r="Z16" s="2">
        <f t="shared" ca="1" si="4"/>
        <v>0.24504212970309253</v>
      </c>
      <c r="AA16" s="2">
        <f t="shared" ca="1" si="5"/>
        <v>0.2862509289103608</v>
      </c>
      <c r="AB16" s="2">
        <f t="shared" ca="1" si="5"/>
        <v>0.26880190021857314</v>
      </c>
      <c r="AC16" s="2">
        <f t="shared" ca="1" si="5"/>
        <v>0.25994215395075404</v>
      </c>
      <c r="AD16" s="2">
        <f t="shared" ca="1" si="5"/>
        <v>0.27875853420546981</v>
      </c>
      <c r="AE16" s="2">
        <f t="shared" ca="1" si="5"/>
        <v>0.2374941457651594</v>
      </c>
      <c r="AF16" s="2">
        <f t="shared" ca="1" si="5"/>
        <v>0.27420239785024292</v>
      </c>
      <c r="AG16" s="2">
        <f t="shared" ca="1" si="5"/>
        <v>0.26880497147295079</v>
      </c>
      <c r="AH16" s="2">
        <f t="shared" ca="1" si="5"/>
        <v>0.28226269382628927</v>
      </c>
    </row>
    <row r="17" spans="1:34">
      <c r="A17" t="str">
        <f t="shared" si="7"/>
        <v>Sorghum</v>
      </c>
      <c r="B17" t="str">
        <f t="shared" si="8"/>
        <v>Gumuz</v>
      </c>
      <c r="C17" s="2">
        <f t="shared" ca="1" si="2"/>
        <v>0.26157946007572619</v>
      </c>
      <c r="D17" s="2">
        <f t="shared" ca="1" si="6"/>
        <v>0.27105463243238642</v>
      </c>
      <c r="E17" s="2">
        <f t="shared" ca="1" si="6"/>
        <v>0.26462858616524287</v>
      </c>
      <c r="F17" s="2">
        <f t="shared" ca="1" si="6"/>
        <v>0.24233576593441569</v>
      </c>
      <c r="G17" s="2">
        <f t="shared" ca="1" si="6"/>
        <v>0.23695308833412643</v>
      </c>
      <c r="H17" s="2">
        <f t="shared" ca="1" si="6"/>
        <v>0.26600885810737385</v>
      </c>
      <c r="I17" s="2">
        <f t="shared" ca="1" si="6"/>
        <v>0.28397083082058799</v>
      </c>
      <c r="J17" s="2">
        <f t="shared" ca="1" si="6"/>
        <v>0.22875511061760942</v>
      </c>
      <c r="K17" s="2">
        <f t="shared" ca="1" si="4"/>
        <v>0.20897817590274648</v>
      </c>
      <c r="L17" s="2">
        <f t="shared" ca="1" si="4"/>
        <v>0.27200696323992712</v>
      </c>
      <c r="M17" s="2">
        <f t="shared" ca="1" si="4"/>
        <v>0.2494500436036784</v>
      </c>
      <c r="N17" s="2">
        <f t="shared" ca="1" si="4"/>
        <v>0.2651001326635728</v>
      </c>
      <c r="O17" s="2">
        <f t="shared" ca="1" si="4"/>
        <v>0.26897023783976909</v>
      </c>
      <c r="P17" s="2">
        <f t="shared" ca="1" si="4"/>
        <v>0.25100011940759159</v>
      </c>
      <c r="Q17" s="2">
        <f t="shared" ca="1" si="4"/>
        <v>0.26149050617311803</v>
      </c>
      <c r="R17" s="2">
        <f t="shared" ca="1" si="4"/>
        <v>0.28864404387419534</v>
      </c>
      <c r="S17" s="2">
        <f t="shared" ca="1" si="4"/>
        <v>0.21171986390120875</v>
      </c>
      <c r="T17" s="2">
        <f t="shared" ca="1" si="4"/>
        <v>0.26633594102839292</v>
      </c>
      <c r="U17" s="2">
        <f t="shared" ca="1" si="4"/>
        <v>0.24565773956898124</v>
      </c>
      <c r="V17" s="2">
        <f t="shared" ca="1" si="4"/>
        <v>0.22979172634775488</v>
      </c>
      <c r="W17" s="2">
        <f t="shared" ca="1" si="4"/>
        <v>0.28583848647417581</v>
      </c>
      <c r="X17" s="2">
        <f t="shared" ca="1" si="4"/>
        <v>0.28091962455776465</v>
      </c>
      <c r="Y17" s="2">
        <f t="shared" ca="1" si="4"/>
        <v>0.21875383213961275</v>
      </c>
      <c r="Z17" s="2">
        <f t="shared" ca="1" si="4"/>
        <v>0.22882370089525</v>
      </c>
      <c r="AA17" s="2">
        <f t="shared" ca="1" si="5"/>
        <v>0.20546717337282447</v>
      </c>
      <c r="AB17" s="2">
        <f t="shared" ca="1" si="5"/>
        <v>0.20326638816694137</v>
      </c>
      <c r="AC17" s="2">
        <f t="shared" ca="1" si="5"/>
        <v>0.27626279944882853</v>
      </c>
      <c r="AD17" s="2">
        <f t="shared" ca="1" si="5"/>
        <v>0.21003610231613526</v>
      </c>
      <c r="AE17" s="2">
        <f t="shared" ca="1" si="5"/>
        <v>0.25227446569921291</v>
      </c>
      <c r="AF17" s="2">
        <f t="shared" ca="1" si="5"/>
        <v>0.29407034746003263</v>
      </c>
      <c r="AG17" s="2">
        <f t="shared" ca="1" si="5"/>
        <v>0.24186714399820686</v>
      </c>
      <c r="AH17" s="2">
        <f t="shared" ca="1" si="5"/>
        <v>0.25264343036972314</v>
      </c>
    </row>
    <row r="18" spans="1:34">
      <c r="A18" t="str">
        <f t="shared" si="7"/>
        <v>Sorghum</v>
      </c>
      <c r="B18" t="str">
        <f t="shared" si="8"/>
        <v>DireDawa</v>
      </c>
      <c r="C18" s="2">
        <f t="shared" ca="1" si="2"/>
        <v>0.27547144201861234</v>
      </c>
      <c r="D18" s="2">
        <f t="shared" ca="1" si="6"/>
        <v>0.20345204770264347</v>
      </c>
      <c r="E18" s="2">
        <f t="shared" ca="1" si="6"/>
        <v>0.28544635578404243</v>
      </c>
      <c r="F18" s="2">
        <f t="shared" ca="1" si="6"/>
        <v>0.2224832750272997</v>
      </c>
      <c r="G18" s="2">
        <f t="shared" ca="1" si="6"/>
        <v>0.20608597693545933</v>
      </c>
      <c r="H18" s="2">
        <f t="shared" ca="1" si="6"/>
        <v>0.27519970557841855</v>
      </c>
      <c r="I18" s="2">
        <f t="shared" ca="1" si="6"/>
        <v>0.29893579990094271</v>
      </c>
      <c r="J18" s="2">
        <f t="shared" ca="1" si="6"/>
        <v>0.24585861914111551</v>
      </c>
      <c r="K18" s="2">
        <f t="shared" ca="1" si="4"/>
        <v>0.24239975410342107</v>
      </c>
      <c r="L18" s="2">
        <f t="shared" ca="1" si="4"/>
        <v>0.24466054796563969</v>
      </c>
      <c r="M18" s="2">
        <f t="shared" ca="1" si="4"/>
        <v>0.27874159957562505</v>
      </c>
      <c r="N18" s="2">
        <f t="shared" ca="1" si="4"/>
        <v>0.29096803296812257</v>
      </c>
      <c r="O18" s="2">
        <f t="shared" ca="1" si="4"/>
        <v>0.25006375901972627</v>
      </c>
      <c r="P18" s="2">
        <f t="shared" ca="1" si="4"/>
        <v>0.2911476697339665</v>
      </c>
      <c r="Q18" s="2">
        <f t="shared" ca="1" si="4"/>
        <v>0.2442379011903299</v>
      </c>
      <c r="R18" s="2">
        <f t="shared" ca="1" si="4"/>
        <v>0.20457505858244457</v>
      </c>
      <c r="S18" s="2">
        <f t="shared" ca="1" si="4"/>
        <v>0.28410392758195913</v>
      </c>
      <c r="T18" s="2">
        <f t="shared" ca="1" si="4"/>
        <v>0.28332860514204394</v>
      </c>
      <c r="U18" s="2">
        <f t="shared" ca="1" si="4"/>
        <v>0.2522060102547401</v>
      </c>
      <c r="V18" s="2">
        <f t="shared" ca="1" si="4"/>
        <v>0.2391106433688463</v>
      </c>
      <c r="W18" s="2">
        <f t="shared" ca="1" si="4"/>
        <v>0.29416996594453432</v>
      </c>
      <c r="X18" s="2">
        <f t="shared" ca="1" si="4"/>
        <v>0.26935483302880858</v>
      </c>
      <c r="Y18" s="2">
        <f t="shared" ca="1" si="4"/>
        <v>0.2405949505226628</v>
      </c>
      <c r="Z18" s="2">
        <f t="shared" ca="1" si="4"/>
        <v>0.23843014504806806</v>
      </c>
      <c r="AA18" s="2">
        <f t="shared" ca="1" si="5"/>
        <v>0.26502650848041565</v>
      </c>
      <c r="AB18" s="2">
        <f t="shared" ca="1" si="5"/>
        <v>0.27546402990324237</v>
      </c>
      <c r="AC18" s="2">
        <f t="shared" ca="1" si="5"/>
        <v>0.21355749790128931</v>
      </c>
      <c r="AD18" s="2">
        <f t="shared" ca="1" si="5"/>
        <v>0.21590576376074738</v>
      </c>
      <c r="AE18" s="2">
        <f t="shared" ca="1" si="5"/>
        <v>0.24612157878575619</v>
      </c>
      <c r="AF18" s="2">
        <f t="shared" ca="1" si="5"/>
        <v>0.21938628140235314</v>
      </c>
      <c r="AG18" s="2">
        <f t="shared" ca="1" si="5"/>
        <v>0.26123159828366566</v>
      </c>
      <c r="AH18" s="2">
        <f t="shared" ca="1" si="5"/>
        <v>0.2702371415386956</v>
      </c>
    </row>
    <row r="19" spans="1:34">
      <c r="A19" t="str">
        <f t="shared" si="7"/>
        <v>Sorghum</v>
      </c>
      <c r="B19" t="str">
        <f t="shared" si="8"/>
        <v>Gambela</v>
      </c>
      <c r="C19" s="2">
        <f t="shared" ca="1" si="2"/>
        <v>0.28254303561616645</v>
      </c>
      <c r="D19" s="2">
        <f t="shared" ca="1" si="6"/>
        <v>0.20061621274463362</v>
      </c>
      <c r="E19" s="2">
        <f t="shared" ca="1" si="6"/>
        <v>0.28177496833204546</v>
      </c>
      <c r="F19" s="2">
        <f t="shared" ca="1" si="6"/>
        <v>0.29859461455097602</v>
      </c>
      <c r="G19" s="2">
        <f t="shared" ca="1" si="6"/>
        <v>0.29400995003447289</v>
      </c>
      <c r="H19" s="2">
        <f t="shared" ca="1" si="6"/>
        <v>0.29145026487605102</v>
      </c>
      <c r="I19" s="2">
        <f t="shared" ca="1" si="6"/>
        <v>0.26449018340640873</v>
      </c>
      <c r="J19" s="2">
        <f t="shared" ca="1" si="6"/>
        <v>0.23806454696186019</v>
      </c>
      <c r="K19" s="2">
        <f t="shared" ca="1" si="4"/>
        <v>0.23528326460562304</v>
      </c>
      <c r="L19" s="2">
        <f t="shared" ca="1" si="4"/>
        <v>0.22535135031510595</v>
      </c>
      <c r="M19" s="2">
        <f t="shared" ca="1" si="4"/>
        <v>0.23233685243771707</v>
      </c>
      <c r="N19" s="2">
        <f t="shared" ca="1" si="4"/>
        <v>0.27413464443420194</v>
      </c>
      <c r="O19" s="2">
        <f t="shared" ca="1" si="4"/>
        <v>0.20545517600912289</v>
      </c>
      <c r="P19" s="2">
        <f t="shared" ca="1" si="4"/>
        <v>0.29410494636688722</v>
      </c>
      <c r="Q19" s="2">
        <f t="shared" ca="1" si="4"/>
        <v>0.26598543541542019</v>
      </c>
      <c r="R19" s="2">
        <f t="shared" ca="1" si="4"/>
        <v>0.29571227038540948</v>
      </c>
      <c r="S19" s="2">
        <f t="shared" ca="1" si="4"/>
        <v>0.29321609962833467</v>
      </c>
      <c r="T19" s="2">
        <f t="shared" ca="1" si="4"/>
        <v>0.21446436056694282</v>
      </c>
      <c r="U19" s="2">
        <f t="shared" ca="1" si="4"/>
        <v>0.24758815315846464</v>
      </c>
      <c r="V19" s="2">
        <f t="shared" ca="1" si="4"/>
        <v>0.28474877811754973</v>
      </c>
      <c r="W19" s="2">
        <f t="shared" ca="1" si="4"/>
        <v>0.28212976209674057</v>
      </c>
      <c r="X19" s="2">
        <f t="shared" ca="1" si="4"/>
        <v>0.25944403305227987</v>
      </c>
      <c r="Y19" s="2">
        <f t="shared" ca="1" si="4"/>
        <v>0.21069484699049784</v>
      </c>
      <c r="Z19" s="2">
        <f t="shared" ca="1" si="4"/>
        <v>0.21424773790187027</v>
      </c>
      <c r="AA19" s="2">
        <f t="shared" ca="1" si="5"/>
        <v>0.273014057463426</v>
      </c>
      <c r="AB19" s="2">
        <f t="shared" ca="1" si="5"/>
        <v>0.25302513936839116</v>
      </c>
      <c r="AC19" s="2">
        <f t="shared" ca="1" si="5"/>
        <v>0.26053932587611006</v>
      </c>
      <c r="AD19" s="2">
        <f t="shared" ca="1" si="5"/>
        <v>0.20352959793155842</v>
      </c>
      <c r="AE19" s="2">
        <f t="shared" ca="1" si="5"/>
        <v>0.25642553733881235</v>
      </c>
      <c r="AF19" s="2">
        <f t="shared" ca="1" si="5"/>
        <v>0.21365568047008823</v>
      </c>
      <c r="AG19" s="2">
        <f t="shared" ca="1" si="5"/>
        <v>0.24189028596447865</v>
      </c>
      <c r="AH19" s="2">
        <f t="shared" ca="1" si="5"/>
        <v>0.21302806313576977</v>
      </c>
    </row>
    <row r="20" spans="1:34">
      <c r="A20" t="str">
        <f t="shared" si="7"/>
        <v>Sorghum</v>
      </c>
      <c r="B20" t="str">
        <f t="shared" si="8"/>
        <v>Harari</v>
      </c>
      <c r="C20" s="2">
        <f t="shared" ca="1" si="2"/>
        <v>0.20286237876475624</v>
      </c>
      <c r="D20" s="2">
        <f t="shared" ca="1" si="6"/>
        <v>0.25493172772745559</v>
      </c>
      <c r="E20" s="2">
        <f t="shared" ca="1" si="6"/>
        <v>0.2470113935667283</v>
      </c>
      <c r="F20" s="2">
        <f t="shared" ca="1" si="6"/>
        <v>0.26923350074963803</v>
      </c>
      <c r="G20" s="2">
        <f t="shared" ca="1" si="6"/>
        <v>0.20985596449499963</v>
      </c>
      <c r="H20" s="2">
        <f t="shared" ca="1" si="6"/>
        <v>0.28921690813235001</v>
      </c>
      <c r="I20" s="2">
        <f t="shared" ca="1" si="6"/>
        <v>0.28350732134629514</v>
      </c>
      <c r="J20" s="2">
        <f t="shared" ca="1" si="6"/>
        <v>0.25310199956461765</v>
      </c>
      <c r="K20" s="2">
        <f t="shared" ca="1" si="4"/>
        <v>0.25043895892592682</v>
      </c>
      <c r="L20" s="2">
        <f t="shared" ca="1" si="4"/>
        <v>0.21388945281999594</v>
      </c>
      <c r="M20" s="2">
        <f t="shared" ca="1" si="4"/>
        <v>0.28191095113862275</v>
      </c>
      <c r="N20" s="2">
        <f t="shared" ca="1" si="4"/>
        <v>0.23833840834260561</v>
      </c>
      <c r="O20" s="2">
        <f t="shared" ca="1" si="4"/>
        <v>0.21548346413345582</v>
      </c>
      <c r="P20" s="2">
        <f t="shared" ca="1" si="4"/>
        <v>0.26923802231010091</v>
      </c>
      <c r="Q20" s="2">
        <f t="shared" ca="1" si="4"/>
        <v>0.26754427392332297</v>
      </c>
      <c r="R20" s="2">
        <f t="shared" ca="1" si="4"/>
        <v>0.26387903752281927</v>
      </c>
      <c r="S20" s="2">
        <f t="shared" ca="1" si="4"/>
        <v>0.28948051756615983</v>
      </c>
      <c r="T20" s="2">
        <f t="shared" ca="1" si="4"/>
        <v>0.25564463023064127</v>
      </c>
      <c r="U20" s="2">
        <f t="shared" ca="1" si="4"/>
        <v>0.21815897707800083</v>
      </c>
      <c r="V20" s="2">
        <f t="shared" ca="1" si="4"/>
        <v>0.28322604046845673</v>
      </c>
      <c r="W20" s="2">
        <f t="shared" ca="1" si="4"/>
        <v>0.22684565216354424</v>
      </c>
      <c r="X20" s="2">
        <f t="shared" ca="1" si="4"/>
        <v>0.21535775876636404</v>
      </c>
      <c r="Y20" s="2">
        <f t="shared" ca="1" si="4"/>
        <v>0.29140840928043088</v>
      </c>
      <c r="Z20" s="2">
        <f t="shared" ca="1" si="4"/>
        <v>0.23538424390522245</v>
      </c>
      <c r="AA20" s="2">
        <f t="shared" ca="1" si="5"/>
        <v>0.23747705030141092</v>
      </c>
      <c r="AB20" s="2">
        <f t="shared" ca="1" si="5"/>
        <v>0.22822641500644739</v>
      </c>
      <c r="AC20" s="2">
        <f t="shared" ca="1" si="5"/>
        <v>0.29460279623451052</v>
      </c>
      <c r="AD20" s="2">
        <f t="shared" ca="1" si="5"/>
        <v>0.24840500138206148</v>
      </c>
      <c r="AE20" s="2">
        <f t="shared" ca="1" si="5"/>
        <v>0.29581577449692087</v>
      </c>
      <c r="AF20" s="2">
        <f t="shared" ca="1" si="5"/>
        <v>0.24434090907532099</v>
      </c>
      <c r="AG20" s="2">
        <f t="shared" ca="1" si="5"/>
        <v>0.23205498242650885</v>
      </c>
      <c r="AH20" s="2">
        <f t="shared" ca="1" si="5"/>
        <v>0.2745996872231129</v>
      </c>
    </row>
    <row r="21" spans="1:34">
      <c r="A21" t="str">
        <f t="shared" si="7"/>
        <v>Sorghum</v>
      </c>
      <c r="B21" t="str">
        <f t="shared" si="8"/>
        <v>Oromia</v>
      </c>
      <c r="C21" s="2">
        <f t="shared" ca="1" si="2"/>
        <v>0.29221109566180947</v>
      </c>
      <c r="D21" s="2">
        <f t="shared" ca="1" si="6"/>
        <v>0.28924735010536734</v>
      </c>
      <c r="E21" s="2">
        <f t="shared" ca="1" si="6"/>
        <v>0.28252958207894163</v>
      </c>
      <c r="F21" s="2">
        <f t="shared" ca="1" si="6"/>
        <v>0.22641786893574395</v>
      </c>
      <c r="G21" s="2">
        <f t="shared" ca="1" si="6"/>
        <v>0.26517890456100868</v>
      </c>
      <c r="H21" s="2">
        <f t="shared" ca="1" si="6"/>
        <v>0.21260898226025271</v>
      </c>
      <c r="I21" s="2">
        <f t="shared" ca="1" si="6"/>
        <v>0.22761478175977337</v>
      </c>
      <c r="J21" s="2">
        <f t="shared" ca="1" si="6"/>
        <v>0.29240645537012433</v>
      </c>
      <c r="K21" s="2">
        <f t="shared" ref="K21:Z30" ca="1" si="9">RAND()*0.1+0.2</f>
        <v>0.23728537490005366</v>
      </c>
      <c r="L21" s="2">
        <f t="shared" ca="1" si="9"/>
        <v>0.2946393417897194</v>
      </c>
      <c r="M21" s="2">
        <f t="shared" ca="1" si="9"/>
        <v>0.2508022390862864</v>
      </c>
      <c r="N21" s="2">
        <f t="shared" ca="1" si="9"/>
        <v>0.26927674406232444</v>
      </c>
      <c r="O21" s="2">
        <f t="shared" ca="1" si="9"/>
        <v>0.26563609210745853</v>
      </c>
      <c r="P21" s="2">
        <f t="shared" ca="1" si="9"/>
        <v>0.2111938909087783</v>
      </c>
      <c r="Q21" s="2">
        <f t="shared" ca="1" si="9"/>
        <v>0.22563566247294575</v>
      </c>
      <c r="R21" s="2">
        <f t="shared" ca="1" si="9"/>
        <v>0.27587960422164653</v>
      </c>
      <c r="S21" s="2">
        <f t="shared" ca="1" si="9"/>
        <v>0.29095253562047679</v>
      </c>
      <c r="T21" s="2">
        <f t="shared" ca="1" si="9"/>
        <v>0.25217682638217459</v>
      </c>
      <c r="U21" s="2">
        <f t="shared" ca="1" si="9"/>
        <v>0.20827420513422462</v>
      </c>
      <c r="V21" s="2">
        <f t="shared" ca="1" si="9"/>
        <v>0.28038055979284171</v>
      </c>
      <c r="W21" s="2">
        <f t="shared" ca="1" si="9"/>
        <v>0.21423058170672998</v>
      </c>
      <c r="X21" s="2">
        <f t="shared" ca="1" si="9"/>
        <v>0.24693442236245872</v>
      </c>
      <c r="Y21" s="2">
        <f t="shared" ca="1" si="9"/>
        <v>0.27439544823988077</v>
      </c>
      <c r="Z21" s="2">
        <f t="shared" ca="1" si="9"/>
        <v>0.21349634770884002</v>
      </c>
      <c r="AA21" s="2">
        <f t="shared" ca="1" si="5"/>
        <v>0.20637206000872887</v>
      </c>
      <c r="AB21" s="2">
        <f t="shared" ca="1" si="5"/>
        <v>0.29023953378095418</v>
      </c>
      <c r="AC21" s="2">
        <f t="shared" ca="1" si="5"/>
        <v>0.21986278043128191</v>
      </c>
      <c r="AD21" s="2">
        <f t="shared" ca="1" si="5"/>
        <v>0.23317966341174834</v>
      </c>
      <c r="AE21" s="2">
        <f t="shared" ca="1" si="5"/>
        <v>0.23311135201585509</v>
      </c>
      <c r="AF21" s="2">
        <f t="shared" ca="1" si="5"/>
        <v>0.28976736276972365</v>
      </c>
      <c r="AG21" s="2">
        <f t="shared" ca="1" si="5"/>
        <v>0.29477223786063883</v>
      </c>
      <c r="AH21" s="2">
        <f t="shared" ca="1" si="5"/>
        <v>0.249973065218174</v>
      </c>
    </row>
    <row r="22" spans="1:34">
      <c r="A22" t="str">
        <f t="shared" si="7"/>
        <v>Sorghum</v>
      </c>
      <c r="B22" t="str">
        <f t="shared" si="8"/>
        <v>Somali</v>
      </c>
      <c r="C22" s="2">
        <f t="shared" ca="1" si="2"/>
        <v>0.22464011562334757</v>
      </c>
      <c r="D22" s="2">
        <f t="shared" ref="D22:J31" ca="1" si="10">RAND()*0.1+0.2</f>
        <v>0.22400127131725586</v>
      </c>
      <c r="E22" s="2">
        <f t="shared" ca="1" si="10"/>
        <v>0.2509889845183792</v>
      </c>
      <c r="F22" s="2">
        <f t="shared" ca="1" si="10"/>
        <v>0.21397519325219305</v>
      </c>
      <c r="G22" s="2">
        <f t="shared" ca="1" si="10"/>
        <v>0.24371561611134629</v>
      </c>
      <c r="H22" s="2">
        <f t="shared" ca="1" si="10"/>
        <v>0.26675447727554513</v>
      </c>
      <c r="I22" s="2">
        <f t="shared" ca="1" si="10"/>
        <v>0.28396931710399798</v>
      </c>
      <c r="J22" s="2">
        <f t="shared" ca="1" si="10"/>
        <v>0.29173111378597932</v>
      </c>
      <c r="K22" s="2">
        <f t="shared" ca="1" si="9"/>
        <v>0.20175485923362821</v>
      </c>
      <c r="L22" s="2">
        <f t="shared" ca="1" si="9"/>
        <v>0.24783737692393057</v>
      </c>
      <c r="M22" s="2">
        <f t="shared" ca="1" si="9"/>
        <v>0.20363531001164106</v>
      </c>
      <c r="N22" s="2">
        <f t="shared" ca="1" si="9"/>
        <v>0.29388713617710555</v>
      </c>
      <c r="O22" s="2">
        <f t="shared" ca="1" si="9"/>
        <v>0.24093245673508693</v>
      </c>
      <c r="P22" s="2">
        <f t="shared" ca="1" si="9"/>
        <v>0.22128726414342878</v>
      </c>
      <c r="Q22" s="2">
        <f t="shared" ca="1" si="9"/>
        <v>0.28922955220622892</v>
      </c>
      <c r="R22" s="2">
        <f t="shared" ca="1" si="9"/>
        <v>0.28354267712205433</v>
      </c>
      <c r="S22" s="2">
        <f t="shared" ca="1" si="9"/>
        <v>0.23992196272127037</v>
      </c>
      <c r="T22" s="2">
        <f t="shared" ca="1" si="9"/>
        <v>0.22620553063833165</v>
      </c>
      <c r="U22" s="2">
        <f t="shared" ca="1" si="9"/>
        <v>0.22770249266714607</v>
      </c>
      <c r="V22" s="2">
        <f t="shared" ca="1" si="9"/>
        <v>0.23296483648814992</v>
      </c>
      <c r="W22" s="2">
        <f t="shared" ca="1" si="9"/>
        <v>0.20286981630757606</v>
      </c>
      <c r="X22" s="2">
        <f t="shared" ca="1" si="9"/>
        <v>0.29970874887086046</v>
      </c>
      <c r="Y22" s="2">
        <f t="shared" ca="1" si="9"/>
        <v>0.20101443466677688</v>
      </c>
      <c r="Z22" s="2">
        <f t="shared" ca="1" si="9"/>
        <v>0.23895558006971424</v>
      </c>
      <c r="AA22" s="2">
        <f t="shared" ca="1" si="5"/>
        <v>0.24356134658561063</v>
      </c>
      <c r="AB22" s="2">
        <f t="shared" ca="1" si="5"/>
        <v>0.21676978439836803</v>
      </c>
      <c r="AC22" s="2">
        <f t="shared" ca="1" si="5"/>
        <v>0.24157217537784248</v>
      </c>
      <c r="AD22" s="2">
        <f t="shared" ca="1" si="5"/>
        <v>0.23778415701143657</v>
      </c>
      <c r="AE22" s="2">
        <f t="shared" ca="1" si="5"/>
        <v>0.26175965889224895</v>
      </c>
      <c r="AF22" s="2">
        <f t="shared" ca="1" si="5"/>
        <v>0.26836940074170862</v>
      </c>
      <c r="AG22" s="2">
        <f t="shared" ca="1" si="5"/>
        <v>0.21304664103390594</v>
      </c>
      <c r="AH22" s="2">
        <f t="shared" ca="1" si="5"/>
        <v>0.20186965803394413</v>
      </c>
    </row>
    <row r="23" spans="1:34">
      <c r="A23" t="str">
        <f t="shared" si="7"/>
        <v>Sorghum</v>
      </c>
      <c r="B23" t="str">
        <f t="shared" si="8"/>
        <v>SNNPR</v>
      </c>
      <c r="C23" s="2">
        <f t="shared" ca="1" si="2"/>
        <v>0.20698776023970158</v>
      </c>
      <c r="D23" s="2">
        <f t="shared" ca="1" si="10"/>
        <v>0.29172331954635056</v>
      </c>
      <c r="E23" s="2">
        <f t="shared" ca="1" si="10"/>
        <v>0.23742476132357759</v>
      </c>
      <c r="F23" s="2">
        <f t="shared" ca="1" si="10"/>
        <v>0.20852016370043575</v>
      </c>
      <c r="G23" s="2">
        <f t="shared" ca="1" si="10"/>
        <v>0.26955567469381836</v>
      </c>
      <c r="H23" s="2">
        <f t="shared" ca="1" si="10"/>
        <v>0.21095350844731159</v>
      </c>
      <c r="I23" s="2">
        <f t="shared" ca="1" si="10"/>
        <v>0.22776142065037491</v>
      </c>
      <c r="J23" s="2">
        <f t="shared" ca="1" si="10"/>
        <v>0.22308515715627217</v>
      </c>
      <c r="K23" s="2">
        <f t="shared" ca="1" si="9"/>
        <v>0.23414846271911996</v>
      </c>
      <c r="L23" s="2">
        <f t="shared" ca="1" si="9"/>
        <v>0.23043437449370185</v>
      </c>
      <c r="M23" s="2">
        <f t="shared" ca="1" si="9"/>
        <v>0.23305452580911593</v>
      </c>
      <c r="N23" s="2">
        <f t="shared" ca="1" si="9"/>
        <v>0.22027213447574273</v>
      </c>
      <c r="O23" s="2">
        <f t="shared" ca="1" si="9"/>
        <v>0.27130804637483974</v>
      </c>
      <c r="P23" s="2">
        <f t="shared" ca="1" si="9"/>
        <v>0.22035919250357439</v>
      </c>
      <c r="Q23" s="2">
        <f t="shared" ca="1" si="9"/>
        <v>0.21036737684814222</v>
      </c>
      <c r="R23" s="2">
        <f t="shared" ca="1" si="9"/>
        <v>0.29469293792099888</v>
      </c>
      <c r="S23" s="2">
        <f t="shared" ca="1" si="9"/>
        <v>0.2885760257041648</v>
      </c>
      <c r="T23" s="2">
        <f t="shared" ca="1" si="9"/>
        <v>0.25937430400891642</v>
      </c>
      <c r="U23" s="2">
        <f t="shared" ca="1" si="9"/>
        <v>0.23669186823846802</v>
      </c>
      <c r="V23" s="2">
        <f t="shared" ca="1" si="9"/>
        <v>0.25946435404695117</v>
      </c>
      <c r="W23" s="2">
        <f t="shared" ca="1" si="9"/>
        <v>0.29685052827223679</v>
      </c>
      <c r="X23" s="2">
        <f t="shared" ca="1" si="9"/>
        <v>0.23148062951920315</v>
      </c>
      <c r="Y23" s="2">
        <f t="shared" ca="1" si="9"/>
        <v>0.27517291765053103</v>
      </c>
      <c r="Z23" s="2">
        <f t="shared" ca="1" si="9"/>
        <v>0.2377926592764241</v>
      </c>
      <c r="AA23" s="2">
        <f t="shared" ca="1" si="5"/>
        <v>0.20549758466381574</v>
      </c>
      <c r="AB23" s="2">
        <f t="shared" ca="1" si="5"/>
        <v>0.23604022372395053</v>
      </c>
      <c r="AC23" s="2">
        <f t="shared" ca="1" si="5"/>
        <v>0.21776476927607488</v>
      </c>
      <c r="AD23" s="2">
        <f t="shared" ca="1" si="5"/>
        <v>0.29084176336455542</v>
      </c>
      <c r="AE23" s="2">
        <f t="shared" ca="1" si="5"/>
        <v>0.28291409612749119</v>
      </c>
      <c r="AF23" s="2">
        <f t="shared" ca="1" si="5"/>
        <v>0.26177977987975404</v>
      </c>
      <c r="AG23" s="2">
        <f t="shared" ca="1" si="5"/>
        <v>0.21168450331469954</v>
      </c>
      <c r="AH23" s="2">
        <f t="shared" ca="1" si="5"/>
        <v>0.20970683816856156</v>
      </c>
    </row>
    <row r="24" spans="1:34">
      <c r="A24" t="str">
        <f t="shared" si="7"/>
        <v>Sorghum</v>
      </c>
      <c r="B24" t="str">
        <f t="shared" si="8"/>
        <v>Tigray</v>
      </c>
      <c r="C24" s="2">
        <f t="shared" ca="1" si="2"/>
        <v>0.28826835407431434</v>
      </c>
      <c r="D24" s="2">
        <f t="shared" ca="1" si="10"/>
        <v>0.21495452902139023</v>
      </c>
      <c r="E24" s="2">
        <f t="shared" ca="1" si="10"/>
        <v>0.27555002931655759</v>
      </c>
      <c r="F24" s="2">
        <f t="shared" ca="1" si="10"/>
        <v>0.2154864574008816</v>
      </c>
      <c r="G24" s="2">
        <f t="shared" ca="1" si="10"/>
        <v>0.24464748000190703</v>
      </c>
      <c r="H24" s="2">
        <f t="shared" ca="1" si="10"/>
        <v>0.2003757697753272</v>
      </c>
      <c r="I24" s="2">
        <f t="shared" ca="1" si="10"/>
        <v>0.20025699440493305</v>
      </c>
      <c r="J24" s="2">
        <f t="shared" ca="1" si="10"/>
        <v>0.26348491924470285</v>
      </c>
      <c r="K24" s="2">
        <f t="shared" ca="1" si="9"/>
        <v>0.27188935257023095</v>
      </c>
      <c r="L24" s="2">
        <f t="shared" ca="1" si="9"/>
        <v>0.21045424419761272</v>
      </c>
      <c r="M24" s="2">
        <f t="shared" ca="1" si="9"/>
        <v>0.22672126687569255</v>
      </c>
      <c r="N24" s="2">
        <f t="shared" ca="1" si="9"/>
        <v>0.23725819503894097</v>
      </c>
      <c r="O24" s="2">
        <f t="shared" ca="1" si="9"/>
        <v>0.21085495260457709</v>
      </c>
      <c r="P24" s="2">
        <f t="shared" ca="1" si="9"/>
        <v>0.29320807054491771</v>
      </c>
      <c r="Q24" s="2">
        <f t="shared" ca="1" si="9"/>
        <v>0.24234327831874519</v>
      </c>
      <c r="R24" s="2">
        <f t="shared" ca="1" si="9"/>
        <v>0.25630790315704222</v>
      </c>
      <c r="S24" s="2">
        <f t="shared" ca="1" si="9"/>
        <v>0.26396831704662271</v>
      </c>
      <c r="T24" s="2">
        <f t="shared" ca="1" si="9"/>
        <v>0.23921431507143753</v>
      </c>
      <c r="U24" s="2">
        <f t="shared" ca="1" si="9"/>
        <v>0.29219352309902086</v>
      </c>
      <c r="V24" s="2">
        <f t="shared" ca="1" si="9"/>
        <v>0.20566030732642984</v>
      </c>
      <c r="W24" s="2">
        <f t="shared" ca="1" si="9"/>
        <v>0.23164000678254495</v>
      </c>
      <c r="X24" s="2">
        <f t="shared" ca="1" si="9"/>
        <v>0.26869816324072121</v>
      </c>
      <c r="Y24" s="2">
        <f t="shared" ca="1" si="9"/>
        <v>0.26648129214197719</v>
      </c>
      <c r="Z24" s="2">
        <f t="shared" ca="1" si="9"/>
        <v>0.21341705693249041</v>
      </c>
      <c r="AA24" s="2">
        <f t="shared" ca="1" si="5"/>
        <v>0.20265599625451408</v>
      </c>
      <c r="AB24" s="2">
        <f t="shared" ca="1" si="5"/>
        <v>0.20731559224229176</v>
      </c>
      <c r="AC24" s="2">
        <f t="shared" ca="1" si="5"/>
        <v>0.2693093740718448</v>
      </c>
      <c r="AD24" s="2">
        <f t="shared" ca="1" si="5"/>
        <v>0.24555435475513754</v>
      </c>
      <c r="AE24" s="2">
        <f t="shared" ca="1" si="5"/>
        <v>0.20524921352769365</v>
      </c>
      <c r="AF24" s="2">
        <f t="shared" ca="1" si="5"/>
        <v>0.22640348573021515</v>
      </c>
      <c r="AG24" s="2">
        <f t="shared" ca="1" si="5"/>
        <v>0.27229049007806799</v>
      </c>
      <c r="AH24" s="2">
        <f t="shared" ca="1" si="5"/>
        <v>0.25825343184498539</v>
      </c>
    </row>
    <row r="25" spans="1:34">
      <c r="A25" t="str">
        <f t="shared" si="7"/>
        <v>Maize</v>
      </c>
      <c r="B25" t="str">
        <f t="shared" si="8"/>
        <v>AddisAbaba</v>
      </c>
      <c r="C25" s="2">
        <f t="shared" ca="1" si="2"/>
        <v>0.271752227111068</v>
      </c>
      <c r="D25" s="2">
        <f t="shared" ca="1" si="10"/>
        <v>0.28893367513281798</v>
      </c>
      <c r="E25" s="2">
        <f t="shared" ca="1" si="10"/>
        <v>0.25828657423622642</v>
      </c>
      <c r="F25" s="2">
        <f t="shared" ca="1" si="10"/>
        <v>0.21988926531027222</v>
      </c>
      <c r="G25" s="2">
        <f t="shared" ca="1" si="10"/>
        <v>0.25130712617391132</v>
      </c>
      <c r="H25" s="2">
        <f t="shared" ca="1" si="10"/>
        <v>0.28221484007489273</v>
      </c>
      <c r="I25" s="2">
        <f t="shared" ca="1" si="10"/>
        <v>0.29282767980835994</v>
      </c>
      <c r="J25" s="2">
        <f t="shared" ca="1" si="10"/>
        <v>0.22739241162434956</v>
      </c>
      <c r="K25" s="2">
        <f t="shared" ca="1" si="9"/>
        <v>0.21224130948309314</v>
      </c>
      <c r="L25" s="2">
        <f t="shared" ca="1" si="9"/>
        <v>0.2440960577247219</v>
      </c>
      <c r="M25" s="2">
        <f t="shared" ca="1" si="9"/>
        <v>0.25239234365012414</v>
      </c>
      <c r="N25" s="2">
        <f t="shared" ca="1" si="9"/>
        <v>0.20072284875827798</v>
      </c>
      <c r="O25" s="2">
        <f t="shared" ca="1" si="9"/>
        <v>0.27980168384652504</v>
      </c>
      <c r="P25" s="2">
        <f t="shared" ca="1" si="9"/>
        <v>0.25171896653619624</v>
      </c>
      <c r="Q25" s="2">
        <f t="shared" ca="1" si="9"/>
        <v>0.29814151742567629</v>
      </c>
      <c r="R25" s="2">
        <f t="shared" ca="1" si="9"/>
        <v>0.20941178700219742</v>
      </c>
      <c r="S25" s="2">
        <f t="shared" ca="1" si="9"/>
        <v>0.21702505038090916</v>
      </c>
      <c r="T25" s="2">
        <f t="shared" ca="1" si="9"/>
        <v>0.24787806084203648</v>
      </c>
      <c r="U25" s="2">
        <f t="shared" ca="1" si="9"/>
        <v>0.25615869696653509</v>
      </c>
      <c r="V25" s="2">
        <f t="shared" ca="1" si="9"/>
        <v>0.27816196726358128</v>
      </c>
      <c r="W25" s="2">
        <f t="shared" ca="1" si="9"/>
        <v>0.26317877325074013</v>
      </c>
      <c r="X25" s="2">
        <f t="shared" ca="1" si="9"/>
        <v>0.21033370248104666</v>
      </c>
      <c r="Y25" s="2">
        <f t="shared" ca="1" si="9"/>
        <v>0.25017276671607402</v>
      </c>
      <c r="Z25" s="2">
        <f t="shared" ca="1" si="9"/>
        <v>0.29868555978722128</v>
      </c>
      <c r="AA25" s="2">
        <f t="shared" ca="1" si="5"/>
        <v>0.28989354867388151</v>
      </c>
      <c r="AB25" s="2">
        <f t="shared" ca="1" si="5"/>
        <v>0.24558594308099119</v>
      </c>
      <c r="AC25" s="2">
        <f t="shared" ca="1" si="5"/>
        <v>0.27264876440619623</v>
      </c>
      <c r="AD25" s="2">
        <f t="shared" ca="1" si="5"/>
        <v>0.25556158038098514</v>
      </c>
      <c r="AE25" s="2">
        <f t="shared" ca="1" si="5"/>
        <v>0.21430362532512084</v>
      </c>
      <c r="AF25" s="2">
        <f t="shared" ca="1" si="5"/>
        <v>0.28196686085974099</v>
      </c>
      <c r="AG25" s="2">
        <f t="shared" ca="1" si="5"/>
        <v>0.20382110538091641</v>
      </c>
      <c r="AH25" s="2">
        <f t="shared" ca="1" si="5"/>
        <v>0.20306596929764822</v>
      </c>
    </row>
    <row r="26" spans="1:34">
      <c r="A26" t="str">
        <f t="shared" si="7"/>
        <v>Maize</v>
      </c>
      <c r="B26" t="str">
        <f t="shared" si="8"/>
        <v>Afar</v>
      </c>
      <c r="C26" s="2">
        <f t="shared" ca="1" si="2"/>
        <v>0.29366459830770597</v>
      </c>
      <c r="D26" s="2">
        <f t="shared" ca="1" si="10"/>
        <v>0.2290594602792565</v>
      </c>
      <c r="E26" s="2">
        <f t="shared" ca="1" si="10"/>
        <v>0.23823062838101136</v>
      </c>
      <c r="F26" s="2">
        <f t="shared" ca="1" si="10"/>
        <v>0.22644577963499959</v>
      </c>
      <c r="G26" s="2">
        <f t="shared" ca="1" si="10"/>
        <v>0.20135452895993741</v>
      </c>
      <c r="H26" s="2">
        <f t="shared" ca="1" si="10"/>
        <v>0.26593425653484898</v>
      </c>
      <c r="I26" s="2">
        <f t="shared" ca="1" si="10"/>
        <v>0.22610286197165635</v>
      </c>
      <c r="J26" s="2">
        <f t="shared" ca="1" si="10"/>
        <v>0.23683717909817448</v>
      </c>
      <c r="K26" s="2">
        <f t="shared" ca="1" si="9"/>
        <v>0.23720180783002698</v>
      </c>
      <c r="L26" s="2">
        <f t="shared" ca="1" si="9"/>
        <v>0.26071998982850608</v>
      </c>
      <c r="M26" s="2">
        <f t="shared" ca="1" si="9"/>
        <v>0.25242906049349878</v>
      </c>
      <c r="N26" s="2">
        <f t="shared" ca="1" si="9"/>
        <v>0.20292916730010507</v>
      </c>
      <c r="O26" s="2">
        <f t="shared" ca="1" si="9"/>
        <v>0.26123090456733156</v>
      </c>
      <c r="P26" s="2">
        <f t="shared" ca="1" si="9"/>
        <v>0.20844740929393082</v>
      </c>
      <c r="Q26" s="2">
        <f t="shared" ca="1" si="9"/>
        <v>0.26982653083684116</v>
      </c>
      <c r="R26" s="2">
        <f t="shared" ca="1" si="9"/>
        <v>0.26897466487040816</v>
      </c>
      <c r="S26" s="2">
        <f t="shared" ca="1" si="9"/>
        <v>0.27170391770640023</v>
      </c>
      <c r="T26" s="2">
        <f t="shared" ca="1" si="9"/>
        <v>0.23532683939370433</v>
      </c>
      <c r="U26" s="2">
        <f t="shared" ca="1" si="9"/>
        <v>0.26603893198590334</v>
      </c>
      <c r="V26" s="2">
        <f t="shared" ca="1" si="9"/>
        <v>0.29352499763767748</v>
      </c>
      <c r="W26" s="2">
        <f t="shared" ca="1" si="9"/>
        <v>0.21677484247147855</v>
      </c>
      <c r="X26" s="2">
        <f t="shared" ca="1" si="9"/>
        <v>0.2443555669229984</v>
      </c>
      <c r="Y26" s="2">
        <f t="shared" ca="1" si="9"/>
        <v>0.28806228245817894</v>
      </c>
      <c r="Z26" s="2">
        <f t="shared" ca="1" si="9"/>
        <v>0.23229951814470706</v>
      </c>
      <c r="AA26" s="2">
        <f t="shared" ca="1" si="5"/>
        <v>0.29480287994182469</v>
      </c>
      <c r="AB26" s="2">
        <f t="shared" ca="1" si="5"/>
        <v>0.26829381583599671</v>
      </c>
      <c r="AC26" s="2">
        <f t="shared" ca="1" si="5"/>
        <v>0.20845722173769421</v>
      </c>
      <c r="AD26" s="2">
        <f t="shared" ca="1" si="5"/>
        <v>0.2007339384929204</v>
      </c>
      <c r="AE26" s="2">
        <f t="shared" ca="1" si="5"/>
        <v>0.26942719418825944</v>
      </c>
      <c r="AF26" s="2">
        <f t="shared" ca="1" si="5"/>
        <v>0.27829074119366409</v>
      </c>
      <c r="AG26" s="2">
        <f t="shared" ca="1" si="5"/>
        <v>0.27746015213880915</v>
      </c>
      <c r="AH26" s="2">
        <f t="shared" ca="1" si="5"/>
        <v>0.29041981588293381</v>
      </c>
    </row>
    <row r="27" spans="1:34">
      <c r="A27" t="str">
        <f t="shared" si="7"/>
        <v>Maize</v>
      </c>
      <c r="B27" t="str">
        <f t="shared" si="8"/>
        <v>Amhara</v>
      </c>
      <c r="C27" s="2">
        <f t="shared" ca="1" si="2"/>
        <v>0.20803846724214237</v>
      </c>
      <c r="D27" s="2">
        <f t="shared" ca="1" si="10"/>
        <v>0.26498872256076078</v>
      </c>
      <c r="E27" s="2">
        <f t="shared" ca="1" si="10"/>
        <v>0.29643795596182082</v>
      </c>
      <c r="F27" s="2">
        <f t="shared" ca="1" si="10"/>
        <v>0.29553743197477922</v>
      </c>
      <c r="G27" s="2">
        <f t="shared" ca="1" si="10"/>
        <v>0.24238126803502863</v>
      </c>
      <c r="H27" s="2">
        <f t="shared" ca="1" si="10"/>
        <v>0.22446348821906312</v>
      </c>
      <c r="I27" s="2">
        <f t="shared" ca="1" si="10"/>
        <v>0.24333990900128546</v>
      </c>
      <c r="J27" s="2">
        <f t="shared" ca="1" si="10"/>
        <v>0.28904160026379033</v>
      </c>
      <c r="K27" s="2">
        <f t="shared" ca="1" si="9"/>
        <v>0.26900604387285221</v>
      </c>
      <c r="L27" s="2">
        <f t="shared" ca="1" si="9"/>
        <v>0.22330935926819545</v>
      </c>
      <c r="M27" s="2">
        <f t="shared" ca="1" si="9"/>
        <v>0.26837873743986917</v>
      </c>
      <c r="N27" s="2">
        <f t="shared" ca="1" si="9"/>
        <v>0.21155730675885298</v>
      </c>
      <c r="O27" s="2">
        <f t="shared" ca="1" si="9"/>
        <v>0.25379453235450483</v>
      </c>
      <c r="P27" s="2">
        <f t="shared" ca="1" si="9"/>
        <v>0.28306279258963513</v>
      </c>
      <c r="Q27" s="2">
        <f t="shared" ca="1" si="9"/>
        <v>0.23066586446767254</v>
      </c>
      <c r="R27" s="2">
        <f t="shared" ca="1" si="9"/>
        <v>0.20098946632374604</v>
      </c>
      <c r="S27" s="2">
        <f t="shared" ca="1" si="9"/>
        <v>0.25320956013013052</v>
      </c>
      <c r="T27" s="2">
        <f t="shared" ca="1" si="9"/>
        <v>0.21429792907092349</v>
      </c>
      <c r="U27" s="2">
        <f t="shared" ca="1" si="9"/>
        <v>0.21951122623349559</v>
      </c>
      <c r="V27" s="2">
        <f t="shared" ca="1" si="9"/>
        <v>0.2970830497237224</v>
      </c>
      <c r="W27" s="2">
        <f t="shared" ca="1" si="9"/>
        <v>0.2161013048208715</v>
      </c>
      <c r="X27" s="2">
        <f t="shared" ca="1" si="9"/>
        <v>0.22408400436669956</v>
      </c>
      <c r="Y27" s="2">
        <f t="shared" ca="1" si="9"/>
        <v>0.24165673490022377</v>
      </c>
      <c r="Z27" s="2">
        <f t="shared" ca="1" si="9"/>
        <v>0.223462127098494</v>
      </c>
      <c r="AA27" s="2">
        <f t="shared" ca="1" si="5"/>
        <v>0.29932732944562496</v>
      </c>
      <c r="AB27" s="2">
        <f t="shared" ca="1" si="5"/>
        <v>0.23375570354642283</v>
      </c>
      <c r="AC27" s="2">
        <f t="shared" ca="1" si="5"/>
        <v>0.28555754972324615</v>
      </c>
      <c r="AD27" s="2">
        <f t="shared" ca="1" si="5"/>
        <v>0.27266648928938664</v>
      </c>
      <c r="AE27" s="2">
        <f t="shared" ca="1" si="5"/>
        <v>0.23354317713693939</v>
      </c>
      <c r="AF27" s="2">
        <f t="shared" ca="1" si="5"/>
        <v>0.2890909231748493</v>
      </c>
      <c r="AG27" s="2">
        <f t="shared" ca="1" si="5"/>
        <v>0.26074990736940501</v>
      </c>
      <c r="AH27" s="2">
        <f t="shared" ca="1" si="5"/>
        <v>0.23920451686981672</v>
      </c>
    </row>
    <row r="28" spans="1:34">
      <c r="A28" t="str">
        <f t="shared" si="7"/>
        <v>Maize</v>
      </c>
      <c r="B28" t="str">
        <f t="shared" si="8"/>
        <v>Gumuz</v>
      </c>
      <c r="C28" s="2">
        <f t="shared" ca="1" si="2"/>
        <v>0.26594156408178682</v>
      </c>
      <c r="D28" s="2">
        <f t="shared" ca="1" si="10"/>
        <v>0.21181626242489762</v>
      </c>
      <c r="E28" s="2">
        <f t="shared" ca="1" si="10"/>
        <v>0.22138706793792803</v>
      </c>
      <c r="F28" s="2">
        <f t="shared" ca="1" si="10"/>
        <v>0.20760178136930904</v>
      </c>
      <c r="G28" s="2">
        <f t="shared" ca="1" si="10"/>
        <v>0.2912563821656986</v>
      </c>
      <c r="H28" s="2">
        <f t="shared" ca="1" si="10"/>
        <v>0.22004585860677725</v>
      </c>
      <c r="I28" s="2">
        <f t="shared" ca="1" si="10"/>
        <v>0.26463010937217279</v>
      </c>
      <c r="J28" s="2">
        <f t="shared" ca="1" si="10"/>
        <v>0.2815005013202424</v>
      </c>
      <c r="K28" s="2">
        <f t="shared" ca="1" si="9"/>
        <v>0.29394075609262033</v>
      </c>
      <c r="L28" s="2">
        <f t="shared" ca="1" si="9"/>
        <v>0.24131151885046459</v>
      </c>
      <c r="M28" s="2">
        <f t="shared" ca="1" si="9"/>
        <v>0.20039908159757824</v>
      </c>
      <c r="N28" s="2">
        <f t="shared" ca="1" si="9"/>
        <v>0.26664406791968254</v>
      </c>
      <c r="O28" s="2">
        <f t="shared" ca="1" si="9"/>
        <v>0.21109452911414425</v>
      </c>
      <c r="P28" s="2">
        <f t="shared" ca="1" si="9"/>
        <v>0.2826394056388436</v>
      </c>
      <c r="Q28" s="2">
        <f t="shared" ca="1" si="9"/>
        <v>0.2221735595868071</v>
      </c>
      <c r="R28" s="2">
        <f t="shared" ca="1" si="9"/>
        <v>0.23758895410704001</v>
      </c>
      <c r="S28" s="2">
        <f t="shared" ca="1" si="9"/>
        <v>0.29432643760819971</v>
      </c>
      <c r="T28" s="2">
        <f t="shared" ca="1" si="9"/>
        <v>0.20259178651167911</v>
      </c>
      <c r="U28" s="2">
        <f t="shared" ca="1" si="9"/>
        <v>0.21296450356786112</v>
      </c>
      <c r="V28" s="2">
        <f t="shared" ca="1" si="9"/>
        <v>0.28352130192136538</v>
      </c>
      <c r="W28" s="2">
        <f t="shared" ca="1" si="9"/>
        <v>0.26442284120316972</v>
      </c>
      <c r="X28" s="2">
        <f t="shared" ca="1" si="9"/>
        <v>0.21192464225764426</v>
      </c>
      <c r="Y28" s="2">
        <f t="shared" ca="1" si="9"/>
        <v>0.23904164102124648</v>
      </c>
      <c r="Z28" s="2">
        <f t="shared" ca="1" si="9"/>
        <v>0.24186925976993082</v>
      </c>
      <c r="AA28" s="2">
        <f t="shared" ca="1" si="5"/>
        <v>0.25749328507745323</v>
      </c>
      <c r="AB28" s="2">
        <f t="shared" ca="1" si="5"/>
        <v>0.23532189331219322</v>
      </c>
      <c r="AC28" s="2">
        <f t="shared" ca="1" si="5"/>
        <v>0.28156066035748523</v>
      </c>
      <c r="AD28" s="2">
        <f t="shared" ca="1" si="5"/>
        <v>0.2135640559269823</v>
      </c>
      <c r="AE28" s="2">
        <f t="shared" ca="1" si="5"/>
        <v>0.25852932615436386</v>
      </c>
      <c r="AF28" s="2">
        <f t="shared" ca="1" si="5"/>
        <v>0.21009773035053547</v>
      </c>
      <c r="AG28" s="2">
        <f t="shared" ca="1" si="5"/>
        <v>0.29550889654112739</v>
      </c>
      <c r="AH28" s="2">
        <f t="shared" ca="1" si="5"/>
        <v>0.24233913924838629</v>
      </c>
    </row>
    <row r="29" spans="1:34">
      <c r="A29" t="str">
        <f t="shared" si="7"/>
        <v>Maize</v>
      </c>
      <c r="B29" t="str">
        <f t="shared" si="8"/>
        <v>DireDawa</v>
      </c>
      <c r="C29" s="2">
        <f t="shared" ca="1" si="2"/>
        <v>0.25332714508863591</v>
      </c>
      <c r="D29" s="2">
        <f t="shared" ca="1" si="10"/>
        <v>0.26665327299184394</v>
      </c>
      <c r="E29" s="2">
        <f t="shared" ca="1" si="10"/>
        <v>0.27236871773363946</v>
      </c>
      <c r="F29" s="2">
        <f t="shared" ca="1" si="10"/>
        <v>0.23862791585787346</v>
      </c>
      <c r="G29" s="2">
        <f t="shared" ca="1" si="10"/>
        <v>0.26095805401208855</v>
      </c>
      <c r="H29" s="2">
        <f t="shared" ca="1" si="10"/>
        <v>0.23623521688375143</v>
      </c>
      <c r="I29" s="2">
        <f t="shared" ca="1" si="10"/>
        <v>0.21026460459605831</v>
      </c>
      <c r="J29" s="2">
        <f t="shared" ca="1" si="10"/>
        <v>0.2910493437692887</v>
      </c>
      <c r="K29" s="2">
        <f t="shared" ca="1" si="9"/>
        <v>0.25060749899862927</v>
      </c>
      <c r="L29" s="2">
        <f t="shared" ca="1" si="9"/>
        <v>0.29036459277280308</v>
      </c>
      <c r="M29" s="2">
        <f t="shared" ca="1" si="9"/>
        <v>0.22838681405513714</v>
      </c>
      <c r="N29" s="2">
        <f t="shared" ca="1" si="9"/>
        <v>0.24316542354537182</v>
      </c>
      <c r="O29" s="2">
        <f t="shared" ca="1" si="9"/>
        <v>0.26328625548727969</v>
      </c>
      <c r="P29" s="2">
        <f t="shared" ca="1" si="9"/>
        <v>0.28708503000845342</v>
      </c>
      <c r="Q29" s="2">
        <f t="shared" ca="1" si="9"/>
        <v>0.24725718298599075</v>
      </c>
      <c r="R29" s="2">
        <f t="shared" ca="1" si="9"/>
        <v>0.21276120986192598</v>
      </c>
      <c r="S29" s="2">
        <f t="shared" ca="1" si="9"/>
        <v>0.24524344213217608</v>
      </c>
      <c r="T29" s="2">
        <f t="shared" ca="1" si="9"/>
        <v>0.26354054941876592</v>
      </c>
      <c r="U29" s="2">
        <f t="shared" ca="1" si="9"/>
        <v>0.26369638864791756</v>
      </c>
      <c r="V29" s="2">
        <f t="shared" ca="1" si="9"/>
        <v>0.20546993798693577</v>
      </c>
      <c r="W29" s="2">
        <f t="shared" ca="1" si="9"/>
        <v>0.21433400364735072</v>
      </c>
      <c r="X29" s="2">
        <f t="shared" ca="1" si="9"/>
        <v>0.2675419394207062</v>
      </c>
      <c r="Y29" s="2">
        <f t="shared" ca="1" si="9"/>
        <v>0.28200439820355894</v>
      </c>
      <c r="Z29" s="2">
        <f t="shared" ca="1" si="9"/>
        <v>0.22054873445550849</v>
      </c>
      <c r="AA29" s="2">
        <f t="shared" ca="1" si="5"/>
        <v>0.26663505660637604</v>
      </c>
      <c r="AB29" s="2">
        <f t="shared" ca="1" si="5"/>
        <v>0.20876558562458297</v>
      </c>
      <c r="AC29" s="2">
        <f t="shared" ca="1" si="5"/>
        <v>0.21221144559445868</v>
      </c>
      <c r="AD29" s="2">
        <f t="shared" ca="1" si="5"/>
        <v>0.27657679532490742</v>
      </c>
      <c r="AE29" s="2">
        <f t="shared" ca="1" si="5"/>
        <v>0.24705355615138164</v>
      </c>
      <c r="AF29" s="2">
        <f t="shared" ca="1" si="5"/>
        <v>0.23283372912190053</v>
      </c>
      <c r="AG29" s="2">
        <f t="shared" ca="1" si="5"/>
        <v>0.24321809052780688</v>
      </c>
      <c r="AH29" s="2">
        <f t="shared" ca="1" si="5"/>
        <v>0.25792550962300181</v>
      </c>
    </row>
    <row r="30" spans="1:34">
      <c r="A30" t="str">
        <f t="shared" si="7"/>
        <v>Maize</v>
      </c>
      <c r="B30" t="str">
        <f t="shared" si="8"/>
        <v>Gambela</v>
      </c>
      <c r="C30" s="2">
        <f t="shared" ca="1" si="2"/>
        <v>0.24335500138818469</v>
      </c>
      <c r="D30" s="2">
        <f t="shared" ca="1" si="10"/>
        <v>0.20792029902050971</v>
      </c>
      <c r="E30" s="2">
        <f t="shared" ca="1" si="10"/>
        <v>0.27960265691385677</v>
      </c>
      <c r="F30" s="2">
        <f t="shared" ca="1" si="10"/>
        <v>0.25828218539803927</v>
      </c>
      <c r="G30" s="2">
        <f t="shared" ca="1" si="10"/>
        <v>0.25252025364572195</v>
      </c>
      <c r="H30" s="2">
        <f t="shared" ca="1" si="10"/>
        <v>0.22640575236269342</v>
      </c>
      <c r="I30" s="2">
        <f t="shared" ca="1" si="10"/>
        <v>0.29260297727496865</v>
      </c>
      <c r="J30" s="2">
        <f t="shared" ca="1" si="10"/>
        <v>0.21705408014930871</v>
      </c>
      <c r="K30" s="2">
        <f t="shared" ca="1" si="9"/>
        <v>0.23079927610217638</v>
      </c>
      <c r="L30" s="2">
        <f t="shared" ca="1" si="9"/>
        <v>0.22635077937132608</v>
      </c>
      <c r="M30" s="2">
        <f t="shared" ca="1" si="9"/>
        <v>0.20811883083245108</v>
      </c>
      <c r="N30" s="2">
        <f t="shared" ca="1" si="9"/>
        <v>0.22818274881018907</v>
      </c>
      <c r="O30" s="2">
        <f t="shared" ca="1" si="9"/>
        <v>0.25233414465386672</v>
      </c>
      <c r="P30" s="2">
        <f t="shared" ca="1" si="9"/>
        <v>0.28700637972347048</v>
      </c>
      <c r="Q30" s="2">
        <f t="shared" ca="1" si="9"/>
        <v>0.23763941530689497</v>
      </c>
      <c r="R30" s="2">
        <f t="shared" ca="1" si="9"/>
        <v>0.27017522685748496</v>
      </c>
      <c r="S30" s="2">
        <f t="shared" ca="1" si="9"/>
        <v>0.29963724789248836</v>
      </c>
      <c r="T30" s="2">
        <f t="shared" ca="1" si="9"/>
        <v>0.23460235579609823</v>
      </c>
      <c r="U30" s="2">
        <f t="shared" ca="1" si="9"/>
        <v>0.27264034273549587</v>
      </c>
      <c r="V30" s="2">
        <f t="shared" ca="1" si="9"/>
        <v>0.20278504998690194</v>
      </c>
      <c r="W30" s="2">
        <f t="shared" ca="1" si="9"/>
        <v>0.25262596283929228</v>
      </c>
      <c r="X30" s="2">
        <f t="shared" ca="1" si="9"/>
        <v>0.23890311147393795</v>
      </c>
      <c r="Y30" s="2">
        <f t="shared" ca="1" si="9"/>
        <v>0.21639774208953308</v>
      </c>
      <c r="Z30" s="2">
        <f t="shared" ca="1" si="9"/>
        <v>0.23848260003991548</v>
      </c>
      <c r="AA30" s="2">
        <f t="shared" ca="1" si="5"/>
        <v>0.21037917686663546</v>
      </c>
      <c r="AB30" s="2">
        <f t="shared" ca="1" si="5"/>
        <v>0.21307592416436388</v>
      </c>
      <c r="AC30" s="2">
        <f t="shared" ca="1" si="5"/>
        <v>0.27243556999768681</v>
      </c>
      <c r="AD30" s="2">
        <f t="shared" ca="1" si="5"/>
        <v>0.26449941285408191</v>
      </c>
      <c r="AE30" s="2">
        <f t="shared" ca="1" si="5"/>
        <v>0.23848913068355321</v>
      </c>
      <c r="AF30" s="2">
        <f t="shared" ca="1" si="5"/>
        <v>0.28599012774831034</v>
      </c>
      <c r="AG30" s="2">
        <f t="shared" ca="1" si="5"/>
        <v>0.28200545461332327</v>
      </c>
      <c r="AH30" s="2">
        <f t="shared" ca="1" si="5"/>
        <v>0.20151982046253988</v>
      </c>
    </row>
    <row r="31" spans="1:34">
      <c r="A31" t="str">
        <f t="shared" si="7"/>
        <v>Maize</v>
      </c>
      <c r="B31" t="str">
        <f t="shared" si="8"/>
        <v>Harari</v>
      </c>
      <c r="C31" s="2">
        <f t="shared" ca="1" si="2"/>
        <v>0.2005506589878655</v>
      </c>
      <c r="D31" s="2">
        <f t="shared" ca="1" si="10"/>
        <v>0.2046085811278136</v>
      </c>
      <c r="E31" s="2">
        <f t="shared" ca="1" si="10"/>
        <v>0.26558966913698639</v>
      </c>
      <c r="F31" s="2">
        <f t="shared" ca="1" si="10"/>
        <v>0.24231174698670449</v>
      </c>
      <c r="G31" s="2">
        <f t="shared" ca="1" si="10"/>
        <v>0.20594000608846133</v>
      </c>
      <c r="H31" s="2">
        <f t="shared" ca="1" si="10"/>
        <v>0.23920723959235185</v>
      </c>
      <c r="I31" s="2">
        <f t="shared" ca="1" si="10"/>
        <v>0.24454596433721965</v>
      </c>
      <c r="J31" s="2">
        <f t="shared" ca="1" si="10"/>
        <v>0.2943712993042239</v>
      </c>
      <c r="K31" s="2">
        <f t="shared" ref="K31:Z40" ca="1" si="11">RAND()*0.1+0.2</f>
        <v>0.22850317848325682</v>
      </c>
      <c r="L31" s="2">
        <f t="shared" ca="1" si="11"/>
        <v>0.27720440180189371</v>
      </c>
      <c r="M31" s="2">
        <f t="shared" ca="1" si="11"/>
        <v>0.27927890462511007</v>
      </c>
      <c r="N31" s="2">
        <f t="shared" ca="1" si="11"/>
        <v>0.2983475056881767</v>
      </c>
      <c r="O31" s="2">
        <f t="shared" ca="1" si="11"/>
        <v>0.27891273648253434</v>
      </c>
      <c r="P31" s="2">
        <f t="shared" ca="1" si="11"/>
        <v>0.27668950996294889</v>
      </c>
      <c r="Q31" s="2">
        <f t="shared" ca="1" si="11"/>
        <v>0.28228804408250219</v>
      </c>
      <c r="R31" s="2">
        <f t="shared" ca="1" si="11"/>
        <v>0.29110241052382702</v>
      </c>
      <c r="S31" s="2">
        <f t="shared" ca="1" si="11"/>
        <v>0.2298078129178866</v>
      </c>
      <c r="T31" s="2">
        <f t="shared" ca="1" si="11"/>
        <v>0.24680116052549736</v>
      </c>
      <c r="U31" s="2">
        <f t="shared" ca="1" si="11"/>
        <v>0.2486520858232921</v>
      </c>
      <c r="V31" s="2">
        <f t="shared" ca="1" si="11"/>
        <v>0.20364503053637537</v>
      </c>
      <c r="W31" s="2">
        <f t="shared" ca="1" si="11"/>
        <v>0.27660441133939445</v>
      </c>
      <c r="X31" s="2">
        <f t="shared" ca="1" si="11"/>
        <v>0.24961626342425924</v>
      </c>
      <c r="Y31" s="2">
        <f t="shared" ca="1" si="11"/>
        <v>0.22113681043230271</v>
      </c>
      <c r="Z31" s="2">
        <f t="shared" ca="1" si="11"/>
        <v>0.22349660996723134</v>
      </c>
      <c r="AA31" s="2">
        <f t="shared" ca="1" si="5"/>
        <v>0.26575312349047764</v>
      </c>
      <c r="AB31" s="2">
        <f t="shared" ca="1" si="5"/>
        <v>0.26297710502030086</v>
      </c>
      <c r="AC31" s="2">
        <f t="shared" ca="1" si="5"/>
        <v>0.2199258420925074</v>
      </c>
      <c r="AD31" s="2">
        <f t="shared" ca="1" si="5"/>
        <v>0.21185893735305178</v>
      </c>
      <c r="AE31" s="2">
        <f t="shared" ca="1" si="5"/>
        <v>0.28973422883273781</v>
      </c>
      <c r="AF31" s="2">
        <f t="shared" ca="1" si="5"/>
        <v>0.20766708463804667</v>
      </c>
      <c r="AG31" s="2">
        <f t="shared" ca="1" si="5"/>
        <v>0.22930768898720333</v>
      </c>
      <c r="AH31" s="2">
        <f t="shared" ca="1" si="5"/>
        <v>0.28564341423576617</v>
      </c>
    </row>
    <row r="32" spans="1:34">
      <c r="A32" t="str">
        <f t="shared" si="7"/>
        <v>Maize</v>
      </c>
      <c r="B32" t="str">
        <f t="shared" si="8"/>
        <v>Oromia</v>
      </c>
      <c r="C32" s="2">
        <f t="shared" ca="1" si="2"/>
        <v>0.20103815318494095</v>
      </c>
      <c r="D32" s="2">
        <f t="shared" ref="D32:J41" ca="1" si="12">RAND()*0.1+0.2</f>
        <v>0.251255774875562</v>
      </c>
      <c r="E32" s="2">
        <f t="shared" ca="1" si="12"/>
        <v>0.24809930993079726</v>
      </c>
      <c r="F32" s="2">
        <f t="shared" ca="1" si="12"/>
        <v>0.28733103255853065</v>
      </c>
      <c r="G32" s="2">
        <f t="shared" ca="1" si="12"/>
        <v>0.28440666616532856</v>
      </c>
      <c r="H32" s="2">
        <f t="shared" ca="1" si="12"/>
        <v>0.24628022651279061</v>
      </c>
      <c r="I32" s="2">
        <f t="shared" ca="1" si="12"/>
        <v>0.22974590611796863</v>
      </c>
      <c r="J32" s="2">
        <f t="shared" ca="1" si="12"/>
        <v>0.22581408028902761</v>
      </c>
      <c r="K32" s="2">
        <f t="shared" ca="1" si="11"/>
        <v>0.22426440534897915</v>
      </c>
      <c r="L32" s="2">
        <f t="shared" ca="1" si="11"/>
        <v>0.20803123643788646</v>
      </c>
      <c r="M32" s="2">
        <f t="shared" ca="1" si="11"/>
        <v>0.2092052218631737</v>
      </c>
      <c r="N32" s="2">
        <f t="shared" ca="1" si="11"/>
        <v>0.24213680526595749</v>
      </c>
      <c r="O32" s="2">
        <f t="shared" ca="1" si="11"/>
        <v>0.20279910000509482</v>
      </c>
      <c r="P32" s="2">
        <f t="shared" ca="1" si="11"/>
        <v>0.23974782370216566</v>
      </c>
      <c r="Q32" s="2">
        <f t="shared" ca="1" si="11"/>
        <v>0.23090844276819752</v>
      </c>
      <c r="R32" s="2">
        <f t="shared" ca="1" si="11"/>
        <v>0.24874593164419884</v>
      </c>
      <c r="S32" s="2">
        <f t="shared" ca="1" si="11"/>
        <v>0.21578562339544333</v>
      </c>
      <c r="T32" s="2">
        <f t="shared" ca="1" si="11"/>
        <v>0.29130507263486682</v>
      </c>
      <c r="U32" s="2">
        <f t="shared" ca="1" si="11"/>
        <v>0.21543675233061743</v>
      </c>
      <c r="V32" s="2">
        <f t="shared" ca="1" si="11"/>
        <v>0.21985185831447487</v>
      </c>
      <c r="W32" s="2">
        <f t="shared" ca="1" si="11"/>
        <v>0.26701236896472968</v>
      </c>
      <c r="X32" s="2">
        <f t="shared" ca="1" si="11"/>
        <v>0.26604582237927937</v>
      </c>
      <c r="Y32" s="2">
        <f t="shared" ca="1" si="11"/>
        <v>0.20854808903188043</v>
      </c>
      <c r="Z32" s="2">
        <f t="shared" ca="1" si="11"/>
        <v>0.2473135357039761</v>
      </c>
      <c r="AA32" s="2">
        <f t="shared" ca="1" si="5"/>
        <v>0.23741248379919605</v>
      </c>
      <c r="AB32" s="2">
        <f t="shared" ca="1" si="5"/>
        <v>0.29789348944958693</v>
      </c>
      <c r="AC32" s="2">
        <f t="shared" ca="1" si="5"/>
        <v>0.28156125319318742</v>
      </c>
      <c r="AD32" s="2">
        <f t="shared" ca="1" si="5"/>
        <v>0.27631985922771263</v>
      </c>
      <c r="AE32" s="2">
        <f t="shared" ca="1" si="5"/>
        <v>0.2850041289371692</v>
      </c>
      <c r="AF32" s="2">
        <f t="shared" ca="1" si="5"/>
        <v>0.297705338712422</v>
      </c>
      <c r="AG32" s="2">
        <f t="shared" ca="1" si="5"/>
        <v>0.26974642009979194</v>
      </c>
      <c r="AH32" s="2">
        <f t="shared" ca="1" si="5"/>
        <v>0.20577217570274992</v>
      </c>
    </row>
    <row r="33" spans="1:34">
      <c r="A33" t="str">
        <f t="shared" si="7"/>
        <v>Maize</v>
      </c>
      <c r="B33" t="str">
        <f t="shared" si="8"/>
        <v>Somali</v>
      </c>
      <c r="C33" s="2">
        <f t="shared" ca="1" si="2"/>
        <v>0.28465479784802045</v>
      </c>
      <c r="D33" s="2">
        <f t="shared" ca="1" si="12"/>
        <v>0.26486676032622097</v>
      </c>
      <c r="E33" s="2">
        <f t="shared" ca="1" si="12"/>
        <v>0.27194521279512129</v>
      </c>
      <c r="F33" s="2">
        <f t="shared" ca="1" si="12"/>
        <v>0.21580924561916429</v>
      </c>
      <c r="G33" s="2">
        <f t="shared" ca="1" si="12"/>
        <v>0.29132339809776614</v>
      </c>
      <c r="H33" s="2">
        <f t="shared" ca="1" si="12"/>
        <v>0.27196971779436419</v>
      </c>
      <c r="I33" s="2">
        <f t="shared" ca="1" si="12"/>
        <v>0.23618787834500427</v>
      </c>
      <c r="J33" s="2">
        <f t="shared" ca="1" si="12"/>
        <v>0.24048688838149831</v>
      </c>
      <c r="K33" s="2">
        <f t="shared" ca="1" si="11"/>
        <v>0.22524619849717145</v>
      </c>
      <c r="L33" s="2">
        <f t="shared" ca="1" si="11"/>
        <v>0.23772259123904052</v>
      </c>
      <c r="M33" s="2">
        <f t="shared" ca="1" si="11"/>
        <v>0.20031087481365134</v>
      </c>
      <c r="N33" s="2">
        <f t="shared" ca="1" si="11"/>
        <v>0.2243066379871442</v>
      </c>
      <c r="O33" s="2">
        <f t="shared" ca="1" si="11"/>
        <v>0.29086540044847464</v>
      </c>
      <c r="P33" s="2">
        <f t="shared" ca="1" si="11"/>
        <v>0.26377892677359766</v>
      </c>
      <c r="Q33" s="2">
        <f t="shared" ca="1" si="11"/>
        <v>0.20566109589424281</v>
      </c>
      <c r="R33" s="2">
        <f t="shared" ca="1" si="11"/>
        <v>0.21562385778190105</v>
      </c>
      <c r="S33" s="2">
        <f t="shared" ca="1" si="11"/>
        <v>0.24707475640315871</v>
      </c>
      <c r="T33" s="2">
        <f t="shared" ca="1" si="11"/>
        <v>0.20966921271846564</v>
      </c>
      <c r="U33" s="2">
        <f t="shared" ca="1" si="11"/>
        <v>0.23429335818307245</v>
      </c>
      <c r="V33" s="2">
        <f t="shared" ca="1" si="11"/>
        <v>0.22010435135086731</v>
      </c>
      <c r="W33" s="2">
        <f t="shared" ca="1" si="11"/>
        <v>0.27343055937283905</v>
      </c>
      <c r="X33" s="2">
        <f t="shared" ca="1" si="11"/>
        <v>0.2219124928021845</v>
      </c>
      <c r="Y33" s="2">
        <f t="shared" ca="1" si="11"/>
        <v>0.26079051938831488</v>
      </c>
      <c r="Z33" s="2">
        <f t="shared" ca="1" si="11"/>
        <v>0.23221539843899677</v>
      </c>
      <c r="AA33" s="2">
        <f t="shared" ca="1" si="5"/>
        <v>0.25345512563028993</v>
      </c>
      <c r="AB33" s="2">
        <f t="shared" ca="1" si="5"/>
        <v>0.26479025255016542</v>
      </c>
      <c r="AC33" s="2">
        <f t="shared" ca="1" si="5"/>
        <v>0.26926017610786518</v>
      </c>
      <c r="AD33" s="2">
        <f t="shared" ca="1" si="5"/>
        <v>0.28837264785613448</v>
      </c>
      <c r="AE33" s="2">
        <f t="shared" ca="1" si="5"/>
        <v>0.28538232296317129</v>
      </c>
      <c r="AF33" s="2">
        <f t="shared" ca="1" si="5"/>
        <v>0.26559276814557775</v>
      </c>
      <c r="AG33" s="2">
        <f t="shared" ca="1" si="5"/>
        <v>0.20894423924498284</v>
      </c>
      <c r="AH33" s="2">
        <f t="shared" ca="1" si="5"/>
        <v>0.24179748012250779</v>
      </c>
    </row>
    <row r="34" spans="1:34">
      <c r="A34" t="str">
        <f t="shared" si="7"/>
        <v>Maize</v>
      </c>
      <c r="B34" t="str">
        <f t="shared" si="8"/>
        <v>SNNPR</v>
      </c>
      <c r="C34" s="2">
        <f t="shared" ca="1" si="2"/>
        <v>0.28069794249756297</v>
      </c>
      <c r="D34" s="2">
        <f t="shared" ca="1" si="12"/>
        <v>0.2136085741485316</v>
      </c>
      <c r="E34" s="2">
        <f t="shared" ca="1" si="12"/>
        <v>0.25741020267874892</v>
      </c>
      <c r="F34" s="2">
        <f t="shared" ca="1" si="12"/>
        <v>0.272525309458998</v>
      </c>
      <c r="G34" s="2">
        <f t="shared" ca="1" si="12"/>
        <v>0.23870055938864648</v>
      </c>
      <c r="H34" s="2">
        <f t="shared" ca="1" si="12"/>
        <v>0.28048491808212805</v>
      </c>
      <c r="I34" s="2">
        <f t="shared" ca="1" si="12"/>
        <v>0.20504418956122095</v>
      </c>
      <c r="J34" s="2">
        <f t="shared" ca="1" si="12"/>
        <v>0.23315545667222129</v>
      </c>
      <c r="K34" s="2">
        <f t="shared" ca="1" si="11"/>
        <v>0.28595530144818015</v>
      </c>
      <c r="L34" s="2">
        <f t="shared" ca="1" si="11"/>
        <v>0.2259268500062302</v>
      </c>
      <c r="M34" s="2">
        <f t="shared" ca="1" si="11"/>
        <v>0.26138018332147245</v>
      </c>
      <c r="N34" s="2">
        <f t="shared" ca="1" si="11"/>
        <v>0.29289117016986771</v>
      </c>
      <c r="O34" s="2">
        <f t="shared" ca="1" si="11"/>
        <v>0.20922155360891515</v>
      </c>
      <c r="P34" s="2">
        <f t="shared" ca="1" si="11"/>
        <v>0.20564884747060025</v>
      </c>
      <c r="Q34" s="2">
        <f t="shared" ca="1" si="11"/>
        <v>0.22385752516460422</v>
      </c>
      <c r="R34" s="2">
        <f t="shared" ca="1" si="11"/>
        <v>0.25425516642009072</v>
      </c>
      <c r="S34" s="2">
        <f t="shared" ca="1" si="11"/>
        <v>0.21081383985369134</v>
      </c>
      <c r="T34" s="2">
        <f t="shared" ca="1" si="11"/>
        <v>0.29771387620047202</v>
      </c>
      <c r="U34" s="2">
        <f t="shared" ca="1" si="11"/>
        <v>0.24253806031482519</v>
      </c>
      <c r="V34" s="2">
        <f t="shared" ca="1" si="11"/>
        <v>0.23552560166258285</v>
      </c>
      <c r="W34" s="2">
        <f t="shared" ca="1" si="11"/>
        <v>0.25333357590697403</v>
      </c>
      <c r="X34" s="2">
        <f t="shared" ca="1" si="11"/>
        <v>0.25523030607568997</v>
      </c>
      <c r="Y34" s="2">
        <f t="shared" ca="1" si="11"/>
        <v>0.2255079110567261</v>
      </c>
      <c r="Z34" s="2">
        <f t="shared" ca="1" si="11"/>
        <v>0.27158098256620045</v>
      </c>
      <c r="AA34" s="2">
        <f t="shared" ca="1" si="5"/>
        <v>0.29592019722076068</v>
      </c>
      <c r="AB34" s="2">
        <f t="shared" ca="1" si="5"/>
        <v>0.24994151781504603</v>
      </c>
      <c r="AC34" s="2">
        <f t="shared" ca="1" si="5"/>
        <v>0.26469974196944729</v>
      </c>
      <c r="AD34" s="2">
        <f t="shared" ca="1" si="5"/>
        <v>0.22211953040626881</v>
      </c>
      <c r="AE34" s="2">
        <f t="shared" ca="1" si="5"/>
        <v>0.2138145762688699</v>
      </c>
      <c r="AF34" s="2">
        <f t="shared" ca="1" si="5"/>
        <v>0.22824545629077111</v>
      </c>
      <c r="AG34" s="2">
        <f t="shared" ca="1" si="5"/>
        <v>0.27543233740650636</v>
      </c>
      <c r="AH34" s="2">
        <f t="shared" ca="1" si="5"/>
        <v>0.26723724351153078</v>
      </c>
    </row>
    <row r="35" spans="1:34">
      <c r="A35" t="str">
        <f t="shared" si="7"/>
        <v>Maize</v>
      </c>
      <c r="B35" t="str">
        <f t="shared" si="8"/>
        <v>Tigray</v>
      </c>
      <c r="C35" s="2">
        <f t="shared" ref="C35:C52" ca="1" si="13">RAND()*0.1+0.2</f>
        <v>0.29714097847254795</v>
      </c>
      <c r="D35" s="2">
        <f t="shared" ca="1" si="12"/>
        <v>0.24441200793508139</v>
      </c>
      <c r="E35" s="2">
        <f t="shared" ca="1" si="12"/>
        <v>0.25301290557194167</v>
      </c>
      <c r="F35" s="2">
        <f t="shared" ca="1" si="12"/>
        <v>0.24922352280732091</v>
      </c>
      <c r="G35" s="2">
        <f t="shared" ca="1" si="12"/>
        <v>0.24003972121141273</v>
      </c>
      <c r="H35" s="2">
        <f t="shared" ca="1" si="12"/>
        <v>0.23131508809714524</v>
      </c>
      <c r="I35" s="2">
        <f t="shared" ca="1" si="12"/>
        <v>0.22250540323257262</v>
      </c>
      <c r="J35" s="2">
        <f t="shared" ca="1" si="12"/>
        <v>0.29134039127935635</v>
      </c>
      <c r="K35" s="2">
        <f t="shared" ca="1" si="11"/>
        <v>0.22990149996204562</v>
      </c>
      <c r="L35" s="2">
        <f t="shared" ca="1" si="11"/>
        <v>0.21960237661250381</v>
      </c>
      <c r="M35" s="2">
        <f t="shared" ca="1" si="11"/>
        <v>0.2891269098645054</v>
      </c>
      <c r="N35" s="2">
        <f t="shared" ca="1" si="11"/>
        <v>0.25619160954476783</v>
      </c>
      <c r="O35" s="2">
        <f t="shared" ca="1" si="11"/>
        <v>0.2956787902564067</v>
      </c>
      <c r="P35" s="2">
        <f t="shared" ca="1" si="11"/>
        <v>0.26961907286778092</v>
      </c>
      <c r="Q35" s="2">
        <f t="shared" ca="1" si="11"/>
        <v>0.2331746949324037</v>
      </c>
      <c r="R35" s="2">
        <f t="shared" ca="1" si="11"/>
        <v>0.29453185492082473</v>
      </c>
      <c r="S35" s="2">
        <f t="shared" ca="1" si="11"/>
        <v>0.24390868179993816</v>
      </c>
      <c r="T35" s="2">
        <f t="shared" ca="1" si="11"/>
        <v>0.28409177136152758</v>
      </c>
      <c r="U35" s="2">
        <f t="shared" ca="1" si="11"/>
        <v>0.26117124830833105</v>
      </c>
      <c r="V35" s="2">
        <f t="shared" ca="1" si="11"/>
        <v>0.22277538049257864</v>
      </c>
      <c r="W35" s="2">
        <f t="shared" ca="1" si="11"/>
        <v>0.23468476774232455</v>
      </c>
      <c r="X35" s="2">
        <f t="shared" ca="1" si="11"/>
        <v>0.25813879129096695</v>
      </c>
      <c r="Y35" s="2">
        <f t="shared" ca="1" si="11"/>
        <v>0.20585630448283013</v>
      </c>
      <c r="Z35" s="2">
        <f t="shared" ca="1" si="11"/>
        <v>0.29194613038482248</v>
      </c>
      <c r="AA35" s="2">
        <f t="shared" ca="1" si="5"/>
        <v>0.22973290061816942</v>
      </c>
      <c r="AB35" s="2">
        <f t="shared" ca="1" si="5"/>
        <v>0.2461713994837692</v>
      </c>
      <c r="AC35" s="2">
        <f t="shared" ca="1" si="5"/>
        <v>0.22783219329551824</v>
      </c>
      <c r="AD35" s="2">
        <f t="shared" ca="1" si="5"/>
        <v>0.28716078406773854</v>
      </c>
      <c r="AE35" s="2">
        <f t="shared" ca="1" si="5"/>
        <v>0.22183752491116762</v>
      </c>
      <c r="AF35" s="2">
        <f t="shared" ca="1" si="5"/>
        <v>0.28764667346223688</v>
      </c>
      <c r="AG35" s="2">
        <f t="shared" ca="1" si="5"/>
        <v>0.21301326926104305</v>
      </c>
      <c r="AH35" s="2">
        <f t="shared" ca="1" si="5"/>
        <v>0.27397069523361384</v>
      </c>
    </row>
    <row r="36" spans="1:34">
      <c r="A36" t="str">
        <f t="shared" si="7"/>
        <v>Lentils</v>
      </c>
      <c r="B36" t="str">
        <f t="shared" si="8"/>
        <v>AddisAbaba</v>
      </c>
      <c r="C36" s="2">
        <f t="shared" ca="1" si="13"/>
        <v>0.2864267807032459</v>
      </c>
      <c r="D36" s="2">
        <f t="shared" ca="1" si="12"/>
        <v>0.23399275315494819</v>
      </c>
      <c r="E36" s="2">
        <f t="shared" ca="1" si="12"/>
        <v>0.26713971138905157</v>
      </c>
      <c r="F36" s="2">
        <f t="shared" ca="1" si="12"/>
        <v>0.2545689659516136</v>
      </c>
      <c r="G36" s="2">
        <f t="shared" ca="1" si="12"/>
        <v>0.25551244360386782</v>
      </c>
      <c r="H36" s="2">
        <f t="shared" ca="1" si="12"/>
        <v>0.21937562285995171</v>
      </c>
      <c r="I36" s="2">
        <f t="shared" ca="1" si="12"/>
        <v>0.23717398767117306</v>
      </c>
      <c r="J36" s="2">
        <f t="shared" ca="1" si="12"/>
        <v>0.20106412307053273</v>
      </c>
      <c r="K36" s="2">
        <f t="shared" ca="1" si="11"/>
        <v>0.20735388480801784</v>
      </c>
      <c r="L36" s="2">
        <f t="shared" ca="1" si="11"/>
        <v>0.26098035640842898</v>
      </c>
      <c r="M36" s="2">
        <f t="shared" ca="1" si="11"/>
        <v>0.21950326582124624</v>
      </c>
      <c r="N36" s="2">
        <f t="shared" ca="1" si="11"/>
        <v>0.20628993459758568</v>
      </c>
      <c r="O36" s="2">
        <f t="shared" ca="1" si="11"/>
        <v>0.25073789572002314</v>
      </c>
      <c r="P36" s="2">
        <f t="shared" ca="1" si="11"/>
        <v>0.25536147926105301</v>
      </c>
      <c r="Q36" s="2">
        <f t="shared" ca="1" si="11"/>
        <v>0.22488526416520443</v>
      </c>
      <c r="R36" s="2">
        <f t="shared" ca="1" si="11"/>
        <v>0.20459518473053795</v>
      </c>
      <c r="S36" s="2">
        <f t="shared" ca="1" si="11"/>
        <v>0.26682416156376582</v>
      </c>
      <c r="T36" s="2">
        <f t="shared" ca="1" si="11"/>
        <v>0.21212993395869095</v>
      </c>
      <c r="U36" s="2">
        <f t="shared" ca="1" si="11"/>
        <v>0.20981011728860691</v>
      </c>
      <c r="V36" s="2">
        <f t="shared" ca="1" si="11"/>
        <v>0.23772497375907264</v>
      </c>
      <c r="W36" s="2">
        <f t="shared" ca="1" si="11"/>
        <v>0.227136849787135</v>
      </c>
      <c r="X36" s="2">
        <f t="shared" ca="1" si="11"/>
        <v>0.21981424225317162</v>
      </c>
      <c r="Y36" s="2">
        <f t="shared" ca="1" si="11"/>
        <v>0.29353164443195578</v>
      </c>
      <c r="Z36" s="2">
        <f t="shared" ca="1" si="11"/>
        <v>0.29293925371168272</v>
      </c>
      <c r="AA36" s="2">
        <f t="shared" ca="1" si="5"/>
        <v>0.25690141044432574</v>
      </c>
      <c r="AB36" s="2">
        <f t="shared" ca="1" si="5"/>
        <v>0.23027403617434056</v>
      </c>
      <c r="AC36" s="2">
        <f t="shared" ca="1" si="5"/>
        <v>0.22885378163642214</v>
      </c>
      <c r="AD36" s="2">
        <f t="shared" ca="1" si="5"/>
        <v>0.21415056745238734</v>
      </c>
      <c r="AE36" s="2">
        <f t="shared" ca="1" si="5"/>
        <v>0.29797673939351538</v>
      </c>
      <c r="AF36" s="2">
        <f t="shared" ca="1" si="5"/>
        <v>0.2433897121129901</v>
      </c>
      <c r="AG36" s="2">
        <f t="shared" ca="1" si="5"/>
        <v>0.25575197728419607</v>
      </c>
      <c r="AH36" s="2">
        <f t="shared" ca="1" si="5"/>
        <v>0.22376068836532062</v>
      </c>
    </row>
    <row r="37" spans="1:34">
      <c r="A37" t="str">
        <f t="shared" si="7"/>
        <v>Lentils</v>
      </c>
      <c r="B37" t="str">
        <f t="shared" si="8"/>
        <v>Afar</v>
      </c>
      <c r="C37" s="2">
        <f t="shared" ca="1" si="13"/>
        <v>0.26489883289208577</v>
      </c>
      <c r="D37" s="2">
        <f t="shared" ca="1" si="12"/>
        <v>0.23953276400957946</v>
      </c>
      <c r="E37" s="2">
        <f t="shared" ca="1" si="12"/>
        <v>0.25157575911428598</v>
      </c>
      <c r="F37" s="2">
        <f t="shared" ca="1" si="12"/>
        <v>0.2712839894345011</v>
      </c>
      <c r="G37" s="2">
        <f t="shared" ca="1" si="12"/>
        <v>0.2538884965970355</v>
      </c>
      <c r="H37" s="2">
        <f t="shared" ca="1" si="12"/>
        <v>0.25468156009271437</v>
      </c>
      <c r="I37" s="2">
        <f t="shared" ca="1" si="12"/>
        <v>0.23877308821874882</v>
      </c>
      <c r="J37" s="2">
        <f t="shared" ca="1" si="12"/>
        <v>0.25346392476497093</v>
      </c>
      <c r="K37" s="2">
        <f t="shared" ca="1" si="11"/>
        <v>0.24313703339403581</v>
      </c>
      <c r="L37" s="2">
        <f t="shared" ca="1" si="11"/>
        <v>0.23800606869648458</v>
      </c>
      <c r="M37" s="2">
        <f t="shared" ca="1" si="11"/>
        <v>0.22488997594558105</v>
      </c>
      <c r="N37" s="2">
        <f t="shared" ca="1" si="11"/>
        <v>0.29807430136583896</v>
      </c>
      <c r="O37" s="2">
        <f t="shared" ca="1" si="11"/>
        <v>0.22632439930463571</v>
      </c>
      <c r="P37" s="2">
        <f t="shared" ca="1" si="11"/>
        <v>0.25868363725561949</v>
      </c>
      <c r="Q37" s="2">
        <f t="shared" ca="1" si="11"/>
        <v>0.26323376507836849</v>
      </c>
      <c r="R37" s="2">
        <f t="shared" ca="1" si="11"/>
        <v>0.27289952628066916</v>
      </c>
      <c r="S37" s="2">
        <f t="shared" ca="1" si="11"/>
        <v>0.28978835064135278</v>
      </c>
      <c r="T37" s="2">
        <f t="shared" ca="1" si="11"/>
        <v>0.27301170096132971</v>
      </c>
      <c r="U37" s="2">
        <f t="shared" ca="1" si="11"/>
        <v>0.25765289987922424</v>
      </c>
      <c r="V37" s="2">
        <f t="shared" ca="1" si="11"/>
        <v>0.26946000091398559</v>
      </c>
      <c r="W37" s="2">
        <f t="shared" ca="1" si="11"/>
        <v>0.28514845349760071</v>
      </c>
      <c r="X37" s="2">
        <f t="shared" ca="1" si="11"/>
        <v>0.28441679639897044</v>
      </c>
      <c r="Y37" s="2">
        <f t="shared" ca="1" si="11"/>
        <v>0.20984977784332209</v>
      </c>
      <c r="Z37" s="2">
        <f t="shared" ca="1" si="11"/>
        <v>0.23906563228689956</v>
      </c>
      <c r="AA37" s="2">
        <f t="shared" ca="1" si="5"/>
        <v>0.2743752181884147</v>
      </c>
      <c r="AB37" s="2">
        <f t="shared" ca="1" si="5"/>
        <v>0.22688475196918786</v>
      </c>
      <c r="AC37" s="2">
        <f t="shared" ca="1" si="5"/>
        <v>0.21227572145451717</v>
      </c>
      <c r="AD37" s="2">
        <f t="shared" ca="1" si="5"/>
        <v>0.28397000428077629</v>
      </c>
      <c r="AE37" s="2">
        <f t="shared" ca="1" si="5"/>
        <v>0.28921452051881574</v>
      </c>
      <c r="AF37" s="2">
        <f t="shared" ca="1" si="5"/>
        <v>0.22900205909480673</v>
      </c>
      <c r="AG37" s="2">
        <f t="shared" ca="1" si="5"/>
        <v>0.21717379105300061</v>
      </c>
      <c r="AH37" s="2">
        <f t="shared" ca="1" si="5"/>
        <v>0.21111090928694792</v>
      </c>
    </row>
    <row r="38" spans="1:34">
      <c r="A38" t="str">
        <f t="shared" si="7"/>
        <v>Lentils</v>
      </c>
      <c r="B38" t="str">
        <f t="shared" si="8"/>
        <v>Amhara</v>
      </c>
      <c r="C38" s="2">
        <f t="shared" ca="1" si="13"/>
        <v>0.28562343320362304</v>
      </c>
      <c r="D38" s="2">
        <f t="shared" ca="1" si="12"/>
        <v>0.21892498213766801</v>
      </c>
      <c r="E38" s="2">
        <f t="shared" ca="1" si="12"/>
        <v>0.21003481532150567</v>
      </c>
      <c r="F38" s="2">
        <f t="shared" ca="1" si="12"/>
        <v>0.29587495702793343</v>
      </c>
      <c r="G38" s="2">
        <f t="shared" ca="1" si="12"/>
        <v>0.20042531497848368</v>
      </c>
      <c r="H38" s="2">
        <f t="shared" ca="1" si="12"/>
        <v>0.26738544812646869</v>
      </c>
      <c r="I38" s="2">
        <f t="shared" ca="1" si="12"/>
        <v>0.26782666889624185</v>
      </c>
      <c r="J38" s="2">
        <f t="shared" ca="1" si="12"/>
        <v>0.24265392560053239</v>
      </c>
      <c r="K38" s="2">
        <f t="shared" ca="1" si="11"/>
        <v>0.20137363969538988</v>
      </c>
      <c r="L38" s="2">
        <f t="shared" ca="1" si="11"/>
        <v>0.25015676196594372</v>
      </c>
      <c r="M38" s="2">
        <f t="shared" ca="1" si="11"/>
        <v>0.21059621470460727</v>
      </c>
      <c r="N38" s="2">
        <f t="shared" ca="1" si="11"/>
        <v>0.27570807566637906</v>
      </c>
      <c r="O38" s="2">
        <f t="shared" ca="1" si="11"/>
        <v>0.25532984398972708</v>
      </c>
      <c r="P38" s="2">
        <f t="shared" ca="1" si="11"/>
        <v>0.25155757840703197</v>
      </c>
      <c r="Q38" s="2">
        <f t="shared" ca="1" si="11"/>
        <v>0.20682602029085537</v>
      </c>
      <c r="R38" s="2">
        <f t="shared" ca="1" si="11"/>
        <v>0.20453876870242321</v>
      </c>
      <c r="S38" s="2">
        <f t="shared" ca="1" si="11"/>
        <v>0.27224386082702212</v>
      </c>
      <c r="T38" s="2">
        <f t="shared" ca="1" si="11"/>
        <v>0.25217080040133277</v>
      </c>
      <c r="U38" s="2">
        <f t="shared" ca="1" si="11"/>
        <v>0.23001147832301208</v>
      </c>
      <c r="V38" s="2">
        <f t="shared" ca="1" si="11"/>
        <v>0.25481014382371914</v>
      </c>
      <c r="W38" s="2">
        <f t="shared" ca="1" si="11"/>
        <v>0.27201651301239177</v>
      </c>
      <c r="X38" s="2">
        <f t="shared" ca="1" si="11"/>
        <v>0.24731005648270638</v>
      </c>
      <c r="Y38" s="2">
        <f t="shared" ca="1" si="11"/>
        <v>0.27924604757014471</v>
      </c>
      <c r="Z38" s="2">
        <f t="shared" ca="1" si="11"/>
        <v>0.29573371909526591</v>
      </c>
      <c r="AA38" s="2">
        <f t="shared" ca="1" si="5"/>
        <v>0.24207116783484103</v>
      </c>
      <c r="AB38" s="2">
        <f t="shared" ca="1" si="5"/>
        <v>0.25417014982195318</v>
      </c>
      <c r="AC38" s="2">
        <f t="shared" ca="1" si="5"/>
        <v>0.29776850851722558</v>
      </c>
      <c r="AD38" s="2">
        <f t="shared" ca="1" si="5"/>
        <v>0.22357195161829302</v>
      </c>
      <c r="AE38" s="2">
        <f t="shared" ca="1" si="5"/>
        <v>0.22262872647797474</v>
      </c>
      <c r="AF38" s="2">
        <f t="shared" ca="1" si="5"/>
        <v>0.20585142743191523</v>
      </c>
      <c r="AG38" s="2">
        <f t="shared" ca="1" si="5"/>
        <v>0.23273601885259323</v>
      </c>
      <c r="AH38" s="2">
        <f t="shared" ca="1" si="5"/>
        <v>0.2289533853209651</v>
      </c>
    </row>
    <row r="39" spans="1:34">
      <c r="A39" t="str">
        <f t="shared" si="7"/>
        <v>Lentils</v>
      </c>
      <c r="B39" t="str">
        <f t="shared" si="8"/>
        <v>Gumuz</v>
      </c>
      <c r="C39" s="2">
        <f t="shared" ca="1" si="13"/>
        <v>0.23660508235440902</v>
      </c>
      <c r="D39" s="2">
        <f t="shared" ca="1" si="12"/>
        <v>0.28966394820692293</v>
      </c>
      <c r="E39" s="2">
        <f t="shared" ca="1" si="12"/>
        <v>0.28861576647972609</v>
      </c>
      <c r="F39" s="2">
        <f t="shared" ca="1" si="12"/>
        <v>0.23548126873144593</v>
      </c>
      <c r="G39" s="2">
        <f t="shared" ca="1" si="12"/>
        <v>0.24133011831376336</v>
      </c>
      <c r="H39" s="2">
        <f t="shared" ca="1" si="12"/>
        <v>0.21515832272271093</v>
      </c>
      <c r="I39" s="2">
        <f t="shared" ca="1" si="12"/>
        <v>0.2702089807559469</v>
      </c>
      <c r="J39" s="2">
        <f t="shared" ca="1" si="12"/>
        <v>0.25251691925335051</v>
      </c>
      <c r="K39" s="2">
        <f t="shared" ca="1" si="11"/>
        <v>0.27664410730186317</v>
      </c>
      <c r="L39" s="2">
        <f t="shared" ca="1" si="11"/>
        <v>0.24451111047151319</v>
      </c>
      <c r="M39" s="2">
        <f t="shared" ca="1" si="11"/>
        <v>0.2283865253912791</v>
      </c>
      <c r="N39" s="2">
        <f t="shared" ca="1" si="11"/>
        <v>0.22287838155444248</v>
      </c>
      <c r="O39" s="2">
        <f t="shared" ca="1" si="11"/>
        <v>0.29028070571624587</v>
      </c>
      <c r="P39" s="2">
        <f t="shared" ca="1" si="11"/>
        <v>0.27938862156263466</v>
      </c>
      <c r="Q39" s="2">
        <f t="shared" ca="1" si="11"/>
        <v>0.23407815528028797</v>
      </c>
      <c r="R39" s="2">
        <f t="shared" ca="1" si="11"/>
        <v>0.29563313316416873</v>
      </c>
      <c r="S39" s="2">
        <f t="shared" ca="1" si="11"/>
        <v>0.26733496868321327</v>
      </c>
      <c r="T39" s="2">
        <f t="shared" ca="1" si="11"/>
        <v>0.23709550098968249</v>
      </c>
      <c r="U39" s="2">
        <f t="shared" ca="1" si="11"/>
        <v>0.27443972789252047</v>
      </c>
      <c r="V39" s="2">
        <f t="shared" ca="1" si="11"/>
        <v>0.20190477533766849</v>
      </c>
      <c r="W39" s="2">
        <f t="shared" ca="1" si="11"/>
        <v>0.28631107654018373</v>
      </c>
      <c r="X39" s="2">
        <f t="shared" ca="1" si="11"/>
        <v>0.21271375603600273</v>
      </c>
      <c r="Y39" s="2">
        <f t="shared" ca="1" si="11"/>
        <v>0.29920193509589499</v>
      </c>
      <c r="Z39" s="2">
        <f t="shared" ca="1" si="11"/>
        <v>0.26180725724425435</v>
      </c>
      <c r="AA39" s="2">
        <f t="shared" ca="1" si="5"/>
        <v>0.20231915603815992</v>
      </c>
      <c r="AB39" s="2">
        <f t="shared" ca="1" si="5"/>
        <v>0.22279081410535662</v>
      </c>
      <c r="AC39" s="2">
        <f t="shared" ca="1" si="5"/>
        <v>0.26203467204104158</v>
      </c>
      <c r="AD39" s="2">
        <f t="shared" ca="1" si="5"/>
        <v>0.2460846154763989</v>
      </c>
      <c r="AE39" s="2">
        <f t="shared" ca="1" si="5"/>
        <v>0.26458698235622125</v>
      </c>
      <c r="AF39" s="2">
        <f t="shared" ca="1" si="5"/>
        <v>0.29155274728844216</v>
      </c>
      <c r="AG39" s="2">
        <f t="shared" ca="1" si="5"/>
        <v>0.28855222420715027</v>
      </c>
      <c r="AH39" s="2">
        <f t="shared" ca="1" si="5"/>
        <v>0.28853756227280974</v>
      </c>
    </row>
    <row r="40" spans="1:34">
      <c r="A40" t="str">
        <f t="shared" si="7"/>
        <v>Lentils</v>
      </c>
      <c r="B40" t="str">
        <f t="shared" si="8"/>
        <v>DireDawa</v>
      </c>
      <c r="C40" s="2">
        <f t="shared" ca="1" si="13"/>
        <v>0.22893747911972923</v>
      </c>
      <c r="D40" s="2">
        <f t="shared" ca="1" si="12"/>
        <v>0.27037423275028671</v>
      </c>
      <c r="E40" s="2">
        <f t="shared" ca="1" si="12"/>
        <v>0.28299664622579845</v>
      </c>
      <c r="F40" s="2">
        <f t="shared" ca="1" si="12"/>
        <v>0.29317089322488982</v>
      </c>
      <c r="G40" s="2">
        <f t="shared" ca="1" si="12"/>
        <v>0.28295262521754916</v>
      </c>
      <c r="H40" s="2">
        <f t="shared" ca="1" si="12"/>
        <v>0.28058474254424892</v>
      </c>
      <c r="I40" s="2">
        <f t="shared" ca="1" si="12"/>
        <v>0.23680868235909311</v>
      </c>
      <c r="J40" s="2">
        <f t="shared" ca="1" si="12"/>
        <v>0.24974431861594379</v>
      </c>
      <c r="K40" s="2">
        <f t="shared" ca="1" si="11"/>
        <v>0.28405549580441736</v>
      </c>
      <c r="L40" s="2">
        <f t="shared" ca="1" si="11"/>
        <v>0.21115192833144467</v>
      </c>
      <c r="M40" s="2">
        <f t="shared" ca="1" si="11"/>
        <v>0.23118614910098911</v>
      </c>
      <c r="N40" s="2">
        <f t="shared" ca="1" si="11"/>
        <v>0.22697025442706259</v>
      </c>
      <c r="O40" s="2">
        <f t="shared" ca="1" si="11"/>
        <v>0.27362511003209578</v>
      </c>
      <c r="P40" s="2">
        <f t="shared" ca="1" si="11"/>
        <v>0.2281355042466845</v>
      </c>
      <c r="Q40" s="2">
        <f t="shared" ca="1" si="11"/>
        <v>0.21181443863523597</v>
      </c>
      <c r="R40" s="2">
        <f t="shared" ca="1" si="11"/>
        <v>0.20723111261943999</v>
      </c>
      <c r="S40" s="2">
        <f t="shared" ca="1" si="11"/>
        <v>0.23331803369103293</v>
      </c>
      <c r="T40" s="2">
        <f t="shared" ca="1" si="11"/>
        <v>0.29163459356969518</v>
      </c>
      <c r="U40" s="2">
        <f t="shared" ca="1" si="11"/>
        <v>0.20739424314484387</v>
      </c>
      <c r="V40" s="2">
        <f t="shared" ca="1" si="11"/>
        <v>0.21828013173645205</v>
      </c>
      <c r="W40" s="2">
        <f t="shared" ca="1" si="11"/>
        <v>0.25201517967925857</v>
      </c>
      <c r="X40" s="2">
        <f t="shared" ca="1" si="11"/>
        <v>0.20975921655401195</v>
      </c>
      <c r="Y40" s="2">
        <f t="shared" ca="1" si="11"/>
        <v>0.20205748953205638</v>
      </c>
      <c r="Z40" s="2">
        <f t="shared" ca="1" si="11"/>
        <v>0.28839301189504074</v>
      </c>
      <c r="AA40" s="2">
        <f t="shared" ca="1" si="5"/>
        <v>0.21974603788299066</v>
      </c>
      <c r="AB40" s="2">
        <f t="shared" ca="1" si="5"/>
        <v>0.28960345358468664</v>
      </c>
      <c r="AC40" s="2">
        <f t="shared" ca="1" si="5"/>
        <v>0.21445729235490157</v>
      </c>
      <c r="AD40" s="2">
        <f t="shared" ca="1" si="5"/>
        <v>0.29353871216307564</v>
      </c>
      <c r="AE40" s="2">
        <f t="shared" ca="1" si="5"/>
        <v>0.2295136323250315</v>
      </c>
      <c r="AF40" s="2">
        <f t="shared" ca="1" si="5"/>
        <v>0.24210858473566704</v>
      </c>
      <c r="AG40" s="2">
        <f t="shared" ca="1" si="5"/>
        <v>0.26726613111708514</v>
      </c>
      <c r="AH40" s="2">
        <f t="shared" ca="1" si="5"/>
        <v>0.23595116546042283</v>
      </c>
    </row>
    <row r="41" spans="1:34">
      <c r="A41" t="str">
        <f t="shared" si="7"/>
        <v>Lentils</v>
      </c>
      <c r="B41" t="str">
        <f t="shared" si="8"/>
        <v>Gambela</v>
      </c>
      <c r="C41" s="2">
        <f t="shared" ca="1" si="13"/>
        <v>0.27774301406653912</v>
      </c>
      <c r="D41" s="2">
        <f t="shared" ca="1" si="12"/>
        <v>0.21454401309359059</v>
      </c>
      <c r="E41" s="2">
        <f t="shared" ca="1" si="12"/>
        <v>0.27282300892997063</v>
      </c>
      <c r="F41" s="2">
        <f t="shared" ca="1" si="12"/>
        <v>0.23001029688728764</v>
      </c>
      <c r="G41" s="2">
        <f t="shared" ca="1" si="12"/>
        <v>0.27423272025175366</v>
      </c>
      <c r="H41" s="2">
        <f t="shared" ca="1" si="12"/>
        <v>0.21102166079968571</v>
      </c>
      <c r="I41" s="2">
        <f t="shared" ca="1" si="12"/>
        <v>0.2027872647499728</v>
      </c>
      <c r="J41" s="2">
        <f t="shared" ca="1" si="12"/>
        <v>0.2432085898998774</v>
      </c>
      <c r="K41" s="2">
        <f t="shared" ref="K41:Z50" ca="1" si="14">RAND()*0.1+0.2</f>
        <v>0.25383627263395325</v>
      </c>
      <c r="L41" s="2">
        <f t="shared" ca="1" si="14"/>
        <v>0.20852328042950982</v>
      </c>
      <c r="M41" s="2">
        <f t="shared" ca="1" si="14"/>
        <v>0.23933611190083232</v>
      </c>
      <c r="N41" s="2">
        <f t="shared" ca="1" si="14"/>
        <v>0.22975507002528861</v>
      </c>
      <c r="O41" s="2">
        <f t="shared" ca="1" si="14"/>
        <v>0.27056490378891024</v>
      </c>
      <c r="P41" s="2">
        <f t="shared" ca="1" si="14"/>
        <v>0.29334176057098965</v>
      </c>
      <c r="Q41" s="2">
        <f t="shared" ca="1" si="14"/>
        <v>0.21252254473605678</v>
      </c>
      <c r="R41" s="2">
        <f t="shared" ca="1" si="14"/>
        <v>0.28548963106580355</v>
      </c>
      <c r="S41" s="2">
        <f t="shared" ca="1" si="14"/>
        <v>0.22013748363098076</v>
      </c>
      <c r="T41" s="2">
        <f t="shared" ca="1" si="14"/>
        <v>0.2850971607651987</v>
      </c>
      <c r="U41" s="2">
        <f t="shared" ca="1" si="14"/>
        <v>0.22256551819857212</v>
      </c>
      <c r="V41" s="2">
        <f t="shared" ca="1" si="14"/>
        <v>0.27563783275431164</v>
      </c>
      <c r="W41" s="2">
        <f t="shared" ca="1" si="14"/>
        <v>0.24744162888142085</v>
      </c>
      <c r="X41" s="2">
        <f t="shared" ca="1" si="14"/>
        <v>0.23836313162963418</v>
      </c>
      <c r="Y41" s="2">
        <f t="shared" ca="1" si="14"/>
        <v>0.29815766602451443</v>
      </c>
      <c r="Z41" s="2">
        <f t="shared" ca="1" si="14"/>
        <v>0.23671068098675457</v>
      </c>
      <c r="AA41" s="2">
        <f t="shared" ca="1" si="5"/>
        <v>0.22434720171466549</v>
      </c>
      <c r="AB41" s="2">
        <f t="shared" ca="1" si="5"/>
        <v>0.2063859169795319</v>
      </c>
      <c r="AC41" s="2">
        <f t="shared" ca="1" si="5"/>
        <v>0.21474224112321891</v>
      </c>
      <c r="AD41" s="2">
        <f t="shared" ca="1" si="5"/>
        <v>0.28043271950097515</v>
      </c>
      <c r="AE41" s="2">
        <f t="shared" ca="1" si="5"/>
        <v>0.20462317235953434</v>
      </c>
      <c r="AF41" s="2">
        <f t="shared" ca="1" si="5"/>
        <v>0.24730735910717608</v>
      </c>
      <c r="AG41" s="2">
        <f t="shared" ca="1" si="5"/>
        <v>0.21131067178458846</v>
      </c>
      <c r="AH41" s="2">
        <f t="shared" ca="1" si="5"/>
        <v>0.25138085969498142</v>
      </c>
    </row>
    <row r="42" spans="1:34">
      <c r="A42" t="str">
        <f t="shared" si="7"/>
        <v>Lentils</v>
      </c>
      <c r="B42" t="str">
        <f t="shared" si="8"/>
        <v>Harari</v>
      </c>
      <c r="C42" s="2">
        <f t="shared" ca="1" si="13"/>
        <v>0.22287765590509157</v>
      </c>
      <c r="D42" s="2">
        <f t="shared" ref="D42:J52" ca="1" si="15">RAND()*0.1+0.2</f>
        <v>0.20464227663065798</v>
      </c>
      <c r="E42" s="2">
        <f t="shared" ca="1" si="15"/>
        <v>0.29024153861348634</v>
      </c>
      <c r="F42" s="2">
        <f t="shared" ca="1" si="15"/>
        <v>0.24006143021518023</v>
      </c>
      <c r="G42" s="2">
        <f t="shared" ca="1" si="15"/>
        <v>0.20705702274511931</v>
      </c>
      <c r="H42" s="2">
        <f t="shared" ca="1" si="15"/>
        <v>0.2272467010877621</v>
      </c>
      <c r="I42" s="2">
        <f t="shared" ca="1" si="15"/>
        <v>0.27996067953164266</v>
      </c>
      <c r="J42" s="2">
        <f t="shared" ca="1" si="15"/>
        <v>0.27499011972223486</v>
      </c>
      <c r="K42" s="2">
        <f t="shared" ca="1" si="14"/>
        <v>0.21886834622869081</v>
      </c>
      <c r="L42" s="2">
        <f t="shared" ca="1" si="14"/>
        <v>0.25457763934376632</v>
      </c>
      <c r="M42" s="2">
        <f t="shared" ca="1" si="14"/>
        <v>0.28183268012210005</v>
      </c>
      <c r="N42" s="2">
        <f t="shared" ca="1" si="14"/>
        <v>0.24569984970176159</v>
      </c>
      <c r="O42" s="2">
        <f t="shared" ca="1" si="14"/>
        <v>0.25992183414493253</v>
      </c>
      <c r="P42" s="2">
        <f t="shared" ca="1" si="14"/>
        <v>0.28588066063106438</v>
      </c>
      <c r="Q42" s="2">
        <f t="shared" ca="1" si="14"/>
        <v>0.20648965293211541</v>
      </c>
      <c r="R42" s="2">
        <f t="shared" ca="1" si="14"/>
        <v>0.20317326571569003</v>
      </c>
      <c r="S42" s="2">
        <f t="shared" ca="1" si="14"/>
        <v>0.24042772153731071</v>
      </c>
      <c r="T42" s="2">
        <f t="shared" ca="1" si="14"/>
        <v>0.29818435306009389</v>
      </c>
      <c r="U42" s="2">
        <f t="shared" ca="1" si="14"/>
        <v>0.26096558832454386</v>
      </c>
      <c r="V42" s="2">
        <f t="shared" ca="1" si="14"/>
        <v>0.23017677793781785</v>
      </c>
      <c r="W42" s="2">
        <f t="shared" ca="1" si="14"/>
        <v>0.2530355856254764</v>
      </c>
      <c r="X42" s="2">
        <f t="shared" ca="1" si="14"/>
        <v>0.20424609529954901</v>
      </c>
      <c r="Y42" s="2">
        <f t="shared" ca="1" si="14"/>
        <v>0.22712819355473912</v>
      </c>
      <c r="Z42" s="2">
        <f t="shared" ca="1" si="14"/>
        <v>0.23852428643310319</v>
      </c>
      <c r="AA42" s="2">
        <f t="shared" ca="1" si="5"/>
        <v>0.2786074619148759</v>
      </c>
      <c r="AB42" s="2">
        <f t="shared" ca="1" si="5"/>
        <v>0.26105517364467806</v>
      </c>
      <c r="AC42" s="2">
        <f t="shared" ca="1" si="5"/>
        <v>0.28867907103551155</v>
      </c>
      <c r="AD42" s="2">
        <f t="shared" ca="1" si="5"/>
        <v>0.22747319780882977</v>
      </c>
      <c r="AE42" s="2">
        <f t="shared" ca="1" si="5"/>
        <v>0.20370550622018993</v>
      </c>
      <c r="AF42" s="2">
        <f t="shared" ca="1" si="5"/>
        <v>0.2533696737108071</v>
      </c>
      <c r="AG42" s="2">
        <f t="shared" ca="1" si="5"/>
        <v>0.26651009794978264</v>
      </c>
      <c r="AH42" s="2">
        <f t="shared" ref="AH42:AH50" ca="1" si="16">RAND()*0.1+0.2</f>
        <v>0.28608943355773686</v>
      </c>
    </row>
    <row r="43" spans="1:34">
      <c r="A43" t="str">
        <f t="shared" si="7"/>
        <v>Lentils</v>
      </c>
      <c r="B43" t="str">
        <f t="shared" si="8"/>
        <v>Oromia</v>
      </c>
      <c r="C43" s="2">
        <f t="shared" ca="1" si="13"/>
        <v>0.20089589648941786</v>
      </c>
      <c r="D43" s="2">
        <f t="shared" ca="1" si="15"/>
        <v>0.28055012875276586</v>
      </c>
      <c r="E43" s="2">
        <f t="shared" ca="1" si="15"/>
        <v>0.28811065663969715</v>
      </c>
      <c r="F43" s="2">
        <f t="shared" ca="1" si="15"/>
        <v>0.2323955689804012</v>
      </c>
      <c r="G43" s="2">
        <f t="shared" ca="1" si="15"/>
        <v>0.22624273900029285</v>
      </c>
      <c r="H43" s="2">
        <f t="shared" ca="1" si="15"/>
        <v>0.29774052148172159</v>
      </c>
      <c r="I43" s="2">
        <f t="shared" ca="1" si="15"/>
        <v>0.28151574208824698</v>
      </c>
      <c r="J43" s="2">
        <f t="shared" ca="1" si="15"/>
        <v>0.27128782828487452</v>
      </c>
      <c r="K43" s="2">
        <f t="shared" ca="1" si="14"/>
        <v>0.25606735851128604</v>
      </c>
      <c r="L43" s="2">
        <f t="shared" ca="1" si="14"/>
        <v>0.23919146975244057</v>
      </c>
      <c r="M43" s="2">
        <f t="shared" ca="1" si="14"/>
        <v>0.27304068032042628</v>
      </c>
      <c r="N43" s="2">
        <f t="shared" ca="1" si="14"/>
        <v>0.26124798830710289</v>
      </c>
      <c r="O43" s="2">
        <f t="shared" ca="1" si="14"/>
        <v>0.29724248093712802</v>
      </c>
      <c r="P43" s="2">
        <f t="shared" ca="1" si="14"/>
        <v>0.22020293109477504</v>
      </c>
      <c r="Q43" s="2">
        <f t="shared" ca="1" si="14"/>
        <v>0.23430254127353309</v>
      </c>
      <c r="R43" s="2">
        <f t="shared" ca="1" si="14"/>
        <v>0.21240598596819804</v>
      </c>
      <c r="S43" s="2">
        <f t="shared" ca="1" si="14"/>
        <v>0.24088045240072109</v>
      </c>
      <c r="T43" s="2">
        <f t="shared" ca="1" si="14"/>
        <v>0.27455401553167802</v>
      </c>
      <c r="U43" s="2">
        <f t="shared" ca="1" si="14"/>
        <v>0.2651777784652608</v>
      </c>
      <c r="V43" s="2">
        <f t="shared" ca="1" si="14"/>
        <v>0.27094651828734639</v>
      </c>
      <c r="W43" s="2">
        <f t="shared" ca="1" si="14"/>
        <v>0.29037351110543075</v>
      </c>
      <c r="X43" s="2">
        <f t="shared" ca="1" si="14"/>
        <v>0.22637074209072108</v>
      </c>
      <c r="Y43" s="2">
        <f t="shared" ca="1" si="14"/>
        <v>0.23797406961475204</v>
      </c>
      <c r="Z43" s="2">
        <f t="shared" ca="1" si="14"/>
        <v>0.27121952707798647</v>
      </c>
      <c r="AA43" s="2">
        <f t="shared" ref="AA43:AG50" ca="1" si="17">RAND()*0.1+0.2</f>
        <v>0.24839882040749717</v>
      </c>
      <c r="AB43" s="2">
        <f t="shared" ca="1" si="17"/>
        <v>0.25099631582690207</v>
      </c>
      <c r="AC43" s="2">
        <f t="shared" ca="1" si="17"/>
        <v>0.2153098433196218</v>
      </c>
      <c r="AD43" s="2">
        <f t="shared" ca="1" si="17"/>
        <v>0.24636937718723201</v>
      </c>
      <c r="AE43" s="2">
        <f t="shared" ca="1" si="17"/>
        <v>0.25523594095261032</v>
      </c>
      <c r="AF43" s="2">
        <f t="shared" ca="1" si="17"/>
        <v>0.29350743450545136</v>
      </c>
      <c r="AG43" s="2">
        <f t="shared" ca="1" si="17"/>
        <v>0.24812804894817519</v>
      </c>
      <c r="AH43" s="2">
        <f t="shared" ca="1" si="16"/>
        <v>0.24725569832637653</v>
      </c>
    </row>
    <row r="44" spans="1:34">
      <c r="A44" t="str">
        <f t="shared" si="7"/>
        <v>Lentils</v>
      </c>
      <c r="B44" t="str">
        <f t="shared" si="8"/>
        <v>Somali</v>
      </c>
      <c r="C44" s="2">
        <f t="shared" ca="1" si="13"/>
        <v>0.23132330498782372</v>
      </c>
      <c r="D44" s="2">
        <f t="shared" ca="1" si="15"/>
        <v>0.29617441797055077</v>
      </c>
      <c r="E44" s="2">
        <f t="shared" ca="1" si="15"/>
        <v>0.26288218712313727</v>
      </c>
      <c r="F44" s="2">
        <f t="shared" ca="1" si="15"/>
        <v>0.25822699458204695</v>
      </c>
      <c r="G44" s="2">
        <f t="shared" ca="1" si="15"/>
        <v>0.27411009338848069</v>
      </c>
      <c r="H44" s="2">
        <f t="shared" ca="1" si="15"/>
        <v>0.27794489686128915</v>
      </c>
      <c r="I44" s="2">
        <f t="shared" ca="1" si="15"/>
        <v>0.24449185146038632</v>
      </c>
      <c r="J44" s="2">
        <f t="shared" ca="1" si="15"/>
        <v>0.21719444181820954</v>
      </c>
      <c r="K44" s="2">
        <f t="shared" ca="1" si="14"/>
        <v>0.24876832007279351</v>
      </c>
      <c r="L44" s="2">
        <f t="shared" ca="1" si="14"/>
        <v>0.2996738366817327</v>
      </c>
      <c r="M44" s="2">
        <f t="shared" ca="1" si="14"/>
        <v>0.25480339623755316</v>
      </c>
      <c r="N44" s="2">
        <f t="shared" ca="1" si="14"/>
        <v>0.20985797300046943</v>
      </c>
      <c r="O44" s="2">
        <f t="shared" ca="1" si="14"/>
        <v>0.23679548917897153</v>
      </c>
      <c r="P44" s="2">
        <f t="shared" ca="1" si="14"/>
        <v>0.20506510770316477</v>
      </c>
      <c r="Q44" s="2">
        <f t="shared" ca="1" si="14"/>
        <v>0.25265848098164989</v>
      </c>
      <c r="R44" s="2">
        <f t="shared" ca="1" si="14"/>
        <v>0.28645328605836629</v>
      </c>
      <c r="S44" s="2">
        <f t="shared" ca="1" si="14"/>
        <v>0.23258747165670973</v>
      </c>
      <c r="T44" s="2">
        <f t="shared" ca="1" si="14"/>
        <v>0.2687946490807504</v>
      </c>
      <c r="U44" s="2">
        <f t="shared" ca="1" si="14"/>
        <v>0.20567814263756209</v>
      </c>
      <c r="V44" s="2">
        <f t="shared" ca="1" si="14"/>
        <v>0.22005359642445321</v>
      </c>
      <c r="W44" s="2">
        <f t="shared" ca="1" si="14"/>
        <v>0.28064829498961519</v>
      </c>
      <c r="X44" s="2">
        <f t="shared" ca="1" si="14"/>
        <v>0.23814141192419264</v>
      </c>
      <c r="Y44" s="2">
        <f t="shared" ca="1" si="14"/>
        <v>0.29679635794927911</v>
      </c>
      <c r="Z44" s="2">
        <f t="shared" ca="1" si="14"/>
        <v>0.29392985694567342</v>
      </c>
      <c r="AA44" s="2">
        <f t="shared" ca="1" si="17"/>
        <v>0.26481161812261272</v>
      </c>
      <c r="AB44" s="2">
        <f t="shared" ca="1" si="17"/>
        <v>0.23750241588818347</v>
      </c>
      <c r="AC44" s="2">
        <f t="shared" ca="1" si="17"/>
        <v>0.24249480800347037</v>
      </c>
      <c r="AD44" s="2">
        <f t="shared" ca="1" si="17"/>
        <v>0.28164622035986681</v>
      </c>
      <c r="AE44" s="2">
        <f t="shared" ca="1" si="17"/>
        <v>0.23342713272448457</v>
      </c>
      <c r="AF44" s="2">
        <f t="shared" ca="1" si="17"/>
        <v>0.24726762797909621</v>
      </c>
      <c r="AG44" s="2">
        <f t="shared" ca="1" si="17"/>
        <v>0.27855355144565469</v>
      </c>
      <c r="AH44" s="2">
        <f t="shared" ca="1" si="16"/>
        <v>0.22571070150452724</v>
      </c>
    </row>
    <row r="45" spans="1:34">
      <c r="A45" t="str">
        <f t="shared" si="7"/>
        <v>Lentils</v>
      </c>
      <c r="B45" t="str">
        <f t="shared" si="8"/>
        <v>SNNPR</v>
      </c>
      <c r="C45" s="2">
        <f t="shared" ca="1" si="13"/>
        <v>0.23634180289554285</v>
      </c>
      <c r="D45" s="2">
        <f t="shared" ca="1" si="15"/>
        <v>0.29625137562288478</v>
      </c>
      <c r="E45" s="2">
        <f t="shared" ca="1" si="15"/>
        <v>0.23060674373700579</v>
      </c>
      <c r="F45" s="2">
        <f t="shared" ca="1" si="15"/>
        <v>0.28601208486249241</v>
      </c>
      <c r="G45" s="2">
        <f t="shared" ca="1" si="15"/>
        <v>0.27345808856424558</v>
      </c>
      <c r="H45" s="2">
        <f t="shared" ca="1" si="15"/>
        <v>0.22751226508268585</v>
      </c>
      <c r="I45" s="2">
        <f t="shared" ca="1" si="15"/>
        <v>0.20171542655273811</v>
      </c>
      <c r="J45" s="2">
        <f t="shared" ca="1" si="15"/>
        <v>0.25899315798114431</v>
      </c>
      <c r="K45" s="2">
        <f t="shared" ca="1" si="14"/>
        <v>0.20768044483622794</v>
      </c>
      <c r="L45" s="2">
        <f t="shared" ca="1" si="14"/>
        <v>0.22381921642604505</v>
      </c>
      <c r="M45" s="2">
        <f t="shared" ca="1" si="14"/>
        <v>0.23833140251337936</v>
      </c>
      <c r="N45" s="2">
        <f t="shared" ca="1" si="14"/>
        <v>0.21611882266722021</v>
      </c>
      <c r="O45" s="2">
        <f t="shared" ca="1" si="14"/>
        <v>0.25158830690871009</v>
      </c>
      <c r="P45" s="2">
        <f t="shared" ca="1" si="14"/>
        <v>0.28165959947823621</v>
      </c>
      <c r="Q45" s="2">
        <f t="shared" ca="1" si="14"/>
        <v>0.22790595957858417</v>
      </c>
      <c r="R45" s="2">
        <f t="shared" ca="1" si="14"/>
        <v>0.27987731467203997</v>
      </c>
      <c r="S45" s="2">
        <f t="shared" ca="1" si="14"/>
        <v>0.25694935623976528</v>
      </c>
      <c r="T45" s="2">
        <f t="shared" ca="1" si="14"/>
        <v>0.21728680995555122</v>
      </c>
      <c r="U45" s="2">
        <f t="shared" ca="1" si="14"/>
        <v>0.205952505043139</v>
      </c>
      <c r="V45" s="2">
        <f t="shared" ca="1" si="14"/>
        <v>0.26927645282665547</v>
      </c>
      <c r="W45" s="2">
        <f t="shared" ca="1" si="14"/>
        <v>0.24136700507466163</v>
      </c>
      <c r="X45" s="2">
        <f t="shared" ca="1" si="14"/>
        <v>0.24243293422630213</v>
      </c>
      <c r="Y45" s="2">
        <f t="shared" ca="1" si="14"/>
        <v>0.28421610592096286</v>
      </c>
      <c r="Z45" s="2">
        <f t="shared" ca="1" si="14"/>
        <v>0.26277639252121099</v>
      </c>
      <c r="AA45" s="2">
        <f t="shared" ca="1" si="17"/>
        <v>0.2649044882476701</v>
      </c>
      <c r="AB45" s="2">
        <f t="shared" ca="1" si="17"/>
        <v>0.26748399862118116</v>
      </c>
      <c r="AC45" s="2">
        <f t="shared" ca="1" si="17"/>
        <v>0.2169241008865409</v>
      </c>
      <c r="AD45" s="2">
        <f t="shared" ca="1" si="17"/>
        <v>0.29530974509205271</v>
      </c>
      <c r="AE45" s="2">
        <f t="shared" ca="1" si="17"/>
        <v>0.22480026928917773</v>
      </c>
      <c r="AF45" s="2">
        <f t="shared" ca="1" si="17"/>
        <v>0.23777862602887462</v>
      </c>
      <c r="AG45" s="2">
        <f t="shared" ca="1" si="17"/>
        <v>0.2185145337068819</v>
      </c>
      <c r="AH45" s="2">
        <f t="shared" ca="1" si="16"/>
        <v>0.20262574382931767</v>
      </c>
    </row>
    <row r="46" spans="1:34">
      <c r="A46" t="str">
        <f t="shared" ref="A46:A68" si="18">INDEX(Food,MATCH(A35,Food,0)+1)</f>
        <v>Lentils</v>
      </c>
      <c r="B46" t="str">
        <f t="shared" si="8"/>
        <v>Tigray</v>
      </c>
      <c r="C46" s="2">
        <f t="shared" ca="1" si="13"/>
        <v>0.24778162072350907</v>
      </c>
      <c r="D46" s="2">
        <f t="shared" ca="1" si="15"/>
        <v>0.23093464658739596</v>
      </c>
      <c r="E46" s="2">
        <f t="shared" ca="1" si="15"/>
        <v>0.26250790632265297</v>
      </c>
      <c r="F46" s="2">
        <f t="shared" ca="1" si="15"/>
        <v>0.28821792366127685</v>
      </c>
      <c r="G46" s="2">
        <f t="shared" ca="1" si="15"/>
        <v>0.24225722750046802</v>
      </c>
      <c r="H46" s="2">
        <f t="shared" ca="1" si="15"/>
        <v>0.2847831139492768</v>
      </c>
      <c r="I46" s="2">
        <f t="shared" ca="1" si="15"/>
        <v>0.20854280268468645</v>
      </c>
      <c r="J46" s="2">
        <f t="shared" ca="1" si="15"/>
        <v>0.24554805861007273</v>
      </c>
      <c r="K46" s="2">
        <f t="shared" ca="1" si="14"/>
        <v>0.21297526869574496</v>
      </c>
      <c r="L46" s="2">
        <f t="shared" ca="1" si="14"/>
        <v>0.23291006019223678</v>
      </c>
      <c r="M46" s="2">
        <f t="shared" ca="1" si="14"/>
        <v>0.26938537121907818</v>
      </c>
      <c r="N46" s="2">
        <f t="shared" ca="1" si="14"/>
        <v>0.29430242579159616</v>
      </c>
      <c r="O46" s="2">
        <f t="shared" ca="1" si="14"/>
        <v>0.28321497030751075</v>
      </c>
      <c r="P46" s="2">
        <f t="shared" ca="1" si="14"/>
        <v>0.2128215443479205</v>
      </c>
      <c r="Q46" s="2">
        <f t="shared" ca="1" si="14"/>
        <v>0.23019108428835111</v>
      </c>
      <c r="R46" s="2">
        <f t="shared" ca="1" si="14"/>
        <v>0.27010805514750791</v>
      </c>
      <c r="S46" s="2">
        <f t="shared" ca="1" si="14"/>
        <v>0.24912939849316806</v>
      </c>
      <c r="T46" s="2">
        <f t="shared" ca="1" si="14"/>
        <v>0.27674760525420622</v>
      </c>
      <c r="U46" s="2">
        <f t="shared" ca="1" si="14"/>
        <v>0.21535161558076255</v>
      </c>
      <c r="V46" s="2">
        <f t="shared" ca="1" si="14"/>
        <v>0.28163790820799212</v>
      </c>
      <c r="W46" s="2">
        <f t="shared" ca="1" si="14"/>
        <v>0.26409371313825525</v>
      </c>
      <c r="X46" s="2">
        <f t="shared" ca="1" si="14"/>
        <v>0.21379092296291266</v>
      </c>
      <c r="Y46" s="2">
        <f t="shared" ca="1" si="14"/>
        <v>0.2968375019336138</v>
      </c>
      <c r="Z46" s="2">
        <f t="shared" ca="1" si="14"/>
        <v>0.22693446594536992</v>
      </c>
      <c r="AA46" s="2">
        <f t="shared" ca="1" si="17"/>
        <v>0.20181712991113043</v>
      </c>
      <c r="AB46" s="2">
        <f t="shared" ca="1" si="17"/>
        <v>0.20438077249270825</v>
      </c>
      <c r="AC46" s="2">
        <f t="shared" ca="1" si="17"/>
        <v>0.21664370397165517</v>
      </c>
      <c r="AD46" s="2">
        <f t="shared" ca="1" si="17"/>
        <v>0.24979719584207907</v>
      </c>
      <c r="AE46" s="2">
        <f t="shared" ca="1" si="17"/>
        <v>0.22983637404727711</v>
      </c>
      <c r="AF46" s="2">
        <f t="shared" ca="1" si="17"/>
        <v>0.2275433366155854</v>
      </c>
      <c r="AG46" s="2">
        <f t="shared" ca="1" si="17"/>
        <v>0.29965480675124995</v>
      </c>
      <c r="AH46" s="2">
        <f t="shared" ca="1" si="16"/>
        <v>0.26627516423781422</v>
      </c>
    </row>
    <row r="47" spans="1:34">
      <c r="A47" t="str">
        <f t="shared" si="18"/>
        <v>Vegetables</v>
      </c>
      <c r="B47" t="str">
        <f t="shared" si="8"/>
        <v>AddisAbaba</v>
      </c>
      <c r="C47" s="2">
        <f t="shared" ca="1" si="13"/>
        <v>0.28438698507967758</v>
      </c>
      <c r="D47" s="2">
        <f t="shared" ca="1" si="15"/>
        <v>0.25806168541082192</v>
      </c>
      <c r="E47" s="2">
        <f t="shared" ca="1" si="15"/>
        <v>0.23737470451047102</v>
      </c>
      <c r="F47" s="2">
        <f t="shared" ca="1" si="15"/>
        <v>0.23116503955841894</v>
      </c>
      <c r="G47" s="2">
        <f t="shared" ca="1" si="15"/>
        <v>0.22236039876734928</v>
      </c>
      <c r="H47" s="2">
        <f t="shared" ca="1" si="15"/>
        <v>0.20298821269109513</v>
      </c>
      <c r="I47" s="2">
        <f t="shared" ca="1" si="15"/>
        <v>0.27238528621874902</v>
      </c>
      <c r="J47" s="2">
        <f t="shared" ca="1" si="15"/>
        <v>0.25461236789295394</v>
      </c>
      <c r="K47" s="2">
        <f t="shared" ca="1" si="14"/>
        <v>0.29867976797374157</v>
      </c>
      <c r="L47" s="2">
        <f t="shared" ca="1" si="14"/>
        <v>0.2120771182711472</v>
      </c>
      <c r="M47" s="2">
        <f t="shared" ca="1" si="14"/>
        <v>0.2289764624568531</v>
      </c>
      <c r="N47" s="2">
        <f t="shared" ca="1" si="14"/>
        <v>0.2993228047724007</v>
      </c>
      <c r="O47" s="2">
        <f t="shared" ca="1" si="14"/>
        <v>0.27662211308257501</v>
      </c>
      <c r="P47" s="2">
        <f t="shared" ca="1" si="14"/>
        <v>0.26423440722528491</v>
      </c>
      <c r="Q47" s="2">
        <f t="shared" ca="1" si="14"/>
        <v>0.27944888013229841</v>
      </c>
      <c r="R47" s="2">
        <f t="shared" ca="1" si="14"/>
        <v>0.21727990332750896</v>
      </c>
      <c r="S47" s="2">
        <f t="shared" ca="1" si="14"/>
        <v>0.2904020397746781</v>
      </c>
      <c r="T47" s="2">
        <f t="shared" ca="1" si="14"/>
        <v>0.22657341581205509</v>
      </c>
      <c r="U47" s="2">
        <f t="shared" ca="1" si="14"/>
        <v>0.28200587501523577</v>
      </c>
      <c r="V47" s="2">
        <f t="shared" ca="1" si="14"/>
        <v>0.24934944222228489</v>
      </c>
      <c r="W47" s="2">
        <f t="shared" ca="1" si="14"/>
        <v>0.28821692404470522</v>
      </c>
      <c r="X47" s="2">
        <f t="shared" ca="1" si="14"/>
        <v>0.25096305390307916</v>
      </c>
      <c r="Y47" s="2">
        <f t="shared" ca="1" si="14"/>
        <v>0.28041749843002117</v>
      </c>
      <c r="Z47" s="2">
        <f t="shared" ca="1" si="14"/>
        <v>0.21549623032909476</v>
      </c>
      <c r="AA47" s="2">
        <f t="shared" ca="1" si="17"/>
        <v>0.23669493330942215</v>
      </c>
      <c r="AB47" s="2">
        <f t="shared" ca="1" si="17"/>
        <v>0.24175261155589309</v>
      </c>
      <c r="AC47" s="2">
        <f t="shared" ca="1" si="17"/>
        <v>0.26720450161562642</v>
      </c>
      <c r="AD47" s="2">
        <f t="shared" ca="1" si="17"/>
        <v>0.23802037697031592</v>
      </c>
      <c r="AE47" s="2">
        <f t="shared" ca="1" si="17"/>
        <v>0.23813669478624513</v>
      </c>
      <c r="AF47" s="2">
        <f t="shared" ca="1" si="17"/>
        <v>0.26152847385246858</v>
      </c>
      <c r="AG47" s="2">
        <f t="shared" ca="1" si="17"/>
        <v>0.24760666201823517</v>
      </c>
      <c r="AH47" s="2">
        <f t="shared" ca="1" si="16"/>
        <v>0.21755919681159316</v>
      </c>
    </row>
    <row r="48" spans="1:34">
      <c r="A48" t="str">
        <f t="shared" si="18"/>
        <v>Vegetables</v>
      </c>
      <c r="B48" t="str">
        <f t="shared" si="8"/>
        <v>Afar</v>
      </c>
      <c r="C48" s="2">
        <f t="shared" ca="1" si="13"/>
        <v>0.29110778576270097</v>
      </c>
      <c r="D48" s="2">
        <f t="shared" ca="1" si="15"/>
        <v>0.23691474529049791</v>
      </c>
      <c r="E48" s="2">
        <f t="shared" ca="1" si="15"/>
        <v>0.2891247913505986</v>
      </c>
      <c r="F48" s="2">
        <f t="shared" ca="1" si="15"/>
        <v>0.24647404908119044</v>
      </c>
      <c r="G48" s="2">
        <f t="shared" ca="1" si="15"/>
        <v>0.23417338979837757</v>
      </c>
      <c r="H48" s="2">
        <f t="shared" ca="1" si="15"/>
        <v>0.24562717435530923</v>
      </c>
      <c r="I48" s="2">
        <f t="shared" ca="1" si="15"/>
        <v>0.2855125202427457</v>
      </c>
      <c r="J48" s="2">
        <f t="shared" ca="1" si="15"/>
        <v>0.28201080349165414</v>
      </c>
      <c r="K48" s="2">
        <f t="shared" ca="1" si="14"/>
        <v>0.2530186987094184</v>
      </c>
      <c r="L48" s="2">
        <f t="shared" ca="1" si="14"/>
        <v>0.25607546533004943</v>
      </c>
      <c r="M48" s="2">
        <f t="shared" ca="1" si="14"/>
        <v>0.20402615465146959</v>
      </c>
      <c r="N48" s="2">
        <f t="shared" ca="1" si="14"/>
        <v>0.28766469509329795</v>
      </c>
      <c r="O48" s="2">
        <f t="shared" ca="1" si="14"/>
        <v>0.28195874670331084</v>
      </c>
      <c r="P48" s="2">
        <f t="shared" ca="1" si="14"/>
        <v>0.26257091018172724</v>
      </c>
      <c r="Q48" s="2">
        <f t="shared" ca="1" si="14"/>
        <v>0.26851032203154679</v>
      </c>
      <c r="R48" s="2">
        <f t="shared" ca="1" si="14"/>
        <v>0.23775094213432588</v>
      </c>
      <c r="S48" s="2">
        <f t="shared" ca="1" si="14"/>
        <v>0.28004664813760188</v>
      </c>
      <c r="T48" s="2">
        <f t="shared" ca="1" si="14"/>
        <v>0.2656786575660306</v>
      </c>
      <c r="U48" s="2">
        <f t="shared" ca="1" si="14"/>
        <v>0.22484488605900249</v>
      </c>
      <c r="V48" s="2">
        <f t="shared" ca="1" si="14"/>
        <v>0.21743743531921886</v>
      </c>
      <c r="W48" s="2">
        <f t="shared" ca="1" si="14"/>
        <v>0.24400309572326906</v>
      </c>
      <c r="X48" s="2">
        <f t="shared" ca="1" si="14"/>
        <v>0.2731623996552876</v>
      </c>
      <c r="Y48" s="2">
        <f t="shared" ca="1" si="14"/>
        <v>0.27569132765315923</v>
      </c>
      <c r="Z48" s="2">
        <f t="shared" ca="1" si="14"/>
        <v>0.22332347112012088</v>
      </c>
      <c r="AA48" s="2">
        <f t="shared" ca="1" si="17"/>
        <v>0.25517137936220824</v>
      </c>
      <c r="AB48" s="2">
        <f t="shared" ca="1" si="17"/>
        <v>0.22241420043341353</v>
      </c>
      <c r="AC48" s="2">
        <f t="shared" ca="1" si="17"/>
        <v>0.24490111506316647</v>
      </c>
      <c r="AD48" s="2">
        <f t="shared" ca="1" si="17"/>
        <v>0.24274569869772528</v>
      </c>
      <c r="AE48" s="2">
        <f t="shared" ca="1" si="17"/>
        <v>0.22260987701946172</v>
      </c>
      <c r="AF48" s="2">
        <f t="shared" ca="1" si="17"/>
        <v>0.2290883781184461</v>
      </c>
      <c r="AG48" s="2">
        <f t="shared" ca="1" si="17"/>
        <v>0.25058933636577613</v>
      </c>
      <c r="AH48" s="2">
        <f t="shared" ca="1" si="16"/>
        <v>0.2595477741112413</v>
      </c>
    </row>
    <row r="49" spans="1:34">
      <c r="A49" t="str">
        <f t="shared" si="18"/>
        <v>Vegetables</v>
      </c>
      <c r="B49" t="str">
        <f t="shared" si="8"/>
        <v>Amhara</v>
      </c>
      <c r="C49" s="2">
        <f t="shared" ca="1" si="13"/>
        <v>0.28455638153754159</v>
      </c>
      <c r="D49" s="2">
        <f t="shared" ca="1" si="15"/>
        <v>0.29039641944021888</v>
      </c>
      <c r="E49" s="2">
        <f t="shared" ca="1" si="15"/>
        <v>0.28616534647316261</v>
      </c>
      <c r="F49" s="2">
        <f t="shared" ca="1" si="15"/>
        <v>0.24622460106192467</v>
      </c>
      <c r="G49" s="2">
        <f t="shared" ca="1" si="15"/>
        <v>0.239107155974006</v>
      </c>
      <c r="H49" s="2">
        <f t="shared" ca="1" si="15"/>
        <v>0.27200118900746473</v>
      </c>
      <c r="I49" s="2">
        <f t="shared" ca="1" si="15"/>
        <v>0.22533494654433339</v>
      </c>
      <c r="J49" s="2">
        <f t="shared" ca="1" si="15"/>
        <v>0.25435868367559433</v>
      </c>
      <c r="K49" s="2">
        <f t="shared" ca="1" si="14"/>
        <v>0.21837367950973172</v>
      </c>
      <c r="L49" s="2">
        <f t="shared" ca="1" si="14"/>
        <v>0.25073002929315891</v>
      </c>
      <c r="M49" s="2">
        <f t="shared" ca="1" si="14"/>
        <v>0.23928803924646333</v>
      </c>
      <c r="N49" s="2">
        <f t="shared" ca="1" si="14"/>
        <v>0.25999415948904375</v>
      </c>
      <c r="O49" s="2">
        <f t="shared" ca="1" si="14"/>
        <v>0.27048130966004791</v>
      </c>
      <c r="P49" s="2">
        <f t="shared" ca="1" si="14"/>
        <v>0.20159650209548269</v>
      </c>
      <c r="Q49" s="2">
        <f t="shared" ca="1" si="14"/>
        <v>0.2345780409975782</v>
      </c>
      <c r="R49" s="2">
        <f t="shared" ca="1" si="14"/>
        <v>0.23058157740637619</v>
      </c>
      <c r="S49" s="2">
        <f t="shared" ca="1" si="14"/>
        <v>0.26188419516165828</v>
      </c>
      <c r="T49" s="2">
        <f t="shared" ca="1" si="14"/>
        <v>0.29590921025637518</v>
      </c>
      <c r="U49" s="2">
        <f t="shared" ca="1" si="14"/>
        <v>0.2750315979396209</v>
      </c>
      <c r="V49" s="2">
        <f t="shared" ca="1" si="14"/>
        <v>0.2101588061336026</v>
      </c>
      <c r="W49" s="2">
        <f t="shared" ca="1" si="14"/>
        <v>0.2380073240931872</v>
      </c>
      <c r="X49" s="2">
        <f t="shared" ca="1" si="14"/>
        <v>0.24173807680474757</v>
      </c>
      <c r="Y49" s="2">
        <f t="shared" ca="1" si="14"/>
        <v>0.25477688820760136</v>
      </c>
      <c r="Z49" s="2">
        <f t="shared" ca="1" si="14"/>
        <v>0.22420878558546839</v>
      </c>
      <c r="AA49" s="2">
        <f t="shared" ca="1" si="17"/>
        <v>0.28152745728971845</v>
      </c>
      <c r="AB49" s="2">
        <f t="shared" ca="1" si="17"/>
        <v>0.28851438177547406</v>
      </c>
      <c r="AC49" s="2">
        <f t="shared" ca="1" si="17"/>
        <v>0.28474077211205817</v>
      </c>
      <c r="AD49" s="2">
        <f t="shared" ca="1" si="17"/>
        <v>0.22674643749650075</v>
      </c>
      <c r="AE49" s="2">
        <f t="shared" ca="1" si="17"/>
        <v>0.27295085499809441</v>
      </c>
      <c r="AF49" s="2">
        <f t="shared" ca="1" si="17"/>
        <v>0.21535151129502164</v>
      </c>
      <c r="AG49" s="2">
        <f t="shared" ca="1" si="17"/>
        <v>0.20652865182037583</v>
      </c>
      <c r="AH49" s="2">
        <f t="shared" ca="1" si="16"/>
        <v>0.24174480821928274</v>
      </c>
    </row>
    <row r="50" spans="1:34">
      <c r="A50" t="str">
        <f t="shared" si="18"/>
        <v>Vegetables</v>
      </c>
      <c r="B50" t="str">
        <f t="shared" si="8"/>
        <v>Gumuz</v>
      </c>
      <c r="C50" s="2">
        <f t="shared" ca="1" si="13"/>
        <v>0.25794784578477825</v>
      </c>
      <c r="D50" s="2">
        <f t="shared" ca="1" si="15"/>
        <v>0.20334050960674974</v>
      </c>
      <c r="E50" s="2">
        <f t="shared" ca="1" si="15"/>
        <v>0.28971675028161054</v>
      </c>
      <c r="F50" s="2">
        <f t="shared" ca="1" si="15"/>
        <v>0.21535631476985226</v>
      </c>
      <c r="G50" s="2">
        <f t="shared" ca="1" si="15"/>
        <v>0.2223110237876452</v>
      </c>
      <c r="H50" s="2">
        <f t="shared" ca="1" si="15"/>
        <v>0.27619941391613262</v>
      </c>
      <c r="I50" s="2">
        <f t="shared" ca="1" si="15"/>
        <v>0.26372612205319146</v>
      </c>
      <c r="J50" s="2">
        <f t="shared" ca="1" si="15"/>
        <v>0.2211671528694579</v>
      </c>
      <c r="K50" s="2">
        <f t="shared" ca="1" si="14"/>
        <v>0.29196735789415673</v>
      </c>
      <c r="L50" s="2">
        <f t="shared" ca="1" si="14"/>
        <v>0.25664875124024711</v>
      </c>
      <c r="M50" s="2">
        <f t="shared" ca="1" si="14"/>
        <v>0.29016480344533752</v>
      </c>
      <c r="N50" s="2">
        <f t="shared" ca="1" si="14"/>
        <v>0.20121413447214467</v>
      </c>
      <c r="O50" s="2">
        <f t="shared" ca="1" si="14"/>
        <v>0.21677301443522334</v>
      </c>
      <c r="P50" s="2">
        <f t="shared" ca="1" si="14"/>
        <v>0.25327116946740408</v>
      </c>
      <c r="Q50" s="2">
        <f t="shared" ca="1" si="14"/>
        <v>0.26845054315715056</v>
      </c>
      <c r="R50" s="2">
        <f t="shared" ca="1" si="14"/>
        <v>0.28738097520941863</v>
      </c>
      <c r="S50" s="2">
        <f t="shared" ca="1" si="14"/>
        <v>0.21896279374105018</v>
      </c>
      <c r="T50" s="2">
        <f t="shared" ca="1" si="14"/>
        <v>0.28126876062873152</v>
      </c>
      <c r="U50" s="2">
        <f t="shared" ca="1" si="14"/>
        <v>0.27769936683899676</v>
      </c>
      <c r="V50" s="2">
        <f t="shared" ca="1" si="14"/>
        <v>0.26825602291705136</v>
      </c>
      <c r="W50" s="2">
        <f t="shared" ca="1" si="14"/>
        <v>0.27483942628266661</v>
      </c>
      <c r="X50" s="2">
        <f t="shared" ca="1" si="14"/>
        <v>0.20037530116481964</v>
      </c>
      <c r="Y50" s="2">
        <f t="shared" ca="1" si="14"/>
        <v>0.2730543579418715</v>
      </c>
      <c r="Z50" s="2">
        <f t="shared" ca="1" si="14"/>
        <v>0.2436867301510347</v>
      </c>
      <c r="AA50" s="2">
        <f t="shared" ca="1" si="17"/>
        <v>0.28483362114395572</v>
      </c>
      <c r="AB50" s="2">
        <f t="shared" ca="1" si="17"/>
        <v>0.29149147870536701</v>
      </c>
      <c r="AC50" s="2">
        <f t="shared" ca="1" si="17"/>
        <v>0.26776898442076424</v>
      </c>
      <c r="AD50" s="2">
        <f t="shared" ca="1" si="17"/>
        <v>0.20568151537099966</v>
      </c>
      <c r="AE50" s="2">
        <f t="shared" ca="1" si="17"/>
        <v>0.29929564486906018</v>
      </c>
      <c r="AF50" s="2">
        <f t="shared" ca="1" si="17"/>
        <v>0.23325041180841735</v>
      </c>
      <c r="AG50" s="2">
        <f t="shared" ca="1" si="17"/>
        <v>0.21544854369729377</v>
      </c>
      <c r="AH50" s="2">
        <f t="shared" ca="1" si="16"/>
        <v>0.27592942616508642</v>
      </c>
    </row>
    <row r="51" spans="1:34">
      <c r="A51" t="str">
        <f t="shared" si="18"/>
        <v>Vegetables</v>
      </c>
      <c r="B51" t="str">
        <f t="shared" si="8"/>
        <v>DireDawa</v>
      </c>
      <c r="C51" s="2">
        <f t="shared" ca="1" si="13"/>
        <v>0.29454407801419702</v>
      </c>
      <c r="D51" s="2">
        <f t="shared" ca="1" si="15"/>
        <v>0.26365575649750561</v>
      </c>
      <c r="E51" s="2">
        <f t="shared" ca="1" si="15"/>
        <v>0.25342854568501005</v>
      </c>
      <c r="F51" s="2">
        <f t="shared" ca="1" si="15"/>
        <v>0.2511263088334541</v>
      </c>
      <c r="G51" s="2">
        <f t="shared" ca="1" si="15"/>
        <v>0.22903757333508096</v>
      </c>
      <c r="H51" s="2">
        <f t="shared" ca="1" si="15"/>
        <v>0.2656839268636989</v>
      </c>
      <c r="I51" s="2">
        <f t="shared" ca="1" si="15"/>
        <v>0.22861694703303567</v>
      </c>
      <c r="J51" s="2">
        <f t="shared" ca="1" si="15"/>
        <v>0.21332957108108716</v>
      </c>
      <c r="K51" s="2">
        <f t="shared" ref="K51:Y52" ca="1" si="19">RAND()*0.1+0.2</f>
        <v>0.28068863963646201</v>
      </c>
      <c r="L51" s="2">
        <f t="shared" ca="1" si="19"/>
        <v>0.26497740503665379</v>
      </c>
      <c r="M51" s="2">
        <f t="shared" ca="1" si="19"/>
        <v>0.29058253467232448</v>
      </c>
      <c r="N51" s="2">
        <f t="shared" ca="1" si="19"/>
        <v>0.24486701098097366</v>
      </c>
      <c r="O51" s="2">
        <f t="shared" ca="1" si="19"/>
        <v>0.28403841437843114</v>
      </c>
      <c r="P51" s="2">
        <f t="shared" ca="1" si="19"/>
        <v>0.2744878316380398</v>
      </c>
      <c r="Q51" s="2">
        <f t="shared" ca="1" si="19"/>
        <v>0.20516592878595302</v>
      </c>
      <c r="R51" s="2">
        <f t="shared" ca="1" si="19"/>
        <v>0.23084993451290051</v>
      </c>
      <c r="S51" s="2">
        <f t="shared" ca="1" si="19"/>
        <v>0.25570747929304166</v>
      </c>
      <c r="T51" s="2">
        <f t="shared" ca="1" si="19"/>
        <v>0.28296167814764905</v>
      </c>
      <c r="U51" s="2">
        <f t="shared" ca="1" si="19"/>
        <v>0.29923350143951244</v>
      </c>
      <c r="V51" s="2">
        <f t="shared" ca="1" si="19"/>
        <v>0.26106449585862029</v>
      </c>
      <c r="W51" s="2">
        <f t="shared" ca="1" si="19"/>
        <v>0.20499238322938196</v>
      </c>
      <c r="X51" s="2">
        <f t="shared" ca="1" si="19"/>
        <v>0.22323855325144654</v>
      </c>
      <c r="Y51" s="2">
        <f t="shared" ca="1" si="19"/>
        <v>0.20261225994981782</v>
      </c>
      <c r="Z51" s="2">
        <f t="shared" ref="Z51:AH67" ca="1" si="20">RAND()*0.1+0.2</f>
        <v>0.24632832337761029</v>
      </c>
      <c r="AA51" s="2">
        <f t="shared" ca="1" si="20"/>
        <v>0.28280219669355067</v>
      </c>
      <c r="AB51" s="2">
        <f t="shared" ca="1" si="20"/>
        <v>0.24371705601736912</v>
      </c>
      <c r="AC51" s="2">
        <f t="shared" ca="1" si="20"/>
        <v>0.20415161387315567</v>
      </c>
      <c r="AD51" s="2">
        <f t="shared" ca="1" si="20"/>
        <v>0.24731970161616251</v>
      </c>
      <c r="AE51" s="2">
        <f t="shared" ca="1" si="20"/>
        <v>0.21381723397598754</v>
      </c>
      <c r="AF51" s="2">
        <f t="shared" ca="1" si="20"/>
        <v>0.23316368390186107</v>
      </c>
      <c r="AG51" s="2">
        <f t="shared" ca="1" si="20"/>
        <v>0.2652213159614854</v>
      </c>
      <c r="AH51" s="2">
        <f t="shared" ca="1" si="20"/>
        <v>0.28862032276887567</v>
      </c>
    </row>
    <row r="52" spans="1:34">
      <c r="A52" t="str">
        <f t="shared" si="18"/>
        <v>Vegetables</v>
      </c>
      <c r="B52" t="str">
        <f t="shared" si="8"/>
        <v>Gambela</v>
      </c>
      <c r="C52" s="2">
        <f t="shared" ca="1" si="13"/>
        <v>0.25367709740447475</v>
      </c>
      <c r="D52" s="2">
        <f t="shared" ca="1" si="15"/>
        <v>0.23408503948280895</v>
      </c>
      <c r="E52" s="2">
        <f t="shared" ca="1" si="15"/>
        <v>0.22618959245324588</v>
      </c>
      <c r="F52" s="2">
        <f t="shared" ca="1" si="15"/>
        <v>0.24556648541055104</v>
      </c>
      <c r="G52" s="2">
        <f t="shared" ca="1" si="15"/>
        <v>0.2136100107184688</v>
      </c>
      <c r="H52" s="2">
        <f t="shared" ca="1" si="15"/>
        <v>0.20979243562313976</v>
      </c>
      <c r="I52" s="2">
        <f t="shared" ca="1" si="15"/>
        <v>0.29907216020893673</v>
      </c>
      <c r="J52" s="2">
        <f t="shared" ca="1" si="15"/>
        <v>0.25212097645508158</v>
      </c>
      <c r="K52" s="2">
        <f t="shared" ca="1" si="19"/>
        <v>0.29143793460622619</v>
      </c>
      <c r="L52" s="2">
        <f t="shared" ca="1" si="19"/>
        <v>0.23165563957872715</v>
      </c>
      <c r="M52" s="2">
        <f t="shared" ca="1" si="19"/>
        <v>0.26553107181806657</v>
      </c>
      <c r="N52" s="2">
        <f t="shared" ca="1" si="19"/>
        <v>0.26960885784881827</v>
      </c>
      <c r="O52" s="2">
        <f t="shared" ca="1" si="19"/>
        <v>0.24466467963911348</v>
      </c>
      <c r="P52" s="2">
        <f t="shared" ca="1" si="19"/>
        <v>0.26760508876775135</v>
      </c>
      <c r="Q52" s="2">
        <f t="shared" ca="1" si="19"/>
        <v>0.22890671749371477</v>
      </c>
      <c r="R52" s="2">
        <f t="shared" ca="1" si="19"/>
        <v>0.21766853044873824</v>
      </c>
      <c r="S52" s="2">
        <f t="shared" ca="1" si="19"/>
        <v>0.24159699354412856</v>
      </c>
      <c r="T52" s="2">
        <f t="shared" ca="1" si="19"/>
        <v>0.26300253245298866</v>
      </c>
      <c r="U52" s="2">
        <f t="shared" ca="1" si="19"/>
        <v>0.20593252297501244</v>
      </c>
      <c r="V52" s="2">
        <f t="shared" ca="1" si="19"/>
        <v>0.29123267373147615</v>
      </c>
      <c r="W52" s="2">
        <f t="shared" ca="1" si="19"/>
        <v>0.23377791342039664</v>
      </c>
      <c r="X52" s="2">
        <f t="shared" ca="1" si="19"/>
        <v>0.28460623809016972</v>
      </c>
      <c r="Y52" s="2">
        <f t="shared" ca="1" si="19"/>
        <v>0.24241029884359994</v>
      </c>
      <c r="Z52" s="2">
        <f t="shared" ca="1" si="20"/>
        <v>0.26458875066877935</v>
      </c>
      <c r="AA52" s="2">
        <f t="shared" ca="1" si="20"/>
        <v>0.22168360052372169</v>
      </c>
      <c r="AB52" s="2">
        <f t="shared" ca="1" si="20"/>
        <v>0.22673908606728344</v>
      </c>
      <c r="AC52" s="2">
        <f t="shared" ca="1" si="20"/>
        <v>0.24575518523341253</v>
      </c>
      <c r="AD52" s="2">
        <f t="shared" ca="1" si="20"/>
        <v>0.24620532474007772</v>
      </c>
      <c r="AE52" s="2">
        <f t="shared" ca="1" si="20"/>
        <v>0.22960301016868945</v>
      </c>
      <c r="AF52" s="2">
        <f t="shared" ca="1" si="20"/>
        <v>0.26244278284505446</v>
      </c>
      <c r="AG52" s="2">
        <f t="shared" ca="1" si="20"/>
        <v>0.20596339280437109</v>
      </c>
      <c r="AH52" s="2">
        <f t="shared" ca="1" si="20"/>
        <v>0.25416711349099452</v>
      </c>
    </row>
    <row r="53" spans="1:34">
      <c r="A53" t="str">
        <f t="shared" si="18"/>
        <v>Vegetables</v>
      </c>
      <c r="B53" t="str">
        <f t="shared" si="8"/>
        <v>Harari</v>
      </c>
      <c r="C53" s="2">
        <f t="shared" ref="C53:R68" ca="1" si="21">RAND()*0.1+0.2</f>
        <v>0.2301226006437567</v>
      </c>
      <c r="D53" s="2">
        <f t="shared" ca="1" si="21"/>
        <v>0.23317502065783285</v>
      </c>
      <c r="E53" s="2">
        <f t="shared" ca="1" si="21"/>
        <v>0.28787294254254725</v>
      </c>
      <c r="F53" s="2">
        <f t="shared" ca="1" si="21"/>
        <v>0.21144018840037415</v>
      </c>
      <c r="G53" s="2">
        <f t="shared" ca="1" si="21"/>
        <v>0.20694265486451172</v>
      </c>
      <c r="H53" s="2">
        <f t="shared" ca="1" si="21"/>
        <v>0.29665511401458855</v>
      </c>
      <c r="I53" s="2">
        <f t="shared" ca="1" si="21"/>
        <v>0.24378794722380515</v>
      </c>
      <c r="J53" s="2">
        <f t="shared" ca="1" si="21"/>
        <v>0.25468432433734811</v>
      </c>
      <c r="K53" s="2">
        <f t="shared" ca="1" si="21"/>
        <v>0.26181362354979459</v>
      </c>
      <c r="L53" s="2">
        <f t="shared" ca="1" si="21"/>
        <v>0.26864304421318086</v>
      </c>
      <c r="M53" s="2">
        <f t="shared" ca="1" si="21"/>
        <v>0.28882994827858033</v>
      </c>
      <c r="N53" s="2">
        <f t="shared" ca="1" si="21"/>
        <v>0.25274594863843503</v>
      </c>
      <c r="O53" s="2">
        <f t="shared" ca="1" si="21"/>
        <v>0.22963500484965982</v>
      </c>
      <c r="P53" s="2">
        <f t="shared" ca="1" si="21"/>
        <v>0.28232820822954691</v>
      </c>
      <c r="Q53" s="2">
        <f t="shared" ca="1" si="21"/>
        <v>0.24714205812634826</v>
      </c>
      <c r="R53" s="2">
        <f t="shared" ca="1" si="21"/>
        <v>0.26413509978144101</v>
      </c>
      <c r="S53" s="2">
        <f t="shared" ref="S53:Y67" ca="1" si="22">RAND()*0.1+0.2</f>
        <v>0.26288917383707761</v>
      </c>
      <c r="T53" s="2">
        <f t="shared" ca="1" si="22"/>
        <v>0.28479616575704092</v>
      </c>
      <c r="U53" s="2">
        <f t="shared" ca="1" si="22"/>
        <v>0.23628640083630253</v>
      </c>
      <c r="V53" s="2">
        <f t="shared" ca="1" si="22"/>
        <v>0.29288893741831207</v>
      </c>
      <c r="W53" s="2">
        <f t="shared" ca="1" si="22"/>
        <v>0.20657630286564996</v>
      </c>
      <c r="X53" s="2">
        <f t="shared" ca="1" si="22"/>
        <v>0.28495225781460776</v>
      </c>
      <c r="Y53" s="2">
        <f t="shared" ca="1" si="22"/>
        <v>0.29349984809386287</v>
      </c>
      <c r="Z53" s="2">
        <f t="shared" ca="1" si="20"/>
        <v>0.21152211428482554</v>
      </c>
      <c r="AA53" s="2">
        <f t="shared" ca="1" si="20"/>
        <v>0.23352172036310292</v>
      </c>
      <c r="AB53" s="2">
        <f t="shared" ca="1" si="20"/>
        <v>0.26069309035706906</v>
      </c>
      <c r="AC53" s="2">
        <f t="shared" ca="1" si="20"/>
        <v>0.22098339065890737</v>
      </c>
      <c r="AD53" s="2">
        <f t="shared" ca="1" si="20"/>
        <v>0.22907455204311547</v>
      </c>
      <c r="AE53" s="2">
        <f t="shared" ca="1" si="20"/>
        <v>0.29870446967370951</v>
      </c>
      <c r="AF53" s="2">
        <f t="shared" ca="1" si="20"/>
        <v>0.21297722590086404</v>
      </c>
      <c r="AG53" s="2">
        <f t="shared" ca="1" si="20"/>
        <v>0.27513530691014365</v>
      </c>
      <c r="AH53" s="2">
        <f t="shared" ca="1" si="20"/>
        <v>0.21997023051808456</v>
      </c>
    </row>
    <row r="54" spans="1:34">
      <c r="A54" t="str">
        <f t="shared" si="18"/>
        <v>Vegetables</v>
      </c>
      <c r="B54" t="str">
        <f t="shared" si="8"/>
        <v>Oromia</v>
      </c>
      <c r="C54" s="2">
        <f t="shared" ca="1" si="21"/>
        <v>0.27228327284422721</v>
      </c>
      <c r="D54" s="2">
        <f t="shared" ca="1" si="21"/>
        <v>0.21571913757352554</v>
      </c>
      <c r="E54" s="2">
        <f t="shared" ca="1" si="21"/>
        <v>0.27306429806104909</v>
      </c>
      <c r="F54" s="2">
        <f t="shared" ca="1" si="21"/>
        <v>0.22792770720127054</v>
      </c>
      <c r="G54" s="2">
        <f t="shared" ca="1" si="21"/>
        <v>0.21937833417111166</v>
      </c>
      <c r="H54" s="2">
        <f t="shared" ca="1" si="21"/>
        <v>0.29688800180879737</v>
      </c>
      <c r="I54" s="2">
        <f t="shared" ca="1" si="21"/>
        <v>0.21400065213925179</v>
      </c>
      <c r="J54" s="2">
        <f t="shared" ca="1" si="21"/>
        <v>0.28539367370733726</v>
      </c>
      <c r="K54" s="2">
        <f t="shared" ca="1" si="21"/>
        <v>0.21727350713325608</v>
      </c>
      <c r="L54" s="2">
        <f t="shared" ca="1" si="21"/>
        <v>0.29199971415937093</v>
      </c>
      <c r="M54" s="2">
        <f t="shared" ca="1" si="21"/>
        <v>0.20176583163324177</v>
      </c>
      <c r="N54" s="2">
        <f t="shared" ca="1" si="21"/>
        <v>0.28451601865398479</v>
      </c>
      <c r="O54" s="2">
        <f t="shared" ca="1" si="21"/>
        <v>0.20418942575246535</v>
      </c>
      <c r="P54" s="2">
        <f t="shared" ca="1" si="21"/>
        <v>0.27471772458217714</v>
      </c>
      <c r="Q54" s="2">
        <f t="shared" ca="1" si="21"/>
        <v>0.23664010255975404</v>
      </c>
      <c r="R54" s="2">
        <f t="shared" ca="1" si="21"/>
        <v>0.27283385257992171</v>
      </c>
      <c r="S54" s="2">
        <f t="shared" ca="1" si="22"/>
        <v>0.25188589492971469</v>
      </c>
      <c r="T54" s="2">
        <f t="shared" ca="1" si="22"/>
        <v>0.28588584517002574</v>
      </c>
      <c r="U54" s="2">
        <f t="shared" ca="1" si="22"/>
        <v>0.27145596626809598</v>
      </c>
      <c r="V54" s="2">
        <f t="shared" ca="1" si="22"/>
        <v>0.25323026350860334</v>
      </c>
      <c r="W54" s="2">
        <f t="shared" ca="1" si="22"/>
        <v>0.20843444222102686</v>
      </c>
      <c r="X54" s="2">
        <f t="shared" ca="1" si="22"/>
        <v>0.29062770449497027</v>
      </c>
      <c r="Y54" s="2">
        <f t="shared" ca="1" si="22"/>
        <v>0.29431024284903501</v>
      </c>
      <c r="Z54" s="2">
        <f t="shared" ca="1" si="20"/>
        <v>0.25201110070282146</v>
      </c>
      <c r="AA54" s="2">
        <f t="shared" ca="1" si="20"/>
        <v>0.22801238883520844</v>
      </c>
      <c r="AB54" s="2">
        <f t="shared" ca="1" si="20"/>
        <v>0.29207630584695488</v>
      </c>
      <c r="AC54" s="2">
        <f t="shared" ca="1" si="20"/>
        <v>0.21217572156300002</v>
      </c>
      <c r="AD54" s="2">
        <f t="shared" ca="1" si="20"/>
        <v>0.27669845099377299</v>
      </c>
      <c r="AE54" s="2">
        <f t="shared" ca="1" si="20"/>
        <v>0.22922905474915331</v>
      </c>
      <c r="AF54" s="2">
        <f t="shared" ca="1" si="20"/>
        <v>0.26792612885243811</v>
      </c>
      <c r="AG54" s="2">
        <f t="shared" ca="1" si="20"/>
        <v>0.21529956095015293</v>
      </c>
      <c r="AH54" s="2">
        <f t="shared" ca="1" si="20"/>
        <v>0.26654398759562592</v>
      </c>
    </row>
    <row r="55" spans="1:34">
      <c r="A55" t="str">
        <f t="shared" si="18"/>
        <v>Vegetables</v>
      </c>
      <c r="B55" t="str">
        <f t="shared" si="8"/>
        <v>Somali</v>
      </c>
      <c r="C55" s="2">
        <f t="shared" ca="1" si="21"/>
        <v>0.2342906655380288</v>
      </c>
      <c r="D55" s="2">
        <f t="shared" ca="1" si="21"/>
        <v>0.26322264009978191</v>
      </c>
      <c r="E55" s="2">
        <f t="shared" ca="1" si="21"/>
        <v>0.2276609312276052</v>
      </c>
      <c r="F55" s="2">
        <f t="shared" ca="1" si="21"/>
        <v>0.21380821644025091</v>
      </c>
      <c r="G55" s="2">
        <f t="shared" ca="1" si="21"/>
        <v>0.27991315568097075</v>
      </c>
      <c r="H55" s="2">
        <f t="shared" ca="1" si="21"/>
        <v>0.27929626225597548</v>
      </c>
      <c r="I55" s="2">
        <f t="shared" ca="1" si="21"/>
        <v>0.22544706157886429</v>
      </c>
      <c r="J55" s="2">
        <f t="shared" ca="1" si="21"/>
        <v>0.21231415055366837</v>
      </c>
      <c r="K55" s="2">
        <f t="shared" ca="1" si="21"/>
        <v>0.24930615556037961</v>
      </c>
      <c r="L55" s="2">
        <f t="shared" ca="1" si="21"/>
        <v>0.25215575020882919</v>
      </c>
      <c r="M55" s="2">
        <f t="shared" ca="1" si="21"/>
        <v>0.25911790446303656</v>
      </c>
      <c r="N55" s="2">
        <f t="shared" ca="1" si="21"/>
        <v>0.21484379841575629</v>
      </c>
      <c r="O55" s="2">
        <f t="shared" ca="1" si="21"/>
        <v>0.22438963705362708</v>
      </c>
      <c r="P55" s="2">
        <f t="shared" ca="1" si="21"/>
        <v>0.27936550356223411</v>
      </c>
      <c r="Q55" s="2">
        <f t="shared" ca="1" si="21"/>
        <v>0.25836610460129622</v>
      </c>
      <c r="R55" s="2">
        <f t="shared" ca="1" si="21"/>
        <v>0.20127142006434046</v>
      </c>
      <c r="S55" s="2">
        <f t="shared" ca="1" si="22"/>
        <v>0.24569169006297059</v>
      </c>
      <c r="T55" s="2">
        <f t="shared" ca="1" si="22"/>
        <v>0.23892980590307855</v>
      </c>
      <c r="U55" s="2">
        <f t="shared" ca="1" si="22"/>
        <v>0.2697076347805798</v>
      </c>
      <c r="V55" s="2">
        <f t="shared" ca="1" si="22"/>
        <v>0.2922391669255695</v>
      </c>
      <c r="W55" s="2">
        <f t="shared" ca="1" si="22"/>
        <v>0.24318678388102696</v>
      </c>
      <c r="X55" s="2">
        <f t="shared" ca="1" si="22"/>
        <v>0.22162829439114742</v>
      </c>
      <c r="Y55" s="2">
        <f t="shared" ca="1" si="22"/>
        <v>0.26052217831189239</v>
      </c>
      <c r="Z55" s="2">
        <f t="shared" ca="1" si="20"/>
        <v>0.27057987991775323</v>
      </c>
      <c r="AA55" s="2">
        <f t="shared" ca="1" si="20"/>
        <v>0.25986472524729232</v>
      </c>
      <c r="AB55" s="2">
        <f t="shared" ca="1" si="20"/>
        <v>0.23771968397049215</v>
      </c>
      <c r="AC55" s="2">
        <f t="shared" ca="1" si="20"/>
        <v>0.23500067866174035</v>
      </c>
      <c r="AD55" s="2">
        <f t="shared" ca="1" si="20"/>
        <v>0.27818760453845309</v>
      </c>
      <c r="AE55" s="2">
        <f t="shared" ca="1" si="20"/>
        <v>0.28565920450275362</v>
      </c>
      <c r="AF55" s="2">
        <f t="shared" ca="1" si="20"/>
        <v>0.26698597646577527</v>
      </c>
      <c r="AG55" s="2">
        <f t="shared" ca="1" si="20"/>
        <v>0.27809557769176146</v>
      </c>
      <c r="AH55" s="2">
        <f t="shared" ca="1" si="20"/>
        <v>0.23024597893941895</v>
      </c>
    </row>
    <row r="56" spans="1:34">
      <c r="A56" t="str">
        <f t="shared" si="18"/>
        <v>Vegetables</v>
      </c>
      <c r="B56" t="str">
        <f t="shared" si="8"/>
        <v>SNNPR</v>
      </c>
      <c r="C56" s="2">
        <f t="shared" ca="1" si="21"/>
        <v>0.23369440179931064</v>
      </c>
      <c r="D56" s="2">
        <f t="shared" ca="1" si="21"/>
        <v>0.23847316477157793</v>
      </c>
      <c r="E56" s="2">
        <f t="shared" ca="1" si="21"/>
        <v>0.27344721354323498</v>
      </c>
      <c r="F56" s="2">
        <f t="shared" ca="1" si="21"/>
        <v>0.26416104219103498</v>
      </c>
      <c r="G56" s="2">
        <f t="shared" ca="1" si="21"/>
        <v>0.27199013210929224</v>
      </c>
      <c r="H56" s="2">
        <f t="shared" ca="1" si="21"/>
        <v>0.26279653219666588</v>
      </c>
      <c r="I56" s="2">
        <f t="shared" ca="1" si="21"/>
        <v>0.29667271553750413</v>
      </c>
      <c r="J56" s="2">
        <f t="shared" ca="1" si="21"/>
        <v>0.28880619562650905</v>
      </c>
      <c r="K56" s="2">
        <f t="shared" ca="1" si="21"/>
        <v>0.24883287241741769</v>
      </c>
      <c r="L56" s="2">
        <f t="shared" ca="1" si="21"/>
        <v>0.20598364302693381</v>
      </c>
      <c r="M56" s="2">
        <f t="shared" ca="1" si="21"/>
        <v>0.20523352453527308</v>
      </c>
      <c r="N56" s="2">
        <f t="shared" ca="1" si="21"/>
        <v>0.2466209767360244</v>
      </c>
      <c r="O56" s="2">
        <f t="shared" ca="1" si="21"/>
        <v>0.25347683559193102</v>
      </c>
      <c r="P56" s="2">
        <f t="shared" ca="1" si="21"/>
        <v>0.25045199610721591</v>
      </c>
      <c r="Q56" s="2">
        <f t="shared" ca="1" si="21"/>
        <v>0.23314342659444912</v>
      </c>
      <c r="R56" s="2">
        <f t="shared" ca="1" si="21"/>
        <v>0.22482790474429343</v>
      </c>
      <c r="S56" s="2">
        <f t="shared" ca="1" si="22"/>
        <v>0.21575258030956762</v>
      </c>
      <c r="T56" s="2">
        <f t="shared" ca="1" si="22"/>
        <v>0.2255128886747686</v>
      </c>
      <c r="U56" s="2">
        <f t="shared" ca="1" si="22"/>
        <v>0.29601441582997667</v>
      </c>
      <c r="V56" s="2">
        <f t="shared" ca="1" si="22"/>
        <v>0.20548636068945186</v>
      </c>
      <c r="W56" s="2">
        <f t="shared" ca="1" si="22"/>
        <v>0.24975960337136055</v>
      </c>
      <c r="X56" s="2">
        <f t="shared" ca="1" si="22"/>
        <v>0.25357124436254164</v>
      </c>
      <c r="Y56" s="2">
        <f t="shared" ca="1" si="22"/>
        <v>0.2528367702359684</v>
      </c>
      <c r="Z56" s="2">
        <f t="shared" ca="1" si="20"/>
        <v>0.29251083089122087</v>
      </c>
      <c r="AA56" s="2">
        <f t="shared" ca="1" si="20"/>
        <v>0.25336349618978926</v>
      </c>
      <c r="AB56" s="2">
        <f t="shared" ca="1" si="20"/>
        <v>0.22530620328562181</v>
      </c>
      <c r="AC56" s="2">
        <f t="shared" ca="1" si="20"/>
        <v>0.20833583112189635</v>
      </c>
      <c r="AD56" s="2">
        <f t="shared" ca="1" si="20"/>
        <v>0.23890745296442356</v>
      </c>
      <c r="AE56" s="2">
        <f t="shared" ca="1" si="20"/>
        <v>0.26831123145129487</v>
      </c>
      <c r="AF56" s="2">
        <f t="shared" ca="1" si="20"/>
        <v>0.25863798988963504</v>
      </c>
      <c r="AG56" s="2">
        <f t="shared" ca="1" si="20"/>
        <v>0.28527137347219911</v>
      </c>
      <c r="AH56" s="2">
        <f t="shared" ca="1" si="20"/>
        <v>0.23329780980577752</v>
      </c>
    </row>
    <row r="57" spans="1:34">
      <c r="A57" t="str">
        <f t="shared" si="18"/>
        <v>Vegetables</v>
      </c>
      <c r="B57" t="str">
        <f t="shared" si="8"/>
        <v>Tigray</v>
      </c>
      <c r="C57" s="2">
        <f t="shared" ca="1" si="21"/>
        <v>0.23112702206569388</v>
      </c>
      <c r="D57" s="2">
        <f t="shared" ca="1" si="21"/>
        <v>0.29749032549946941</v>
      </c>
      <c r="E57" s="2">
        <f t="shared" ca="1" si="21"/>
        <v>0.24096504301768917</v>
      </c>
      <c r="F57" s="2">
        <f t="shared" ca="1" si="21"/>
        <v>0.21939719176352357</v>
      </c>
      <c r="G57" s="2">
        <f t="shared" ca="1" si="21"/>
        <v>0.22676730465792369</v>
      </c>
      <c r="H57" s="2">
        <f t="shared" ca="1" si="21"/>
        <v>0.21797388430742926</v>
      </c>
      <c r="I57" s="2">
        <f t="shared" ca="1" si="21"/>
        <v>0.21946197038222742</v>
      </c>
      <c r="J57" s="2">
        <f t="shared" ca="1" si="21"/>
        <v>0.23039289110187489</v>
      </c>
      <c r="K57" s="2">
        <f t="shared" ca="1" si="21"/>
        <v>0.21073142306265644</v>
      </c>
      <c r="L57" s="2">
        <f t="shared" ca="1" si="21"/>
        <v>0.27290916029995854</v>
      </c>
      <c r="M57" s="2">
        <f t="shared" ca="1" si="21"/>
        <v>0.25451176423565813</v>
      </c>
      <c r="N57" s="2">
        <f t="shared" ca="1" si="21"/>
        <v>0.29491452345082397</v>
      </c>
      <c r="O57" s="2">
        <f t="shared" ca="1" si="21"/>
        <v>0.21042966553338313</v>
      </c>
      <c r="P57" s="2">
        <f t="shared" ca="1" si="21"/>
        <v>0.20870991958983273</v>
      </c>
      <c r="Q57" s="2">
        <f t="shared" ca="1" si="21"/>
        <v>0.2104934782945741</v>
      </c>
      <c r="R57" s="2">
        <f t="shared" ca="1" si="21"/>
        <v>0.26703540635072032</v>
      </c>
      <c r="S57" s="2">
        <f t="shared" ca="1" si="22"/>
        <v>0.23507284298907943</v>
      </c>
      <c r="T57" s="2">
        <f t="shared" ca="1" si="22"/>
        <v>0.28696909730170522</v>
      </c>
      <c r="U57" s="2">
        <f t="shared" ca="1" si="22"/>
        <v>0.20029975899227639</v>
      </c>
      <c r="V57" s="2">
        <f t="shared" ca="1" si="22"/>
        <v>0.24708544723904877</v>
      </c>
      <c r="W57" s="2">
        <f t="shared" ca="1" si="22"/>
        <v>0.20806369502055982</v>
      </c>
      <c r="X57" s="2">
        <f t="shared" ca="1" si="22"/>
        <v>0.29295423950358079</v>
      </c>
      <c r="Y57" s="2">
        <f t="shared" ca="1" si="22"/>
        <v>0.2934437745817341</v>
      </c>
      <c r="Z57" s="2">
        <f t="shared" ca="1" si="20"/>
        <v>0.26365707612982803</v>
      </c>
      <c r="AA57" s="2">
        <f t="shared" ca="1" si="20"/>
        <v>0.27843588139444259</v>
      </c>
      <c r="AB57" s="2">
        <f t="shared" ca="1" si="20"/>
        <v>0.27382780770021065</v>
      </c>
      <c r="AC57" s="2">
        <f t="shared" ca="1" si="20"/>
        <v>0.21644957037102808</v>
      </c>
      <c r="AD57" s="2">
        <f t="shared" ca="1" si="20"/>
        <v>0.25293891398655294</v>
      </c>
      <c r="AE57" s="2">
        <f t="shared" ca="1" si="20"/>
        <v>0.27101533713849818</v>
      </c>
      <c r="AF57" s="2">
        <f t="shared" ca="1" si="20"/>
        <v>0.25292689361869425</v>
      </c>
      <c r="AG57" s="2">
        <f t="shared" ca="1" si="20"/>
        <v>0.23083020914590882</v>
      </c>
      <c r="AH57" s="2">
        <f t="shared" ca="1" si="20"/>
        <v>0.20469702112461693</v>
      </c>
    </row>
    <row r="58" spans="1:34">
      <c r="A58" t="str">
        <f t="shared" si="18"/>
        <v>Coffee</v>
      </c>
      <c r="B58" t="str">
        <f t="shared" si="8"/>
        <v>AddisAbaba</v>
      </c>
      <c r="C58" s="2">
        <f t="shared" ca="1" si="21"/>
        <v>0.20767251359831665</v>
      </c>
      <c r="D58" s="2">
        <f t="shared" ca="1" si="21"/>
        <v>0.28613495325807431</v>
      </c>
      <c r="E58" s="2">
        <f t="shared" ca="1" si="21"/>
        <v>0.20225748492656642</v>
      </c>
      <c r="F58" s="2">
        <f t="shared" ca="1" si="21"/>
        <v>0.29800917892475959</v>
      </c>
      <c r="G58" s="2">
        <f t="shared" ca="1" si="21"/>
        <v>0.24315477492186816</v>
      </c>
      <c r="H58" s="2">
        <f t="shared" ca="1" si="21"/>
        <v>0.25472738741442608</v>
      </c>
      <c r="I58" s="2">
        <f t="shared" ca="1" si="21"/>
        <v>0.26196919718320888</v>
      </c>
      <c r="J58" s="2">
        <f t="shared" ca="1" si="21"/>
        <v>0.21593274160239301</v>
      </c>
      <c r="K58" s="2">
        <f t="shared" ca="1" si="21"/>
        <v>0.26552188708190899</v>
      </c>
      <c r="L58" s="2">
        <f t="shared" ca="1" si="21"/>
        <v>0.26920908839408586</v>
      </c>
      <c r="M58" s="2">
        <f t="shared" ca="1" si="21"/>
        <v>0.20373255094959286</v>
      </c>
      <c r="N58" s="2">
        <f t="shared" ca="1" si="21"/>
        <v>0.22591170639955535</v>
      </c>
      <c r="O58" s="2">
        <f t="shared" ca="1" si="21"/>
        <v>0.20753987046433195</v>
      </c>
      <c r="P58" s="2">
        <f t="shared" ca="1" si="21"/>
        <v>0.25619875411430371</v>
      </c>
      <c r="Q58" s="2">
        <f t="shared" ca="1" si="21"/>
        <v>0.29297282695353499</v>
      </c>
      <c r="R58" s="2">
        <f t="shared" ca="1" si="21"/>
        <v>0.26796042350174243</v>
      </c>
      <c r="S58" s="2">
        <f t="shared" ca="1" si="22"/>
        <v>0.20429053997163843</v>
      </c>
      <c r="T58" s="2">
        <f t="shared" ca="1" si="22"/>
        <v>0.26330468650190791</v>
      </c>
      <c r="U58" s="2">
        <f t="shared" ca="1" si="22"/>
        <v>0.23413438290787258</v>
      </c>
      <c r="V58" s="2">
        <f t="shared" ca="1" si="22"/>
        <v>0.21489969114955909</v>
      </c>
      <c r="W58" s="2">
        <f t="shared" ca="1" si="22"/>
        <v>0.20741132049081962</v>
      </c>
      <c r="X58" s="2">
        <f t="shared" ca="1" si="22"/>
        <v>0.24156520031163245</v>
      </c>
      <c r="Y58" s="2">
        <f t="shared" ca="1" si="22"/>
        <v>0.26344791840545173</v>
      </c>
      <c r="Z58" s="2">
        <f t="shared" ca="1" si="20"/>
        <v>0.23018615678535417</v>
      </c>
      <c r="AA58" s="2">
        <f t="shared" ca="1" si="20"/>
        <v>0.20240756426411111</v>
      </c>
      <c r="AB58" s="2">
        <f t="shared" ca="1" si="20"/>
        <v>0.27036196171994875</v>
      </c>
      <c r="AC58" s="2">
        <f t="shared" ca="1" si="20"/>
        <v>0.29501826788570779</v>
      </c>
      <c r="AD58" s="2">
        <f t="shared" ca="1" si="20"/>
        <v>0.23989804959092195</v>
      </c>
      <c r="AE58" s="2">
        <f t="shared" ca="1" si="20"/>
        <v>0.21930989037139551</v>
      </c>
      <c r="AF58" s="2">
        <f t="shared" ca="1" si="20"/>
        <v>0.29334965995180889</v>
      </c>
      <c r="AG58" s="2">
        <f t="shared" ca="1" si="20"/>
        <v>0.26878535145941201</v>
      </c>
      <c r="AH58" s="2">
        <f t="shared" ca="1" si="20"/>
        <v>0.28586803177797315</v>
      </c>
    </row>
    <row r="59" spans="1:34">
      <c r="A59" t="str">
        <f t="shared" si="18"/>
        <v>Coffee</v>
      </c>
      <c r="B59" t="str">
        <f t="shared" si="8"/>
        <v>Afar</v>
      </c>
      <c r="C59" s="2">
        <f t="shared" ca="1" si="21"/>
        <v>0.21315733073098356</v>
      </c>
      <c r="D59" s="2">
        <f t="shared" ca="1" si="21"/>
        <v>0.26438940690582141</v>
      </c>
      <c r="E59" s="2">
        <f t="shared" ca="1" si="21"/>
        <v>0.26659638121451251</v>
      </c>
      <c r="F59" s="2">
        <f t="shared" ca="1" si="21"/>
        <v>0.23079391233828819</v>
      </c>
      <c r="G59" s="2">
        <f t="shared" ca="1" si="21"/>
        <v>0.20075210164594631</v>
      </c>
      <c r="H59" s="2">
        <f t="shared" ca="1" si="21"/>
        <v>0.26506388063123898</v>
      </c>
      <c r="I59" s="2">
        <f t="shared" ca="1" si="21"/>
        <v>0.28054935111610002</v>
      </c>
      <c r="J59" s="2">
        <f t="shared" ca="1" si="21"/>
        <v>0.2161865395312712</v>
      </c>
      <c r="K59" s="2">
        <f t="shared" ca="1" si="21"/>
        <v>0.29904968553226285</v>
      </c>
      <c r="L59" s="2">
        <f t="shared" ca="1" si="21"/>
        <v>0.27177953830929841</v>
      </c>
      <c r="M59" s="2">
        <f t="shared" ca="1" si="21"/>
        <v>0.25358237812230722</v>
      </c>
      <c r="N59" s="2">
        <f t="shared" ca="1" si="21"/>
        <v>0.20424382315895295</v>
      </c>
      <c r="O59" s="2">
        <f t="shared" ca="1" si="21"/>
        <v>0.25531964545401431</v>
      </c>
      <c r="P59" s="2">
        <f t="shared" ca="1" si="21"/>
        <v>0.20135999103142899</v>
      </c>
      <c r="Q59" s="2">
        <f t="shared" ca="1" si="21"/>
        <v>0.27673465752550308</v>
      </c>
      <c r="R59" s="2">
        <f t="shared" ca="1" si="21"/>
        <v>0.20278439127720083</v>
      </c>
      <c r="S59" s="2">
        <f t="shared" ca="1" si="22"/>
        <v>0.28249022836906201</v>
      </c>
      <c r="T59" s="2">
        <f t="shared" ca="1" si="22"/>
        <v>0.20385178008517846</v>
      </c>
      <c r="U59" s="2">
        <f t="shared" ca="1" si="22"/>
        <v>0.28124412655254333</v>
      </c>
      <c r="V59" s="2">
        <f t="shared" ca="1" si="22"/>
        <v>0.20152398893726492</v>
      </c>
      <c r="W59" s="2">
        <f t="shared" ca="1" si="22"/>
        <v>0.22144490486036517</v>
      </c>
      <c r="X59" s="2">
        <f t="shared" ca="1" si="22"/>
        <v>0.29185287934313625</v>
      </c>
      <c r="Y59" s="2">
        <f t="shared" ca="1" si="22"/>
        <v>0.26341806079309005</v>
      </c>
      <c r="Z59" s="2">
        <f t="shared" ca="1" si="20"/>
        <v>0.26793002910236519</v>
      </c>
      <c r="AA59" s="2">
        <f t="shared" ca="1" si="20"/>
        <v>0.29599094005653603</v>
      </c>
      <c r="AB59" s="2">
        <f t="shared" ca="1" si="20"/>
        <v>0.23625858111189052</v>
      </c>
      <c r="AC59" s="2">
        <f t="shared" ca="1" si="20"/>
        <v>0.20254600184960145</v>
      </c>
      <c r="AD59" s="2">
        <f t="shared" ca="1" si="20"/>
        <v>0.24137458313440233</v>
      </c>
      <c r="AE59" s="2">
        <f t="shared" ca="1" si="20"/>
        <v>0.28150948736311965</v>
      </c>
      <c r="AF59" s="2">
        <f t="shared" ca="1" si="20"/>
        <v>0.25600229151288623</v>
      </c>
      <c r="AG59" s="2">
        <f t="shared" ca="1" si="20"/>
        <v>0.25847341835185739</v>
      </c>
      <c r="AH59" s="2">
        <f t="shared" ca="1" si="20"/>
        <v>0.20203239101783685</v>
      </c>
    </row>
    <row r="60" spans="1:34">
      <c r="A60" t="str">
        <f t="shared" si="18"/>
        <v>Coffee</v>
      </c>
      <c r="B60" t="str">
        <f t="shared" si="8"/>
        <v>Amhara</v>
      </c>
      <c r="C60" s="2">
        <f t="shared" ca="1" si="21"/>
        <v>0.21635607823831013</v>
      </c>
      <c r="D60" s="2">
        <f t="shared" ca="1" si="21"/>
        <v>0.23952297690425264</v>
      </c>
      <c r="E60" s="2">
        <f t="shared" ca="1" si="21"/>
        <v>0.21715089092125145</v>
      </c>
      <c r="F60" s="2">
        <f t="shared" ca="1" si="21"/>
        <v>0.21642762790947612</v>
      </c>
      <c r="G60" s="2">
        <f t="shared" ca="1" si="21"/>
        <v>0.23039546543601791</v>
      </c>
      <c r="H60" s="2">
        <f t="shared" ca="1" si="21"/>
        <v>0.249164290123774</v>
      </c>
      <c r="I60" s="2">
        <f t="shared" ca="1" si="21"/>
        <v>0.27324465354992189</v>
      </c>
      <c r="J60" s="2">
        <f t="shared" ca="1" si="21"/>
        <v>0.29425535912982953</v>
      </c>
      <c r="K60" s="2">
        <f t="shared" ca="1" si="21"/>
        <v>0.23955896677554714</v>
      </c>
      <c r="L60" s="2">
        <f t="shared" ca="1" si="21"/>
        <v>0.24757760956848374</v>
      </c>
      <c r="M60" s="2">
        <f t="shared" ca="1" si="21"/>
        <v>0.22173863565576826</v>
      </c>
      <c r="N60" s="2">
        <f t="shared" ca="1" si="21"/>
        <v>0.26318593822678543</v>
      </c>
      <c r="O60" s="2">
        <f t="shared" ca="1" si="21"/>
        <v>0.26289029895588129</v>
      </c>
      <c r="P60" s="2">
        <f t="shared" ca="1" si="21"/>
        <v>0.2256118238024854</v>
      </c>
      <c r="Q60" s="2">
        <f t="shared" ca="1" si="21"/>
        <v>0.29175161858310938</v>
      </c>
      <c r="R60" s="2">
        <f t="shared" ca="1" si="21"/>
        <v>0.26967063602813723</v>
      </c>
      <c r="S60" s="2">
        <f t="shared" ca="1" si="22"/>
        <v>0.2014125173739407</v>
      </c>
      <c r="T60" s="2">
        <f t="shared" ca="1" si="22"/>
        <v>0.21589474450249982</v>
      </c>
      <c r="U60" s="2">
        <f t="shared" ca="1" si="22"/>
        <v>0.20207576351525219</v>
      </c>
      <c r="V60" s="2">
        <f t="shared" ca="1" si="22"/>
        <v>0.28375738135999617</v>
      </c>
      <c r="W60" s="2">
        <f t="shared" ca="1" si="22"/>
        <v>0.25535753055661781</v>
      </c>
      <c r="X60" s="2">
        <f t="shared" ca="1" si="22"/>
        <v>0.22559224561236318</v>
      </c>
      <c r="Y60" s="2">
        <f t="shared" ca="1" si="22"/>
        <v>0.29962756820122949</v>
      </c>
      <c r="Z60" s="2">
        <f t="shared" ca="1" si="20"/>
        <v>0.28196707613343963</v>
      </c>
      <c r="AA60" s="2">
        <f t="shared" ca="1" si="20"/>
        <v>0.26370075635442486</v>
      </c>
      <c r="AB60" s="2">
        <f t="shared" ca="1" si="20"/>
        <v>0.28994555600648614</v>
      </c>
      <c r="AC60" s="2">
        <f t="shared" ca="1" si="20"/>
        <v>0.29729267318618713</v>
      </c>
      <c r="AD60" s="2">
        <f t="shared" ca="1" si="20"/>
        <v>0.20409715230118688</v>
      </c>
      <c r="AE60" s="2">
        <f t="shared" ca="1" si="20"/>
        <v>0.2568466884416935</v>
      </c>
      <c r="AF60" s="2">
        <f t="shared" ca="1" si="20"/>
        <v>0.2685249660615362</v>
      </c>
      <c r="AG60" s="2">
        <f t="shared" ca="1" si="20"/>
        <v>0.20839323474124732</v>
      </c>
      <c r="AH60" s="2">
        <f t="shared" ca="1" si="20"/>
        <v>0.20627431920566786</v>
      </c>
    </row>
    <row r="61" spans="1:34">
      <c r="A61" t="str">
        <f t="shared" si="18"/>
        <v>Coffee</v>
      </c>
      <c r="B61" t="str">
        <f t="shared" si="8"/>
        <v>Gumuz</v>
      </c>
      <c r="C61" s="2">
        <f t="shared" ca="1" si="21"/>
        <v>0.22632348534281282</v>
      </c>
      <c r="D61" s="2">
        <f t="shared" ca="1" si="21"/>
        <v>0.20794885480715744</v>
      </c>
      <c r="E61" s="2">
        <f t="shared" ca="1" si="21"/>
        <v>0.24202568865541907</v>
      </c>
      <c r="F61" s="2">
        <f t="shared" ca="1" si="21"/>
        <v>0.29775996270844401</v>
      </c>
      <c r="G61" s="2">
        <f t="shared" ca="1" si="21"/>
        <v>0.23430196363843636</v>
      </c>
      <c r="H61" s="2">
        <f t="shared" ca="1" si="21"/>
        <v>0.22005339208569807</v>
      </c>
      <c r="I61" s="2">
        <f t="shared" ca="1" si="21"/>
        <v>0.29006538434025059</v>
      </c>
      <c r="J61" s="2">
        <f t="shared" ca="1" si="21"/>
        <v>0.2645199538859716</v>
      </c>
      <c r="K61" s="2">
        <f t="shared" ca="1" si="21"/>
        <v>0.20421202010985978</v>
      </c>
      <c r="L61" s="2">
        <f t="shared" ca="1" si="21"/>
        <v>0.25510845233477841</v>
      </c>
      <c r="M61" s="2">
        <f t="shared" ca="1" si="21"/>
        <v>0.23106920787730836</v>
      </c>
      <c r="N61" s="2">
        <f t="shared" ca="1" si="21"/>
        <v>0.26882893391902551</v>
      </c>
      <c r="O61" s="2">
        <f t="shared" ca="1" si="21"/>
        <v>0.25622564570239736</v>
      </c>
      <c r="P61" s="2">
        <f t="shared" ca="1" si="21"/>
        <v>0.28515803688104191</v>
      </c>
      <c r="Q61" s="2">
        <f t="shared" ca="1" si="21"/>
        <v>0.21696919887033128</v>
      </c>
      <c r="R61" s="2">
        <f t="shared" ca="1" si="21"/>
        <v>0.21800195641038297</v>
      </c>
      <c r="S61" s="2">
        <f t="shared" ca="1" si="22"/>
        <v>0.23768808177485512</v>
      </c>
      <c r="T61" s="2">
        <f t="shared" ca="1" si="22"/>
        <v>0.21156586834129099</v>
      </c>
      <c r="U61" s="2">
        <f t="shared" ca="1" si="22"/>
        <v>0.24294255033080614</v>
      </c>
      <c r="V61" s="2">
        <f t="shared" ca="1" si="22"/>
        <v>0.28585749131392912</v>
      </c>
      <c r="W61" s="2">
        <f t="shared" ca="1" si="22"/>
        <v>0.21120249527345034</v>
      </c>
      <c r="X61" s="2">
        <f t="shared" ca="1" si="22"/>
        <v>0.27370698951935846</v>
      </c>
      <c r="Y61" s="2">
        <f t="shared" ca="1" si="22"/>
        <v>0.29268042766455582</v>
      </c>
      <c r="Z61" s="2">
        <f t="shared" ca="1" si="20"/>
        <v>0.23883868536201383</v>
      </c>
      <c r="AA61" s="2">
        <f t="shared" ca="1" si="20"/>
        <v>0.25346449923541181</v>
      </c>
      <c r="AB61" s="2">
        <f t="shared" ca="1" si="20"/>
        <v>0.29942857213403618</v>
      </c>
      <c r="AC61" s="2">
        <f t="shared" ca="1" si="20"/>
        <v>0.25100618343515846</v>
      </c>
      <c r="AD61" s="2">
        <f t="shared" ca="1" si="20"/>
        <v>0.26348631177378068</v>
      </c>
      <c r="AE61" s="2">
        <f t="shared" ca="1" si="20"/>
        <v>0.28864824501484865</v>
      </c>
      <c r="AF61" s="2">
        <f t="shared" ca="1" si="20"/>
        <v>0.20948015851036642</v>
      </c>
      <c r="AG61" s="2">
        <f t="shared" ca="1" si="20"/>
        <v>0.29850412613426125</v>
      </c>
      <c r="AH61" s="2">
        <f t="shared" ca="1" si="20"/>
        <v>0.23877499614990483</v>
      </c>
    </row>
    <row r="62" spans="1:34">
      <c r="A62" t="str">
        <f t="shared" si="18"/>
        <v>Coffee</v>
      </c>
      <c r="B62" t="str">
        <f t="shared" si="8"/>
        <v>DireDawa</v>
      </c>
      <c r="C62" s="2">
        <f t="shared" ca="1" si="21"/>
        <v>0.23373691420714249</v>
      </c>
      <c r="D62" s="2">
        <f t="shared" ca="1" si="21"/>
        <v>0.25872358795550243</v>
      </c>
      <c r="E62" s="2">
        <f t="shared" ca="1" si="21"/>
        <v>0.25678625517123105</v>
      </c>
      <c r="F62" s="2">
        <f t="shared" ca="1" si="21"/>
        <v>0.25224488244311727</v>
      </c>
      <c r="G62" s="2">
        <f t="shared" ca="1" si="21"/>
        <v>0.20475582525052599</v>
      </c>
      <c r="H62" s="2">
        <f t="shared" ca="1" si="21"/>
        <v>0.27956813768815869</v>
      </c>
      <c r="I62" s="2">
        <f t="shared" ca="1" si="21"/>
        <v>0.22000439836635291</v>
      </c>
      <c r="J62" s="2">
        <f t="shared" ca="1" si="21"/>
        <v>0.22968243199955241</v>
      </c>
      <c r="K62" s="2">
        <f t="shared" ca="1" si="21"/>
        <v>0.22580746922822043</v>
      </c>
      <c r="L62" s="2">
        <f t="shared" ca="1" si="21"/>
        <v>0.2865447238795702</v>
      </c>
      <c r="M62" s="2">
        <f t="shared" ca="1" si="21"/>
        <v>0.270573173614235</v>
      </c>
      <c r="N62" s="2">
        <f t="shared" ca="1" si="21"/>
        <v>0.20087337895355406</v>
      </c>
      <c r="O62" s="2">
        <f t="shared" ca="1" si="21"/>
        <v>0.29926179816970488</v>
      </c>
      <c r="P62" s="2">
        <f t="shared" ca="1" si="21"/>
        <v>0.21702115834940372</v>
      </c>
      <c r="Q62" s="2">
        <f t="shared" ca="1" si="21"/>
        <v>0.21448443523896027</v>
      </c>
      <c r="R62" s="2">
        <f t="shared" ca="1" si="21"/>
        <v>0.2653981516019896</v>
      </c>
      <c r="S62" s="2">
        <f t="shared" ca="1" si="22"/>
        <v>0.21408563255348328</v>
      </c>
      <c r="T62" s="2">
        <f t="shared" ca="1" si="22"/>
        <v>0.2491238933896997</v>
      </c>
      <c r="U62" s="2">
        <f t="shared" ca="1" si="22"/>
        <v>0.22843981623947512</v>
      </c>
      <c r="V62" s="2">
        <f t="shared" ca="1" si="22"/>
        <v>0.20552693635235345</v>
      </c>
      <c r="W62" s="2">
        <f t="shared" ca="1" si="22"/>
        <v>0.21895684021496906</v>
      </c>
      <c r="X62" s="2">
        <f t="shared" ca="1" si="22"/>
        <v>0.21272058649265849</v>
      </c>
      <c r="Y62" s="2">
        <f t="shared" ca="1" si="22"/>
        <v>0.28674231016161716</v>
      </c>
      <c r="Z62" s="2">
        <f t="shared" ca="1" si="20"/>
        <v>0.24425182866228815</v>
      </c>
      <c r="AA62" s="2">
        <f t="shared" ca="1" si="20"/>
        <v>0.25989529124220034</v>
      </c>
      <c r="AB62" s="2">
        <f t="shared" ca="1" si="20"/>
        <v>0.26601598617103356</v>
      </c>
      <c r="AC62" s="2">
        <f t="shared" ca="1" si="20"/>
        <v>0.26448962364098511</v>
      </c>
      <c r="AD62" s="2">
        <f t="shared" ca="1" si="20"/>
        <v>0.22423024437871858</v>
      </c>
      <c r="AE62" s="2">
        <f t="shared" ca="1" si="20"/>
        <v>0.27576908797003369</v>
      </c>
      <c r="AF62" s="2">
        <f t="shared" ca="1" si="20"/>
        <v>0.22275674084097583</v>
      </c>
      <c r="AG62" s="2">
        <f t="shared" ca="1" si="20"/>
        <v>0.22703405504214488</v>
      </c>
      <c r="AH62" s="2">
        <f t="shared" ca="1" si="20"/>
        <v>0.22337405648977038</v>
      </c>
    </row>
    <row r="63" spans="1:34">
      <c r="A63" t="str">
        <f t="shared" si="18"/>
        <v>Coffee</v>
      </c>
      <c r="B63" t="str">
        <f t="shared" si="8"/>
        <v>Gambela</v>
      </c>
      <c r="C63" s="2">
        <f t="shared" ca="1" si="21"/>
        <v>0.23283851479445894</v>
      </c>
      <c r="D63" s="2">
        <f t="shared" ca="1" si="21"/>
        <v>0.28071287683710028</v>
      </c>
      <c r="E63" s="2">
        <f t="shared" ca="1" si="21"/>
        <v>0.25956330841969377</v>
      </c>
      <c r="F63" s="2">
        <f t="shared" ca="1" si="21"/>
        <v>0.22665354001073384</v>
      </c>
      <c r="G63" s="2">
        <f t="shared" ca="1" si="21"/>
        <v>0.27561966181741721</v>
      </c>
      <c r="H63" s="2">
        <f t="shared" ca="1" si="21"/>
        <v>0.24732821059914548</v>
      </c>
      <c r="I63" s="2">
        <f t="shared" ca="1" si="21"/>
        <v>0.25342249966859159</v>
      </c>
      <c r="J63" s="2">
        <f t="shared" ca="1" si="21"/>
        <v>0.22956686879893942</v>
      </c>
      <c r="K63" s="2">
        <f t="shared" ca="1" si="21"/>
        <v>0.29870749397147134</v>
      </c>
      <c r="L63" s="2">
        <f t="shared" ca="1" si="21"/>
        <v>0.23755816467824056</v>
      </c>
      <c r="M63" s="2">
        <f t="shared" ca="1" si="21"/>
        <v>0.2144221296766638</v>
      </c>
      <c r="N63" s="2">
        <f t="shared" ca="1" si="21"/>
        <v>0.20718292726869508</v>
      </c>
      <c r="O63" s="2">
        <f t="shared" ca="1" si="21"/>
        <v>0.25852588975229329</v>
      </c>
      <c r="P63" s="2">
        <f t="shared" ca="1" si="21"/>
        <v>0.26730203317966705</v>
      </c>
      <c r="Q63" s="2">
        <f t="shared" ca="1" si="21"/>
        <v>0.23909413891488801</v>
      </c>
      <c r="R63" s="2">
        <f t="shared" ca="1" si="21"/>
        <v>0.2135353841814952</v>
      </c>
      <c r="S63" s="2">
        <f t="shared" ca="1" si="22"/>
        <v>0.23392073097644317</v>
      </c>
      <c r="T63" s="2">
        <f t="shared" ca="1" si="22"/>
        <v>0.22114700523344508</v>
      </c>
      <c r="U63" s="2">
        <f t="shared" ca="1" si="22"/>
        <v>0.24330524034500875</v>
      </c>
      <c r="V63" s="2">
        <f t="shared" ca="1" si="22"/>
        <v>0.23885504446093581</v>
      </c>
      <c r="W63" s="2">
        <f t="shared" ca="1" si="22"/>
        <v>0.25833074170894971</v>
      </c>
      <c r="X63" s="2">
        <f t="shared" ca="1" si="22"/>
        <v>0.22124898061788845</v>
      </c>
      <c r="Y63" s="2">
        <f t="shared" ca="1" si="22"/>
        <v>0.26723829026730112</v>
      </c>
      <c r="Z63" s="2">
        <f t="shared" ca="1" si="20"/>
        <v>0.2500976323573465</v>
      </c>
      <c r="AA63" s="2">
        <f t="shared" ca="1" si="20"/>
        <v>0.25875813509333329</v>
      </c>
      <c r="AB63" s="2">
        <f t="shared" ca="1" si="20"/>
        <v>0.246335725229994</v>
      </c>
      <c r="AC63" s="2">
        <f t="shared" ca="1" si="20"/>
        <v>0.20318109696295564</v>
      </c>
      <c r="AD63" s="2">
        <f t="shared" ca="1" si="20"/>
        <v>0.20918003487615783</v>
      </c>
      <c r="AE63" s="2">
        <f t="shared" ca="1" si="20"/>
        <v>0.26930291469013462</v>
      </c>
      <c r="AF63" s="2">
        <f t="shared" ca="1" si="20"/>
        <v>0.23695689017111976</v>
      </c>
      <c r="AG63" s="2">
        <f t="shared" ca="1" si="20"/>
        <v>0.2573759147292165</v>
      </c>
      <c r="AH63" s="2">
        <f t="shared" ca="1" si="20"/>
        <v>0.25505273193780531</v>
      </c>
    </row>
    <row r="64" spans="1:34">
      <c r="A64" t="str">
        <f t="shared" si="18"/>
        <v>Coffee</v>
      </c>
      <c r="B64" t="str">
        <f t="shared" si="8"/>
        <v>Harari</v>
      </c>
      <c r="C64" s="2">
        <f t="shared" ca="1" si="21"/>
        <v>0.21082151920418885</v>
      </c>
      <c r="D64" s="2">
        <f t="shared" ca="1" si="21"/>
        <v>0.28923770954358213</v>
      </c>
      <c r="E64" s="2">
        <f t="shared" ca="1" si="21"/>
        <v>0.29209022784802885</v>
      </c>
      <c r="F64" s="2">
        <f t="shared" ca="1" si="21"/>
        <v>0.26751245622961628</v>
      </c>
      <c r="G64" s="2">
        <f t="shared" ca="1" si="21"/>
        <v>0.25019604648874399</v>
      </c>
      <c r="H64" s="2">
        <f t="shared" ca="1" si="21"/>
        <v>0.2364558906894203</v>
      </c>
      <c r="I64" s="2">
        <f t="shared" ca="1" si="21"/>
        <v>0.26446504583190827</v>
      </c>
      <c r="J64" s="2">
        <f t="shared" ca="1" si="21"/>
        <v>0.28712443245733305</v>
      </c>
      <c r="K64" s="2">
        <f t="shared" ca="1" si="21"/>
        <v>0.26243153590478618</v>
      </c>
      <c r="L64" s="2">
        <f t="shared" ca="1" si="21"/>
        <v>0.20293096545465847</v>
      </c>
      <c r="M64" s="2">
        <f t="shared" ca="1" si="21"/>
        <v>0.28645924866230926</v>
      </c>
      <c r="N64" s="2">
        <f t="shared" ca="1" si="21"/>
        <v>0.28330857709689017</v>
      </c>
      <c r="O64" s="2">
        <f t="shared" ca="1" si="21"/>
        <v>0.22850664450234814</v>
      </c>
      <c r="P64" s="2">
        <f t="shared" ca="1" si="21"/>
        <v>0.21116865601576057</v>
      </c>
      <c r="Q64" s="2">
        <f t="shared" ca="1" si="21"/>
        <v>0.27351535258867637</v>
      </c>
      <c r="R64" s="2">
        <f t="shared" ca="1" si="21"/>
        <v>0.26156842433543609</v>
      </c>
      <c r="S64" s="2">
        <f t="shared" ca="1" si="22"/>
        <v>0.2253971701559081</v>
      </c>
      <c r="T64" s="2">
        <f t="shared" ca="1" si="22"/>
        <v>0.23013118304006921</v>
      </c>
      <c r="U64" s="2">
        <f t="shared" ca="1" si="22"/>
        <v>0.29101857847182133</v>
      </c>
      <c r="V64" s="2">
        <f t="shared" ca="1" si="22"/>
        <v>0.29460629926061116</v>
      </c>
      <c r="W64" s="2">
        <f t="shared" ca="1" si="22"/>
        <v>0.27530156049326343</v>
      </c>
      <c r="X64" s="2">
        <f t="shared" ca="1" si="22"/>
        <v>0.20327390452379265</v>
      </c>
      <c r="Y64" s="2">
        <f t="shared" ca="1" si="22"/>
        <v>0.21759603688702603</v>
      </c>
      <c r="Z64" s="2">
        <f t="shared" ca="1" si="20"/>
        <v>0.26632440494567411</v>
      </c>
      <c r="AA64" s="2">
        <f t="shared" ca="1" si="20"/>
        <v>0.29475719466206851</v>
      </c>
      <c r="AB64" s="2">
        <f t="shared" ca="1" si="20"/>
        <v>0.24477722685840883</v>
      </c>
      <c r="AC64" s="2">
        <f t="shared" ca="1" si="20"/>
        <v>0.22961726518748646</v>
      </c>
      <c r="AD64" s="2">
        <f t="shared" ca="1" si="20"/>
        <v>0.23060966286280973</v>
      </c>
      <c r="AE64" s="2">
        <f t="shared" ca="1" si="20"/>
        <v>0.22460601646984368</v>
      </c>
      <c r="AF64" s="2">
        <f t="shared" ca="1" si="20"/>
        <v>0.26680526197318072</v>
      </c>
      <c r="AG64" s="2">
        <f t="shared" ca="1" si="20"/>
        <v>0.21735401371020169</v>
      </c>
      <c r="AH64" s="2">
        <f t="shared" ca="1" si="20"/>
        <v>0.20067070310319077</v>
      </c>
    </row>
    <row r="65" spans="1:34">
      <c r="A65" t="str">
        <f t="shared" si="18"/>
        <v>Coffee</v>
      </c>
      <c r="B65" t="str">
        <f t="shared" si="8"/>
        <v>Oromia</v>
      </c>
      <c r="C65" s="2">
        <f t="shared" ca="1" si="21"/>
        <v>0.28674075537072558</v>
      </c>
      <c r="D65" s="2">
        <f t="shared" ca="1" si="21"/>
        <v>0.21436003693460276</v>
      </c>
      <c r="E65" s="2">
        <f t="shared" ca="1" si="21"/>
        <v>0.21106715954404648</v>
      </c>
      <c r="F65" s="2">
        <f t="shared" ca="1" si="21"/>
        <v>0.22653694061896301</v>
      </c>
      <c r="G65" s="2">
        <f t="shared" ca="1" si="21"/>
        <v>0.24745789220128983</v>
      </c>
      <c r="H65" s="2">
        <f t="shared" ca="1" si="21"/>
        <v>0.21490309279502801</v>
      </c>
      <c r="I65" s="2">
        <f t="shared" ca="1" si="21"/>
        <v>0.24220479274841106</v>
      </c>
      <c r="J65" s="2">
        <f t="shared" ca="1" si="21"/>
        <v>0.29098709587167698</v>
      </c>
      <c r="K65" s="2">
        <f t="shared" ca="1" si="21"/>
        <v>0.25435666154610237</v>
      </c>
      <c r="L65" s="2">
        <f t="shared" ca="1" si="21"/>
        <v>0.22724068109370507</v>
      </c>
      <c r="M65" s="2">
        <f t="shared" ca="1" si="21"/>
        <v>0.29904887017099907</v>
      </c>
      <c r="N65" s="2">
        <f t="shared" ca="1" si="21"/>
        <v>0.21441526059348637</v>
      </c>
      <c r="O65" s="2">
        <f t="shared" ca="1" si="21"/>
        <v>0.29284637457460216</v>
      </c>
      <c r="P65" s="2">
        <f t="shared" ca="1" si="21"/>
        <v>0.28344293405736903</v>
      </c>
      <c r="Q65" s="2">
        <f t="shared" ca="1" si="21"/>
        <v>0.22415298500482553</v>
      </c>
      <c r="R65" s="2">
        <f t="shared" ca="1" si="21"/>
        <v>0.24107998470249889</v>
      </c>
      <c r="S65" s="2">
        <f t="shared" ca="1" si="22"/>
        <v>0.21431202967959292</v>
      </c>
      <c r="T65" s="2">
        <f t="shared" ca="1" si="22"/>
        <v>0.29245484204401251</v>
      </c>
      <c r="U65" s="2">
        <f t="shared" ca="1" si="22"/>
        <v>0.2117605632514778</v>
      </c>
      <c r="V65" s="2">
        <f t="shared" ca="1" si="22"/>
        <v>0.28782351950144941</v>
      </c>
      <c r="W65" s="2">
        <f t="shared" ca="1" si="22"/>
        <v>0.23588627904146292</v>
      </c>
      <c r="X65" s="2">
        <f t="shared" ca="1" si="22"/>
        <v>0.22170758804738802</v>
      </c>
      <c r="Y65" s="2">
        <f t="shared" ca="1" si="22"/>
        <v>0.20850133320518638</v>
      </c>
      <c r="Z65" s="2">
        <f t="shared" ca="1" si="20"/>
        <v>0.28947436675942845</v>
      </c>
      <c r="AA65" s="2">
        <f t="shared" ca="1" si="20"/>
        <v>0.23422206619413277</v>
      </c>
      <c r="AB65" s="2">
        <f t="shared" ca="1" si="20"/>
        <v>0.25203070629144786</v>
      </c>
      <c r="AC65" s="2">
        <f t="shared" ca="1" si="20"/>
        <v>0.2557530434854558</v>
      </c>
      <c r="AD65" s="2">
        <f t="shared" ca="1" si="20"/>
        <v>0.27606770580798828</v>
      </c>
      <c r="AE65" s="2">
        <f t="shared" ca="1" si="20"/>
        <v>0.26157311306786529</v>
      </c>
      <c r="AF65" s="2">
        <f t="shared" ca="1" si="20"/>
        <v>0.27666532795939175</v>
      </c>
      <c r="AG65" s="2">
        <f t="shared" ca="1" si="20"/>
        <v>0.2762024470804445</v>
      </c>
      <c r="AH65" s="2">
        <f t="shared" ca="1" si="20"/>
        <v>0.21517394127574557</v>
      </c>
    </row>
    <row r="66" spans="1:34">
      <c r="A66" t="str">
        <f t="shared" si="18"/>
        <v>Coffee</v>
      </c>
      <c r="B66" t="str">
        <f t="shared" si="8"/>
        <v>Somali</v>
      </c>
      <c r="C66" s="2">
        <f t="shared" ca="1" si="21"/>
        <v>0.22737483773732567</v>
      </c>
      <c r="D66" s="2">
        <f t="shared" ca="1" si="21"/>
        <v>0.21107489147750103</v>
      </c>
      <c r="E66" s="2">
        <f t="shared" ca="1" si="21"/>
        <v>0.23163992092300931</v>
      </c>
      <c r="F66" s="2">
        <f t="shared" ca="1" si="21"/>
        <v>0.28584765829204345</v>
      </c>
      <c r="G66" s="2">
        <f t="shared" ca="1" si="21"/>
        <v>0.2919605072505489</v>
      </c>
      <c r="H66" s="2">
        <f t="shared" ca="1" si="21"/>
        <v>0.25740467370764031</v>
      </c>
      <c r="I66" s="2">
        <f t="shared" ca="1" si="21"/>
        <v>0.25514352691650805</v>
      </c>
      <c r="J66" s="2">
        <f t="shared" ca="1" si="21"/>
        <v>0.20592441814461671</v>
      </c>
      <c r="K66" s="2">
        <f t="shared" ca="1" si="21"/>
        <v>0.27352721686855053</v>
      </c>
      <c r="L66" s="2">
        <f t="shared" ca="1" si="21"/>
        <v>0.20597524118704894</v>
      </c>
      <c r="M66" s="2">
        <f t="shared" ca="1" si="21"/>
        <v>0.28481943843004454</v>
      </c>
      <c r="N66" s="2">
        <f t="shared" ca="1" si="21"/>
        <v>0.26326381606321536</v>
      </c>
      <c r="O66" s="2">
        <f t="shared" ca="1" si="21"/>
        <v>0.26782373572226403</v>
      </c>
      <c r="P66" s="2">
        <f t="shared" ca="1" si="21"/>
        <v>0.23152122826948984</v>
      </c>
      <c r="Q66" s="2">
        <f t="shared" ca="1" si="21"/>
        <v>0.21656392602554858</v>
      </c>
      <c r="R66" s="2">
        <f t="shared" ca="1" si="21"/>
        <v>0.21564359174489336</v>
      </c>
      <c r="S66" s="2">
        <f t="shared" ca="1" si="22"/>
        <v>0.26839991471869634</v>
      </c>
      <c r="T66" s="2">
        <f t="shared" ca="1" si="22"/>
        <v>0.26060747987807636</v>
      </c>
      <c r="U66" s="2">
        <f t="shared" ca="1" si="22"/>
        <v>0.244464666420696</v>
      </c>
      <c r="V66" s="2">
        <f t="shared" ca="1" si="22"/>
        <v>0.26028935986478435</v>
      </c>
      <c r="W66" s="2">
        <f t="shared" ca="1" si="22"/>
        <v>0.22543539755135489</v>
      </c>
      <c r="X66" s="2">
        <f t="shared" ca="1" si="22"/>
        <v>0.26414773141133951</v>
      </c>
      <c r="Y66" s="2">
        <f t="shared" ca="1" si="22"/>
        <v>0.29036107563909463</v>
      </c>
      <c r="Z66" s="2">
        <f t="shared" ca="1" si="20"/>
        <v>0.22303635288813872</v>
      </c>
      <c r="AA66" s="2">
        <f t="shared" ca="1" si="20"/>
        <v>0.24864214266063439</v>
      </c>
      <c r="AB66" s="2">
        <f t="shared" ca="1" si="20"/>
        <v>0.23422610074518729</v>
      </c>
      <c r="AC66" s="2">
        <f t="shared" ca="1" si="20"/>
        <v>0.25747246132291185</v>
      </c>
      <c r="AD66" s="2">
        <f t="shared" ca="1" si="20"/>
        <v>0.22152991865477006</v>
      </c>
      <c r="AE66" s="2">
        <f t="shared" ca="1" si="20"/>
        <v>0.21922429827550965</v>
      </c>
      <c r="AF66" s="2">
        <f t="shared" ca="1" si="20"/>
        <v>0.27435969664018717</v>
      </c>
      <c r="AG66" s="2">
        <f t="shared" ca="1" si="20"/>
        <v>0.21161168620751108</v>
      </c>
      <c r="AH66" s="2">
        <f t="shared" ca="1" si="20"/>
        <v>0.24025931445579002</v>
      </c>
    </row>
    <row r="67" spans="1:34">
      <c r="A67" t="str">
        <f t="shared" si="18"/>
        <v>Coffee</v>
      </c>
      <c r="B67" t="str">
        <f t="shared" si="8"/>
        <v>SNNPR</v>
      </c>
      <c r="C67" s="2">
        <f t="shared" ca="1" si="21"/>
        <v>0.27255421719568251</v>
      </c>
      <c r="D67" s="2">
        <f t="shared" ca="1" si="21"/>
        <v>0.20052569070555998</v>
      </c>
      <c r="E67" s="2">
        <f t="shared" ca="1" si="21"/>
        <v>0.25055488996810982</v>
      </c>
      <c r="F67" s="2">
        <f t="shared" ca="1" si="21"/>
        <v>0.2916680818368611</v>
      </c>
      <c r="G67" s="2">
        <f t="shared" ca="1" si="21"/>
        <v>0.25843280710762445</v>
      </c>
      <c r="H67" s="2">
        <f t="shared" ca="1" si="21"/>
        <v>0.23184998102245197</v>
      </c>
      <c r="I67" s="2">
        <f t="shared" ca="1" si="21"/>
        <v>0.23001846281881452</v>
      </c>
      <c r="J67" s="2">
        <f t="shared" ca="1" si="21"/>
        <v>0.22939066014418619</v>
      </c>
      <c r="K67" s="2">
        <f t="shared" ca="1" si="21"/>
        <v>0.29113506619176577</v>
      </c>
      <c r="L67" s="2">
        <f t="shared" ca="1" si="21"/>
        <v>0.29858590705187232</v>
      </c>
      <c r="M67" s="2">
        <f t="shared" ca="1" si="21"/>
        <v>0.25500589123555761</v>
      </c>
      <c r="N67" s="2">
        <f t="shared" ca="1" si="21"/>
        <v>0.28828167705642077</v>
      </c>
      <c r="O67" s="2">
        <f t="shared" ca="1" si="21"/>
        <v>0.27042921666178382</v>
      </c>
      <c r="P67" s="2">
        <f t="shared" ca="1" si="21"/>
        <v>0.23434687490798262</v>
      </c>
      <c r="Q67" s="2">
        <f t="shared" ca="1" si="21"/>
        <v>0.23803614309461041</v>
      </c>
      <c r="R67" s="2">
        <f t="shared" ca="1" si="21"/>
        <v>0.27004108732152693</v>
      </c>
      <c r="S67" s="2">
        <f t="shared" ca="1" si="22"/>
        <v>0.2269109569863941</v>
      </c>
      <c r="T67" s="2">
        <f t="shared" ca="1" si="22"/>
        <v>0.20666950601698342</v>
      </c>
      <c r="U67" s="2">
        <f t="shared" ca="1" si="22"/>
        <v>0.2478973345619358</v>
      </c>
      <c r="V67" s="2">
        <f t="shared" ca="1" si="22"/>
        <v>0.2881187701714053</v>
      </c>
      <c r="W67" s="2">
        <f t="shared" ca="1" si="22"/>
        <v>0.25901634184485461</v>
      </c>
      <c r="X67" s="2">
        <f t="shared" ca="1" si="22"/>
        <v>0.26979386543099182</v>
      </c>
      <c r="Y67" s="2">
        <f t="shared" ca="1" si="22"/>
        <v>0.20316079932496542</v>
      </c>
      <c r="Z67" s="2">
        <f t="shared" ca="1" si="20"/>
        <v>0.23688240047892797</v>
      </c>
      <c r="AA67" s="2">
        <f t="shared" ca="1" si="20"/>
        <v>0.20261234242346712</v>
      </c>
      <c r="AB67" s="2">
        <f t="shared" ca="1" si="20"/>
        <v>0.20610432926622402</v>
      </c>
      <c r="AC67" s="2">
        <f t="shared" ca="1" si="20"/>
        <v>0.28609306723178107</v>
      </c>
      <c r="AD67" s="2">
        <f t="shared" ca="1" si="20"/>
        <v>0.27437045495046947</v>
      </c>
      <c r="AE67" s="2">
        <f t="shared" ca="1" si="20"/>
        <v>0.23271783352368622</v>
      </c>
      <c r="AF67" s="2">
        <f t="shared" ca="1" si="20"/>
        <v>0.24012839045320375</v>
      </c>
      <c r="AG67" s="2">
        <f t="shared" ca="1" si="20"/>
        <v>0.21646917977150865</v>
      </c>
      <c r="AH67" s="2">
        <f t="shared" ca="1" si="20"/>
        <v>0.26999168285111275</v>
      </c>
    </row>
    <row r="68" spans="1:34">
      <c r="A68" t="str">
        <f t="shared" si="18"/>
        <v>Coffee</v>
      </c>
      <c r="B68" t="str">
        <f t="shared" si="8"/>
        <v>Tigray</v>
      </c>
      <c r="C68" s="2">
        <f t="shared" ca="1" si="21"/>
        <v>0.23947032104900901</v>
      </c>
      <c r="D68" s="2">
        <f t="shared" ca="1" si="21"/>
        <v>0.29210577459309017</v>
      </c>
      <c r="E68" s="2">
        <f t="shared" ca="1" si="21"/>
        <v>0.23048345046236032</v>
      </c>
      <c r="F68" s="2">
        <f t="shared" ca="1" si="21"/>
        <v>0.29166108107517774</v>
      </c>
      <c r="G68" s="2">
        <f t="shared" ca="1" si="21"/>
        <v>0.26895333278517164</v>
      </c>
      <c r="H68" s="2">
        <f t="shared" ca="1" si="21"/>
        <v>0.29952875503868637</v>
      </c>
      <c r="I68" s="2">
        <f t="shared" ca="1" si="21"/>
        <v>0.24189859540019223</v>
      </c>
      <c r="J68" s="2">
        <f t="shared" ca="1" si="21"/>
        <v>0.28041793280926319</v>
      </c>
      <c r="K68" s="2">
        <f t="shared" ca="1" si="21"/>
        <v>0.23284545360010497</v>
      </c>
      <c r="L68" s="2">
        <f t="shared" ca="1" si="21"/>
        <v>0.23180062063205156</v>
      </c>
      <c r="M68" s="2">
        <f t="shared" ca="1" si="21"/>
        <v>0.2599118974795781</v>
      </c>
      <c r="N68" s="2">
        <f t="shared" ca="1" si="21"/>
        <v>0.26215897715512515</v>
      </c>
      <c r="O68" s="2">
        <f t="shared" ca="1" si="21"/>
        <v>0.28280352738974796</v>
      </c>
      <c r="P68" s="2">
        <f t="shared" ca="1" si="21"/>
        <v>0.20782144750682716</v>
      </c>
      <c r="Q68" s="2">
        <f t="shared" ca="1" si="21"/>
        <v>0.23039947884510908</v>
      </c>
      <c r="R68" s="2">
        <f t="shared" ref="R68:AH68" ca="1" si="23">RAND()*0.1+0.2</f>
        <v>0.21841206569098687</v>
      </c>
      <c r="S68" s="2">
        <f t="shared" ca="1" si="23"/>
        <v>0.20342716900893879</v>
      </c>
      <c r="T68" s="2">
        <f t="shared" ca="1" si="23"/>
        <v>0.2049511273485301</v>
      </c>
      <c r="U68" s="2">
        <f t="shared" ca="1" si="23"/>
        <v>0.23525600057077806</v>
      </c>
      <c r="V68" s="2">
        <f t="shared" ca="1" si="23"/>
        <v>0.29164854901537751</v>
      </c>
      <c r="W68" s="2">
        <f t="shared" ca="1" si="23"/>
        <v>0.21551357786049113</v>
      </c>
      <c r="X68" s="2">
        <f t="shared" ca="1" si="23"/>
        <v>0.28770673265638902</v>
      </c>
      <c r="Y68" s="2">
        <f t="shared" ca="1" si="23"/>
        <v>0.294646126849751</v>
      </c>
      <c r="Z68" s="2">
        <f t="shared" ca="1" si="23"/>
        <v>0.22206167651529318</v>
      </c>
      <c r="AA68" s="2">
        <f t="shared" ca="1" si="23"/>
        <v>0.25246653255323515</v>
      </c>
      <c r="AB68" s="2">
        <f t="shared" ca="1" si="23"/>
        <v>0.27766748797918051</v>
      </c>
      <c r="AC68" s="2">
        <f t="shared" ca="1" si="23"/>
        <v>0.23420598153687736</v>
      </c>
      <c r="AD68" s="2">
        <f t="shared" ca="1" si="23"/>
        <v>0.25522533909845707</v>
      </c>
      <c r="AE68" s="2">
        <f t="shared" ca="1" si="23"/>
        <v>0.20674021871709583</v>
      </c>
      <c r="AF68" s="2">
        <f t="shared" ca="1" si="23"/>
        <v>0.23735785674676541</v>
      </c>
      <c r="AG68" s="2">
        <f t="shared" ca="1" si="23"/>
        <v>0.20941415305891758</v>
      </c>
      <c r="AH68" s="2">
        <f t="shared" ca="1" si="23"/>
        <v>0.23536731751362586</v>
      </c>
    </row>
  </sheetData>
  <pageMargins left="0.75" right="0.75" top="1" bottom="1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H68"/>
  <sheetViews>
    <sheetView topLeftCell="B2" zoomScale="85" zoomScaleNormal="85" workbookViewId="0">
      <selection activeCell="B2" sqref="B2"/>
    </sheetView>
  </sheetViews>
  <sheetFormatPr defaultColWidth="8.875" defaultRowHeight="15.75"/>
  <cols>
    <col min="1" max="1" width="10.125" bestFit="1" customWidth="1"/>
    <col min="2" max="2" width="10.625" bestFit="1" customWidth="1"/>
  </cols>
  <sheetData>
    <row r="1" spans="1:34">
      <c r="C1">
        <v>2015</v>
      </c>
      <c r="D1">
        <v>2015</v>
      </c>
      <c r="E1">
        <f>C1+1</f>
        <v>2016</v>
      </c>
      <c r="F1">
        <f t="shared" ref="F1:AH1" si="0">D1+1</f>
        <v>2016</v>
      </c>
      <c r="G1">
        <f t="shared" si="0"/>
        <v>2017</v>
      </c>
      <c r="H1">
        <f t="shared" si="0"/>
        <v>2017</v>
      </c>
      <c r="I1">
        <f t="shared" si="0"/>
        <v>2018</v>
      </c>
      <c r="J1">
        <f t="shared" si="0"/>
        <v>2018</v>
      </c>
      <c r="K1">
        <f t="shared" si="0"/>
        <v>2019</v>
      </c>
      <c r="L1">
        <f t="shared" si="0"/>
        <v>2019</v>
      </c>
      <c r="M1">
        <f t="shared" si="0"/>
        <v>2020</v>
      </c>
      <c r="N1">
        <f t="shared" si="0"/>
        <v>2020</v>
      </c>
      <c r="O1">
        <f t="shared" si="0"/>
        <v>2021</v>
      </c>
      <c r="P1">
        <f t="shared" si="0"/>
        <v>2021</v>
      </c>
      <c r="Q1">
        <f t="shared" si="0"/>
        <v>2022</v>
      </c>
      <c r="R1">
        <f t="shared" si="0"/>
        <v>2022</v>
      </c>
      <c r="S1">
        <f t="shared" si="0"/>
        <v>2023</v>
      </c>
      <c r="T1">
        <f t="shared" si="0"/>
        <v>2023</v>
      </c>
      <c r="U1">
        <f t="shared" si="0"/>
        <v>2024</v>
      </c>
      <c r="V1">
        <f t="shared" si="0"/>
        <v>2024</v>
      </c>
      <c r="W1">
        <f t="shared" si="0"/>
        <v>2025</v>
      </c>
      <c r="X1">
        <f t="shared" si="0"/>
        <v>2025</v>
      </c>
      <c r="Y1">
        <f t="shared" si="0"/>
        <v>2026</v>
      </c>
      <c r="Z1">
        <f t="shared" si="0"/>
        <v>2026</v>
      </c>
      <c r="AA1">
        <f t="shared" si="0"/>
        <v>2027</v>
      </c>
      <c r="AB1">
        <f t="shared" si="0"/>
        <v>2027</v>
      </c>
      <c r="AC1">
        <f t="shared" si="0"/>
        <v>2028</v>
      </c>
      <c r="AD1">
        <f t="shared" si="0"/>
        <v>2028</v>
      </c>
      <c r="AE1">
        <f t="shared" si="0"/>
        <v>2029</v>
      </c>
      <c r="AF1">
        <f t="shared" si="0"/>
        <v>2029</v>
      </c>
      <c r="AG1">
        <f t="shared" si="0"/>
        <v>2030</v>
      </c>
      <c r="AH1">
        <f t="shared" si="0"/>
        <v>2030</v>
      </c>
    </row>
    <row r="2" spans="1:34">
      <c r="C2" t="str">
        <f t="array" ref="C2:D2">TRANSPOSE(Seasons)</f>
        <v>Belg</v>
      </c>
      <c r="D2" t="str">
        <v>Kremt</v>
      </c>
      <c r="E2" t="str">
        <f>C2</f>
        <v>Belg</v>
      </c>
      <c r="F2" t="str">
        <f t="shared" ref="F2:AH2" si="1">D2</f>
        <v>Kremt</v>
      </c>
      <c r="G2" t="str">
        <f t="shared" si="1"/>
        <v>Belg</v>
      </c>
      <c r="H2" t="str">
        <f t="shared" si="1"/>
        <v>Kremt</v>
      </c>
      <c r="I2" t="str">
        <f t="shared" si="1"/>
        <v>Belg</v>
      </c>
      <c r="J2" t="str">
        <f t="shared" si="1"/>
        <v>Kremt</v>
      </c>
      <c r="K2" t="str">
        <f t="shared" si="1"/>
        <v>Belg</v>
      </c>
      <c r="L2" t="str">
        <f t="shared" si="1"/>
        <v>Kremt</v>
      </c>
      <c r="M2" t="str">
        <f t="shared" si="1"/>
        <v>Belg</v>
      </c>
      <c r="N2" t="str">
        <f t="shared" si="1"/>
        <v>Kremt</v>
      </c>
      <c r="O2" t="str">
        <f t="shared" si="1"/>
        <v>Belg</v>
      </c>
      <c r="P2" t="str">
        <f t="shared" si="1"/>
        <v>Kremt</v>
      </c>
      <c r="Q2" t="str">
        <f t="shared" si="1"/>
        <v>Belg</v>
      </c>
      <c r="R2" t="str">
        <f t="shared" si="1"/>
        <v>Kremt</v>
      </c>
      <c r="S2" t="str">
        <f t="shared" si="1"/>
        <v>Belg</v>
      </c>
      <c r="T2" t="str">
        <f t="shared" si="1"/>
        <v>Kremt</v>
      </c>
      <c r="U2" t="str">
        <f t="shared" si="1"/>
        <v>Belg</v>
      </c>
      <c r="V2" t="str">
        <f t="shared" si="1"/>
        <v>Kremt</v>
      </c>
      <c r="W2" t="str">
        <f t="shared" si="1"/>
        <v>Belg</v>
      </c>
      <c r="X2" t="str">
        <f t="shared" si="1"/>
        <v>Kremt</v>
      </c>
      <c r="Y2" t="str">
        <f t="shared" si="1"/>
        <v>Belg</v>
      </c>
      <c r="Z2" t="str">
        <f t="shared" si="1"/>
        <v>Kremt</v>
      </c>
      <c r="AA2" t="str">
        <f t="shared" si="1"/>
        <v>Belg</v>
      </c>
      <c r="AB2" t="str">
        <f t="shared" si="1"/>
        <v>Kremt</v>
      </c>
      <c r="AC2" t="str">
        <f t="shared" si="1"/>
        <v>Belg</v>
      </c>
      <c r="AD2" t="str">
        <f t="shared" si="1"/>
        <v>Kremt</v>
      </c>
      <c r="AE2" t="str">
        <f t="shared" si="1"/>
        <v>Belg</v>
      </c>
      <c r="AF2" t="str">
        <f t="shared" si="1"/>
        <v>Kremt</v>
      </c>
      <c r="AG2" t="str">
        <f t="shared" si="1"/>
        <v>Belg</v>
      </c>
      <c r="AH2" t="str">
        <f t="shared" si="1"/>
        <v>Kremt</v>
      </c>
    </row>
    <row r="3" spans="1:34">
      <c r="A3" t="str">
        <f>sets!$H$3</f>
        <v>Teff</v>
      </c>
      <c r="B3" t="str">
        <f t="array" ref="B3:B13">Nodes</f>
        <v>AddisAbaba</v>
      </c>
      <c r="C3" s="2">
        <f ca="1">(RAND()*0.1+0.2)*100</f>
        <v>25.14382768964165</v>
      </c>
      <c r="D3" s="2">
        <f t="shared" ref="D3:AH11" ca="1" si="2">(RAND()*0.1+0.2)*100</f>
        <v>22.438711671485816</v>
      </c>
      <c r="E3" s="2">
        <f t="shared" ca="1" si="2"/>
        <v>27.765732714121604</v>
      </c>
      <c r="F3" s="2">
        <f t="shared" ca="1" si="2"/>
        <v>21.207154642010451</v>
      </c>
      <c r="G3" s="2">
        <f t="shared" ca="1" si="2"/>
        <v>25.604331932848851</v>
      </c>
      <c r="H3" s="2">
        <f t="shared" ca="1" si="2"/>
        <v>22.924523561210105</v>
      </c>
      <c r="I3" s="2">
        <f t="shared" ca="1" si="2"/>
        <v>25.804825912210916</v>
      </c>
      <c r="J3" s="2">
        <f t="shared" ca="1" si="2"/>
        <v>25.707142437860103</v>
      </c>
      <c r="K3" s="2">
        <f t="shared" ca="1" si="2"/>
        <v>20.721156199531109</v>
      </c>
      <c r="L3" s="2">
        <f t="shared" ca="1" si="2"/>
        <v>22.073488784140118</v>
      </c>
      <c r="M3" s="2">
        <f t="shared" ca="1" si="2"/>
        <v>28.876389738583274</v>
      </c>
      <c r="N3" s="2">
        <f t="shared" ca="1" si="2"/>
        <v>23.135744433215169</v>
      </c>
      <c r="O3" s="2">
        <f t="shared" ca="1" si="2"/>
        <v>21.862657553507365</v>
      </c>
      <c r="P3" s="2">
        <f t="shared" ca="1" si="2"/>
        <v>22.206542509318606</v>
      </c>
      <c r="Q3" s="2">
        <f t="shared" ca="1" si="2"/>
        <v>24.861324272360434</v>
      </c>
      <c r="R3" s="2">
        <f t="shared" ca="1" si="2"/>
        <v>25.027782321652914</v>
      </c>
      <c r="S3" s="2">
        <f t="shared" ca="1" si="2"/>
        <v>26.952530169016647</v>
      </c>
      <c r="T3" s="2">
        <f t="shared" ca="1" si="2"/>
        <v>24.21723261384459</v>
      </c>
      <c r="U3" s="2">
        <f t="shared" ca="1" si="2"/>
        <v>27.054278694286886</v>
      </c>
      <c r="V3" s="2">
        <f t="shared" ca="1" si="2"/>
        <v>23.073124485628199</v>
      </c>
      <c r="W3" s="2">
        <f t="shared" ca="1" si="2"/>
        <v>29.57895061398299</v>
      </c>
      <c r="X3" s="2">
        <f t="shared" ca="1" si="2"/>
        <v>22.079942677197963</v>
      </c>
      <c r="Y3" s="2">
        <f t="shared" ca="1" si="2"/>
        <v>28.812463117665153</v>
      </c>
      <c r="Z3" s="2">
        <f t="shared" ca="1" si="2"/>
        <v>27.056728012063907</v>
      </c>
      <c r="AA3" s="2">
        <f t="shared" ca="1" si="2"/>
        <v>25.391731953827911</v>
      </c>
      <c r="AB3" s="2">
        <f t="shared" ca="1" si="2"/>
        <v>21.066781047533912</v>
      </c>
      <c r="AC3" s="2">
        <f t="shared" ca="1" si="2"/>
        <v>23.614443055456661</v>
      </c>
      <c r="AD3" s="2">
        <f t="shared" ca="1" si="2"/>
        <v>28.745875792534324</v>
      </c>
      <c r="AE3" s="2">
        <f t="shared" ca="1" si="2"/>
        <v>24.135765438159183</v>
      </c>
      <c r="AF3" s="2">
        <f t="shared" ca="1" si="2"/>
        <v>29.920078035370434</v>
      </c>
      <c r="AG3" s="2">
        <f t="shared" ca="1" si="2"/>
        <v>29.258234283700013</v>
      </c>
      <c r="AH3" s="2">
        <f t="shared" ca="1" si="2"/>
        <v>25.415793220304266</v>
      </c>
    </row>
    <row r="4" spans="1:34">
      <c r="A4" t="str">
        <f>sets!$H$3</f>
        <v>Teff</v>
      </c>
      <c r="B4" t="str">
        <v>Afar</v>
      </c>
      <c r="C4" s="2">
        <f t="shared" ref="C4:R35" ca="1" si="3">(RAND()*0.1+0.2)*100</f>
        <v>28.215495269902558</v>
      </c>
      <c r="D4" s="2">
        <f t="shared" ca="1" si="2"/>
        <v>29.233935632496511</v>
      </c>
      <c r="E4" s="2">
        <f t="shared" ca="1" si="2"/>
        <v>24.230436458333322</v>
      </c>
      <c r="F4" s="2">
        <f t="shared" ca="1" si="2"/>
        <v>23.907822480846644</v>
      </c>
      <c r="G4" s="2">
        <f t="shared" ca="1" si="2"/>
        <v>22.743359244693593</v>
      </c>
      <c r="H4" s="2">
        <f t="shared" ca="1" si="2"/>
        <v>20.558230057488473</v>
      </c>
      <c r="I4" s="2">
        <f t="shared" ca="1" si="2"/>
        <v>21.146901912174254</v>
      </c>
      <c r="J4" s="2">
        <f t="shared" ca="1" si="2"/>
        <v>25.62198018912995</v>
      </c>
      <c r="K4" s="2">
        <f t="shared" ca="1" si="2"/>
        <v>27.053805270298742</v>
      </c>
      <c r="L4" s="2">
        <f t="shared" ca="1" si="2"/>
        <v>21.552592077193374</v>
      </c>
      <c r="M4" s="2">
        <f t="shared" ca="1" si="2"/>
        <v>24.089499833447942</v>
      </c>
      <c r="N4" s="2">
        <f t="shared" ca="1" si="2"/>
        <v>28.943848823843116</v>
      </c>
      <c r="O4" s="2">
        <f t="shared" ca="1" si="2"/>
        <v>22.023930144848912</v>
      </c>
      <c r="P4" s="2">
        <f t="shared" ca="1" si="2"/>
        <v>26.808999937434752</v>
      </c>
      <c r="Q4" s="2">
        <f t="shared" ca="1" si="2"/>
        <v>23.870546670248803</v>
      </c>
      <c r="R4" s="2">
        <f t="shared" ca="1" si="2"/>
        <v>23.541208577486607</v>
      </c>
      <c r="S4" s="2">
        <f t="shared" ca="1" si="2"/>
        <v>28.529290227536126</v>
      </c>
      <c r="T4" s="2">
        <f t="shared" ca="1" si="2"/>
        <v>20.87447998256987</v>
      </c>
      <c r="U4" s="2">
        <f t="shared" ca="1" si="2"/>
        <v>25.607158771161625</v>
      </c>
      <c r="V4" s="2">
        <f t="shared" ca="1" si="2"/>
        <v>26.516147238687388</v>
      </c>
      <c r="W4" s="2">
        <f t="shared" ca="1" si="2"/>
        <v>26.819032545374121</v>
      </c>
      <c r="X4" s="2">
        <f t="shared" ca="1" si="2"/>
        <v>28.765262166646334</v>
      </c>
      <c r="Y4" s="2">
        <f t="shared" ca="1" si="2"/>
        <v>29.799013364195243</v>
      </c>
      <c r="Z4" s="2">
        <f t="shared" ca="1" si="2"/>
        <v>23.832843028713086</v>
      </c>
      <c r="AA4" s="2">
        <f t="shared" ca="1" si="2"/>
        <v>21.073509138378054</v>
      </c>
      <c r="AB4" s="2">
        <f t="shared" ca="1" si="2"/>
        <v>25.364408101241054</v>
      </c>
      <c r="AC4" s="2">
        <f t="shared" ca="1" si="2"/>
        <v>29.640286893960948</v>
      </c>
      <c r="AD4" s="2">
        <f t="shared" ca="1" si="2"/>
        <v>29.457618007462738</v>
      </c>
      <c r="AE4" s="2">
        <f t="shared" ca="1" si="2"/>
        <v>25.304234375797169</v>
      </c>
      <c r="AF4" s="2">
        <f t="shared" ca="1" si="2"/>
        <v>26.383361060738842</v>
      </c>
      <c r="AG4" s="2">
        <f t="shared" ca="1" si="2"/>
        <v>25.872339506323854</v>
      </c>
      <c r="AH4" s="2">
        <f t="shared" ca="1" si="2"/>
        <v>25.012297842809112</v>
      </c>
    </row>
    <row r="5" spans="1:34">
      <c r="A5" t="str">
        <f>sets!$H$3</f>
        <v>Teff</v>
      </c>
      <c r="B5" t="str">
        <v>Amhara</v>
      </c>
      <c r="C5" s="2">
        <f t="shared" ca="1" si="3"/>
        <v>27.149280984837816</v>
      </c>
      <c r="D5" s="2">
        <f t="shared" ca="1" si="2"/>
        <v>29.262364262345251</v>
      </c>
      <c r="E5" s="2">
        <f t="shared" ca="1" si="2"/>
        <v>21.570757746909603</v>
      </c>
      <c r="F5" s="2">
        <f t="shared" ca="1" si="2"/>
        <v>22.243119335905135</v>
      </c>
      <c r="G5" s="2">
        <f t="shared" ca="1" si="2"/>
        <v>22.257219416946615</v>
      </c>
      <c r="H5" s="2">
        <f t="shared" ca="1" si="2"/>
        <v>25.808662367780329</v>
      </c>
      <c r="I5" s="2">
        <f t="shared" ca="1" si="2"/>
        <v>29.703388187111599</v>
      </c>
      <c r="J5" s="2">
        <f t="shared" ca="1" si="2"/>
        <v>28.628853802586523</v>
      </c>
      <c r="K5" s="2">
        <f t="shared" ca="1" si="2"/>
        <v>29.771967385065274</v>
      </c>
      <c r="L5" s="2">
        <f t="shared" ca="1" si="2"/>
        <v>22.021432046190874</v>
      </c>
      <c r="M5" s="2">
        <f t="shared" ca="1" si="2"/>
        <v>25.440064627825965</v>
      </c>
      <c r="N5" s="2">
        <f t="shared" ca="1" si="2"/>
        <v>28.055040405001673</v>
      </c>
      <c r="O5" s="2">
        <f t="shared" ca="1" si="2"/>
        <v>28.400583533652256</v>
      </c>
      <c r="P5" s="2">
        <f t="shared" ca="1" si="2"/>
        <v>24.744023857914037</v>
      </c>
      <c r="Q5" s="2">
        <f t="shared" ca="1" si="2"/>
        <v>20.312649802137717</v>
      </c>
      <c r="R5" s="2">
        <f t="shared" ca="1" si="2"/>
        <v>29.697400717205515</v>
      </c>
      <c r="S5" s="2">
        <f t="shared" ca="1" si="2"/>
        <v>29.204285614140506</v>
      </c>
      <c r="T5" s="2">
        <f t="shared" ca="1" si="2"/>
        <v>29.496909913756049</v>
      </c>
      <c r="U5" s="2">
        <f t="shared" ca="1" si="2"/>
        <v>25.682283092136792</v>
      </c>
      <c r="V5" s="2">
        <f t="shared" ca="1" si="2"/>
        <v>20.008234707849581</v>
      </c>
      <c r="W5" s="2">
        <f t="shared" ca="1" si="2"/>
        <v>25.913359032668044</v>
      </c>
      <c r="X5" s="2">
        <f t="shared" ca="1" si="2"/>
        <v>22.13244452601581</v>
      </c>
      <c r="Y5" s="2">
        <f t="shared" ca="1" si="2"/>
        <v>26.882084692583131</v>
      </c>
      <c r="Z5" s="2">
        <f t="shared" ca="1" si="2"/>
        <v>28.025916550243696</v>
      </c>
      <c r="AA5" s="2">
        <f t="shared" ca="1" si="2"/>
        <v>21.72673829063654</v>
      </c>
      <c r="AB5" s="2">
        <f t="shared" ca="1" si="2"/>
        <v>22.206600179956837</v>
      </c>
      <c r="AC5" s="2">
        <f t="shared" ca="1" si="2"/>
        <v>25.23634979736044</v>
      </c>
      <c r="AD5" s="2">
        <f t="shared" ca="1" si="2"/>
        <v>22.825182365449063</v>
      </c>
      <c r="AE5" s="2">
        <f t="shared" ca="1" si="2"/>
        <v>23.767302633665103</v>
      </c>
      <c r="AF5" s="2">
        <f t="shared" ca="1" si="2"/>
        <v>26.730810796635545</v>
      </c>
      <c r="AG5" s="2">
        <f t="shared" ca="1" si="2"/>
        <v>21.675753769963482</v>
      </c>
      <c r="AH5" s="2">
        <f t="shared" ca="1" si="2"/>
        <v>23.051352659184932</v>
      </c>
    </row>
    <row r="6" spans="1:34">
      <c r="A6" t="str">
        <f>sets!$H$3</f>
        <v>Teff</v>
      </c>
      <c r="B6" t="str">
        <v>Gumuz</v>
      </c>
      <c r="C6" s="2">
        <f t="shared" ca="1" si="3"/>
        <v>21.049046360622402</v>
      </c>
      <c r="D6" s="2">
        <f t="shared" ca="1" si="2"/>
        <v>24.826198622896893</v>
      </c>
      <c r="E6" s="2">
        <f t="shared" ca="1" si="2"/>
        <v>28.425927039286574</v>
      </c>
      <c r="F6" s="2">
        <f t="shared" ca="1" si="2"/>
        <v>26.615433290439295</v>
      </c>
      <c r="G6" s="2">
        <f t="shared" ca="1" si="2"/>
        <v>24.261428590961366</v>
      </c>
      <c r="H6" s="2">
        <f t="shared" ca="1" si="2"/>
        <v>26.400250835910938</v>
      </c>
      <c r="I6" s="2">
        <f t="shared" ca="1" si="2"/>
        <v>25.730106798798474</v>
      </c>
      <c r="J6" s="2">
        <f t="shared" ca="1" si="2"/>
        <v>28.707303836833898</v>
      </c>
      <c r="K6" s="2">
        <f t="shared" ca="1" si="2"/>
        <v>22.737439574020375</v>
      </c>
      <c r="L6" s="2">
        <f t="shared" ca="1" si="2"/>
        <v>25.778701974253831</v>
      </c>
      <c r="M6" s="2">
        <f t="shared" ca="1" si="2"/>
        <v>27.402260024274906</v>
      </c>
      <c r="N6" s="2">
        <f t="shared" ca="1" si="2"/>
        <v>29.62110794089876</v>
      </c>
      <c r="O6" s="2">
        <f t="shared" ca="1" si="2"/>
        <v>24.563327443860203</v>
      </c>
      <c r="P6" s="2">
        <f t="shared" ca="1" si="2"/>
        <v>26.820635787014858</v>
      </c>
      <c r="Q6" s="2">
        <f t="shared" ca="1" si="2"/>
        <v>23.678241204636006</v>
      </c>
      <c r="R6" s="2">
        <f t="shared" ca="1" si="2"/>
        <v>21.372275865702377</v>
      </c>
      <c r="S6" s="2">
        <f t="shared" ca="1" si="2"/>
        <v>21.106017446961051</v>
      </c>
      <c r="T6" s="2">
        <f t="shared" ca="1" si="2"/>
        <v>28.086858411575292</v>
      </c>
      <c r="U6" s="2">
        <f t="shared" ca="1" si="2"/>
        <v>29.728031578453685</v>
      </c>
      <c r="V6" s="2">
        <f t="shared" ca="1" si="2"/>
        <v>28.911094860955171</v>
      </c>
      <c r="W6" s="2">
        <f t="shared" ca="1" si="2"/>
        <v>21.896905556309402</v>
      </c>
      <c r="X6" s="2">
        <f t="shared" ca="1" si="2"/>
        <v>22.077814652833911</v>
      </c>
      <c r="Y6" s="2">
        <f t="shared" ca="1" si="2"/>
        <v>20.957564877932295</v>
      </c>
      <c r="Z6" s="2">
        <f t="shared" ca="1" si="2"/>
        <v>25.715806606002566</v>
      </c>
      <c r="AA6" s="2">
        <f t="shared" ca="1" si="2"/>
        <v>22.438162298060501</v>
      </c>
      <c r="AB6" s="2">
        <f t="shared" ca="1" si="2"/>
        <v>24.21550594216993</v>
      </c>
      <c r="AC6" s="2">
        <f t="shared" ca="1" si="2"/>
        <v>29.220652355989284</v>
      </c>
      <c r="AD6" s="2">
        <f t="shared" ca="1" si="2"/>
        <v>27.215410916845251</v>
      </c>
      <c r="AE6" s="2">
        <f t="shared" ca="1" si="2"/>
        <v>24.951086663305681</v>
      </c>
      <c r="AF6" s="2">
        <f t="shared" ca="1" si="2"/>
        <v>25.623608470983751</v>
      </c>
      <c r="AG6" s="2">
        <f t="shared" ca="1" si="2"/>
        <v>28.813055211037884</v>
      </c>
      <c r="AH6" s="2">
        <f t="shared" ca="1" si="2"/>
        <v>24.438290031321628</v>
      </c>
    </row>
    <row r="7" spans="1:34">
      <c r="A7" t="str">
        <f>sets!$H$3</f>
        <v>Teff</v>
      </c>
      <c r="B7" t="str">
        <v>DireDawa</v>
      </c>
      <c r="C7" s="2">
        <f t="shared" ca="1" si="3"/>
        <v>20.657343280574132</v>
      </c>
      <c r="D7" s="2">
        <f t="shared" ca="1" si="2"/>
        <v>26.193677013372408</v>
      </c>
      <c r="E7" s="2">
        <f t="shared" ca="1" si="2"/>
        <v>28.644035533205592</v>
      </c>
      <c r="F7" s="2">
        <f t="shared" ca="1" si="2"/>
        <v>20.285689092085306</v>
      </c>
      <c r="G7" s="2">
        <f t="shared" ca="1" si="2"/>
        <v>20.191765353900326</v>
      </c>
      <c r="H7" s="2">
        <f t="shared" ca="1" si="2"/>
        <v>22.538168207834968</v>
      </c>
      <c r="I7" s="2">
        <f t="shared" ca="1" si="2"/>
        <v>20.995013269234537</v>
      </c>
      <c r="J7" s="2">
        <f t="shared" ca="1" si="2"/>
        <v>21.498081743246299</v>
      </c>
      <c r="K7" s="2">
        <f t="shared" ca="1" si="2"/>
        <v>25.814744307069919</v>
      </c>
      <c r="L7" s="2">
        <f t="shared" ca="1" si="2"/>
        <v>25.756358492702482</v>
      </c>
      <c r="M7" s="2">
        <f t="shared" ca="1" si="2"/>
        <v>27.386110615485748</v>
      </c>
      <c r="N7" s="2">
        <f t="shared" ca="1" si="2"/>
        <v>24.7256187955138</v>
      </c>
      <c r="O7" s="2">
        <f t="shared" ca="1" si="2"/>
        <v>23.381755290767096</v>
      </c>
      <c r="P7" s="2">
        <f t="shared" ca="1" si="2"/>
        <v>27.043787131015542</v>
      </c>
      <c r="Q7" s="2">
        <f t="shared" ca="1" si="2"/>
        <v>23.2275907938382</v>
      </c>
      <c r="R7" s="2">
        <f t="shared" ca="1" si="2"/>
        <v>29.024800308307675</v>
      </c>
      <c r="S7" s="2">
        <f t="shared" ca="1" si="2"/>
        <v>20.804419326500074</v>
      </c>
      <c r="T7" s="2">
        <f t="shared" ca="1" si="2"/>
        <v>22.619249795220529</v>
      </c>
      <c r="U7" s="2">
        <f t="shared" ca="1" si="2"/>
        <v>23.537207146324043</v>
      </c>
      <c r="V7" s="2">
        <f t="shared" ca="1" si="2"/>
        <v>26.106589858817319</v>
      </c>
      <c r="W7" s="2">
        <f t="shared" ca="1" si="2"/>
        <v>26.490988426925462</v>
      </c>
      <c r="X7" s="2">
        <f t="shared" ca="1" si="2"/>
        <v>21.927930309418421</v>
      </c>
      <c r="Y7" s="2">
        <f t="shared" ca="1" si="2"/>
        <v>29.273488512011507</v>
      </c>
      <c r="Z7" s="2">
        <f t="shared" ca="1" si="2"/>
        <v>27.628023619510756</v>
      </c>
      <c r="AA7" s="2">
        <f t="shared" ca="1" si="2"/>
        <v>23.165682801370302</v>
      </c>
      <c r="AB7" s="2">
        <f t="shared" ca="1" si="2"/>
        <v>20.83169836532921</v>
      </c>
      <c r="AC7" s="2">
        <f t="shared" ca="1" si="2"/>
        <v>25.179122521208274</v>
      </c>
      <c r="AD7" s="2">
        <f t="shared" ca="1" si="2"/>
        <v>21.713103066244273</v>
      </c>
      <c r="AE7" s="2">
        <f t="shared" ca="1" si="2"/>
        <v>22.996038453438999</v>
      </c>
      <c r="AF7" s="2">
        <f t="shared" ca="1" si="2"/>
        <v>22.73194529165205</v>
      </c>
      <c r="AG7" s="2">
        <f t="shared" ca="1" si="2"/>
        <v>20.348661066992939</v>
      </c>
      <c r="AH7" s="2">
        <f t="shared" ca="1" si="2"/>
        <v>26.822808369638306</v>
      </c>
    </row>
    <row r="8" spans="1:34">
      <c r="A8" t="str">
        <f>sets!$H$3</f>
        <v>Teff</v>
      </c>
      <c r="B8" t="str">
        <v>Gambela</v>
      </c>
      <c r="C8" s="2">
        <f t="shared" ca="1" si="3"/>
        <v>24.577744139016282</v>
      </c>
      <c r="D8" s="2">
        <f t="shared" ca="1" si="2"/>
        <v>29.719470437076232</v>
      </c>
      <c r="E8" s="2">
        <f t="shared" ca="1" si="2"/>
        <v>23.224557828906462</v>
      </c>
      <c r="F8" s="2">
        <f t="shared" ca="1" si="2"/>
        <v>24.561395149737251</v>
      </c>
      <c r="G8" s="2">
        <f t="shared" ca="1" si="2"/>
        <v>22.019518933088346</v>
      </c>
      <c r="H8" s="2">
        <f t="shared" ca="1" si="2"/>
        <v>22.356190705132782</v>
      </c>
      <c r="I8" s="2">
        <f t="shared" ca="1" si="2"/>
        <v>28.589603654290329</v>
      </c>
      <c r="J8" s="2">
        <f t="shared" ca="1" si="2"/>
        <v>21.005835570502164</v>
      </c>
      <c r="K8" s="2">
        <f t="shared" ca="1" si="2"/>
        <v>20.542635140786579</v>
      </c>
      <c r="L8" s="2">
        <f t="shared" ca="1" si="2"/>
        <v>24.902561912481048</v>
      </c>
      <c r="M8" s="2">
        <f t="shared" ca="1" si="2"/>
        <v>27.913639121375098</v>
      </c>
      <c r="N8" s="2">
        <f t="shared" ca="1" si="2"/>
        <v>26.777925950209092</v>
      </c>
      <c r="O8" s="2">
        <f t="shared" ca="1" si="2"/>
        <v>25.313141108408001</v>
      </c>
      <c r="P8" s="2">
        <f t="shared" ca="1" si="2"/>
        <v>25.745032837436593</v>
      </c>
      <c r="Q8" s="2">
        <f t="shared" ca="1" si="2"/>
        <v>22.291154899932415</v>
      </c>
      <c r="R8" s="2">
        <f t="shared" ca="1" si="2"/>
        <v>27.924809272018997</v>
      </c>
      <c r="S8" s="2">
        <f t="shared" ca="1" si="2"/>
        <v>28.730031253664233</v>
      </c>
      <c r="T8" s="2">
        <f t="shared" ca="1" si="2"/>
        <v>29.857234002698547</v>
      </c>
      <c r="U8" s="2">
        <f t="shared" ca="1" si="2"/>
        <v>20.485528004444987</v>
      </c>
      <c r="V8" s="2">
        <f t="shared" ca="1" si="2"/>
        <v>21.849001372749218</v>
      </c>
      <c r="W8" s="2">
        <f t="shared" ca="1" si="2"/>
        <v>20.218069034277615</v>
      </c>
      <c r="X8" s="2">
        <f t="shared" ca="1" si="2"/>
        <v>21.579291112498147</v>
      </c>
      <c r="Y8" s="2">
        <f t="shared" ca="1" si="2"/>
        <v>24.520335984395722</v>
      </c>
      <c r="Z8" s="2">
        <f t="shared" ca="1" si="2"/>
        <v>29.153099911596115</v>
      </c>
      <c r="AA8" s="2">
        <f t="shared" ca="1" si="2"/>
        <v>26.036820388125616</v>
      </c>
      <c r="AB8" s="2">
        <f t="shared" ca="1" si="2"/>
        <v>21.423768289929288</v>
      </c>
      <c r="AC8" s="2">
        <f t="shared" ca="1" si="2"/>
        <v>23.774615523271176</v>
      </c>
      <c r="AD8" s="2">
        <f t="shared" ca="1" si="2"/>
        <v>29.480473758287058</v>
      </c>
      <c r="AE8" s="2">
        <f t="shared" ca="1" si="2"/>
        <v>26.378347252505453</v>
      </c>
      <c r="AF8" s="2">
        <f t="shared" ca="1" si="2"/>
        <v>27.156925309398677</v>
      </c>
      <c r="AG8" s="2">
        <f t="shared" ca="1" si="2"/>
        <v>23.027070919765627</v>
      </c>
      <c r="AH8" s="2">
        <f t="shared" ca="1" si="2"/>
        <v>22.213335422651483</v>
      </c>
    </row>
    <row r="9" spans="1:34">
      <c r="A9" t="str">
        <f>sets!$H$3</f>
        <v>Teff</v>
      </c>
      <c r="B9" t="str">
        <v>Harari</v>
      </c>
      <c r="C9" s="2">
        <f t="shared" ca="1" si="3"/>
        <v>21.861174173544896</v>
      </c>
      <c r="D9" s="2">
        <f t="shared" ca="1" si="2"/>
        <v>25.732367518350372</v>
      </c>
      <c r="E9" s="2">
        <f t="shared" ca="1" si="2"/>
        <v>24.707834867419336</v>
      </c>
      <c r="F9" s="2">
        <f t="shared" ca="1" si="2"/>
        <v>26.990356077572653</v>
      </c>
      <c r="G9" s="2">
        <f t="shared" ca="1" si="2"/>
        <v>21.581590207297026</v>
      </c>
      <c r="H9" s="2">
        <f t="shared" ca="1" si="2"/>
        <v>25.475272237562844</v>
      </c>
      <c r="I9" s="2">
        <f t="shared" ca="1" si="2"/>
        <v>29.425834788580669</v>
      </c>
      <c r="J9" s="2">
        <f t="shared" ca="1" si="2"/>
        <v>28.595006651340508</v>
      </c>
      <c r="K9" s="2">
        <f t="shared" ca="1" si="2"/>
        <v>22.23491060748481</v>
      </c>
      <c r="L9" s="2">
        <f t="shared" ca="1" si="2"/>
        <v>22.153989534907751</v>
      </c>
      <c r="M9" s="2">
        <f t="shared" ca="1" si="2"/>
        <v>22.671436470861853</v>
      </c>
      <c r="N9" s="2">
        <f t="shared" ca="1" si="2"/>
        <v>20.625119383992001</v>
      </c>
      <c r="O9" s="2">
        <f t="shared" ca="1" si="2"/>
        <v>25.355642708361909</v>
      </c>
      <c r="P9" s="2">
        <f t="shared" ca="1" si="2"/>
        <v>24.956602549788823</v>
      </c>
      <c r="Q9" s="2">
        <f t="shared" ca="1" si="2"/>
        <v>28.131012233558717</v>
      </c>
      <c r="R9" s="2">
        <f t="shared" ca="1" si="2"/>
        <v>20.532749794573288</v>
      </c>
      <c r="S9" s="2">
        <f t="shared" ca="1" si="2"/>
        <v>20.850397989098742</v>
      </c>
      <c r="T9" s="2">
        <f t="shared" ca="1" si="2"/>
        <v>21.045564085880244</v>
      </c>
      <c r="U9" s="2">
        <f t="shared" ca="1" si="2"/>
        <v>22.04930922725157</v>
      </c>
      <c r="V9" s="2">
        <f t="shared" ca="1" si="2"/>
        <v>24.858461521778029</v>
      </c>
      <c r="W9" s="2">
        <f t="shared" ca="1" si="2"/>
        <v>20.173084482183125</v>
      </c>
      <c r="X9" s="2">
        <f t="shared" ca="1" si="2"/>
        <v>21.670917539075106</v>
      </c>
      <c r="Y9" s="2">
        <f t="shared" ca="1" si="2"/>
        <v>24.563274770874742</v>
      </c>
      <c r="Z9" s="2">
        <f t="shared" ca="1" si="2"/>
        <v>28.176705164710086</v>
      </c>
      <c r="AA9" s="2">
        <f t="shared" ca="1" si="2"/>
        <v>23.114712896509293</v>
      </c>
      <c r="AB9" s="2">
        <f t="shared" ca="1" si="2"/>
        <v>25.191363278293711</v>
      </c>
      <c r="AC9" s="2">
        <f t="shared" ca="1" si="2"/>
        <v>21.015539025986186</v>
      </c>
      <c r="AD9" s="2">
        <f t="shared" ca="1" si="2"/>
        <v>22.207579574571664</v>
      </c>
      <c r="AE9" s="2">
        <f t="shared" ca="1" si="2"/>
        <v>20.401422223221349</v>
      </c>
      <c r="AF9" s="2">
        <f t="shared" ca="1" si="2"/>
        <v>28.701184137601366</v>
      </c>
      <c r="AG9" s="2">
        <f t="shared" ca="1" si="2"/>
        <v>25.492856174491369</v>
      </c>
      <c r="AH9" s="2">
        <f t="shared" ca="1" si="2"/>
        <v>27.27143399777383</v>
      </c>
    </row>
    <row r="10" spans="1:34">
      <c r="A10" t="str">
        <f>sets!$H$3</f>
        <v>Teff</v>
      </c>
      <c r="B10" t="str">
        <v>Oromia</v>
      </c>
      <c r="C10" s="2">
        <f t="shared" ca="1" si="3"/>
        <v>24.343326668936609</v>
      </c>
      <c r="D10" s="2">
        <f t="shared" ca="1" si="2"/>
        <v>28.982534863641845</v>
      </c>
      <c r="E10" s="2">
        <f t="shared" ca="1" si="2"/>
        <v>23.485821356151256</v>
      </c>
      <c r="F10" s="2">
        <f t="shared" ca="1" si="2"/>
        <v>20.3685499122093</v>
      </c>
      <c r="G10" s="2">
        <f t="shared" ca="1" si="2"/>
        <v>25.033554293101567</v>
      </c>
      <c r="H10" s="2">
        <f t="shared" ca="1" si="2"/>
        <v>24.599024186556953</v>
      </c>
      <c r="I10" s="2">
        <f t="shared" ca="1" si="2"/>
        <v>29.482508458019918</v>
      </c>
      <c r="J10" s="2">
        <f t="shared" ca="1" si="2"/>
        <v>21.591683921171061</v>
      </c>
      <c r="K10" s="2">
        <f t="shared" ca="1" si="2"/>
        <v>21.621348112546347</v>
      </c>
      <c r="L10" s="2">
        <f t="shared" ca="1" si="2"/>
        <v>25.965348767232001</v>
      </c>
      <c r="M10" s="2">
        <f t="shared" ca="1" si="2"/>
        <v>20.217418344827372</v>
      </c>
      <c r="N10" s="2">
        <f t="shared" ca="1" si="2"/>
        <v>22.614574394455158</v>
      </c>
      <c r="O10" s="2">
        <f t="shared" ca="1" si="2"/>
        <v>20.757568708017391</v>
      </c>
      <c r="P10" s="2">
        <f t="shared" ca="1" si="2"/>
        <v>22.605950151435074</v>
      </c>
      <c r="Q10" s="2">
        <f t="shared" ca="1" si="2"/>
        <v>25.982345247189677</v>
      </c>
      <c r="R10" s="2">
        <f t="shared" ca="1" si="2"/>
        <v>28.76814174687269</v>
      </c>
      <c r="S10" s="2">
        <f t="shared" ca="1" si="2"/>
        <v>20.420227043400072</v>
      </c>
      <c r="T10" s="2">
        <f t="shared" ca="1" si="2"/>
        <v>24.099619901700816</v>
      </c>
      <c r="U10" s="2">
        <f t="shared" ca="1" si="2"/>
        <v>28.962479633429229</v>
      </c>
      <c r="V10" s="2">
        <f t="shared" ca="1" si="2"/>
        <v>27.619870540303431</v>
      </c>
      <c r="W10" s="2">
        <f t="shared" ca="1" si="2"/>
        <v>20.626708815944177</v>
      </c>
      <c r="X10" s="2">
        <f t="shared" ca="1" si="2"/>
        <v>27.885222983998649</v>
      </c>
      <c r="Y10" s="2">
        <f t="shared" ca="1" si="2"/>
        <v>22.356664992982051</v>
      </c>
      <c r="Z10" s="2">
        <f t="shared" ca="1" si="2"/>
        <v>27.159114183450072</v>
      </c>
      <c r="AA10" s="2">
        <f t="shared" ca="1" si="2"/>
        <v>20.744716998245909</v>
      </c>
      <c r="AB10" s="2">
        <f t="shared" ca="1" si="2"/>
        <v>29.398597122174429</v>
      </c>
      <c r="AC10" s="2">
        <f t="shared" ca="1" si="2"/>
        <v>24.611836914794864</v>
      </c>
      <c r="AD10" s="2">
        <f t="shared" ca="1" si="2"/>
        <v>28.395005506224553</v>
      </c>
      <c r="AE10" s="2">
        <f t="shared" ca="1" si="2"/>
        <v>29.870838701973639</v>
      </c>
      <c r="AF10" s="2">
        <f t="shared" ca="1" si="2"/>
        <v>21.847615994138366</v>
      </c>
      <c r="AG10" s="2">
        <f t="shared" ca="1" si="2"/>
        <v>25.885718812073584</v>
      </c>
      <c r="AH10" s="2">
        <f t="shared" ca="1" si="2"/>
        <v>25.044407367884151</v>
      </c>
    </row>
    <row r="11" spans="1:34">
      <c r="A11" t="str">
        <f>sets!$H$3</f>
        <v>Teff</v>
      </c>
      <c r="B11" t="str">
        <v>Somali</v>
      </c>
      <c r="C11" s="2">
        <f t="shared" ca="1" si="3"/>
        <v>22.616282794304727</v>
      </c>
      <c r="D11" s="2">
        <f t="shared" ca="1" si="2"/>
        <v>27.791229172326048</v>
      </c>
      <c r="E11" s="2">
        <f t="shared" ca="1" si="2"/>
        <v>21.62898796782164</v>
      </c>
      <c r="F11" s="2">
        <f t="shared" ca="1" si="2"/>
        <v>29.635787168262567</v>
      </c>
      <c r="G11" s="2">
        <f t="shared" ca="1" si="2"/>
        <v>20.907989595246836</v>
      </c>
      <c r="H11" s="2">
        <f t="shared" ca="1" si="2"/>
        <v>27.846183452228722</v>
      </c>
      <c r="I11" s="2">
        <f t="shared" ca="1" si="2"/>
        <v>20.223008926027131</v>
      </c>
      <c r="J11" s="2">
        <f t="shared" ca="1" si="2"/>
        <v>22.050372962574436</v>
      </c>
      <c r="K11" s="2">
        <f t="shared" ref="K11:Z68" ca="1" si="4">(RAND()*0.1+0.2)*100</f>
        <v>27.838196877437866</v>
      </c>
      <c r="L11" s="2">
        <f t="shared" ca="1" si="4"/>
        <v>22.298769700670004</v>
      </c>
      <c r="M11" s="2">
        <f t="shared" ca="1" si="4"/>
        <v>22.398884648203378</v>
      </c>
      <c r="N11" s="2">
        <f t="shared" ca="1" si="4"/>
        <v>24.522124533865057</v>
      </c>
      <c r="O11" s="2">
        <f t="shared" ca="1" si="4"/>
        <v>28.776974366414105</v>
      </c>
      <c r="P11" s="2">
        <f t="shared" ca="1" si="4"/>
        <v>29.231690752945365</v>
      </c>
      <c r="Q11" s="2">
        <f t="shared" ca="1" si="4"/>
        <v>27.688224561351042</v>
      </c>
      <c r="R11" s="2">
        <f t="shared" ca="1" si="4"/>
        <v>27.437520169881303</v>
      </c>
      <c r="S11" s="2">
        <f t="shared" ca="1" si="4"/>
        <v>29.958232076679813</v>
      </c>
      <c r="T11" s="2">
        <f t="shared" ca="1" si="4"/>
        <v>26.726253671245381</v>
      </c>
      <c r="U11" s="2">
        <f t="shared" ca="1" si="4"/>
        <v>20.535345231146536</v>
      </c>
      <c r="V11" s="2">
        <f t="shared" ca="1" si="4"/>
        <v>20.473783236070748</v>
      </c>
      <c r="W11" s="2">
        <f t="shared" ca="1" si="4"/>
        <v>22.17782409804833</v>
      </c>
      <c r="X11" s="2">
        <f t="shared" ca="1" si="4"/>
        <v>23.54794446624544</v>
      </c>
      <c r="Y11" s="2">
        <f t="shared" ca="1" si="4"/>
        <v>22.840597316609774</v>
      </c>
      <c r="Z11" s="2">
        <f t="shared" ca="1" si="4"/>
        <v>24.260329271937334</v>
      </c>
      <c r="AA11" s="2">
        <f t="shared" ref="AA11:AH68" ca="1" si="5">(RAND()*0.1+0.2)*100</f>
        <v>25.876669625706448</v>
      </c>
      <c r="AB11" s="2">
        <f t="shared" ca="1" si="5"/>
        <v>23.564131296776583</v>
      </c>
      <c r="AC11" s="2">
        <f t="shared" ca="1" si="5"/>
        <v>24.192802084960821</v>
      </c>
      <c r="AD11" s="2">
        <f t="shared" ca="1" si="5"/>
        <v>27.023277231013427</v>
      </c>
      <c r="AE11" s="2">
        <f t="shared" ca="1" si="5"/>
        <v>24.840953723863215</v>
      </c>
      <c r="AF11" s="2">
        <f t="shared" ca="1" si="5"/>
        <v>29.730337413606307</v>
      </c>
      <c r="AG11" s="2">
        <f t="shared" ca="1" si="5"/>
        <v>25.976546552167832</v>
      </c>
      <c r="AH11" s="2">
        <f t="shared" ca="1" si="5"/>
        <v>28.147369842918344</v>
      </c>
    </row>
    <row r="12" spans="1:34">
      <c r="A12" t="str">
        <f>sets!$H$3</f>
        <v>Teff</v>
      </c>
      <c r="B12" t="str">
        <v>SNNPR</v>
      </c>
      <c r="C12" s="2">
        <f t="shared" ca="1" si="3"/>
        <v>27.755824565105076</v>
      </c>
      <c r="D12" s="2">
        <f t="shared" ca="1" si="3"/>
        <v>26.97967096944301</v>
      </c>
      <c r="E12" s="2">
        <f t="shared" ca="1" si="3"/>
        <v>20.546570016300709</v>
      </c>
      <c r="F12" s="2">
        <f t="shared" ca="1" si="3"/>
        <v>29.939991880466106</v>
      </c>
      <c r="G12" s="2">
        <f t="shared" ca="1" si="3"/>
        <v>22.605412527395114</v>
      </c>
      <c r="H12" s="2">
        <f t="shared" ca="1" si="3"/>
        <v>21.616114557262438</v>
      </c>
      <c r="I12" s="2">
        <f t="shared" ca="1" si="3"/>
        <v>23.296964506129882</v>
      </c>
      <c r="J12" s="2">
        <f t="shared" ca="1" si="3"/>
        <v>21.275606232838179</v>
      </c>
      <c r="K12" s="2">
        <f t="shared" ca="1" si="3"/>
        <v>28.876734165913341</v>
      </c>
      <c r="L12" s="2">
        <f t="shared" ca="1" si="3"/>
        <v>23.786917771769502</v>
      </c>
      <c r="M12" s="2">
        <f t="shared" ca="1" si="3"/>
        <v>27.163935876569511</v>
      </c>
      <c r="N12" s="2">
        <f t="shared" ca="1" si="3"/>
        <v>20.077347841775889</v>
      </c>
      <c r="O12" s="2">
        <f t="shared" ca="1" si="3"/>
        <v>25.942191112805297</v>
      </c>
      <c r="P12" s="2">
        <f t="shared" ca="1" si="3"/>
        <v>28.971173434087145</v>
      </c>
      <c r="Q12" s="2">
        <f t="shared" ca="1" si="3"/>
        <v>28.327125534901477</v>
      </c>
      <c r="R12" s="2">
        <f t="shared" ca="1" si="3"/>
        <v>29.74634608981685</v>
      </c>
      <c r="S12" s="2">
        <f t="shared" ca="1" si="4"/>
        <v>22.812107607363803</v>
      </c>
      <c r="T12" s="2">
        <f t="shared" ca="1" si="4"/>
        <v>27.412937911319545</v>
      </c>
      <c r="U12" s="2">
        <f t="shared" ca="1" si="4"/>
        <v>27.15769768161546</v>
      </c>
      <c r="V12" s="2">
        <f t="shared" ca="1" si="4"/>
        <v>21.079211298722743</v>
      </c>
      <c r="W12" s="2">
        <f t="shared" ca="1" si="4"/>
        <v>22.053300852768494</v>
      </c>
      <c r="X12" s="2">
        <f t="shared" ca="1" si="4"/>
        <v>26.373580677958337</v>
      </c>
      <c r="Y12" s="2">
        <f t="shared" ca="1" si="4"/>
        <v>24.42916369542467</v>
      </c>
      <c r="Z12" s="2">
        <f t="shared" ca="1" si="4"/>
        <v>28.958708761225861</v>
      </c>
      <c r="AA12" s="2">
        <f t="shared" ca="1" si="5"/>
        <v>28.27769039302941</v>
      </c>
      <c r="AB12" s="2">
        <f t="shared" ca="1" si="5"/>
        <v>27.842766918825689</v>
      </c>
      <c r="AC12" s="2">
        <f t="shared" ca="1" si="5"/>
        <v>25.207315211746661</v>
      </c>
      <c r="AD12" s="2">
        <f t="shared" ca="1" si="5"/>
        <v>24.029209401816011</v>
      </c>
      <c r="AE12" s="2">
        <f t="shared" ca="1" si="5"/>
        <v>25.365321439630467</v>
      </c>
      <c r="AF12" s="2">
        <f t="shared" ca="1" si="5"/>
        <v>25.534317729497158</v>
      </c>
      <c r="AG12" s="2">
        <f t="shared" ca="1" si="5"/>
        <v>26.878995710096405</v>
      </c>
      <c r="AH12" s="2">
        <f t="shared" ca="1" si="5"/>
        <v>24.21495791966678</v>
      </c>
    </row>
    <row r="13" spans="1:34">
      <c r="A13" t="str">
        <f>sets!$H$3</f>
        <v>Teff</v>
      </c>
      <c r="B13" t="str">
        <v>Tigray</v>
      </c>
      <c r="C13" s="2">
        <f t="shared" ca="1" si="3"/>
        <v>24.455406281418608</v>
      </c>
      <c r="D13" s="2">
        <f t="shared" ca="1" si="3"/>
        <v>26.323382839881802</v>
      </c>
      <c r="E13" s="2">
        <f t="shared" ca="1" si="3"/>
        <v>25.065041525887143</v>
      </c>
      <c r="F13" s="2">
        <f t="shared" ca="1" si="3"/>
        <v>23.150243912502134</v>
      </c>
      <c r="G13" s="2">
        <f t="shared" ca="1" si="3"/>
        <v>28.235663578439535</v>
      </c>
      <c r="H13" s="2">
        <f t="shared" ca="1" si="3"/>
        <v>24.749875685452231</v>
      </c>
      <c r="I13" s="2">
        <f t="shared" ca="1" si="3"/>
        <v>28.802838306197252</v>
      </c>
      <c r="J13" s="2">
        <f t="shared" ca="1" si="3"/>
        <v>22.394047509685347</v>
      </c>
      <c r="K13" s="2">
        <f t="shared" ca="1" si="3"/>
        <v>25.789941963447017</v>
      </c>
      <c r="L13" s="2">
        <f t="shared" ca="1" si="3"/>
        <v>28.157839669209491</v>
      </c>
      <c r="M13" s="2">
        <f t="shared" ca="1" si="3"/>
        <v>20.874070884368251</v>
      </c>
      <c r="N13" s="2">
        <f t="shared" ca="1" si="3"/>
        <v>21.524967927197103</v>
      </c>
      <c r="O13" s="2">
        <f t="shared" ca="1" si="3"/>
        <v>21.039140142455302</v>
      </c>
      <c r="P13" s="2">
        <f t="shared" ca="1" si="3"/>
        <v>20.566394079663954</v>
      </c>
      <c r="Q13" s="2">
        <f t="shared" ca="1" si="3"/>
        <v>23.728206663700607</v>
      </c>
      <c r="R13" s="2">
        <f t="shared" ca="1" si="3"/>
        <v>22.150054120279819</v>
      </c>
      <c r="S13" s="2">
        <f t="shared" ca="1" si="4"/>
        <v>25.962579897502568</v>
      </c>
      <c r="T13" s="2">
        <f t="shared" ca="1" si="4"/>
        <v>26.844573586086678</v>
      </c>
      <c r="U13" s="2">
        <f t="shared" ca="1" si="4"/>
        <v>23.616252777762668</v>
      </c>
      <c r="V13" s="2">
        <f t="shared" ca="1" si="4"/>
        <v>28.129590418929151</v>
      </c>
      <c r="W13" s="2">
        <f t="shared" ca="1" si="4"/>
        <v>23.944734211439844</v>
      </c>
      <c r="X13" s="2">
        <f t="shared" ca="1" si="4"/>
        <v>27.649061819618147</v>
      </c>
      <c r="Y13" s="2">
        <f t="shared" ca="1" si="4"/>
        <v>21.421235965887419</v>
      </c>
      <c r="Z13" s="2">
        <f t="shared" ca="1" si="4"/>
        <v>29.990314415739643</v>
      </c>
      <c r="AA13" s="2">
        <f t="shared" ca="1" si="5"/>
        <v>29.885425429243046</v>
      </c>
      <c r="AB13" s="2">
        <f t="shared" ca="1" si="5"/>
        <v>24.370939421135684</v>
      </c>
      <c r="AC13" s="2">
        <f t="shared" ca="1" si="5"/>
        <v>24.587871749664956</v>
      </c>
      <c r="AD13" s="2">
        <f t="shared" ca="1" si="5"/>
        <v>24.31501728740157</v>
      </c>
      <c r="AE13" s="2">
        <f t="shared" ca="1" si="5"/>
        <v>27.38495808141786</v>
      </c>
      <c r="AF13" s="2">
        <f t="shared" ca="1" si="5"/>
        <v>27.48045712942065</v>
      </c>
      <c r="AG13" s="2">
        <f t="shared" ca="1" si="5"/>
        <v>29.453640515143608</v>
      </c>
      <c r="AH13" s="2">
        <f t="shared" ca="1" si="5"/>
        <v>20.714123728475322</v>
      </c>
    </row>
    <row r="14" spans="1:34">
      <c r="A14" t="str">
        <f t="shared" ref="A14:A68" si="6">INDEX(Food,MATCH(A3,Food,0)+1)</f>
        <v>Sorghum</v>
      </c>
      <c r="B14" t="str">
        <f>B3</f>
        <v>AddisAbaba</v>
      </c>
      <c r="C14" s="2">
        <f t="shared" ca="1" si="3"/>
        <v>29.805071210648816</v>
      </c>
      <c r="D14" s="2">
        <f t="shared" ca="1" si="3"/>
        <v>25.709130368500499</v>
      </c>
      <c r="E14" s="2">
        <f t="shared" ca="1" si="3"/>
        <v>21.533800936841512</v>
      </c>
      <c r="F14" s="2">
        <f t="shared" ca="1" si="3"/>
        <v>28.157011854417526</v>
      </c>
      <c r="G14" s="2">
        <f t="shared" ca="1" si="3"/>
        <v>22.813956148776121</v>
      </c>
      <c r="H14" s="2">
        <f t="shared" ca="1" si="3"/>
        <v>20.727682098267856</v>
      </c>
      <c r="I14" s="2">
        <f t="shared" ca="1" si="3"/>
        <v>24.32818662900149</v>
      </c>
      <c r="J14" s="2">
        <f t="shared" ca="1" si="3"/>
        <v>29.415508763662352</v>
      </c>
      <c r="K14" s="2">
        <f t="shared" ca="1" si="3"/>
        <v>27.78625722038241</v>
      </c>
      <c r="L14" s="2">
        <f t="shared" ca="1" si="3"/>
        <v>22.066087440509229</v>
      </c>
      <c r="M14" s="2">
        <f t="shared" ca="1" si="3"/>
        <v>23.42353331053209</v>
      </c>
      <c r="N14" s="2">
        <f t="shared" ca="1" si="3"/>
        <v>23.486925381290906</v>
      </c>
      <c r="O14" s="2">
        <f t="shared" ca="1" si="3"/>
        <v>23.030659654287344</v>
      </c>
      <c r="P14" s="2">
        <f t="shared" ca="1" si="3"/>
        <v>29.965146040159183</v>
      </c>
      <c r="Q14" s="2">
        <f t="shared" ca="1" si="3"/>
        <v>27.536213672322514</v>
      </c>
      <c r="R14" s="2">
        <f t="shared" ca="1" si="3"/>
        <v>27.564547394794065</v>
      </c>
      <c r="S14" s="2">
        <f t="shared" ca="1" si="4"/>
        <v>27.056640208504902</v>
      </c>
      <c r="T14" s="2">
        <f t="shared" ca="1" si="4"/>
        <v>28.753002073019839</v>
      </c>
      <c r="U14" s="2">
        <f t="shared" ca="1" si="4"/>
        <v>20.507091495954111</v>
      </c>
      <c r="V14" s="2">
        <f t="shared" ca="1" si="4"/>
        <v>20.524414973499251</v>
      </c>
      <c r="W14" s="2">
        <f t="shared" ca="1" si="4"/>
        <v>23.330162493780719</v>
      </c>
      <c r="X14" s="2">
        <f t="shared" ca="1" si="4"/>
        <v>21.650885183994376</v>
      </c>
      <c r="Y14" s="2">
        <f t="shared" ca="1" si="4"/>
        <v>29.397489320683245</v>
      </c>
      <c r="Z14" s="2">
        <f t="shared" ca="1" si="4"/>
        <v>29.087818957957346</v>
      </c>
      <c r="AA14" s="2">
        <f t="shared" ca="1" si="5"/>
        <v>23.034873902419264</v>
      </c>
      <c r="AB14" s="2">
        <f t="shared" ca="1" si="5"/>
        <v>21.671642264471654</v>
      </c>
      <c r="AC14" s="2">
        <f t="shared" ca="1" si="5"/>
        <v>20.340671475877929</v>
      </c>
      <c r="AD14" s="2">
        <f t="shared" ca="1" si="5"/>
        <v>27.537825952839484</v>
      </c>
      <c r="AE14" s="2">
        <f t="shared" ca="1" si="5"/>
        <v>25.314879489542228</v>
      </c>
      <c r="AF14" s="2">
        <f t="shared" ca="1" si="5"/>
        <v>29.241106220333247</v>
      </c>
      <c r="AG14" s="2">
        <f t="shared" ca="1" si="5"/>
        <v>28.895405898137682</v>
      </c>
      <c r="AH14" s="2">
        <f t="shared" ca="1" si="5"/>
        <v>22.953611326908721</v>
      </c>
    </row>
    <row r="15" spans="1:34">
      <c r="A15" t="str">
        <f t="shared" si="6"/>
        <v>Sorghum</v>
      </c>
      <c r="B15" t="str">
        <f t="shared" ref="B15:B68" si="7">B4</f>
        <v>Afar</v>
      </c>
      <c r="C15" s="2">
        <f t="shared" ca="1" si="3"/>
        <v>27.52505594532672</v>
      </c>
      <c r="D15" s="2">
        <f t="shared" ca="1" si="3"/>
        <v>29.729340276683995</v>
      </c>
      <c r="E15" s="2">
        <f t="shared" ca="1" si="3"/>
        <v>24.130350959745055</v>
      </c>
      <c r="F15" s="2">
        <f t="shared" ca="1" si="3"/>
        <v>23.20818450057066</v>
      </c>
      <c r="G15" s="2">
        <f t="shared" ca="1" si="3"/>
        <v>29.673551268338304</v>
      </c>
      <c r="H15" s="2">
        <f t="shared" ca="1" si="3"/>
        <v>26.536220366753206</v>
      </c>
      <c r="I15" s="2">
        <f t="shared" ca="1" si="3"/>
        <v>28.133821596038374</v>
      </c>
      <c r="J15" s="2">
        <f t="shared" ca="1" si="3"/>
        <v>23.379471734006909</v>
      </c>
      <c r="K15" s="2">
        <f t="shared" ca="1" si="3"/>
        <v>23.071254028065471</v>
      </c>
      <c r="L15" s="2">
        <f t="shared" ca="1" si="3"/>
        <v>29.31022137702589</v>
      </c>
      <c r="M15" s="2">
        <f t="shared" ca="1" si="3"/>
        <v>26.921989902730552</v>
      </c>
      <c r="N15" s="2">
        <f t="shared" ca="1" si="3"/>
        <v>29.979219817745349</v>
      </c>
      <c r="O15" s="2">
        <f t="shared" ca="1" si="3"/>
        <v>26.198161520338815</v>
      </c>
      <c r="P15" s="2">
        <f t="shared" ca="1" si="3"/>
        <v>29.101921164380844</v>
      </c>
      <c r="Q15" s="2">
        <f t="shared" ca="1" si="3"/>
        <v>22.366424249885547</v>
      </c>
      <c r="R15" s="2">
        <f t="shared" ca="1" si="3"/>
        <v>22.981777599033297</v>
      </c>
      <c r="S15" s="2">
        <f t="shared" ca="1" si="4"/>
        <v>28.430431347656775</v>
      </c>
      <c r="T15" s="2">
        <f t="shared" ca="1" si="4"/>
        <v>26.116949813220934</v>
      </c>
      <c r="U15" s="2">
        <f t="shared" ca="1" si="4"/>
        <v>23.127848437088016</v>
      </c>
      <c r="V15" s="2">
        <f t="shared" ca="1" si="4"/>
        <v>24.447803129545541</v>
      </c>
      <c r="W15" s="2">
        <f t="shared" ca="1" si="4"/>
        <v>20.50195672850618</v>
      </c>
      <c r="X15" s="2">
        <f t="shared" ca="1" si="4"/>
        <v>20.439881067448034</v>
      </c>
      <c r="Y15" s="2">
        <f t="shared" ca="1" si="4"/>
        <v>25.72769077436725</v>
      </c>
      <c r="Z15" s="2">
        <f t="shared" ca="1" si="4"/>
        <v>20.605805633644596</v>
      </c>
      <c r="AA15" s="2">
        <f t="shared" ca="1" si="5"/>
        <v>23.256508346762473</v>
      </c>
      <c r="AB15" s="2">
        <f t="shared" ca="1" si="5"/>
        <v>27.621344949822557</v>
      </c>
      <c r="AC15" s="2">
        <f t="shared" ca="1" si="5"/>
        <v>21.748207543055788</v>
      </c>
      <c r="AD15" s="2">
        <f t="shared" ca="1" si="5"/>
        <v>26.310259572676703</v>
      </c>
      <c r="AE15" s="2">
        <f t="shared" ca="1" si="5"/>
        <v>21.187981796139297</v>
      </c>
      <c r="AF15" s="2">
        <f t="shared" ca="1" si="5"/>
        <v>22.187075575032509</v>
      </c>
      <c r="AG15" s="2">
        <f t="shared" ca="1" si="5"/>
        <v>28.350996148990721</v>
      </c>
      <c r="AH15" s="2">
        <f t="shared" ca="1" si="5"/>
        <v>22.524692380612763</v>
      </c>
    </row>
    <row r="16" spans="1:34">
      <c r="A16" t="str">
        <f t="shared" si="6"/>
        <v>Sorghum</v>
      </c>
      <c r="B16" t="str">
        <f t="shared" si="7"/>
        <v>Amhara</v>
      </c>
      <c r="C16" s="2">
        <f t="shared" ca="1" si="3"/>
        <v>25.002286659516805</v>
      </c>
      <c r="D16" s="2">
        <f t="shared" ca="1" si="3"/>
        <v>26.186614565589196</v>
      </c>
      <c r="E16" s="2">
        <f t="shared" ca="1" si="3"/>
        <v>22.538086823810211</v>
      </c>
      <c r="F16" s="2">
        <f t="shared" ca="1" si="3"/>
        <v>27.761514010113569</v>
      </c>
      <c r="G16" s="2">
        <f t="shared" ca="1" si="3"/>
        <v>20.577861980321078</v>
      </c>
      <c r="H16" s="2">
        <f t="shared" ca="1" si="3"/>
        <v>26.04956079023416</v>
      </c>
      <c r="I16" s="2">
        <f t="shared" ca="1" si="3"/>
        <v>24.81815189663234</v>
      </c>
      <c r="J16" s="2">
        <f t="shared" ca="1" si="3"/>
        <v>26.957460426060027</v>
      </c>
      <c r="K16" s="2">
        <f t="shared" ca="1" si="3"/>
        <v>23.586630442798707</v>
      </c>
      <c r="L16" s="2">
        <f t="shared" ca="1" si="3"/>
        <v>23.302118527974379</v>
      </c>
      <c r="M16" s="2">
        <f t="shared" ca="1" si="3"/>
        <v>22.761839618163286</v>
      </c>
      <c r="N16" s="2">
        <f t="shared" ca="1" si="3"/>
        <v>20.562233941601825</v>
      </c>
      <c r="O16" s="2">
        <f t="shared" ca="1" si="3"/>
        <v>22.625487636215315</v>
      </c>
      <c r="P16" s="2">
        <f t="shared" ca="1" si="3"/>
        <v>28.208786683771248</v>
      </c>
      <c r="Q16" s="2">
        <f t="shared" ca="1" si="3"/>
        <v>27.642941695684552</v>
      </c>
      <c r="R16" s="2">
        <f t="shared" ca="1" si="3"/>
        <v>26.167286136304135</v>
      </c>
      <c r="S16" s="2">
        <f t="shared" ca="1" si="4"/>
        <v>29.227516982154356</v>
      </c>
      <c r="T16" s="2">
        <f t="shared" ca="1" si="4"/>
        <v>23.558728487917946</v>
      </c>
      <c r="U16" s="2">
        <f t="shared" ca="1" si="4"/>
        <v>20.627105976555093</v>
      </c>
      <c r="V16" s="2">
        <f t="shared" ca="1" si="4"/>
        <v>24.884208164570104</v>
      </c>
      <c r="W16" s="2">
        <f t="shared" ca="1" si="4"/>
        <v>20.666409452339341</v>
      </c>
      <c r="X16" s="2">
        <f t="shared" ca="1" si="4"/>
        <v>26.755306141797103</v>
      </c>
      <c r="Y16" s="2">
        <f t="shared" ca="1" si="4"/>
        <v>25.599531615997819</v>
      </c>
      <c r="Z16" s="2">
        <f t="shared" ca="1" si="4"/>
        <v>20.200793400000467</v>
      </c>
      <c r="AA16" s="2">
        <f t="shared" ca="1" si="5"/>
        <v>29.990944739239154</v>
      </c>
      <c r="AB16" s="2">
        <f t="shared" ca="1" si="5"/>
        <v>22.771606954193604</v>
      </c>
      <c r="AC16" s="2">
        <f t="shared" ca="1" si="5"/>
        <v>25.573236332007021</v>
      </c>
      <c r="AD16" s="2">
        <f t="shared" ca="1" si="5"/>
        <v>26.079134005285425</v>
      </c>
      <c r="AE16" s="2">
        <f t="shared" ca="1" si="5"/>
        <v>27.982387238506451</v>
      </c>
      <c r="AF16" s="2">
        <f t="shared" ca="1" si="5"/>
        <v>26.314711255134306</v>
      </c>
      <c r="AG16" s="2">
        <f t="shared" ca="1" si="5"/>
        <v>27.058241531626347</v>
      </c>
      <c r="AH16" s="2">
        <f t="shared" ca="1" si="5"/>
        <v>27.505070954938859</v>
      </c>
    </row>
    <row r="17" spans="1:34">
      <c r="A17" t="str">
        <f t="shared" si="6"/>
        <v>Sorghum</v>
      </c>
      <c r="B17" t="str">
        <f t="shared" si="7"/>
        <v>Gumuz</v>
      </c>
      <c r="C17" s="2">
        <f t="shared" ca="1" si="3"/>
        <v>26.998381182061905</v>
      </c>
      <c r="D17" s="2">
        <f t="shared" ca="1" si="3"/>
        <v>29.249817088789687</v>
      </c>
      <c r="E17" s="2">
        <f t="shared" ca="1" si="3"/>
        <v>20.102154154847774</v>
      </c>
      <c r="F17" s="2">
        <f t="shared" ca="1" si="3"/>
        <v>20.906683953938987</v>
      </c>
      <c r="G17" s="2">
        <f t="shared" ca="1" si="3"/>
        <v>22.96938849101117</v>
      </c>
      <c r="H17" s="2">
        <f t="shared" ca="1" si="3"/>
        <v>28.696671701277772</v>
      </c>
      <c r="I17" s="2">
        <f t="shared" ca="1" si="3"/>
        <v>23.505368010492703</v>
      </c>
      <c r="J17" s="2">
        <f t="shared" ca="1" si="3"/>
        <v>25.587419204218005</v>
      </c>
      <c r="K17" s="2">
        <f t="shared" ca="1" si="3"/>
        <v>26.755949578540434</v>
      </c>
      <c r="L17" s="2">
        <f t="shared" ca="1" si="3"/>
        <v>29.350936975510844</v>
      </c>
      <c r="M17" s="2">
        <f t="shared" ca="1" si="3"/>
        <v>25.587850930681206</v>
      </c>
      <c r="N17" s="2">
        <f t="shared" ca="1" si="3"/>
        <v>29.271617816709828</v>
      </c>
      <c r="O17" s="2">
        <f t="shared" ca="1" si="3"/>
        <v>22.639115466567578</v>
      </c>
      <c r="P17" s="2">
        <f t="shared" ca="1" si="3"/>
        <v>22.042154743699587</v>
      </c>
      <c r="Q17" s="2">
        <f t="shared" ca="1" si="3"/>
        <v>28.390059039155226</v>
      </c>
      <c r="R17" s="2">
        <f t="shared" ca="1" si="3"/>
        <v>22.94060099469564</v>
      </c>
      <c r="S17" s="2">
        <f t="shared" ca="1" si="4"/>
        <v>26.354184234849715</v>
      </c>
      <c r="T17" s="2">
        <f t="shared" ca="1" si="4"/>
        <v>26.475510994558881</v>
      </c>
      <c r="U17" s="2">
        <f t="shared" ca="1" si="4"/>
        <v>20.684247948893681</v>
      </c>
      <c r="V17" s="2">
        <f t="shared" ca="1" si="4"/>
        <v>20.25627143722938</v>
      </c>
      <c r="W17" s="2">
        <f t="shared" ca="1" si="4"/>
        <v>29.576586394657401</v>
      </c>
      <c r="X17" s="2">
        <f t="shared" ca="1" si="4"/>
        <v>26.269413092929771</v>
      </c>
      <c r="Y17" s="2">
        <f t="shared" ca="1" si="4"/>
        <v>26.967169834188248</v>
      </c>
      <c r="Z17" s="2">
        <f t="shared" ca="1" si="4"/>
        <v>26.088453070173571</v>
      </c>
      <c r="AA17" s="2">
        <f t="shared" ca="1" si="5"/>
        <v>23.15453534205535</v>
      </c>
      <c r="AB17" s="2">
        <f t="shared" ca="1" si="5"/>
        <v>22.501668387449598</v>
      </c>
      <c r="AC17" s="2">
        <f t="shared" ca="1" si="5"/>
        <v>21.381464444761455</v>
      </c>
      <c r="AD17" s="2">
        <f t="shared" ca="1" si="5"/>
        <v>29.510644743571966</v>
      </c>
      <c r="AE17" s="2">
        <f t="shared" ca="1" si="5"/>
        <v>28.777875916867089</v>
      </c>
      <c r="AF17" s="2">
        <f t="shared" ca="1" si="5"/>
        <v>20.167306920276484</v>
      </c>
      <c r="AG17" s="2">
        <f t="shared" ca="1" si="5"/>
        <v>22.951004523303205</v>
      </c>
      <c r="AH17" s="2">
        <f t="shared" ca="1" si="5"/>
        <v>26.001295125736192</v>
      </c>
    </row>
    <row r="18" spans="1:34">
      <c r="A18" t="str">
        <f t="shared" si="6"/>
        <v>Sorghum</v>
      </c>
      <c r="B18" t="str">
        <f t="shared" si="7"/>
        <v>DireDawa</v>
      </c>
      <c r="C18" s="2">
        <f t="shared" ca="1" si="3"/>
        <v>26.520310669173984</v>
      </c>
      <c r="D18" s="2">
        <f t="shared" ca="1" si="3"/>
        <v>21.592565124834007</v>
      </c>
      <c r="E18" s="2">
        <f t="shared" ca="1" si="3"/>
        <v>26.4988095641428</v>
      </c>
      <c r="F18" s="2">
        <f t="shared" ca="1" si="3"/>
        <v>23.159080747876494</v>
      </c>
      <c r="G18" s="2">
        <f t="shared" ca="1" si="3"/>
        <v>24.737647470682756</v>
      </c>
      <c r="H18" s="2">
        <f t="shared" ca="1" si="3"/>
        <v>26.349514213737201</v>
      </c>
      <c r="I18" s="2">
        <f t="shared" ca="1" si="3"/>
        <v>21.902698396490617</v>
      </c>
      <c r="J18" s="2">
        <f t="shared" ca="1" si="3"/>
        <v>26.465536658894173</v>
      </c>
      <c r="K18" s="2">
        <f t="shared" ca="1" si="3"/>
        <v>24.235851612786924</v>
      </c>
      <c r="L18" s="2">
        <f t="shared" ca="1" si="3"/>
        <v>28.854201078183163</v>
      </c>
      <c r="M18" s="2">
        <f t="shared" ca="1" si="3"/>
        <v>22.75346438373516</v>
      </c>
      <c r="N18" s="2">
        <f t="shared" ca="1" si="3"/>
        <v>27.574416463310008</v>
      </c>
      <c r="O18" s="2">
        <f t="shared" ca="1" si="3"/>
        <v>26.052465600647327</v>
      </c>
      <c r="P18" s="2">
        <f t="shared" ca="1" si="3"/>
        <v>27.37656641729561</v>
      </c>
      <c r="Q18" s="2">
        <f t="shared" ca="1" si="3"/>
        <v>22.424424440468087</v>
      </c>
      <c r="R18" s="2">
        <f t="shared" ca="1" si="3"/>
        <v>21.885978541849376</v>
      </c>
      <c r="S18" s="2">
        <f t="shared" ca="1" si="4"/>
        <v>28.869137951229106</v>
      </c>
      <c r="T18" s="2">
        <f t="shared" ca="1" si="4"/>
        <v>22.656243889993736</v>
      </c>
      <c r="U18" s="2">
        <f t="shared" ca="1" si="4"/>
        <v>28.923296865126702</v>
      </c>
      <c r="V18" s="2">
        <f t="shared" ca="1" si="4"/>
        <v>21.064362635772653</v>
      </c>
      <c r="W18" s="2">
        <f t="shared" ca="1" si="4"/>
        <v>29.04547731984729</v>
      </c>
      <c r="X18" s="2">
        <f t="shared" ca="1" si="4"/>
        <v>20.849292948354393</v>
      </c>
      <c r="Y18" s="2">
        <f t="shared" ca="1" si="4"/>
        <v>20.386310515510527</v>
      </c>
      <c r="Z18" s="2">
        <f t="shared" ca="1" si="4"/>
        <v>21.641523648665981</v>
      </c>
      <c r="AA18" s="2">
        <f t="shared" ca="1" si="5"/>
        <v>29.546365518471351</v>
      </c>
      <c r="AB18" s="2">
        <f t="shared" ca="1" si="5"/>
        <v>27.641846998467102</v>
      </c>
      <c r="AC18" s="2">
        <f t="shared" ca="1" si="5"/>
        <v>29.539823305088355</v>
      </c>
      <c r="AD18" s="2">
        <f t="shared" ca="1" si="5"/>
        <v>29.296520641164474</v>
      </c>
      <c r="AE18" s="2">
        <f t="shared" ca="1" si="5"/>
        <v>29.509566688573869</v>
      </c>
      <c r="AF18" s="2">
        <f t="shared" ca="1" si="5"/>
        <v>22.797786653744478</v>
      </c>
      <c r="AG18" s="2">
        <f t="shared" ca="1" si="5"/>
        <v>24.215317077835724</v>
      </c>
      <c r="AH18" s="2">
        <f t="shared" ca="1" si="5"/>
        <v>24.921518914863732</v>
      </c>
    </row>
    <row r="19" spans="1:34">
      <c r="A19" t="str">
        <f t="shared" si="6"/>
        <v>Sorghum</v>
      </c>
      <c r="B19" t="str">
        <f t="shared" si="7"/>
        <v>Gambela</v>
      </c>
      <c r="C19" s="2">
        <f t="shared" ca="1" si="3"/>
        <v>25.01536805845463</v>
      </c>
      <c r="D19" s="2">
        <f t="shared" ca="1" si="3"/>
        <v>26.543472256436136</v>
      </c>
      <c r="E19" s="2">
        <f t="shared" ca="1" si="3"/>
        <v>26.303625685473758</v>
      </c>
      <c r="F19" s="2">
        <f t="shared" ca="1" si="3"/>
        <v>22.189852589275581</v>
      </c>
      <c r="G19" s="2">
        <f t="shared" ca="1" si="3"/>
        <v>27.166483797112782</v>
      </c>
      <c r="H19" s="2">
        <f t="shared" ca="1" si="3"/>
        <v>21.44528865593605</v>
      </c>
      <c r="I19" s="2">
        <f t="shared" ca="1" si="3"/>
        <v>27.766076004826189</v>
      </c>
      <c r="J19" s="2">
        <f t="shared" ca="1" si="3"/>
        <v>24.715276262196735</v>
      </c>
      <c r="K19" s="2">
        <f t="shared" ca="1" si="3"/>
        <v>25.441174288137177</v>
      </c>
      <c r="L19" s="2">
        <f t="shared" ca="1" si="3"/>
        <v>21.21798159516036</v>
      </c>
      <c r="M19" s="2">
        <f t="shared" ca="1" si="3"/>
        <v>20.339628054584551</v>
      </c>
      <c r="N19" s="2">
        <f t="shared" ca="1" si="3"/>
        <v>27.556965545873691</v>
      </c>
      <c r="O19" s="2">
        <f t="shared" ca="1" si="3"/>
        <v>29.019612498684268</v>
      </c>
      <c r="P19" s="2">
        <f t="shared" ca="1" si="3"/>
        <v>25.628176080734189</v>
      </c>
      <c r="Q19" s="2">
        <f t="shared" ca="1" si="3"/>
        <v>24.570679801860674</v>
      </c>
      <c r="R19" s="2">
        <f t="shared" ca="1" si="3"/>
        <v>29.806882704636344</v>
      </c>
      <c r="S19" s="2">
        <f t="shared" ca="1" si="4"/>
        <v>26.937032669935956</v>
      </c>
      <c r="T19" s="2">
        <f t="shared" ca="1" si="4"/>
        <v>25.062518599341431</v>
      </c>
      <c r="U19" s="2">
        <f t="shared" ca="1" si="4"/>
        <v>28.385253602553085</v>
      </c>
      <c r="V19" s="2">
        <f t="shared" ca="1" si="4"/>
        <v>24.68750953938676</v>
      </c>
      <c r="W19" s="2">
        <f t="shared" ca="1" si="4"/>
        <v>25.258048736339333</v>
      </c>
      <c r="X19" s="2">
        <f t="shared" ca="1" si="4"/>
        <v>23.942786344449331</v>
      </c>
      <c r="Y19" s="2">
        <f t="shared" ca="1" si="4"/>
        <v>26.238921500424635</v>
      </c>
      <c r="Z19" s="2">
        <f t="shared" ca="1" si="4"/>
        <v>22.096143045172344</v>
      </c>
      <c r="AA19" s="2">
        <f t="shared" ca="1" si="5"/>
        <v>24.03928124073504</v>
      </c>
      <c r="AB19" s="2">
        <f t="shared" ca="1" si="5"/>
        <v>25.059048184205324</v>
      </c>
      <c r="AC19" s="2">
        <f t="shared" ca="1" si="5"/>
        <v>27.930544811121997</v>
      </c>
      <c r="AD19" s="2">
        <f t="shared" ca="1" si="5"/>
        <v>20.459832640490898</v>
      </c>
      <c r="AE19" s="2">
        <f t="shared" ca="1" si="5"/>
        <v>26.417740761001003</v>
      </c>
      <c r="AF19" s="2">
        <f t="shared" ca="1" si="5"/>
        <v>23.313865667133733</v>
      </c>
      <c r="AG19" s="2">
        <f t="shared" ca="1" si="5"/>
        <v>26.894736750103842</v>
      </c>
      <c r="AH19" s="2">
        <f t="shared" ca="1" si="5"/>
        <v>26.301573018786208</v>
      </c>
    </row>
    <row r="20" spans="1:34">
      <c r="A20" t="str">
        <f t="shared" si="6"/>
        <v>Sorghum</v>
      </c>
      <c r="B20" t="str">
        <f t="shared" si="7"/>
        <v>Harari</v>
      </c>
      <c r="C20" s="2">
        <f t="shared" ca="1" si="3"/>
        <v>24.962166381469665</v>
      </c>
      <c r="D20" s="2">
        <f t="shared" ca="1" si="3"/>
        <v>28.978651730480777</v>
      </c>
      <c r="E20" s="2">
        <f t="shared" ca="1" si="3"/>
        <v>28.389287879856045</v>
      </c>
      <c r="F20" s="2">
        <f t="shared" ca="1" si="3"/>
        <v>23.078661937654918</v>
      </c>
      <c r="G20" s="2">
        <f t="shared" ca="1" si="3"/>
        <v>25.627051979788174</v>
      </c>
      <c r="H20" s="2">
        <f t="shared" ca="1" si="3"/>
        <v>29.639287549101322</v>
      </c>
      <c r="I20" s="2">
        <f t="shared" ca="1" si="3"/>
        <v>20.219707333341287</v>
      </c>
      <c r="J20" s="2">
        <f t="shared" ca="1" si="3"/>
        <v>22.462207736094236</v>
      </c>
      <c r="K20" s="2">
        <f t="shared" ca="1" si="3"/>
        <v>22.231509186525571</v>
      </c>
      <c r="L20" s="2">
        <f t="shared" ca="1" si="3"/>
        <v>22.001412768907645</v>
      </c>
      <c r="M20" s="2">
        <f t="shared" ca="1" si="3"/>
        <v>26.951612159968281</v>
      </c>
      <c r="N20" s="2">
        <f t="shared" ca="1" si="3"/>
        <v>22.027880992233001</v>
      </c>
      <c r="O20" s="2">
        <f t="shared" ca="1" si="3"/>
        <v>23.980207541490085</v>
      </c>
      <c r="P20" s="2">
        <f t="shared" ca="1" si="3"/>
        <v>24.710652847964287</v>
      </c>
      <c r="Q20" s="2">
        <f t="shared" ca="1" si="3"/>
        <v>24.497113357144119</v>
      </c>
      <c r="R20" s="2">
        <f t="shared" ca="1" si="3"/>
        <v>26.041310753015345</v>
      </c>
      <c r="S20" s="2">
        <f t="shared" ca="1" si="4"/>
        <v>21.568758183019199</v>
      </c>
      <c r="T20" s="2">
        <f t="shared" ca="1" si="4"/>
        <v>24.265493065398253</v>
      </c>
      <c r="U20" s="2">
        <f t="shared" ca="1" si="4"/>
        <v>27.765860953379089</v>
      </c>
      <c r="V20" s="2">
        <f t="shared" ca="1" si="4"/>
        <v>29.619327377130656</v>
      </c>
      <c r="W20" s="2">
        <f t="shared" ca="1" si="4"/>
        <v>27.043966669219028</v>
      </c>
      <c r="X20" s="2">
        <f t="shared" ca="1" si="4"/>
        <v>21.286960409598638</v>
      </c>
      <c r="Y20" s="2">
        <f t="shared" ca="1" si="4"/>
        <v>28.970312778312231</v>
      </c>
      <c r="Z20" s="2">
        <f t="shared" ca="1" si="4"/>
        <v>23.499146770120873</v>
      </c>
      <c r="AA20" s="2">
        <f t="shared" ca="1" si="5"/>
        <v>24.285290031353369</v>
      </c>
      <c r="AB20" s="2">
        <f t="shared" ca="1" si="5"/>
        <v>23.032570208844337</v>
      </c>
      <c r="AC20" s="2">
        <f t="shared" ca="1" si="5"/>
        <v>29.283602842299373</v>
      </c>
      <c r="AD20" s="2">
        <f t="shared" ca="1" si="5"/>
        <v>23.158345588016683</v>
      </c>
      <c r="AE20" s="2">
        <f t="shared" ca="1" si="5"/>
        <v>26.313996969931818</v>
      </c>
      <c r="AF20" s="2">
        <f t="shared" ca="1" si="5"/>
        <v>25.757152403010064</v>
      </c>
      <c r="AG20" s="2">
        <f t="shared" ca="1" si="5"/>
        <v>28.946217260078281</v>
      </c>
      <c r="AH20" s="2">
        <f t="shared" ca="1" si="5"/>
        <v>29.937888138084332</v>
      </c>
    </row>
    <row r="21" spans="1:34">
      <c r="A21" t="str">
        <f t="shared" si="6"/>
        <v>Sorghum</v>
      </c>
      <c r="B21" t="str">
        <f t="shared" si="7"/>
        <v>Oromia</v>
      </c>
      <c r="C21" s="2">
        <f t="shared" ca="1" si="3"/>
        <v>21.422715004621352</v>
      </c>
      <c r="D21" s="2">
        <f t="shared" ca="1" si="3"/>
        <v>24.864559759011357</v>
      </c>
      <c r="E21" s="2">
        <f t="shared" ca="1" si="3"/>
        <v>28.812557025633712</v>
      </c>
      <c r="F21" s="2">
        <f t="shared" ca="1" si="3"/>
        <v>27.101673922231413</v>
      </c>
      <c r="G21" s="2">
        <f t="shared" ca="1" si="3"/>
        <v>20.954769528825977</v>
      </c>
      <c r="H21" s="2">
        <f t="shared" ca="1" si="3"/>
        <v>27.793811963113633</v>
      </c>
      <c r="I21" s="2">
        <f t="shared" ca="1" si="3"/>
        <v>26.419674006336468</v>
      </c>
      <c r="J21" s="2">
        <f t="shared" ca="1" si="3"/>
        <v>24.322410679831794</v>
      </c>
      <c r="K21" s="2">
        <f t="shared" ca="1" si="3"/>
        <v>20.268711417942548</v>
      </c>
      <c r="L21" s="2">
        <f t="shared" ca="1" si="3"/>
        <v>23.264394145671492</v>
      </c>
      <c r="M21" s="2">
        <f t="shared" ca="1" si="3"/>
        <v>28.652406264760671</v>
      </c>
      <c r="N21" s="2">
        <f t="shared" ca="1" si="3"/>
        <v>26.007140068944</v>
      </c>
      <c r="O21" s="2">
        <f t="shared" ca="1" si="3"/>
        <v>24.603949774233165</v>
      </c>
      <c r="P21" s="2">
        <f t="shared" ca="1" si="3"/>
        <v>21.159484364624728</v>
      </c>
      <c r="Q21" s="2">
        <f t="shared" ca="1" si="3"/>
        <v>20.417256677912953</v>
      </c>
      <c r="R21" s="2">
        <f t="shared" ca="1" si="3"/>
        <v>21.881194763778641</v>
      </c>
      <c r="S21" s="2">
        <f t="shared" ca="1" si="4"/>
        <v>29.645156810677044</v>
      </c>
      <c r="T21" s="2">
        <f t="shared" ca="1" si="4"/>
        <v>28.319396422713126</v>
      </c>
      <c r="U21" s="2">
        <f t="shared" ca="1" si="4"/>
        <v>25.661907429371599</v>
      </c>
      <c r="V21" s="2">
        <f t="shared" ca="1" si="4"/>
        <v>22.427003943415205</v>
      </c>
      <c r="W21" s="2">
        <f t="shared" ca="1" si="4"/>
        <v>20.680018063152797</v>
      </c>
      <c r="X21" s="2">
        <f t="shared" ca="1" si="4"/>
        <v>22.100649295727877</v>
      </c>
      <c r="Y21" s="2">
        <f t="shared" ca="1" si="4"/>
        <v>27.435202607512622</v>
      </c>
      <c r="Z21" s="2">
        <f t="shared" ca="1" si="4"/>
        <v>29.702108216314265</v>
      </c>
      <c r="AA21" s="2">
        <f t="shared" ca="1" si="5"/>
        <v>21.522037926150045</v>
      </c>
      <c r="AB21" s="2">
        <f t="shared" ca="1" si="5"/>
        <v>25.842858022073745</v>
      </c>
      <c r="AC21" s="2">
        <f t="shared" ca="1" si="5"/>
        <v>27.159773563122414</v>
      </c>
      <c r="AD21" s="2">
        <f t="shared" ca="1" si="5"/>
        <v>29.825489593815242</v>
      </c>
      <c r="AE21" s="2">
        <f t="shared" ca="1" si="5"/>
        <v>28.527988243796699</v>
      </c>
      <c r="AF21" s="2">
        <f t="shared" ca="1" si="5"/>
        <v>29.68785099462664</v>
      </c>
      <c r="AG21" s="2">
        <f t="shared" ca="1" si="5"/>
        <v>23.722667367217944</v>
      </c>
      <c r="AH21" s="2">
        <f t="shared" ca="1" si="5"/>
        <v>23.790025747132908</v>
      </c>
    </row>
    <row r="22" spans="1:34">
      <c r="A22" t="str">
        <f t="shared" si="6"/>
        <v>Sorghum</v>
      </c>
      <c r="B22" t="str">
        <f t="shared" si="7"/>
        <v>Somali</v>
      </c>
      <c r="C22" s="2">
        <f t="shared" ca="1" si="3"/>
        <v>27.632369011047281</v>
      </c>
      <c r="D22" s="2">
        <f t="shared" ca="1" si="3"/>
        <v>25.805737216940667</v>
      </c>
      <c r="E22" s="2">
        <f t="shared" ca="1" si="3"/>
        <v>23.489714751892048</v>
      </c>
      <c r="F22" s="2">
        <f t="shared" ca="1" si="3"/>
        <v>29.647434049604222</v>
      </c>
      <c r="G22" s="2">
        <f t="shared" ca="1" si="3"/>
        <v>27.504303625991938</v>
      </c>
      <c r="H22" s="2">
        <f t="shared" ca="1" si="3"/>
        <v>22.091320216649692</v>
      </c>
      <c r="I22" s="2">
        <f t="shared" ca="1" si="3"/>
        <v>29.78768236481541</v>
      </c>
      <c r="J22" s="2">
        <f t="shared" ca="1" si="3"/>
        <v>21.69862622215074</v>
      </c>
      <c r="K22" s="2">
        <f t="shared" ca="1" si="3"/>
        <v>26.755917054399909</v>
      </c>
      <c r="L22" s="2">
        <f t="shared" ca="1" si="3"/>
        <v>22.906412656389644</v>
      </c>
      <c r="M22" s="2">
        <f t="shared" ca="1" si="3"/>
        <v>23.457001079387521</v>
      </c>
      <c r="N22" s="2">
        <f t="shared" ca="1" si="3"/>
        <v>29.610014590659304</v>
      </c>
      <c r="O22" s="2">
        <f t="shared" ca="1" si="3"/>
        <v>23.880738485167591</v>
      </c>
      <c r="P22" s="2">
        <f t="shared" ca="1" si="3"/>
        <v>24.930100118929317</v>
      </c>
      <c r="Q22" s="2">
        <f t="shared" ca="1" si="3"/>
        <v>21.96335896995236</v>
      </c>
      <c r="R22" s="2">
        <f t="shared" ca="1" si="3"/>
        <v>22.574418313626328</v>
      </c>
      <c r="S22" s="2">
        <f t="shared" ca="1" si="4"/>
        <v>23.066662835616086</v>
      </c>
      <c r="T22" s="2">
        <f t="shared" ca="1" si="4"/>
        <v>25.756532828974304</v>
      </c>
      <c r="U22" s="2">
        <f t="shared" ca="1" si="4"/>
        <v>28.32715165511145</v>
      </c>
      <c r="V22" s="2">
        <f t="shared" ca="1" si="4"/>
        <v>22.062855151054119</v>
      </c>
      <c r="W22" s="2">
        <f t="shared" ca="1" si="4"/>
        <v>29.464614979586806</v>
      </c>
      <c r="X22" s="2">
        <f t="shared" ca="1" si="4"/>
        <v>26.720389999556112</v>
      </c>
      <c r="Y22" s="2">
        <f t="shared" ca="1" si="4"/>
        <v>28.256540379369287</v>
      </c>
      <c r="Z22" s="2">
        <f t="shared" ca="1" si="4"/>
        <v>26.68575363487874</v>
      </c>
      <c r="AA22" s="2">
        <f t="shared" ca="1" si="5"/>
        <v>21.498410506962664</v>
      </c>
      <c r="AB22" s="2">
        <f t="shared" ca="1" si="5"/>
        <v>29.637214687032998</v>
      </c>
      <c r="AC22" s="2">
        <f t="shared" ca="1" si="5"/>
        <v>24.748547144117605</v>
      </c>
      <c r="AD22" s="2">
        <f t="shared" ca="1" si="5"/>
        <v>26.065186424097924</v>
      </c>
      <c r="AE22" s="2">
        <f t="shared" ca="1" si="5"/>
        <v>21.34767408497823</v>
      </c>
      <c r="AF22" s="2">
        <f t="shared" ca="1" si="5"/>
        <v>28.473792006530612</v>
      </c>
      <c r="AG22" s="2">
        <f t="shared" ca="1" si="5"/>
        <v>23.228358110969442</v>
      </c>
      <c r="AH22" s="2">
        <f t="shared" ca="1" si="5"/>
        <v>21.851899892431</v>
      </c>
    </row>
    <row r="23" spans="1:34">
      <c r="A23" t="str">
        <f t="shared" si="6"/>
        <v>Sorghum</v>
      </c>
      <c r="B23" t="str">
        <f t="shared" si="7"/>
        <v>SNNPR</v>
      </c>
      <c r="C23" s="2">
        <f t="shared" ca="1" si="3"/>
        <v>20.14841056590458</v>
      </c>
      <c r="D23" s="2">
        <f t="shared" ca="1" si="3"/>
        <v>29.990270060784781</v>
      </c>
      <c r="E23" s="2">
        <f t="shared" ca="1" si="3"/>
        <v>22.539229223570327</v>
      </c>
      <c r="F23" s="2">
        <f t="shared" ca="1" si="3"/>
        <v>29.541244291029685</v>
      </c>
      <c r="G23" s="2">
        <f t="shared" ca="1" si="3"/>
        <v>22.680981188806516</v>
      </c>
      <c r="H23" s="2">
        <f t="shared" ca="1" si="3"/>
        <v>27.519588006595502</v>
      </c>
      <c r="I23" s="2">
        <f t="shared" ca="1" si="3"/>
        <v>20.439556794879827</v>
      </c>
      <c r="J23" s="2">
        <f t="shared" ca="1" si="3"/>
        <v>21.429623138136012</v>
      </c>
      <c r="K23" s="2">
        <f t="shared" ca="1" si="3"/>
        <v>29.523353652253448</v>
      </c>
      <c r="L23" s="2">
        <f t="shared" ca="1" si="3"/>
        <v>29.621733776928956</v>
      </c>
      <c r="M23" s="2">
        <f t="shared" ca="1" si="3"/>
        <v>20.346401826527657</v>
      </c>
      <c r="N23" s="2">
        <f t="shared" ca="1" si="3"/>
        <v>26.307336954059245</v>
      </c>
      <c r="O23" s="2">
        <f t="shared" ca="1" si="3"/>
        <v>27.18486079278556</v>
      </c>
      <c r="P23" s="2">
        <f t="shared" ca="1" si="3"/>
        <v>28.252810423095177</v>
      </c>
      <c r="Q23" s="2">
        <f t="shared" ca="1" si="3"/>
        <v>22.753860551053215</v>
      </c>
      <c r="R23" s="2">
        <f t="shared" ca="1" si="3"/>
        <v>22.224027188372098</v>
      </c>
      <c r="S23" s="2">
        <f t="shared" ca="1" si="4"/>
        <v>24.363338959862482</v>
      </c>
      <c r="T23" s="2">
        <f t="shared" ca="1" si="4"/>
        <v>26.926660786683744</v>
      </c>
      <c r="U23" s="2">
        <f t="shared" ca="1" si="4"/>
        <v>26.263130551578818</v>
      </c>
      <c r="V23" s="2">
        <f t="shared" ca="1" si="4"/>
        <v>21.412627475721305</v>
      </c>
      <c r="W23" s="2">
        <f t="shared" ca="1" si="4"/>
        <v>25.065496481841492</v>
      </c>
      <c r="X23" s="2">
        <f t="shared" ca="1" si="4"/>
        <v>22.904898545788008</v>
      </c>
      <c r="Y23" s="2">
        <f t="shared" ca="1" si="4"/>
        <v>24.497653805514975</v>
      </c>
      <c r="Z23" s="2">
        <f t="shared" ca="1" si="4"/>
        <v>22.19082853086945</v>
      </c>
      <c r="AA23" s="2">
        <f t="shared" ca="1" si="5"/>
        <v>20.462553177499423</v>
      </c>
      <c r="AB23" s="2">
        <f t="shared" ca="1" si="5"/>
        <v>29.828650153788079</v>
      </c>
      <c r="AC23" s="2">
        <f t="shared" ca="1" si="5"/>
        <v>23.426918654415893</v>
      </c>
      <c r="AD23" s="2">
        <f t="shared" ca="1" si="5"/>
        <v>21.04637451788059</v>
      </c>
      <c r="AE23" s="2">
        <f t="shared" ca="1" si="5"/>
        <v>25.138975249048062</v>
      </c>
      <c r="AF23" s="2">
        <f t="shared" ca="1" si="5"/>
        <v>28.582341630100267</v>
      </c>
      <c r="AG23" s="2">
        <f t="shared" ca="1" si="5"/>
        <v>27.947096519717306</v>
      </c>
      <c r="AH23" s="2">
        <f t="shared" ca="1" si="5"/>
        <v>28.149334237856905</v>
      </c>
    </row>
    <row r="24" spans="1:34">
      <c r="A24" t="str">
        <f t="shared" si="6"/>
        <v>Sorghum</v>
      </c>
      <c r="B24" t="str">
        <f t="shared" si="7"/>
        <v>Tigray</v>
      </c>
      <c r="C24" s="2">
        <f t="shared" ca="1" si="3"/>
        <v>29.517019595710742</v>
      </c>
      <c r="D24" s="2">
        <f t="shared" ca="1" si="3"/>
        <v>24.444550668140693</v>
      </c>
      <c r="E24" s="2">
        <f t="shared" ca="1" si="3"/>
        <v>23.650614094413001</v>
      </c>
      <c r="F24" s="2">
        <f t="shared" ca="1" si="3"/>
        <v>22.451945959098349</v>
      </c>
      <c r="G24" s="2">
        <f t="shared" ca="1" si="3"/>
        <v>26.014299264438595</v>
      </c>
      <c r="H24" s="2">
        <f t="shared" ca="1" si="3"/>
        <v>29.819224075195539</v>
      </c>
      <c r="I24" s="2">
        <f t="shared" ca="1" si="3"/>
        <v>25.476889928821567</v>
      </c>
      <c r="J24" s="2">
        <f t="shared" ca="1" si="3"/>
        <v>29.390200393455366</v>
      </c>
      <c r="K24" s="2">
        <f t="shared" ca="1" si="3"/>
        <v>20.319247170590522</v>
      </c>
      <c r="L24" s="2">
        <f t="shared" ca="1" si="3"/>
        <v>26.81373637407</v>
      </c>
      <c r="M24" s="2">
        <f t="shared" ca="1" si="3"/>
        <v>22.750228905110497</v>
      </c>
      <c r="N24" s="2">
        <f t="shared" ca="1" si="3"/>
        <v>24.337273976622356</v>
      </c>
      <c r="O24" s="2">
        <f t="shared" ca="1" si="3"/>
        <v>26.096883301290173</v>
      </c>
      <c r="P24" s="2">
        <f t="shared" ca="1" si="3"/>
        <v>23.83779038121893</v>
      </c>
      <c r="Q24" s="2">
        <f t="shared" ca="1" si="3"/>
        <v>29.638496852035573</v>
      </c>
      <c r="R24" s="2">
        <f t="shared" ca="1" si="3"/>
        <v>25.017524070921699</v>
      </c>
      <c r="S24" s="2">
        <f t="shared" ca="1" si="4"/>
        <v>29.292210714226929</v>
      </c>
      <c r="T24" s="2">
        <f t="shared" ca="1" si="4"/>
        <v>28.370979861281725</v>
      </c>
      <c r="U24" s="2">
        <f t="shared" ca="1" si="4"/>
        <v>21.110684068837106</v>
      </c>
      <c r="V24" s="2">
        <f t="shared" ca="1" si="4"/>
        <v>26.152308853376461</v>
      </c>
      <c r="W24" s="2">
        <f t="shared" ca="1" si="4"/>
        <v>24.878115984002811</v>
      </c>
      <c r="X24" s="2">
        <f t="shared" ca="1" si="4"/>
        <v>25.525832744356237</v>
      </c>
      <c r="Y24" s="2">
        <f t="shared" ca="1" si="4"/>
        <v>28.324180167878797</v>
      </c>
      <c r="Z24" s="2">
        <f t="shared" ca="1" si="4"/>
        <v>29.695155161761555</v>
      </c>
      <c r="AA24" s="2">
        <f t="shared" ca="1" si="5"/>
        <v>29.967651451644311</v>
      </c>
      <c r="AB24" s="2">
        <f t="shared" ca="1" si="5"/>
        <v>27.073087236022758</v>
      </c>
      <c r="AC24" s="2">
        <f t="shared" ca="1" si="5"/>
        <v>22.664617839075401</v>
      </c>
      <c r="AD24" s="2">
        <f t="shared" ca="1" si="5"/>
        <v>21.179573497039996</v>
      </c>
      <c r="AE24" s="2">
        <f t="shared" ca="1" si="5"/>
        <v>20.310345933383243</v>
      </c>
      <c r="AF24" s="2">
        <f t="shared" ca="1" si="5"/>
        <v>21.063623739182159</v>
      </c>
      <c r="AG24" s="2">
        <f t="shared" ca="1" si="5"/>
        <v>20.963427951277875</v>
      </c>
      <c r="AH24" s="2">
        <f t="shared" ca="1" si="5"/>
        <v>27.846835269849514</v>
      </c>
    </row>
    <row r="25" spans="1:34">
      <c r="A25" t="str">
        <f t="shared" si="6"/>
        <v>Maize</v>
      </c>
      <c r="B25" t="str">
        <f t="shared" si="7"/>
        <v>AddisAbaba</v>
      </c>
      <c r="C25" s="2">
        <f t="shared" ca="1" si="3"/>
        <v>21.514432825089745</v>
      </c>
      <c r="D25" s="2">
        <f t="shared" ca="1" si="3"/>
        <v>29.093755267165701</v>
      </c>
      <c r="E25" s="2">
        <f t="shared" ca="1" si="3"/>
        <v>29.604069357268525</v>
      </c>
      <c r="F25" s="2">
        <f t="shared" ca="1" si="3"/>
        <v>22.206324208126464</v>
      </c>
      <c r="G25" s="2">
        <f t="shared" ca="1" si="3"/>
        <v>20.400394262648039</v>
      </c>
      <c r="H25" s="2">
        <f t="shared" ca="1" si="3"/>
        <v>28.403067160382911</v>
      </c>
      <c r="I25" s="2">
        <f t="shared" ca="1" si="3"/>
        <v>20.823308653603799</v>
      </c>
      <c r="J25" s="2">
        <f t="shared" ca="1" si="3"/>
        <v>21.302466199489867</v>
      </c>
      <c r="K25" s="2">
        <f t="shared" ca="1" si="3"/>
        <v>21.186403601508925</v>
      </c>
      <c r="L25" s="2">
        <f t="shared" ca="1" si="3"/>
        <v>28.811079110605593</v>
      </c>
      <c r="M25" s="2">
        <f t="shared" ca="1" si="3"/>
        <v>25.976487254741631</v>
      </c>
      <c r="N25" s="2">
        <f t="shared" ca="1" si="3"/>
        <v>21.414830491844025</v>
      </c>
      <c r="O25" s="2">
        <f t="shared" ca="1" si="3"/>
        <v>20.649813677146835</v>
      </c>
      <c r="P25" s="2">
        <f t="shared" ca="1" si="3"/>
        <v>28.119451904643363</v>
      </c>
      <c r="Q25" s="2">
        <f t="shared" ca="1" si="3"/>
        <v>27.185908005911713</v>
      </c>
      <c r="R25" s="2">
        <f t="shared" ca="1" si="3"/>
        <v>20.697039222905637</v>
      </c>
      <c r="S25" s="2">
        <f t="shared" ca="1" si="4"/>
        <v>23.384548194794778</v>
      </c>
      <c r="T25" s="2">
        <f t="shared" ca="1" si="4"/>
        <v>25.961250217797161</v>
      </c>
      <c r="U25" s="2">
        <f t="shared" ca="1" si="4"/>
        <v>25.898782571961899</v>
      </c>
      <c r="V25" s="2">
        <f t="shared" ca="1" si="4"/>
        <v>24.799559405568754</v>
      </c>
      <c r="W25" s="2">
        <f t="shared" ca="1" si="4"/>
        <v>27.229779169507708</v>
      </c>
      <c r="X25" s="2">
        <f t="shared" ca="1" si="4"/>
        <v>20.005221142686626</v>
      </c>
      <c r="Y25" s="2">
        <f t="shared" ca="1" si="4"/>
        <v>25.723373609940857</v>
      </c>
      <c r="Z25" s="2">
        <f t="shared" ca="1" si="4"/>
        <v>22.570905544901805</v>
      </c>
      <c r="AA25" s="2">
        <f t="shared" ca="1" si="5"/>
        <v>21.44587686716801</v>
      </c>
      <c r="AB25" s="2">
        <f t="shared" ca="1" si="5"/>
        <v>28.916060865881267</v>
      </c>
      <c r="AC25" s="2">
        <f t="shared" ca="1" si="5"/>
        <v>29.826210825114906</v>
      </c>
      <c r="AD25" s="2">
        <f t="shared" ca="1" si="5"/>
        <v>24.657823738640541</v>
      </c>
      <c r="AE25" s="2">
        <f t="shared" ca="1" si="5"/>
        <v>26.552646849126827</v>
      </c>
      <c r="AF25" s="2">
        <f t="shared" ca="1" si="5"/>
        <v>20.245874659992694</v>
      </c>
      <c r="AG25" s="2">
        <f t="shared" ca="1" si="5"/>
        <v>25.241635510702981</v>
      </c>
      <c r="AH25" s="2">
        <f t="shared" ca="1" si="5"/>
        <v>29.806629506876803</v>
      </c>
    </row>
    <row r="26" spans="1:34">
      <c r="A26" t="str">
        <f t="shared" si="6"/>
        <v>Maize</v>
      </c>
      <c r="B26" t="str">
        <f t="shared" si="7"/>
        <v>Afar</v>
      </c>
      <c r="C26" s="2">
        <f t="shared" ca="1" si="3"/>
        <v>27.407866132861813</v>
      </c>
      <c r="D26" s="2">
        <f t="shared" ca="1" si="3"/>
        <v>24.434870328463671</v>
      </c>
      <c r="E26" s="2">
        <f t="shared" ca="1" si="3"/>
        <v>25.959251231444842</v>
      </c>
      <c r="F26" s="2">
        <f t="shared" ca="1" si="3"/>
        <v>27.496334564364243</v>
      </c>
      <c r="G26" s="2">
        <f t="shared" ca="1" si="3"/>
        <v>21.311287749126684</v>
      </c>
      <c r="H26" s="2">
        <f t="shared" ca="1" si="3"/>
        <v>29.856021676892542</v>
      </c>
      <c r="I26" s="2">
        <f t="shared" ca="1" si="3"/>
        <v>27.940460519558229</v>
      </c>
      <c r="J26" s="2">
        <f t="shared" ca="1" si="3"/>
        <v>26.885277990536778</v>
      </c>
      <c r="K26" s="2">
        <f t="shared" ca="1" si="3"/>
        <v>20.529071582815412</v>
      </c>
      <c r="L26" s="2">
        <f t="shared" ca="1" si="3"/>
        <v>27.423249397713466</v>
      </c>
      <c r="M26" s="2">
        <f t="shared" ca="1" si="3"/>
        <v>29.764748450696786</v>
      </c>
      <c r="N26" s="2">
        <f t="shared" ca="1" si="3"/>
        <v>29.218478897087515</v>
      </c>
      <c r="O26" s="2">
        <f t="shared" ca="1" si="3"/>
        <v>28.605846999377565</v>
      </c>
      <c r="P26" s="2">
        <f t="shared" ca="1" si="3"/>
        <v>21.684605592826394</v>
      </c>
      <c r="Q26" s="2">
        <f t="shared" ca="1" si="3"/>
        <v>26.354694590416411</v>
      </c>
      <c r="R26" s="2">
        <f t="shared" ca="1" si="3"/>
        <v>26.104816492187489</v>
      </c>
      <c r="S26" s="2">
        <f t="shared" ca="1" si="4"/>
        <v>29.317778772554199</v>
      </c>
      <c r="T26" s="2">
        <f t="shared" ca="1" si="4"/>
        <v>26.269851402188532</v>
      </c>
      <c r="U26" s="2">
        <f t="shared" ca="1" si="4"/>
        <v>26.112881728191649</v>
      </c>
      <c r="V26" s="2">
        <f t="shared" ca="1" si="4"/>
        <v>24.364580436086456</v>
      </c>
      <c r="W26" s="2">
        <f t="shared" ca="1" si="4"/>
        <v>28.314865756249354</v>
      </c>
      <c r="X26" s="2">
        <f t="shared" ca="1" si="4"/>
        <v>20.019785936489175</v>
      </c>
      <c r="Y26" s="2">
        <f t="shared" ca="1" si="4"/>
        <v>27.383037691208262</v>
      </c>
      <c r="Z26" s="2">
        <f t="shared" ca="1" si="4"/>
        <v>26.313060369992613</v>
      </c>
      <c r="AA26" s="2">
        <f t="shared" ca="1" si="5"/>
        <v>20.020841485760638</v>
      </c>
      <c r="AB26" s="2">
        <f t="shared" ca="1" si="5"/>
        <v>23.89441092039042</v>
      </c>
      <c r="AC26" s="2">
        <f t="shared" ca="1" si="5"/>
        <v>25.159199765238576</v>
      </c>
      <c r="AD26" s="2">
        <f t="shared" ca="1" si="5"/>
        <v>25.372063979278568</v>
      </c>
      <c r="AE26" s="2">
        <f t="shared" ca="1" si="5"/>
        <v>27.957402575200653</v>
      </c>
      <c r="AF26" s="2">
        <f t="shared" ca="1" si="5"/>
        <v>29.585576023183791</v>
      </c>
      <c r="AG26" s="2">
        <f t="shared" ca="1" si="5"/>
        <v>20.488011567466394</v>
      </c>
      <c r="AH26" s="2">
        <f t="shared" ca="1" si="5"/>
        <v>27.528988935038711</v>
      </c>
    </row>
    <row r="27" spans="1:34">
      <c r="A27" t="str">
        <f t="shared" si="6"/>
        <v>Maize</v>
      </c>
      <c r="B27" t="str">
        <f t="shared" si="7"/>
        <v>Amhara</v>
      </c>
      <c r="C27" s="2">
        <f t="shared" ca="1" si="3"/>
        <v>26.160404671602716</v>
      </c>
      <c r="D27" s="2">
        <f t="shared" ca="1" si="3"/>
        <v>25.070875928020577</v>
      </c>
      <c r="E27" s="2">
        <f t="shared" ca="1" si="3"/>
        <v>20.340478650003057</v>
      </c>
      <c r="F27" s="2">
        <f t="shared" ca="1" si="3"/>
        <v>22.130325918362121</v>
      </c>
      <c r="G27" s="2">
        <f t="shared" ca="1" si="3"/>
        <v>20.15738728883608</v>
      </c>
      <c r="H27" s="2">
        <f t="shared" ca="1" si="3"/>
        <v>26.723971549701485</v>
      </c>
      <c r="I27" s="2">
        <f t="shared" ca="1" si="3"/>
        <v>20.895282089015684</v>
      </c>
      <c r="J27" s="2">
        <f t="shared" ref="J27:Y68" ca="1" si="8">(RAND()*0.1+0.2)*100</f>
        <v>26.594637473435263</v>
      </c>
      <c r="K27" s="2">
        <f t="shared" ca="1" si="8"/>
        <v>26.193229012942275</v>
      </c>
      <c r="L27" s="2">
        <f t="shared" ca="1" si="8"/>
        <v>27.181019535404193</v>
      </c>
      <c r="M27" s="2">
        <f t="shared" ca="1" si="8"/>
        <v>29.017690929454897</v>
      </c>
      <c r="N27" s="2">
        <f t="shared" ca="1" si="8"/>
        <v>27.17776193478776</v>
      </c>
      <c r="O27" s="2">
        <f t="shared" ca="1" si="8"/>
        <v>27.77703805528159</v>
      </c>
      <c r="P27" s="2">
        <f t="shared" ca="1" si="8"/>
        <v>21.106631039639723</v>
      </c>
      <c r="Q27" s="2">
        <f t="shared" ca="1" si="8"/>
        <v>21.391072742974821</v>
      </c>
      <c r="R27" s="2">
        <f t="shared" ca="1" si="8"/>
        <v>29.085593974618646</v>
      </c>
      <c r="S27" s="2">
        <f t="shared" ca="1" si="8"/>
        <v>29.233841913798624</v>
      </c>
      <c r="T27" s="2">
        <f t="shared" ca="1" si="8"/>
        <v>25.015874509500151</v>
      </c>
      <c r="U27" s="2">
        <f t="shared" ca="1" si="8"/>
        <v>26.918848633366</v>
      </c>
      <c r="V27" s="2">
        <f t="shared" ca="1" si="8"/>
        <v>29.28449620540362</v>
      </c>
      <c r="W27" s="2">
        <f t="shared" ca="1" si="8"/>
        <v>28.073764047584849</v>
      </c>
      <c r="X27" s="2">
        <f t="shared" ca="1" si="8"/>
        <v>24.467621327566391</v>
      </c>
      <c r="Y27" s="2">
        <f t="shared" ca="1" si="8"/>
        <v>29.436913899784468</v>
      </c>
      <c r="Z27" s="2">
        <f t="shared" ca="1" si="4"/>
        <v>27.698689662190635</v>
      </c>
      <c r="AA27" s="2">
        <f t="shared" ca="1" si="5"/>
        <v>26.165723220815053</v>
      </c>
      <c r="AB27" s="2">
        <f t="shared" ca="1" si="5"/>
        <v>20.414300527828765</v>
      </c>
      <c r="AC27" s="2">
        <f t="shared" ca="1" si="5"/>
        <v>24.093917356955568</v>
      </c>
      <c r="AD27" s="2">
        <f t="shared" ca="1" si="5"/>
        <v>20.353650734222288</v>
      </c>
      <c r="AE27" s="2">
        <f t="shared" ca="1" si="5"/>
        <v>29.233091061173067</v>
      </c>
      <c r="AF27" s="2">
        <f t="shared" ca="1" si="5"/>
        <v>22.228364157048293</v>
      </c>
      <c r="AG27" s="2">
        <f t="shared" ca="1" si="5"/>
        <v>25.940084810091424</v>
      </c>
      <c r="AH27" s="2">
        <f t="shared" ca="1" si="5"/>
        <v>20.466045706081008</v>
      </c>
    </row>
    <row r="28" spans="1:34">
      <c r="A28" t="str">
        <f t="shared" si="6"/>
        <v>Maize</v>
      </c>
      <c r="B28" t="str">
        <f t="shared" si="7"/>
        <v>Gumuz</v>
      </c>
      <c r="C28" s="2">
        <f t="shared" ref="C28:R68" ca="1" si="9">(RAND()*0.1+0.2)*100</f>
        <v>20.953549170539564</v>
      </c>
      <c r="D28" s="2">
        <f t="shared" ca="1" si="9"/>
        <v>25.026300452853228</v>
      </c>
      <c r="E28" s="2">
        <f t="shared" ca="1" si="9"/>
        <v>21.019420866970748</v>
      </c>
      <c r="F28" s="2">
        <f t="shared" ca="1" si="9"/>
        <v>23.245523157154928</v>
      </c>
      <c r="G28" s="2">
        <f t="shared" ca="1" si="9"/>
        <v>23.8974828011421</v>
      </c>
      <c r="H28" s="2">
        <f t="shared" ca="1" si="9"/>
        <v>20.053158508573457</v>
      </c>
      <c r="I28" s="2">
        <f t="shared" ca="1" si="9"/>
        <v>29.974710628081375</v>
      </c>
      <c r="J28" s="2">
        <f t="shared" ca="1" si="9"/>
        <v>26.402634919664841</v>
      </c>
      <c r="K28" s="2">
        <f t="shared" ca="1" si="9"/>
        <v>22.540230253478892</v>
      </c>
      <c r="L28" s="2">
        <f t="shared" ca="1" si="9"/>
        <v>26.984188523348035</v>
      </c>
      <c r="M28" s="2">
        <f t="shared" ca="1" si="9"/>
        <v>21.796073682774228</v>
      </c>
      <c r="N28" s="2">
        <f t="shared" ca="1" si="9"/>
        <v>29.094743830466285</v>
      </c>
      <c r="O28" s="2">
        <f t="shared" ca="1" si="9"/>
        <v>28.414417585792034</v>
      </c>
      <c r="P28" s="2">
        <f t="shared" ca="1" si="9"/>
        <v>25.413663152988729</v>
      </c>
      <c r="Q28" s="2">
        <f t="shared" ca="1" si="9"/>
        <v>23.806889995251229</v>
      </c>
      <c r="R28" s="2">
        <f t="shared" ca="1" si="9"/>
        <v>23.141909064331831</v>
      </c>
      <c r="S28" s="2">
        <f t="shared" ca="1" si="8"/>
        <v>25.645448955291371</v>
      </c>
      <c r="T28" s="2">
        <f t="shared" ca="1" si="8"/>
        <v>28.500010308346326</v>
      </c>
      <c r="U28" s="2">
        <f t="shared" ca="1" si="8"/>
        <v>24.888211760145403</v>
      </c>
      <c r="V28" s="2">
        <f t="shared" ca="1" si="8"/>
        <v>20.093125785317724</v>
      </c>
      <c r="W28" s="2">
        <f t="shared" ca="1" si="8"/>
        <v>26.648085477242034</v>
      </c>
      <c r="X28" s="2">
        <f t="shared" ca="1" si="8"/>
        <v>29.924260775062507</v>
      </c>
      <c r="Y28" s="2">
        <f t="shared" ca="1" si="8"/>
        <v>21.841055881215198</v>
      </c>
      <c r="Z28" s="2">
        <f t="shared" ca="1" si="4"/>
        <v>24.521240343922816</v>
      </c>
      <c r="AA28" s="2">
        <f t="shared" ca="1" si="5"/>
        <v>21.280757907300369</v>
      </c>
      <c r="AB28" s="2">
        <f t="shared" ca="1" si="5"/>
        <v>27.66929611455382</v>
      </c>
      <c r="AC28" s="2">
        <f t="shared" ca="1" si="5"/>
        <v>28.736153969242483</v>
      </c>
      <c r="AD28" s="2">
        <f t="shared" ca="1" si="5"/>
        <v>25.255965738559411</v>
      </c>
      <c r="AE28" s="2">
        <f t="shared" ca="1" si="5"/>
        <v>21.703288655472157</v>
      </c>
      <c r="AF28" s="2">
        <f t="shared" ca="1" si="5"/>
        <v>25.085300641886061</v>
      </c>
      <c r="AG28" s="2">
        <f t="shared" ca="1" si="5"/>
        <v>24.245794739058013</v>
      </c>
      <c r="AH28" s="2">
        <f t="shared" ca="1" si="5"/>
        <v>24.516955303709949</v>
      </c>
    </row>
    <row r="29" spans="1:34">
      <c r="A29" t="str">
        <f t="shared" si="6"/>
        <v>Maize</v>
      </c>
      <c r="B29" t="str">
        <f t="shared" si="7"/>
        <v>DireDawa</v>
      </c>
      <c r="C29" s="2">
        <f t="shared" ca="1" si="9"/>
        <v>26.980522432796839</v>
      </c>
      <c r="D29" s="2">
        <f t="shared" ca="1" si="9"/>
        <v>20.807590571156894</v>
      </c>
      <c r="E29" s="2">
        <f t="shared" ca="1" si="9"/>
        <v>22.99577662694454</v>
      </c>
      <c r="F29" s="2">
        <f t="shared" ca="1" si="9"/>
        <v>25.080777270609367</v>
      </c>
      <c r="G29" s="2">
        <f t="shared" ca="1" si="9"/>
        <v>29.068156294295655</v>
      </c>
      <c r="H29" s="2">
        <f t="shared" ca="1" si="9"/>
        <v>20.596569492425942</v>
      </c>
      <c r="I29" s="2">
        <f t="shared" ca="1" si="9"/>
        <v>24.948115166980735</v>
      </c>
      <c r="J29" s="2">
        <f t="shared" ca="1" si="9"/>
        <v>22.634569622864777</v>
      </c>
      <c r="K29" s="2">
        <f t="shared" ca="1" si="9"/>
        <v>29.744746454415061</v>
      </c>
      <c r="L29" s="2">
        <f t="shared" ca="1" si="9"/>
        <v>28.515157822533148</v>
      </c>
      <c r="M29" s="2">
        <f t="shared" ca="1" si="9"/>
        <v>27.400825443079608</v>
      </c>
      <c r="N29" s="2">
        <f t="shared" ca="1" si="9"/>
        <v>27.89627197614498</v>
      </c>
      <c r="O29" s="2">
        <f t="shared" ca="1" si="9"/>
        <v>23.367485251462515</v>
      </c>
      <c r="P29" s="2">
        <f t="shared" ca="1" si="9"/>
        <v>29.843714303864648</v>
      </c>
      <c r="Q29" s="2">
        <f t="shared" ca="1" si="9"/>
        <v>21.221108423247475</v>
      </c>
      <c r="R29" s="2">
        <f t="shared" ca="1" si="9"/>
        <v>28.312405831223824</v>
      </c>
      <c r="S29" s="2">
        <f t="shared" ca="1" si="8"/>
        <v>27.493442968447408</v>
      </c>
      <c r="T29" s="2">
        <f t="shared" ca="1" si="8"/>
        <v>25.78274952063639</v>
      </c>
      <c r="U29" s="2">
        <f t="shared" ca="1" si="8"/>
        <v>25.420534836285714</v>
      </c>
      <c r="V29" s="2">
        <f t="shared" ca="1" si="8"/>
        <v>24.973624851077489</v>
      </c>
      <c r="W29" s="2">
        <f t="shared" ca="1" si="8"/>
        <v>24.231728175041827</v>
      </c>
      <c r="X29" s="2">
        <f t="shared" ca="1" si="8"/>
        <v>22.322580330321664</v>
      </c>
      <c r="Y29" s="2">
        <f t="shared" ca="1" si="8"/>
        <v>23.274662105510298</v>
      </c>
      <c r="Z29" s="2">
        <f t="shared" ca="1" si="4"/>
        <v>26.904947366154826</v>
      </c>
      <c r="AA29" s="2">
        <f t="shared" ca="1" si="5"/>
        <v>28.759586133883385</v>
      </c>
      <c r="AB29" s="2">
        <f t="shared" ca="1" si="5"/>
        <v>27.784214749284232</v>
      </c>
      <c r="AC29" s="2">
        <f t="shared" ca="1" si="5"/>
        <v>25.250497694382318</v>
      </c>
      <c r="AD29" s="2">
        <f t="shared" ca="1" si="5"/>
        <v>27.551730912471129</v>
      </c>
      <c r="AE29" s="2">
        <f t="shared" ca="1" si="5"/>
        <v>28.875296326277677</v>
      </c>
      <c r="AF29" s="2">
        <f t="shared" ca="1" si="5"/>
        <v>24.992406981121665</v>
      </c>
      <c r="AG29" s="2">
        <f t="shared" ca="1" si="5"/>
        <v>20.663762531341206</v>
      </c>
      <c r="AH29" s="2">
        <f t="shared" ca="1" si="5"/>
        <v>24.278932304667034</v>
      </c>
    </row>
    <row r="30" spans="1:34">
      <c r="A30" t="str">
        <f t="shared" si="6"/>
        <v>Maize</v>
      </c>
      <c r="B30" t="str">
        <f t="shared" si="7"/>
        <v>Gambela</v>
      </c>
      <c r="C30" s="2">
        <f t="shared" ca="1" si="9"/>
        <v>23.474580114363604</v>
      </c>
      <c r="D30" s="2">
        <f t="shared" ca="1" si="9"/>
        <v>21.572408730831942</v>
      </c>
      <c r="E30" s="2">
        <f t="shared" ca="1" si="9"/>
        <v>28.397084826259029</v>
      </c>
      <c r="F30" s="2">
        <f t="shared" ca="1" si="9"/>
        <v>25.831873412256375</v>
      </c>
      <c r="G30" s="2">
        <f t="shared" ca="1" si="9"/>
        <v>23.087824586350731</v>
      </c>
      <c r="H30" s="2">
        <f t="shared" ca="1" si="9"/>
        <v>24.506387851660602</v>
      </c>
      <c r="I30" s="2">
        <f t="shared" ca="1" si="9"/>
        <v>23.892305949274004</v>
      </c>
      <c r="J30" s="2">
        <f t="shared" ca="1" si="9"/>
        <v>28.114081881753684</v>
      </c>
      <c r="K30" s="2">
        <f t="shared" ca="1" si="9"/>
        <v>21.540903385270685</v>
      </c>
      <c r="L30" s="2">
        <f t="shared" ca="1" si="9"/>
        <v>21.783889813610582</v>
      </c>
      <c r="M30" s="2">
        <f t="shared" ca="1" si="9"/>
        <v>28.57581266207173</v>
      </c>
      <c r="N30" s="2">
        <f t="shared" ca="1" si="9"/>
        <v>24.460159720434888</v>
      </c>
      <c r="O30" s="2">
        <f t="shared" ca="1" si="9"/>
        <v>27.227353118715364</v>
      </c>
      <c r="P30" s="2">
        <f t="shared" ca="1" si="9"/>
        <v>26.021701340056214</v>
      </c>
      <c r="Q30" s="2">
        <f t="shared" ca="1" si="9"/>
        <v>20.667471542713834</v>
      </c>
      <c r="R30" s="2">
        <f t="shared" ca="1" si="9"/>
        <v>29.302263783078253</v>
      </c>
      <c r="S30" s="2">
        <f t="shared" ca="1" si="8"/>
        <v>25.051701464157826</v>
      </c>
      <c r="T30" s="2">
        <f t="shared" ca="1" si="8"/>
        <v>27.716842824837013</v>
      </c>
      <c r="U30" s="2">
        <f t="shared" ca="1" si="8"/>
        <v>21.92295863121873</v>
      </c>
      <c r="V30" s="2">
        <f t="shared" ca="1" si="8"/>
        <v>23.533480051212642</v>
      </c>
      <c r="W30" s="2">
        <f t="shared" ca="1" si="8"/>
        <v>25.359413258319407</v>
      </c>
      <c r="X30" s="2">
        <f t="shared" ca="1" si="8"/>
        <v>26.002502300884402</v>
      </c>
      <c r="Y30" s="2">
        <f t="shared" ca="1" si="8"/>
        <v>27.321567880768971</v>
      </c>
      <c r="Z30" s="2">
        <f t="shared" ca="1" si="4"/>
        <v>24.67606536042366</v>
      </c>
      <c r="AA30" s="2">
        <f t="shared" ca="1" si="5"/>
        <v>21.654234315938787</v>
      </c>
      <c r="AB30" s="2">
        <f t="shared" ca="1" si="5"/>
        <v>21.55521424207895</v>
      </c>
      <c r="AC30" s="2">
        <f t="shared" ca="1" si="5"/>
        <v>20.27378277897704</v>
      </c>
      <c r="AD30" s="2">
        <f t="shared" ca="1" si="5"/>
        <v>24.853439117648868</v>
      </c>
      <c r="AE30" s="2">
        <f t="shared" ca="1" si="5"/>
        <v>23.511968550275061</v>
      </c>
      <c r="AF30" s="2">
        <f t="shared" ca="1" si="5"/>
        <v>20.133650391477151</v>
      </c>
      <c r="AG30" s="2">
        <f t="shared" ca="1" si="5"/>
        <v>29.834899280142892</v>
      </c>
      <c r="AH30" s="2">
        <f t="shared" ca="1" si="5"/>
        <v>25.366739688668744</v>
      </c>
    </row>
    <row r="31" spans="1:34">
      <c r="A31" t="str">
        <f t="shared" si="6"/>
        <v>Maize</v>
      </c>
      <c r="B31" t="str">
        <f t="shared" si="7"/>
        <v>Harari</v>
      </c>
      <c r="C31" s="2">
        <f t="shared" ca="1" si="9"/>
        <v>29.406563525267888</v>
      </c>
      <c r="D31" s="2">
        <f t="shared" ca="1" si="9"/>
        <v>29.258457322583098</v>
      </c>
      <c r="E31" s="2">
        <f t="shared" ca="1" si="9"/>
        <v>28.626551048071256</v>
      </c>
      <c r="F31" s="2">
        <f t="shared" ca="1" si="9"/>
        <v>27.004363602150121</v>
      </c>
      <c r="G31" s="2">
        <f t="shared" ca="1" si="9"/>
        <v>29.281053618035969</v>
      </c>
      <c r="H31" s="2">
        <f t="shared" ca="1" si="9"/>
        <v>21.351723669944136</v>
      </c>
      <c r="I31" s="2">
        <f t="shared" ca="1" si="9"/>
        <v>24.037612461444979</v>
      </c>
      <c r="J31" s="2">
        <f t="shared" ca="1" si="9"/>
        <v>25.458588431892252</v>
      </c>
      <c r="K31" s="2">
        <f t="shared" ca="1" si="9"/>
        <v>29.645416790811563</v>
      </c>
      <c r="L31" s="2">
        <f t="shared" ca="1" si="9"/>
        <v>21.846360562210478</v>
      </c>
      <c r="M31" s="2">
        <f t="shared" ca="1" si="9"/>
        <v>24.176393428988955</v>
      </c>
      <c r="N31" s="2">
        <f t="shared" ca="1" si="9"/>
        <v>23.164868793327056</v>
      </c>
      <c r="O31" s="2">
        <f t="shared" ca="1" si="9"/>
        <v>20.821546878157388</v>
      </c>
      <c r="P31" s="2">
        <f t="shared" ca="1" si="9"/>
        <v>21.324250381286667</v>
      </c>
      <c r="Q31" s="2">
        <f t="shared" ca="1" si="9"/>
        <v>27.68220043384672</v>
      </c>
      <c r="R31" s="2">
        <f t="shared" ca="1" si="9"/>
        <v>25.023509193217635</v>
      </c>
      <c r="S31" s="2">
        <f t="shared" ca="1" si="8"/>
        <v>23.993188525705744</v>
      </c>
      <c r="T31" s="2">
        <f t="shared" ca="1" si="8"/>
        <v>26.833875116481909</v>
      </c>
      <c r="U31" s="2">
        <f t="shared" ca="1" si="8"/>
        <v>28.628234873815632</v>
      </c>
      <c r="V31" s="2">
        <f t="shared" ca="1" si="8"/>
        <v>29.026924362924905</v>
      </c>
      <c r="W31" s="2">
        <f t="shared" ca="1" si="8"/>
        <v>27.053688341106074</v>
      </c>
      <c r="X31" s="2">
        <f t="shared" ca="1" si="8"/>
        <v>21.026962544764043</v>
      </c>
      <c r="Y31" s="2">
        <f t="shared" ca="1" si="8"/>
        <v>29.310202921649541</v>
      </c>
      <c r="Z31" s="2">
        <f t="shared" ca="1" si="4"/>
        <v>20.885769958724619</v>
      </c>
      <c r="AA31" s="2">
        <f t="shared" ca="1" si="5"/>
        <v>26.187296310560448</v>
      </c>
      <c r="AB31" s="2">
        <f t="shared" ca="1" si="5"/>
        <v>21.219011827829171</v>
      </c>
      <c r="AC31" s="2">
        <f t="shared" ca="1" si="5"/>
        <v>27.202549438034708</v>
      </c>
      <c r="AD31" s="2">
        <f t="shared" ca="1" si="5"/>
        <v>26.208822992295943</v>
      </c>
      <c r="AE31" s="2">
        <f t="shared" ca="1" si="5"/>
        <v>23.914562710984445</v>
      </c>
      <c r="AF31" s="2">
        <f t="shared" ca="1" si="5"/>
        <v>27.47774373982902</v>
      </c>
      <c r="AG31" s="2">
        <f t="shared" ca="1" si="5"/>
        <v>20.351556318350227</v>
      </c>
      <c r="AH31" s="2">
        <f t="shared" ca="1" si="5"/>
        <v>25.874348932390994</v>
      </c>
    </row>
    <row r="32" spans="1:34">
      <c r="A32" t="str">
        <f t="shared" si="6"/>
        <v>Maize</v>
      </c>
      <c r="B32" t="str">
        <f t="shared" si="7"/>
        <v>Oromia</v>
      </c>
      <c r="C32" s="2">
        <f t="shared" ca="1" si="9"/>
        <v>25.36309559467394</v>
      </c>
      <c r="D32" s="2">
        <f t="shared" ca="1" si="9"/>
        <v>25.294287567946562</v>
      </c>
      <c r="E32" s="2">
        <f t="shared" ca="1" si="9"/>
        <v>20.461725871415066</v>
      </c>
      <c r="F32" s="2">
        <f t="shared" ca="1" si="9"/>
        <v>27.266156651784325</v>
      </c>
      <c r="G32" s="2">
        <f t="shared" ca="1" si="9"/>
        <v>20.877173253820224</v>
      </c>
      <c r="H32" s="2">
        <f t="shared" ca="1" si="9"/>
        <v>20.162351502751875</v>
      </c>
      <c r="I32" s="2">
        <f t="shared" ca="1" si="9"/>
        <v>23.491209007932902</v>
      </c>
      <c r="J32" s="2">
        <f t="shared" ca="1" si="9"/>
        <v>21.413023599116805</v>
      </c>
      <c r="K32" s="2">
        <f t="shared" ca="1" si="9"/>
        <v>28.455847870972022</v>
      </c>
      <c r="L32" s="2">
        <f t="shared" ca="1" si="9"/>
        <v>28.720134573517175</v>
      </c>
      <c r="M32" s="2">
        <f t="shared" ca="1" si="9"/>
        <v>21.674579004902618</v>
      </c>
      <c r="N32" s="2">
        <f t="shared" ca="1" si="9"/>
        <v>23.156115082589807</v>
      </c>
      <c r="O32" s="2">
        <f t="shared" ca="1" si="9"/>
        <v>23.259235758149945</v>
      </c>
      <c r="P32" s="2">
        <f t="shared" ca="1" si="9"/>
        <v>27.263769935990133</v>
      </c>
      <c r="Q32" s="2">
        <f t="shared" ca="1" si="9"/>
        <v>26.562463119541473</v>
      </c>
      <c r="R32" s="2">
        <f t="shared" ca="1" si="9"/>
        <v>26.377416210708109</v>
      </c>
      <c r="S32" s="2">
        <f t="shared" ca="1" si="8"/>
        <v>27.776722725180509</v>
      </c>
      <c r="T32" s="2">
        <f t="shared" ca="1" si="8"/>
        <v>27.276825512617165</v>
      </c>
      <c r="U32" s="2">
        <f t="shared" ca="1" si="8"/>
        <v>21.862283991926031</v>
      </c>
      <c r="V32" s="2">
        <f t="shared" ca="1" si="8"/>
        <v>21.974955535861142</v>
      </c>
      <c r="W32" s="2">
        <f t="shared" ca="1" si="8"/>
        <v>29.001368497239493</v>
      </c>
      <c r="X32" s="2">
        <f t="shared" ca="1" si="8"/>
        <v>26.162871255273178</v>
      </c>
      <c r="Y32" s="2">
        <f t="shared" ca="1" si="8"/>
        <v>27.820719777775892</v>
      </c>
      <c r="Z32" s="2">
        <f t="shared" ca="1" si="4"/>
        <v>20.567497944387352</v>
      </c>
      <c r="AA32" s="2">
        <f t="shared" ca="1" si="5"/>
        <v>27.908878901359106</v>
      </c>
      <c r="AB32" s="2">
        <f t="shared" ca="1" si="5"/>
        <v>21.865851483187964</v>
      </c>
      <c r="AC32" s="2">
        <f t="shared" ca="1" si="5"/>
        <v>21.181134838766226</v>
      </c>
      <c r="AD32" s="2">
        <f t="shared" ca="1" si="5"/>
        <v>29.644833656503856</v>
      </c>
      <c r="AE32" s="2">
        <f t="shared" ca="1" si="5"/>
        <v>23.928725351900734</v>
      </c>
      <c r="AF32" s="2">
        <f t="shared" ca="1" si="5"/>
        <v>23.782136205113606</v>
      </c>
      <c r="AG32" s="2">
        <f t="shared" ca="1" si="5"/>
        <v>29.321319599198915</v>
      </c>
      <c r="AH32" s="2">
        <f t="shared" ca="1" si="5"/>
        <v>28.291285767370532</v>
      </c>
    </row>
    <row r="33" spans="1:34">
      <c r="A33" t="str">
        <f t="shared" si="6"/>
        <v>Maize</v>
      </c>
      <c r="B33" t="str">
        <f t="shared" si="7"/>
        <v>Somali</v>
      </c>
      <c r="C33" s="2">
        <f t="shared" ca="1" si="9"/>
        <v>28.492907025041315</v>
      </c>
      <c r="D33" s="2">
        <f t="shared" ca="1" si="9"/>
        <v>21.76554535558919</v>
      </c>
      <c r="E33" s="2">
        <f t="shared" ca="1" si="9"/>
        <v>26.601107061710017</v>
      </c>
      <c r="F33" s="2">
        <f t="shared" ca="1" si="9"/>
        <v>25.447188326812466</v>
      </c>
      <c r="G33" s="2">
        <f t="shared" ca="1" si="9"/>
        <v>24.270936161893232</v>
      </c>
      <c r="H33" s="2">
        <f t="shared" ca="1" si="9"/>
        <v>27.177633073880742</v>
      </c>
      <c r="I33" s="2">
        <f t="shared" ca="1" si="9"/>
        <v>29.999183302945337</v>
      </c>
      <c r="J33" s="2">
        <f t="shared" ca="1" si="9"/>
        <v>24.767434745994017</v>
      </c>
      <c r="K33" s="2">
        <f t="shared" ca="1" si="9"/>
        <v>27.883688091594404</v>
      </c>
      <c r="L33" s="2">
        <f t="shared" ca="1" si="9"/>
        <v>23.480191090084503</v>
      </c>
      <c r="M33" s="2">
        <f t="shared" ca="1" si="9"/>
        <v>23.563772150138817</v>
      </c>
      <c r="N33" s="2">
        <f t="shared" ca="1" si="9"/>
        <v>22.671594405315947</v>
      </c>
      <c r="O33" s="2">
        <f t="shared" ca="1" si="9"/>
        <v>24.782999696563856</v>
      </c>
      <c r="P33" s="2">
        <f t="shared" ca="1" si="9"/>
        <v>24.329468527961296</v>
      </c>
      <c r="Q33" s="2">
        <f t="shared" ca="1" si="9"/>
        <v>27.675706326316558</v>
      </c>
      <c r="R33" s="2">
        <f t="shared" ca="1" si="9"/>
        <v>21.300027889789209</v>
      </c>
      <c r="S33" s="2">
        <f t="shared" ca="1" si="8"/>
        <v>22.813412420947206</v>
      </c>
      <c r="T33" s="2">
        <f t="shared" ca="1" si="8"/>
        <v>22.808817942925195</v>
      </c>
      <c r="U33" s="2">
        <f t="shared" ca="1" si="8"/>
        <v>26.521043138258548</v>
      </c>
      <c r="V33" s="2">
        <f t="shared" ca="1" si="8"/>
        <v>26.889462470905951</v>
      </c>
      <c r="W33" s="2">
        <f t="shared" ca="1" si="8"/>
        <v>24.178839646505534</v>
      </c>
      <c r="X33" s="2">
        <f t="shared" ca="1" si="8"/>
        <v>22.113158732475434</v>
      </c>
      <c r="Y33" s="2">
        <f t="shared" ca="1" si="8"/>
        <v>23.010771303951515</v>
      </c>
      <c r="Z33" s="2">
        <f t="shared" ca="1" si="4"/>
        <v>20.586142242042186</v>
      </c>
      <c r="AA33" s="2">
        <f t="shared" ca="1" si="5"/>
        <v>20.907207582884077</v>
      </c>
      <c r="AB33" s="2">
        <f t="shared" ca="1" si="5"/>
        <v>21.927275651301859</v>
      </c>
      <c r="AC33" s="2">
        <f t="shared" ca="1" si="5"/>
        <v>29.980788276623315</v>
      </c>
      <c r="AD33" s="2">
        <f t="shared" ca="1" si="5"/>
        <v>23.253527069930577</v>
      </c>
      <c r="AE33" s="2">
        <f t="shared" ca="1" si="5"/>
        <v>23.401890421664326</v>
      </c>
      <c r="AF33" s="2">
        <f t="shared" ca="1" si="5"/>
        <v>22.322533857865217</v>
      </c>
      <c r="AG33" s="2">
        <f t="shared" ca="1" si="5"/>
        <v>25.992099922922286</v>
      </c>
      <c r="AH33" s="2">
        <f t="shared" ca="1" si="5"/>
        <v>21.672067004735997</v>
      </c>
    </row>
    <row r="34" spans="1:34">
      <c r="A34" t="str">
        <f t="shared" si="6"/>
        <v>Maize</v>
      </c>
      <c r="B34" t="str">
        <f t="shared" si="7"/>
        <v>SNNPR</v>
      </c>
      <c r="C34" s="2">
        <f t="shared" ca="1" si="9"/>
        <v>22.09581233942081</v>
      </c>
      <c r="D34" s="2">
        <f t="shared" ca="1" si="9"/>
        <v>22.009184301265893</v>
      </c>
      <c r="E34" s="2">
        <f t="shared" ca="1" si="9"/>
        <v>25.200229556168587</v>
      </c>
      <c r="F34" s="2">
        <f t="shared" ca="1" si="9"/>
        <v>28.896316768399032</v>
      </c>
      <c r="G34" s="2">
        <f t="shared" ca="1" si="9"/>
        <v>25.744387389330093</v>
      </c>
      <c r="H34" s="2">
        <f t="shared" ca="1" si="9"/>
        <v>23.30642113545241</v>
      </c>
      <c r="I34" s="2">
        <f t="shared" ca="1" si="9"/>
        <v>27.215913246246277</v>
      </c>
      <c r="J34" s="2">
        <f t="shared" ca="1" si="9"/>
        <v>28.65651455866346</v>
      </c>
      <c r="K34" s="2">
        <f t="shared" ca="1" si="9"/>
        <v>27.55831963455012</v>
      </c>
      <c r="L34" s="2">
        <f t="shared" ca="1" si="9"/>
        <v>20.163048581965619</v>
      </c>
      <c r="M34" s="2">
        <f t="shared" ca="1" si="9"/>
        <v>26.349451081184856</v>
      </c>
      <c r="N34" s="2">
        <f t="shared" ca="1" si="9"/>
        <v>29.528485948383278</v>
      </c>
      <c r="O34" s="2">
        <f t="shared" ca="1" si="9"/>
        <v>23.706392441670467</v>
      </c>
      <c r="P34" s="2">
        <f t="shared" ca="1" si="9"/>
        <v>24.11375080961426</v>
      </c>
      <c r="Q34" s="2">
        <f t="shared" ca="1" si="9"/>
        <v>26.158163969998782</v>
      </c>
      <c r="R34" s="2">
        <f t="shared" ca="1" si="9"/>
        <v>21.880604832128583</v>
      </c>
      <c r="S34" s="2">
        <f t="shared" ca="1" si="8"/>
        <v>20.175016998144855</v>
      </c>
      <c r="T34" s="2">
        <f t="shared" ca="1" si="8"/>
        <v>23.121483589064244</v>
      </c>
      <c r="U34" s="2">
        <f t="shared" ca="1" si="8"/>
        <v>28.115833322060872</v>
      </c>
      <c r="V34" s="2">
        <f t="shared" ca="1" si="8"/>
        <v>25.728855867010147</v>
      </c>
      <c r="W34" s="2">
        <f t="shared" ca="1" si="8"/>
        <v>22.153357747214176</v>
      </c>
      <c r="X34" s="2">
        <f t="shared" ca="1" si="8"/>
        <v>23.161082427548017</v>
      </c>
      <c r="Y34" s="2">
        <f t="shared" ca="1" si="8"/>
        <v>28.982754511174974</v>
      </c>
      <c r="Z34" s="2">
        <f t="shared" ca="1" si="4"/>
        <v>27.384652499774369</v>
      </c>
      <c r="AA34" s="2">
        <f t="shared" ca="1" si="5"/>
        <v>21.547981462808082</v>
      </c>
      <c r="AB34" s="2">
        <f t="shared" ca="1" si="5"/>
        <v>26.588237487064291</v>
      </c>
      <c r="AC34" s="2">
        <f t="shared" ca="1" si="5"/>
        <v>26.106802045817972</v>
      </c>
      <c r="AD34" s="2">
        <f t="shared" ca="1" si="5"/>
        <v>23.627938687244633</v>
      </c>
      <c r="AE34" s="2">
        <f t="shared" ca="1" si="5"/>
        <v>28.567495438927299</v>
      </c>
      <c r="AF34" s="2">
        <f t="shared" ca="1" si="5"/>
        <v>29.064508110569864</v>
      </c>
      <c r="AG34" s="2">
        <f t="shared" ca="1" si="5"/>
        <v>24.574190826720859</v>
      </c>
      <c r="AH34" s="2">
        <f t="shared" ca="1" si="5"/>
        <v>24.115617970205989</v>
      </c>
    </row>
    <row r="35" spans="1:34">
      <c r="A35" t="str">
        <f t="shared" si="6"/>
        <v>Maize</v>
      </c>
      <c r="B35" t="str">
        <f t="shared" si="7"/>
        <v>Tigray</v>
      </c>
      <c r="C35" s="2">
        <f t="shared" ca="1" si="9"/>
        <v>26.313798686340352</v>
      </c>
      <c r="D35" s="2">
        <f t="shared" ca="1" si="9"/>
        <v>28.814513779276531</v>
      </c>
      <c r="E35" s="2">
        <f t="shared" ca="1" si="9"/>
        <v>24.275024398840767</v>
      </c>
      <c r="F35" s="2">
        <f t="shared" ca="1" si="9"/>
        <v>28.21998988445862</v>
      </c>
      <c r="G35" s="2">
        <f t="shared" ca="1" si="9"/>
        <v>24.61599801265168</v>
      </c>
      <c r="H35" s="2">
        <f t="shared" ca="1" si="9"/>
        <v>27.898245657262244</v>
      </c>
      <c r="I35" s="2">
        <f t="shared" ca="1" si="9"/>
        <v>23.181550481883892</v>
      </c>
      <c r="J35" s="2">
        <f t="shared" ca="1" si="9"/>
        <v>25.560798923099622</v>
      </c>
      <c r="K35" s="2">
        <f t="shared" ca="1" si="9"/>
        <v>25.401477368728642</v>
      </c>
      <c r="L35" s="2">
        <f t="shared" ca="1" si="9"/>
        <v>24.847736775909411</v>
      </c>
      <c r="M35" s="2">
        <f t="shared" ca="1" si="9"/>
        <v>21.084835151012705</v>
      </c>
      <c r="N35" s="2">
        <f t="shared" ca="1" si="9"/>
        <v>28.03781265573275</v>
      </c>
      <c r="O35" s="2">
        <f t="shared" ca="1" si="9"/>
        <v>26.331459427867827</v>
      </c>
      <c r="P35" s="2">
        <f t="shared" ca="1" si="9"/>
        <v>23.429598483404554</v>
      </c>
      <c r="Q35" s="2">
        <f t="shared" ca="1" si="9"/>
        <v>22.238781838404371</v>
      </c>
      <c r="R35" s="2">
        <f t="shared" ca="1" si="9"/>
        <v>27.543070133875773</v>
      </c>
      <c r="S35" s="2">
        <f t="shared" ca="1" si="8"/>
        <v>28.982927167496292</v>
      </c>
      <c r="T35" s="2">
        <f t="shared" ca="1" si="8"/>
        <v>23.151995331125079</v>
      </c>
      <c r="U35" s="2">
        <f t="shared" ca="1" si="8"/>
        <v>27.905660474181698</v>
      </c>
      <c r="V35" s="2">
        <f t="shared" ca="1" si="8"/>
        <v>29.630387050743494</v>
      </c>
      <c r="W35" s="2">
        <f t="shared" ca="1" si="8"/>
        <v>20.695757618457847</v>
      </c>
      <c r="X35" s="2">
        <f t="shared" ca="1" si="8"/>
        <v>24.520823160814874</v>
      </c>
      <c r="Y35" s="2">
        <f t="shared" ca="1" si="8"/>
        <v>20.91235257378969</v>
      </c>
      <c r="Z35" s="2">
        <f t="shared" ca="1" si="4"/>
        <v>29.315163995155679</v>
      </c>
      <c r="AA35" s="2">
        <f t="shared" ca="1" si="5"/>
        <v>25.783776617543079</v>
      </c>
      <c r="AB35" s="2">
        <f t="shared" ca="1" si="5"/>
        <v>21.805533680313275</v>
      </c>
      <c r="AC35" s="2">
        <f t="shared" ca="1" si="5"/>
        <v>20.154266427407073</v>
      </c>
      <c r="AD35" s="2">
        <f t="shared" ca="1" si="5"/>
        <v>25.933577957759063</v>
      </c>
      <c r="AE35" s="2">
        <f t="shared" ca="1" si="5"/>
        <v>21.241505323872335</v>
      </c>
      <c r="AF35" s="2">
        <f t="shared" ca="1" si="5"/>
        <v>29.203177157733013</v>
      </c>
      <c r="AG35" s="2">
        <f t="shared" ca="1" si="5"/>
        <v>24.945792656078737</v>
      </c>
      <c r="AH35" s="2">
        <f t="shared" ca="1" si="5"/>
        <v>27.679053727867341</v>
      </c>
    </row>
    <row r="36" spans="1:34">
      <c r="A36" t="str">
        <f t="shared" si="6"/>
        <v>Lentils</v>
      </c>
      <c r="B36" t="str">
        <f t="shared" si="7"/>
        <v>AddisAbaba</v>
      </c>
      <c r="C36" s="2">
        <f t="shared" ca="1" si="9"/>
        <v>27.355690164413126</v>
      </c>
      <c r="D36" s="2">
        <f t="shared" ca="1" si="9"/>
        <v>24.607734145194645</v>
      </c>
      <c r="E36" s="2">
        <f t="shared" ca="1" si="9"/>
        <v>20.638871893160289</v>
      </c>
      <c r="F36" s="2">
        <f t="shared" ca="1" si="9"/>
        <v>25.492910137954905</v>
      </c>
      <c r="G36" s="2">
        <f t="shared" ca="1" si="9"/>
        <v>27.696084407701839</v>
      </c>
      <c r="H36" s="2">
        <f t="shared" ca="1" si="9"/>
        <v>27.078427171939474</v>
      </c>
      <c r="I36" s="2">
        <f t="shared" ca="1" si="9"/>
        <v>25.324291032213193</v>
      </c>
      <c r="J36" s="2">
        <f t="shared" ca="1" si="9"/>
        <v>24.023511387874223</v>
      </c>
      <c r="K36" s="2">
        <f t="shared" ca="1" si="9"/>
        <v>24.963606927938244</v>
      </c>
      <c r="L36" s="2">
        <f t="shared" ca="1" si="9"/>
        <v>26.51377590354463</v>
      </c>
      <c r="M36" s="2">
        <f t="shared" ca="1" si="9"/>
        <v>27.031900798104019</v>
      </c>
      <c r="N36" s="2">
        <f t="shared" ca="1" si="9"/>
        <v>22.002092371957382</v>
      </c>
      <c r="O36" s="2">
        <f t="shared" ca="1" si="9"/>
        <v>23.18233371074783</v>
      </c>
      <c r="P36" s="2">
        <f t="shared" ca="1" si="9"/>
        <v>25.856047516580944</v>
      </c>
      <c r="Q36" s="2">
        <f t="shared" ca="1" si="9"/>
        <v>21.233970956438213</v>
      </c>
      <c r="R36" s="2">
        <f t="shared" ca="1" si="9"/>
        <v>21.880968260907085</v>
      </c>
      <c r="S36" s="2">
        <f t="shared" ca="1" si="8"/>
        <v>26.542981220288763</v>
      </c>
      <c r="T36" s="2">
        <f t="shared" ca="1" si="8"/>
        <v>24.533781802330072</v>
      </c>
      <c r="U36" s="2">
        <f t="shared" ca="1" si="8"/>
        <v>25.368973890587171</v>
      </c>
      <c r="V36" s="2">
        <f t="shared" ca="1" si="8"/>
        <v>26.928141266136951</v>
      </c>
      <c r="W36" s="2">
        <f t="shared" ca="1" si="8"/>
        <v>20.878583258778196</v>
      </c>
      <c r="X36" s="2">
        <f t="shared" ca="1" si="8"/>
        <v>22.580354391043588</v>
      </c>
      <c r="Y36" s="2">
        <f t="shared" ca="1" si="8"/>
        <v>26.660579784209766</v>
      </c>
      <c r="Z36" s="2">
        <f t="shared" ca="1" si="4"/>
        <v>28.150569723271847</v>
      </c>
      <c r="AA36" s="2">
        <f t="shared" ca="1" si="5"/>
        <v>29.90004600746094</v>
      </c>
      <c r="AB36" s="2">
        <f t="shared" ca="1" si="5"/>
        <v>25.38661791016381</v>
      </c>
      <c r="AC36" s="2">
        <f t="shared" ca="1" si="5"/>
        <v>20.135081814837825</v>
      </c>
      <c r="AD36" s="2">
        <f t="shared" ca="1" si="5"/>
        <v>28.660477336353306</v>
      </c>
      <c r="AE36" s="2">
        <f t="shared" ca="1" si="5"/>
        <v>20.94046804096191</v>
      </c>
      <c r="AF36" s="2">
        <f t="shared" ca="1" si="5"/>
        <v>26.611648356080096</v>
      </c>
      <c r="AG36" s="2">
        <f t="shared" ca="1" si="5"/>
        <v>29.684678316817447</v>
      </c>
      <c r="AH36" s="2">
        <f t="shared" ca="1" si="5"/>
        <v>25.139949240874493</v>
      </c>
    </row>
    <row r="37" spans="1:34">
      <c r="A37" t="str">
        <f t="shared" si="6"/>
        <v>Lentils</v>
      </c>
      <c r="B37" t="str">
        <f t="shared" si="7"/>
        <v>Afar</v>
      </c>
      <c r="C37" s="2">
        <f t="shared" ca="1" si="9"/>
        <v>24.212177685921915</v>
      </c>
      <c r="D37" s="2">
        <f t="shared" ca="1" si="9"/>
        <v>28.99373731608194</v>
      </c>
      <c r="E37" s="2">
        <f t="shared" ca="1" si="9"/>
        <v>24.451347732555636</v>
      </c>
      <c r="F37" s="2">
        <f t="shared" ca="1" si="9"/>
        <v>26.681703437339081</v>
      </c>
      <c r="G37" s="2">
        <f t="shared" ca="1" si="9"/>
        <v>21.755144279774211</v>
      </c>
      <c r="H37" s="2">
        <f t="shared" ca="1" si="9"/>
        <v>20.925287096561522</v>
      </c>
      <c r="I37" s="2">
        <f t="shared" ca="1" si="9"/>
        <v>28.034680504747417</v>
      </c>
      <c r="J37" s="2">
        <f t="shared" ca="1" si="9"/>
        <v>20.661383690548231</v>
      </c>
      <c r="K37" s="2">
        <f t="shared" ca="1" si="9"/>
        <v>27.27542232552991</v>
      </c>
      <c r="L37" s="2">
        <f t="shared" ca="1" si="9"/>
        <v>26.001378161966727</v>
      </c>
      <c r="M37" s="2">
        <f t="shared" ca="1" si="9"/>
        <v>22.88103736263303</v>
      </c>
      <c r="N37" s="2">
        <f t="shared" ca="1" si="9"/>
        <v>24.315749181145019</v>
      </c>
      <c r="O37" s="2">
        <f t="shared" ca="1" si="9"/>
        <v>29.174069950036603</v>
      </c>
      <c r="P37" s="2">
        <f t="shared" ca="1" si="9"/>
        <v>27.579334218702282</v>
      </c>
      <c r="Q37" s="2">
        <f t="shared" ca="1" si="9"/>
        <v>26.203576178453599</v>
      </c>
      <c r="R37" s="2">
        <f t="shared" ca="1" si="9"/>
        <v>28.179668031183851</v>
      </c>
      <c r="S37" s="2">
        <f t="shared" ca="1" si="8"/>
        <v>20.819520345152164</v>
      </c>
      <c r="T37" s="2">
        <f t="shared" ca="1" si="8"/>
        <v>21.8025322182257</v>
      </c>
      <c r="U37" s="2">
        <f t="shared" ca="1" si="8"/>
        <v>20.636672868659971</v>
      </c>
      <c r="V37" s="2">
        <f t="shared" ca="1" si="8"/>
        <v>20.807501471895723</v>
      </c>
      <c r="W37" s="2">
        <f t="shared" ca="1" si="8"/>
        <v>20.932622737147284</v>
      </c>
      <c r="X37" s="2">
        <f t="shared" ca="1" si="8"/>
        <v>26.78665213959821</v>
      </c>
      <c r="Y37" s="2">
        <f t="shared" ca="1" si="8"/>
        <v>22.481061962738309</v>
      </c>
      <c r="Z37" s="2">
        <f t="shared" ca="1" si="4"/>
        <v>26.54909386998126</v>
      </c>
      <c r="AA37" s="2">
        <f t="shared" ca="1" si="5"/>
        <v>29.141796998854147</v>
      </c>
      <c r="AB37" s="2">
        <f t="shared" ca="1" si="5"/>
        <v>25.885667074368108</v>
      </c>
      <c r="AC37" s="2">
        <f t="shared" ca="1" si="5"/>
        <v>23.383009079171412</v>
      </c>
      <c r="AD37" s="2">
        <f t="shared" ca="1" si="5"/>
        <v>28.376737691880948</v>
      </c>
      <c r="AE37" s="2">
        <f t="shared" ca="1" si="5"/>
        <v>28.968567663416717</v>
      </c>
      <c r="AF37" s="2">
        <f t="shared" ca="1" si="5"/>
        <v>25.244131124292007</v>
      </c>
      <c r="AG37" s="2">
        <f t="shared" ca="1" si="5"/>
        <v>26.263583731831364</v>
      </c>
      <c r="AH37" s="2">
        <f t="shared" ca="1" si="5"/>
        <v>28.184182512618911</v>
      </c>
    </row>
    <row r="38" spans="1:34">
      <c r="A38" t="str">
        <f t="shared" si="6"/>
        <v>Lentils</v>
      </c>
      <c r="B38" t="str">
        <f t="shared" si="7"/>
        <v>Amhara</v>
      </c>
      <c r="C38" s="2">
        <f t="shared" ca="1" si="9"/>
        <v>22.706085695613965</v>
      </c>
      <c r="D38" s="2">
        <f t="shared" ca="1" si="9"/>
        <v>26.64847168577008</v>
      </c>
      <c r="E38" s="2">
        <f t="shared" ca="1" si="9"/>
        <v>21.219994051419647</v>
      </c>
      <c r="F38" s="2">
        <f t="shared" ca="1" si="9"/>
        <v>25.251871633211355</v>
      </c>
      <c r="G38" s="2">
        <f t="shared" ca="1" si="9"/>
        <v>23.699088610666887</v>
      </c>
      <c r="H38" s="2">
        <f t="shared" ca="1" si="9"/>
        <v>28.74813408643967</v>
      </c>
      <c r="I38" s="2">
        <f t="shared" ca="1" si="9"/>
        <v>24.397187564792961</v>
      </c>
      <c r="J38" s="2">
        <f t="shared" ca="1" si="9"/>
        <v>28.97043070123404</v>
      </c>
      <c r="K38" s="2">
        <f t="shared" ca="1" si="9"/>
        <v>29.032819384940307</v>
      </c>
      <c r="L38" s="2">
        <f t="shared" ca="1" si="9"/>
        <v>24.577894507961716</v>
      </c>
      <c r="M38" s="2">
        <f t="shared" ca="1" si="9"/>
        <v>27.195602811238047</v>
      </c>
      <c r="N38" s="2">
        <f t="shared" ca="1" si="9"/>
        <v>28.373294429572184</v>
      </c>
      <c r="O38" s="2">
        <f t="shared" ca="1" si="9"/>
        <v>23.779916350361979</v>
      </c>
      <c r="P38" s="2">
        <f t="shared" ca="1" si="9"/>
        <v>26.020547884677647</v>
      </c>
      <c r="Q38" s="2">
        <f t="shared" ca="1" si="9"/>
        <v>22.810723690618438</v>
      </c>
      <c r="R38" s="2">
        <f t="shared" ca="1" si="9"/>
        <v>26.21291782700132</v>
      </c>
      <c r="S38" s="2">
        <f t="shared" ca="1" si="8"/>
        <v>23.173666556162171</v>
      </c>
      <c r="T38" s="2">
        <f t="shared" ca="1" si="8"/>
        <v>24.223815654173674</v>
      </c>
      <c r="U38" s="2">
        <f t="shared" ca="1" si="8"/>
        <v>21.883905343748157</v>
      </c>
      <c r="V38" s="2">
        <f t="shared" ca="1" si="8"/>
        <v>29.974465184946155</v>
      </c>
      <c r="W38" s="2">
        <f t="shared" ca="1" si="8"/>
        <v>22.289320404270175</v>
      </c>
      <c r="X38" s="2">
        <f t="shared" ca="1" si="8"/>
        <v>22.695636772658975</v>
      </c>
      <c r="Y38" s="2">
        <f t="shared" ca="1" si="8"/>
        <v>25.94051607631193</v>
      </c>
      <c r="Z38" s="2">
        <f t="shared" ca="1" si="4"/>
        <v>26.408716496808104</v>
      </c>
      <c r="AA38" s="2">
        <f t="shared" ca="1" si="5"/>
        <v>26.378526845065529</v>
      </c>
      <c r="AB38" s="2">
        <f t="shared" ca="1" si="5"/>
        <v>26.158670508464514</v>
      </c>
      <c r="AC38" s="2">
        <f t="shared" ca="1" si="5"/>
        <v>21.618616619505389</v>
      </c>
      <c r="AD38" s="2">
        <f t="shared" ca="1" si="5"/>
        <v>24.468796623831214</v>
      </c>
      <c r="AE38" s="2">
        <f t="shared" ca="1" si="5"/>
        <v>21.493642605861339</v>
      </c>
      <c r="AF38" s="2">
        <f t="shared" ca="1" si="5"/>
        <v>21.676314965026293</v>
      </c>
      <c r="AG38" s="2">
        <f t="shared" ca="1" si="5"/>
        <v>23.394027007357732</v>
      </c>
      <c r="AH38" s="2">
        <f t="shared" ca="1" si="5"/>
        <v>21.886538106919794</v>
      </c>
    </row>
    <row r="39" spans="1:34">
      <c r="A39" t="str">
        <f t="shared" si="6"/>
        <v>Lentils</v>
      </c>
      <c r="B39" t="str">
        <f t="shared" si="7"/>
        <v>Gumuz</v>
      </c>
      <c r="C39" s="2">
        <f t="shared" ca="1" si="9"/>
        <v>27.692407438193882</v>
      </c>
      <c r="D39" s="2">
        <f t="shared" ca="1" si="9"/>
        <v>25.144642489453705</v>
      </c>
      <c r="E39" s="2">
        <f t="shared" ca="1" si="9"/>
        <v>23.974228164035789</v>
      </c>
      <c r="F39" s="2">
        <f t="shared" ca="1" si="9"/>
        <v>27.812652996101967</v>
      </c>
      <c r="G39" s="2">
        <f t="shared" ca="1" si="9"/>
        <v>25.987559530965036</v>
      </c>
      <c r="H39" s="2">
        <f t="shared" ca="1" si="9"/>
        <v>29.636707502481443</v>
      </c>
      <c r="I39" s="2">
        <f t="shared" ca="1" si="9"/>
        <v>29.630419414644805</v>
      </c>
      <c r="J39" s="2">
        <f t="shared" ca="1" si="9"/>
        <v>28.832096842757988</v>
      </c>
      <c r="K39" s="2">
        <f t="shared" ca="1" si="9"/>
        <v>22.755575583468278</v>
      </c>
      <c r="L39" s="2">
        <f t="shared" ca="1" si="9"/>
        <v>22.133008294480732</v>
      </c>
      <c r="M39" s="2">
        <f t="shared" ca="1" si="9"/>
        <v>26.181482900096952</v>
      </c>
      <c r="N39" s="2">
        <f t="shared" ca="1" si="9"/>
        <v>28.704343958175777</v>
      </c>
      <c r="O39" s="2">
        <f t="shared" ca="1" si="9"/>
        <v>28.971915836935668</v>
      </c>
      <c r="P39" s="2">
        <f t="shared" ca="1" si="9"/>
        <v>27.551277690898019</v>
      </c>
      <c r="Q39" s="2">
        <f t="shared" ca="1" si="9"/>
        <v>28.997711804478076</v>
      </c>
      <c r="R39" s="2">
        <f t="shared" ca="1" si="9"/>
        <v>20.133583821053715</v>
      </c>
      <c r="S39" s="2">
        <f t="shared" ca="1" si="8"/>
        <v>26.163180285861927</v>
      </c>
      <c r="T39" s="2">
        <f t="shared" ca="1" si="8"/>
        <v>22.325187331081288</v>
      </c>
      <c r="U39" s="2">
        <f t="shared" ca="1" si="8"/>
        <v>28.56024118329713</v>
      </c>
      <c r="V39" s="2">
        <f t="shared" ca="1" si="8"/>
        <v>26.135236111748593</v>
      </c>
      <c r="W39" s="2">
        <f t="shared" ca="1" si="8"/>
        <v>20.876502047591629</v>
      </c>
      <c r="X39" s="2">
        <f t="shared" ca="1" si="8"/>
        <v>26.021518882571691</v>
      </c>
      <c r="Y39" s="2">
        <f t="shared" ca="1" si="8"/>
        <v>20.047680027046198</v>
      </c>
      <c r="Z39" s="2">
        <f t="shared" ca="1" si="4"/>
        <v>22.082032280240711</v>
      </c>
      <c r="AA39" s="2">
        <f t="shared" ca="1" si="5"/>
        <v>25.163841624511512</v>
      </c>
      <c r="AB39" s="2">
        <f t="shared" ca="1" si="5"/>
        <v>21.797075573195198</v>
      </c>
      <c r="AC39" s="2">
        <f t="shared" ca="1" si="5"/>
        <v>23.878189403583221</v>
      </c>
      <c r="AD39" s="2">
        <f t="shared" ca="1" si="5"/>
        <v>26.135094809058472</v>
      </c>
      <c r="AE39" s="2">
        <f t="shared" ca="1" si="5"/>
        <v>25.374547805660129</v>
      </c>
      <c r="AF39" s="2">
        <f t="shared" ca="1" si="5"/>
        <v>23.790262184445478</v>
      </c>
      <c r="AG39" s="2">
        <f t="shared" ca="1" si="5"/>
        <v>29.519468253544783</v>
      </c>
      <c r="AH39" s="2">
        <f t="shared" ca="1" si="5"/>
        <v>22.148780652919253</v>
      </c>
    </row>
    <row r="40" spans="1:34">
      <c r="A40" t="str">
        <f t="shared" si="6"/>
        <v>Lentils</v>
      </c>
      <c r="B40" t="str">
        <f t="shared" si="7"/>
        <v>DireDawa</v>
      </c>
      <c r="C40" s="2">
        <f t="shared" ca="1" si="9"/>
        <v>25.042398334579108</v>
      </c>
      <c r="D40" s="2">
        <f t="shared" ca="1" si="9"/>
        <v>26.032196956363141</v>
      </c>
      <c r="E40" s="2">
        <f t="shared" ca="1" si="9"/>
        <v>25.24553945124261</v>
      </c>
      <c r="F40" s="2">
        <f t="shared" ca="1" si="9"/>
        <v>27.877344166358064</v>
      </c>
      <c r="G40" s="2">
        <f t="shared" ca="1" si="9"/>
        <v>29.562284978646701</v>
      </c>
      <c r="H40" s="2">
        <f t="shared" ca="1" si="9"/>
        <v>27.9442378185473</v>
      </c>
      <c r="I40" s="2">
        <f t="shared" ca="1" si="9"/>
        <v>25.11760935754862</v>
      </c>
      <c r="J40" s="2">
        <f t="shared" ca="1" si="9"/>
        <v>27.474488498376498</v>
      </c>
      <c r="K40" s="2">
        <f t="shared" ca="1" si="9"/>
        <v>20.325179564125737</v>
      </c>
      <c r="L40" s="2">
        <f t="shared" ca="1" si="9"/>
        <v>21.287726514077772</v>
      </c>
      <c r="M40" s="2">
        <f t="shared" ca="1" si="9"/>
        <v>22.08109597639605</v>
      </c>
      <c r="N40" s="2">
        <f t="shared" ca="1" si="9"/>
        <v>27.029970322683955</v>
      </c>
      <c r="O40" s="2">
        <f t="shared" ca="1" si="9"/>
        <v>26.004971413406398</v>
      </c>
      <c r="P40" s="2">
        <f t="shared" ca="1" si="9"/>
        <v>29.539011909529421</v>
      </c>
      <c r="Q40" s="2">
        <f t="shared" ca="1" si="9"/>
        <v>23.937711691878405</v>
      </c>
      <c r="R40" s="2">
        <f t="shared" ca="1" si="9"/>
        <v>22.529170587826695</v>
      </c>
      <c r="S40" s="2">
        <f t="shared" ca="1" si="8"/>
        <v>23.729033941854777</v>
      </c>
      <c r="T40" s="2">
        <f t="shared" ca="1" si="8"/>
        <v>20.640136429560073</v>
      </c>
      <c r="U40" s="2">
        <f t="shared" ca="1" si="8"/>
        <v>29.994592335640984</v>
      </c>
      <c r="V40" s="2">
        <f t="shared" ca="1" si="8"/>
        <v>22.202502835894713</v>
      </c>
      <c r="W40" s="2">
        <f t="shared" ca="1" si="8"/>
        <v>25.979330347921298</v>
      </c>
      <c r="X40" s="2">
        <f t="shared" ca="1" si="8"/>
        <v>29.385949947880118</v>
      </c>
      <c r="Y40" s="2">
        <f t="shared" ca="1" si="8"/>
        <v>25.300385367275819</v>
      </c>
      <c r="Z40" s="2">
        <f t="shared" ca="1" si="4"/>
        <v>25.222972922936105</v>
      </c>
      <c r="AA40" s="2">
        <f t="shared" ca="1" si="5"/>
        <v>29.857369636447451</v>
      </c>
      <c r="AB40" s="2">
        <f t="shared" ca="1" si="5"/>
        <v>22.180211137267538</v>
      </c>
      <c r="AC40" s="2">
        <f t="shared" ca="1" si="5"/>
        <v>29.00892614540075</v>
      </c>
      <c r="AD40" s="2">
        <f t="shared" ca="1" si="5"/>
        <v>28.52087722906877</v>
      </c>
      <c r="AE40" s="2">
        <f t="shared" ca="1" si="5"/>
        <v>24.250279754253423</v>
      </c>
      <c r="AF40" s="2">
        <f t="shared" ca="1" si="5"/>
        <v>24.050354668203543</v>
      </c>
      <c r="AG40" s="2">
        <f t="shared" ca="1" si="5"/>
        <v>29.349658566045246</v>
      </c>
      <c r="AH40" s="2">
        <f t="shared" ca="1" si="5"/>
        <v>25.541772527148233</v>
      </c>
    </row>
    <row r="41" spans="1:34">
      <c r="A41" t="str">
        <f t="shared" si="6"/>
        <v>Lentils</v>
      </c>
      <c r="B41" t="str">
        <f t="shared" si="7"/>
        <v>Gambela</v>
      </c>
      <c r="C41" s="2">
        <f t="shared" ca="1" si="9"/>
        <v>27.591683081216072</v>
      </c>
      <c r="D41" s="2">
        <f t="shared" ca="1" si="9"/>
        <v>22.731534994922722</v>
      </c>
      <c r="E41" s="2">
        <f t="shared" ca="1" si="9"/>
        <v>21.933600455725838</v>
      </c>
      <c r="F41" s="2">
        <f t="shared" ca="1" si="9"/>
        <v>23.47970302788157</v>
      </c>
      <c r="G41" s="2">
        <f t="shared" ca="1" si="9"/>
        <v>24.07757135597527</v>
      </c>
      <c r="H41" s="2">
        <f t="shared" ca="1" si="9"/>
        <v>28.283838371384984</v>
      </c>
      <c r="I41" s="2">
        <f t="shared" ca="1" si="9"/>
        <v>20.360418781209976</v>
      </c>
      <c r="J41" s="2">
        <f t="shared" ca="1" si="9"/>
        <v>21.613949161878981</v>
      </c>
      <c r="K41" s="2">
        <f t="shared" ca="1" si="9"/>
        <v>25.614857209992998</v>
      </c>
      <c r="L41" s="2">
        <f t="shared" ca="1" si="9"/>
        <v>27.428464021497113</v>
      </c>
      <c r="M41" s="2">
        <f t="shared" ca="1" si="9"/>
        <v>24.703924552862922</v>
      </c>
      <c r="N41" s="2">
        <f t="shared" ca="1" si="9"/>
        <v>27.000123635346728</v>
      </c>
      <c r="O41" s="2">
        <f t="shared" ca="1" si="9"/>
        <v>29.78857255491204</v>
      </c>
      <c r="P41" s="2">
        <f t="shared" ca="1" si="9"/>
        <v>20.70555612783533</v>
      </c>
      <c r="Q41" s="2">
        <f t="shared" ca="1" si="9"/>
        <v>20.706182057962248</v>
      </c>
      <c r="R41" s="2">
        <f t="shared" ca="1" si="9"/>
        <v>23.35023428221011</v>
      </c>
      <c r="S41" s="2">
        <f t="shared" ca="1" si="8"/>
        <v>29.066887607869742</v>
      </c>
      <c r="T41" s="2">
        <f t="shared" ca="1" si="8"/>
        <v>29.182920504754563</v>
      </c>
      <c r="U41" s="2">
        <f t="shared" ca="1" si="8"/>
        <v>26.729591174908439</v>
      </c>
      <c r="V41" s="2">
        <f t="shared" ca="1" si="8"/>
        <v>21.152730190900542</v>
      </c>
      <c r="W41" s="2">
        <f t="shared" ca="1" si="8"/>
        <v>26.75913245479785</v>
      </c>
      <c r="X41" s="2">
        <f t="shared" ca="1" si="8"/>
        <v>20.344043747662539</v>
      </c>
      <c r="Y41" s="2">
        <f t="shared" ca="1" si="8"/>
        <v>25.952991973135873</v>
      </c>
      <c r="Z41" s="2">
        <f t="shared" ca="1" si="4"/>
        <v>20.393318243332384</v>
      </c>
      <c r="AA41" s="2">
        <f t="shared" ca="1" si="5"/>
        <v>28.824963033582783</v>
      </c>
      <c r="AB41" s="2">
        <f t="shared" ca="1" si="5"/>
        <v>29.86395757433047</v>
      </c>
      <c r="AC41" s="2">
        <f t="shared" ca="1" si="5"/>
        <v>29.824312637692007</v>
      </c>
      <c r="AD41" s="2">
        <f t="shared" ca="1" si="5"/>
        <v>25.771787604692364</v>
      </c>
      <c r="AE41" s="2">
        <f t="shared" ca="1" si="5"/>
        <v>24.99317438565496</v>
      </c>
      <c r="AF41" s="2">
        <f t="shared" ca="1" si="5"/>
        <v>23.429233252648785</v>
      </c>
      <c r="AG41" s="2">
        <f t="shared" ca="1" si="5"/>
        <v>28.700689784641714</v>
      </c>
      <c r="AH41" s="2">
        <f t="shared" ca="1" si="5"/>
        <v>20.42560692467935</v>
      </c>
    </row>
    <row r="42" spans="1:34">
      <c r="A42" t="str">
        <f t="shared" si="6"/>
        <v>Lentils</v>
      </c>
      <c r="B42" t="str">
        <f t="shared" si="7"/>
        <v>Harari</v>
      </c>
      <c r="C42" s="2">
        <f t="shared" ca="1" si="9"/>
        <v>28.695096750979626</v>
      </c>
      <c r="D42" s="2">
        <f t="shared" ca="1" si="9"/>
        <v>27.990650844964311</v>
      </c>
      <c r="E42" s="2">
        <f t="shared" ca="1" si="9"/>
        <v>27.632575546979542</v>
      </c>
      <c r="F42" s="2">
        <f t="shared" ca="1" si="9"/>
        <v>22.274134308422479</v>
      </c>
      <c r="G42" s="2">
        <f t="shared" ca="1" si="9"/>
        <v>24.555532112007189</v>
      </c>
      <c r="H42" s="2">
        <f t="shared" ca="1" si="9"/>
        <v>24.368999306975375</v>
      </c>
      <c r="I42" s="2">
        <f t="shared" ca="1" si="9"/>
        <v>27.803161256463888</v>
      </c>
      <c r="J42" s="2">
        <f t="shared" ca="1" si="9"/>
        <v>29.728632399059148</v>
      </c>
      <c r="K42" s="2">
        <f t="shared" ca="1" si="9"/>
        <v>24.84997683347455</v>
      </c>
      <c r="L42" s="2">
        <f t="shared" ca="1" si="9"/>
        <v>26.611355461868897</v>
      </c>
      <c r="M42" s="2">
        <f t="shared" ca="1" si="9"/>
        <v>24.471652996859845</v>
      </c>
      <c r="N42" s="2">
        <f t="shared" ca="1" si="9"/>
        <v>27.016175648502788</v>
      </c>
      <c r="O42" s="2">
        <f t="shared" ca="1" si="9"/>
        <v>21.399080167792324</v>
      </c>
      <c r="P42" s="2">
        <f t="shared" ca="1" si="9"/>
        <v>22.485298947438828</v>
      </c>
      <c r="Q42" s="2">
        <f t="shared" ca="1" si="9"/>
        <v>25.103132430161086</v>
      </c>
      <c r="R42" s="2">
        <f t="shared" ca="1" si="9"/>
        <v>25.461401317487503</v>
      </c>
      <c r="S42" s="2">
        <f t="shared" ca="1" si="8"/>
        <v>23.694793560850211</v>
      </c>
      <c r="T42" s="2">
        <f t="shared" ca="1" si="8"/>
        <v>20.547597892210586</v>
      </c>
      <c r="U42" s="2">
        <f t="shared" ca="1" si="8"/>
        <v>20.327538404382537</v>
      </c>
      <c r="V42" s="2">
        <f t="shared" ca="1" si="8"/>
        <v>20.702444620468491</v>
      </c>
      <c r="W42" s="2">
        <f t="shared" ca="1" si="8"/>
        <v>28.301475297667007</v>
      </c>
      <c r="X42" s="2">
        <f t="shared" ca="1" si="8"/>
        <v>21.004387221384608</v>
      </c>
      <c r="Y42" s="2">
        <f t="shared" ca="1" si="8"/>
        <v>20.255498707093629</v>
      </c>
      <c r="Z42" s="2">
        <f t="shared" ca="1" si="4"/>
        <v>22.344598585270013</v>
      </c>
      <c r="AA42" s="2">
        <f t="shared" ca="1" si="5"/>
        <v>24.888180166136504</v>
      </c>
      <c r="AB42" s="2">
        <f t="shared" ca="1" si="5"/>
        <v>22.86813942890733</v>
      </c>
      <c r="AC42" s="2">
        <f t="shared" ca="1" si="5"/>
        <v>20.524005679968951</v>
      </c>
      <c r="AD42" s="2">
        <f t="shared" ca="1" si="5"/>
        <v>27.536518231499528</v>
      </c>
      <c r="AE42" s="2">
        <f t="shared" ca="1" si="5"/>
        <v>20.65463953088349</v>
      </c>
      <c r="AF42" s="2">
        <f t="shared" ca="1" si="5"/>
        <v>27.489916944162008</v>
      </c>
      <c r="AG42" s="2">
        <f t="shared" ca="1" si="5"/>
        <v>23.24263381674114</v>
      </c>
      <c r="AH42" s="2">
        <f t="shared" ref="D42:AH68" ca="1" si="10">(RAND()*0.1+0.2)*100</f>
        <v>27.77092366755436</v>
      </c>
    </row>
    <row r="43" spans="1:34">
      <c r="A43" t="str">
        <f t="shared" si="6"/>
        <v>Lentils</v>
      </c>
      <c r="B43" t="str">
        <f t="shared" si="7"/>
        <v>Oromia</v>
      </c>
      <c r="C43" s="2">
        <f t="shared" ca="1" si="9"/>
        <v>23.688420342591833</v>
      </c>
      <c r="D43" s="2">
        <f t="shared" ca="1" si="10"/>
        <v>26.753141106038093</v>
      </c>
      <c r="E43" s="2">
        <f t="shared" ca="1" si="10"/>
        <v>20.80892803584409</v>
      </c>
      <c r="F43" s="2">
        <f t="shared" ca="1" si="10"/>
        <v>28.268832265651785</v>
      </c>
      <c r="G43" s="2">
        <f t="shared" ca="1" si="10"/>
        <v>26.278961294403114</v>
      </c>
      <c r="H43" s="2">
        <f t="shared" ca="1" si="10"/>
        <v>23.808207103179779</v>
      </c>
      <c r="I43" s="2">
        <f t="shared" ca="1" si="10"/>
        <v>21.728371429622843</v>
      </c>
      <c r="J43" s="2">
        <f t="shared" ca="1" si="10"/>
        <v>23.170316086114855</v>
      </c>
      <c r="K43" s="2">
        <f t="shared" ca="1" si="10"/>
        <v>27.079883403472664</v>
      </c>
      <c r="L43" s="2">
        <f t="shared" ca="1" si="10"/>
        <v>20.774253186895471</v>
      </c>
      <c r="M43" s="2">
        <f t="shared" ca="1" si="10"/>
        <v>22.094364988300605</v>
      </c>
      <c r="N43" s="2">
        <f t="shared" ca="1" si="10"/>
        <v>29.998162334632394</v>
      </c>
      <c r="O43" s="2">
        <f t="shared" ca="1" si="10"/>
        <v>29.566405367836179</v>
      </c>
      <c r="P43" s="2">
        <f t="shared" ca="1" si="10"/>
        <v>25.080555871353049</v>
      </c>
      <c r="Q43" s="2">
        <f t="shared" ca="1" si="10"/>
        <v>22.394246940288898</v>
      </c>
      <c r="R43" s="2">
        <f t="shared" ca="1" si="10"/>
        <v>24.405485275702144</v>
      </c>
      <c r="S43" s="2">
        <f t="shared" ca="1" si="10"/>
        <v>22.913850417565332</v>
      </c>
      <c r="T43" s="2">
        <f t="shared" ca="1" si="10"/>
        <v>22.929469914066754</v>
      </c>
      <c r="U43" s="2">
        <f t="shared" ca="1" si="10"/>
        <v>21.078156029626339</v>
      </c>
      <c r="V43" s="2">
        <f t="shared" ca="1" si="10"/>
        <v>24.396955487316969</v>
      </c>
      <c r="W43" s="2">
        <f t="shared" ca="1" si="10"/>
        <v>21.724106414722009</v>
      </c>
      <c r="X43" s="2">
        <f t="shared" ca="1" si="10"/>
        <v>25.373331745521043</v>
      </c>
      <c r="Y43" s="2">
        <f t="shared" ca="1" si="10"/>
        <v>21.874923085091122</v>
      </c>
      <c r="Z43" s="2">
        <f t="shared" ca="1" si="10"/>
        <v>24.214560001683356</v>
      </c>
      <c r="AA43" s="2">
        <f t="shared" ca="1" si="10"/>
        <v>29.857685196120887</v>
      </c>
      <c r="AB43" s="2">
        <f t="shared" ca="1" si="10"/>
        <v>21.923639686600431</v>
      </c>
      <c r="AC43" s="2">
        <f t="shared" ca="1" si="10"/>
        <v>26.09374337258031</v>
      </c>
      <c r="AD43" s="2">
        <f t="shared" ca="1" si="10"/>
        <v>28.659022555255078</v>
      </c>
      <c r="AE43" s="2">
        <f t="shared" ca="1" si="10"/>
        <v>26.076868983078892</v>
      </c>
      <c r="AF43" s="2">
        <f t="shared" ca="1" si="10"/>
        <v>20.84648038053799</v>
      </c>
      <c r="AG43" s="2">
        <f t="shared" ca="1" si="10"/>
        <v>24.088097306043462</v>
      </c>
      <c r="AH43" s="2">
        <f t="shared" ca="1" si="10"/>
        <v>22.505974223888831</v>
      </c>
    </row>
    <row r="44" spans="1:34">
      <c r="A44" t="str">
        <f t="shared" si="6"/>
        <v>Lentils</v>
      </c>
      <c r="B44" t="str">
        <f t="shared" si="7"/>
        <v>Somali</v>
      </c>
      <c r="C44" s="2">
        <f t="shared" ca="1" si="9"/>
        <v>27.886805108056382</v>
      </c>
      <c r="D44" s="2">
        <f t="shared" ca="1" si="10"/>
        <v>26.164124845501536</v>
      </c>
      <c r="E44" s="2">
        <f t="shared" ca="1" si="10"/>
        <v>29.148563582952182</v>
      </c>
      <c r="F44" s="2">
        <f t="shared" ca="1" si="10"/>
        <v>27.345002438449171</v>
      </c>
      <c r="G44" s="2">
        <f t="shared" ca="1" si="10"/>
        <v>25.73729724381883</v>
      </c>
      <c r="H44" s="2">
        <f t="shared" ca="1" si="10"/>
        <v>26.142729043602774</v>
      </c>
      <c r="I44" s="2">
        <f t="shared" ca="1" si="10"/>
        <v>29.211514947277806</v>
      </c>
      <c r="J44" s="2">
        <f t="shared" ca="1" si="10"/>
        <v>20.064558918651564</v>
      </c>
      <c r="K44" s="2">
        <f t="shared" ca="1" si="10"/>
        <v>23.701310535398292</v>
      </c>
      <c r="L44" s="2">
        <f t="shared" ca="1" si="10"/>
        <v>22.31116893545839</v>
      </c>
      <c r="M44" s="2">
        <f t="shared" ca="1" si="10"/>
        <v>22.735274015502721</v>
      </c>
      <c r="N44" s="2">
        <f t="shared" ca="1" si="10"/>
        <v>23.174368518107201</v>
      </c>
      <c r="O44" s="2">
        <f t="shared" ca="1" si="10"/>
        <v>23.475803582474963</v>
      </c>
      <c r="P44" s="2">
        <f t="shared" ca="1" si="10"/>
        <v>29.015874948331483</v>
      </c>
      <c r="Q44" s="2">
        <f t="shared" ca="1" si="10"/>
        <v>24.950500396227099</v>
      </c>
      <c r="R44" s="2">
        <f t="shared" ca="1" si="10"/>
        <v>27.142540813038785</v>
      </c>
      <c r="S44" s="2">
        <f t="shared" ca="1" si="10"/>
        <v>24.807759041126314</v>
      </c>
      <c r="T44" s="2">
        <f t="shared" ca="1" si="10"/>
        <v>29.599793373134233</v>
      </c>
      <c r="U44" s="2">
        <f t="shared" ca="1" si="10"/>
        <v>27.90720295025999</v>
      </c>
      <c r="V44" s="2">
        <f t="shared" ca="1" si="10"/>
        <v>28.665039913821744</v>
      </c>
      <c r="W44" s="2">
        <f t="shared" ca="1" si="10"/>
        <v>25.711739930854367</v>
      </c>
      <c r="X44" s="2">
        <f t="shared" ca="1" si="10"/>
        <v>23.42125694516325</v>
      </c>
      <c r="Y44" s="2">
        <f t="shared" ca="1" si="10"/>
        <v>21.408851520888092</v>
      </c>
      <c r="Z44" s="2">
        <f t="shared" ca="1" si="10"/>
        <v>29.428065555136662</v>
      </c>
      <c r="AA44" s="2">
        <f t="shared" ca="1" si="10"/>
        <v>29.545192455225639</v>
      </c>
      <c r="AB44" s="2">
        <f t="shared" ca="1" si="10"/>
        <v>26.35576345518465</v>
      </c>
      <c r="AC44" s="2">
        <f t="shared" ca="1" si="10"/>
        <v>29.918249136350756</v>
      </c>
      <c r="AD44" s="2">
        <f t="shared" ca="1" si="10"/>
        <v>21.942219149947089</v>
      </c>
      <c r="AE44" s="2">
        <f t="shared" ca="1" si="10"/>
        <v>23.507114018393114</v>
      </c>
      <c r="AF44" s="2">
        <f t="shared" ca="1" si="10"/>
        <v>23.759732301599598</v>
      </c>
      <c r="AG44" s="2">
        <f t="shared" ca="1" si="10"/>
        <v>27.362508947868719</v>
      </c>
      <c r="AH44" s="2">
        <f t="shared" ca="1" si="10"/>
        <v>28.121876923564425</v>
      </c>
    </row>
    <row r="45" spans="1:34">
      <c r="A45" t="str">
        <f t="shared" si="6"/>
        <v>Lentils</v>
      </c>
      <c r="B45" t="str">
        <f t="shared" si="7"/>
        <v>SNNPR</v>
      </c>
      <c r="C45" s="2">
        <f t="shared" ca="1" si="9"/>
        <v>27.734565990080341</v>
      </c>
      <c r="D45" s="2">
        <f t="shared" ca="1" si="10"/>
        <v>22.77502405908816</v>
      </c>
      <c r="E45" s="2">
        <f t="shared" ca="1" si="10"/>
        <v>24.367920203167046</v>
      </c>
      <c r="F45" s="2">
        <f t="shared" ca="1" si="10"/>
        <v>24.627187885300689</v>
      </c>
      <c r="G45" s="2">
        <f t="shared" ca="1" si="10"/>
        <v>20.649132554441792</v>
      </c>
      <c r="H45" s="2">
        <f t="shared" ca="1" si="10"/>
        <v>20.233350258667464</v>
      </c>
      <c r="I45" s="2">
        <f t="shared" ca="1" si="10"/>
        <v>23.624749310692238</v>
      </c>
      <c r="J45" s="2">
        <f t="shared" ca="1" si="10"/>
        <v>26.912920045980204</v>
      </c>
      <c r="K45" s="2">
        <f t="shared" ca="1" si="10"/>
        <v>28.156594382191646</v>
      </c>
      <c r="L45" s="2">
        <f t="shared" ca="1" si="10"/>
        <v>29.238296215818842</v>
      </c>
      <c r="M45" s="2">
        <f t="shared" ca="1" si="10"/>
        <v>28.782034568436003</v>
      </c>
      <c r="N45" s="2">
        <f t="shared" ca="1" si="10"/>
        <v>28.677456461552314</v>
      </c>
      <c r="O45" s="2">
        <f t="shared" ca="1" si="10"/>
        <v>20.914801026434795</v>
      </c>
      <c r="P45" s="2">
        <f t="shared" ca="1" si="10"/>
        <v>28.843763914213326</v>
      </c>
      <c r="Q45" s="2">
        <f t="shared" ca="1" si="10"/>
        <v>27.857453850170028</v>
      </c>
      <c r="R45" s="2">
        <f t="shared" ca="1" si="10"/>
        <v>28.312126277988845</v>
      </c>
      <c r="S45" s="2">
        <f t="shared" ca="1" si="10"/>
        <v>26.496754530232764</v>
      </c>
      <c r="T45" s="2">
        <f t="shared" ca="1" si="10"/>
        <v>28.482156244642308</v>
      </c>
      <c r="U45" s="2">
        <f t="shared" ca="1" si="10"/>
        <v>21.081915551897055</v>
      </c>
      <c r="V45" s="2">
        <f t="shared" ca="1" si="10"/>
        <v>29.718682295046563</v>
      </c>
      <c r="W45" s="2">
        <f t="shared" ca="1" si="10"/>
        <v>24.085791045052339</v>
      </c>
      <c r="X45" s="2">
        <f t="shared" ca="1" si="10"/>
        <v>29.806493077471973</v>
      </c>
      <c r="Y45" s="2">
        <f t="shared" ca="1" si="10"/>
        <v>29.643258425635448</v>
      </c>
      <c r="Z45" s="2">
        <f t="shared" ca="1" si="10"/>
        <v>24.541877028957025</v>
      </c>
      <c r="AA45" s="2">
        <f t="shared" ca="1" si="10"/>
        <v>23.965554975157666</v>
      </c>
      <c r="AB45" s="2">
        <f t="shared" ca="1" si="10"/>
        <v>24.995062176696848</v>
      </c>
      <c r="AC45" s="2">
        <f t="shared" ca="1" si="10"/>
        <v>29.158757552943783</v>
      </c>
      <c r="AD45" s="2">
        <f t="shared" ca="1" si="10"/>
        <v>24.005503837009307</v>
      </c>
      <c r="AE45" s="2">
        <f t="shared" ca="1" si="10"/>
        <v>26.35064530977056</v>
      </c>
      <c r="AF45" s="2">
        <f t="shared" ca="1" si="10"/>
        <v>28.693393641254968</v>
      </c>
      <c r="AG45" s="2">
        <f t="shared" ca="1" si="10"/>
        <v>24.217782585594268</v>
      </c>
      <c r="AH45" s="2">
        <f t="shared" ca="1" si="10"/>
        <v>24.131784373937322</v>
      </c>
    </row>
    <row r="46" spans="1:34">
      <c r="A46" t="str">
        <f t="shared" si="6"/>
        <v>Lentils</v>
      </c>
      <c r="B46" t="str">
        <f t="shared" si="7"/>
        <v>Tigray</v>
      </c>
      <c r="C46" s="2">
        <f t="shared" ca="1" si="9"/>
        <v>25.073312724947506</v>
      </c>
      <c r="D46" s="2">
        <f t="shared" ca="1" si="10"/>
        <v>26.067391597133483</v>
      </c>
      <c r="E46" s="2">
        <f t="shared" ca="1" si="10"/>
        <v>24.019360816432251</v>
      </c>
      <c r="F46" s="2">
        <f t="shared" ca="1" si="10"/>
        <v>28.815156663335369</v>
      </c>
      <c r="G46" s="2">
        <f t="shared" ca="1" si="10"/>
        <v>24.89145380032895</v>
      </c>
      <c r="H46" s="2">
        <f t="shared" ca="1" si="10"/>
        <v>26.582324647957318</v>
      </c>
      <c r="I46" s="2">
        <f t="shared" ca="1" si="10"/>
        <v>23.169978428772104</v>
      </c>
      <c r="J46" s="2">
        <f t="shared" ca="1" si="10"/>
        <v>28.550384394171829</v>
      </c>
      <c r="K46" s="2">
        <f t="shared" ca="1" si="10"/>
        <v>29.077839808887401</v>
      </c>
      <c r="L46" s="2">
        <f t="shared" ca="1" si="10"/>
        <v>26.295461870387086</v>
      </c>
      <c r="M46" s="2">
        <f t="shared" ca="1" si="10"/>
        <v>22.10267634594743</v>
      </c>
      <c r="N46" s="2">
        <f t="shared" ca="1" si="10"/>
        <v>24.546273241214813</v>
      </c>
      <c r="O46" s="2">
        <f t="shared" ca="1" si="10"/>
        <v>26.703113676477329</v>
      </c>
      <c r="P46" s="2">
        <f t="shared" ca="1" si="10"/>
        <v>22.418853826974399</v>
      </c>
      <c r="Q46" s="2">
        <f t="shared" ca="1" si="10"/>
        <v>21.264749091787007</v>
      </c>
      <c r="R46" s="2">
        <f t="shared" ca="1" si="10"/>
        <v>21.627547405248759</v>
      </c>
      <c r="S46" s="2">
        <f t="shared" ca="1" si="10"/>
        <v>27.099136033674487</v>
      </c>
      <c r="T46" s="2">
        <f t="shared" ca="1" si="10"/>
        <v>23.602515892690583</v>
      </c>
      <c r="U46" s="2">
        <f t="shared" ca="1" si="10"/>
        <v>23.304915904308444</v>
      </c>
      <c r="V46" s="2">
        <f t="shared" ca="1" si="10"/>
        <v>23.219619714001155</v>
      </c>
      <c r="W46" s="2">
        <f t="shared" ca="1" si="10"/>
        <v>21.576182645213546</v>
      </c>
      <c r="X46" s="2">
        <f t="shared" ca="1" si="10"/>
        <v>22.654209395431554</v>
      </c>
      <c r="Y46" s="2">
        <f t="shared" ca="1" si="10"/>
        <v>23.812962579129888</v>
      </c>
      <c r="Z46" s="2">
        <f t="shared" ca="1" si="10"/>
        <v>29.156231283847045</v>
      </c>
      <c r="AA46" s="2">
        <f t="shared" ca="1" si="10"/>
        <v>25.014646254878691</v>
      </c>
      <c r="AB46" s="2">
        <f t="shared" ca="1" si="10"/>
        <v>29.85154119487683</v>
      </c>
      <c r="AC46" s="2">
        <f t="shared" ca="1" si="10"/>
        <v>28.938800535278819</v>
      </c>
      <c r="AD46" s="2">
        <f t="shared" ca="1" si="10"/>
        <v>22.722983836046147</v>
      </c>
      <c r="AE46" s="2">
        <f t="shared" ca="1" si="10"/>
        <v>28.677510864244159</v>
      </c>
      <c r="AF46" s="2">
        <f t="shared" ca="1" si="10"/>
        <v>20.841270347599824</v>
      </c>
      <c r="AG46" s="2">
        <f t="shared" ca="1" si="10"/>
        <v>22.239923842207478</v>
      </c>
      <c r="AH46" s="2">
        <f t="shared" ca="1" si="10"/>
        <v>29.437496261228031</v>
      </c>
    </row>
    <row r="47" spans="1:34">
      <c r="A47" t="str">
        <f t="shared" si="6"/>
        <v>Vegetables</v>
      </c>
      <c r="B47" t="str">
        <f t="shared" si="7"/>
        <v>AddisAbaba</v>
      </c>
      <c r="C47" s="2">
        <f t="shared" ca="1" si="9"/>
        <v>26.341020931869856</v>
      </c>
      <c r="D47" s="2">
        <f t="shared" ca="1" si="10"/>
        <v>26.013309165710442</v>
      </c>
      <c r="E47" s="2">
        <f t="shared" ca="1" si="10"/>
        <v>24.425922793676925</v>
      </c>
      <c r="F47" s="2">
        <f t="shared" ca="1" si="10"/>
        <v>24.919564764050335</v>
      </c>
      <c r="G47" s="2">
        <f t="shared" ca="1" si="10"/>
        <v>25.51069203136559</v>
      </c>
      <c r="H47" s="2">
        <f t="shared" ca="1" si="10"/>
        <v>27.203178317726152</v>
      </c>
      <c r="I47" s="2">
        <f t="shared" ca="1" si="10"/>
        <v>22.983289052726544</v>
      </c>
      <c r="J47" s="2">
        <f t="shared" ca="1" si="10"/>
        <v>26.11640084991874</v>
      </c>
      <c r="K47" s="2">
        <f t="shared" ca="1" si="10"/>
        <v>22.047227805831056</v>
      </c>
      <c r="L47" s="2">
        <f t="shared" ca="1" si="10"/>
        <v>25.6404727084741</v>
      </c>
      <c r="M47" s="2">
        <f t="shared" ca="1" si="10"/>
        <v>24.238100157112246</v>
      </c>
      <c r="N47" s="2">
        <f t="shared" ca="1" si="10"/>
        <v>28.717736823418239</v>
      </c>
      <c r="O47" s="2">
        <f t="shared" ca="1" si="10"/>
        <v>25.439836052231247</v>
      </c>
      <c r="P47" s="2">
        <f t="shared" ca="1" si="10"/>
        <v>20.282446614863485</v>
      </c>
      <c r="Q47" s="2">
        <f t="shared" ca="1" si="10"/>
        <v>21.258150404034971</v>
      </c>
      <c r="R47" s="2">
        <f t="shared" ca="1" si="10"/>
        <v>23.427627788576697</v>
      </c>
      <c r="S47" s="2">
        <f t="shared" ca="1" si="10"/>
        <v>26.870294351813186</v>
      </c>
      <c r="T47" s="2">
        <f t="shared" ca="1" si="10"/>
        <v>27.749516046295831</v>
      </c>
      <c r="U47" s="2">
        <f t="shared" ca="1" si="10"/>
        <v>26.027267690021048</v>
      </c>
      <c r="V47" s="2">
        <f t="shared" ca="1" si="10"/>
        <v>28.078173625561988</v>
      </c>
      <c r="W47" s="2">
        <f t="shared" ca="1" si="10"/>
        <v>27.833826224432052</v>
      </c>
      <c r="X47" s="2">
        <f t="shared" ca="1" si="10"/>
        <v>20.047909134881557</v>
      </c>
      <c r="Y47" s="2">
        <f t="shared" ca="1" si="10"/>
        <v>21.32327772361408</v>
      </c>
      <c r="Z47" s="2">
        <f t="shared" ca="1" si="10"/>
        <v>26.123125300498067</v>
      </c>
      <c r="AA47" s="2">
        <f t="shared" ca="1" si="10"/>
        <v>23.164247122521527</v>
      </c>
      <c r="AB47" s="2">
        <f t="shared" ca="1" si="10"/>
        <v>23.151403036833994</v>
      </c>
      <c r="AC47" s="2">
        <f t="shared" ca="1" si="10"/>
        <v>29.499146650912621</v>
      </c>
      <c r="AD47" s="2">
        <f t="shared" ca="1" si="10"/>
        <v>20.201921005725477</v>
      </c>
      <c r="AE47" s="2">
        <f t="shared" ca="1" si="10"/>
        <v>27.239595809721667</v>
      </c>
      <c r="AF47" s="2">
        <f t="shared" ca="1" si="10"/>
        <v>27.274615148723207</v>
      </c>
      <c r="AG47" s="2">
        <f t="shared" ca="1" si="10"/>
        <v>25.382701584078099</v>
      </c>
      <c r="AH47" s="2">
        <f t="shared" ca="1" si="10"/>
        <v>28.905640486630922</v>
      </c>
    </row>
    <row r="48" spans="1:34">
      <c r="A48" t="str">
        <f t="shared" si="6"/>
        <v>Vegetables</v>
      </c>
      <c r="B48" t="str">
        <f t="shared" si="7"/>
        <v>Afar</v>
      </c>
      <c r="C48" s="2">
        <f t="shared" ca="1" si="9"/>
        <v>29.323133963466407</v>
      </c>
      <c r="D48" s="2">
        <f t="shared" ca="1" si="10"/>
        <v>29.74682323871949</v>
      </c>
      <c r="E48" s="2">
        <f t="shared" ca="1" si="10"/>
        <v>27.657371908269511</v>
      </c>
      <c r="F48" s="2">
        <f t="shared" ca="1" si="10"/>
        <v>27.018189774230589</v>
      </c>
      <c r="G48" s="2">
        <f t="shared" ca="1" si="10"/>
        <v>24.892403088508789</v>
      </c>
      <c r="H48" s="2">
        <f t="shared" ca="1" si="10"/>
        <v>25.532854530504189</v>
      </c>
      <c r="I48" s="2">
        <f t="shared" ca="1" si="10"/>
        <v>27.927404810191181</v>
      </c>
      <c r="J48" s="2">
        <f t="shared" ca="1" si="10"/>
        <v>23.864874601480864</v>
      </c>
      <c r="K48" s="2">
        <f t="shared" ca="1" si="10"/>
        <v>24.815240208760354</v>
      </c>
      <c r="L48" s="2">
        <f t="shared" ca="1" si="10"/>
        <v>29.312917259345472</v>
      </c>
      <c r="M48" s="2">
        <f t="shared" ca="1" si="10"/>
        <v>28.741510969254573</v>
      </c>
      <c r="N48" s="2">
        <f t="shared" ca="1" si="10"/>
        <v>28.406498873404111</v>
      </c>
      <c r="O48" s="2">
        <f t="shared" ca="1" si="10"/>
        <v>26.554294538242786</v>
      </c>
      <c r="P48" s="2">
        <f t="shared" ca="1" si="10"/>
        <v>27.320932617915201</v>
      </c>
      <c r="Q48" s="2">
        <f t="shared" ca="1" si="10"/>
        <v>25.064718871170722</v>
      </c>
      <c r="R48" s="2">
        <f t="shared" ca="1" si="10"/>
        <v>21.793265602736899</v>
      </c>
      <c r="S48" s="2">
        <f t="shared" ca="1" si="10"/>
        <v>28.99830769697077</v>
      </c>
      <c r="T48" s="2">
        <f t="shared" ca="1" si="10"/>
        <v>20.841894447527046</v>
      </c>
      <c r="U48" s="2">
        <f t="shared" ca="1" si="10"/>
        <v>29.583305227538613</v>
      </c>
      <c r="V48" s="2">
        <f t="shared" ca="1" si="10"/>
        <v>29.919702646789414</v>
      </c>
      <c r="W48" s="2">
        <f t="shared" ca="1" si="10"/>
        <v>29.204694033473196</v>
      </c>
      <c r="X48" s="2">
        <f t="shared" ca="1" si="10"/>
        <v>24.965459223524363</v>
      </c>
      <c r="Y48" s="2">
        <f t="shared" ca="1" si="10"/>
        <v>23.496060865525074</v>
      </c>
      <c r="Z48" s="2">
        <f t="shared" ca="1" si="10"/>
        <v>26.558347929074749</v>
      </c>
      <c r="AA48" s="2">
        <f t="shared" ca="1" si="10"/>
        <v>23.386877797199919</v>
      </c>
      <c r="AB48" s="2">
        <f t="shared" ca="1" si="10"/>
        <v>22.964550415765945</v>
      </c>
      <c r="AC48" s="2">
        <f t="shared" ca="1" si="10"/>
        <v>29.599567498966238</v>
      </c>
      <c r="AD48" s="2">
        <f t="shared" ca="1" si="10"/>
        <v>27.244400249617922</v>
      </c>
      <c r="AE48" s="2">
        <f t="shared" ca="1" si="10"/>
        <v>29.586848616243465</v>
      </c>
      <c r="AF48" s="2">
        <f t="shared" ca="1" si="10"/>
        <v>22.949397602581374</v>
      </c>
      <c r="AG48" s="2">
        <f t="shared" ca="1" si="10"/>
        <v>28.170636477447292</v>
      </c>
      <c r="AH48" s="2">
        <f t="shared" ca="1" si="10"/>
        <v>24.523515896764785</v>
      </c>
    </row>
    <row r="49" spans="1:34">
      <c r="A49" t="str">
        <f t="shared" si="6"/>
        <v>Vegetables</v>
      </c>
      <c r="B49" t="str">
        <f t="shared" si="7"/>
        <v>Amhara</v>
      </c>
      <c r="C49" s="2">
        <f t="shared" ca="1" si="9"/>
        <v>21.179095846431611</v>
      </c>
      <c r="D49" s="2">
        <f t="shared" ca="1" si="10"/>
        <v>21.001335000950267</v>
      </c>
      <c r="E49" s="2">
        <f t="shared" ca="1" si="10"/>
        <v>29.702435419663146</v>
      </c>
      <c r="F49" s="2">
        <f t="shared" ca="1" si="10"/>
        <v>21.615351184413267</v>
      </c>
      <c r="G49" s="2">
        <f t="shared" ca="1" si="10"/>
        <v>23.219473621133009</v>
      </c>
      <c r="H49" s="2">
        <f t="shared" ca="1" si="10"/>
        <v>27.450233317085626</v>
      </c>
      <c r="I49" s="2">
        <f t="shared" ca="1" si="10"/>
        <v>24.97547051572624</v>
      </c>
      <c r="J49" s="2">
        <f t="shared" ca="1" si="10"/>
        <v>24.185502633078311</v>
      </c>
      <c r="K49" s="2">
        <f t="shared" ca="1" si="10"/>
        <v>22.609091108198911</v>
      </c>
      <c r="L49" s="2">
        <f t="shared" ca="1" si="10"/>
        <v>22.240029169248039</v>
      </c>
      <c r="M49" s="2">
        <f t="shared" ca="1" si="10"/>
        <v>20.245998798267603</v>
      </c>
      <c r="N49" s="2">
        <f t="shared" ca="1" si="10"/>
        <v>27.005344385677933</v>
      </c>
      <c r="O49" s="2">
        <f t="shared" ca="1" si="10"/>
        <v>28.296903825177651</v>
      </c>
      <c r="P49" s="2">
        <f t="shared" ca="1" si="10"/>
        <v>29.336582361937623</v>
      </c>
      <c r="Q49" s="2">
        <f t="shared" ca="1" si="10"/>
        <v>29.974236983172631</v>
      </c>
      <c r="R49" s="2">
        <f t="shared" ca="1" si="10"/>
        <v>22.769370160147563</v>
      </c>
      <c r="S49" s="2">
        <f t="shared" ca="1" si="10"/>
        <v>26.133189475768738</v>
      </c>
      <c r="T49" s="2">
        <f t="shared" ca="1" si="10"/>
        <v>26.283633734699809</v>
      </c>
      <c r="U49" s="2">
        <f t="shared" ca="1" si="10"/>
        <v>27.949742399383993</v>
      </c>
      <c r="V49" s="2">
        <f t="shared" ca="1" si="10"/>
        <v>20.238941841626175</v>
      </c>
      <c r="W49" s="2">
        <f t="shared" ca="1" si="10"/>
        <v>21.13726646916448</v>
      </c>
      <c r="X49" s="2">
        <f t="shared" ca="1" si="10"/>
        <v>20.817418817870887</v>
      </c>
      <c r="Y49" s="2">
        <f t="shared" ca="1" si="10"/>
        <v>29.022868752349922</v>
      </c>
      <c r="Z49" s="2">
        <f t="shared" ca="1" si="10"/>
        <v>29.432376147822602</v>
      </c>
      <c r="AA49" s="2">
        <f t="shared" ca="1" si="10"/>
        <v>29.877641066346587</v>
      </c>
      <c r="AB49" s="2">
        <f t="shared" ca="1" si="10"/>
        <v>25.847524481764665</v>
      </c>
      <c r="AC49" s="2">
        <f t="shared" ca="1" si="10"/>
        <v>21.526247595836463</v>
      </c>
      <c r="AD49" s="2">
        <f t="shared" ca="1" si="10"/>
        <v>29.291042974988368</v>
      </c>
      <c r="AE49" s="2">
        <f t="shared" ca="1" si="10"/>
        <v>21.153563967547242</v>
      </c>
      <c r="AF49" s="2">
        <f t="shared" ca="1" si="10"/>
        <v>20.22268360485451</v>
      </c>
      <c r="AG49" s="2">
        <f t="shared" ca="1" si="10"/>
        <v>22.40637011445925</v>
      </c>
      <c r="AH49" s="2">
        <f t="shared" ca="1" si="10"/>
        <v>20.939679394439466</v>
      </c>
    </row>
    <row r="50" spans="1:34">
      <c r="A50" t="str">
        <f t="shared" si="6"/>
        <v>Vegetables</v>
      </c>
      <c r="B50" t="str">
        <f t="shared" si="7"/>
        <v>Gumuz</v>
      </c>
      <c r="C50" s="2">
        <f t="shared" ca="1" si="9"/>
        <v>21.22257279910631</v>
      </c>
      <c r="D50" s="2">
        <f t="shared" ca="1" si="10"/>
        <v>29.834204594224833</v>
      </c>
      <c r="E50" s="2">
        <f t="shared" ca="1" si="10"/>
        <v>26.928782993548328</v>
      </c>
      <c r="F50" s="2">
        <f t="shared" ca="1" si="10"/>
        <v>25.078385144715064</v>
      </c>
      <c r="G50" s="2">
        <f t="shared" ca="1" si="10"/>
        <v>29.708198818634536</v>
      </c>
      <c r="H50" s="2">
        <f t="shared" ca="1" si="10"/>
        <v>25.082103871525206</v>
      </c>
      <c r="I50" s="2">
        <f t="shared" ca="1" si="10"/>
        <v>20.683005620532398</v>
      </c>
      <c r="J50" s="2">
        <f t="shared" ca="1" si="10"/>
        <v>21.305900333756668</v>
      </c>
      <c r="K50" s="2">
        <f t="shared" ca="1" si="10"/>
        <v>23.50872463514942</v>
      </c>
      <c r="L50" s="2">
        <f t="shared" ca="1" si="10"/>
        <v>26.083121162015331</v>
      </c>
      <c r="M50" s="2">
        <f t="shared" ca="1" si="10"/>
        <v>24.140182734917779</v>
      </c>
      <c r="N50" s="2">
        <f t="shared" ca="1" si="10"/>
        <v>27.111939887142356</v>
      </c>
      <c r="O50" s="2">
        <f t="shared" ca="1" si="10"/>
        <v>23.826380994794867</v>
      </c>
      <c r="P50" s="2">
        <f t="shared" ca="1" si="10"/>
        <v>24.366257452391956</v>
      </c>
      <c r="Q50" s="2">
        <f t="shared" ca="1" si="10"/>
        <v>28.050097930150176</v>
      </c>
      <c r="R50" s="2">
        <f t="shared" ca="1" si="10"/>
        <v>27.901194988676203</v>
      </c>
      <c r="S50" s="2">
        <f t="shared" ca="1" si="10"/>
        <v>22.260818469657298</v>
      </c>
      <c r="T50" s="2">
        <f t="shared" ca="1" si="10"/>
        <v>25.248890806684127</v>
      </c>
      <c r="U50" s="2">
        <f t="shared" ca="1" si="10"/>
        <v>25.252168576148019</v>
      </c>
      <c r="V50" s="2">
        <f t="shared" ca="1" si="10"/>
        <v>27.157270694231638</v>
      </c>
      <c r="W50" s="2">
        <f t="shared" ca="1" si="10"/>
        <v>22.55245265394128</v>
      </c>
      <c r="X50" s="2">
        <f t="shared" ca="1" si="10"/>
        <v>25.718309774141453</v>
      </c>
      <c r="Y50" s="2">
        <f t="shared" ca="1" si="10"/>
        <v>22.905952170202138</v>
      </c>
      <c r="Z50" s="2">
        <f t="shared" ca="1" si="10"/>
        <v>21.691618605216153</v>
      </c>
      <c r="AA50" s="2">
        <f t="shared" ca="1" si="10"/>
        <v>24.267780834132829</v>
      </c>
      <c r="AB50" s="2">
        <f t="shared" ca="1" si="10"/>
        <v>29.366745329275457</v>
      </c>
      <c r="AC50" s="2">
        <f t="shared" ca="1" si="10"/>
        <v>26.939736250911107</v>
      </c>
      <c r="AD50" s="2">
        <f t="shared" ca="1" si="10"/>
        <v>28.537882781677531</v>
      </c>
      <c r="AE50" s="2">
        <f t="shared" ca="1" si="10"/>
        <v>26.718746423950645</v>
      </c>
      <c r="AF50" s="2">
        <f t="shared" ca="1" si="10"/>
        <v>23.972498248118821</v>
      </c>
      <c r="AG50" s="2">
        <f t="shared" ca="1" si="10"/>
        <v>24.294071111377022</v>
      </c>
      <c r="AH50" s="2">
        <f t="shared" ca="1" si="10"/>
        <v>28.193221649477941</v>
      </c>
    </row>
    <row r="51" spans="1:34">
      <c r="A51" t="str">
        <f t="shared" si="6"/>
        <v>Vegetables</v>
      </c>
      <c r="B51" t="str">
        <f t="shared" si="7"/>
        <v>DireDawa</v>
      </c>
      <c r="C51" s="2">
        <f t="shared" ca="1" si="9"/>
        <v>25.661217953295356</v>
      </c>
      <c r="D51" s="2">
        <f t="shared" ca="1" si="10"/>
        <v>24.986327678101386</v>
      </c>
      <c r="E51" s="2">
        <f t="shared" ca="1" si="10"/>
        <v>21.803922972567282</v>
      </c>
      <c r="F51" s="2">
        <f t="shared" ca="1" si="10"/>
        <v>21.951731254616835</v>
      </c>
      <c r="G51" s="2">
        <f t="shared" ca="1" si="10"/>
        <v>24.374188743734155</v>
      </c>
      <c r="H51" s="2">
        <f t="shared" ca="1" si="10"/>
        <v>29.847367203641205</v>
      </c>
      <c r="I51" s="2">
        <f t="shared" ca="1" si="10"/>
        <v>27.536146728848109</v>
      </c>
      <c r="J51" s="2">
        <f t="shared" ref="J51:Y68" ca="1" si="11">(RAND()*0.1+0.2)*100</f>
        <v>27.941010400443091</v>
      </c>
      <c r="K51" s="2">
        <f t="shared" ca="1" si="11"/>
        <v>21.680982926907895</v>
      </c>
      <c r="L51" s="2">
        <f t="shared" ca="1" si="11"/>
        <v>27.801309734020542</v>
      </c>
      <c r="M51" s="2">
        <f t="shared" ca="1" si="11"/>
        <v>27.250307844343556</v>
      </c>
      <c r="N51" s="2">
        <f t="shared" ca="1" si="11"/>
        <v>22.602504881364784</v>
      </c>
      <c r="O51" s="2">
        <f t="shared" ca="1" si="11"/>
        <v>25.458015816021472</v>
      </c>
      <c r="P51" s="2">
        <f t="shared" ca="1" si="11"/>
        <v>22.015914405123873</v>
      </c>
      <c r="Q51" s="2">
        <f t="shared" ca="1" si="11"/>
        <v>23.703116190849471</v>
      </c>
      <c r="R51" s="2">
        <f t="shared" ca="1" si="11"/>
        <v>25.693644929629773</v>
      </c>
      <c r="S51" s="2">
        <f t="shared" ca="1" si="11"/>
        <v>27.92908062339977</v>
      </c>
      <c r="T51" s="2">
        <f t="shared" ca="1" si="11"/>
        <v>26.174466220961602</v>
      </c>
      <c r="U51" s="2">
        <f t="shared" ca="1" si="11"/>
        <v>26.645103734416704</v>
      </c>
      <c r="V51" s="2">
        <f t="shared" ca="1" si="11"/>
        <v>23.624210412956927</v>
      </c>
      <c r="W51" s="2">
        <f t="shared" ca="1" si="11"/>
        <v>22.12372178232706</v>
      </c>
      <c r="X51" s="2">
        <f t="shared" ca="1" si="11"/>
        <v>28.650580557391621</v>
      </c>
      <c r="Y51" s="2">
        <f t="shared" ca="1" si="11"/>
        <v>29.366049200571197</v>
      </c>
      <c r="Z51" s="2">
        <f t="shared" ref="Z51:AH68" ca="1" si="12">(RAND()*0.1+0.2)*100</f>
        <v>28.719753425922111</v>
      </c>
      <c r="AA51" s="2">
        <f t="shared" ca="1" si="12"/>
        <v>28.925455772935383</v>
      </c>
      <c r="AB51" s="2">
        <f t="shared" ca="1" si="12"/>
        <v>29.271003743780881</v>
      </c>
      <c r="AC51" s="2">
        <f t="shared" ca="1" si="12"/>
        <v>25.692545174956301</v>
      </c>
      <c r="AD51" s="2">
        <f t="shared" ca="1" si="12"/>
        <v>29.721217377781343</v>
      </c>
      <c r="AE51" s="2">
        <f t="shared" ca="1" si="12"/>
        <v>29.776294697219836</v>
      </c>
      <c r="AF51" s="2">
        <f t="shared" ca="1" si="12"/>
        <v>29.11536315391524</v>
      </c>
      <c r="AG51" s="2">
        <f t="shared" ca="1" si="12"/>
        <v>21.819937602380207</v>
      </c>
      <c r="AH51" s="2">
        <f t="shared" ca="1" si="12"/>
        <v>22.512821890437653</v>
      </c>
    </row>
    <row r="52" spans="1:34">
      <c r="A52" t="str">
        <f t="shared" si="6"/>
        <v>Vegetables</v>
      </c>
      <c r="B52" t="str">
        <f t="shared" si="7"/>
        <v>Gambela</v>
      </c>
      <c r="C52" s="2">
        <f t="shared" ca="1" si="9"/>
        <v>26.846063269917497</v>
      </c>
      <c r="D52" s="2">
        <f t="shared" ca="1" si="9"/>
        <v>29.264692335311061</v>
      </c>
      <c r="E52" s="2">
        <f t="shared" ca="1" si="9"/>
        <v>26.274530921446527</v>
      </c>
      <c r="F52" s="2">
        <f t="shared" ca="1" si="9"/>
        <v>20.041234178647809</v>
      </c>
      <c r="G52" s="2">
        <f t="shared" ca="1" si="9"/>
        <v>29.37826560045848</v>
      </c>
      <c r="H52" s="2">
        <f t="shared" ca="1" si="9"/>
        <v>26.84021568008118</v>
      </c>
      <c r="I52" s="2">
        <f t="shared" ref="I52:X68" ca="1" si="13">(RAND()*0.1+0.2)*100</f>
        <v>26.167412197775953</v>
      </c>
      <c r="J52" s="2">
        <f t="shared" ca="1" si="13"/>
        <v>20.63086075478703</v>
      </c>
      <c r="K52" s="2">
        <f t="shared" ca="1" si="13"/>
        <v>29.596265607866624</v>
      </c>
      <c r="L52" s="2">
        <f t="shared" ca="1" si="13"/>
        <v>29.301306407677867</v>
      </c>
      <c r="M52" s="2">
        <f t="shared" ca="1" si="13"/>
        <v>23.254534068662959</v>
      </c>
      <c r="N52" s="2">
        <f t="shared" ca="1" si="13"/>
        <v>20.303777172403308</v>
      </c>
      <c r="O52" s="2">
        <f t="shared" ca="1" si="13"/>
        <v>23.71079997338656</v>
      </c>
      <c r="P52" s="2">
        <f t="shared" ca="1" si="13"/>
        <v>24.310569407643186</v>
      </c>
      <c r="Q52" s="2">
        <f t="shared" ca="1" si="13"/>
        <v>20.24553319921986</v>
      </c>
      <c r="R52" s="2">
        <f t="shared" ca="1" si="13"/>
        <v>23.505002446218938</v>
      </c>
      <c r="S52" s="2">
        <f t="shared" ca="1" si="13"/>
        <v>22.263137399805341</v>
      </c>
      <c r="T52" s="2">
        <f t="shared" ca="1" si="13"/>
        <v>24.1460704565065</v>
      </c>
      <c r="U52" s="2">
        <f t="shared" ca="1" si="13"/>
        <v>28.500526833418427</v>
      </c>
      <c r="V52" s="2">
        <f t="shared" ca="1" si="13"/>
        <v>27.57589337895428</v>
      </c>
      <c r="W52" s="2">
        <f t="shared" ca="1" si="13"/>
        <v>24.996712904037079</v>
      </c>
      <c r="X52" s="2">
        <f t="shared" ca="1" si="13"/>
        <v>22.983500759513287</v>
      </c>
      <c r="Y52" s="2">
        <f t="shared" ca="1" si="11"/>
        <v>20.198853352764583</v>
      </c>
      <c r="Z52" s="2">
        <f t="shared" ca="1" si="12"/>
        <v>22.838130627424729</v>
      </c>
      <c r="AA52" s="2">
        <f t="shared" ca="1" si="12"/>
        <v>22.915540679747998</v>
      </c>
      <c r="AB52" s="2">
        <f t="shared" ca="1" si="12"/>
        <v>21.784572941952785</v>
      </c>
      <c r="AC52" s="2">
        <f t="shared" ca="1" si="12"/>
        <v>28.592567102325557</v>
      </c>
      <c r="AD52" s="2">
        <f t="shared" ca="1" si="12"/>
        <v>21.36976330051457</v>
      </c>
      <c r="AE52" s="2">
        <f t="shared" ca="1" si="12"/>
        <v>25.379080919253372</v>
      </c>
      <c r="AF52" s="2">
        <f t="shared" ca="1" si="12"/>
        <v>22.071502740215646</v>
      </c>
      <c r="AG52" s="2">
        <f t="shared" ca="1" si="12"/>
        <v>26.945268214935087</v>
      </c>
      <c r="AH52" s="2">
        <f t="shared" ca="1" si="12"/>
        <v>20.026318939020893</v>
      </c>
    </row>
    <row r="53" spans="1:34">
      <c r="A53" t="str">
        <f t="shared" si="6"/>
        <v>Vegetables</v>
      </c>
      <c r="B53" t="str">
        <f t="shared" si="7"/>
        <v>Harari</v>
      </c>
      <c r="C53" s="2">
        <f t="shared" ref="C53:R68" ca="1" si="14">(RAND()*0.1+0.2)*100</f>
        <v>23.537681232306152</v>
      </c>
      <c r="D53" s="2">
        <f t="shared" ca="1" si="14"/>
        <v>20.441728487989202</v>
      </c>
      <c r="E53" s="2">
        <f t="shared" ca="1" si="14"/>
        <v>21.53725489083725</v>
      </c>
      <c r="F53" s="2">
        <f t="shared" ca="1" si="14"/>
        <v>25.052753299072876</v>
      </c>
      <c r="G53" s="2">
        <f t="shared" ca="1" si="14"/>
        <v>25.067635020222056</v>
      </c>
      <c r="H53" s="2">
        <f t="shared" ca="1" si="14"/>
        <v>26.576111990396768</v>
      </c>
      <c r="I53" s="2">
        <f t="shared" ca="1" si="14"/>
        <v>22.624854943653485</v>
      </c>
      <c r="J53" s="2">
        <f t="shared" ca="1" si="14"/>
        <v>24.241750933744445</v>
      </c>
      <c r="K53" s="2">
        <f t="shared" ca="1" si="14"/>
        <v>26.347934294266366</v>
      </c>
      <c r="L53" s="2">
        <f t="shared" ca="1" si="14"/>
        <v>27.341716421722261</v>
      </c>
      <c r="M53" s="2">
        <f t="shared" ca="1" si="14"/>
        <v>22.666035471205944</v>
      </c>
      <c r="N53" s="2">
        <f t="shared" ca="1" si="14"/>
        <v>25.442311140900653</v>
      </c>
      <c r="O53" s="2">
        <f t="shared" ca="1" si="14"/>
        <v>25.243407106758841</v>
      </c>
      <c r="P53" s="2">
        <f t="shared" ca="1" si="14"/>
        <v>23.05968464370422</v>
      </c>
      <c r="Q53" s="2">
        <f t="shared" ca="1" si="14"/>
        <v>25.286241683026688</v>
      </c>
      <c r="R53" s="2">
        <f t="shared" ca="1" si="14"/>
        <v>20.29721917306556</v>
      </c>
      <c r="S53" s="2">
        <f t="shared" ca="1" si="13"/>
        <v>29.92007333237402</v>
      </c>
      <c r="T53" s="2">
        <f t="shared" ca="1" si="13"/>
        <v>20.929565350926943</v>
      </c>
      <c r="U53" s="2">
        <f t="shared" ca="1" si="13"/>
        <v>24.819428325158626</v>
      </c>
      <c r="V53" s="2">
        <f t="shared" ca="1" si="13"/>
        <v>21.539956758625799</v>
      </c>
      <c r="W53" s="2">
        <f t="shared" ca="1" si="13"/>
        <v>22.542711719365947</v>
      </c>
      <c r="X53" s="2">
        <f t="shared" ca="1" si="13"/>
        <v>22.463030539808017</v>
      </c>
      <c r="Y53" s="2">
        <f t="shared" ca="1" si="11"/>
        <v>22.496507017232673</v>
      </c>
      <c r="Z53" s="2">
        <f t="shared" ca="1" si="12"/>
        <v>22.194867730613993</v>
      </c>
      <c r="AA53" s="2">
        <f t="shared" ca="1" si="12"/>
        <v>25.720708448751999</v>
      </c>
      <c r="AB53" s="2">
        <f t="shared" ca="1" si="12"/>
        <v>26.087562077773264</v>
      </c>
      <c r="AC53" s="2">
        <f t="shared" ca="1" si="12"/>
        <v>26.698965950863251</v>
      </c>
      <c r="AD53" s="2">
        <f t="shared" ca="1" si="12"/>
        <v>22.868145964705729</v>
      </c>
      <c r="AE53" s="2">
        <f t="shared" ca="1" si="12"/>
        <v>22.752672762696601</v>
      </c>
      <c r="AF53" s="2">
        <f t="shared" ca="1" si="12"/>
        <v>22.638156653633501</v>
      </c>
      <c r="AG53" s="2">
        <f t="shared" ca="1" si="12"/>
        <v>20.980648267307551</v>
      </c>
      <c r="AH53" s="2">
        <f t="shared" ca="1" si="12"/>
        <v>21.883719265486363</v>
      </c>
    </row>
    <row r="54" spans="1:34">
      <c r="A54" t="str">
        <f t="shared" si="6"/>
        <v>Vegetables</v>
      </c>
      <c r="B54" t="str">
        <f t="shared" si="7"/>
        <v>Oromia</v>
      </c>
      <c r="C54" s="2">
        <f t="shared" ca="1" si="14"/>
        <v>26.810202887482355</v>
      </c>
      <c r="D54" s="2">
        <f t="shared" ca="1" si="14"/>
        <v>28.951353824062586</v>
      </c>
      <c r="E54" s="2">
        <f t="shared" ca="1" si="14"/>
        <v>25.972095687171599</v>
      </c>
      <c r="F54" s="2">
        <f t="shared" ca="1" si="14"/>
        <v>23.503096860247947</v>
      </c>
      <c r="G54" s="2">
        <f t="shared" ca="1" si="14"/>
        <v>24.543246681753018</v>
      </c>
      <c r="H54" s="2">
        <f t="shared" ca="1" si="14"/>
        <v>20.336531524164553</v>
      </c>
      <c r="I54" s="2">
        <f t="shared" ca="1" si="14"/>
        <v>23.24113416284435</v>
      </c>
      <c r="J54" s="2">
        <f t="shared" ca="1" si="14"/>
        <v>28.385114467107076</v>
      </c>
      <c r="K54" s="2">
        <f t="shared" ca="1" si="14"/>
        <v>27.817681514855508</v>
      </c>
      <c r="L54" s="2">
        <f t="shared" ca="1" si="14"/>
        <v>25.743789795395166</v>
      </c>
      <c r="M54" s="2">
        <f t="shared" ca="1" si="14"/>
        <v>21.36343072120631</v>
      </c>
      <c r="N54" s="2">
        <f t="shared" ca="1" si="14"/>
        <v>29.236473658655783</v>
      </c>
      <c r="O54" s="2">
        <f t="shared" ca="1" si="14"/>
        <v>26.072014466588765</v>
      </c>
      <c r="P54" s="2">
        <f t="shared" ca="1" si="14"/>
        <v>25.897576572332738</v>
      </c>
      <c r="Q54" s="2">
        <f t="shared" ca="1" si="14"/>
        <v>20.083906545530265</v>
      </c>
      <c r="R54" s="2">
        <f t="shared" ca="1" si="14"/>
        <v>23.276834354090429</v>
      </c>
      <c r="S54" s="2">
        <f t="shared" ca="1" si="13"/>
        <v>28.18481160986218</v>
      </c>
      <c r="T54" s="2">
        <f t="shared" ca="1" si="13"/>
        <v>26.399122806311887</v>
      </c>
      <c r="U54" s="2">
        <f t="shared" ca="1" si="13"/>
        <v>24.719104638756818</v>
      </c>
      <c r="V54" s="2">
        <f t="shared" ca="1" si="13"/>
        <v>25.536009604304834</v>
      </c>
      <c r="W54" s="2">
        <f t="shared" ca="1" si="13"/>
        <v>21.598842266640084</v>
      </c>
      <c r="X54" s="2">
        <f t="shared" ca="1" si="13"/>
        <v>21.633023637521049</v>
      </c>
      <c r="Y54" s="2">
        <f t="shared" ca="1" si="11"/>
        <v>22.356393120000327</v>
      </c>
      <c r="Z54" s="2">
        <f t="shared" ca="1" si="12"/>
        <v>29.475217909763451</v>
      </c>
      <c r="AA54" s="2">
        <f t="shared" ca="1" si="12"/>
        <v>29.957428350991965</v>
      </c>
      <c r="AB54" s="2">
        <f t="shared" ca="1" si="12"/>
        <v>25.234573753266144</v>
      </c>
      <c r="AC54" s="2">
        <f t="shared" ca="1" si="12"/>
        <v>21.391429094675509</v>
      </c>
      <c r="AD54" s="2">
        <f t="shared" ca="1" si="12"/>
        <v>25.043869566824135</v>
      </c>
      <c r="AE54" s="2">
        <f t="shared" ca="1" si="12"/>
        <v>24.027182466724803</v>
      </c>
      <c r="AF54" s="2">
        <f t="shared" ca="1" si="12"/>
        <v>28.814198751208959</v>
      </c>
      <c r="AG54" s="2">
        <f t="shared" ca="1" si="12"/>
        <v>27.05917279250442</v>
      </c>
      <c r="AH54" s="2">
        <f t="shared" ca="1" si="12"/>
        <v>27.688948366881267</v>
      </c>
    </row>
    <row r="55" spans="1:34">
      <c r="A55" t="str">
        <f t="shared" si="6"/>
        <v>Vegetables</v>
      </c>
      <c r="B55" t="str">
        <f t="shared" si="7"/>
        <v>Somali</v>
      </c>
      <c r="C55" s="2">
        <f t="shared" ca="1" si="14"/>
        <v>23.674812229468852</v>
      </c>
      <c r="D55" s="2">
        <f t="shared" ca="1" si="14"/>
        <v>21.596350634065349</v>
      </c>
      <c r="E55" s="2">
        <f t="shared" ca="1" si="14"/>
        <v>23.98698781291041</v>
      </c>
      <c r="F55" s="2">
        <f t="shared" ca="1" si="14"/>
        <v>23.103796842714381</v>
      </c>
      <c r="G55" s="2">
        <f t="shared" ca="1" si="14"/>
        <v>25.409111124103827</v>
      </c>
      <c r="H55" s="2">
        <f t="shared" ca="1" si="14"/>
        <v>20.656464306686775</v>
      </c>
      <c r="I55" s="2">
        <f t="shared" ca="1" si="14"/>
        <v>26.428560435796488</v>
      </c>
      <c r="J55" s="2">
        <f t="shared" ca="1" si="14"/>
        <v>26.791613926340474</v>
      </c>
      <c r="K55" s="2">
        <f t="shared" ca="1" si="14"/>
        <v>29.253665819303937</v>
      </c>
      <c r="L55" s="2">
        <f t="shared" ca="1" si="14"/>
        <v>28.196865317991044</v>
      </c>
      <c r="M55" s="2">
        <f t="shared" ca="1" si="14"/>
        <v>23.582525927071007</v>
      </c>
      <c r="N55" s="2">
        <f t="shared" ca="1" si="14"/>
        <v>27.830160678779244</v>
      </c>
      <c r="O55" s="2">
        <f t="shared" ca="1" si="14"/>
        <v>25.781731875776948</v>
      </c>
      <c r="P55" s="2">
        <f t="shared" ca="1" si="14"/>
        <v>27.66067347704309</v>
      </c>
      <c r="Q55" s="2">
        <f t="shared" ca="1" si="14"/>
        <v>21.693193979499274</v>
      </c>
      <c r="R55" s="2">
        <f t="shared" ca="1" si="14"/>
        <v>28.057841921593372</v>
      </c>
      <c r="S55" s="2">
        <f t="shared" ca="1" si="13"/>
        <v>29.111059817011508</v>
      </c>
      <c r="T55" s="2">
        <f t="shared" ca="1" si="13"/>
        <v>20.913245290638272</v>
      </c>
      <c r="U55" s="2">
        <f t="shared" ca="1" si="13"/>
        <v>26.439856871562395</v>
      </c>
      <c r="V55" s="2">
        <f t="shared" ca="1" si="13"/>
        <v>22.615397559923537</v>
      </c>
      <c r="W55" s="2">
        <f t="shared" ca="1" si="13"/>
        <v>20.409979290524362</v>
      </c>
      <c r="X55" s="2">
        <f t="shared" ca="1" si="13"/>
        <v>23.647086811353411</v>
      </c>
      <c r="Y55" s="2">
        <f t="shared" ca="1" si="11"/>
        <v>28.752637744915223</v>
      </c>
      <c r="Z55" s="2">
        <f t="shared" ca="1" si="12"/>
        <v>22.583843748820115</v>
      </c>
      <c r="AA55" s="2">
        <f t="shared" ca="1" si="12"/>
        <v>27.13545237057124</v>
      </c>
      <c r="AB55" s="2">
        <f t="shared" ca="1" si="12"/>
        <v>27.128690805609175</v>
      </c>
      <c r="AC55" s="2">
        <f t="shared" ca="1" si="12"/>
        <v>22.066256042093613</v>
      </c>
      <c r="AD55" s="2">
        <f t="shared" ca="1" si="12"/>
        <v>23.004255848580378</v>
      </c>
      <c r="AE55" s="2">
        <f t="shared" ca="1" si="12"/>
        <v>21.379369762651852</v>
      </c>
      <c r="AF55" s="2">
        <f t="shared" ca="1" si="12"/>
        <v>20.098551490946235</v>
      </c>
      <c r="AG55" s="2">
        <f t="shared" ca="1" si="12"/>
        <v>23.238876812172364</v>
      </c>
      <c r="AH55" s="2">
        <f t="shared" ca="1" si="12"/>
        <v>23.151022895245983</v>
      </c>
    </row>
    <row r="56" spans="1:34">
      <c r="A56" t="str">
        <f t="shared" si="6"/>
        <v>Vegetables</v>
      </c>
      <c r="B56" t="str">
        <f t="shared" si="7"/>
        <v>SNNPR</v>
      </c>
      <c r="C56" s="2">
        <f t="shared" ca="1" si="14"/>
        <v>21.385617586862363</v>
      </c>
      <c r="D56" s="2">
        <f t="shared" ca="1" si="14"/>
        <v>24.704266418804018</v>
      </c>
      <c r="E56" s="2">
        <f t="shared" ca="1" si="14"/>
        <v>20.55835422069141</v>
      </c>
      <c r="F56" s="2">
        <f t="shared" ca="1" si="14"/>
        <v>27.523994762409743</v>
      </c>
      <c r="G56" s="2">
        <f t="shared" ca="1" si="14"/>
        <v>24.696648443543754</v>
      </c>
      <c r="H56" s="2">
        <f t="shared" ca="1" si="14"/>
        <v>25.651940004354778</v>
      </c>
      <c r="I56" s="2">
        <f t="shared" ca="1" si="14"/>
        <v>20.192879496126011</v>
      </c>
      <c r="J56" s="2">
        <f t="shared" ca="1" si="14"/>
        <v>29.560903435097519</v>
      </c>
      <c r="K56" s="2">
        <f t="shared" ca="1" si="14"/>
        <v>25.031961167112808</v>
      </c>
      <c r="L56" s="2">
        <f t="shared" ca="1" si="14"/>
        <v>23.097530168456384</v>
      </c>
      <c r="M56" s="2">
        <f t="shared" ca="1" si="14"/>
        <v>22.943943973533639</v>
      </c>
      <c r="N56" s="2">
        <f t="shared" ca="1" si="14"/>
        <v>23.06788386272169</v>
      </c>
      <c r="O56" s="2">
        <f t="shared" ca="1" si="14"/>
        <v>25.824736619176981</v>
      </c>
      <c r="P56" s="2">
        <f t="shared" ca="1" si="14"/>
        <v>23.211246267272596</v>
      </c>
      <c r="Q56" s="2">
        <f t="shared" ca="1" si="14"/>
        <v>28.72597142257003</v>
      </c>
      <c r="R56" s="2">
        <f t="shared" ca="1" si="14"/>
        <v>25.359351450822398</v>
      </c>
      <c r="S56" s="2">
        <f t="shared" ca="1" si="13"/>
        <v>25.196668402093387</v>
      </c>
      <c r="T56" s="2">
        <f t="shared" ca="1" si="13"/>
        <v>25.648364441969822</v>
      </c>
      <c r="U56" s="2">
        <f t="shared" ca="1" si="13"/>
        <v>20.225073770980561</v>
      </c>
      <c r="V56" s="2">
        <f t="shared" ca="1" si="13"/>
        <v>24.006749828787271</v>
      </c>
      <c r="W56" s="2">
        <f t="shared" ca="1" si="13"/>
        <v>21.79613561930336</v>
      </c>
      <c r="X56" s="2">
        <f t="shared" ca="1" si="13"/>
        <v>25.206823273955248</v>
      </c>
      <c r="Y56" s="2">
        <f t="shared" ca="1" si="11"/>
        <v>28.354269420673084</v>
      </c>
      <c r="Z56" s="2">
        <f t="shared" ca="1" si="12"/>
        <v>24.100769282434335</v>
      </c>
      <c r="AA56" s="2">
        <f t="shared" ca="1" si="12"/>
        <v>20.752110825918106</v>
      </c>
      <c r="AB56" s="2">
        <f t="shared" ca="1" si="12"/>
        <v>27.420844887166893</v>
      </c>
      <c r="AC56" s="2">
        <f t="shared" ca="1" si="12"/>
        <v>26.269541453492078</v>
      </c>
      <c r="AD56" s="2">
        <f t="shared" ca="1" si="12"/>
        <v>23.437746920498231</v>
      </c>
      <c r="AE56" s="2">
        <f t="shared" ca="1" si="12"/>
        <v>26.705923451623825</v>
      </c>
      <c r="AF56" s="2">
        <f t="shared" ca="1" si="12"/>
        <v>25.591988747095375</v>
      </c>
      <c r="AG56" s="2">
        <f t="shared" ca="1" si="12"/>
        <v>20.686446131036291</v>
      </c>
      <c r="AH56" s="2">
        <f t="shared" ca="1" si="12"/>
        <v>23.37101546467693</v>
      </c>
    </row>
    <row r="57" spans="1:34">
      <c r="A57" t="str">
        <f t="shared" si="6"/>
        <v>Vegetables</v>
      </c>
      <c r="B57" t="str">
        <f t="shared" si="7"/>
        <v>Tigray</v>
      </c>
      <c r="C57" s="2">
        <f t="shared" ca="1" si="14"/>
        <v>24.647630231412208</v>
      </c>
      <c r="D57" s="2">
        <f t="shared" ca="1" si="14"/>
        <v>20.162648106065546</v>
      </c>
      <c r="E57" s="2">
        <f t="shared" ca="1" si="14"/>
        <v>26.995047049928772</v>
      </c>
      <c r="F57" s="2">
        <f t="shared" ca="1" si="14"/>
        <v>27.434243405556678</v>
      </c>
      <c r="G57" s="2">
        <f t="shared" ca="1" si="14"/>
        <v>22.777420806719334</v>
      </c>
      <c r="H57" s="2">
        <f t="shared" ca="1" si="14"/>
        <v>23.697118222972886</v>
      </c>
      <c r="I57" s="2">
        <f t="shared" ca="1" si="14"/>
        <v>27.439431404686388</v>
      </c>
      <c r="J57" s="2">
        <f t="shared" ca="1" si="14"/>
        <v>22.037074172174645</v>
      </c>
      <c r="K57" s="2">
        <f t="shared" ca="1" si="14"/>
        <v>22.56555841343193</v>
      </c>
      <c r="L57" s="2">
        <f t="shared" ca="1" si="14"/>
        <v>25.301317826034055</v>
      </c>
      <c r="M57" s="2">
        <f t="shared" ca="1" si="14"/>
        <v>29.348575369867053</v>
      </c>
      <c r="N57" s="2">
        <f t="shared" ca="1" si="14"/>
        <v>25.370340262686309</v>
      </c>
      <c r="O57" s="2">
        <f t="shared" ca="1" si="14"/>
        <v>26.302575258053029</v>
      </c>
      <c r="P57" s="2">
        <f t="shared" ca="1" si="14"/>
        <v>23.432066808900661</v>
      </c>
      <c r="Q57" s="2">
        <f t="shared" ca="1" si="14"/>
        <v>28.157198057869092</v>
      </c>
      <c r="R57" s="2">
        <f t="shared" ca="1" si="14"/>
        <v>23.141597610581076</v>
      </c>
      <c r="S57" s="2">
        <f t="shared" ca="1" si="13"/>
        <v>24.490139497887615</v>
      </c>
      <c r="T57" s="2">
        <f t="shared" ca="1" si="13"/>
        <v>25.214353324626781</v>
      </c>
      <c r="U57" s="2">
        <f t="shared" ca="1" si="13"/>
        <v>23.515435664040321</v>
      </c>
      <c r="V57" s="2">
        <f t="shared" ca="1" si="13"/>
        <v>29.39374502231933</v>
      </c>
      <c r="W57" s="2">
        <f t="shared" ca="1" si="13"/>
        <v>29.68877978657224</v>
      </c>
      <c r="X57" s="2">
        <f t="shared" ca="1" si="13"/>
        <v>28.848453746376695</v>
      </c>
      <c r="Y57" s="2">
        <f t="shared" ca="1" si="11"/>
        <v>22.360209074631076</v>
      </c>
      <c r="Z57" s="2">
        <f t="shared" ca="1" si="12"/>
        <v>20.337973756674931</v>
      </c>
      <c r="AA57" s="2">
        <f t="shared" ca="1" si="12"/>
        <v>23.466642975411894</v>
      </c>
      <c r="AB57" s="2">
        <f t="shared" ca="1" si="12"/>
        <v>25.828108109433185</v>
      </c>
      <c r="AC57" s="2">
        <f t="shared" ca="1" si="12"/>
        <v>20.006117017173228</v>
      </c>
      <c r="AD57" s="2">
        <f t="shared" ca="1" si="12"/>
        <v>24.656006970675719</v>
      </c>
      <c r="AE57" s="2">
        <f t="shared" ca="1" si="12"/>
        <v>22.676763115580602</v>
      </c>
      <c r="AF57" s="2">
        <f t="shared" ca="1" si="12"/>
        <v>25.165110892378728</v>
      </c>
      <c r="AG57" s="2">
        <f t="shared" ca="1" si="12"/>
        <v>23.093960232176123</v>
      </c>
      <c r="AH57" s="2">
        <f t="shared" ca="1" si="12"/>
        <v>26.578688468486298</v>
      </c>
    </row>
    <row r="58" spans="1:34">
      <c r="A58" t="str">
        <f t="shared" si="6"/>
        <v>Coffee</v>
      </c>
      <c r="B58" t="str">
        <f t="shared" si="7"/>
        <v>AddisAbaba</v>
      </c>
      <c r="C58" s="2">
        <f t="shared" ca="1" si="14"/>
        <v>20.471118665507387</v>
      </c>
      <c r="D58" s="2">
        <f t="shared" ca="1" si="14"/>
        <v>23.480361045865241</v>
      </c>
      <c r="E58" s="2">
        <f t="shared" ca="1" si="14"/>
        <v>21.547316039122069</v>
      </c>
      <c r="F58" s="2">
        <f t="shared" ca="1" si="14"/>
        <v>21.891837931872519</v>
      </c>
      <c r="G58" s="2">
        <f t="shared" ca="1" si="14"/>
        <v>26.102527818820199</v>
      </c>
      <c r="H58" s="2">
        <f t="shared" ca="1" si="14"/>
        <v>26.99102295624181</v>
      </c>
      <c r="I58" s="2">
        <f t="shared" ca="1" si="14"/>
        <v>24.183237422511901</v>
      </c>
      <c r="J58" s="2">
        <f t="shared" ca="1" si="14"/>
        <v>23.154193449451611</v>
      </c>
      <c r="K58" s="2">
        <f t="shared" ca="1" si="14"/>
        <v>22.665474367926173</v>
      </c>
      <c r="L58" s="2">
        <f t="shared" ca="1" si="14"/>
        <v>21.532544464537253</v>
      </c>
      <c r="M58" s="2">
        <f t="shared" ca="1" si="14"/>
        <v>22.37378895089007</v>
      </c>
      <c r="N58" s="2">
        <f t="shared" ca="1" si="14"/>
        <v>24.14342066625758</v>
      </c>
      <c r="O58" s="2">
        <f t="shared" ca="1" si="14"/>
        <v>26.471517286033819</v>
      </c>
      <c r="P58" s="2">
        <f t="shared" ca="1" si="14"/>
        <v>27.951183066999963</v>
      </c>
      <c r="Q58" s="2">
        <f t="shared" ca="1" si="14"/>
        <v>26.698593995613777</v>
      </c>
      <c r="R58" s="2">
        <f t="shared" ca="1" si="14"/>
        <v>29.361609563563306</v>
      </c>
      <c r="S58" s="2">
        <f t="shared" ca="1" si="13"/>
        <v>26.281921031996124</v>
      </c>
      <c r="T58" s="2">
        <f t="shared" ca="1" si="13"/>
        <v>28.391513137562558</v>
      </c>
      <c r="U58" s="2">
        <f t="shared" ca="1" si="13"/>
        <v>25.875986477289558</v>
      </c>
      <c r="V58" s="2">
        <f t="shared" ca="1" si="13"/>
        <v>22.686582333921862</v>
      </c>
      <c r="W58" s="2">
        <f t="shared" ca="1" si="13"/>
        <v>29.619761524144383</v>
      </c>
      <c r="X58" s="2">
        <f t="shared" ca="1" si="13"/>
        <v>22.264269378377829</v>
      </c>
      <c r="Y58" s="2">
        <f t="shared" ca="1" si="11"/>
        <v>25.7825464432815</v>
      </c>
      <c r="Z58" s="2">
        <f t="shared" ca="1" si="12"/>
        <v>20.515719984175895</v>
      </c>
      <c r="AA58" s="2">
        <f t="shared" ca="1" si="12"/>
        <v>22.385362133699026</v>
      </c>
      <c r="AB58" s="2">
        <f t="shared" ca="1" si="12"/>
        <v>27.807890942082064</v>
      </c>
      <c r="AC58" s="2">
        <f t="shared" ca="1" si="12"/>
        <v>25.076402934032238</v>
      </c>
      <c r="AD58" s="2">
        <f t="shared" ca="1" si="12"/>
        <v>22.542924990944268</v>
      </c>
      <c r="AE58" s="2">
        <f t="shared" ca="1" si="12"/>
        <v>28.353671458951528</v>
      </c>
      <c r="AF58" s="2">
        <f t="shared" ca="1" si="12"/>
        <v>21.660179905174168</v>
      </c>
      <c r="AG58" s="2">
        <f t="shared" ca="1" si="12"/>
        <v>23.63274527699679</v>
      </c>
      <c r="AH58" s="2">
        <f t="shared" ca="1" si="12"/>
        <v>28.786806840240821</v>
      </c>
    </row>
    <row r="59" spans="1:34">
      <c r="A59" t="str">
        <f t="shared" si="6"/>
        <v>Coffee</v>
      </c>
      <c r="B59" t="str">
        <f t="shared" si="7"/>
        <v>Afar</v>
      </c>
      <c r="C59" s="2">
        <f t="shared" ca="1" si="14"/>
        <v>22.422262021606148</v>
      </c>
      <c r="D59" s="2">
        <f t="shared" ca="1" si="14"/>
        <v>20.774299754243575</v>
      </c>
      <c r="E59" s="2">
        <f t="shared" ca="1" si="14"/>
        <v>21.61848966741692</v>
      </c>
      <c r="F59" s="2">
        <f t="shared" ca="1" si="14"/>
        <v>28.987925301454066</v>
      </c>
      <c r="G59" s="2">
        <f t="shared" ca="1" si="14"/>
        <v>25.427801388060168</v>
      </c>
      <c r="H59" s="2">
        <f t="shared" ca="1" si="14"/>
        <v>25.492655770294991</v>
      </c>
      <c r="I59" s="2">
        <f t="shared" ca="1" si="14"/>
        <v>20.725693507913931</v>
      </c>
      <c r="J59" s="2">
        <f t="shared" ca="1" si="14"/>
        <v>22.522003376652545</v>
      </c>
      <c r="K59" s="2">
        <f t="shared" ca="1" si="14"/>
        <v>26.221795081833399</v>
      </c>
      <c r="L59" s="2">
        <f t="shared" ca="1" si="14"/>
        <v>22.023764064965736</v>
      </c>
      <c r="M59" s="2">
        <f t="shared" ca="1" si="14"/>
        <v>22.441670092924635</v>
      </c>
      <c r="N59" s="2">
        <f t="shared" ca="1" si="14"/>
        <v>22.357734938381107</v>
      </c>
      <c r="O59" s="2">
        <f t="shared" ca="1" si="14"/>
        <v>23.285841995792943</v>
      </c>
      <c r="P59" s="2">
        <f t="shared" ca="1" si="14"/>
        <v>26.976657094542322</v>
      </c>
      <c r="Q59" s="2">
        <f t="shared" ca="1" si="14"/>
        <v>24.876118486946311</v>
      </c>
      <c r="R59" s="2">
        <f t="shared" ca="1" si="14"/>
        <v>21.340014665335065</v>
      </c>
      <c r="S59" s="2">
        <f t="shared" ca="1" si="13"/>
        <v>29.498891537613169</v>
      </c>
      <c r="T59" s="2">
        <f t="shared" ca="1" si="13"/>
        <v>28.794147404828053</v>
      </c>
      <c r="U59" s="2">
        <f t="shared" ca="1" si="13"/>
        <v>25.661021606564795</v>
      </c>
      <c r="V59" s="2">
        <f t="shared" ca="1" si="13"/>
        <v>27.440519187458495</v>
      </c>
      <c r="W59" s="2">
        <f t="shared" ca="1" si="13"/>
        <v>29.000453846883271</v>
      </c>
      <c r="X59" s="2">
        <f t="shared" ca="1" si="13"/>
        <v>23.808221512060104</v>
      </c>
      <c r="Y59" s="2">
        <f t="shared" ca="1" si="11"/>
        <v>28.216614581200428</v>
      </c>
      <c r="Z59" s="2">
        <f t="shared" ca="1" si="12"/>
        <v>27.510992315199832</v>
      </c>
      <c r="AA59" s="2">
        <f t="shared" ca="1" si="12"/>
        <v>25.304263356917549</v>
      </c>
      <c r="AB59" s="2">
        <f t="shared" ca="1" si="12"/>
        <v>25.53919445990228</v>
      </c>
      <c r="AC59" s="2">
        <f t="shared" ca="1" si="12"/>
        <v>26.871531687583882</v>
      </c>
      <c r="AD59" s="2">
        <f t="shared" ca="1" si="12"/>
        <v>26.953782898212658</v>
      </c>
      <c r="AE59" s="2">
        <f t="shared" ca="1" si="12"/>
        <v>25.840680735336473</v>
      </c>
      <c r="AF59" s="2">
        <f t="shared" ca="1" si="12"/>
        <v>22.343139795810853</v>
      </c>
      <c r="AG59" s="2">
        <f t="shared" ca="1" si="12"/>
        <v>26.439959482334068</v>
      </c>
      <c r="AH59" s="2">
        <f t="shared" ca="1" si="12"/>
        <v>23.530142506510604</v>
      </c>
    </row>
    <row r="60" spans="1:34">
      <c r="A60" t="str">
        <f t="shared" si="6"/>
        <v>Coffee</v>
      </c>
      <c r="B60" t="str">
        <f t="shared" si="7"/>
        <v>Amhara</v>
      </c>
      <c r="C60" s="2">
        <f t="shared" ca="1" si="14"/>
        <v>20.675375387813318</v>
      </c>
      <c r="D60" s="2">
        <f t="shared" ca="1" si="14"/>
        <v>28.131850369518986</v>
      </c>
      <c r="E60" s="2">
        <f t="shared" ca="1" si="14"/>
        <v>25.866136409146957</v>
      </c>
      <c r="F60" s="2">
        <f t="shared" ca="1" si="14"/>
        <v>26.950409023150858</v>
      </c>
      <c r="G60" s="2">
        <f t="shared" ca="1" si="14"/>
        <v>21.291999232841299</v>
      </c>
      <c r="H60" s="2">
        <f t="shared" ca="1" si="14"/>
        <v>24.655672793975388</v>
      </c>
      <c r="I60" s="2">
        <f t="shared" ca="1" si="14"/>
        <v>26.967581746158785</v>
      </c>
      <c r="J60" s="2">
        <f t="shared" ca="1" si="14"/>
        <v>23.834727798752446</v>
      </c>
      <c r="K60" s="2">
        <f t="shared" ca="1" si="14"/>
        <v>29.200125534554829</v>
      </c>
      <c r="L60" s="2">
        <f t="shared" ca="1" si="14"/>
        <v>26.153568201750243</v>
      </c>
      <c r="M60" s="2">
        <f t="shared" ca="1" si="14"/>
        <v>28.269221314884469</v>
      </c>
      <c r="N60" s="2">
        <f t="shared" ca="1" si="14"/>
        <v>28.894814292325567</v>
      </c>
      <c r="O60" s="2">
        <f t="shared" ca="1" si="14"/>
        <v>20.118408465655158</v>
      </c>
      <c r="P60" s="2">
        <f t="shared" ca="1" si="14"/>
        <v>21.747204653841635</v>
      </c>
      <c r="Q60" s="2">
        <f t="shared" ca="1" si="14"/>
        <v>24.344635207141394</v>
      </c>
      <c r="R60" s="2">
        <f t="shared" ca="1" si="14"/>
        <v>20.815143173710172</v>
      </c>
      <c r="S60" s="2">
        <f t="shared" ca="1" si="13"/>
        <v>23.487849128951606</v>
      </c>
      <c r="T60" s="2">
        <f t="shared" ca="1" si="13"/>
        <v>22.46936687032477</v>
      </c>
      <c r="U60" s="2">
        <f t="shared" ca="1" si="13"/>
        <v>22.048430332107984</v>
      </c>
      <c r="V60" s="2">
        <f t="shared" ca="1" si="13"/>
        <v>23.949861901091012</v>
      </c>
      <c r="W60" s="2">
        <f t="shared" ca="1" si="13"/>
        <v>24.082601851044704</v>
      </c>
      <c r="X60" s="2">
        <f t="shared" ca="1" si="13"/>
        <v>26.540641133951898</v>
      </c>
      <c r="Y60" s="2">
        <f t="shared" ca="1" si="11"/>
        <v>21.24973339143132</v>
      </c>
      <c r="Z60" s="2">
        <f t="shared" ca="1" si="12"/>
        <v>24.173918527410933</v>
      </c>
      <c r="AA60" s="2">
        <f t="shared" ca="1" si="12"/>
        <v>21.62495364449914</v>
      </c>
      <c r="AB60" s="2">
        <f t="shared" ca="1" si="12"/>
        <v>28.207973939834392</v>
      </c>
      <c r="AC60" s="2">
        <f t="shared" ca="1" si="12"/>
        <v>20.827328080938692</v>
      </c>
      <c r="AD60" s="2">
        <f t="shared" ca="1" si="12"/>
        <v>29.985399443379219</v>
      </c>
      <c r="AE60" s="2">
        <f t="shared" ca="1" si="12"/>
        <v>24.641143060113325</v>
      </c>
      <c r="AF60" s="2">
        <f t="shared" ca="1" si="12"/>
        <v>27.162258284703778</v>
      </c>
      <c r="AG60" s="2">
        <f t="shared" ca="1" si="12"/>
        <v>22.655473153849407</v>
      </c>
      <c r="AH60" s="2">
        <f t="shared" ca="1" si="12"/>
        <v>28.864188931749496</v>
      </c>
    </row>
    <row r="61" spans="1:34">
      <c r="A61" t="str">
        <f t="shared" si="6"/>
        <v>Coffee</v>
      </c>
      <c r="B61" t="str">
        <f t="shared" si="7"/>
        <v>Gumuz</v>
      </c>
      <c r="C61" s="2">
        <f t="shared" ca="1" si="14"/>
        <v>23.260964142973556</v>
      </c>
      <c r="D61" s="2">
        <f t="shared" ca="1" si="14"/>
        <v>25.792940355153114</v>
      </c>
      <c r="E61" s="2">
        <f t="shared" ca="1" si="14"/>
        <v>22.08388854947329</v>
      </c>
      <c r="F61" s="2">
        <f t="shared" ca="1" si="14"/>
        <v>29.957646360768553</v>
      </c>
      <c r="G61" s="2">
        <f t="shared" ca="1" si="14"/>
        <v>22.683272019022528</v>
      </c>
      <c r="H61" s="2">
        <f t="shared" ca="1" si="14"/>
        <v>22.024798569638715</v>
      </c>
      <c r="I61" s="2">
        <f t="shared" ca="1" si="14"/>
        <v>20.94056337311752</v>
      </c>
      <c r="J61" s="2">
        <f t="shared" ca="1" si="14"/>
        <v>23.807389466813014</v>
      </c>
      <c r="K61" s="2">
        <f t="shared" ca="1" si="14"/>
        <v>25.824537044651041</v>
      </c>
      <c r="L61" s="2">
        <f t="shared" ca="1" si="14"/>
        <v>26.641273497434291</v>
      </c>
      <c r="M61" s="2">
        <f t="shared" ca="1" si="14"/>
        <v>29.485777498676974</v>
      </c>
      <c r="N61" s="2">
        <f t="shared" ca="1" si="14"/>
        <v>21.385562798825557</v>
      </c>
      <c r="O61" s="2">
        <f t="shared" ca="1" si="14"/>
        <v>20.528585785162946</v>
      </c>
      <c r="P61" s="2">
        <f t="shared" ca="1" si="14"/>
        <v>24.533896190456939</v>
      </c>
      <c r="Q61" s="2">
        <f t="shared" ca="1" si="14"/>
        <v>29.111661355474528</v>
      </c>
      <c r="R61" s="2">
        <f t="shared" ca="1" si="14"/>
        <v>28.055843678294256</v>
      </c>
      <c r="S61" s="2">
        <f t="shared" ca="1" si="13"/>
        <v>27.577599182920643</v>
      </c>
      <c r="T61" s="2">
        <f t="shared" ca="1" si="13"/>
        <v>29.173110385572553</v>
      </c>
      <c r="U61" s="2">
        <f t="shared" ca="1" si="13"/>
        <v>29.158001422828832</v>
      </c>
      <c r="V61" s="2">
        <f t="shared" ca="1" si="13"/>
        <v>21.611850234675597</v>
      </c>
      <c r="W61" s="2">
        <f t="shared" ca="1" si="13"/>
        <v>22.361860943282014</v>
      </c>
      <c r="X61" s="2">
        <f t="shared" ca="1" si="13"/>
        <v>26.753256356555973</v>
      </c>
      <c r="Y61" s="2">
        <f t="shared" ca="1" si="11"/>
        <v>21.983708251616935</v>
      </c>
      <c r="Z61" s="2">
        <f t="shared" ca="1" si="12"/>
        <v>21.311040465507659</v>
      </c>
      <c r="AA61" s="2">
        <f t="shared" ca="1" si="12"/>
        <v>26.409910926694508</v>
      </c>
      <c r="AB61" s="2">
        <f t="shared" ca="1" si="12"/>
        <v>22.370003383705516</v>
      </c>
      <c r="AC61" s="2">
        <f t="shared" ca="1" si="12"/>
        <v>26.201313926841944</v>
      </c>
      <c r="AD61" s="2">
        <f t="shared" ca="1" si="12"/>
        <v>26.874400787074148</v>
      </c>
      <c r="AE61" s="2">
        <f t="shared" ca="1" si="12"/>
        <v>20.703675328614743</v>
      </c>
      <c r="AF61" s="2">
        <f t="shared" ca="1" si="12"/>
        <v>25.790755017179279</v>
      </c>
      <c r="AG61" s="2">
        <f t="shared" ca="1" si="12"/>
        <v>20.241030195633755</v>
      </c>
      <c r="AH61" s="2">
        <f t="shared" ca="1" si="12"/>
        <v>21.932957577312948</v>
      </c>
    </row>
    <row r="62" spans="1:34">
      <c r="A62" t="str">
        <f t="shared" si="6"/>
        <v>Coffee</v>
      </c>
      <c r="B62" t="str">
        <f t="shared" si="7"/>
        <v>DireDawa</v>
      </c>
      <c r="C62" s="2">
        <f t="shared" ca="1" si="14"/>
        <v>21.709056993094848</v>
      </c>
      <c r="D62" s="2">
        <f t="shared" ca="1" si="14"/>
        <v>27.975872900278674</v>
      </c>
      <c r="E62" s="2">
        <f t="shared" ca="1" si="14"/>
        <v>20.893319441711313</v>
      </c>
      <c r="F62" s="2">
        <f t="shared" ca="1" si="14"/>
        <v>22.133699274198872</v>
      </c>
      <c r="G62" s="2">
        <f t="shared" ca="1" si="14"/>
        <v>29.891668644640824</v>
      </c>
      <c r="H62" s="2">
        <f t="shared" ca="1" si="14"/>
        <v>22.270799621721636</v>
      </c>
      <c r="I62" s="2">
        <f t="shared" ca="1" si="14"/>
        <v>27.929466775538913</v>
      </c>
      <c r="J62" s="2">
        <f t="shared" ca="1" si="14"/>
        <v>28.81993949326047</v>
      </c>
      <c r="K62" s="2">
        <f t="shared" ca="1" si="14"/>
        <v>20.618460915836003</v>
      </c>
      <c r="L62" s="2">
        <f t="shared" ca="1" si="14"/>
        <v>20.940902537517154</v>
      </c>
      <c r="M62" s="2">
        <f t="shared" ca="1" si="14"/>
        <v>21.838245157637033</v>
      </c>
      <c r="N62" s="2">
        <f t="shared" ca="1" si="14"/>
        <v>27.979492150750474</v>
      </c>
      <c r="O62" s="2">
        <f t="shared" ca="1" si="14"/>
        <v>29.812578908696697</v>
      </c>
      <c r="P62" s="2">
        <f t="shared" ca="1" si="14"/>
        <v>23.026186533423587</v>
      </c>
      <c r="Q62" s="2">
        <f t="shared" ca="1" si="14"/>
        <v>28.608261803869638</v>
      </c>
      <c r="R62" s="2">
        <f t="shared" ca="1" si="14"/>
        <v>20.644170772099972</v>
      </c>
      <c r="S62" s="2">
        <f t="shared" ca="1" si="13"/>
        <v>23.254034991356917</v>
      </c>
      <c r="T62" s="2">
        <f t="shared" ca="1" si="13"/>
        <v>27.018724915568825</v>
      </c>
      <c r="U62" s="2">
        <f t="shared" ca="1" si="13"/>
        <v>22.783743116770253</v>
      </c>
      <c r="V62" s="2">
        <f t="shared" ca="1" si="13"/>
        <v>26.907253853622187</v>
      </c>
      <c r="W62" s="2">
        <f t="shared" ca="1" si="13"/>
        <v>21.341248613952875</v>
      </c>
      <c r="X62" s="2">
        <f t="shared" ca="1" si="13"/>
        <v>21.984379240630609</v>
      </c>
      <c r="Y62" s="2">
        <f t="shared" ca="1" si="11"/>
        <v>28.656512114722894</v>
      </c>
      <c r="Z62" s="2">
        <f t="shared" ca="1" si="12"/>
        <v>22.996342504982874</v>
      </c>
      <c r="AA62" s="2">
        <f t="shared" ca="1" si="12"/>
        <v>27.111070533892107</v>
      </c>
      <c r="AB62" s="2">
        <f t="shared" ca="1" si="12"/>
        <v>24.525807648181598</v>
      </c>
      <c r="AC62" s="2">
        <f t="shared" ca="1" si="12"/>
        <v>27.840796680658165</v>
      </c>
      <c r="AD62" s="2">
        <f t="shared" ca="1" si="12"/>
        <v>22.148642070102319</v>
      </c>
      <c r="AE62" s="2">
        <f t="shared" ca="1" si="12"/>
        <v>20.830337679595043</v>
      </c>
      <c r="AF62" s="2">
        <f t="shared" ca="1" si="12"/>
        <v>20.137263769914167</v>
      </c>
      <c r="AG62" s="2">
        <f t="shared" ca="1" si="12"/>
        <v>21.67164832574942</v>
      </c>
      <c r="AH62" s="2">
        <f t="shared" ca="1" si="12"/>
        <v>22.853904352931849</v>
      </c>
    </row>
    <row r="63" spans="1:34">
      <c r="A63" t="str">
        <f t="shared" si="6"/>
        <v>Coffee</v>
      </c>
      <c r="B63" t="str">
        <f t="shared" si="7"/>
        <v>Gambela</v>
      </c>
      <c r="C63" s="2">
        <f t="shared" ca="1" si="14"/>
        <v>21.859749268662021</v>
      </c>
      <c r="D63" s="2">
        <f t="shared" ca="1" si="14"/>
        <v>24.961818523746139</v>
      </c>
      <c r="E63" s="2">
        <f t="shared" ca="1" si="14"/>
        <v>24.654321014167525</v>
      </c>
      <c r="F63" s="2">
        <f t="shared" ca="1" si="14"/>
        <v>21.309124098227862</v>
      </c>
      <c r="G63" s="2">
        <f t="shared" ca="1" si="14"/>
        <v>22.705007320921787</v>
      </c>
      <c r="H63" s="2">
        <f t="shared" ca="1" si="14"/>
        <v>21.56959601690626</v>
      </c>
      <c r="I63" s="2">
        <f t="shared" ca="1" si="14"/>
        <v>23.741735164874349</v>
      </c>
      <c r="J63" s="2">
        <f t="shared" ca="1" si="14"/>
        <v>21.311468718630156</v>
      </c>
      <c r="K63" s="2">
        <f t="shared" ca="1" si="14"/>
        <v>22.56149977836527</v>
      </c>
      <c r="L63" s="2">
        <f t="shared" ca="1" si="14"/>
        <v>23.781921489415765</v>
      </c>
      <c r="M63" s="2">
        <f t="shared" ca="1" si="14"/>
        <v>25.358101422954604</v>
      </c>
      <c r="N63" s="2">
        <f t="shared" ca="1" si="14"/>
        <v>23.211004711926321</v>
      </c>
      <c r="O63" s="2">
        <f t="shared" ca="1" si="14"/>
        <v>24.73730183562154</v>
      </c>
      <c r="P63" s="2">
        <f t="shared" ca="1" si="14"/>
        <v>20.599860728622314</v>
      </c>
      <c r="Q63" s="2">
        <f t="shared" ca="1" si="14"/>
        <v>27.065139992538544</v>
      </c>
      <c r="R63" s="2">
        <f t="shared" ca="1" si="14"/>
        <v>25.99226643659976</v>
      </c>
      <c r="S63" s="2">
        <f t="shared" ca="1" si="13"/>
        <v>27.746929636206939</v>
      </c>
      <c r="T63" s="2">
        <f t="shared" ca="1" si="13"/>
        <v>22.589344481453228</v>
      </c>
      <c r="U63" s="2">
        <f t="shared" ca="1" si="13"/>
        <v>23.07684072106678</v>
      </c>
      <c r="V63" s="2">
        <f t="shared" ca="1" si="13"/>
        <v>25.038211778462465</v>
      </c>
      <c r="W63" s="2">
        <f t="shared" ca="1" si="13"/>
        <v>25.783356918221667</v>
      </c>
      <c r="X63" s="2">
        <f t="shared" ca="1" si="13"/>
        <v>23.247294611446083</v>
      </c>
      <c r="Y63" s="2">
        <f t="shared" ca="1" si="11"/>
        <v>21.662407705038127</v>
      </c>
      <c r="Z63" s="2">
        <f t="shared" ca="1" si="12"/>
        <v>26.832562112338316</v>
      </c>
      <c r="AA63" s="2">
        <f t="shared" ca="1" si="12"/>
        <v>21.456898673796466</v>
      </c>
      <c r="AB63" s="2">
        <f t="shared" ca="1" si="12"/>
        <v>25.265497359873329</v>
      </c>
      <c r="AC63" s="2">
        <f t="shared" ca="1" si="12"/>
        <v>27.410042292275012</v>
      </c>
      <c r="AD63" s="2">
        <f t="shared" ca="1" si="12"/>
        <v>27.216150699448111</v>
      </c>
      <c r="AE63" s="2">
        <f t="shared" ca="1" si="12"/>
        <v>21.072998380203149</v>
      </c>
      <c r="AF63" s="2">
        <f t="shared" ca="1" si="12"/>
        <v>28.434881022518788</v>
      </c>
      <c r="AG63" s="2">
        <f t="shared" ca="1" si="12"/>
        <v>20.308634394089573</v>
      </c>
      <c r="AH63" s="2">
        <f t="shared" ca="1" si="12"/>
        <v>24.265414487515212</v>
      </c>
    </row>
    <row r="64" spans="1:34">
      <c r="A64" t="str">
        <f t="shared" si="6"/>
        <v>Coffee</v>
      </c>
      <c r="B64" t="str">
        <f t="shared" si="7"/>
        <v>Harari</v>
      </c>
      <c r="C64" s="2">
        <f t="shared" ca="1" si="14"/>
        <v>26.382039260257617</v>
      </c>
      <c r="D64" s="2">
        <f t="shared" ca="1" si="14"/>
        <v>25.883146370137933</v>
      </c>
      <c r="E64" s="2">
        <f t="shared" ca="1" si="14"/>
        <v>24.566786713265014</v>
      </c>
      <c r="F64" s="2">
        <f t="shared" ca="1" si="14"/>
        <v>29.679877398700892</v>
      </c>
      <c r="G64" s="2">
        <f t="shared" ca="1" si="14"/>
        <v>20.949277834621373</v>
      </c>
      <c r="H64" s="2">
        <f t="shared" ca="1" si="14"/>
        <v>22.37324500913293</v>
      </c>
      <c r="I64" s="2">
        <f t="shared" ca="1" si="14"/>
        <v>23.139296891908891</v>
      </c>
      <c r="J64" s="2">
        <f t="shared" ca="1" si="14"/>
        <v>22.837882041327152</v>
      </c>
      <c r="K64" s="2">
        <f t="shared" ca="1" si="14"/>
        <v>24.77232405080585</v>
      </c>
      <c r="L64" s="2">
        <f t="shared" ca="1" si="14"/>
        <v>23.274635744325877</v>
      </c>
      <c r="M64" s="2">
        <f t="shared" ca="1" si="14"/>
        <v>21.643501746338522</v>
      </c>
      <c r="N64" s="2">
        <f t="shared" ca="1" si="14"/>
        <v>29.481949732691881</v>
      </c>
      <c r="O64" s="2">
        <f t="shared" ca="1" si="14"/>
        <v>23.352460473628117</v>
      </c>
      <c r="P64" s="2">
        <f t="shared" ca="1" si="14"/>
        <v>25.197728290803177</v>
      </c>
      <c r="Q64" s="2">
        <f t="shared" ca="1" si="14"/>
        <v>23.536502211737904</v>
      </c>
      <c r="R64" s="2">
        <f t="shared" ca="1" si="14"/>
        <v>29.208075606239781</v>
      </c>
      <c r="S64" s="2">
        <f t="shared" ca="1" si="13"/>
        <v>21.351080765677569</v>
      </c>
      <c r="T64" s="2">
        <f t="shared" ca="1" si="13"/>
        <v>29.529681195771779</v>
      </c>
      <c r="U64" s="2">
        <f t="shared" ca="1" si="13"/>
        <v>23.295610360354562</v>
      </c>
      <c r="V64" s="2">
        <f t="shared" ca="1" si="13"/>
        <v>20.829393546763637</v>
      </c>
      <c r="W64" s="2">
        <f t="shared" ca="1" si="13"/>
        <v>26.830084489561067</v>
      </c>
      <c r="X64" s="2">
        <f t="shared" ca="1" si="13"/>
        <v>29.836275941924285</v>
      </c>
      <c r="Y64" s="2">
        <f t="shared" ca="1" si="11"/>
        <v>26.470727393433997</v>
      </c>
      <c r="Z64" s="2">
        <f t="shared" ca="1" si="12"/>
        <v>29.506743464107586</v>
      </c>
      <c r="AA64" s="2">
        <f t="shared" ca="1" si="12"/>
        <v>28.443486148287278</v>
      </c>
      <c r="AB64" s="2">
        <f t="shared" ca="1" si="12"/>
        <v>22.643849000531212</v>
      </c>
      <c r="AC64" s="2">
        <f t="shared" ca="1" si="12"/>
        <v>22.06051360295594</v>
      </c>
      <c r="AD64" s="2">
        <f t="shared" ca="1" si="12"/>
        <v>23.470155746885197</v>
      </c>
      <c r="AE64" s="2">
        <f t="shared" ca="1" si="12"/>
        <v>22.817888995404843</v>
      </c>
      <c r="AF64" s="2">
        <f t="shared" ca="1" si="12"/>
        <v>28.839188557592749</v>
      </c>
      <c r="AG64" s="2">
        <f t="shared" ca="1" si="12"/>
        <v>23.284401462912598</v>
      </c>
      <c r="AH64" s="2">
        <f t="shared" ca="1" si="12"/>
        <v>24.550577821286325</v>
      </c>
    </row>
    <row r="65" spans="1:34">
      <c r="A65" t="str">
        <f t="shared" si="6"/>
        <v>Coffee</v>
      </c>
      <c r="B65" t="str">
        <f t="shared" si="7"/>
        <v>Oromia</v>
      </c>
      <c r="C65" s="2">
        <f t="shared" ca="1" si="14"/>
        <v>29.313075123314125</v>
      </c>
      <c r="D65" s="2">
        <f t="shared" ca="1" si="14"/>
        <v>20.282151260217095</v>
      </c>
      <c r="E65" s="2">
        <f t="shared" ca="1" si="14"/>
        <v>26.902590172203983</v>
      </c>
      <c r="F65" s="2">
        <f t="shared" ca="1" si="14"/>
        <v>21.195820205913041</v>
      </c>
      <c r="G65" s="2">
        <f t="shared" ca="1" si="14"/>
        <v>24.341134198909078</v>
      </c>
      <c r="H65" s="2">
        <f t="shared" ca="1" si="14"/>
        <v>20.644596238600887</v>
      </c>
      <c r="I65" s="2">
        <f t="shared" ca="1" si="14"/>
        <v>24.395396164541609</v>
      </c>
      <c r="J65" s="2">
        <f t="shared" ca="1" si="14"/>
        <v>26.473163428573894</v>
      </c>
      <c r="K65" s="2">
        <f t="shared" ca="1" si="14"/>
        <v>23.739262110110321</v>
      </c>
      <c r="L65" s="2">
        <f t="shared" ca="1" si="14"/>
        <v>29.591752712523544</v>
      </c>
      <c r="M65" s="2">
        <f t="shared" ca="1" si="14"/>
        <v>25.113850892133669</v>
      </c>
      <c r="N65" s="2">
        <f t="shared" ca="1" si="14"/>
        <v>21.844978273455368</v>
      </c>
      <c r="O65" s="2">
        <f t="shared" ca="1" si="14"/>
        <v>23.24342421117721</v>
      </c>
      <c r="P65" s="2">
        <f t="shared" ca="1" si="14"/>
        <v>22.240379965925509</v>
      </c>
      <c r="Q65" s="2">
        <f t="shared" ca="1" si="14"/>
        <v>28.559815098603519</v>
      </c>
      <c r="R65" s="2">
        <f t="shared" ca="1" si="14"/>
        <v>25.900321164348096</v>
      </c>
      <c r="S65" s="2">
        <f t="shared" ca="1" si="13"/>
        <v>22.085477752837328</v>
      </c>
      <c r="T65" s="2">
        <f t="shared" ca="1" si="13"/>
        <v>25.96347140934051</v>
      </c>
      <c r="U65" s="2">
        <f t="shared" ca="1" si="13"/>
        <v>20.921869015811296</v>
      </c>
      <c r="V65" s="2">
        <f t="shared" ca="1" si="13"/>
        <v>21.460001337545044</v>
      </c>
      <c r="W65" s="2">
        <f t="shared" ca="1" si="13"/>
        <v>22.954281685045647</v>
      </c>
      <c r="X65" s="2">
        <f t="shared" ca="1" si="13"/>
        <v>20.769794677073858</v>
      </c>
      <c r="Y65" s="2">
        <f t="shared" ca="1" si="11"/>
        <v>24.293309573891435</v>
      </c>
      <c r="Z65" s="2">
        <f t="shared" ca="1" si="12"/>
        <v>23.378415880754254</v>
      </c>
      <c r="AA65" s="2">
        <f t="shared" ca="1" si="12"/>
        <v>21.098535813884446</v>
      </c>
      <c r="AB65" s="2">
        <f t="shared" ca="1" si="12"/>
        <v>28.528465346676452</v>
      </c>
      <c r="AC65" s="2">
        <f t="shared" ca="1" si="12"/>
        <v>20.003414205253062</v>
      </c>
      <c r="AD65" s="2">
        <f t="shared" ca="1" si="12"/>
        <v>28.67757708127202</v>
      </c>
      <c r="AE65" s="2">
        <f t="shared" ca="1" si="12"/>
        <v>23.247943012304074</v>
      </c>
      <c r="AF65" s="2">
        <f t="shared" ca="1" si="12"/>
        <v>26.277088186323123</v>
      </c>
      <c r="AG65" s="2">
        <f t="shared" ca="1" si="12"/>
        <v>20.152816303395003</v>
      </c>
      <c r="AH65" s="2">
        <f t="shared" ca="1" si="12"/>
        <v>26.418064552119574</v>
      </c>
    </row>
    <row r="66" spans="1:34">
      <c r="A66" t="str">
        <f t="shared" si="6"/>
        <v>Coffee</v>
      </c>
      <c r="B66" t="str">
        <f t="shared" si="7"/>
        <v>Somali</v>
      </c>
      <c r="C66" s="2">
        <f t="shared" ca="1" si="14"/>
        <v>22.19843283266848</v>
      </c>
      <c r="D66" s="2">
        <f t="shared" ca="1" si="14"/>
        <v>24.6151614433882</v>
      </c>
      <c r="E66" s="2">
        <f t="shared" ca="1" si="14"/>
        <v>26.505538270010582</v>
      </c>
      <c r="F66" s="2">
        <f t="shared" ca="1" si="14"/>
        <v>28.232277821222805</v>
      </c>
      <c r="G66" s="2">
        <f t="shared" ca="1" si="14"/>
        <v>27.760846604360129</v>
      </c>
      <c r="H66" s="2">
        <f t="shared" ca="1" si="14"/>
        <v>26.479820983500485</v>
      </c>
      <c r="I66" s="2">
        <f t="shared" ca="1" si="14"/>
        <v>24.958465983133234</v>
      </c>
      <c r="J66" s="2">
        <f t="shared" ca="1" si="14"/>
        <v>23.613965556547623</v>
      </c>
      <c r="K66" s="2">
        <f t="shared" ca="1" si="14"/>
        <v>26.189723975540424</v>
      </c>
      <c r="L66" s="2">
        <f t="shared" ca="1" si="14"/>
        <v>23.661121472287</v>
      </c>
      <c r="M66" s="2">
        <f t="shared" ca="1" si="14"/>
        <v>24.605752410501154</v>
      </c>
      <c r="N66" s="2">
        <f t="shared" ca="1" si="14"/>
        <v>29.583522218095403</v>
      </c>
      <c r="O66" s="2">
        <f t="shared" ca="1" si="14"/>
        <v>21.501107329172697</v>
      </c>
      <c r="P66" s="2">
        <f t="shared" ca="1" si="14"/>
        <v>25.72242357760668</v>
      </c>
      <c r="Q66" s="2">
        <f t="shared" ca="1" si="14"/>
        <v>28.645390781708446</v>
      </c>
      <c r="R66" s="2">
        <f t="shared" ca="1" si="14"/>
        <v>26.303474803627513</v>
      </c>
      <c r="S66" s="2">
        <f t="shared" ca="1" si="13"/>
        <v>24.661273784871497</v>
      </c>
      <c r="T66" s="2">
        <f t="shared" ca="1" si="13"/>
        <v>22.612554530252428</v>
      </c>
      <c r="U66" s="2">
        <f t="shared" ca="1" si="13"/>
        <v>25.195394085978069</v>
      </c>
      <c r="V66" s="2">
        <f t="shared" ca="1" si="13"/>
        <v>26.307187581282044</v>
      </c>
      <c r="W66" s="2">
        <f t="shared" ca="1" si="13"/>
        <v>22.222060486232511</v>
      </c>
      <c r="X66" s="2">
        <f t="shared" ca="1" si="13"/>
        <v>28.463270073463764</v>
      </c>
      <c r="Y66" s="2">
        <f t="shared" ca="1" si="11"/>
        <v>26.619210756072153</v>
      </c>
      <c r="Z66" s="2">
        <f t="shared" ca="1" si="12"/>
        <v>26.391106550306333</v>
      </c>
      <c r="AA66" s="2">
        <f t="shared" ca="1" si="12"/>
        <v>28.428168703653956</v>
      </c>
      <c r="AB66" s="2">
        <f t="shared" ca="1" si="12"/>
        <v>27.163120145209739</v>
      </c>
      <c r="AC66" s="2">
        <f t="shared" ca="1" si="12"/>
        <v>25.650412279460312</v>
      </c>
      <c r="AD66" s="2">
        <f t="shared" ca="1" si="12"/>
        <v>21.748264782547182</v>
      </c>
      <c r="AE66" s="2">
        <f t="shared" ca="1" si="12"/>
        <v>21.317803108747192</v>
      </c>
      <c r="AF66" s="2">
        <f t="shared" ca="1" si="12"/>
        <v>29.838620593848436</v>
      </c>
      <c r="AG66" s="2">
        <f t="shared" ca="1" si="12"/>
        <v>21.070269030784484</v>
      </c>
      <c r="AH66" s="2">
        <f t="shared" ca="1" si="12"/>
        <v>22.907611292779112</v>
      </c>
    </row>
    <row r="67" spans="1:34">
      <c r="A67" t="str">
        <f t="shared" si="6"/>
        <v>Coffee</v>
      </c>
      <c r="B67" t="str">
        <f t="shared" si="7"/>
        <v>SNNPR</v>
      </c>
      <c r="C67" s="2">
        <f t="shared" ca="1" si="14"/>
        <v>22.048115772636667</v>
      </c>
      <c r="D67" s="2">
        <f t="shared" ca="1" si="14"/>
        <v>21.5656831468246</v>
      </c>
      <c r="E67" s="2">
        <f t="shared" ca="1" si="14"/>
        <v>20.646853874151372</v>
      </c>
      <c r="F67" s="2">
        <f t="shared" ca="1" si="14"/>
        <v>23.984118766228598</v>
      </c>
      <c r="G67" s="2">
        <f t="shared" ca="1" si="14"/>
        <v>24.460208239713428</v>
      </c>
      <c r="H67" s="2">
        <f t="shared" ca="1" si="14"/>
        <v>21.900126297834845</v>
      </c>
      <c r="I67" s="2">
        <f t="shared" ca="1" si="14"/>
        <v>21.996030534461141</v>
      </c>
      <c r="J67" s="2">
        <f t="shared" ca="1" si="14"/>
        <v>24.221092272862666</v>
      </c>
      <c r="K67" s="2">
        <f t="shared" ca="1" si="14"/>
        <v>28.478887571240747</v>
      </c>
      <c r="L67" s="2">
        <f t="shared" ca="1" si="14"/>
        <v>22.554932351874672</v>
      </c>
      <c r="M67" s="2">
        <f t="shared" ca="1" si="14"/>
        <v>27.086841007365305</v>
      </c>
      <c r="N67" s="2">
        <f t="shared" ca="1" si="14"/>
        <v>21.945835984618643</v>
      </c>
      <c r="O67" s="2">
        <f t="shared" ca="1" si="14"/>
        <v>20.409302520110533</v>
      </c>
      <c r="P67" s="2">
        <f t="shared" ca="1" si="14"/>
        <v>28.668207700144794</v>
      </c>
      <c r="Q67" s="2">
        <f t="shared" ca="1" si="14"/>
        <v>26.925253575525197</v>
      </c>
      <c r="R67" s="2">
        <f t="shared" ca="1" si="14"/>
        <v>27.844310349796054</v>
      </c>
      <c r="S67" s="2">
        <f t="shared" ca="1" si="13"/>
        <v>26.746426810108659</v>
      </c>
      <c r="T67" s="2">
        <f t="shared" ca="1" si="13"/>
        <v>26.347580990225111</v>
      </c>
      <c r="U67" s="2">
        <f t="shared" ca="1" si="13"/>
        <v>27.933780038285033</v>
      </c>
      <c r="V67" s="2">
        <f t="shared" ca="1" si="13"/>
        <v>26.54172622714464</v>
      </c>
      <c r="W67" s="2">
        <f t="shared" ca="1" si="13"/>
        <v>20.073291720728836</v>
      </c>
      <c r="X67" s="2">
        <f t="shared" ca="1" si="13"/>
        <v>24.723015273193301</v>
      </c>
      <c r="Y67" s="2">
        <f t="shared" ca="1" si="11"/>
        <v>26.461727415159618</v>
      </c>
      <c r="Z67" s="2">
        <f t="shared" ca="1" si="12"/>
        <v>20.684897714641647</v>
      </c>
      <c r="AA67" s="2">
        <f t="shared" ca="1" si="12"/>
        <v>23.722823818626367</v>
      </c>
      <c r="AB67" s="2">
        <f t="shared" ca="1" si="12"/>
        <v>28.933166355429908</v>
      </c>
      <c r="AC67" s="2">
        <f t="shared" ca="1" si="12"/>
        <v>21.216965328803617</v>
      </c>
      <c r="AD67" s="2">
        <f t="shared" ca="1" si="12"/>
        <v>29.140582922064574</v>
      </c>
      <c r="AE67" s="2">
        <f t="shared" ca="1" si="12"/>
        <v>25.167362118789327</v>
      </c>
      <c r="AF67" s="2">
        <f t="shared" ca="1" si="12"/>
        <v>21.9712634208813</v>
      </c>
      <c r="AG67" s="2">
        <f t="shared" ca="1" si="12"/>
        <v>22.367177305106157</v>
      </c>
      <c r="AH67" s="2">
        <f t="shared" ca="1" si="12"/>
        <v>27.742434990203201</v>
      </c>
    </row>
    <row r="68" spans="1:34">
      <c r="A68" t="str">
        <f t="shared" si="6"/>
        <v>Coffee</v>
      </c>
      <c r="B68" t="str">
        <f t="shared" si="7"/>
        <v>Tigray</v>
      </c>
      <c r="C68" s="2">
        <f t="shared" ca="1" si="14"/>
        <v>27.596322830965182</v>
      </c>
      <c r="D68" s="2">
        <f t="shared" ca="1" si="14"/>
        <v>23.958975705458016</v>
      </c>
      <c r="E68" s="2">
        <f t="shared" ca="1" si="14"/>
        <v>24.300591494241878</v>
      </c>
      <c r="F68" s="2">
        <f t="shared" ca="1" si="14"/>
        <v>24.507544017300763</v>
      </c>
      <c r="G68" s="2">
        <f t="shared" ca="1" si="14"/>
        <v>28.990977544379938</v>
      </c>
      <c r="H68" s="2">
        <f t="shared" ca="1" si="14"/>
        <v>28.196795535395676</v>
      </c>
      <c r="I68" s="2">
        <f t="shared" ca="1" si="14"/>
        <v>26.177109171656248</v>
      </c>
      <c r="J68" s="2">
        <f t="shared" ca="1" si="14"/>
        <v>20.213252591796561</v>
      </c>
      <c r="K68" s="2">
        <f t="shared" ca="1" si="14"/>
        <v>22.741123156370218</v>
      </c>
      <c r="L68" s="2">
        <f t="shared" ca="1" si="14"/>
        <v>27.08250252339711</v>
      </c>
      <c r="M68" s="2">
        <f t="shared" ca="1" si="14"/>
        <v>26.596437294124144</v>
      </c>
      <c r="N68" s="2">
        <f t="shared" ca="1" si="14"/>
        <v>25.090427231487645</v>
      </c>
      <c r="O68" s="2">
        <f t="shared" ca="1" si="14"/>
        <v>28.023181038815949</v>
      </c>
      <c r="P68" s="2">
        <f t="shared" ca="1" si="14"/>
        <v>27.377425093620943</v>
      </c>
      <c r="Q68" s="2">
        <f t="shared" ca="1" si="14"/>
        <v>24.179580358023202</v>
      </c>
      <c r="R68" s="2">
        <f t="shared" ref="R68:AH68" ca="1" si="15">(RAND()*0.1+0.2)*100</f>
        <v>22.590568095279647</v>
      </c>
      <c r="S68" s="2">
        <f t="shared" ca="1" si="15"/>
        <v>22.899224111490042</v>
      </c>
      <c r="T68" s="2">
        <f t="shared" ca="1" si="15"/>
        <v>29.818293216068987</v>
      </c>
      <c r="U68" s="2">
        <f t="shared" ca="1" si="15"/>
        <v>22.231575575436224</v>
      </c>
      <c r="V68" s="2">
        <f t="shared" ca="1" si="15"/>
        <v>26.936945426089686</v>
      </c>
      <c r="W68" s="2">
        <f t="shared" ca="1" si="15"/>
        <v>29.862249792787189</v>
      </c>
      <c r="X68" s="2">
        <f t="shared" ca="1" si="15"/>
        <v>25.162582146288344</v>
      </c>
      <c r="Y68" s="2">
        <f t="shared" ca="1" si="15"/>
        <v>28.810106756547544</v>
      </c>
      <c r="Z68" s="2">
        <f t="shared" ca="1" si="15"/>
        <v>25.188578270480832</v>
      </c>
      <c r="AA68" s="2">
        <f t="shared" ca="1" si="15"/>
        <v>29.892742525524753</v>
      </c>
      <c r="AB68" s="2">
        <f t="shared" ca="1" si="15"/>
        <v>29.09532826165881</v>
      </c>
      <c r="AC68" s="2">
        <f t="shared" ca="1" si="15"/>
        <v>27.995663663340725</v>
      </c>
      <c r="AD68" s="2">
        <f t="shared" ca="1" si="15"/>
        <v>20.179946875859471</v>
      </c>
      <c r="AE68" s="2">
        <f t="shared" ca="1" si="15"/>
        <v>29.71190955687813</v>
      </c>
      <c r="AF68" s="2">
        <f t="shared" ca="1" si="15"/>
        <v>28.214663256701744</v>
      </c>
      <c r="AG68" s="2">
        <f t="shared" ca="1" si="15"/>
        <v>24.117590317363263</v>
      </c>
      <c r="AH68" s="2">
        <f t="shared" ca="1" si="15"/>
        <v>27.942121460979219</v>
      </c>
    </row>
  </sheetData>
  <pageMargins left="0.75" right="0.75" top="1" bottom="1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171"/>
  <sheetViews>
    <sheetView zoomScale="85" zoomScaleNormal="85" workbookViewId="0"/>
  </sheetViews>
  <sheetFormatPr defaultColWidth="8.875" defaultRowHeight="15.75"/>
  <cols>
    <col min="1" max="1" width="10.625" bestFit="1" customWidth="1"/>
    <col min="2" max="2" width="10.5" bestFit="1" customWidth="1"/>
  </cols>
  <sheetData>
    <row r="1" spans="1:34">
      <c r="C1">
        <f>CYF!C1</f>
        <v>2015</v>
      </c>
      <c r="D1">
        <f>CYF!D1</f>
        <v>2015</v>
      </c>
      <c r="E1">
        <f>CYF!E1</f>
        <v>2016</v>
      </c>
      <c r="F1">
        <f>CYF!F1</f>
        <v>2016</v>
      </c>
      <c r="G1">
        <f>CYF!G1</f>
        <v>2017</v>
      </c>
      <c r="H1">
        <f>CYF!H1</f>
        <v>2017</v>
      </c>
      <c r="I1">
        <f>CYF!I1</f>
        <v>2018</v>
      </c>
      <c r="J1">
        <f>CYF!J1</f>
        <v>2018</v>
      </c>
      <c r="K1">
        <f>CYF!K1</f>
        <v>2019</v>
      </c>
      <c r="L1">
        <f>CYF!L1</f>
        <v>2019</v>
      </c>
      <c r="M1">
        <f>CYF!M1</f>
        <v>2020</v>
      </c>
      <c r="N1">
        <f>CYF!N1</f>
        <v>2020</v>
      </c>
      <c r="O1">
        <f>CYF!O1</f>
        <v>2021</v>
      </c>
      <c r="P1">
        <f>CYF!P1</f>
        <v>2021</v>
      </c>
      <c r="Q1">
        <f>CYF!Q1</f>
        <v>2022</v>
      </c>
      <c r="R1">
        <f>CYF!R1</f>
        <v>2022</v>
      </c>
      <c r="S1">
        <f>CYF!S1</f>
        <v>2023</v>
      </c>
      <c r="T1">
        <f>CYF!T1</f>
        <v>2023</v>
      </c>
      <c r="U1">
        <f>CYF!U1</f>
        <v>2024</v>
      </c>
      <c r="V1">
        <f>CYF!V1</f>
        <v>2024</v>
      </c>
      <c r="W1">
        <f>CYF!W1</f>
        <v>2025</v>
      </c>
      <c r="X1">
        <f>CYF!X1</f>
        <v>2025</v>
      </c>
      <c r="Y1">
        <f>CYF!Y1</f>
        <v>2026</v>
      </c>
      <c r="Z1">
        <f>CYF!Z1</f>
        <v>2026</v>
      </c>
      <c r="AA1">
        <f>CYF!AA1</f>
        <v>2027</v>
      </c>
      <c r="AB1">
        <f>CYF!AB1</f>
        <v>2027</v>
      </c>
      <c r="AC1">
        <f>CYF!AC1</f>
        <v>2028</v>
      </c>
      <c r="AD1">
        <f>CYF!AD1</f>
        <v>2028</v>
      </c>
      <c r="AE1">
        <f>CYF!AE1</f>
        <v>2029</v>
      </c>
      <c r="AF1">
        <f>CYF!AF1</f>
        <v>2029</v>
      </c>
      <c r="AG1">
        <f>CYF!AG1</f>
        <v>2030</v>
      </c>
      <c r="AH1">
        <f>CYF!AH1</f>
        <v>2030</v>
      </c>
    </row>
    <row r="2" spans="1:34">
      <c r="C2" t="str">
        <f>CYF!C2</f>
        <v>Belg</v>
      </c>
      <c r="D2" t="str">
        <f>CYF!D2</f>
        <v>Kremt</v>
      </c>
      <c r="E2" t="str">
        <f>CYF!E2</f>
        <v>Belg</v>
      </c>
      <c r="F2" t="str">
        <f>CYF!F2</f>
        <v>Kremt</v>
      </c>
      <c r="G2" t="str">
        <f>CYF!G2</f>
        <v>Belg</v>
      </c>
      <c r="H2" t="str">
        <f>CYF!H2</f>
        <v>Kremt</v>
      </c>
      <c r="I2" t="str">
        <f>CYF!I2</f>
        <v>Belg</v>
      </c>
      <c r="J2" t="str">
        <f>CYF!J2</f>
        <v>Kremt</v>
      </c>
      <c r="K2" t="str">
        <f>CYF!K2</f>
        <v>Belg</v>
      </c>
      <c r="L2" t="str">
        <f>CYF!L2</f>
        <v>Kremt</v>
      </c>
      <c r="M2" t="str">
        <f>CYF!M2</f>
        <v>Belg</v>
      </c>
      <c r="N2" t="str">
        <f>CYF!N2</f>
        <v>Kremt</v>
      </c>
      <c r="O2" t="str">
        <f>CYF!O2</f>
        <v>Belg</v>
      </c>
      <c r="P2" t="str">
        <f>CYF!P2</f>
        <v>Kremt</v>
      </c>
      <c r="Q2" t="str">
        <f>CYF!Q2</f>
        <v>Belg</v>
      </c>
      <c r="R2" t="str">
        <f>CYF!R2</f>
        <v>Kremt</v>
      </c>
      <c r="S2" t="str">
        <f>CYF!S2</f>
        <v>Belg</v>
      </c>
      <c r="T2" t="str">
        <f>CYF!T2</f>
        <v>Kremt</v>
      </c>
      <c r="U2" t="str">
        <f>CYF!U2</f>
        <v>Belg</v>
      </c>
      <c r="V2" t="str">
        <f>CYF!V2</f>
        <v>Kremt</v>
      </c>
      <c r="W2" t="str">
        <f>CYF!W2</f>
        <v>Belg</v>
      </c>
      <c r="X2" t="str">
        <f>CYF!X2</f>
        <v>Kremt</v>
      </c>
      <c r="Y2" t="str">
        <f>CYF!Y2</f>
        <v>Belg</v>
      </c>
      <c r="Z2" t="str">
        <f>CYF!Z2</f>
        <v>Kremt</v>
      </c>
      <c r="AA2" t="str">
        <f>CYF!AA2</f>
        <v>Belg</v>
      </c>
      <c r="AB2" t="str">
        <f>CYF!AB2</f>
        <v>Kremt</v>
      </c>
      <c r="AC2" t="str">
        <f>CYF!AC2</f>
        <v>Belg</v>
      </c>
      <c r="AD2" t="str">
        <f>CYF!AD2</f>
        <v>Kremt</v>
      </c>
      <c r="AE2" t="str">
        <f>CYF!AE2</f>
        <v>Belg</v>
      </c>
      <c r="AF2" t="str">
        <f>CYF!AF2</f>
        <v>Kremt</v>
      </c>
      <c r="AG2" t="str">
        <f>CYF!AG2</f>
        <v>Belg</v>
      </c>
      <c r="AH2" t="str">
        <f>CYF!AH2</f>
        <v>Kremt</v>
      </c>
    </row>
    <row r="3" spans="1:34">
      <c r="A3" t="str">
        <f>CYF!A3</f>
        <v>Teff</v>
      </c>
      <c r="B3" t="str">
        <f>CYF!B3</f>
        <v>AddisAbaba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</row>
    <row r="4" spans="1:34">
      <c r="A4" t="str">
        <f>CYF!A4</f>
        <v>Teff</v>
      </c>
      <c r="B4" t="str">
        <f>CYF!B4</f>
        <v>Afar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>
        <v>1</v>
      </c>
      <c r="AH4">
        <v>1</v>
      </c>
    </row>
    <row r="5" spans="1:34">
      <c r="A5" t="str">
        <f>CYF!A5</f>
        <v>Teff</v>
      </c>
      <c r="B5" t="str">
        <f>CYF!B5</f>
        <v>Amhara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</row>
    <row r="6" spans="1:34">
      <c r="A6" t="str">
        <f>CYF!A6</f>
        <v>Teff</v>
      </c>
      <c r="B6" t="str">
        <f>CYF!B6</f>
        <v>Gumuz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1</v>
      </c>
      <c r="AH6">
        <v>1</v>
      </c>
    </row>
    <row r="7" spans="1:34">
      <c r="A7" t="str">
        <f>CYF!A7</f>
        <v>Teff</v>
      </c>
      <c r="B7" t="str">
        <f>CYF!B7</f>
        <v>DireDawa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</row>
    <row r="8" spans="1:34">
      <c r="A8" t="str">
        <f>CYF!A8</f>
        <v>Teff</v>
      </c>
      <c r="B8" t="str">
        <f>CYF!B8</f>
        <v>Gambela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</row>
    <row r="9" spans="1:34">
      <c r="A9" t="str">
        <f>CYF!A9</f>
        <v>Teff</v>
      </c>
      <c r="B9" t="str">
        <f>CYF!B9</f>
        <v>Harari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</row>
    <row r="10" spans="1:34">
      <c r="A10" t="str">
        <f>CYF!A10</f>
        <v>Teff</v>
      </c>
      <c r="B10" t="str">
        <f>CYF!B10</f>
        <v>Oromia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</row>
    <row r="11" spans="1:34">
      <c r="A11" t="str">
        <f>CYF!A11</f>
        <v>Teff</v>
      </c>
      <c r="B11" t="str">
        <f>CYF!B11</f>
        <v>Somali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</row>
    <row r="12" spans="1:34">
      <c r="A12" t="str">
        <f>CYF!A12</f>
        <v>Teff</v>
      </c>
      <c r="B12" t="str">
        <f>CYF!B12</f>
        <v>SNNPR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</row>
    <row r="13" spans="1:34">
      <c r="A13" t="str">
        <f>CYF!A13</f>
        <v>Teff</v>
      </c>
      <c r="B13" t="str">
        <f>CYF!B13</f>
        <v>Tigray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</row>
    <row r="14" spans="1:34">
      <c r="A14" t="str">
        <f>CYF!A14</f>
        <v>Sorghum</v>
      </c>
      <c r="B14" t="str">
        <f>CYF!B14</f>
        <v>AddisAbaba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</row>
    <row r="15" spans="1:34">
      <c r="A15" t="str">
        <f>CYF!A15</f>
        <v>Sorghum</v>
      </c>
      <c r="B15" t="str">
        <f>CYF!B15</f>
        <v>Afar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</row>
    <row r="16" spans="1:34">
      <c r="A16" t="str">
        <f>CYF!A16</f>
        <v>Sorghum</v>
      </c>
      <c r="B16" t="str">
        <f>CYF!B16</f>
        <v>Amhara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</row>
    <row r="17" spans="1:34">
      <c r="A17" t="str">
        <f>CYF!A17</f>
        <v>Sorghum</v>
      </c>
      <c r="B17" t="str">
        <f>CYF!B17</f>
        <v>Gumuz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</row>
    <row r="18" spans="1:34">
      <c r="A18" t="str">
        <f>CYF!A18</f>
        <v>Sorghum</v>
      </c>
      <c r="B18" t="str">
        <f>CYF!B18</f>
        <v>DireDawa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</row>
    <row r="19" spans="1:34">
      <c r="A19" t="str">
        <f>CYF!A19</f>
        <v>Sorghum</v>
      </c>
      <c r="B19" t="str">
        <f>CYF!B19</f>
        <v>Gambela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</row>
    <row r="20" spans="1:34">
      <c r="A20" t="str">
        <f>CYF!A20</f>
        <v>Sorghum</v>
      </c>
      <c r="B20" t="str">
        <f>CYF!B20</f>
        <v>Harari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1</v>
      </c>
    </row>
    <row r="21" spans="1:34">
      <c r="A21" t="str">
        <f>CYF!A21</f>
        <v>Sorghum</v>
      </c>
      <c r="B21" t="str">
        <f>CYF!B21</f>
        <v>Oromia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1</v>
      </c>
    </row>
    <row r="22" spans="1:34">
      <c r="A22" t="str">
        <f>CYF!A22</f>
        <v>Sorghum</v>
      </c>
      <c r="B22" t="str">
        <f>CYF!B22</f>
        <v>Somali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</row>
    <row r="23" spans="1:34">
      <c r="A23" t="str">
        <f>CYF!A23</f>
        <v>Sorghum</v>
      </c>
      <c r="B23" t="str">
        <f>CYF!B23</f>
        <v>SNNPR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</row>
    <row r="24" spans="1:34">
      <c r="A24" t="str">
        <f>CYF!A24</f>
        <v>Sorghum</v>
      </c>
      <c r="B24" t="str">
        <f>CYF!B24</f>
        <v>Tigray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1</v>
      </c>
      <c r="AH24">
        <v>1</v>
      </c>
    </row>
    <row r="25" spans="1:34">
      <c r="A25" t="str">
        <f>CYF!A25</f>
        <v>Maize</v>
      </c>
      <c r="B25" t="str">
        <f>CYF!B25</f>
        <v>AddisAbaba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</row>
    <row r="26" spans="1:34">
      <c r="A26" t="str">
        <f>CYF!A26</f>
        <v>Maize</v>
      </c>
      <c r="B26" t="str">
        <f>CYF!B26</f>
        <v>Afar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</row>
    <row r="27" spans="1:34">
      <c r="A27" t="str">
        <f>CYF!A27</f>
        <v>Maize</v>
      </c>
      <c r="B27" t="str">
        <f>CYF!B27</f>
        <v>Amhara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</row>
    <row r="28" spans="1:34">
      <c r="A28" t="str">
        <f>CYF!A28</f>
        <v>Maize</v>
      </c>
      <c r="B28" t="str">
        <f>CYF!B28</f>
        <v>Gumuz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>
        <v>1</v>
      </c>
      <c r="AH28">
        <v>1</v>
      </c>
    </row>
    <row r="29" spans="1:34">
      <c r="A29" t="str">
        <f>CYF!A29</f>
        <v>Maize</v>
      </c>
      <c r="B29" t="str">
        <f>CYF!B29</f>
        <v>DireDawa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</row>
    <row r="30" spans="1:34">
      <c r="A30" t="str">
        <f>CYF!A30</f>
        <v>Maize</v>
      </c>
      <c r="B30" t="str">
        <f>CYF!B30</f>
        <v>Gambela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</row>
    <row r="31" spans="1:34">
      <c r="A31" t="str">
        <f>CYF!A31</f>
        <v>Maize</v>
      </c>
      <c r="B31" t="str">
        <f>CYF!B31</f>
        <v>Harari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>
        <v>1</v>
      </c>
      <c r="AH31">
        <v>1</v>
      </c>
    </row>
    <row r="32" spans="1:34">
      <c r="A32" t="str">
        <f>CYF!A32</f>
        <v>Maize</v>
      </c>
      <c r="B32" t="str">
        <f>CYF!B32</f>
        <v>Oromia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v>1</v>
      </c>
      <c r="AH32">
        <v>1</v>
      </c>
    </row>
    <row r="33" spans="1:34">
      <c r="A33" t="str">
        <f>CYF!A33</f>
        <v>Maize</v>
      </c>
      <c r="B33" t="str">
        <f>CYF!B33</f>
        <v>Somali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</row>
    <row r="34" spans="1:34">
      <c r="A34" t="str">
        <f>CYF!A34</f>
        <v>Maize</v>
      </c>
      <c r="B34" t="str">
        <f>CYF!B34</f>
        <v>SNNPR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>
        <v>1</v>
      </c>
      <c r="AH34">
        <v>1</v>
      </c>
    </row>
    <row r="35" spans="1:34">
      <c r="A35" t="str">
        <f>CYF!A35</f>
        <v>Maize</v>
      </c>
      <c r="B35" t="str">
        <f>CYF!B35</f>
        <v>Tigray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</row>
    <row r="36" spans="1:34">
      <c r="A36" t="str">
        <f>CYF!A36</f>
        <v>Lentils</v>
      </c>
      <c r="B36" t="str">
        <f>CYF!B36</f>
        <v>AddisAbaba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</row>
    <row r="37" spans="1:34">
      <c r="A37" t="str">
        <f>CYF!A37</f>
        <v>Lentils</v>
      </c>
      <c r="B37" t="str">
        <f>CYF!B37</f>
        <v>Afar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</row>
    <row r="38" spans="1:34">
      <c r="A38" t="str">
        <f>CYF!A38</f>
        <v>Lentils</v>
      </c>
      <c r="B38" t="str">
        <f>CYF!B38</f>
        <v>Amhara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</row>
    <row r="39" spans="1:34">
      <c r="A39" t="str">
        <f>CYF!A39</f>
        <v>Lentils</v>
      </c>
      <c r="B39" t="str">
        <f>CYF!B39</f>
        <v>Gumuz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</row>
    <row r="40" spans="1:34">
      <c r="A40" t="str">
        <f>CYF!A40</f>
        <v>Lentils</v>
      </c>
      <c r="B40" t="str">
        <f>CYF!B40</f>
        <v>DireDawa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</row>
    <row r="41" spans="1:34">
      <c r="A41" t="str">
        <f>CYF!A41</f>
        <v>Lentils</v>
      </c>
      <c r="B41" t="str">
        <f>CYF!B41</f>
        <v>Gambela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>
        <v>1</v>
      </c>
      <c r="AH41">
        <v>1</v>
      </c>
    </row>
    <row r="42" spans="1:34">
      <c r="A42" t="str">
        <f>CYF!A42</f>
        <v>Lentils</v>
      </c>
      <c r="B42" t="str">
        <f>CYF!B42</f>
        <v>Harari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</row>
    <row r="43" spans="1:34">
      <c r="A43" t="str">
        <f>CYF!A43</f>
        <v>Lentils</v>
      </c>
      <c r="B43" t="str">
        <f>CYF!B43</f>
        <v>Oromia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</v>
      </c>
      <c r="AH43">
        <v>1</v>
      </c>
    </row>
    <row r="44" spans="1:34">
      <c r="A44" t="str">
        <f>CYF!A44</f>
        <v>Lentils</v>
      </c>
      <c r="B44" t="str">
        <f>CYF!B44</f>
        <v>Somali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</row>
    <row r="45" spans="1:34">
      <c r="A45" t="str">
        <f>CYF!A45</f>
        <v>Lentils</v>
      </c>
      <c r="B45" t="str">
        <f>CYF!B45</f>
        <v>SNNPR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</row>
    <row r="46" spans="1:34">
      <c r="A46" t="str">
        <f>CYF!A46</f>
        <v>Lentils</v>
      </c>
      <c r="B46" t="str">
        <f>CYF!B46</f>
        <v>Tigray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</row>
    <row r="47" spans="1:34">
      <c r="A47" t="str">
        <f>CYF!A47</f>
        <v>Vegetables</v>
      </c>
      <c r="B47" t="str">
        <f>CYF!B47</f>
        <v>AddisAbaba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</row>
    <row r="48" spans="1:34">
      <c r="A48" t="str">
        <f>CYF!A48</f>
        <v>Vegetables</v>
      </c>
      <c r="B48" t="str">
        <f>CYF!B48</f>
        <v>Afar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>
        <v>1</v>
      </c>
      <c r="AH48">
        <v>1</v>
      </c>
    </row>
    <row r="49" spans="1:34">
      <c r="A49" t="str">
        <f>CYF!A49</f>
        <v>Vegetables</v>
      </c>
      <c r="B49" t="str">
        <f>CYF!B49</f>
        <v>Amhara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</row>
    <row r="50" spans="1:34">
      <c r="A50" t="str">
        <f>CYF!A50</f>
        <v>Vegetables</v>
      </c>
      <c r="B50" t="str">
        <f>CYF!B50</f>
        <v>Gumuz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</row>
    <row r="51" spans="1:34">
      <c r="A51" t="str">
        <f>CYF!A51</f>
        <v>Vegetables</v>
      </c>
      <c r="B51" t="str">
        <f>CYF!B51</f>
        <v>DireDawa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>
        <v>1</v>
      </c>
      <c r="AH51">
        <v>1</v>
      </c>
    </row>
    <row r="52" spans="1:34">
      <c r="A52" t="str">
        <f>CYF!A52</f>
        <v>Vegetables</v>
      </c>
      <c r="B52" t="str">
        <f>CYF!B52</f>
        <v>Gambela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</row>
    <row r="53" spans="1:34">
      <c r="A53" t="str">
        <f>CYF!A53</f>
        <v>Vegetables</v>
      </c>
      <c r="B53" t="str">
        <f>CYF!B53</f>
        <v>Harari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v>1</v>
      </c>
    </row>
    <row r="54" spans="1:34">
      <c r="A54" t="str">
        <f>CYF!A54</f>
        <v>Vegetables</v>
      </c>
      <c r="B54" t="str">
        <f>CYF!B54</f>
        <v>Oromia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</row>
    <row r="55" spans="1:34">
      <c r="A55" t="str">
        <f>CYF!A55</f>
        <v>Vegetables</v>
      </c>
      <c r="B55" t="str">
        <f>CYF!B55</f>
        <v>Somali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>
        <v>1</v>
      </c>
      <c r="AH55">
        <v>1</v>
      </c>
    </row>
    <row r="56" spans="1:34">
      <c r="A56" t="str">
        <f>CYF!A56</f>
        <v>Vegetables</v>
      </c>
      <c r="B56" t="str">
        <f>CYF!B56</f>
        <v>SNNPR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</row>
    <row r="57" spans="1:34">
      <c r="A57" t="str">
        <f>CYF!A57</f>
        <v>Vegetables</v>
      </c>
      <c r="B57" t="str">
        <f>CYF!B57</f>
        <v>Tigray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</row>
    <row r="58" spans="1:34">
      <c r="A58" t="str">
        <f>CYF!A58</f>
        <v>Coffee</v>
      </c>
      <c r="B58" t="str">
        <f>CYF!B58</f>
        <v>AddisAbaba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</row>
    <row r="59" spans="1:34">
      <c r="A59" t="str">
        <f>CYF!A59</f>
        <v>Coffee</v>
      </c>
      <c r="B59" t="str">
        <f>CYF!B59</f>
        <v>Afar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</row>
    <row r="60" spans="1:34">
      <c r="A60" t="str">
        <f>CYF!A60</f>
        <v>Coffee</v>
      </c>
      <c r="B60" t="str">
        <f>CYF!B60</f>
        <v>Amhara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</row>
    <row r="61" spans="1:34">
      <c r="A61" t="str">
        <f>CYF!A61</f>
        <v>Coffee</v>
      </c>
      <c r="B61" t="str">
        <f>CYF!B61</f>
        <v>Gumuz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</row>
    <row r="62" spans="1:34">
      <c r="A62" t="str">
        <f>CYF!A62</f>
        <v>Coffee</v>
      </c>
      <c r="B62" t="str">
        <f>CYF!B62</f>
        <v>DireDawa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</row>
    <row r="63" spans="1:34">
      <c r="A63" t="str">
        <f>CYF!A63</f>
        <v>Coffee</v>
      </c>
      <c r="B63" t="str">
        <f>CYF!B63</f>
        <v>Gambela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1</v>
      </c>
      <c r="AH63">
        <v>1</v>
      </c>
    </row>
    <row r="64" spans="1:34">
      <c r="A64" t="str">
        <f>CYF!A64</f>
        <v>Coffee</v>
      </c>
      <c r="B64" t="str">
        <f>CYF!B64</f>
        <v>Harari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>
        <v>1</v>
      </c>
      <c r="AH64">
        <v>1</v>
      </c>
    </row>
    <row r="65" spans="1:34">
      <c r="A65" t="str">
        <f>CYF!A65</f>
        <v>Coffee</v>
      </c>
      <c r="B65" t="str">
        <f>CYF!B65</f>
        <v>Oromia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>
        <v>1</v>
      </c>
      <c r="AH65">
        <v>1</v>
      </c>
    </row>
    <row r="66" spans="1:34">
      <c r="A66" t="str">
        <f>CYF!A66</f>
        <v>Coffee</v>
      </c>
      <c r="B66" t="str">
        <f>CYF!B66</f>
        <v>Somali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>
        <v>1</v>
      </c>
      <c r="AH66">
        <v>1</v>
      </c>
    </row>
    <row r="67" spans="1:34">
      <c r="A67" t="str">
        <f>CYF!A67</f>
        <v>Coffee</v>
      </c>
      <c r="B67" t="str">
        <f>CYF!B67</f>
        <v>SNNPR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>
        <v>1</v>
      </c>
      <c r="AH67">
        <v>1</v>
      </c>
    </row>
    <row r="68" spans="1:34">
      <c r="A68" t="str">
        <f>CYF!A68</f>
        <v>Coffee</v>
      </c>
      <c r="B68" t="str">
        <f>CYF!B68</f>
        <v>Tigray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</row>
    <row r="101" spans="1:17">
      <c r="B101">
        <f t="array" ref="B101:Q101">TRANSPOSE(Years)</f>
        <v>2015</v>
      </c>
      <c r="C101">
        <v>2016</v>
      </c>
      <c r="D101">
        <v>2017</v>
      </c>
      <c r="E101">
        <v>2018</v>
      </c>
      <c r="F101">
        <v>2019</v>
      </c>
      <c r="G101">
        <v>2020</v>
      </c>
      <c r="H101">
        <v>2021</v>
      </c>
      <c r="I101">
        <v>2022</v>
      </c>
      <c r="J101">
        <v>2023</v>
      </c>
      <c r="K101">
        <v>2024</v>
      </c>
      <c r="L101">
        <v>2025</v>
      </c>
      <c r="M101">
        <v>2026</v>
      </c>
      <c r="N101">
        <v>2027</v>
      </c>
      <c r="O101">
        <v>2028</v>
      </c>
      <c r="P101">
        <v>2029</v>
      </c>
      <c r="Q101">
        <v>2030</v>
      </c>
    </row>
    <row r="102" spans="1:17">
      <c r="A102" t="str">
        <f t="array" ref="A102:A112">Nodes</f>
        <v>AddisAbaba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1</v>
      </c>
      <c r="M102">
        <v>1</v>
      </c>
      <c r="N102">
        <v>1</v>
      </c>
      <c r="O102">
        <v>1</v>
      </c>
      <c r="P102">
        <v>1</v>
      </c>
      <c r="Q102">
        <v>1</v>
      </c>
    </row>
    <row r="103" spans="1:17">
      <c r="A103" t="str">
        <v>Afar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1</v>
      </c>
      <c r="M103">
        <v>1</v>
      </c>
      <c r="N103">
        <v>1</v>
      </c>
      <c r="O103">
        <v>1</v>
      </c>
      <c r="P103">
        <v>1</v>
      </c>
      <c r="Q103">
        <v>1</v>
      </c>
    </row>
    <row r="104" spans="1:17">
      <c r="A104" t="str">
        <v>Amhara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  <c r="P104">
        <v>1</v>
      </c>
      <c r="Q104">
        <v>1</v>
      </c>
    </row>
    <row r="105" spans="1:17">
      <c r="A105" t="str">
        <v>Gumuz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  <c r="I105">
        <v>1</v>
      </c>
      <c r="J105">
        <v>1</v>
      </c>
      <c r="K105">
        <v>1</v>
      </c>
      <c r="L105">
        <v>1</v>
      </c>
      <c r="M105">
        <v>1</v>
      </c>
      <c r="N105">
        <v>1</v>
      </c>
      <c r="O105">
        <v>1</v>
      </c>
      <c r="P105">
        <v>1</v>
      </c>
      <c r="Q105">
        <v>1</v>
      </c>
    </row>
    <row r="106" spans="1:17">
      <c r="A106" t="str">
        <v>DireDawa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  <c r="I106">
        <v>1</v>
      </c>
      <c r="J106">
        <v>1</v>
      </c>
      <c r="K106">
        <v>1</v>
      </c>
      <c r="L106">
        <v>1</v>
      </c>
      <c r="M106">
        <v>1</v>
      </c>
      <c r="N106">
        <v>1</v>
      </c>
      <c r="O106">
        <v>1</v>
      </c>
      <c r="P106">
        <v>1</v>
      </c>
      <c r="Q106">
        <v>1</v>
      </c>
    </row>
    <row r="107" spans="1:17">
      <c r="A107" t="str">
        <v>Gambela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  <c r="I107">
        <v>1</v>
      </c>
      <c r="J107">
        <v>1</v>
      </c>
      <c r="K107">
        <v>1</v>
      </c>
      <c r="L107">
        <v>1</v>
      </c>
      <c r="M107">
        <v>1</v>
      </c>
      <c r="N107">
        <v>1</v>
      </c>
      <c r="O107">
        <v>1</v>
      </c>
      <c r="P107">
        <v>1</v>
      </c>
      <c r="Q107">
        <v>1</v>
      </c>
    </row>
    <row r="108" spans="1:17">
      <c r="A108" t="str">
        <v>Harari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  <c r="I108">
        <v>1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</row>
    <row r="109" spans="1:17">
      <c r="A109" t="str">
        <v>Oromia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  <c r="P109">
        <v>1</v>
      </c>
      <c r="Q109">
        <v>1</v>
      </c>
    </row>
    <row r="110" spans="1:17">
      <c r="A110" t="str">
        <v>Somali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</row>
    <row r="111" spans="1:17">
      <c r="A111" t="str">
        <v>SNNPR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  <c r="I111">
        <v>1</v>
      </c>
      <c r="J111">
        <v>1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</row>
    <row r="112" spans="1:17">
      <c r="A112" t="str">
        <v>Tigray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1</v>
      </c>
      <c r="Q112">
        <v>1</v>
      </c>
    </row>
    <row r="121" spans="1:17">
      <c r="B121">
        <f t="array" ref="B121:Q121">TRANSPOSE(Years)</f>
        <v>2015</v>
      </c>
      <c r="C121">
        <v>2016</v>
      </c>
      <c r="D121">
        <v>2017</v>
      </c>
      <c r="E121">
        <v>2018</v>
      </c>
      <c r="F121">
        <v>2019</v>
      </c>
      <c r="G121">
        <v>2020</v>
      </c>
      <c r="H121">
        <v>2021</v>
      </c>
      <c r="I121">
        <v>2022</v>
      </c>
      <c r="J121">
        <v>2023</v>
      </c>
      <c r="K121">
        <v>2024</v>
      </c>
      <c r="L121">
        <v>2025</v>
      </c>
      <c r="M121">
        <v>2026</v>
      </c>
      <c r="N121">
        <v>2027</v>
      </c>
      <c r="O121">
        <v>2028</v>
      </c>
      <c r="P121">
        <v>2029</v>
      </c>
      <c r="Q121">
        <v>2030</v>
      </c>
    </row>
    <row r="122" spans="1:17">
      <c r="A122" t="str">
        <f t="array" ref="A122:A132">Nodes</f>
        <v>AddisAbaba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</row>
    <row r="123" spans="1:17">
      <c r="A123" t="str">
        <v>Afar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1</v>
      </c>
    </row>
    <row r="124" spans="1:17">
      <c r="A124" t="str">
        <v>Amhara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>
        <v>1</v>
      </c>
      <c r="O124">
        <v>1</v>
      </c>
      <c r="P124">
        <v>1</v>
      </c>
      <c r="Q124">
        <v>1</v>
      </c>
    </row>
    <row r="125" spans="1:17">
      <c r="A125" t="str">
        <v>Gumuz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  <c r="I125">
        <v>1</v>
      </c>
      <c r="J125">
        <v>1</v>
      </c>
      <c r="K125">
        <v>1</v>
      </c>
      <c r="L125">
        <v>1</v>
      </c>
      <c r="M125">
        <v>1</v>
      </c>
      <c r="N125">
        <v>1</v>
      </c>
      <c r="O125">
        <v>1</v>
      </c>
      <c r="P125">
        <v>1</v>
      </c>
      <c r="Q125">
        <v>1</v>
      </c>
    </row>
    <row r="126" spans="1:17">
      <c r="A126" t="str">
        <v>DireDawa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1</v>
      </c>
      <c r="L126">
        <v>1</v>
      </c>
      <c r="M126">
        <v>1</v>
      </c>
      <c r="N126">
        <v>1</v>
      </c>
      <c r="O126">
        <v>1</v>
      </c>
      <c r="P126">
        <v>1</v>
      </c>
      <c r="Q126">
        <v>1</v>
      </c>
    </row>
    <row r="127" spans="1:17">
      <c r="A127" t="str">
        <v>Gambela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1</v>
      </c>
      <c r="L127">
        <v>1</v>
      </c>
      <c r="M127">
        <v>1</v>
      </c>
      <c r="N127">
        <v>1</v>
      </c>
      <c r="O127">
        <v>1</v>
      </c>
      <c r="P127">
        <v>1</v>
      </c>
      <c r="Q127">
        <v>1</v>
      </c>
    </row>
    <row r="128" spans="1:17">
      <c r="A128" t="str">
        <v>Harari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  <c r="I128">
        <v>1</v>
      </c>
      <c r="J128">
        <v>1</v>
      </c>
      <c r="K128">
        <v>1</v>
      </c>
      <c r="L128">
        <v>1</v>
      </c>
      <c r="M128">
        <v>1</v>
      </c>
      <c r="N128">
        <v>1</v>
      </c>
      <c r="O128">
        <v>1</v>
      </c>
      <c r="P128">
        <v>1</v>
      </c>
      <c r="Q128">
        <v>1</v>
      </c>
    </row>
    <row r="129" spans="1:17">
      <c r="A129" t="str">
        <v>Oromia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  <c r="I129">
        <v>1</v>
      </c>
      <c r="J129">
        <v>1</v>
      </c>
      <c r="K129">
        <v>1</v>
      </c>
      <c r="L129">
        <v>1</v>
      </c>
      <c r="M129">
        <v>1</v>
      </c>
      <c r="N129">
        <v>1</v>
      </c>
      <c r="O129">
        <v>1</v>
      </c>
      <c r="P129">
        <v>1</v>
      </c>
      <c r="Q129">
        <v>1</v>
      </c>
    </row>
    <row r="130" spans="1:17">
      <c r="A130" t="str">
        <v>Somali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1</v>
      </c>
      <c r="M130">
        <v>1</v>
      </c>
      <c r="N130">
        <v>1</v>
      </c>
      <c r="O130">
        <v>1</v>
      </c>
      <c r="P130">
        <v>1</v>
      </c>
      <c r="Q130">
        <v>1</v>
      </c>
    </row>
    <row r="131" spans="1:17">
      <c r="A131" t="str">
        <v>SNNPR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  <c r="P131">
        <v>1</v>
      </c>
      <c r="Q131">
        <v>1</v>
      </c>
    </row>
    <row r="132" spans="1:17">
      <c r="A132" t="str">
        <v>Tigray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  <c r="I132">
        <v>1</v>
      </c>
      <c r="J132">
        <v>1</v>
      </c>
      <c r="K132">
        <v>1</v>
      </c>
      <c r="L132">
        <v>1</v>
      </c>
      <c r="M132">
        <v>1</v>
      </c>
      <c r="N132">
        <v>1</v>
      </c>
      <c r="O132">
        <v>1</v>
      </c>
      <c r="P132">
        <v>1</v>
      </c>
      <c r="Q132">
        <v>1</v>
      </c>
    </row>
    <row r="141" spans="1:17">
      <c r="A141" t="str">
        <f t="array" ref="A141:A151">Nodes</f>
        <v>AddisAbaba</v>
      </c>
      <c r="B141" s="3">
        <v>15000</v>
      </c>
    </row>
    <row r="142" spans="1:17">
      <c r="A142" t="str">
        <v>Afar</v>
      </c>
      <c r="B142" s="3">
        <v>15000</v>
      </c>
    </row>
    <row r="143" spans="1:17">
      <c r="A143" t="str">
        <v>Amhara</v>
      </c>
      <c r="B143" s="3">
        <v>15000</v>
      </c>
    </row>
    <row r="144" spans="1:17">
      <c r="A144" t="str">
        <v>Gumuz</v>
      </c>
      <c r="B144" s="3">
        <v>15000</v>
      </c>
    </row>
    <row r="145" spans="1:2">
      <c r="A145" t="str">
        <v>DireDawa</v>
      </c>
      <c r="B145" s="3">
        <v>15000</v>
      </c>
    </row>
    <row r="146" spans="1:2">
      <c r="A146" t="str">
        <v>Gambela</v>
      </c>
      <c r="B146" s="3">
        <v>15000</v>
      </c>
    </row>
    <row r="147" spans="1:2">
      <c r="A147" t="str">
        <v>Harari</v>
      </c>
      <c r="B147" s="3">
        <v>15000</v>
      </c>
    </row>
    <row r="148" spans="1:2">
      <c r="A148" t="str">
        <v>Oromia</v>
      </c>
      <c r="B148" s="3">
        <v>15000</v>
      </c>
    </row>
    <row r="149" spans="1:2">
      <c r="A149" t="str">
        <v>Somali</v>
      </c>
      <c r="B149" s="3">
        <v>15000</v>
      </c>
    </row>
    <row r="150" spans="1:2">
      <c r="A150" t="str">
        <v>SNNPR</v>
      </c>
      <c r="B150" s="3">
        <v>15000</v>
      </c>
    </row>
    <row r="151" spans="1:2">
      <c r="A151" t="str">
        <v>Tigray</v>
      </c>
      <c r="B151" s="3">
        <v>15000</v>
      </c>
    </row>
    <row r="161" spans="1:2">
      <c r="A161" t="str">
        <f t="array" ref="A161:A171">Nodes</f>
        <v>AddisAbaba</v>
      </c>
      <c r="B161" s="2">
        <f>B141*0.6</f>
        <v>9000</v>
      </c>
    </row>
    <row r="162" spans="1:2">
      <c r="A162" t="str">
        <v>Afar</v>
      </c>
      <c r="B162" s="2">
        <f t="shared" ref="B162:B171" si="0">B142*0.6</f>
        <v>9000</v>
      </c>
    </row>
    <row r="163" spans="1:2">
      <c r="A163" t="str">
        <v>Amhara</v>
      </c>
      <c r="B163" s="2">
        <f t="shared" si="0"/>
        <v>9000</v>
      </c>
    </row>
    <row r="164" spans="1:2">
      <c r="A164" t="str">
        <v>Gumuz</v>
      </c>
      <c r="B164" s="2">
        <f t="shared" si="0"/>
        <v>9000</v>
      </c>
    </row>
    <row r="165" spans="1:2">
      <c r="A165" t="str">
        <v>DireDawa</v>
      </c>
      <c r="B165" s="2">
        <f t="shared" si="0"/>
        <v>9000</v>
      </c>
    </row>
    <row r="166" spans="1:2">
      <c r="A166" t="str">
        <v>Gambela</v>
      </c>
      <c r="B166" s="2">
        <f t="shared" si="0"/>
        <v>9000</v>
      </c>
    </row>
    <row r="167" spans="1:2">
      <c r="A167" t="str">
        <v>Harari</v>
      </c>
      <c r="B167" s="2">
        <f t="shared" si="0"/>
        <v>9000</v>
      </c>
    </row>
    <row r="168" spans="1:2">
      <c r="A168" t="str">
        <v>Oromia</v>
      </c>
      <c r="B168" s="2">
        <f t="shared" si="0"/>
        <v>9000</v>
      </c>
    </row>
    <row r="169" spans="1:2">
      <c r="A169" t="str">
        <v>Somali</v>
      </c>
      <c r="B169" s="2">
        <f t="shared" si="0"/>
        <v>9000</v>
      </c>
    </row>
    <row r="170" spans="1:2">
      <c r="A170" t="str">
        <v>SNNPR</v>
      </c>
      <c r="B170" s="2">
        <f t="shared" si="0"/>
        <v>9000</v>
      </c>
    </row>
    <row r="171" spans="1:2">
      <c r="A171" t="str">
        <v>Tigray</v>
      </c>
      <c r="B171" s="2">
        <f t="shared" si="0"/>
        <v>9000</v>
      </c>
    </row>
  </sheetData>
  <pageMargins left="0.75" right="0.75" top="1" bottom="1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31"/>
  <sheetViews>
    <sheetView topLeftCell="A105" zoomScale="85" zoomScaleNormal="85" workbookViewId="0">
      <selection activeCell="K121" sqref="K121"/>
    </sheetView>
  </sheetViews>
  <sheetFormatPr defaultColWidth="8.875" defaultRowHeight="15.75"/>
  <cols>
    <col min="1" max="2" width="10.625" bestFit="1" customWidth="1"/>
    <col min="6" max="6" width="10.625" bestFit="1" customWidth="1"/>
    <col min="11" max="11" width="10.625" bestFit="1" customWidth="1"/>
  </cols>
  <sheetData>
    <row r="1" spans="1:17">
      <c r="B1">
        <f t="array" ref="B1:Q1">TRANSPOSE(Years)</f>
        <v>2015</v>
      </c>
      <c r="C1">
        <v>2016</v>
      </c>
      <c r="D1">
        <v>2017</v>
      </c>
      <c r="E1">
        <v>2018</v>
      </c>
      <c r="F1">
        <v>2019</v>
      </c>
      <c r="G1">
        <v>2020</v>
      </c>
      <c r="H1">
        <v>2021</v>
      </c>
      <c r="I1">
        <v>2022</v>
      </c>
      <c r="J1">
        <v>2023</v>
      </c>
      <c r="K1">
        <v>2024</v>
      </c>
      <c r="L1">
        <v>2025</v>
      </c>
      <c r="M1">
        <v>2026</v>
      </c>
      <c r="N1">
        <v>2027</v>
      </c>
      <c r="O1">
        <v>2028</v>
      </c>
      <c r="P1">
        <v>2029</v>
      </c>
      <c r="Q1">
        <v>2030</v>
      </c>
    </row>
    <row r="2" spans="1:17">
      <c r="A2" t="str">
        <f t="array" ref="A2:A12">Nodes</f>
        <v>AddisAbaba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</row>
    <row r="3" spans="1:17">
      <c r="A3" t="str">
        <v>Afar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</row>
    <row r="4" spans="1:17">
      <c r="A4" t="str">
        <v>Amhara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</row>
    <row r="5" spans="1:17">
      <c r="A5" t="str">
        <v>Gumuz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</row>
    <row r="6" spans="1:17">
      <c r="A6" t="str">
        <v>DireDawa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</row>
    <row r="7" spans="1:17">
      <c r="A7" t="str">
        <v>Gambela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</row>
    <row r="8" spans="1:17">
      <c r="A8" t="str">
        <v>Harari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</row>
    <row r="9" spans="1:17">
      <c r="A9" t="str">
        <v>Oromia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</row>
    <row r="10" spans="1:17">
      <c r="A10" t="str">
        <v>Somali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</row>
    <row r="11" spans="1:17">
      <c r="A11" t="str">
        <v>SNNPR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</row>
    <row r="12" spans="1:17">
      <c r="A12" t="str">
        <v>Tigray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</row>
    <row r="21" spans="1:17">
      <c r="B21">
        <f t="array" ref="B21:Q21">TRANSPOSE(Years)</f>
        <v>2015</v>
      </c>
      <c r="C21">
        <v>2016</v>
      </c>
      <c r="D21">
        <v>2017</v>
      </c>
      <c r="E21">
        <v>2018</v>
      </c>
      <c r="F21">
        <v>2019</v>
      </c>
      <c r="G21">
        <v>2020</v>
      </c>
      <c r="H21">
        <v>2021</v>
      </c>
      <c r="I21">
        <v>2022</v>
      </c>
      <c r="J21">
        <v>2023</v>
      </c>
      <c r="K21">
        <v>2024</v>
      </c>
      <c r="L21">
        <v>2025</v>
      </c>
      <c r="M21">
        <v>2026</v>
      </c>
      <c r="N21">
        <v>2027</v>
      </c>
      <c r="O21">
        <v>2028</v>
      </c>
      <c r="P21">
        <v>2029</v>
      </c>
      <c r="Q21">
        <v>2030</v>
      </c>
    </row>
    <row r="22" spans="1:17">
      <c r="A22" t="str">
        <f t="array" ref="A22:A32">Nodes</f>
        <v>AddisAbaba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</row>
    <row r="23" spans="1:17">
      <c r="A23" t="str">
        <v>Afar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</row>
    <row r="24" spans="1:17">
      <c r="A24" t="str">
        <v>Amhara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</row>
    <row r="25" spans="1:17">
      <c r="A25" t="str">
        <v>Gumuz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</row>
    <row r="26" spans="1:17">
      <c r="A26" t="str">
        <v>DireDawa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</row>
    <row r="27" spans="1:17">
      <c r="A27" t="str">
        <v>Gambela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</row>
    <row r="28" spans="1:17">
      <c r="A28" t="str">
        <v>Harari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</row>
    <row r="29" spans="1:17">
      <c r="A29" t="str">
        <v>Oromia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</row>
    <row r="30" spans="1:17">
      <c r="A30" t="str">
        <v>Somali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</row>
    <row r="31" spans="1:17">
      <c r="A31" t="str">
        <v>SNNPR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</row>
    <row r="32" spans="1:17">
      <c r="A32" t="str">
        <v>Tigray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</row>
    <row r="41" spans="1:17">
      <c r="B41">
        <f t="array" ref="B41:Q41">TRANSPOSE(Years)</f>
        <v>2015</v>
      </c>
      <c r="C41">
        <v>2016</v>
      </c>
      <c r="D41">
        <v>2017</v>
      </c>
      <c r="E41">
        <v>2018</v>
      </c>
      <c r="F41">
        <v>2019</v>
      </c>
      <c r="G41">
        <v>2020</v>
      </c>
      <c r="H41">
        <v>2021</v>
      </c>
      <c r="I41">
        <v>2022</v>
      </c>
      <c r="J41">
        <v>2023</v>
      </c>
      <c r="K41">
        <v>2024</v>
      </c>
      <c r="L41">
        <v>2025</v>
      </c>
      <c r="M41">
        <v>2026</v>
      </c>
      <c r="N41">
        <v>2027</v>
      </c>
      <c r="O41">
        <v>2028</v>
      </c>
      <c r="P41">
        <v>2029</v>
      </c>
      <c r="Q41">
        <v>2030</v>
      </c>
    </row>
    <row r="42" spans="1:17">
      <c r="A42" t="str">
        <f t="array" ref="A42:A52">Nodes</f>
        <v>AddisAbaba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</row>
    <row r="43" spans="1:17">
      <c r="A43" t="str">
        <v>Afar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</row>
    <row r="44" spans="1:17">
      <c r="A44" t="str">
        <v>Amhara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</row>
    <row r="45" spans="1:17">
      <c r="A45" t="str">
        <v>Gumuz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</row>
    <row r="46" spans="1:17">
      <c r="A46" t="str">
        <v>DireDawa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</row>
    <row r="47" spans="1:17">
      <c r="A47" t="str">
        <v>Gambela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</row>
    <row r="48" spans="1:17">
      <c r="A48" t="str">
        <v>Harari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</row>
    <row r="49" spans="1:17">
      <c r="A49" t="str">
        <v>Oromia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</row>
    <row r="50" spans="1:17">
      <c r="A50" t="str">
        <v>Somali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</row>
    <row r="51" spans="1:17">
      <c r="A51" t="str">
        <v>SNNPR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</row>
    <row r="52" spans="1:17">
      <c r="A52" t="str">
        <v>Tigray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</row>
    <row r="61" spans="1:17">
      <c r="B61">
        <f t="array" ref="B61:Q61">TRANSPOSE(Years)</f>
        <v>2015</v>
      </c>
      <c r="C61">
        <v>2016</v>
      </c>
      <c r="D61">
        <v>2017</v>
      </c>
      <c r="E61">
        <v>2018</v>
      </c>
      <c r="F61">
        <v>2019</v>
      </c>
      <c r="G61">
        <v>2020</v>
      </c>
      <c r="H61">
        <v>2021</v>
      </c>
      <c r="I61">
        <v>2022</v>
      </c>
      <c r="J61">
        <v>2023</v>
      </c>
      <c r="K61">
        <v>2024</v>
      </c>
      <c r="L61">
        <v>2025</v>
      </c>
      <c r="M61">
        <v>2026</v>
      </c>
      <c r="N61">
        <v>2027</v>
      </c>
      <c r="O61">
        <v>2028</v>
      </c>
      <c r="P61">
        <v>2029</v>
      </c>
      <c r="Q61">
        <v>2030</v>
      </c>
    </row>
    <row r="62" spans="1:17">
      <c r="A62" t="str">
        <f t="array" ref="A62:A72">Nodes</f>
        <v>AddisAbaba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</row>
    <row r="63" spans="1:17">
      <c r="A63" t="str">
        <v>Afar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</row>
    <row r="64" spans="1:17">
      <c r="A64" t="str">
        <v>Amhara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</row>
    <row r="65" spans="1:17">
      <c r="A65" t="str">
        <v>Gumuz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</row>
    <row r="66" spans="1:17">
      <c r="A66" t="str">
        <v>DireDawa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</row>
    <row r="67" spans="1:17">
      <c r="A67" t="str">
        <v>Gambela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</row>
    <row r="68" spans="1:17">
      <c r="A68" t="str">
        <v>Harari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</row>
    <row r="69" spans="1:17">
      <c r="A69" t="str">
        <v>Oromia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</row>
    <row r="70" spans="1:17">
      <c r="A70" t="str">
        <v>Somali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</row>
    <row r="71" spans="1:17">
      <c r="A71" t="str">
        <v>SNNPR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</row>
    <row r="72" spans="1:17">
      <c r="A72" t="str">
        <v>Tigray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  <c r="P72">
        <v>1</v>
      </c>
      <c r="Q72">
        <v>1</v>
      </c>
    </row>
    <row r="81" spans="1:17">
      <c r="B81">
        <f t="array" ref="B81:Q81">TRANSPOSE(Years)</f>
        <v>2015</v>
      </c>
      <c r="C81">
        <v>2016</v>
      </c>
      <c r="D81">
        <v>2017</v>
      </c>
      <c r="E81">
        <v>2018</v>
      </c>
      <c r="F81">
        <v>2019</v>
      </c>
      <c r="G81">
        <v>2020</v>
      </c>
      <c r="H81">
        <v>2021</v>
      </c>
      <c r="I81">
        <v>2022</v>
      </c>
      <c r="J81">
        <v>2023</v>
      </c>
      <c r="K81">
        <v>2024</v>
      </c>
      <c r="L81">
        <v>2025</v>
      </c>
      <c r="M81">
        <v>2026</v>
      </c>
      <c r="N81">
        <v>2027</v>
      </c>
      <c r="O81">
        <v>2028</v>
      </c>
      <c r="P81">
        <v>2029</v>
      </c>
      <c r="Q81">
        <v>2030</v>
      </c>
    </row>
    <row r="82" spans="1:17">
      <c r="A82" t="str">
        <f t="array" ref="A82:A92">Nodes</f>
        <v>AddisAbaba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  <c r="P82">
        <v>1</v>
      </c>
      <c r="Q82">
        <v>1</v>
      </c>
    </row>
    <row r="83" spans="1:17">
      <c r="A83" t="str">
        <v>Afar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</row>
    <row r="84" spans="1:17">
      <c r="A84" t="str">
        <v>Amhara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Q84">
        <v>1</v>
      </c>
    </row>
    <row r="85" spans="1:17">
      <c r="A85" t="str">
        <v>Gumuz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>
        <v>1</v>
      </c>
      <c r="M85">
        <v>1</v>
      </c>
      <c r="N85">
        <v>1</v>
      </c>
      <c r="O85">
        <v>1</v>
      </c>
      <c r="P85">
        <v>1</v>
      </c>
      <c r="Q85">
        <v>1</v>
      </c>
    </row>
    <row r="86" spans="1:17">
      <c r="A86" t="str">
        <v>DireDawa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  <c r="I86">
        <v>1</v>
      </c>
      <c r="J86">
        <v>1</v>
      </c>
      <c r="K86">
        <v>1</v>
      </c>
      <c r="L86">
        <v>1</v>
      </c>
      <c r="M86">
        <v>1</v>
      </c>
      <c r="N86">
        <v>1</v>
      </c>
      <c r="O86">
        <v>1</v>
      </c>
      <c r="P86">
        <v>1</v>
      </c>
      <c r="Q86">
        <v>1</v>
      </c>
    </row>
    <row r="87" spans="1:17">
      <c r="A87" t="str">
        <v>Gambela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  <c r="I87">
        <v>1</v>
      </c>
      <c r="J87">
        <v>1</v>
      </c>
      <c r="K87">
        <v>1</v>
      </c>
      <c r="L87">
        <v>1</v>
      </c>
      <c r="M87">
        <v>1</v>
      </c>
      <c r="N87">
        <v>1</v>
      </c>
      <c r="O87">
        <v>1</v>
      </c>
      <c r="P87">
        <v>1</v>
      </c>
      <c r="Q87">
        <v>1</v>
      </c>
    </row>
    <row r="88" spans="1:17">
      <c r="A88" t="str">
        <v>Harari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  <c r="P88">
        <v>1</v>
      </c>
      <c r="Q88">
        <v>1</v>
      </c>
    </row>
    <row r="89" spans="1:17">
      <c r="A89" t="str">
        <v>Oromia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Q89">
        <v>1</v>
      </c>
    </row>
    <row r="90" spans="1:17">
      <c r="A90" t="str">
        <v>Somali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  <c r="I90">
        <v>1</v>
      </c>
      <c r="J90">
        <v>1</v>
      </c>
      <c r="K90">
        <v>1</v>
      </c>
      <c r="L90">
        <v>1</v>
      </c>
      <c r="M90">
        <v>1</v>
      </c>
      <c r="N90">
        <v>1</v>
      </c>
      <c r="O90">
        <v>1</v>
      </c>
      <c r="P90">
        <v>1</v>
      </c>
      <c r="Q90">
        <v>1</v>
      </c>
    </row>
    <row r="91" spans="1:17">
      <c r="A91" t="str">
        <v>SNNPR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Q91">
        <v>1</v>
      </c>
    </row>
    <row r="92" spans="1:17">
      <c r="A92" t="str">
        <v>Tigray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</row>
    <row r="101" spans="1:12">
      <c r="B101" t="s">
        <v>5</v>
      </c>
      <c r="C101" t="s">
        <v>6</v>
      </c>
      <c r="D101" t="s">
        <v>7</v>
      </c>
      <c r="E101" t="s">
        <v>8</v>
      </c>
      <c r="F101" t="s">
        <v>9</v>
      </c>
      <c r="G101" t="s">
        <v>10</v>
      </c>
      <c r="H101" t="s">
        <v>11</v>
      </c>
      <c r="I101" t="s">
        <v>12</v>
      </c>
      <c r="J101" t="s">
        <v>13</v>
      </c>
      <c r="K101" t="s">
        <v>19</v>
      </c>
      <c r="L101" t="s">
        <v>14</v>
      </c>
    </row>
    <row r="102" spans="1:12">
      <c r="A102" t="s">
        <v>5</v>
      </c>
      <c r="B102">
        <v>-1</v>
      </c>
      <c r="C102">
        <v>-1</v>
      </c>
      <c r="D102">
        <v>-1</v>
      </c>
      <c r="E102">
        <v>-1</v>
      </c>
      <c r="F102">
        <v>-1</v>
      </c>
      <c r="G102">
        <v>-1</v>
      </c>
      <c r="H102">
        <v>-1</v>
      </c>
      <c r="I102">
        <v>-1</v>
      </c>
      <c r="J102">
        <v>-1</v>
      </c>
      <c r="K102">
        <v>-1</v>
      </c>
      <c r="L102">
        <v>-1</v>
      </c>
    </row>
    <row r="103" spans="1:12">
      <c r="A103" t="s">
        <v>6</v>
      </c>
      <c r="B103">
        <v>-1</v>
      </c>
      <c r="C103">
        <v>-1</v>
      </c>
      <c r="D103">
        <v>-1</v>
      </c>
      <c r="E103">
        <v>-1</v>
      </c>
      <c r="F103">
        <v>-1</v>
      </c>
      <c r="G103">
        <v>-1</v>
      </c>
      <c r="H103">
        <v>-1</v>
      </c>
      <c r="I103">
        <v>-1</v>
      </c>
      <c r="J103">
        <v>-1</v>
      </c>
      <c r="K103">
        <v>-1</v>
      </c>
      <c r="L103">
        <v>-1</v>
      </c>
    </row>
    <row r="104" spans="1:12">
      <c r="A104" t="s">
        <v>7</v>
      </c>
      <c r="B104">
        <v>-1</v>
      </c>
      <c r="C104">
        <v>-1</v>
      </c>
      <c r="D104">
        <v>-1</v>
      </c>
      <c r="E104">
        <v>-1</v>
      </c>
      <c r="F104">
        <v>-1</v>
      </c>
      <c r="G104">
        <v>-1</v>
      </c>
      <c r="H104">
        <v>-1</v>
      </c>
      <c r="I104">
        <v>-1</v>
      </c>
      <c r="J104">
        <v>-1</v>
      </c>
      <c r="K104">
        <v>-1</v>
      </c>
      <c r="L104">
        <v>-1</v>
      </c>
    </row>
    <row r="105" spans="1:12">
      <c r="A105" t="s">
        <v>8</v>
      </c>
      <c r="B105">
        <v>-1</v>
      </c>
      <c r="C105">
        <v>-1</v>
      </c>
      <c r="D105">
        <v>-1</v>
      </c>
      <c r="E105">
        <v>-1</v>
      </c>
      <c r="F105">
        <v>-1</v>
      </c>
      <c r="G105">
        <v>-1</v>
      </c>
      <c r="H105">
        <v>-1</v>
      </c>
      <c r="I105">
        <v>-1</v>
      </c>
      <c r="J105">
        <v>-1</v>
      </c>
      <c r="K105">
        <v>-1</v>
      </c>
      <c r="L105">
        <v>-1</v>
      </c>
    </row>
    <row r="106" spans="1:12">
      <c r="A106" t="s">
        <v>9</v>
      </c>
      <c r="B106">
        <v>-1</v>
      </c>
      <c r="C106">
        <v>-1</v>
      </c>
      <c r="D106">
        <v>-1</v>
      </c>
      <c r="E106">
        <v>-1</v>
      </c>
      <c r="F106">
        <v>-1</v>
      </c>
      <c r="G106">
        <v>-1</v>
      </c>
      <c r="H106">
        <v>-1</v>
      </c>
      <c r="I106">
        <v>-1</v>
      </c>
      <c r="J106">
        <v>-1</v>
      </c>
      <c r="K106">
        <v>-1</v>
      </c>
      <c r="L106">
        <v>-1</v>
      </c>
    </row>
    <row r="107" spans="1:12">
      <c r="A107" t="s">
        <v>10</v>
      </c>
      <c r="B107">
        <v>-1</v>
      </c>
      <c r="C107">
        <v>-1</v>
      </c>
      <c r="D107">
        <v>-1</v>
      </c>
      <c r="E107">
        <v>-1</v>
      </c>
      <c r="F107">
        <v>-1</v>
      </c>
      <c r="G107">
        <v>-1</v>
      </c>
      <c r="H107">
        <v>-1</v>
      </c>
      <c r="I107">
        <v>-1</v>
      </c>
      <c r="J107">
        <v>-1</v>
      </c>
      <c r="K107">
        <v>-1</v>
      </c>
      <c r="L107">
        <v>-1</v>
      </c>
    </row>
    <row r="108" spans="1:12">
      <c r="A108" t="s">
        <v>11</v>
      </c>
      <c r="B108">
        <v>-1</v>
      </c>
      <c r="C108">
        <v>-1</v>
      </c>
      <c r="D108">
        <v>-1</v>
      </c>
      <c r="E108">
        <v>-1</v>
      </c>
      <c r="F108">
        <v>-1</v>
      </c>
      <c r="G108">
        <v>-1</v>
      </c>
      <c r="H108">
        <v>-1</v>
      </c>
      <c r="I108">
        <v>-1</v>
      </c>
      <c r="J108">
        <v>-1</v>
      </c>
      <c r="K108">
        <v>-1</v>
      </c>
      <c r="L108">
        <v>-1</v>
      </c>
    </row>
    <row r="109" spans="1:12">
      <c r="A109" t="s">
        <v>12</v>
      </c>
      <c r="B109">
        <v>-1</v>
      </c>
      <c r="C109">
        <v>-1</v>
      </c>
      <c r="D109">
        <v>-1</v>
      </c>
      <c r="E109">
        <v>-1</v>
      </c>
      <c r="F109">
        <v>-1</v>
      </c>
      <c r="G109">
        <v>-1</v>
      </c>
      <c r="H109">
        <v>-1</v>
      </c>
      <c r="I109">
        <v>-1</v>
      </c>
      <c r="J109">
        <v>-1</v>
      </c>
      <c r="K109">
        <v>-1</v>
      </c>
      <c r="L109">
        <v>-1</v>
      </c>
    </row>
    <row r="110" spans="1:12">
      <c r="A110" t="s">
        <v>13</v>
      </c>
      <c r="B110">
        <v>-1</v>
      </c>
      <c r="C110">
        <v>-1</v>
      </c>
      <c r="D110">
        <v>-1</v>
      </c>
      <c r="E110">
        <v>-1</v>
      </c>
      <c r="F110">
        <v>-1</v>
      </c>
      <c r="G110">
        <v>-1</v>
      </c>
      <c r="H110">
        <v>-1</v>
      </c>
      <c r="I110">
        <v>-1</v>
      </c>
      <c r="J110">
        <v>-1</v>
      </c>
      <c r="K110">
        <v>-1</v>
      </c>
      <c r="L110">
        <v>-1</v>
      </c>
    </row>
    <row r="111" spans="1:12">
      <c r="A111" t="s">
        <v>19</v>
      </c>
      <c r="B111">
        <v>-1</v>
      </c>
      <c r="C111">
        <v>-1</v>
      </c>
      <c r="D111">
        <v>-1</v>
      </c>
      <c r="E111">
        <v>-1</v>
      </c>
      <c r="F111">
        <v>-1</v>
      </c>
      <c r="G111">
        <v>-1</v>
      </c>
      <c r="H111">
        <v>-1</v>
      </c>
      <c r="I111">
        <v>-1</v>
      </c>
      <c r="J111">
        <v>-1</v>
      </c>
      <c r="K111">
        <v>-1</v>
      </c>
      <c r="L111">
        <v>-1</v>
      </c>
    </row>
    <row r="112" spans="1:12">
      <c r="A112" t="s">
        <v>14</v>
      </c>
      <c r="B112">
        <v>-1</v>
      </c>
      <c r="C112">
        <v>-1</v>
      </c>
      <c r="D112">
        <v>-1</v>
      </c>
      <c r="E112">
        <v>-1</v>
      </c>
      <c r="F112">
        <v>-1</v>
      </c>
      <c r="G112">
        <v>-1</v>
      </c>
      <c r="H112">
        <v>-1</v>
      </c>
      <c r="I112">
        <v>-1</v>
      </c>
      <c r="J112">
        <v>-1</v>
      </c>
      <c r="K112">
        <v>-1</v>
      </c>
      <c r="L112">
        <v>-1</v>
      </c>
    </row>
    <row r="121" spans="1:12">
      <c r="A121" t="str">
        <f t="array" ref="A121:A131">Nodes</f>
        <v>AddisAbaba</v>
      </c>
      <c r="B121">
        <v>-1</v>
      </c>
      <c r="F121" t="str">
        <f t="array" ref="F121:F131">Nodes</f>
        <v>AddisAbaba</v>
      </c>
      <c r="G121">
        <v>-1</v>
      </c>
      <c r="K121" t="str">
        <f t="array" ref="K121:K131">Nodes</f>
        <v>AddisAbaba</v>
      </c>
      <c r="L121">
        <v>-1</v>
      </c>
    </row>
    <row r="122" spans="1:12">
      <c r="A122" t="str">
        <v>Afar</v>
      </c>
      <c r="B122">
        <v>-1</v>
      </c>
      <c r="F122" t="str">
        <v>Afar</v>
      </c>
      <c r="G122">
        <v>-1</v>
      </c>
      <c r="K122" t="str">
        <v>Afar</v>
      </c>
      <c r="L122">
        <v>-1</v>
      </c>
    </row>
    <row r="123" spans="1:12">
      <c r="A123" t="str">
        <v>Amhara</v>
      </c>
      <c r="B123">
        <v>-1</v>
      </c>
      <c r="F123" t="str">
        <v>Amhara</v>
      </c>
      <c r="G123">
        <v>-1</v>
      </c>
      <c r="K123" t="str">
        <v>Amhara</v>
      </c>
      <c r="L123">
        <v>-1</v>
      </c>
    </row>
    <row r="124" spans="1:12">
      <c r="A124" t="str">
        <v>Gumuz</v>
      </c>
      <c r="B124">
        <v>-1</v>
      </c>
      <c r="F124" t="str">
        <v>Gumuz</v>
      </c>
      <c r="G124">
        <v>-1</v>
      </c>
      <c r="K124" t="str">
        <v>Gumuz</v>
      </c>
      <c r="L124">
        <v>-1</v>
      </c>
    </row>
    <row r="125" spans="1:12">
      <c r="A125" t="str">
        <v>DireDawa</v>
      </c>
      <c r="B125">
        <v>-1</v>
      </c>
      <c r="F125" t="str">
        <v>DireDawa</v>
      </c>
      <c r="G125">
        <v>-1</v>
      </c>
      <c r="K125" t="str">
        <v>DireDawa</v>
      </c>
      <c r="L125">
        <v>-1</v>
      </c>
    </row>
    <row r="126" spans="1:12">
      <c r="A126" t="str">
        <v>Gambela</v>
      </c>
      <c r="B126">
        <v>-1</v>
      </c>
      <c r="F126" t="str">
        <v>Gambela</v>
      </c>
      <c r="G126">
        <v>-1</v>
      </c>
      <c r="K126" t="str">
        <v>Gambela</v>
      </c>
      <c r="L126">
        <v>-1</v>
      </c>
    </row>
    <row r="127" spans="1:12">
      <c r="A127" t="str">
        <v>Harari</v>
      </c>
      <c r="B127">
        <v>-1</v>
      </c>
      <c r="F127" t="str">
        <v>Harari</v>
      </c>
      <c r="G127">
        <v>-1</v>
      </c>
      <c r="K127" t="str">
        <v>Harari</v>
      </c>
      <c r="L127">
        <v>-1</v>
      </c>
    </row>
    <row r="128" spans="1:12">
      <c r="A128" t="str">
        <v>Oromia</v>
      </c>
      <c r="B128">
        <v>-1</v>
      </c>
      <c r="F128" t="str">
        <v>Oromia</v>
      </c>
      <c r="G128">
        <v>-1</v>
      </c>
      <c r="K128" t="str">
        <v>Oromia</v>
      </c>
      <c r="L128">
        <v>-1</v>
      </c>
    </row>
    <row r="129" spans="1:12">
      <c r="A129" t="str">
        <v>Somali</v>
      </c>
      <c r="B129">
        <v>-1</v>
      </c>
      <c r="F129" t="str">
        <v>Somali</v>
      </c>
      <c r="G129">
        <v>-1</v>
      </c>
      <c r="K129" t="str">
        <v>Somali</v>
      </c>
      <c r="L129">
        <v>-1</v>
      </c>
    </row>
    <row r="130" spans="1:12">
      <c r="A130" t="str">
        <v>SNNPR</v>
      </c>
      <c r="B130">
        <v>-1</v>
      </c>
      <c r="F130" t="str">
        <v>SNNPR</v>
      </c>
      <c r="G130">
        <v>-1</v>
      </c>
      <c r="K130" t="str">
        <v>SNNPR</v>
      </c>
      <c r="L130">
        <v>-1</v>
      </c>
    </row>
    <row r="131" spans="1:12">
      <c r="A131" t="str">
        <v>Tigray</v>
      </c>
      <c r="B131">
        <v>-1</v>
      </c>
      <c r="F131" t="str">
        <v>Tigray</v>
      </c>
      <c r="G131">
        <v>-1</v>
      </c>
      <c r="K131" t="str">
        <v>Tigray</v>
      </c>
      <c r="L131">
        <v>-1</v>
      </c>
    </row>
  </sheetData>
  <pageMargins left="0.75" right="0.75" top="1" bottom="1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index</vt:lpstr>
      <vt:lpstr>sets</vt:lpstr>
      <vt:lpstr>Roads</vt:lpstr>
      <vt:lpstr>ElecLine</vt:lpstr>
      <vt:lpstr>DiscFact</vt:lpstr>
      <vt:lpstr>CYF</vt:lpstr>
      <vt:lpstr>aFAO</vt:lpstr>
      <vt:lpstr>Crop</vt:lpstr>
      <vt:lpstr>Cattle</vt:lpstr>
      <vt:lpstr>Elec</vt:lpstr>
      <vt:lpstr>Crops</vt:lpstr>
      <vt:lpstr>Food</vt:lpstr>
      <vt:lpstr>Nodes</vt:lpstr>
      <vt:lpstr>ElecLine!RoadList</vt:lpstr>
      <vt:lpstr>RoadList</vt:lpstr>
      <vt:lpstr>Seasons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Sriram Sankaranarayanan</dc:creator>
  <cp:lastModifiedBy>Sriram</cp:lastModifiedBy>
  <dcterms:created xsi:type="dcterms:W3CDTF">2017-04-05T21:54:55Z</dcterms:created>
  <dcterms:modified xsi:type="dcterms:W3CDTF">2017-05-12T15:20:15Z</dcterms:modified>
</cp:coreProperties>
</file>