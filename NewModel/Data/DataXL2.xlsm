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Research\Code\Food\NewModel\Data\"/>
    </mc:Choice>
  </mc:AlternateContent>
  <bookViews>
    <workbookView xWindow="0" yWindow="465" windowWidth="20220" windowHeight="7065" tabRatio="500"/>
  </bookViews>
  <sheets>
    <sheet name="index" sheetId="1" r:id="rId1"/>
    <sheet name="sets" sheetId="3" r:id="rId2"/>
    <sheet name="Roads" sheetId="5" r:id="rId3"/>
    <sheet name="ElecLine" sheetId="10" r:id="rId4"/>
    <sheet name="DiscFact" sheetId="6" r:id="rId5"/>
    <sheet name="CYF" sheetId="4" r:id="rId6"/>
    <sheet name="Crop" sheetId="7" r:id="rId7"/>
    <sheet name="Cattle" sheetId="8" r:id="rId8"/>
    <sheet name="Elec" sheetId="9" r:id="rId9"/>
  </sheets>
  <definedNames>
    <definedName name="_xlnm._FilterDatabase" localSheetId="3" hidden="1">ElecLine!$A$21:$B$86</definedName>
    <definedName name="_xlnm._FilterDatabase" localSheetId="2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3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AK12" i="10" l="1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AD3" i="5"/>
  <c r="AE3" i="5"/>
  <c r="AF3" i="5"/>
  <c r="AG3" i="5"/>
  <c r="AH3" i="5"/>
  <c r="AI3" i="5"/>
  <c r="AJ3" i="5"/>
  <c r="AK3" i="5"/>
  <c r="AL3" i="5"/>
  <c r="AC4" i="5"/>
  <c r="AE4" i="5"/>
  <c r="AF4" i="5"/>
  <c r="AG4" i="5"/>
  <c r="AH4" i="5"/>
  <c r="AI4" i="5"/>
  <c r="AJ4" i="5"/>
  <c r="AK4" i="5"/>
  <c r="AL4" i="5"/>
  <c r="AC5" i="5"/>
  <c r="AD5" i="5"/>
  <c r="AF5" i="5"/>
  <c r="AG5" i="5"/>
  <c r="AH5" i="5"/>
  <c r="AI5" i="5"/>
  <c r="AJ5" i="5"/>
  <c r="AK5" i="5"/>
  <c r="AL5" i="5"/>
  <c r="AC6" i="5"/>
  <c r="AD6" i="5"/>
  <c r="AE6" i="5"/>
  <c r="AG6" i="5"/>
  <c r="AH6" i="5"/>
  <c r="AI6" i="5"/>
  <c r="AJ6" i="5"/>
  <c r="AK6" i="5"/>
  <c r="AL6" i="5"/>
  <c r="AC7" i="5"/>
  <c r="AD7" i="5"/>
  <c r="AE7" i="5"/>
  <c r="AF7" i="5"/>
  <c r="AH7" i="5"/>
  <c r="AI7" i="5"/>
  <c r="AJ7" i="5"/>
  <c r="AK7" i="5"/>
  <c r="AL7" i="5"/>
  <c r="AC8" i="5"/>
  <c r="AD8" i="5"/>
  <c r="AE8" i="5"/>
  <c r="AF8" i="5"/>
  <c r="AG8" i="5"/>
  <c r="AI8" i="5"/>
  <c r="AJ8" i="5"/>
  <c r="AK8" i="5"/>
  <c r="AL8" i="5"/>
  <c r="AC9" i="5"/>
  <c r="AD9" i="5"/>
  <c r="AE9" i="5"/>
  <c r="AF9" i="5"/>
  <c r="AG9" i="5"/>
  <c r="AH9" i="5"/>
  <c r="AJ9" i="5"/>
  <c r="AK9" i="5"/>
  <c r="AL9" i="5"/>
  <c r="AC10" i="5"/>
  <c r="AD10" i="5"/>
  <c r="AE10" i="5"/>
  <c r="AF10" i="5"/>
  <c r="AG10" i="5"/>
  <c r="AH10" i="5"/>
  <c r="AI10" i="5"/>
  <c r="AK10" i="5"/>
  <c r="AL10" i="5"/>
  <c r="AC11" i="5"/>
  <c r="AD11" i="5"/>
  <c r="AE11" i="5"/>
  <c r="AF11" i="5"/>
  <c r="AG11" i="5"/>
  <c r="AH11" i="5"/>
  <c r="AI11" i="5"/>
  <c r="AJ11" i="5"/>
  <c r="AL11" i="5"/>
  <c r="AC12" i="5"/>
  <c r="AD12" i="5"/>
  <c r="AE12" i="5"/>
  <c r="AF12" i="5"/>
  <c r="AG12" i="5"/>
  <c r="AH12" i="5"/>
  <c r="AI12" i="5"/>
  <c r="AJ12" i="5"/>
  <c r="AK12" i="5"/>
  <c r="Q3" i="5"/>
  <c r="R3" i="5"/>
  <c r="S3" i="5"/>
  <c r="T3" i="5"/>
  <c r="U3" i="5"/>
  <c r="V3" i="5"/>
  <c r="W3" i="5"/>
  <c r="X3" i="5"/>
  <c r="Y3" i="5"/>
  <c r="P4" i="5"/>
  <c r="R4" i="5"/>
  <c r="S4" i="5"/>
  <c r="T4" i="5"/>
  <c r="U4" i="5"/>
  <c r="V4" i="5"/>
  <c r="W4" i="5"/>
  <c r="X4" i="5"/>
  <c r="Y4" i="5"/>
  <c r="P5" i="5"/>
  <c r="Q5" i="5"/>
  <c r="S5" i="5"/>
  <c r="T5" i="5"/>
  <c r="U5" i="5"/>
  <c r="V5" i="5"/>
  <c r="W5" i="5"/>
  <c r="X5" i="5"/>
  <c r="Y5" i="5"/>
  <c r="P6" i="5"/>
  <c r="Q6" i="5"/>
  <c r="R6" i="5"/>
  <c r="T6" i="5"/>
  <c r="U6" i="5"/>
  <c r="V6" i="5"/>
  <c r="W6" i="5"/>
  <c r="X6" i="5"/>
  <c r="Y6" i="5"/>
  <c r="P7" i="5"/>
  <c r="Q7" i="5"/>
  <c r="R7" i="5"/>
  <c r="S7" i="5"/>
  <c r="U7" i="5"/>
  <c r="V7" i="5"/>
  <c r="W7" i="5"/>
  <c r="X7" i="5"/>
  <c r="Y7" i="5"/>
  <c r="P8" i="5"/>
  <c r="Q8" i="5"/>
  <c r="R8" i="5"/>
  <c r="S8" i="5"/>
  <c r="T8" i="5"/>
  <c r="V8" i="5"/>
  <c r="W8" i="5"/>
  <c r="X8" i="5"/>
  <c r="Y8" i="5"/>
  <c r="P9" i="5"/>
  <c r="Q9" i="5"/>
  <c r="R9" i="5"/>
  <c r="S9" i="5"/>
  <c r="T9" i="5"/>
  <c r="U9" i="5"/>
  <c r="W9" i="5"/>
  <c r="X9" i="5"/>
  <c r="Y9" i="5"/>
  <c r="P10" i="5"/>
  <c r="Q10" i="5"/>
  <c r="R10" i="5"/>
  <c r="S10" i="5"/>
  <c r="T10" i="5"/>
  <c r="U10" i="5"/>
  <c r="V10" i="5"/>
  <c r="X10" i="5"/>
  <c r="Y10" i="5"/>
  <c r="P11" i="5"/>
  <c r="Q11" i="5"/>
  <c r="R11" i="5"/>
  <c r="S11" i="5"/>
  <c r="T11" i="5"/>
  <c r="U11" i="5"/>
  <c r="V11" i="5"/>
  <c r="W11" i="5"/>
  <c r="Y11" i="5"/>
  <c r="P12" i="5"/>
  <c r="Q12" i="5"/>
  <c r="R12" i="5"/>
  <c r="S12" i="5"/>
  <c r="T12" i="5"/>
  <c r="U12" i="5"/>
  <c r="V12" i="5"/>
  <c r="W12" i="5"/>
  <c r="X12" i="5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11" i="6"/>
  <c r="B12" i="6"/>
  <c r="B13" i="6"/>
  <c r="B14" i="6"/>
  <c r="B15" i="6"/>
  <c r="B16" i="6"/>
  <c r="A1" i="6" a="1"/>
  <c r="A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E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I24" i="5" a="1"/>
  <c r="I24" i="5"/>
  <c r="E4" i="5"/>
  <c r="F4" i="5"/>
  <c r="G4" i="5"/>
  <c r="H4" i="5"/>
  <c r="I4" i="5"/>
  <c r="J4" i="5"/>
  <c r="K4" i="5"/>
  <c r="L4" i="5"/>
  <c r="B5" i="5"/>
  <c r="C5" i="5"/>
  <c r="D5" i="5"/>
  <c r="I35" i="5" a="1"/>
  <c r="I35" i="5"/>
  <c r="I36" i="5" a="1"/>
  <c r="I36" i="5"/>
  <c r="I37" i="5" a="1"/>
  <c r="I38" i="5" a="1"/>
  <c r="I37" i="5"/>
  <c r="I38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E5" i="5"/>
  <c r="F5" i="5"/>
  <c r="G5" i="5"/>
  <c r="H5" i="5"/>
  <c r="I5" i="5"/>
  <c r="J5" i="5"/>
  <c r="K5" i="5"/>
  <c r="L5" i="5"/>
  <c r="B6" i="5"/>
  <c r="C6" i="5"/>
  <c r="D6" i="5"/>
  <c r="E6" i="5"/>
  <c r="F6" i="5"/>
  <c r="G6" i="5"/>
  <c r="H6" i="5"/>
  <c r="I6" i="5"/>
  <c r="J6" i="5"/>
  <c r="K6" i="5"/>
  <c r="L6" i="5"/>
  <c r="B7" i="5"/>
  <c r="C7" i="5"/>
  <c r="D7" i="5"/>
  <c r="E7" i="5"/>
  <c r="F7" i="5"/>
  <c r="G7" i="5"/>
  <c r="H7" i="5"/>
  <c r="I7" i="5"/>
  <c r="J7" i="5"/>
  <c r="K7" i="5"/>
  <c r="L7" i="5"/>
  <c r="B8" i="5"/>
  <c r="C8" i="5"/>
  <c r="D8" i="5"/>
  <c r="E8" i="5"/>
  <c r="F8" i="5"/>
  <c r="G8" i="5"/>
  <c r="H8" i="5"/>
  <c r="I8" i="5"/>
  <c r="J8" i="5"/>
  <c r="K8" i="5"/>
  <c r="L8" i="5"/>
  <c r="B9" i="5"/>
  <c r="C9" i="5"/>
  <c r="D9" i="5"/>
  <c r="E9" i="5"/>
  <c r="F9" i="5"/>
  <c r="G9" i="5"/>
  <c r="H9" i="5"/>
  <c r="I9" i="5"/>
  <c r="J9" i="5"/>
  <c r="K9" i="5"/>
  <c r="L9" i="5"/>
  <c r="B10" i="5"/>
  <c r="C10" i="5"/>
  <c r="D10" i="5"/>
  <c r="E10" i="5"/>
  <c r="F10" i="5"/>
  <c r="G10" i="5"/>
  <c r="H10" i="5"/>
  <c r="I10" i="5"/>
  <c r="J10" i="5"/>
  <c r="K10" i="5"/>
  <c r="L10" i="5"/>
  <c r="B11" i="5"/>
  <c r="C11" i="5"/>
  <c r="D11" i="5"/>
  <c r="E11" i="5"/>
  <c r="F11" i="5"/>
  <c r="G11" i="5"/>
  <c r="H11" i="5"/>
  <c r="I11" i="5"/>
  <c r="J11" i="5"/>
  <c r="K11" i="5"/>
  <c r="L11" i="5"/>
  <c r="B12" i="5"/>
  <c r="C12" i="5"/>
  <c r="D12" i="5"/>
  <c r="E12" i="5"/>
  <c r="F12" i="5"/>
  <c r="G12" i="5"/>
  <c r="H12" i="5"/>
  <c r="I12" i="5"/>
  <c r="J12" i="5"/>
  <c r="K12" i="5"/>
  <c r="L12" i="5"/>
  <c r="C2" i="5"/>
  <c r="D2" i="5"/>
  <c r="E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B4" i="3"/>
  <c r="C81" i="8"/>
  <c r="B5" i="3"/>
  <c r="D81" i="8"/>
  <c r="B6" i="3"/>
  <c r="E81" i="8"/>
  <c r="B7" i="3"/>
  <c r="F81" i="8"/>
  <c r="B8" i="3"/>
  <c r="G81" i="8"/>
  <c r="B9" i="3"/>
  <c r="H81" i="8"/>
  <c r="B10" i="3"/>
  <c r="I81" i="8"/>
  <c r="B11" i="3"/>
  <c r="J81" i="8"/>
  <c r="B12" i="3"/>
  <c r="K81" i="8"/>
  <c r="B13" i="3"/>
  <c r="L81" i="8"/>
  <c r="B14" i="3"/>
  <c r="M81" i="8"/>
  <c r="B15" i="3"/>
  <c r="N81" i="8"/>
  <c r="B16" i="3"/>
  <c r="O81" i="8"/>
  <c r="B17" i="3"/>
  <c r="P81" i="8"/>
  <c r="B18" i="3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B162" i="7"/>
  <c r="B163" i="7"/>
  <c r="B164" i="7"/>
  <c r="B165" i="7"/>
  <c r="B166" i="7"/>
  <c r="B167" i="7"/>
  <c r="B168" i="7"/>
  <c r="B169" i="7"/>
  <c r="B170" i="7"/>
  <c r="B171" i="7"/>
  <c r="B161" i="7"/>
  <c r="A161" i="7" a="1"/>
  <c r="A161" i="7"/>
  <c r="A162" i="7"/>
  <c r="A163" i="7"/>
  <c r="A164" i="7"/>
  <c r="A165" i="7"/>
  <c r="A166" i="7"/>
  <c r="A167" i="7"/>
  <c r="A168" i="7"/>
  <c r="A169" i="7"/>
  <c r="A170" i="7"/>
  <c r="A171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C2" i="4" a="1"/>
  <c r="C2" i="4"/>
  <c r="C2" i="7"/>
  <c r="D2" i="4"/>
  <c r="D2" i="7"/>
  <c r="E2" i="4"/>
  <c r="E2" i="7"/>
  <c r="F2" i="4"/>
  <c r="F2" i="7"/>
  <c r="G2" i="4"/>
  <c r="G2" i="7"/>
  <c r="H2" i="4"/>
  <c r="H2" i="7"/>
  <c r="I2" i="4"/>
  <c r="I2" i="7"/>
  <c r="J2" i="4"/>
  <c r="J2" i="7"/>
  <c r="K2" i="4"/>
  <c r="K2" i="7"/>
  <c r="L2" i="4"/>
  <c r="L2" i="7"/>
  <c r="M2" i="4"/>
  <c r="M2" i="7"/>
  <c r="N2" i="4"/>
  <c r="N2" i="7"/>
  <c r="O2" i="4"/>
  <c r="O2" i="7"/>
  <c r="P2" i="4"/>
  <c r="P2" i="7"/>
  <c r="Q2" i="4"/>
  <c r="Q2" i="7"/>
  <c r="R2" i="4"/>
  <c r="R2" i="7"/>
  <c r="S2" i="4"/>
  <c r="S2" i="7"/>
  <c r="T2" i="4"/>
  <c r="T2" i="7"/>
  <c r="U2" i="4"/>
  <c r="U2" i="7"/>
  <c r="V2" i="4"/>
  <c r="V2" i="7"/>
  <c r="W2" i="4"/>
  <c r="W2" i="7"/>
  <c r="X2" i="4"/>
  <c r="X2" i="7"/>
  <c r="Y2" i="4"/>
  <c r="Y2" i="7"/>
  <c r="Z2" i="4"/>
  <c r="Z2" i="7"/>
  <c r="AA2" i="4"/>
  <c r="AA2" i="7"/>
  <c r="AB2" i="4"/>
  <c r="AB2" i="7"/>
  <c r="AC2" i="4"/>
  <c r="AC2" i="7"/>
  <c r="AD2" i="4"/>
  <c r="AD2" i="7"/>
  <c r="AE2" i="4"/>
  <c r="AE2" i="7"/>
  <c r="AF2" i="4"/>
  <c r="AF2" i="7"/>
  <c r="AG2" i="4"/>
  <c r="AG2" i="7"/>
  <c r="AH2" i="4"/>
  <c r="AH2" i="7"/>
  <c r="D1" i="7"/>
  <c r="E1" i="4"/>
  <c r="E1" i="7"/>
  <c r="F1" i="4"/>
  <c r="F1" i="7"/>
  <c r="G1" i="4"/>
  <c r="G1" i="7"/>
  <c r="H1" i="4"/>
  <c r="H1" i="7"/>
  <c r="I1" i="4"/>
  <c r="I1" i="7"/>
  <c r="J1" i="4"/>
  <c r="J1" i="7"/>
  <c r="K1" i="4"/>
  <c r="K1" i="7"/>
  <c r="L1" i="4"/>
  <c r="L1" i="7"/>
  <c r="M1" i="4"/>
  <c r="M1" i="7"/>
  <c r="N1" i="4"/>
  <c r="N1" i="7"/>
  <c r="O1" i="4"/>
  <c r="O1" i="7"/>
  <c r="P1" i="4"/>
  <c r="P1" i="7"/>
  <c r="Q1" i="4"/>
  <c r="Q1" i="7"/>
  <c r="R1" i="4"/>
  <c r="R1" i="7"/>
  <c r="S1" i="4"/>
  <c r="S1" i="7"/>
  <c r="T1" i="4"/>
  <c r="T1" i="7"/>
  <c r="U1" i="4"/>
  <c r="U1" i="7"/>
  <c r="V1" i="4"/>
  <c r="V1" i="7"/>
  <c r="W1" i="4"/>
  <c r="W1" i="7"/>
  <c r="X1" i="4"/>
  <c r="X1" i="7"/>
  <c r="Y1" i="4"/>
  <c r="Y1" i="7"/>
  <c r="Z1" i="4"/>
  <c r="Z1" i="7"/>
  <c r="AA1" i="4"/>
  <c r="AA1" i="7"/>
  <c r="AB1" i="4"/>
  <c r="AB1" i="7"/>
  <c r="AC1" i="4"/>
  <c r="AC1" i="7"/>
  <c r="AD1" i="4"/>
  <c r="AD1" i="7"/>
  <c r="AE1" i="4"/>
  <c r="AE1" i="7"/>
  <c r="AF1" i="4"/>
  <c r="AF1" i="7"/>
  <c r="AG1" i="4"/>
  <c r="AG1" i="7"/>
  <c r="AH1" i="4"/>
  <c r="AH1" i="7"/>
  <c r="C1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  <c r="B2" i="6"/>
  <c r="B3" i="6"/>
  <c r="B4" i="6"/>
  <c r="B5" i="6"/>
  <c r="B6" i="6"/>
  <c r="B7" i="6"/>
  <c r="B8" i="6"/>
  <c r="B9" i="6"/>
  <c r="B10" i="6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C3" i="4"/>
</calcChain>
</file>

<file path=xl/sharedStrings.xml><?xml version="1.0" encoding="utf-8"?>
<sst xmlns="http://schemas.openxmlformats.org/spreadsheetml/2006/main" count="566" uniqueCount="82">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</sst>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5"/>
  <sheetViews>
    <sheetView tabSelected="1" zoomScale="85" zoomScaleNormal="85" workbookViewId="0">
      <selection activeCell="F7" sqref="F7"/>
    </sheetView>
  </sheetViews>
  <sheetFormatPr defaultColWidth="11" defaultRowHeight="15.75"/>
  <cols>
    <col min="2" max="2" width="13.125" bestFit="1" customWidth="1"/>
  </cols>
  <sheetData>
    <row r="1" spans="1:5">
      <c r="D1" t="s">
        <v>31</v>
      </c>
      <c r="E1" t="s">
        <v>32</v>
      </c>
    </row>
    <row r="2" spans="1:5">
      <c r="A2" t="s">
        <v>25</v>
      </c>
      <c r="B2" t="s">
        <v>75</v>
      </c>
      <c r="C2" t="s">
        <v>26</v>
      </c>
      <c r="D2">
        <v>1</v>
      </c>
      <c r="E2">
        <v>0</v>
      </c>
    </row>
    <row r="3" spans="1:5">
      <c r="A3" t="s">
        <v>25</v>
      </c>
      <c r="B3" t="s">
        <v>76</v>
      </c>
      <c r="C3" t="s">
        <v>27</v>
      </c>
      <c r="D3">
        <v>1</v>
      </c>
      <c r="E3">
        <v>0</v>
      </c>
    </row>
    <row r="4" spans="1:5">
      <c r="A4" t="s">
        <v>25</v>
      </c>
      <c r="B4" t="s">
        <v>77</v>
      </c>
      <c r="C4" t="s">
        <v>28</v>
      </c>
      <c r="D4">
        <v>1</v>
      </c>
      <c r="E4">
        <v>0</v>
      </c>
    </row>
    <row r="5" spans="1:5">
      <c r="A5" t="s">
        <v>25</v>
      </c>
      <c r="B5" t="s">
        <v>78</v>
      </c>
      <c r="C5" t="s">
        <v>29</v>
      </c>
      <c r="D5">
        <v>1</v>
      </c>
      <c r="E5">
        <v>0</v>
      </c>
    </row>
    <row r="6" spans="1:5">
      <c r="A6" t="s">
        <v>25</v>
      </c>
      <c r="B6" t="s">
        <v>79</v>
      </c>
      <c r="C6" t="s">
        <v>80</v>
      </c>
      <c r="D6">
        <v>1</v>
      </c>
      <c r="E6">
        <v>0</v>
      </c>
    </row>
    <row r="7" spans="1:5">
      <c r="A7" t="s">
        <v>33</v>
      </c>
      <c r="B7" t="s">
        <v>34</v>
      </c>
      <c r="C7" t="s">
        <v>35</v>
      </c>
      <c r="D7">
        <v>2</v>
      </c>
      <c r="E7">
        <v>2</v>
      </c>
    </row>
    <row r="8" spans="1:5">
      <c r="A8" t="s">
        <v>25</v>
      </c>
      <c r="B8" t="s">
        <v>81</v>
      </c>
      <c r="C8" t="s">
        <v>36</v>
      </c>
      <c r="D8">
        <v>1</v>
      </c>
      <c r="E8">
        <v>1</v>
      </c>
    </row>
    <row r="9" spans="1:5">
      <c r="A9" t="s">
        <v>25</v>
      </c>
      <c r="B9" t="s">
        <v>69</v>
      </c>
      <c r="C9" t="s">
        <v>70</v>
      </c>
      <c r="D9">
        <v>1</v>
      </c>
      <c r="E9">
        <v>1</v>
      </c>
    </row>
    <row r="10" spans="1:5">
      <c r="A10" t="s">
        <v>33</v>
      </c>
      <c r="B10" t="s">
        <v>37</v>
      </c>
      <c r="C10" t="s">
        <v>38</v>
      </c>
      <c r="D10">
        <v>1</v>
      </c>
      <c r="E10">
        <v>0</v>
      </c>
    </row>
    <row r="11" spans="1:5">
      <c r="A11" t="s">
        <v>33</v>
      </c>
      <c r="B11" t="s">
        <v>39</v>
      </c>
      <c r="C11" t="s">
        <v>41</v>
      </c>
      <c r="D11">
        <v>1</v>
      </c>
      <c r="E11">
        <v>1</v>
      </c>
    </row>
    <row r="12" spans="1:5">
      <c r="A12" t="s">
        <v>33</v>
      </c>
      <c r="B12" t="s">
        <v>40</v>
      </c>
      <c r="C12" t="s">
        <v>42</v>
      </c>
      <c r="D12">
        <v>1</v>
      </c>
      <c r="E12">
        <v>1</v>
      </c>
    </row>
    <row r="13" spans="1:5">
      <c r="A13" t="s">
        <v>33</v>
      </c>
      <c r="B13" t="s">
        <v>65</v>
      </c>
      <c r="C13" t="s">
        <v>43</v>
      </c>
      <c r="D13">
        <v>1</v>
      </c>
      <c r="E13">
        <v>0</v>
      </c>
    </row>
    <row r="14" spans="1:5">
      <c r="A14" t="s">
        <v>33</v>
      </c>
      <c r="B14" t="s">
        <v>66</v>
      </c>
      <c r="C14" t="s">
        <v>44</v>
      </c>
      <c r="D14">
        <v>1</v>
      </c>
      <c r="E14">
        <v>0</v>
      </c>
    </row>
    <row r="15" spans="1:5">
      <c r="A15" t="s">
        <v>33</v>
      </c>
      <c r="B15" t="s">
        <v>45</v>
      </c>
      <c r="C15" t="s">
        <v>46</v>
      </c>
      <c r="D15">
        <v>1</v>
      </c>
      <c r="E15">
        <v>1</v>
      </c>
    </row>
    <row r="16" spans="1:5">
      <c r="A16" t="s">
        <v>33</v>
      </c>
      <c r="B16" t="s">
        <v>47</v>
      </c>
      <c r="C16" t="s">
        <v>48</v>
      </c>
      <c r="D16">
        <v>1</v>
      </c>
      <c r="E16">
        <v>1</v>
      </c>
    </row>
    <row r="17" spans="1:5">
      <c r="A17" t="s">
        <v>33</v>
      </c>
      <c r="B17" t="s">
        <v>49</v>
      </c>
      <c r="C17" t="s">
        <v>51</v>
      </c>
      <c r="D17">
        <v>1</v>
      </c>
      <c r="E17">
        <v>1</v>
      </c>
    </row>
    <row r="18" spans="1:5">
      <c r="A18" t="s">
        <v>33</v>
      </c>
      <c r="B18" t="s">
        <v>50</v>
      </c>
      <c r="C18" t="s">
        <v>52</v>
      </c>
      <c r="D18">
        <v>1</v>
      </c>
      <c r="E18">
        <v>1</v>
      </c>
    </row>
    <row r="19" spans="1:5">
      <c r="A19" t="s">
        <v>33</v>
      </c>
      <c r="B19" t="s">
        <v>53</v>
      </c>
      <c r="C19" t="s">
        <v>54</v>
      </c>
      <c r="D19">
        <v>1</v>
      </c>
      <c r="E19">
        <v>1</v>
      </c>
    </row>
    <row r="20" spans="1:5">
      <c r="A20" t="s">
        <v>33</v>
      </c>
      <c r="B20" t="s">
        <v>55</v>
      </c>
      <c r="C20" t="s">
        <v>56</v>
      </c>
      <c r="D20">
        <v>1</v>
      </c>
      <c r="E20">
        <v>1</v>
      </c>
    </row>
    <row r="21" spans="1:5">
      <c r="A21" t="s">
        <v>33</v>
      </c>
      <c r="B21" t="s">
        <v>58</v>
      </c>
      <c r="C21" t="s">
        <v>57</v>
      </c>
      <c r="D21">
        <v>1</v>
      </c>
      <c r="E21">
        <v>0</v>
      </c>
    </row>
    <row r="22" spans="1:5">
      <c r="A22" t="s">
        <v>33</v>
      </c>
      <c r="B22" t="s">
        <v>59</v>
      </c>
      <c r="C22" t="s">
        <v>67</v>
      </c>
      <c r="D22">
        <v>1</v>
      </c>
      <c r="E22">
        <v>0</v>
      </c>
    </row>
    <row r="23" spans="1:5">
      <c r="A23" t="s">
        <v>33</v>
      </c>
      <c r="B23" t="s">
        <v>60</v>
      </c>
      <c r="C23" t="s">
        <v>68</v>
      </c>
      <c r="D23">
        <v>1</v>
      </c>
      <c r="E23">
        <v>0</v>
      </c>
    </row>
    <row r="24" spans="1:5">
      <c r="A24" t="s">
        <v>33</v>
      </c>
      <c r="B24" t="s">
        <v>71</v>
      </c>
      <c r="C24" t="s">
        <v>72</v>
      </c>
      <c r="D24">
        <v>1</v>
      </c>
      <c r="E24">
        <v>1</v>
      </c>
    </row>
    <row r="25" spans="1:5">
      <c r="A25" t="s">
        <v>33</v>
      </c>
      <c r="B25" t="s">
        <v>73</v>
      </c>
      <c r="C25" t="s">
        <v>74</v>
      </c>
      <c r="D25">
        <v>1</v>
      </c>
      <c r="E25">
        <v>1</v>
      </c>
    </row>
  </sheetData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"/>
  <sheetViews>
    <sheetView zoomScale="85" zoomScaleNormal="85" workbookViewId="0">
      <selection activeCell="B3" sqref="B3:B62"/>
    </sheetView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20</v>
      </c>
      <c r="J4" t="s">
        <v>20</v>
      </c>
    </row>
    <row r="5" spans="2:10">
      <c r="B5">
        <f t="shared" ref="B5:B18" si="0">B4+1</f>
        <v>2017</v>
      </c>
      <c r="F5" t="s">
        <v>7</v>
      </c>
      <c r="H5" t="s">
        <v>17</v>
      </c>
      <c r="J5" t="s">
        <v>17</v>
      </c>
    </row>
    <row r="6" spans="2:10">
      <c r="B6">
        <f t="shared" si="0"/>
        <v>2018</v>
      </c>
      <c r="F6" t="s">
        <v>8</v>
      </c>
      <c r="H6" t="s">
        <v>24</v>
      </c>
      <c r="J6" t="s">
        <v>24</v>
      </c>
    </row>
    <row r="7" spans="2:10">
      <c r="B7">
        <f t="shared" si="0"/>
        <v>2019</v>
      </c>
      <c r="F7" t="s">
        <v>9</v>
      </c>
      <c r="H7" t="s">
        <v>21</v>
      </c>
      <c r="J7" t="s">
        <v>21</v>
      </c>
    </row>
    <row r="8" spans="2:10">
      <c r="B8">
        <f t="shared" si="0"/>
        <v>2020</v>
      </c>
      <c r="F8" t="s">
        <v>10</v>
      </c>
      <c r="H8" t="s">
        <v>18</v>
      </c>
      <c r="J8" t="s">
        <v>18</v>
      </c>
    </row>
    <row r="9" spans="2:10">
      <c r="B9">
        <f t="shared" si="0"/>
        <v>2021</v>
      </c>
      <c r="F9" t="s">
        <v>11</v>
      </c>
      <c r="H9" t="s">
        <v>22</v>
      </c>
    </row>
    <row r="10" spans="2:10">
      <c r="B10">
        <f t="shared" si="0"/>
        <v>2022</v>
      </c>
      <c r="F10" t="s">
        <v>12</v>
      </c>
      <c r="H10" t="s">
        <v>23</v>
      </c>
    </row>
    <row r="11" spans="2:10">
      <c r="B11">
        <f t="shared" si="0"/>
        <v>2023</v>
      </c>
      <c r="F11" t="s">
        <v>13</v>
      </c>
    </row>
    <row r="12" spans="2:10">
      <c r="B12">
        <f t="shared" si="0"/>
        <v>2024</v>
      </c>
      <c r="F12" t="s">
        <v>19</v>
      </c>
    </row>
    <row r="13" spans="2:10">
      <c r="B13">
        <f t="shared" si="0"/>
        <v>2025</v>
      </c>
      <c r="F13" t="s">
        <v>14</v>
      </c>
    </row>
    <row r="14" spans="2:10">
      <c r="B14">
        <f t="shared" si="0"/>
        <v>2026</v>
      </c>
    </row>
    <row r="15" spans="2:10">
      <c r="B15">
        <f t="shared" si="0"/>
        <v>2027</v>
      </c>
    </row>
    <row r="16" spans="2:10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topLeftCell="K1" zoomScale="85" zoomScaleNormal="85" workbookViewId="0">
      <selection activeCell="X22" sqref="X22"/>
    </sheetView>
  </sheetViews>
  <sheetFormatPr defaultColWidth="8.875" defaultRowHeight="15.75"/>
  <cols>
    <col min="1" max="2" width="11.5" bestFit="1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ref="C3:C12" si="2">IF(ISERROR(MATCH($A3,G$22:G$330,0)),"No","Yes")</f>
        <v>No</v>
      </c>
      <c r="D3" s="4" t="str">
        <f t="shared" ref="D3:D12" si="3">IF(ISERROR(MATCH($A3,H$22:H$330,0)),"No","Yes")</f>
        <v>No</v>
      </c>
      <c r="E3" s="4" t="str">
        <f t="shared" ref="E3:E12" si="4">IF(ISERROR(MATCH($A3,I$22:I$330,0)),"No","Yes")</f>
        <v>Yes</v>
      </c>
      <c r="F3" s="4" t="str">
        <f t="shared" ref="F3:F12" si="5">IF(ISERROR(MATCH($A3,J$22:J$330,0)),"No","Yes")</f>
        <v>No</v>
      </c>
      <c r="G3" s="4" t="str">
        <f t="shared" ref="G3:G12" si="6">IF(ISERROR(MATCH($A3,K$22:K$330,0)),"No","Yes")</f>
        <v>Yes</v>
      </c>
      <c r="H3" s="4" t="str">
        <f t="shared" ref="H3:H12" si="7">IF(ISERROR(MATCH($A3,L$22:L$330,0)),"No","Yes")</f>
        <v>Yes</v>
      </c>
      <c r="I3" s="4" t="str">
        <f t="shared" ref="I3:I12" si="8">IF(ISERROR(MATCH($A3,M$22:M$330,0)),"No","Yes")</f>
        <v>Yes</v>
      </c>
      <c r="J3" s="4" t="str">
        <f t="shared" ref="J3:J12" si="9">IF(ISERROR(MATCH($A3,N$22:N$330,0)),"No","Yes")</f>
        <v>No</v>
      </c>
      <c r="K3" s="4" t="str">
        <f t="shared" ref="K3:K12" si="10">IF(ISERROR(MATCH($A3,O$22:O$330,0)),"No","Yes")</f>
        <v>Yes</v>
      </c>
      <c r="L3" s="4" t="str">
        <f t="shared" ref="L3:L12" si="11">IF(ISERROR(MATCH($A3,P$22:P$330,0)),"No","Yes")</f>
        <v>No</v>
      </c>
      <c r="N3" s="1" t="s">
        <v>6</v>
      </c>
      <c r="O3">
        <v>10</v>
      </c>
      <c r="Q3">
        <f t="shared" ref="P3:Y12" ca="1" si="12">10+5*RAND()</f>
        <v>13.536553853394214</v>
      </c>
      <c r="R3">
        <f t="shared" ca="1" si="12"/>
        <v>13.054173383345258</v>
      </c>
      <c r="S3">
        <f t="shared" ca="1" si="12"/>
        <v>14.722364139333735</v>
      </c>
      <c r="T3">
        <f t="shared" ca="1" si="12"/>
        <v>12.540120318416401</v>
      </c>
      <c r="U3">
        <f t="shared" ca="1" si="12"/>
        <v>10.574450857658727</v>
      </c>
      <c r="V3">
        <f t="shared" ca="1" si="12"/>
        <v>12.675334899632427</v>
      </c>
      <c r="W3">
        <f t="shared" ca="1" si="12"/>
        <v>12.388038451730257</v>
      </c>
      <c r="X3">
        <f t="shared" ca="1" si="12"/>
        <v>14.664529378315468</v>
      </c>
      <c r="Y3">
        <f t="shared" ca="1" si="12"/>
        <v>14.365374748962555</v>
      </c>
      <c r="AA3" s="1" t="s">
        <v>6</v>
      </c>
      <c r="AB3">
        <v>500</v>
      </c>
      <c r="AD3">
        <f t="shared" ref="AC3:AL12" ca="1" si="13">300-50*RAND()</f>
        <v>278.0178262146157</v>
      </c>
      <c r="AE3">
        <f t="shared" ca="1" si="13"/>
        <v>264.2321161578929</v>
      </c>
      <c r="AF3">
        <f t="shared" ca="1" si="13"/>
        <v>279.89675263818964</v>
      </c>
      <c r="AG3">
        <f t="shared" ca="1" si="13"/>
        <v>280.76655857519023</v>
      </c>
      <c r="AH3">
        <f t="shared" ca="1" si="13"/>
        <v>293.49948373457096</v>
      </c>
      <c r="AI3">
        <f t="shared" ca="1" si="13"/>
        <v>294.21625463919798</v>
      </c>
      <c r="AJ3">
        <f t="shared" ca="1" si="13"/>
        <v>264.11192237108583</v>
      </c>
      <c r="AK3">
        <f t="shared" ca="1" si="13"/>
        <v>281.94712800601172</v>
      </c>
      <c r="AL3">
        <f t="shared" ca="1" si="13"/>
        <v>282.97831150025382</v>
      </c>
    </row>
    <row r="4" spans="1:38">
      <c r="A4" s="1" t="s">
        <v>7</v>
      </c>
      <c r="B4" s="4" t="str">
        <f t="shared" si="1"/>
        <v>Yes</v>
      </c>
      <c r="C4" s="4" t="str">
        <f t="shared" si="2"/>
        <v>No</v>
      </c>
      <c r="D4" s="4" t="str">
        <f t="shared" si="3"/>
        <v>No</v>
      </c>
      <c r="E4" s="4" t="str">
        <f t="shared" si="4"/>
        <v>Yes</v>
      </c>
      <c r="F4" s="4" t="str">
        <f t="shared" si="5"/>
        <v>No</v>
      </c>
      <c r="G4" s="4" t="str">
        <f t="shared" si="6"/>
        <v>No</v>
      </c>
      <c r="H4" s="4" t="str">
        <f t="shared" si="7"/>
        <v>Yes</v>
      </c>
      <c r="I4" s="4" t="str">
        <f t="shared" si="8"/>
        <v>No</v>
      </c>
      <c r="J4" s="4" t="str">
        <f t="shared" si="9"/>
        <v>Yes</v>
      </c>
      <c r="K4" s="4" t="str">
        <f t="shared" si="10"/>
        <v>Yes</v>
      </c>
      <c r="L4" s="4" t="str">
        <f t="shared" si="11"/>
        <v>Yes</v>
      </c>
      <c r="N4" s="1" t="s">
        <v>7</v>
      </c>
      <c r="O4">
        <v>10</v>
      </c>
      <c r="P4">
        <f t="shared" ca="1" si="12"/>
        <v>13.819251661008266</v>
      </c>
      <c r="R4">
        <f t="shared" ca="1" si="12"/>
        <v>12.558258505296321</v>
      </c>
      <c r="S4">
        <f t="shared" ca="1" si="12"/>
        <v>14.930158170100819</v>
      </c>
      <c r="T4">
        <f t="shared" ca="1" si="12"/>
        <v>10.902468008019879</v>
      </c>
      <c r="U4">
        <f t="shared" ca="1" si="12"/>
        <v>10.820464874074409</v>
      </c>
      <c r="V4">
        <f t="shared" ca="1" si="12"/>
        <v>10.197574944073994</v>
      </c>
      <c r="W4">
        <f t="shared" ca="1" si="12"/>
        <v>12.683163494855654</v>
      </c>
      <c r="X4">
        <f t="shared" ca="1" si="12"/>
        <v>14.129433464897494</v>
      </c>
      <c r="Y4">
        <f t="shared" ca="1" si="12"/>
        <v>13.75478092576714</v>
      </c>
      <c r="AA4" s="1" t="s">
        <v>7</v>
      </c>
      <c r="AB4">
        <v>500</v>
      </c>
      <c r="AC4">
        <f t="shared" ca="1" si="13"/>
        <v>297.0153304460157</v>
      </c>
      <c r="AE4">
        <f t="shared" ca="1" si="13"/>
        <v>283.75983437036473</v>
      </c>
      <c r="AF4">
        <f t="shared" ca="1" si="13"/>
        <v>274.05045141206716</v>
      </c>
      <c r="AG4">
        <f t="shared" ca="1" si="13"/>
        <v>275.44125436236897</v>
      </c>
      <c r="AH4">
        <f t="shared" ca="1" si="13"/>
        <v>257.57895731117395</v>
      </c>
      <c r="AI4">
        <f t="shared" ca="1" si="13"/>
        <v>261.53702875393958</v>
      </c>
      <c r="AJ4">
        <f t="shared" ca="1" si="13"/>
        <v>250.32175445582951</v>
      </c>
      <c r="AK4">
        <f t="shared" ca="1" si="13"/>
        <v>255.18745531504027</v>
      </c>
      <c r="AL4">
        <f t="shared" ca="1" si="13"/>
        <v>280.18939178436909</v>
      </c>
    </row>
    <row r="5" spans="1:38">
      <c r="A5" s="1" t="s">
        <v>8</v>
      </c>
      <c r="B5" s="4" t="str">
        <f t="shared" si="1"/>
        <v>Yes</v>
      </c>
      <c r="C5" s="4" t="str">
        <f t="shared" si="2"/>
        <v>Yes</v>
      </c>
      <c r="D5" s="4" t="str">
        <f t="shared" si="3"/>
        <v>Yes</v>
      </c>
      <c r="E5" s="4" t="str">
        <f t="shared" si="4"/>
        <v>No</v>
      </c>
      <c r="F5" s="4" t="str">
        <f t="shared" si="5"/>
        <v>Yes</v>
      </c>
      <c r="G5" s="4" t="str">
        <f t="shared" si="6"/>
        <v>No</v>
      </c>
      <c r="H5" s="4" t="str">
        <f t="shared" si="7"/>
        <v>No</v>
      </c>
      <c r="I5" s="4" t="str">
        <f t="shared" si="8"/>
        <v>Yes</v>
      </c>
      <c r="J5" s="4" t="str">
        <f t="shared" si="9"/>
        <v>No</v>
      </c>
      <c r="K5" s="4" t="str">
        <f t="shared" si="10"/>
        <v>No</v>
      </c>
      <c r="L5" s="4" t="str">
        <f t="shared" si="11"/>
        <v>Yes</v>
      </c>
      <c r="N5" s="1" t="s">
        <v>8</v>
      </c>
      <c r="O5">
        <v>10</v>
      </c>
      <c r="P5">
        <f t="shared" ca="1" si="12"/>
        <v>10.263175317203522</v>
      </c>
      <c r="Q5">
        <f t="shared" ca="1" si="12"/>
        <v>10.165089041558936</v>
      </c>
      <c r="S5">
        <f t="shared" ca="1" si="12"/>
        <v>10.403207362012324</v>
      </c>
      <c r="T5">
        <f t="shared" ca="1" si="12"/>
        <v>14.375340341280854</v>
      </c>
      <c r="U5">
        <f t="shared" ca="1" si="12"/>
        <v>13.143085418717964</v>
      </c>
      <c r="V5">
        <f t="shared" ca="1" si="12"/>
        <v>13.459842627733508</v>
      </c>
      <c r="W5">
        <f t="shared" ca="1" si="12"/>
        <v>12.947335478524348</v>
      </c>
      <c r="X5">
        <f t="shared" ca="1" si="12"/>
        <v>13.302826460746427</v>
      </c>
      <c r="Y5">
        <f t="shared" ca="1" si="12"/>
        <v>13.371424109428048</v>
      </c>
      <c r="AA5" s="1" t="s">
        <v>8</v>
      </c>
      <c r="AB5">
        <v>500</v>
      </c>
      <c r="AC5">
        <f t="shared" ca="1" si="13"/>
        <v>279.40560375783633</v>
      </c>
      <c r="AD5">
        <f t="shared" ca="1" si="13"/>
        <v>272.68559593226183</v>
      </c>
      <c r="AF5">
        <f t="shared" ca="1" si="13"/>
        <v>291.61447514012031</v>
      </c>
      <c r="AG5">
        <f t="shared" ca="1" si="13"/>
        <v>296.87330806974148</v>
      </c>
      <c r="AH5">
        <f t="shared" ca="1" si="13"/>
        <v>250.93412250384108</v>
      </c>
      <c r="AI5">
        <f t="shared" ca="1" si="13"/>
        <v>284.65691766673791</v>
      </c>
      <c r="AJ5">
        <f t="shared" ca="1" si="13"/>
        <v>288.34961073970544</v>
      </c>
      <c r="AK5">
        <f t="shared" ca="1" si="13"/>
        <v>276.69666223271003</v>
      </c>
      <c r="AL5">
        <f t="shared" ca="1" si="13"/>
        <v>274.40193325856029</v>
      </c>
    </row>
    <row r="6" spans="1:38">
      <c r="A6" s="1" t="s">
        <v>9</v>
      </c>
      <c r="B6" s="4" t="str">
        <f t="shared" si="1"/>
        <v>Yes</v>
      </c>
      <c r="C6" s="4" t="str">
        <f t="shared" si="2"/>
        <v>No</v>
      </c>
      <c r="D6" s="4" t="str">
        <f t="shared" si="3"/>
        <v>No</v>
      </c>
      <c r="E6" s="4" t="str">
        <f t="shared" si="4"/>
        <v>Yes</v>
      </c>
      <c r="F6" s="4" t="str">
        <f t="shared" si="5"/>
        <v>No</v>
      </c>
      <c r="G6" s="4" t="str">
        <f t="shared" si="6"/>
        <v>Yes</v>
      </c>
      <c r="H6" s="4" t="str">
        <f t="shared" si="7"/>
        <v>Yes</v>
      </c>
      <c r="I6" s="4" t="str">
        <f t="shared" si="8"/>
        <v>Yes</v>
      </c>
      <c r="J6" s="4" t="str">
        <f t="shared" si="9"/>
        <v>No</v>
      </c>
      <c r="K6" s="4" t="str">
        <f t="shared" si="10"/>
        <v>No</v>
      </c>
      <c r="L6" s="4" t="str">
        <f t="shared" si="11"/>
        <v>Yes</v>
      </c>
      <c r="N6" s="1" t="s">
        <v>9</v>
      </c>
      <c r="O6">
        <v>10</v>
      </c>
      <c r="P6">
        <f t="shared" ca="1" si="12"/>
        <v>12.303475464640623</v>
      </c>
      <c r="Q6">
        <f t="shared" ca="1" si="12"/>
        <v>11.678973950278619</v>
      </c>
      <c r="R6">
        <f t="shared" ca="1" si="12"/>
        <v>10.036876187005907</v>
      </c>
      <c r="T6">
        <f t="shared" ca="1" si="12"/>
        <v>14.994830034801277</v>
      </c>
      <c r="U6">
        <f t="shared" ca="1" si="12"/>
        <v>10.821744028446664</v>
      </c>
      <c r="V6">
        <f t="shared" ca="1" si="12"/>
        <v>10.248709770853997</v>
      </c>
      <c r="W6">
        <f t="shared" ca="1" si="12"/>
        <v>14.940342775335175</v>
      </c>
      <c r="X6">
        <f t="shared" ca="1" si="12"/>
        <v>10.271406596891223</v>
      </c>
      <c r="Y6">
        <f t="shared" ca="1" si="12"/>
        <v>12.430786401863877</v>
      </c>
      <c r="AA6" s="1" t="s">
        <v>9</v>
      </c>
      <c r="AB6">
        <v>500</v>
      </c>
      <c r="AC6">
        <f t="shared" ca="1" si="13"/>
        <v>294.44204820543763</v>
      </c>
      <c r="AD6">
        <f t="shared" ca="1" si="13"/>
        <v>258.59980365088217</v>
      </c>
      <c r="AE6">
        <f t="shared" ca="1" si="13"/>
        <v>252.94654363431866</v>
      </c>
      <c r="AG6">
        <f t="shared" ca="1" si="13"/>
        <v>278.01146548611149</v>
      </c>
      <c r="AH6">
        <f t="shared" ca="1" si="13"/>
        <v>272.21468004037399</v>
      </c>
      <c r="AI6">
        <f t="shared" ca="1" si="13"/>
        <v>259.0355237598659</v>
      </c>
      <c r="AJ6">
        <f t="shared" ca="1" si="13"/>
        <v>259.56374168141093</v>
      </c>
      <c r="AK6">
        <f t="shared" ca="1" si="13"/>
        <v>293.46130211029475</v>
      </c>
      <c r="AL6">
        <f t="shared" ca="1" si="13"/>
        <v>288.33362274082509</v>
      </c>
    </row>
    <row r="7" spans="1:38">
      <c r="A7" s="1" t="s">
        <v>10</v>
      </c>
      <c r="B7" s="4" t="str">
        <f t="shared" si="1"/>
        <v>Yes</v>
      </c>
      <c r="C7" s="4" t="str">
        <f t="shared" si="2"/>
        <v>Yes</v>
      </c>
      <c r="D7" s="4" t="str">
        <f t="shared" si="3"/>
        <v>No</v>
      </c>
      <c r="E7" s="4" t="str">
        <f t="shared" si="4"/>
        <v>No</v>
      </c>
      <c r="F7" s="4" t="str">
        <f t="shared" si="5"/>
        <v>Yes</v>
      </c>
      <c r="G7" s="4" t="str">
        <f t="shared" si="6"/>
        <v>No</v>
      </c>
      <c r="H7" s="4" t="str">
        <f t="shared" si="7"/>
        <v>No</v>
      </c>
      <c r="I7" s="4" t="str">
        <f t="shared" si="8"/>
        <v>Yes</v>
      </c>
      <c r="J7" s="4" t="str">
        <f t="shared" si="9"/>
        <v>Yes</v>
      </c>
      <c r="K7" s="4" t="str">
        <f t="shared" si="10"/>
        <v>Yes</v>
      </c>
      <c r="L7" s="4" t="str">
        <f t="shared" si="11"/>
        <v>Yes</v>
      </c>
      <c r="N7" s="1" t="s">
        <v>10</v>
      </c>
      <c r="O7">
        <v>10</v>
      </c>
      <c r="P7">
        <f t="shared" ca="1" si="12"/>
        <v>11.458242435816867</v>
      </c>
      <c r="Q7">
        <f t="shared" ca="1" si="12"/>
        <v>13.953544390976127</v>
      </c>
      <c r="R7">
        <f t="shared" ca="1" si="12"/>
        <v>12.885070668070689</v>
      </c>
      <c r="S7">
        <f t="shared" ca="1" si="12"/>
        <v>14.574012363037003</v>
      </c>
      <c r="U7">
        <f t="shared" ca="1" si="12"/>
        <v>13.041932652100167</v>
      </c>
      <c r="V7">
        <f t="shared" ca="1" si="12"/>
        <v>10.000371049362018</v>
      </c>
      <c r="W7">
        <f t="shared" ca="1" si="12"/>
        <v>11.240419447622571</v>
      </c>
      <c r="X7">
        <f t="shared" ca="1" si="12"/>
        <v>10.684827184367116</v>
      </c>
      <c r="Y7">
        <f t="shared" ca="1" si="12"/>
        <v>12.236849160845935</v>
      </c>
      <c r="AA7" s="1" t="s">
        <v>10</v>
      </c>
      <c r="AB7">
        <v>500</v>
      </c>
      <c r="AC7">
        <f t="shared" ca="1" si="13"/>
        <v>252.9706786034314</v>
      </c>
      <c r="AD7">
        <f t="shared" ca="1" si="13"/>
        <v>292.19587558203284</v>
      </c>
      <c r="AE7">
        <f t="shared" ca="1" si="13"/>
        <v>283.83333375595515</v>
      </c>
      <c r="AF7">
        <f t="shared" ca="1" si="13"/>
        <v>270.4599700671634</v>
      </c>
      <c r="AH7">
        <f t="shared" ca="1" si="13"/>
        <v>264.0150302883975</v>
      </c>
      <c r="AI7">
        <f t="shared" ca="1" si="13"/>
        <v>292.72838580863294</v>
      </c>
      <c r="AJ7">
        <f t="shared" ca="1" si="13"/>
        <v>278.2186015538058</v>
      </c>
      <c r="AK7">
        <f t="shared" ca="1" si="13"/>
        <v>283.62146836980105</v>
      </c>
      <c r="AL7">
        <f t="shared" ca="1" si="13"/>
        <v>272.66838159533796</v>
      </c>
    </row>
    <row r="8" spans="1:38">
      <c r="A8" s="1" t="s">
        <v>11</v>
      </c>
      <c r="B8" s="4" t="str">
        <f t="shared" si="1"/>
        <v>Yes</v>
      </c>
      <c r="C8" s="4" t="str">
        <f t="shared" si="2"/>
        <v>Yes</v>
      </c>
      <c r="D8" s="4" t="str">
        <f t="shared" si="3"/>
        <v>Yes</v>
      </c>
      <c r="E8" s="4" t="str">
        <f t="shared" si="4"/>
        <v>No</v>
      </c>
      <c r="F8" s="4" t="str">
        <f t="shared" si="5"/>
        <v>Yes</v>
      </c>
      <c r="G8" s="4" t="str">
        <f t="shared" si="6"/>
        <v>No</v>
      </c>
      <c r="H8" s="4" t="str">
        <f t="shared" si="7"/>
        <v>No</v>
      </c>
      <c r="I8" s="4" t="str">
        <f t="shared" si="8"/>
        <v>No</v>
      </c>
      <c r="J8" s="4" t="str">
        <f t="shared" si="9"/>
        <v>Yes</v>
      </c>
      <c r="K8" s="4" t="str">
        <f t="shared" si="10"/>
        <v>Yes</v>
      </c>
      <c r="L8" s="4" t="str">
        <f t="shared" si="11"/>
        <v>Yes</v>
      </c>
      <c r="N8" s="1" t="s">
        <v>11</v>
      </c>
      <c r="O8">
        <v>10</v>
      </c>
      <c r="P8">
        <f t="shared" ca="1" si="12"/>
        <v>11.984967495559143</v>
      </c>
      <c r="Q8">
        <f t="shared" ca="1" si="12"/>
        <v>14.231965154476185</v>
      </c>
      <c r="R8">
        <f t="shared" ca="1" si="12"/>
        <v>14.926524047881642</v>
      </c>
      <c r="S8">
        <f t="shared" ca="1" si="12"/>
        <v>12.462639130072489</v>
      </c>
      <c r="T8">
        <f t="shared" ca="1" si="12"/>
        <v>12.58260455249939</v>
      </c>
      <c r="V8">
        <f t="shared" ca="1" si="12"/>
        <v>13.030968246462095</v>
      </c>
      <c r="W8">
        <f t="shared" ca="1" si="12"/>
        <v>10.792631183339964</v>
      </c>
      <c r="X8">
        <f t="shared" ca="1" si="12"/>
        <v>13.110246470645766</v>
      </c>
      <c r="Y8">
        <f t="shared" ca="1" si="12"/>
        <v>13.435981520034733</v>
      </c>
      <c r="AA8" s="1" t="s">
        <v>11</v>
      </c>
      <c r="AB8">
        <v>500</v>
      </c>
      <c r="AC8">
        <f t="shared" ca="1" si="13"/>
        <v>287.63436002445536</v>
      </c>
      <c r="AD8">
        <f t="shared" ca="1" si="13"/>
        <v>275.0055902482527</v>
      </c>
      <c r="AE8">
        <f t="shared" ca="1" si="13"/>
        <v>276.22046805113814</v>
      </c>
      <c r="AF8">
        <f t="shared" ca="1" si="13"/>
        <v>258.69530906466821</v>
      </c>
      <c r="AG8">
        <f t="shared" ca="1" si="13"/>
        <v>258.09581212525427</v>
      </c>
      <c r="AI8">
        <f t="shared" ca="1" si="13"/>
        <v>276.11392151009039</v>
      </c>
      <c r="AJ8">
        <f t="shared" ca="1" si="13"/>
        <v>298.80536900976813</v>
      </c>
      <c r="AK8">
        <f t="shared" ca="1" si="13"/>
        <v>291.82286747697202</v>
      </c>
      <c r="AL8">
        <f t="shared" ca="1" si="13"/>
        <v>289.65391232085619</v>
      </c>
    </row>
    <row r="9" spans="1:38">
      <c r="A9" s="1" t="s">
        <v>12</v>
      </c>
      <c r="B9" s="4" t="str">
        <f t="shared" si="1"/>
        <v>Yes</v>
      </c>
      <c r="C9" s="4" t="str">
        <f t="shared" si="2"/>
        <v>Yes</v>
      </c>
      <c r="D9" s="4" t="str">
        <f t="shared" si="3"/>
        <v>No</v>
      </c>
      <c r="E9" s="4" t="str">
        <f t="shared" si="4"/>
        <v>Yes</v>
      </c>
      <c r="F9" s="4" t="str">
        <f t="shared" si="5"/>
        <v>Yes</v>
      </c>
      <c r="G9" s="4" t="str">
        <f t="shared" si="6"/>
        <v>Yes</v>
      </c>
      <c r="H9" s="4" t="str">
        <f t="shared" si="7"/>
        <v>No</v>
      </c>
      <c r="I9" s="4" t="str">
        <f t="shared" si="8"/>
        <v>No</v>
      </c>
      <c r="J9" s="4" t="str">
        <f t="shared" si="9"/>
        <v>Yes</v>
      </c>
      <c r="K9" s="4" t="str">
        <f t="shared" si="10"/>
        <v>No</v>
      </c>
      <c r="L9" s="4" t="str">
        <f t="shared" si="11"/>
        <v>No</v>
      </c>
      <c r="N9" s="1" t="s">
        <v>12</v>
      </c>
      <c r="O9">
        <v>10</v>
      </c>
      <c r="P9">
        <f t="shared" ca="1" si="12"/>
        <v>11.944253470934589</v>
      </c>
      <c r="Q9">
        <f t="shared" ca="1" si="12"/>
        <v>14.522719901362919</v>
      </c>
      <c r="R9">
        <f t="shared" ca="1" si="12"/>
        <v>14.145596158632578</v>
      </c>
      <c r="S9">
        <f t="shared" ca="1" si="12"/>
        <v>14.728997996733344</v>
      </c>
      <c r="T9">
        <f t="shared" ca="1" si="12"/>
        <v>10.146197787750722</v>
      </c>
      <c r="U9">
        <f t="shared" ca="1" si="12"/>
        <v>11.513207221244269</v>
      </c>
      <c r="W9">
        <f t="shared" ca="1" si="12"/>
        <v>11.661373515527156</v>
      </c>
      <c r="X9">
        <f t="shared" ca="1" si="12"/>
        <v>14.693910421079583</v>
      </c>
      <c r="Y9">
        <f t="shared" ca="1" si="12"/>
        <v>12.844347830903468</v>
      </c>
      <c r="AA9" s="1" t="s">
        <v>12</v>
      </c>
      <c r="AB9">
        <v>500</v>
      </c>
      <c r="AC9">
        <f t="shared" ca="1" si="13"/>
        <v>270.11916256868813</v>
      </c>
      <c r="AD9">
        <f t="shared" ca="1" si="13"/>
        <v>283.98283383855801</v>
      </c>
      <c r="AE9">
        <f t="shared" ca="1" si="13"/>
        <v>259.98470616885811</v>
      </c>
      <c r="AF9">
        <f t="shared" ca="1" si="13"/>
        <v>250.92696956266639</v>
      </c>
      <c r="AG9">
        <f t="shared" ca="1" si="13"/>
        <v>264.78118176646558</v>
      </c>
      <c r="AH9">
        <f t="shared" ca="1" si="13"/>
        <v>262.99000067219441</v>
      </c>
      <c r="AJ9">
        <f t="shared" ca="1" si="13"/>
        <v>254.87436422555919</v>
      </c>
      <c r="AK9">
        <f t="shared" ca="1" si="13"/>
        <v>296.57331187324814</v>
      </c>
      <c r="AL9">
        <f t="shared" ca="1" si="13"/>
        <v>272.13802480122985</v>
      </c>
    </row>
    <row r="10" spans="1:38">
      <c r="A10" s="1" t="s">
        <v>13</v>
      </c>
      <c r="B10" s="4" t="str">
        <f t="shared" si="1"/>
        <v>Yes</v>
      </c>
      <c r="C10" s="4" t="str">
        <f t="shared" si="2"/>
        <v>No</v>
      </c>
      <c r="D10" s="4" t="str">
        <f t="shared" si="3"/>
        <v>Yes</v>
      </c>
      <c r="E10" s="4" t="str">
        <f t="shared" si="4"/>
        <v>No</v>
      </c>
      <c r="F10" s="4" t="str">
        <f t="shared" si="5"/>
        <v>No</v>
      </c>
      <c r="G10" s="4" t="str">
        <f t="shared" si="6"/>
        <v>Yes</v>
      </c>
      <c r="H10" s="4" t="str">
        <f t="shared" si="7"/>
        <v>Yes</v>
      </c>
      <c r="I10" s="4" t="str">
        <f t="shared" si="8"/>
        <v>Yes</v>
      </c>
      <c r="J10" s="4" t="str">
        <f t="shared" si="9"/>
        <v>No</v>
      </c>
      <c r="K10" s="4" t="str">
        <f t="shared" si="10"/>
        <v>Yes</v>
      </c>
      <c r="L10" s="4" t="str">
        <f t="shared" si="11"/>
        <v>No</v>
      </c>
      <c r="N10" s="1" t="s">
        <v>13</v>
      </c>
      <c r="O10">
        <v>10</v>
      </c>
      <c r="P10">
        <f t="shared" ca="1" si="12"/>
        <v>12.750303431323839</v>
      </c>
      <c r="Q10">
        <f t="shared" ca="1" si="12"/>
        <v>13.562543710635552</v>
      </c>
      <c r="R10">
        <f t="shared" ca="1" si="12"/>
        <v>12.445688167164137</v>
      </c>
      <c r="S10">
        <f t="shared" ca="1" si="12"/>
        <v>14.819979006356387</v>
      </c>
      <c r="T10">
        <f t="shared" ca="1" si="12"/>
        <v>13.985926077170252</v>
      </c>
      <c r="U10">
        <f t="shared" ca="1" si="12"/>
        <v>10.262129562232559</v>
      </c>
      <c r="V10">
        <f t="shared" ca="1" si="12"/>
        <v>10.629689984179201</v>
      </c>
      <c r="X10">
        <f t="shared" ca="1" si="12"/>
        <v>13.267962348444573</v>
      </c>
      <c r="Y10">
        <f t="shared" ca="1" si="12"/>
        <v>14.517921319344751</v>
      </c>
      <c r="AA10" s="1" t="s">
        <v>13</v>
      </c>
      <c r="AB10">
        <v>500</v>
      </c>
      <c r="AC10">
        <f t="shared" ca="1" si="13"/>
        <v>266.49772152659449</v>
      </c>
      <c r="AD10">
        <f t="shared" ca="1" si="13"/>
        <v>292.24183835282889</v>
      </c>
      <c r="AE10">
        <f t="shared" ca="1" si="13"/>
        <v>267.61918770455367</v>
      </c>
      <c r="AF10">
        <f t="shared" ca="1" si="13"/>
        <v>294.21197372720763</v>
      </c>
      <c r="AG10">
        <f t="shared" ca="1" si="13"/>
        <v>258.03403074494582</v>
      </c>
      <c r="AH10">
        <f t="shared" ca="1" si="13"/>
        <v>281.98608089049333</v>
      </c>
      <c r="AI10">
        <f t="shared" ca="1" si="13"/>
        <v>263.79141242086331</v>
      </c>
      <c r="AK10">
        <f t="shared" ca="1" si="13"/>
        <v>258.09392382609337</v>
      </c>
      <c r="AL10">
        <f t="shared" ca="1" si="13"/>
        <v>252.24620464478426</v>
      </c>
    </row>
    <row r="11" spans="1:38">
      <c r="A11" s="1" t="s">
        <v>19</v>
      </c>
      <c r="B11" s="4" t="str">
        <f t="shared" si="1"/>
        <v>Yes</v>
      </c>
      <c r="C11" s="4" t="str">
        <f t="shared" si="2"/>
        <v>Yes</v>
      </c>
      <c r="D11" s="4" t="str">
        <f t="shared" si="3"/>
        <v>Yes</v>
      </c>
      <c r="E11" s="4" t="str">
        <f t="shared" si="4"/>
        <v>No</v>
      </c>
      <c r="F11" s="4" t="str">
        <f t="shared" si="5"/>
        <v>No</v>
      </c>
      <c r="G11" s="4" t="str">
        <f t="shared" si="6"/>
        <v>Yes</v>
      </c>
      <c r="H11" s="4" t="str">
        <f t="shared" si="7"/>
        <v>Yes</v>
      </c>
      <c r="I11" s="4" t="str">
        <f t="shared" si="8"/>
        <v>No</v>
      </c>
      <c r="J11" s="4" t="str">
        <f t="shared" si="9"/>
        <v>Yes</v>
      </c>
      <c r="K11" s="4" t="str">
        <f t="shared" si="10"/>
        <v>No</v>
      </c>
      <c r="L11" s="4" t="str">
        <f t="shared" si="11"/>
        <v>Yes</v>
      </c>
      <c r="N11" s="1" t="s">
        <v>19</v>
      </c>
      <c r="O11">
        <v>10</v>
      </c>
      <c r="P11">
        <f t="shared" ca="1" si="12"/>
        <v>12.073137758248446</v>
      </c>
      <c r="Q11">
        <f t="shared" ca="1" si="12"/>
        <v>11.948976148246796</v>
      </c>
      <c r="R11">
        <f t="shared" ca="1" si="12"/>
        <v>14.235464627730247</v>
      </c>
      <c r="S11">
        <f t="shared" ca="1" si="12"/>
        <v>12.386232524167422</v>
      </c>
      <c r="T11">
        <f t="shared" ca="1" si="12"/>
        <v>10.832791139503481</v>
      </c>
      <c r="U11">
        <f t="shared" ca="1" si="12"/>
        <v>11.427699999462062</v>
      </c>
      <c r="V11">
        <f t="shared" ca="1" si="12"/>
        <v>10.972521008144875</v>
      </c>
      <c r="W11">
        <f t="shared" ca="1" si="12"/>
        <v>12.724760126459607</v>
      </c>
      <c r="Y11">
        <f t="shared" ca="1" si="12"/>
        <v>13.813233117547393</v>
      </c>
      <c r="AA11" s="1" t="s">
        <v>19</v>
      </c>
      <c r="AB11">
        <v>500</v>
      </c>
      <c r="AC11">
        <f t="shared" ca="1" si="13"/>
        <v>259.12624427600804</v>
      </c>
      <c r="AD11">
        <f t="shared" ca="1" si="13"/>
        <v>250.77783378543614</v>
      </c>
      <c r="AE11">
        <f t="shared" ca="1" si="13"/>
        <v>283.0370091315819</v>
      </c>
      <c r="AF11">
        <f t="shared" ca="1" si="13"/>
        <v>278.60076152397022</v>
      </c>
      <c r="AG11">
        <f t="shared" ca="1" si="13"/>
        <v>286.84893300617779</v>
      </c>
      <c r="AH11">
        <f t="shared" ca="1" si="13"/>
        <v>263.16677792818598</v>
      </c>
      <c r="AI11">
        <f t="shared" ca="1" si="13"/>
        <v>256.61574533800808</v>
      </c>
      <c r="AJ11">
        <f t="shared" ca="1" si="13"/>
        <v>293.37126748112161</v>
      </c>
      <c r="AL11">
        <f t="shared" ca="1" si="13"/>
        <v>265.20464710802912</v>
      </c>
    </row>
    <row r="12" spans="1:38">
      <c r="A12" s="1" t="s">
        <v>14</v>
      </c>
      <c r="B12" s="4" t="str">
        <f t="shared" si="1"/>
        <v>Yes</v>
      </c>
      <c r="C12" s="4" t="str">
        <f t="shared" si="2"/>
        <v>No</v>
      </c>
      <c r="D12" s="4" t="str">
        <f t="shared" si="3"/>
        <v>Yes</v>
      </c>
      <c r="E12" s="4" t="str">
        <f t="shared" si="4"/>
        <v>Yes</v>
      </c>
      <c r="F12" s="4" t="str">
        <f t="shared" si="5"/>
        <v>Yes</v>
      </c>
      <c r="G12" s="4" t="str">
        <f t="shared" si="6"/>
        <v>Yes</v>
      </c>
      <c r="H12" s="4" t="str">
        <f t="shared" si="7"/>
        <v>No</v>
      </c>
      <c r="I12" s="4" t="str">
        <f t="shared" si="8"/>
        <v>No</v>
      </c>
      <c r="J12" s="4" t="str">
        <f t="shared" si="9"/>
        <v>No</v>
      </c>
      <c r="K12" s="4" t="str">
        <f t="shared" si="10"/>
        <v>Yes</v>
      </c>
      <c r="L12" s="4" t="str">
        <f t="shared" si="11"/>
        <v>No</v>
      </c>
      <c r="N12" s="1" t="s">
        <v>14</v>
      </c>
      <c r="O12">
        <v>10</v>
      </c>
      <c r="P12">
        <f t="shared" ca="1" si="12"/>
        <v>13.762687998442761</v>
      </c>
      <c r="Q12">
        <f t="shared" ca="1" si="12"/>
        <v>13.35199419333013</v>
      </c>
      <c r="R12">
        <f t="shared" ca="1" si="12"/>
        <v>10.232849133521484</v>
      </c>
      <c r="S12">
        <f t="shared" ca="1" si="12"/>
        <v>12.515278593091207</v>
      </c>
      <c r="T12">
        <f t="shared" ca="1" si="12"/>
        <v>11.990000777313117</v>
      </c>
      <c r="U12">
        <f t="shared" ca="1" si="12"/>
        <v>12.898423966377049</v>
      </c>
      <c r="V12">
        <f t="shared" ca="1" si="12"/>
        <v>14.926116999419387</v>
      </c>
      <c r="W12">
        <f t="shared" ca="1" si="12"/>
        <v>14.691738004301065</v>
      </c>
      <c r="X12">
        <f t="shared" ca="1" si="12"/>
        <v>10.002618111604537</v>
      </c>
      <c r="AA12" s="1" t="s">
        <v>14</v>
      </c>
      <c r="AB12">
        <v>500</v>
      </c>
      <c r="AC12">
        <f t="shared" ca="1" si="13"/>
        <v>272.96872292728904</v>
      </c>
      <c r="AD12">
        <f t="shared" ca="1" si="13"/>
        <v>292.34217557014551</v>
      </c>
      <c r="AE12">
        <f t="shared" ca="1" si="13"/>
        <v>287.93129767229948</v>
      </c>
      <c r="AF12">
        <f t="shared" ca="1" si="13"/>
        <v>293.80317582393747</v>
      </c>
      <c r="AG12">
        <f t="shared" ca="1" si="13"/>
        <v>259.39891555230804</v>
      </c>
      <c r="AH12">
        <f t="shared" ca="1" si="13"/>
        <v>267.44651793723244</v>
      </c>
      <c r="AI12">
        <f t="shared" ca="1" si="13"/>
        <v>269.56135123508352</v>
      </c>
      <c r="AJ12">
        <f t="shared" ca="1" si="13"/>
        <v>265.01762656796029</v>
      </c>
      <c r="AK12">
        <f t="shared" ca="1" si="13"/>
        <v>255.89939093325347</v>
      </c>
    </row>
    <row r="18" spans="1:21">
      <c r="A18" t="s">
        <v>62</v>
      </c>
    </row>
    <row r="19" spans="1:21">
      <c r="A19" t="s">
        <v>61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IFERROR(INDEX($B$22:$B$610,SMALL(IF($A$22:$A$610=F$21,ROW(Roads!$A$22:$A$610)),Roads!$E22)-ROW(RoadList)),"")</f>
        <v>Afar</v>
      </c>
      <c r="G22" s="6" t="str">
        <f t="array" ref="G22">IFERROR(INDEX($B$22:$B$610,SMALL(IF($A$22:$A$610=G$21,ROW(Roads!$A$22:$A$610)),Roads!$E22)-ROW(RoadList)),"")</f>
        <v>AddisAbaba</v>
      </c>
      <c r="H22" s="6" t="str">
        <f t="array" ref="H22">IFERROR(INDEX($B$22:$B$610,SMALL(IF($A$22:$A$610=H$21,ROW(Roads!$A$22:$A$610)),Roads!$E22)-ROW(RoadList)),"")</f>
        <v>AddisAbaba</v>
      </c>
      <c r="I22" s="6" t="str">
        <f t="array" ref="I22">IFERROR(INDEX($B$22:$B$610,SMALL(IF($A$22:$A$610=I$21,ROW(Roads!$A$22:$A$610)),Roads!$E22)-ROW(RoadList)),"")</f>
        <v>AddisAbaba</v>
      </c>
      <c r="J22" s="6" t="str">
        <f t="array" ref="J22">IFERROR(INDEX($B$22:$B$610,SMALL(IF($A$22:$A$610=J$21,ROW(Roads!$A$22:$A$610)),Roads!$E22)-ROW(RoadList)),"")</f>
        <v>AddisAbaba</v>
      </c>
      <c r="K22" s="6" t="str">
        <f t="array" ref="K22">IFERROR(INDEX($B$22:$B$610,SMALL(IF($A$22:$A$610=K$21,ROW(Roads!$A$22:$A$610)),Roads!$E22)-ROW(RoadList)),"")</f>
        <v>AddisAbaba</v>
      </c>
      <c r="L22" s="6" t="str">
        <f t="array" ref="L22">IFERROR(INDEX($B$22:$B$610,SMALL(IF($A$22:$A$610=L$21,ROW(Roads!$A$22:$A$610)),Roads!$E22)-ROW(RoadList)),"")</f>
        <v>AddisAbaba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AddisAbaba</v>
      </c>
      <c r="O22" s="6" t="str">
        <f t="array" ref="O22">IFERROR(INDEX($B$22:$B$610,SMALL(IF($A$22:$A$610=O$21,ROW(Roads!$A$22:$A$610)),Roads!$E22)-ROW(RoadList)),"")</f>
        <v>AddisAbaba</v>
      </c>
      <c r="P22" s="6" t="str">
        <f t="array" ref="P22">IFERROR(INDEX($B$22:$B$610,SMALL(IF($A$22:$A$610=P$21,ROW(Roads!$A$22:$A$610)),Roads!$E22)-ROW(RoadList)),"")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Amhara</v>
      </c>
      <c r="G23" s="6" t="str">
        <f t="array" ref="G23">IFERROR(INDEX($B$22:$B$610,SMALL(IF($A$22:$A$610=G$21,ROW(Roads!$A$22:$A$610)),Roads!$E23)-ROW(RoadList)),"")</f>
        <v>Gambela</v>
      </c>
      <c r="H23" s="6" t="str">
        <f t="array" ref="H23">IFERROR(INDEX($B$22:$B$610,SMALL(IF($A$22:$A$610=H$21,ROW(Roads!$A$22:$A$610)),Roads!$E23)-ROW(RoadList)),"")</f>
        <v>Gumuz</v>
      </c>
      <c r="I23" s="6" t="str">
        <f t="array" ref="I23">IFERROR(INDEX($B$22:$B$610,SMALL(IF($A$22:$A$610=I$21,ROW(Roads!$A$22:$A$610)),Roads!$E23)-ROW(RoadList)),"")</f>
        <v>Afar</v>
      </c>
      <c r="J23" s="6" t="str">
        <f t="array" ref="J23">IFERROR(INDEX($B$22:$B$610,SMALL(IF($A$22:$A$610=J$21,ROW(Roads!$A$22:$A$610)),Roads!$E23)-ROW(RoadList)),"")</f>
        <v>Gambela</v>
      </c>
      <c r="K23" s="6" t="str">
        <f t="array" ref="K23">IFERROR(INDEX($B$22:$B$610,SMALL(IF($A$22:$A$610=K$21,ROW(Roads!$A$22:$A$610)),Roads!$E23)-ROW(RoadList)),"")</f>
        <v>Afar</v>
      </c>
      <c r="L23" s="6" t="str">
        <f t="array" ref="L23">IFERROR(INDEX($B$22:$B$610,SMALL(IF($A$22:$A$610=L$21,ROW(Roads!$A$22:$A$610)),Roads!$E23)-ROW(RoadList)),"")</f>
        <v>Afar</v>
      </c>
      <c r="M23" s="6" t="str">
        <f t="array" ref="M23">IFERROR(INDEX($B$22:$B$610,SMALL(IF($A$22:$A$610=M$21,ROW(Roads!$A$22:$A$610)),Roads!$E23)-ROW(RoadList)),"")</f>
        <v>Afar</v>
      </c>
      <c r="N23" s="6" t="str">
        <f t="array" ref="N23">IFERROR(INDEX($B$22:$B$610,SMALL(IF($A$22:$A$610=N$21,ROW(Roads!$A$22:$A$610)),Roads!$E23)-ROW(RoadList)),"")</f>
        <v>Amhara</v>
      </c>
      <c r="O23" s="6" t="str">
        <f t="array" ref="O23">IFERROR(INDEX($B$22:$B$610,SMALL(IF($A$22:$A$610=O$21,ROW(Roads!$A$22:$A$610)),Roads!$E23)-ROW(RoadList)),"")</f>
        <v>Afar</v>
      </c>
      <c r="P23" s="6" t="str">
        <f t="array" ref="P23">IFERROR(INDEX($B$22:$B$610,SMALL(IF($A$22:$A$610=P$21,ROW(Roads!$A$22:$A$610)),Roads!$E23)-ROW(RoadList)),"")</f>
        <v>Amhara</v>
      </c>
    </row>
    <row r="24" spans="1:21">
      <c r="A24" s="5" t="s">
        <v>5</v>
      </c>
      <c r="B24" s="5" t="s">
        <v>9</v>
      </c>
      <c r="E24" s="6">
        <f t="shared" ref="E24:E32" si="14">E23+1</f>
        <v>3</v>
      </c>
      <c r="F24" s="6" t="str">
        <f t="array" ref="F24">IFERROR(INDEX($B$22:$B$610,SMALL(IF($A$22:$A$610=F$21,ROW(Roads!$A$22:$A$610)),Roads!$E24)-ROW(RoadList)),"")</f>
        <v>DireDawa</v>
      </c>
      <c r="G24" s="6" t="str">
        <f t="array" ref="G24">IFERROR(INDEX($B$22:$B$610,SMALL(IF($A$22:$A$610=G$21,ROW(Roads!$A$22:$A$610)),Roads!$E24)-ROW(RoadList)),"")</f>
        <v>Gumuz</v>
      </c>
      <c r="H24" s="6" t="str">
        <f t="array" ref="H24">IFERROR(INDEX($B$22:$B$610,SMALL(IF($A$22:$A$610=H$21,ROW(Roads!$A$22:$A$610)),Roads!$E24)-ROW(RoadList)),"")</f>
        <v>Harari</v>
      </c>
      <c r="I24" s="6" t="str">
        <f t="array" ref="I24">IFERROR(INDEX($B$22:$B$610,SMALL(IF($A$22:$A$610=I$21,ROW(Roads!$A$22:$A$610)),Roads!$E24)-ROW(RoadList)),"")</f>
        <v>Amhara</v>
      </c>
      <c r="J24" s="6" t="str">
        <f t="array" ref="J24">IFERROR(INDEX($B$22:$B$610,SMALL(IF($A$22:$A$610=J$21,ROW(Roads!$A$22:$A$610)),Roads!$E24)-ROW(RoadList)),"")</f>
        <v>Gumuz</v>
      </c>
      <c r="K24" s="6" t="str">
        <f t="array" ref="K24">IFERROR(INDEX($B$22:$B$610,SMALL(IF($A$22:$A$610=K$21,ROW(Roads!$A$22:$A$610)),Roads!$E24)-ROW(RoadList)),"")</f>
        <v>DireDawa</v>
      </c>
      <c r="L24" s="6" t="str">
        <f t="array" ref="L24">IFERROR(INDEX($B$22:$B$610,SMALL(IF($A$22:$A$610=L$21,ROW(Roads!$A$22:$A$610)),Roads!$E24)-ROW(RoadList)),"")</f>
        <v>Amhara</v>
      </c>
      <c r="M24" s="6" t="str">
        <f t="array" ref="M24">IFERROR(INDEX($B$22:$B$610,SMALL(IF($A$22:$A$610=M$21,ROW(Roads!$A$22:$A$610)),Roads!$E24)-ROW(RoadList)),"")</f>
        <v>DireDawa</v>
      </c>
      <c r="N24" s="6" t="str">
        <f t="array" ref="N24">IFERROR(INDEX($B$22:$B$610,SMALL(IF($A$22:$A$610=N$21,ROW(Roads!$A$22:$A$610)),Roads!$E24)-ROW(RoadList)),"")</f>
        <v>Gambela</v>
      </c>
      <c r="O24" s="6" t="str">
        <f t="array" ref="O24">IFERROR(INDEX($B$22:$B$610,SMALL(IF($A$22:$A$610=O$21,ROW(Roads!$A$22:$A$610)),Roads!$E24)-ROW(RoadList)),"")</f>
        <v>Amhara</v>
      </c>
      <c r="P24" s="6" t="str">
        <f t="array" ref="P24">IFERROR(INDEX($B$22:$B$610,SMALL(IF($A$22:$A$610=P$21,ROW(Roads!$A$22:$A$610)),Roads!$E24)-ROW(RoadList)),"")</f>
        <v>DireDawa</v>
      </c>
    </row>
    <row r="25" spans="1:21">
      <c r="A25" s="5" t="s">
        <v>5</v>
      </c>
      <c r="B25" s="5" t="s">
        <v>10</v>
      </c>
      <c r="E25" s="6">
        <f t="shared" si="14"/>
        <v>4</v>
      </c>
      <c r="F25" s="6" t="str">
        <f t="array" ref="F25">IFERROR(INDEX($B$22:$B$610,SMALL(IF($A$22:$A$610=F$21,ROW(Roads!$A$22:$A$610)),Roads!$E25)-ROW(RoadList)),"")</f>
        <v>Gambela</v>
      </c>
      <c r="G25" s="6" t="str">
        <f t="array" ref="G25">IFERROR(INDEX($B$22:$B$610,SMALL(IF($A$22:$A$610=G$21,ROW(Roads!$A$22:$A$610)),Roads!$E25)-ROW(RoadList)),"")</f>
        <v>Harari</v>
      </c>
      <c r="H25" s="6" t="str">
        <f t="array" ref="H25">IFERROR(INDEX($B$22:$B$610,SMALL(IF($A$22:$A$610=H$21,ROW(Roads!$A$22:$A$610)),Roads!$E25)-ROW(RoadList)),"")</f>
        <v>SNNPR</v>
      </c>
      <c r="I25" s="6" t="str">
        <f t="array" ref="I25">IFERROR(INDEX($B$22:$B$610,SMALL(IF($A$22:$A$610=I$21,ROW(Roads!$A$22:$A$610)),Roads!$E25)-ROW(RoadList)),"")</f>
        <v>DireDawa</v>
      </c>
      <c r="J25" s="6" t="str">
        <f t="array" ref="J25">IFERROR(INDEX($B$22:$B$610,SMALL(IF($A$22:$A$610=J$21,ROW(Roads!$A$22:$A$610)),Roads!$E25)-ROW(RoadList)),"")</f>
        <v>Harari</v>
      </c>
      <c r="K25" s="6" t="str">
        <f t="array" ref="K25">IFERROR(INDEX($B$22:$B$610,SMALL(IF($A$22:$A$610=K$21,ROW(Roads!$A$22:$A$610)),Roads!$E25)-ROW(RoadList)),"")</f>
        <v>Oromia</v>
      </c>
      <c r="L25" s="6" t="str">
        <f t="array" ref="L25">IFERROR(INDEX($B$22:$B$610,SMALL(IF($A$22:$A$610=L$21,ROW(Roads!$A$22:$A$610)),Roads!$E25)-ROW(RoadList)),"")</f>
        <v>DireDawa</v>
      </c>
      <c r="M25" s="6" t="str">
        <f t="array" ref="M25">IFERROR(INDEX($B$22:$B$610,SMALL(IF($A$22:$A$610=M$21,ROW(Roads!$A$22:$A$610)),Roads!$E25)-ROW(RoadList)),"")</f>
        <v>Gambela</v>
      </c>
      <c r="N25" s="6" t="str">
        <f t="array" ref="N25">IFERROR(INDEX($B$22:$B$610,SMALL(IF($A$22:$A$610=N$21,ROW(Roads!$A$22:$A$610)),Roads!$E25)-ROW(RoadList)),"")</f>
        <v>Harari</v>
      </c>
      <c r="O25" s="6" t="str">
        <f t="array" ref="O25">IFERROR(INDEX($B$22:$B$610,SMALL(IF($A$22:$A$610=O$21,ROW(Roads!$A$22:$A$610)),Roads!$E25)-ROW(RoadList)),"")</f>
        <v>Gambela</v>
      </c>
      <c r="P25" s="6" t="str">
        <f t="array" ref="P25">IFERROR(INDEX($B$22:$B$610,SMALL(IF($A$22:$A$610=P$21,ROW(Roads!$A$22:$A$610)),Roads!$E25)-ROW(RoadList)),"")</f>
        <v>Gambela</v>
      </c>
    </row>
    <row r="26" spans="1:21">
      <c r="A26" s="5" t="s">
        <v>5</v>
      </c>
      <c r="B26" s="5" t="s">
        <v>8</v>
      </c>
      <c r="E26" s="6">
        <f t="shared" si="14"/>
        <v>5</v>
      </c>
      <c r="F26" s="6" t="str">
        <f t="array" ref="F26">IFERROR(INDEX($B$22:$B$610,SMALL(IF($A$22:$A$610=F$21,ROW(Roads!$A$22:$A$610)),Roads!$E26)-ROW(RoadList)),"")</f>
        <v>Gumuz</v>
      </c>
      <c r="G26" s="6" t="str">
        <f t="array" ref="G26">IFERROR(INDEX($B$22:$B$610,SMALL(IF($A$22:$A$610=G$21,ROW(Roads!$A$22:$A$610)),Roads!$E26)-ROW(RoadList)),"")</f>
        <v>Oromia</v>
      </c>
      <c r="H26" s="6" t="str">
        <f t="array" ref="H26">IFERROR(INDEX($B$22:$B$610,SMALL(IF($A$22:$A$610=H$21,ROW(Roads!$A$22:$A$610)),Roads!$E26)-ROW(RoadList)),"")</f>
        <v>Somali</v>
      </c>
      <c r="I26" s="6" t="str">
        <f t="array" ref="I26">IFERROR(INDEX($B$22:$B$610,SMALL(IF($A$22:$A$610=I$21,ROW(Roads!$A$22:$A$610)),Roads!$E26)-ROW(RoadList)),"")</f>
        <v>Oromia</v>
      </c>
      <c r="J26" s="6" t="str">
        <f t="array" ref="J26">IFERROR(INDEX($B$22:$B$610,SMALL(IF($A$22:$A$610=J$21,ROW(Roads!$A$22:$A$610)),Roads!$E26)-ROW(RoadList)),"")</f>
        <v>Oromia</v>
      </c>
      <c r="K26" s="6" t="str">
        <f t="array" ref="K26">IFERROR(INDEX($B$22:$B$610,SMALL(IF($A$22:$A$610=K$21,ROW(Roads!$A$22:$A$610)),Roads!$E26)-ROW(RoadList)),"")</f>
        <v>SNNPR</v>
      </c>
      <c r="L26" s="6" t="str">
        <f t="array" ref="L26">IFERROR(INDEX($B$22:$B$610,SMALL(IF($A$22:$A$610=L$21,ROW(Roads!$A$22:$A$610)),Roads!$E26)-ROW(RoadList)),"")</f>
        <v>SNNPR</v>
      </c>
      <c r="M26" s="6" t="str">
        <f t="array" ref="M26">IFERROR(INDEX($B$22:$B$610,SMALL(IF($A$22:$A$610=M$21,ROW(Roads!$A$22:$A$610)),Roads!$E26)-ROW(RoadList)),"")</f>
        <v>Gumuz</v>
      </c>
      <c r="N26" s="6" t="str">
        <f t="array" ref="N26">IFERROR(INDEX($B$22:$B$610,SMALL(IF($A$22:$A$610=N$21,ROW(Roads!$A$22:$A$610)),Roads!$E26)-ROW(RoadList)),"")</f>
        <v>Oromia</v>
      </c>
      <c r="O26" s="6" t="str">
        <f t="array" ref="O26">IFERROR(INDEX($B$22:$B$610,SMALL(IF($A$22:$A$610=O$21,ROW(Roads!$A$22:$A$610)),Roads!$E26)-ROW(RoadList)),"")</f>
        <v>Harari</v>
      </c>
      <c r="P26" s="6" t="str">
        <f t="array" ref="P26">IFERROR(INDEX($B$22:$B$610,SMALL(IF($A$22:$A$610=P$21,ROW(Roads!$A$22:$A$610)),Roads!$E26)-ROW(RoadList)),"")</f>
        <v>Gumuz</v>
      </c>
    </row>
    <row r="27" spans="1:21">
      <c r="A27" s="5" t="s">
        <v>5</v>
      </c>
      <c r="B27" s="5" t="s">
        <v>11</v>
      </c>
      <c r="E27" s="6">
        <f t="shared" si="14"/>
        <v>6</v>
      </c>
      <c r="F27" s="6" t="str">
        <f t="array" ref="F27">IFERROR(INDEX($B$22:$B$610,SMALL(IF($A$22:$A$610=F$21,ROW(Roads!$A$22:$A$610)),Roads!$E27)-ROW(RoadList)),"")</f>
        <v>Harari</v>
      </c>
      <c r="G27" s="6" t="str">
        <f t="array" ref="G27">IFERROR(INDEX($B$22:$B$610,SMALL(IF($A$22:$A$610=G$21,ROW(Roads!$A$22:$A$610)),Roads!$E27)-ROW(RoadList)),"")</f>
        <v>SNNPR</v>
      </c>
      <c r="H27" s="6" t="str">
        <f t="array" ref="H27">IFERROR(INDEX($B$22:$B$610,SMALL(IF($A$22:$A$610=H$21,ROW(Roads!$A$22:$A$610)),Roads!$E27)-ROW(RoadList)),"")</f>
        <v>Tigray</v>
      </c>
      <c r="I27" s="6" t="str">
        <f t="array" ref="I27">IFERROR(INDEX($B$22:$B$610,SMALL(IF($A$22:$A$610=I$21,ROW(Roads!$A$22:$A$610)),Roads!$E27)-ROW(RoadList)),"")</f>
        <v>Tigray</v>
      </c>
      <c r="J27" s="6" t="str">
        <f t="array" ref="J27">IFERROR(INDEX($B$22:$B$610,SMALL(IF($A$22:$A$610=J$21,ROW(Roads!$A$22:$A$610)),Roads!$E27)-ROW(RoadList)),"")</f>
        <v>Tigray</v>
      </c>
      <c r="K27" s="6" t="str">
        <f t="array" ref="K27">IFERROR(INDEX($B$22:$B$610,SMALL(IF($A$22:$A$610=K$21,ROW(Roads!$A$22:$A$610)),Roads!$E27)-ROW(RoadList)),"")</f>
        <v>Somali</v>
      </c>
      <c r="L27" s="6" t="str">
        <f t="array" ref="L27">IFERROR(INDEX($B$22:$B$610,SMALL(IF($A$22:$A$610=L$21,ROW(Roads!$A$22:$A$610)),Roads!$E27)-ROW(RoadList)),"")</f>
        <v>Somali</v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>SNNPR</v>
      </c>
      <c r="O27" s="6" t="str">
        <f t="array" ref="O27">IFERROR(INDEX($B$22:$B$610,SMALL(IF($A$22:$A$610=O$21,ROW(Roads!$A$22:$A$610)),Roads!$E27)-ROW(RoadList)),"")</f>
        <v>Somali</v>
      </c>
      <c r="P27" s="6" t="str">
        <f t="array" ref="P27">IFERROR(INDEX($B$22:$B$610,SMALL(IF($A$22:$A$610=P$21,ROW(Roads!$A$22:$A$610)),Roads!$E27)-ROW(RoadList)),"")</f>
        <v>Harari</v>
      </c>
    </row>
    <row r="28" spans="1:21">
      <c r="A28" s="5" t="s">
        <v>5</v>
      </c>
      <c r="B28" s="5" t="s">
        <v>12</v>
      </c>
      <c r="E28" s="6">
        <f t="shared" si="14"/>
        <v>7</v>
      </c>
      <c r="F28" s="6" t="str">
        <f t="array" ref="F28">IFERROR(INDEX($B$22:$B$610,SMALL(IF($A$22:$A$610=F$21,ROW(Roads!$A$22:$A$610)),Roads!$E28)-ROW(RoadList)),"")</f>
        <v>Oromia</v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>Tigray</v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>Tigray</v>
      </c>
      <c r="P28" s="6" t="str">
        <f t="array" ref="P28">IFERROR(INDEX($B$22:$B$610,SMALL(IF($A$22:$A$610=P$21,ROW(Roads!$A$22:$A$610)),Roads!$E28)-ROW(RoadList)),"")</f>
        <v>SNNPR</v>
      </c>
    </row>
    <row r="29" spans="1:21">
      <c r="A29" s="5" t="s">
        <v>5</v>
      </c>
      <c r="B29" s="5" t="s">
        <v>19</v>
      </c>
      <c r="E29" s="6">
        <f t="shared" si="14"/>
        <v>8</v>
      </c>
      <c r="F29" s="6" t="str">
        <f t="array" ref="F29">IFERROR(INDEX($B$22:$B$610,SMALL(IF($A$22:$A$610=F$21,ROW(Roads!$A$22:$A$610)),Roads!$E29)-ROW(RoadList)),"")</f>
        <v>SNNPR</v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5</v>
      </c>
      <c r="B30" s="5" t="s">
        <v>13</v>
      </c>
      <c r="E30" s="6">
        <f t="shared" si="14"/>
        <v>9</v>
      </c>
      <c r="F30" s="6" t="str">
        <f t="array" ref="F30">IFERROR(INDEX($B$22:$B$610,SMALL(IF($A$22:$A$610=F$21,ROW(Roads!$A$22:$A$610)),Roads!$E30)-ROW(RoadList)),"")</f>
        <v>Somali</v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14</v>
      </c>
      <c r="E31" s="6">
        <f t="shared" si="14"/>
        <v>10</v>
      </c>
      <c r="F31" s="6" t="str">
        <f t="array" ref="F31">IFERROR(INDEX($B$22:$B$610,SMALL(IF($A$22:$A$610=F$21,ROW(Roads!$A$22:$A$610)),Roads!$E31)-ROW(RoadList)),"")</f>
        <v>Tigray</v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6</v>
      </c>
      <c r="B32" s="5" t="s">
        <v>5</v>
      </c>
      <c r="E32" s="6">
        <f t="shared" si="14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7</v>
      </c>
      <c r="B39" s="5" t="s">
        <v>8</v>
      </c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 t="s">
        <v>9</v>
      </c>
      <c r="B47" s="5" t="s">
        <v>11</v>
      </c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 t="s">
        <v>10</v>
      </c>
      <c r="B53" s="5" t="s">
        <v>12</v>
      </c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 t="s">
        <v>8</v>
      </c>
      <c r="B62" s="5" t="s">
        <v>14</v>
      </c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 t="s">
        <v>11</v>
      </c>
      <c r="B67" s="5" t="s">
        <v>19</v>
      </c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 t="s">
        <v>19</v>
      </c>
      <c r="B80" s="5" t="s">
        <v>13</v>
      </c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 t="s">
        <v>14</v>
      </c>
      <c r="B89" s="5" t="s">
        <v>7</v>
      </c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sheetCalcPr fullCalcOnLoad="1"/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>
      <selection activeCell="M1" sqref="M1"/>
    </sheetView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12.208166731807676</v>
      </c>
      <c r="R3">
        <f t="shared" ca="1" si="2"/>
        <v>10.737333661412077</v>
      </c>
      <c r="S3">
        <f t="shared" ca="1" si="2"/>
        <v>13.443388912845482</v>
      </c>
      <c r="T3">
        <f t="shared" ca="1" si="2"/>
        <v>14.019717323083604</v>
      </c>
      <c r="U3">
        <f t="shared" ca="1" si="2"/>
        <v>11.879288135627865</v>
      </c>
      <c r="V3">
        <f t="shared" ca="1" si="2"/>
        <v>11.648883738557402</v>
      </c>
      <c r="W3">
        <f t="shared" ca="1" si="2"/>
        <v>13.782355633675447</v>
      </c>
      <c r="X3">
        <f t="shared" ca="1" si="2"/>
        <v>11.196141466511472</v>
      </c>
      <c r="Y3">
        <f t="shared" ca="1" si="2"/>
        <v>13.508341868765743</v>
      </c>
      <c r="AA3" s="1" t="s">
        <v>6</v>
      </c>
      <c r="AB3">
        <v>500</v>
      </c>
      <c r="AD3">
        <f t="shared" ref="AC3:AL12" ca="1" si="3">300-50*RAND()</f>
        <v>279.51132887655746</v>
      </c>
      <c r="AE3">
        <f t="shared" ca="1" si="3"/>
        <v>289.68793805302431</v>
      </c>
      <c r="AF3">
        <f t="shared" ca="1" si="3"/>
        <v>283.91132827675904</v>
      </c>
      <c r="AG3">
        <f t="shared" ca="1" si="3"/>
        <v>253.07251925191105</v>
      </c>
      <c r="AH3">
        <f t="shared" ca="1" si="3"/>
        <v>295.15230074735467</v>
      </c>
      <c r="AI3">
        <f t="shared" ca="1" si="3"/>
        <v>288.23537074785048</v>
      </c>
      <c r="AJ3">
        <f t="shared" ca="1" si="3"/>
        <v>272.7118776352703</v>
      </c>
      <c r="AK3">
        <f t="shared" ca="1" si="3"/>
        <v>265.17015986669372</v>
      </c>
      <c r="AL3">
        <f t="shared" ca="1" si="3"/>
        <v>252.93721649105453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11.425131703425265</v>
      </c>
      <c r="R4">
        <f t="shared" ca="1" si="2"/>
        <v>14.985603195076179</v>
      </c>
      <c r="S4">
        <f t="shared" ca="1" si="2"/>
        <v>13.617735727413008</v>
      </c>
      <c r="T4">
        <f t="shared" ca="1" si="2"/>
        <v>14.053924124421233</v>
      </c>
      <c r="U4">
        <f t="shared" ca="1" si="2"/>
        <v>14.768616504203075</v>
      </c>
      <c r="V4">
        <f t="shared" ca="1" si="2"/>
        <v>14.612426047423948</v>
      </c>
      <c r="W4">
        <f t="shared" ca="1" si="2"/>
        <v>12.056994511865801</v>
      </c>
      <c r="X4">
        <f t="shared" ca="1" si="2"/>
        <v>13.30010678868361</v>
      </c>
      <c r="Y4">
        <f t="shared" ca="1" si="2"/>
        <v>14.422717500343706</v>
      </c>
      <c r="AA4" s="1" t="s">
        <v>7</v>
      </c>
      <c r="AB4">
        <v>500</v>
      </c>
      <c r="AC4">
        <f t="shared" ca="1" si="3"/>
        <v>285.31613265183734</v>
      </c>
      <c r="AE4">
        <f t="shared" ca="1" si="3"/>
        <v>251.16166451957722</v>
      </c>
      <c r="AF4">
        <f t="shared" ca="1" si="3"/>
        <v>292.77608772295378</v>
      </c>
      <c r="AG4">
        <f t="shared" ca="1" si="3"/>
        <v>279.95058494992975</v>
      </c>
      <c r="AH4">
        <f t="shared" ca="1" si="3"/>
        <v>284.38897296959499</v>
      </c>
      <c r="AI4">
        <f t="shared" ca="1" si="3"/>
        <v>277.71747995310943</v>
      </c>
      <c r="AJ4">
        <f t="shared" ca="1" si="3"/>
        <v>260.24566185174626</v>
      </c>
      <c r="AK4">
        <f t="shared" ca="1" si="3"/>
        <v>294.46648816513601</v>
      </c>
      <c r="AL4">
        <f t="shared" ca="1" si="3"/>
        <v>264.35335205124824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10.154089771895364</v>
      </c>
      <c r="Q5">
        <f t="shared" ca="1" si="2"/>
        <v>14.774166609624555</v>
      </c>
      <c r="S5">
        <f t="shared" ca="1" si="2"/>
        <v>10.566197053326471</v>
      </c>
      <c r="T5">
        <f t="shared" ca="1" si="2"/>
        <v>13.198229001511024</v>
      </c>
      <c r="U5">
        <f t="shared" ca="1" si="2"/>
        <v>13.865671509241066</v>
      </c>
      <c r="V5">
        <f t="shared" ca="1" si="2"/>
        <v>14.886949920107238</v>
      </c>
      <c r="W5">
        <f t="shared" ca="1" si="2"/>
        <v>12.383439176139763</v>
      </c>
      <c r="X5">
        <f t="shared" ca="1" si="2"/>
        <v>14.568858626949657</v>
      </c>
      <c r="Y5">
        <f t="shared" ca="1" si="2"/>
        <v>11.659965763627088</v>
      </c>
      <c r="AA5" s="1" t="s">
        <v>8</v>
      </c>
      <c r="AB5">
        <v>500</v>
      </c>
      <c r="AC5">
        <f t="shared" ca="1" si="3"/>
        <v>263.58480850571993</v>
      </c>
      <c r="AD5">
        <f t="shared" ca="1" si="3"/>
        <v>281.21201120954282</v>
      </c>
      <c r="AF5">
        <f t="shared" ca="1" si="3"/>
        <v>263.69165589378946</v>
      </c>
      <c r="AG5">
        <f t="shared" ca="1" si="3"/>
        <v>291.53195978278649</v>
      </c>
      <c r="AH5">
        <f t="shared" ca="1" si="3"/>
        <v>298.44254047183045</v>
      </c>
      <c r="AI5">
        <f t="shared" ca="1" si="3"/>
        <v>259.2908857726058</v>
      </c>
      <c r="AJ5">
        <f t="shared" ca="1" si="3"/>
        <v>257.42321015041762</v>
      </c>
      <c r="AK5">
        <f t="shared" ca="1" si="3"/>
        <v>272.07322462300073</v>
      </c>
      <c r="AL5">
        <f t="shared" ca="1" si="3"/>
        <v>253.08119326246762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10.131669172009392</v>
      </c>
      <c r="Q6">
        <f t="shared" ca="1" si="2"/>
        <v>12.455765130327126</v>
      </c>
      <c r="R6">
        <f t="shared" ca="1" si="2"/>
        <v>11.380596951439104</v>
      </c>
      <c r="T6">
        <f t="shared" ca="1" si="2"/>
        <v>11.081557081196189</v>
      </c>
      <c r="U6">
        <f t="shared" ca="1" si="2"/>
        <v>11.566520556033197</v>
      </c>
      <c r="V6">
        <f t="shared" ca="1" si="2"/>
        <v>12.73314116434172</v>
      </c>
      <c r="W6">
        <f t="shared" ca="1" si="2"/>
        <v>13.991820050911578</v>
      </c>
      <c r="X6">
        <f t="shared" ca="1" si="2"/>
        <v>14.981245498903327</v>
      </c>
      <c r="Y6">
        <f t="shared" ca="1" si="2"/>
        <v>10.673356466179804</v>
      </c>
      <c r="AA6" s="1" t="s">
        <v>9</v>
      </c>
      <c r="AB6">
        <v>500</v>
      </c>
      <c r="AC6">
        <f t="shared" ca="1" si="3"/>
        <v>290.70276005825735</v>
      </c>
      <c r="AD6">
        <f t="shared" ca="1" si="3"/>
        <v>269.40019093898786</v>
      </c>
      <c r="AE6">
        <f t="shared" ca="1" si="3"/>
        <v>291.72797002737923</v>
      </c>
      <c r="AG6">
        <f t="shared" ca="1" si="3"/>
        <v>282.20165028513071</v>
      </c>
      <c r="AH6">
        <f t="shared" ca="1" si="3"/>
        <v>279.25017838577094</v>
      </c>
      <c r="AI6">
        <f t="shared" ca="1" si="3"/>
        <v>272.49916425144278</v>
      </c>
      <c r="AJ6">
        <f t="shared" ca="1" si="3"/>
        <v>272.37681844413493</v>
      </c>
      <c r="AK6">
        <f t="shared" ca="1" si="3"/>
        <v>299.83848666166506</v>
      </c>
      <c r="AL6">
        <f t="shared" ca="1" si="3"/>
        <v>274.19059949903277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13.767275346827972</v>
      </c>
      <c r="Q7">
        <f t="shared" ca="1" si="2"/>
        <v>14.647746291054455</v>
      </c>
      <c r="R7">
        <f t="shared" ca="1" si="2"/>
        <v>13.306687854574443</v>
      </c>
      <c r="S7">
        <f t="shared" ca="1" si="2"/>
        <v>11.487742256054345</v>
      </c>
      <c r="U7">
        <f t="shared" ca="1" si="2"/>
        <v>10.074722167162539</v>
      </c>
      <c r="V7">
        <f t="shared" ca="1" si="2"/>
        <v>12.48329949703718</v>
      </c>
      <c r="W7">
        <f t="shared" ca="1" si="2"/>
        <v>11.231030290415369</v>
      </c>
      <c r="X7">
        <f t="shared" ca="1" si="2"/>
        <v>14.297810503660756</v>
      </c>
      <c r="Y7">
        <f t="shared" ca="1" si="2"/>
        <v>14.924628239829113</v>
      </c>
      <c r="AA7" s="1" t="s">
        <v>10</v>
      </c>
      <c r="AB7">
        <v>500</v>
      </c>
      <c r="AC7">
        <f t="shared" ca="1" si="3"/>
        <v>270.93414006466816</v>
      </c>
      <c r="AD7">
        <f t="shared" ca="1" si="3"/>
        <v>285.05843559818572</v>
      </c>
      <c r="AE7">
        <f t="shared" ca="1" si="3"/>
        <v>257.6226127429756</v>
      </c>
      <c r="AF7">
        <f t="shared" ca="1" si="3"/>
        <v>257.40398165610901</v>
      </c>
      <c r="AH7">
        <f t="shared" ca="1" si="3"/>
        <v>274.03010296912692</v>
      </c>
      <c r="AI7">
        <f t="shared" ca="1" si="3"/>
        <v>289.81677523374776</v>
      </c>
      <c r="AJ7">
        <f t="shared" ca="1" si="3"/>
        <v>263.08473640495754</v>
      </c>
      <c r="AK7">
        <f t="shared" ca="1" si="3"/>
        <v>283.0417682050051</v>
      </c>
      <c r="AL7">
        <f t="shared" ca="1" si="3"/>
        <v>270.67350411121299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13.261726327360279</v>
      </c>
      <c r="Q8">
        <f t="shared" ca="1" si="2"/>
        <v>11.219367396904719</v>
      </c>
      <c r="R8">
        <f t="shared" ca="1" si="2"/>
        <v>10.0874780613099</v>
      </c>
      <c r="S8">
        <f t="shared" ca="1" si="2"/>
        <v>12.217489348058734</v>
      </c>
      <c r="T8">
        <f t="shared" ca="1" si="2"/>
        <v>14.77186161866188</v>
      </c>
      <c r="V8">
        <f t="shared" ca="1" si="2"/>
        <v>14.277409595293088</v>
      </c>
      <c r="W8">
        <f t="shared" ca="1" si="2"/>
        <v>13.808982323814938</v>
      </c>
      <c r="X8">
        <f t="shared" ca="1" si="2"/>
        <v>13.727034119595965</v>
      </c>
      <c r="Y8">
        <f t="shared" ca="1" si="2"/>
        <v>11.736846573926707</v>
      </c>
      <c r="AA8" s="1" t="s">
        <v>11</v>
      </c>
      <c r="AB8">
        <v>500</v>
      </c>
      <c r="AC8">
        <f t="shared" ca="1" si="3"/>
        <v>293.81098662849905</v>
      </c>
      <c r="AD8">
        <f t="shared" ca="1" si="3"/>
        <v>296.93617551259774</v>
      </c>
      <c r="AE8">
        <f t="shared" ca="1" si="3"/>
        <v>273.32613798302953</v>
      </c>
      <c r="AF8">
        <f t="shared" ca="1" si="3"/>
        <v>275.74219375260969</v>
      </c>
      <c r="AG8">
        <f t="shared" ca="1" si="3"/>
        <v>294.58075283346267</v>
      </c>
      <c r="AI8">
        <f t="shared" ca="1" si="3"/>
        <v>265.38923381930482</v>
      </c>
      <c r="AJ8">
        <f t="shared" ca="1" si="3"/>
        <v>288.59643732421074</v>
      </c>
      <c r="AK8">
        <f t="shared" ca="1" si="3"/>
        <v>270.28576528325743</v>
      </c>
      <c r="AL8">
        <f t="shared" ca="1" si="3"/>
        <v>267.08206093609618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10.312431939735854</v>
      </c>
      <c r="Q9">
        <f t="shared" ca="1" si="2"/>
        <v>11.256052148695842</v>
      </c>
      <c r="R9">
        <f t="shared" ca="1" si="2"/>
        <v>13.59534311668753</v>
      </c>
      <c r="S9">
        <f t="shared" ca="1" si="2"/>
        <v>11.815528705397488</v>
      </c>
      <c r="T9">
        <f t="shared" ca="1" si="2"/>
        <v>12.301497214227256</v>
      </c>
      <c r="U9">
        <f t="shared" ca="1" si="2"/>
        <v>10.185287111690915</v>
      </c>
      <c r="W9">
        <f t="shared" ca="1" si="2"/>
        <v>10.956153122558096</v>
      </c>
      <c r="X9">
        <f t="shared" ca="1" si="2"/>
        <v>13.400449234605132</v>
      </c>
      <c r="Y9">
        <f t="shared" ca="1" si="2"/>
        <v>11.146419291187105</v>
      </c>
      <c r="AA9" s="1" t="s">
        <v>12</v>
      </c>
      <c r="AB9">
        <v>500</v>
      </c>
      <c r="AC9">
        <f t="shared" ca="1" si="3"/>
        <v>273.28049232291693</v>
      </c>
      <c r="AD9">
        <f t="shared" ca="1" si="3"/>
        <v>298.91436039837282</v>
      </c>
      <c r="AE9">
        <f t="shared" ca="1" si="3"/>
        <v>250.96595294763256</v>
      </c>
      <c r="AF9">
        <f t="shared" ca="1" si="3"/>
        <v>256.42970032801168</v>
      </c>
      <c r="AG9">
        <f t="shared" ca="1" si="3"/>
        <v>275.06235434021579</v>
      </c>
      <c r="AH9">
        <f t="shared" ca="1" si="3"/>
        <v>279.67505038533545</v>
      </c>
      <c r="AJ9">
        <f t="shared" ca="1" si="3"/>
        <v>252.97444303701309</v>
      </c>
      <c r="AK9">
        <f t="shared" ca="1" si="3"/>
        <v>298.89120395738303</v>
      </c>
      <c r="AL9">
        <f t="shared" ca="1" si="3"/>
        <v>283.35818203051241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11.457941580298339</v>
      </c>
      <c r="Q10">
        <f t="shared" ca="1" si="2"/>
        <v>12.337819712260689</v>
      </c>
      <c r="R10">
        <f t="shared" ca="1" si="2"/>
        <v>14.646794733309349</v>
      </c>
      <c r="S10">
        <f t="shared" ca="1" si="2"/>
        <v>13.274858136078446</v>
      </c>
      <c r="T10">
        <f t="shared" ca="1" si="2"/>
        <v>11.506440197665977</v>
      </c>
      <c r="U10">
        <f t="shared" ca="1" si="2"/>
        <v>10.040083150153293</v>
      </c>
      <c r="V10">
        <f t="shared" ca="1" si="2"/>
        <v>11.330904042385452</v>
      </c>
      <c r="X10">
        <f t="shared" ca="1" si="2"/>
        <v>11.273079814008733</v>
      </c>
      <c r="Y10">
        <f t="shared" ca="1" si="2"/>
        <v>11.191970846922461</v>
      </c>
      <c r="AA10" s="1" t="s">
        <v>13</v>
      </c>
      <c r="AB10">
        <v>500</v>
      </c>
      <c r="AC10">
        <f t="shared" ca="1" si="3"/>
        <v>262.01582815771366</v>
      </c>
      <c r="AD10">
        <f t="shared" ca="1" si="3"/>
        <v>286.42804335739663</v>
      </c>
      <c r="AE10">
        <f t="shared" ca="1" si="3"/>
        <v>263.06687121305868</v>
      </c>
      <c r="AF10">
        <f t="shared" ca="1" si="3"/>
        <v>295.45709034621927</v>
      </c>
      <c r="AG10">
        <f t="shared" ca="1" si="3"/>
        <v>276.56543215896863</v>
      </c>
      <c r="AH10">
        <f t="shared" ca="1" si="3"/>
        <v>267.54454256426021</v>
      </c>
      <c r="AI10">
        <f t="shared" ca="1" si="3"/>
        <v>264.88280574296653</v>
      </c>
      <c r="AK10">
        <f t="shared" ca="1" si="3"/>
        <v>265.6633389147878</v>
      </c>
      <c r="AL10">
        <f t="shared" ca="1" si="3"/>
        <v>282.34203134563035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12.024115115373561</v>
      </c>
      <c r="Q11">
        <f t="shared" ca="1" si="2"/>
        <v>11.056518496274187</v>
      </c>
      <c r="R11">
        <f t="shared" ca="1" si="2"/>
        <v>10.407203753410554</v>
      </c>
      <c r="S11">
        <f t="shared" ca="1" si="2"/>
        <v>14.456078824787202</v>
      </c>
      <c r="T11">
        <f t="shared" ca="1" si="2"/>
        <v>13.909994419968921</v>
      </c>
      <c r="U11">
        <f t="shared" ca="1" si="2"/>
        <v>14.946640265242349</v>
      </c>
      <c r="V11">
        <f t="shared" ca="1" si="2"/>
        <v>12.301715350821443</v>
      </c>
      <c r="W11">
        <f t="shared" ca="1" si="2"/>
        <v>10.480494188893005</v>
      </c>
      <c r="Y11">
        <f t="shared" ca="1" si="2"/>
        <v>14.766136737356504</v>
      </c>
      <c r="AA11" s="1" t="s">
        <v>19</v>
      </c>
      <c r="AB11">
        <v>500</v>
      </c>
      <c r="AC11">
        <f t="shared" ca="1" si="3"/>
        <v>257.33592136039755</v>
      </c>
      <c r="AD11">
        <f t="shared" ca="1" si="3"/>
        <v>292.76986695371642</v>
      </c>
      <c r="AE11">
        <f t="shared" ca="1" si="3"/>
        <v>254.42762698014263</v>
      </c>
      <c r="AF11">
        <f t="shared" ca="1" si="3"/>
        <v>290.42629369111512</v>
      </c>
      <c r="AG11">
        <f t="shared" ca="1" si="3"/>
        <v>285.34384489398371</v>
      </c>
      <c r="AH11">
        <f t="shared" ca="1" si="3"/>
        <v>261.8965065072274</v>
      </c>
      <c r="AI11">
        <f t="shared" ca="1" si="3"/>
        <v>281.55051103715095</v>
      </c>
      <c r="AJ11">
        <f t="shared" ca="1" si="3"/>
        <v>251.47784903485609</v>
      </c>
      <c r="AL11">
        <f t="shared" ca="1" si="3"/>
        <v>293.23516616423728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14.612432136703781</v>
      </c>
      <c r="Q12">
        <f t="shared" ca="1" si="2"/>
        <v>10.350396309044415</v>
      </c>
      <c r="R12">
        <f t="shared" ca="1" si="2"/>
        <v>14.884773603416592</v>
      </c>
      <c r="S12">
        <f t="shared" ca="1" si="2"/>
        <v>12.860069967187089</v>
      </c>
      <c r="T12">
        <f t="shared" ca="1" si="2"/>
        <v>13.071402437829555</v>
      </c>
      <c r="U12">
        <f t="shared" ca="1" si="2"/>
        <v>10.578675371140424</v>
      </c>
      <c r="V12">
        <f t="shared" ca="1" si="2"/>
        <v>14.498959898392901</v>
      </c>
      <c r="W12">
        <f t="shared" ca="1" si="2"/>
        <v>13.380751079270237</v>
      </c>
      <c r="X12">
        <f t="shared" ca="1" si="2"/>
        <v>10.426457024669732</v>
      </c>
      <c r="AA12" s="1" t="s">
        <v>14</v>
      </c>
      <c r="AB12">
        <v>500</v>
      </c>
      <c r="AC12">
        <f t="shared" ca="1" si="3"/>
        <v>259.57710613453321</v>
      </c>
      <c r="AD12">
        <f t="shared" ca="1" si="3"/>
        <v>260.21826124106491</v>
      </c>
      <c r="AE12">
        <f t="shared" ca="1" si="3"/>
        <v>261.54977821925331</v>
      </c>
      <c r="AF12">
        <f t="shared" ca="1" si="3"/>
        <v>268.68338051798281</v>
      </c>
      <c r="AG12">
        <f t="shared" ca="1" si="3"/>
        <v>262.41792075260935</v>
      </c>
      <c r="AH12">
        <f t="shared" ca="1" si="3"/>
        <v>269.69747965537277</v>
      </c>
      <c r="AI12">
        <f t="shared" ca="1" si="3"/>
        <v>252.25814063030484</v>
      </c>
      <c r="AJ12">
        <f t="shared" ca="1" si="3"/>
        <v>282.02846654449894</v>
      </c>
      <c r="AK12">
        <f t="shared" ca="1" si="3"/>
        <v>289.70006148786098</v>
      </c>
    </row>
    <row r="18" spans="1:21">
      <c r="A18" t="s">
        <v>62</v>
      </c>
    </row>
    <row r="19" spans="1:21">
      <c r="A19" t="s">
        <v>61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sheetCalcPr fullCalcOnLoad="1"/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16" sqref="B10:B16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</sheetData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topLeftCell="A27" zoomScale="85" zoomScaleNormal="85" workbookViewId="0">
      <selection activeCell="A3" sqref="A3:A68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t="shared" ref="C3:C34" ca="1" si="2">RAND()*0.1+0.2</f>
        <v>0.28772220938879162</v>
      </c>
      <c r="D3" s="2">
        <f t="shared" ref="D3:AH11" ca="1" si="3">RAND()*0.1+0.2</f>
        <v>0.27119113386145111</v>
      </c>
      <c r="E3" s="2">
        <f t="shared" ca="1" si="3"/>
        <v>0.21023161252977596</v>
      </c>
      <c r="F3" s="2">
        <f t="shared" ca="1" si="3"/>
        <v>0.27753274002522882</v>
      </c>
      <c r="G3" s="2">
        <f t="shared" ca="1" si="3"/>
        <v>0.24227439559535055</v>
      </c>
      <c r="H3" s="2">
        <f t="shared" ca="1" si="3"/>
        <v>0.23458288273841804</v>
      </c>
      <c r="I3" s="2">
        <f t="shared" ca="1" si="3"/>
        <v>0.20017993517674129</v>
      </c>
      <c r="J3" s="2">
        <f t="shared" ca="1" si="3"/>
        <v>0.23719377807470027</v>
      </c>
      <c r="K3" s="2">
        <f t="shared" ca="1" si="3"/>
        <v>0.2145124681649104</v>
      </c>
      <c r="L3" s="2">
        <f t="shared" ca="1" si="3"/>
        <v>0.21659281203770825</v>
      </c>
      <c r="M3" s="2">
        <f t="shared" ca="1" si="3"/>
        <v>0.24228366730999612</v>
      </c>
      <c r="N3" s="2">
        <f t="shared" ca="1" si="3"/>
        <v>0.29350536985836201</v>
      </c>
      <c r="O3" s="2">
        <f t="shared" ca="1" si="3"/>
        <v>0.28615157810752373</v>
      </c>
      <c r="P3" s="2">
        <f t="shared" ca="1" si="3"/>
        <v>0.2813203689079673</v>
      </c>
      <c r="Q3" s="2">
        <f t="shared" ca="1" si="3"/>
        <v>0.23299410807675103</v>
      </c>
      <c r="R3" s="2">
        <f t="shared" ca="1" si="3"/>
        <v>0.21489390278505366</v>
      </c>
      <c r="S3" s="2">
        <f t="shared" ca="1" si="3"/>
        <v>0.28861029601477639</v>
      </c>
      <c r="T3" s="2">
        <f t="shared" ca="1" si="3"/>
        <v>0.21134852158287334</v>
      </c>
      <c r="U3" s="2">
        <f t="shared" ca="1" si="3"/>
        <v>0.27707028872757156</v>
      </c>
      <c r="V3" s="2">
        <f t="shared" ca="1" si="3"/>
        <v>0.23687740470443938</v>
      </c>
      <c r="W3" s="2">
        <f t="shared" ca="1" si="3"/>
        <v>0.21280670096820889</v>
      </c>
      <c r="X3" s="2">
        <f t="shared" ca="1" si="3"/>
        <v>0.28937743272029631</v>
      </c>
      <c r="Y3" s="2">
        <f t="shared" ca="1" si="3"/>
        <v>0.24455435266139269</v>
      </c>
      <c r="Z3" s="2">
        <f t="shared" ca="1" si="3"/>
        <v>0.21698592738792133</v>
      </c>
      <c r="AA3" s="2">
        <f t="shared" ca="1" si="3"/>
        <v>0.2844651416584833</v>
      </c>
      <c r="AB3" s="2">
        <f t="shared" ca="1" si="3"/>
        <v>0.29370105414731279</v>
      </c>
      <c r="AC3" s="2">
        <f t="shared" ca="1" si="3"/>
        <v>0.20280266691158441</v>
      </c>
      <c r="AD3" s="2">
        <f t="shared" ca="1" si="3"/>
        <v>0.24974208663675154</v>
      </c>
      <c r="AE3" s="2">
        <f t="shared" ca="1" si="3"/>
        <v>0.22763397025191279</v>
      </c>
      <c r="AF3" s="2">
        <f t="shared" ca="1" si="3"/>
        <v>0.22281304588418493</v>
      </c>
      <c r="AG3" s="2">
        <f t="shared" ca="1" si="3"/>
        <v>0.25191765446778608</v>
      </c>
      <c r="AH3" s="2">
        <f t="shared" ca="1" si="3"/>
        <v>0.23187003429704039</v>
      </c>
    </row>
    <row r="4" spans="1:34">
      <c r="A4" t="str">
        <f>sets!$H$3</f>
        <v>Teff</v>
      </c>
      <c r="B4" t="str">
        <v>Afar</v>
      </c>
      <c r="C4" s="2">
        <f t="shared" ca="1" si="2"/>
        <v>0.28881456525085836</v>
      </c>
      <c r="D4" s="2">
        <f t="shared" ca="1" si="3"/>
        <v>0.26081250348739826</v>
      </c>
      <c r="E4" s="2">
        <f t="shared" ca="1" si="3"/>
        <v>0.24140241438420412</v>
      </c>
      <c r="F4" s="2">
        <f t="shared" ca="1" si="3"/>
        <v>0.22274583667190606</v>
      </c>
      <c r="G4" s="2">
        <f t="shared" ca="1" si="3"/>
        <v>0.21409093445528735</v>
      </c>
      <c r="H4" s="2">
        <f t="shared" ca="1" si="3"/>
        <v>0.23217880665730156</v>
      </c>
      <c r="I4" s="2">
        <f t="shared" ca="1" si="3"/>
        <v>0.28674364887905629</v>
      </c>
      <c r="J4" s="2">
        <f t="shared" ca="1" si="3"/>
        <v>0.25281578875852662</v>
      </c>
      <c r="K4" s="2">
        <f t="shared" ca="1" si="3"/>
        <v>0.24901818482399959</v>
      </c>
      <c r="L4" s="2">
        <f t="shared" ca="1" si="3"/>
        <v>0.22332981354770962</v>
      </c>
      <c r="M4" s="2">
        <f t="shared" ca="1" si="3"/>
        <v>0.21708535879166918</v>
      </c>
      <c r="N4" s="2">
        <f t="shared" ca="1" si="3"/>
        <v>0.28892125775456251</v>
      </c>
      <c r="O4" s="2">
        <f t="shared" ca="1" si="3"/>
        <v>0.25846711170005215</v>
      </c>
      <c r="P4" s="2">
        <f t="shared" ca="1" si="3"/>
        <v>0.28390143168574744</v>
      </c>
      <c r="Q4" s="2">
        <f t="shared" ca="1" si="3"/>
        <v>0.24268166974476144</v>
      </c>
      <c r="R4" s="2">
        <f t="shared" ca="1" si="3"/>
        <v>0.28399158263299057</v>
      </c>
      <c r="S4" s="2">
        <f t="shared" ca="1" si="3"/>
        <v>0.25229406825441941</v>
      </c>
      <c r="T4" s="2">
        <f t="shared" ca="1" si="3"/>
        <v>0.22360739484444508</v>
      </c>
      <c r="U4" s="2">
        <f t="shared" ca="1" si="3"/>
        <v>0.2746266207071652</v>
      </c>
      <c r="V4" s="2">
        <f t="shared" ca="1" si="3"/>
        <v>0.25666441995716305</v>
      </c>
      <c r="W4" s="2">
        <f t="shared" ca="1" si="3"/>
        <v>0.26798658766363553</v>
      </c>
      <c r="X4" s="2">
        <f t="shared" ca="1" si="3"/>
        <v>0.28953310242727098</v>
      </c>
      <c r="Y4" s="2">
        <f t="shared" ca="1" si="3"/>
        <v>0.21441337661490986</v>
      </c>
      <c r="Z4" s="2">
        <f t="shared" ca="1" si="3"/>
        <v>0.26451478868069445</v>
      </c>
      <c r="AA4" s="2">
        <f t="shared" ca="1" si="3"/>
        <v>0.20907799253603834</v>
      </c>
      <c r="AB4" s="2">
        <f t="shared" ca="1" si="3"/>
        <v>0.235193639834303</v>
      </c>
      <c r="AC4" s="2">
        <f t="shared" ca="1" si="3"/>
        <v>0.2584618473432968</v>
      </c>
      <c r="AD4" s="2">
        <f t="shared" ca="1" si="3"/>
        <v>0.2133348161749852</v>
      </c>
      <c r="AE4" s="2">
        <f t="shared" ca="1" si="3"/>
        <v>0.28015663322758949</v>
      </c>
      <c r="AF4" s="2">
        <f t="shared" ca="1" si="3"/>
        <v>0.25996968252316743</v>
      </c>
      <c r="AG4" s="2">
        <f t="shared" ca="1" si="3"/>
        <v>0.21203372888968436</v>
      </c>
      <c r="AH4" s="2">
        <f t="shared" ca="1" si="3"/>
        <v>0.24049449202647288</v>
      </c>
    </row>
    <row r="5" spans="1:34">
      <c r="A5" t="str">
        <f>sets!$H$3</f>
        <v>Teff</v>
      </c>
      <c r="B5" t="str">
        <v>Amhara</v>
      </c>
      <c r="C5" s="2">
        <f t="shared" ca="1" si="2"/>
        <v>0.28374152568250799</v>
      </c>
      <c r="D5" s="2">
        <f t="shared" ca="1" si="3"/>
        <v>0.24209656258819059</v>
      </c>
      <c r="E5" s="2">
        <f t="shared" ca="1" si="3"/>
        <v>0.29779854318908061</v>
      </c>
      <c r="F5" s="2">
        <f t="shared" ca="1" si="3"/>
        <v>0.21958131533857822</v>
      </c>
      <c r="G5" s="2">
        <f t="shared" ca="1" si="3"/>
        <v>0.29634316581458142</v>
      </c>
      <c r="H5" s="2">
        <f t="shared" ca="1" si="3"/>
        <v>0.26475432425923384</v>
      </c>
      <c r="I5" s="2">
        <f t="shared" ca="1" si="3"/>
        <v>0.23964781596442977</v>
      </c>
      <c r="J5" s="2">
        <f t="shared" ca="1" si="3"/>
        <v>0.21624313415608304</v>
      </c>
      <c r="K5" s="2">
        <f t="shared" ca="1" si="3"/>
        <v>0.25025587595368592</v>
      </c>
      <c r="L5" s="2">
        <f t="shared" ca="1" si="3"/>
        <v>0.27790179667728421</v>
      </c>
      <c r="M5" s="2">
        <f t="shared" ca="1" si="3"/>
        <v>0.2919854636611337</v>
      </c>
      <c r="N5" s="2">
        <f t="shared" ca="1" si="3"/>
        <v>0.25130609358816836</v>
      </c>
      <c r="O5" s="2">
        <f t="shared" ca="1" si="3"/>
        <v>0.2122694620219352</v>
      </c>
      <c r="P5" s="2">
        <f t="shared" ca="1" si="3"/>
        <v>0.25188516831735264</v>
      </c>
      <c r="Q5" s="2">
        <f t="shared" ca="1" si="3"/>
        <v>0.22414618137367151</v>
      </c>
      <c r="R5" s="2">
        <f t="shared" ca="1" si="3"/>
        <v>0.20106488061432634</v>
      </c>
      <c r="S5" s="2">
        <f t="shared" ca="1" si="3"/>
        <v>0.22704953298342853</v>
      </c>
      <c r="T5" s="2">
        <f t="shared" ca="1" si="3"/>
        <v>0.27853155541020769</v>
      </c>
      <c r="U5" s="2">
        <f t="shared" ca="1" si="3"/>
        <v>0.25276852568106234</v>
      </c>
      <c r="V5" s="2">
        <f t="shared" ca="1" si="3"/>
        <v>0.206447268120456</v>
      </c>
      <c r="W5" s="2">
        <f t="shared" ca="1" si="3"/>
        <v>0.2542235837844094</v>
      </c>
      <c r="X5" s="2">
        <f t="shared" ca="1" si="3"/>
        <v>0.22978073851861397</v>
      </c>
      <c r="Y5" s="2">
        <f t="shared" ca="1" si="3"/>
        <v>0.21090642264146547</v>
      </c>
      <c r="Z5" s="2">
        <f t="shared" ca="1" si="3"/>
        <v>0.27671613618551316</v>
      </c>
      <c r="AA5" s="2">
        <f t="shared" ca="1" si="3"/>
        <v>0.28225292936269331</v>
      </c>
      <c r="AB5" s="2">
        <f t="shared" ca="1" si="3"/>
        <v>0.23411348314340999</v>
      </c>
      <c r="AC5" s="2">
        <f t="shared" ca="1" si="3"/>
        <v>0.28688220742683423</v>
      </c>
      <c r="AD5" s="2">
        <f t="shared" ca="1" si="3"/>
        <v>0.23512525257562028</v>
      </c>
      <c r="AE5" s="2">
        <f t="shared" ca="1" si="3"/>
        <v>0.20932302789055313</v>
      </c>
      <c r="AF5" s="2">
        <f t="shared" ca="1" si="3"/>
        <v>0.20346616015563215</v>
      </c>
      <c r="AG5" s="2">
        <f t="shared" ca="1" si="3"/>
        <v>0.22828331282102332</v>
      </c>
      <c r="AH5" s="2">
        <f t="shared" ca="1" si="3"/>
        <v>0.20526899549856698</v>
      </c>
    </row>
    <row r="6" spans="1:34">
      <c r="A6" t="str">
        <f>sets!$H$3</f>
        <v>Teff</v>
      </c>
      <c r="B6" t="str">
        <v>Gumuz</v>
      </c>
      <c r="C6" s="2">
        <f t="shared" ca="1" si="2"/>
        <v>0.27128509312557114</v>
      </c>
      <c r="D6" s="2">
        <f t="shared" ca="1" si="3"/>
        <v>0.22262257115416634</v>
      </c>
      <c r="E6" s="2">
        <f t="shared" ca="1" si="3"/>
        <v>0.28709229845883993</v>
      </c>
      <c r="F6" s="2">
        <f t="shared" ca="1" si="3"/>
        <v>0.27513066429138561</v>
      </c>
      <c r="G6" s="2">
        <f t="shared" ca="1" si="3"/>
        <v>0.29700133495866526</v>
      </c>
      <c r="H6" s="2">
        <f t="shared" ca="1" si="3"/>
        <v>0.21363417075715754</v>
      </c>
      <c r="I6" s="2">
        <f t="shared" ca="1" si="3"/>
        <v>0.20933042462049573</v>
      </c>
      <c r="J6" s="2">
        <f t="shared" ca="1" si="3"/>
        <v>0.24345076993601361</v>
      </c>
      <c r="K6" s="2">
        <f t="shared" ca="1" si="3"/>
        <v>0.24328531922360741</v>
      </c>
      <c r="L6" s="2">
        <f t="shared" ca="1" si="3"/>
        <v>0.21737765229564254</v>
      </c>
      <c r="M6" s="2">
        <f t="shared" ca="1" si="3"/>
        <v>0.21226869888865157</v>
      </c>
      <c r="N6" s="2">
        <f t="shared" ca="1" si="3"/>
        <v>0.21140413253941595</v>
      </c>
      <c r="O6" s="2">
        <f t="shared" ca="1" si="3"/>
        <v>0.2524946084139813</v>
      </c>
      <c r="P6" s="2">
        <f t="shared" ca="1" si="3"/>
        <v>0.22094047083675913</v>
      </c>
      <c r="Q6" s="2">
        <f t="shared" ca="1" si="3"/>
        <v>0.20549049142646167</v>
      </c>
      <c r="R6" s="2">
        <f t="shared" ca="1" si="3"/>
        <v>0.20224758179389662</v>
      </c>
      <c r="S6" s="2">
        <f t="shared" ca="1" si="3"/>
        <v>0.24795189526239911</v>
      </c>
      <c r="T6" s="2">
        <f t="shared" ca="1" si="3"/>
        <v>0.24909257536055776</v>
      </c>
      <c r="U6" s="2">
        <f t="shared" ca="1" si="3"/>
        <v>0.25585910920893318</v>
      </c>
      <c r="V6" s="2">
        <f t="shared" ca="1" si="3"/>
        <v>0.24277205593239792</v>
      </c>
      <c r="W6" s="2">
        <f t="shared" ca="1" si="3"/>
        <v>0.27995460194649063</v>
      </c>
      <c r="X6" s="2">
        <f t="shared" ca="1" si="3"/>
        <v>0.27247013868448544</v>
      </c>
      <c r="Y6" s="2">
        <f t="shared" ca="1" si="3"/>
        <v>0.23827788937969593</v>
      </c>
      <c r="Z6" s="2">
        <f t="shared" ca="1" si="3"/>
        <v>0.25301376537191111</v>
      </c>
      <c r="AA6" s="2">
        <f t="shared" ca="1" si="3"/>
        <v>0.23007969069990525</v>
      </c>
      <c r="AB6" s="2">
        <f t="shared" ca="1" si="3"/>
        <v>0.29818217895286259</v>
      </c>
      <c r="AC6" s="2">
        <f t="shared" ca="1" si="3"/>
        <v>0.28567655998136926</v>
      </c>
      <c r="AD6" s="2">
        <f t="shared" ca="1" si="3"/>
        <v>0.20930978835843761</v>
      </c>
      <c r="AE6" s="2">
        <f t="shared" ca="1" si="3"/>
        <v>0.26576878402650539</v>
      </c>
      <c r="AF6" s="2">
        <f t="shared" ca="1" si="3"/>
        <v>0.20268736760347678</v>
      </c>
      <c r="AG6" s="2">
        <f t="shared" ca="1" si="3"/>
        <v>0.22539004111055277</v>
      </c>
      <c r="AH6" s="2">
        <f t="shared" ca="1" si="3"/>
        <v>0.28478360961613086</v>
      </c>
    </row>
    <row r="7" spans="1:34">
      <c r="A7" t="str">
        <f>sets!$H$3</f>
        <v>Teff</v>
      </c>
      <c r="B7" t="str">
        <v>DireDawa</v>
      </c>
      <c r="C7" s="2">
        <f t="shared" ca="1" si="2"/>
        <v>0.29675190490768033</v>
      </c>
      <c r="D7" s="2">
        <f t="shared" ca="1" si="3"/>
        <v>0.25014230267465537</v>
      </c>
      <c r="E7" s="2">
        <f t="shared" ca="1" si="3"/>
        <v>0.26047619948410805</v>
      </c>
      <c r="F7" s="2">
        <f t="shared" ca="1" si="3"/>
        <v>0.22130300854114085</v>
      </c>
      <c r="G7" s="2">
        <f t="shared" ca="1" si="3"/>
        <v>0.24580040223445176</v>
      </c>
      <c r="H7" s="2">
        <f t="shared" ca="1" si="3"/>
        <v>0.21406023679161462</v>
      </c>
      <c r="I7" s="2">
        <f t="shared" ca="1" si="3"/>
        <v>0.29423927872561584</v>
      </c>
      <c r="J7" s="2">
        <f t="shared" ca="1" si="3"/>
        <v>0.23022305840472185</v>
      </c>
      <c r="K7" s="2">
        <f t="shared" ca="1" si="3"/>
        <v>0.24767703829867813</v>
      </c>
      <c r="L7" s="2">
        <f t="shared" ca="1" si="3"/>
        <v>0.26324619878121991</v>
      </c>
      <c r="M7" s="2">
        <f t="shared" ca="1" si="3"/>
        <v>0.27475813551293332</v>
      </c>
      <c r="N7" s="2">
        <f t="shared" ca="1" si="3"/>
        <v>0.26985105560402106</v>
      </c>
      <c r="O7" s="2">
        <f t="shared" ca="1" si="3"/>
        <v>0.20461931127289382</v>
      </c>
      <c r="P7" s="2">
        <f t="shared" ca="1" si="3"/>
        <v>0.26813634396106878</v>
      </c>
      <c r="Q7" s="2">
        <f t="shared" ca="1" si="3"/>
        <v>0.24111707895851098</v>
      </c>
      <c r="R7" s="2">
        <f t="shared" ca="1" si="3"/>
        <v>0.23569594311141981</v>
      </c>
      <c r="S7" s="2">
        <f t="shared" ca="1" si="3"/>
        <v>0.25935674991137131</v>
      </c>
      <c r="T7" s="2">
        <f t="shared" ca="1" si="3"/>
        <v>0.24720502048287679</v>
      </c>
      <c r="U7" s="2">
        <f t="shared" ca="1" si="3"/>
        <v>0.26078853520253398</v>
      </c>
      <c r="V7" s="2">
        <f t="shared" ca="1" si="3"/>
        <v>0.2240315012650709</v>
      </c>
      <c r="W7" s="2">
        <f t="shared" ca="1" si="3"/>
        <v>0.25013329558952191</v>
      </c>
      <c r="X7" s="2">
        <f t="shared" ca="1" si="3"/>
        <v>0.25656505069059277</v>
      </c>
      <c r="Y7" s="2">
        <f t="shared" ca="1" si="3"/>
        <v>0.28427080296092433</v>
      </c>
      <c r="Z7" s="2">
        <f t="shared" ca="1" si="3"/>
        <v>0.21513435272475842</v>
      </c>
      <c r="AA7" s="2">
        <f t="shared" ca="1" si="3"/>
        <v>0.22717149527446556</v>
      </c>
      <c r="AB7" s="2">
        <f t="shared" ca="1" si="3"/>
        <v>0.21560165672501766</v>
      </c>
      <c r="AC7" s="2">
        <f t="shared" ca="1" si="3"/>
        <v>0.28665035772005931</v>
      </c>
      <c r="AD7" s="2">
        <f t="shared" ca="1" si="3"/>
        <v>0.26852666164381755</v>
      </c>
      <c r="AE7" s="2">
        <f t="shared" ca="1" si="3"/>
        <v>0.22493627885895934</v>
      </c>
      <c r="AF7" s="2">
        <f t="shared" ca="1" si="3"/>
        <v>0.23638130834090881</v>
      </c>
      <c r="AG7" s="2">
        <f t="shared" ca="1" si="3"/>
        <v>0.23991996010217637</v>
      </c>
      <c r="AH7" s="2">
        <f t="shared" ca="1" si="3"/>
        <v>0.24477918318017394</v>
      </c>
    </row>
    <row r="8" spans="1:34">
      <c r="A8" t="str">
        <f>sets!$H$3</f>
        <v>Teff</v>
      </c>
      <c r="B8" t="str">
        <v>Gambela</v>
      </c>
      <c r="C8" s="2">
        <f t="shared" ca="1" si="2"/>
        <v>0.21936983448157696</v>
      </c>
      <c r="D8" s="2">
        <f t="shared" ca="1" si="3"/>
        <v>0.2435912892394225</v>
      </c>
      <c r="E8" s="2">
        <f t="shared" ca="1" si="3"/>
        <v>0.28148866203539857</v>
      </c>
      <c r="F8" s="2">
        <f t="shared" ca="1" si="3"/>
        <v>0.27303446451542951</v>
      </c>
      <c r="G8" s="2">
        <f t="shared" ca="1" si="3"/>
        <v>0.24488922680176056</v>
      </c>
      <c r="H8" s="2">
        <f t="shared" ca="1" si="3"/>
        <v>0.28782715409678067</v>
      </c>
      <c r="I8" s="2">
        <f t="shared" ca="1" si="3"/>
        <v>0.24239805275342885</v>
      </c>
      <c r="J8" s="2">
        <f t="shared" ca="1" si="3"/>
        <v>0.26447306769400514</v>
      </c>
      <c r="K8" s="2">
        <f t="shared" ca="1" si="3"/>
        <v>0.23857409742276672</v>
      </c>
      <c r="L8" s="2">
        <f t="shared" ca="1" si="3"/>
        <v>0.22731638732743842</v>
      </c>
      <c r="M8" s="2">
        <f t="shared" ca="1" si="3"/>
        <v>0.232967617931367</v>
      </c>
      <c r="N8" s="2">
        <f t="shared" ca="1" si="3"/>
        <v>0.21681029252019751</v>
      </c>
      <c r="O8" s="2">
        <f t="shared" ca="1" si="3"/>
        <v>0.26580997452737415</v>
      </c>
      <c r="P8" s="2">
        <f t="shared" ca="1" si="3"/>
        <v>0.25346883834780626</v>
      </c>
      <c r="Q8" s="2">
        <f t="shared" ca="1" si="3"/>
        <v>0.28260656318941091</v>
      </c>
      <c r="R8" s="2">
        <f t="shared" ca="1" si="3"/>
        <v>0.20339503763213365</v>
      </c>
      <c r="S8" s="2">
        <f t="shared" ca="1" si="3"/>
        <v>0.29259535932598391</v>
      </c>
      <c r="T8" s="2">
        <f t="shared" ca="1" si="3"/>
        <v>0.26092995750196457</v>
      </c>
      <c r="U8" s="2">
        <f t="shared" ca="1" si="3"/>
        <v>0.21076722491904482</v>
      </c>
      <c r="V8" s="2">
        <f t="shared" ca="1" si="3"/>
        <v>0.23072023949922332</v>
      </c>
      <c r="W8" s="2">
        <f t="shared" ca="1" si="3"/>
        <v>0.23958457737525779</v>
      </c>
      <c r="X8" s="2">
        <f t="shared" ca="1" si="3"/>
        <v>0.24932820283331922</v>
      </c>
      <c r="Y8" s="2">
        <f t="shared" ca="1" si="3"/>
        <v>0.21039550364616549</v>
      </c>
      <c r="Z8" s="2">
        <f t="shared" ca="1" si="3"/>
        <v>0.21706456660959172</v>
      </c>
      <c r="AA8" s="2">
        <f t="shared" ca="1" si="3"/>
        <v>0.21635072450744736</v>
      </c>
      <c r="AB8" s="2">
        <f t="shared" ca="1" si="3"/>
        <v>0.25574398494565809</v>
      </c>
      <c r="AC8" s="2">
        <f t="shared" ca="1" si="3"/>
        <v>0.2151313144105183</v>
      </c>
      <c r="AD8" s="2">
        <f t="shared" ca="1" si="3"/>
        <v>0.20084699258971059</v>
      </c>
      <c r="AE8" s="2">
        <f t="shared" ca="1" si="3"/>
        <v>0.25571791077492345</v>
      </c>
      <c r="AF8" s="2">
        <f t="shared" ca="1" si="3"/>
        <v>0.24438614266230776</v>
      </c>
      <c r="AG8" s="2">
        <f t="shared" ca="1" si="3"/>
        <v>0.23959948409899687</v>
      </c>
      <c r="AH8" s="2">
        <f t="shared" ca="1" si="3"/>
        <v>0.26873005999974087</v>
      </c>
    </row>
    <row r="9" spans="1:34">
      <c r="A9" t="str">
        <f>sets!$H$3</f>
        <v>Teff</v>
      </c>
      <c r="B9" t="str">
        <v>Harari</v>
      </c>
      <c r="C9" s="2">
        <f t="shared" ca="1" si="2"/>
        <v>0.2557310605696107</v>
      </c>
      <c r="D9" s="2">
        <f t="shared" ca="1" si="3"/>
        <v>0.29273869203118857</v>
      </c>
      <c r="E9" s="2">
        <f t="shared" ca="1" si="3"/>
        <v>0.21024826742059619</v>
      </c>
      <c r="F9" s="2">
        <f t="shared" ca="1" si="3"/>
        <v>0.23930046905545713</v>
      </c>
      <c r="G9" s="2">
        <f t="shared" ca="1" si="3"/>
        <v>0.23583809342076503</v>
      </c>
      <c r="H9" s="2">
        <f t="shared" ca="1" si="3"/>
        <v>0.28841049491430487</v>
      </c>
      <c r="I9" s="2">
        <f t="shared" ca="1" si="3"/>
        <v>0.27639845473598185</v>
      </c>
      <c r="J9" s="2">
        <f t="shared" ca="1" si="3"/>
        <v>0.22382757006257209</v>
      </c>
      <c r="K9" s="2">
        <f t="shared" ca="1" si="3"/>
        <v>0.27028879895552305</v>
      </c>
      <c r="L9" s="2">
        <f t="shared" ca="1" si="3"/>
        <v>0.23447367354037973</v>
      </c>
      <c r="M9" s="2">
        <f t="shared" ca="1" si="3"/>
        <v>0.25397613691298337</v>
      </c>
      <c r="N9" s="2">
        <f t="shared" ca="1" si="3"/>
        <v>0.24630300168771846</v>
      </c>
      <c r="O9" s="2">
        <f t="shared" ca="1" si="3"/>
        <v>0.26297991568264328</v>
      </c>
      <c r="P9" s="2">
        <f t="shared" ca="1" si="3"/>
        <v>0.2330728404578023</v>
      </c>
      <c r="Q9" s="2">
        <f t="shared" ca="1" si="3"/>
        <v>0.2722713948957603</v>
      </c>
      <c r="R9" s="2">
        <f t="shared" ca="1" si="3"/>
        <v>0.2043468197292504</v>
      </c>
      <c r="S9" s="2">
        <f t="shared" ca="1" si="3"/>
        <v>0.29832667405243296</v>
      </c>
      <c r="T9" s="2">
        <f t="shared" ca="1" si="3"/>
        <v>0.26448457453872531</v>
      </c>
      <c r="U9" s="2">
        <f t="shared" ca="1" si="3"/>
        <v>0.20058024722663811</v>
      </c>
      <c r="V9" s="2">
        <f t="shared" ca="1" si="3"/>
        <v>0.22625831377861244</v>
      </c>
      <c r="W9" s="2">
        <f t="shared" ca="1" si="3"/>
        <v>0.23239109257926854</v>
      </c>
      <c r="X9" s="2">
        <f t="shared" ca="1" si="3"/>
        <v>0.23892334863526202</v>
      </c>
      <c r="Y9" s="2">
        <f t="shared" ca="1" si="3"/>
        <v>0.27867509232777837</v>
      </c>
      <c r="Z9" s="2">
        <f t="shared" ca="1" si="3"/>
        <v>0.28940325188711291</v>
      </c>
      <c r="AA9" s="2">
        <f t="shared" ca="1" si="3"/>
        <v>0.29138493081475025</v>
      </c>
      <c r="AB9" s="2">
        <f t="shared" ca="1" si="3"/>
        <v>0.28407615655255014</v>
      </c>
      <c r="AC9" s="2">
        <f t="shared" ca="1" si="3"/>
        <v>0.2796885190967876</v>
      </c>
      <c r="AD9" s="2">
        <f t="shared" ca="1" si="3"/>
        <v>0.26398796367508953</v>
      </c>
      <c r="AE9" s="2">
        <f t="shared" ca="1" si="3"/>
        <v>0.29003328038386106</v>
      </c>
      <c r="AF9" s="2">
        <f t="shared" ca="1" si="3"/>
        <v>0.28847272090545595</v>
      </c>
      <c r="AG9" s="2">
        <f t="shared" ca="1" si="3"/>
        <v>0.27879900560170223</v>
      </c>
      <c r="AH9" s="2">
        <f t="shared" ca="1" si="3"/>
        <v>0.20563256372057259</v>
      </c>
    </row>
    <row r="10" spans="1:34">
      <c r="A10" t="str">
        <f>sets!$H$3</f>
        <v>Teff</v>
      </c>
      <c r="B10" t="str">
        <v>Oromia</v>
      </c>
      <c r="C10" s="2">
        <f t="shared" ca="1" si="2"/>
        <v>0.25165728781364893</v>
      </c>
      <c r="D10" s="2">
        <f t="shared" ca="1" si="3"/>
        <v>0.20154743793006846</v>
      </c>
      <c r="E10" s="2">
        <f t="shared" ca="1" si="3"/>
        <v>0.29354060712681174</v>
      </c>
      <c r="F10" s="2">
        <f t="shared" ca="1" si="3"/>
        <v>0.25102476824987918</v>
      </c>
      <c r="G10" s="2">
        <f t="shared" ca="1" si="3"/>
        <v>0.26629814526361173</v>
      </c>
      <c r="H10" s="2">
        <f t="shared" ca="1" si="3"/>
        <v>0.28925568649565903</v>
      </c>
      <c r="I10" s="2">
        <f t="shared" ca="1" si="3"/>
        <v>0.29032675327380586</v>
      </c>
      <c r="J10" s="2">
        <f t="shared" ca="1" si="3"/>
        <v>0.22045982744621401</v>
      </c>
      <c r="K10" s="2">
        <f t="shared" ca="1" si="3"/>
        <v>0.23743481166795247</v>
      </c>
      <c r="L10" s="2">
        <f t="shared" ca="1" si="3"/>
        <v>0.22366850564857615</v>
      </c>
      <c r="M10" s="2">
        <f t="shared" ca="1" si="3"/>
        <v>0.29780578395506052</v>
      </c>
      <c r="N10" s="2">
        <f t="shared" ca="1" si="3"/>
        <v>0.20420337438778891</v>
      </c>
      <c r="O10" s="2">
        <f t="shared" ca="1" si="3"/>
        <v>0.2539275947860572</v>
      </c>
      <c r="P10" s="2">
        <f t="shared" ca="1" si="3"/>
        <v>0.22601021675750851</v>
      </c>
      <c r="Q10" s="2">
        <f t="shared" ca="1" si="3"/>
        <v>0.25143353489586773</v>
      </c>
      <c r="R10" s="2">
        <f t="shared" ca="1" si="3"/>
        <v>0.29895508405963467</v>
      </c>
      <c r="S10" s="2">
        <f t="shared" ca="1" si="3"/>
        <v>0.27352333727924977</v>
      </c>
      <c r="T10" s="2">
        <f t="shared" ca="1" si="3"/>
        <v>0.260427383733707</v>
      </c>
      <c r="U10" s="2">
        <f t="shared" ca="1" si="3"/>
        <v>0.2844356733225607</v>
      </c>
      <c r="V10" s="2">
        <f t="shared" ca="1" si="3"/>
        <v>0.2374749680126223</v>
      </c>
      <c r="W10" s="2">
        <f t="shared" ca="1" si="3"/>
        <v>0.24107832420414865</v>
      </c>
      <c r="X10" s="2">
        <f t="shared" ca="1" si="3"/>
        <v>0.26168778205453164</v>
      </c>
      <c r="Y10" s="2">
        <f t="shared" ca="1" si="3"/>
        <v>0.21056654373601916</v>
      </c>
      <c r="Z10" s="2">
        <f t="shared" ca="1" si="3"/>
        <v>0.24647351676498463</v>
      </c>
      <c r="AA10" s="2">
        <f t="shared" ca="1" si="3"/>
        <v>0.25362862005985987</v>
      </c>
      <c r="AB10" s="2">
        <f t="shared" ca="1" si="3"/>
        <v>0.26498314860410066</v>
      </c>
      <c r="AC10" s="2">
        <f t="shared" ca="1" si="3"/>
        <v>0.27743236539706739</v>
      </c>
      <c r="AD10" s="2">
        <f t="shared" ca="1" si="3"/>
        <v>0.27002636717160916</v>
      </c>
      <c r="AE10" s="2">
        <f t="shared" ca="1" si="3"/>
        <v>0.22849925268949989</v>
      </c>
      <c r="AF10" s="2">
        <f t="shared" ca="1" si="3"/>
        <v>0.27147501250346617</v>
      </c>
      <c r="AG10" s="2">
        <f t="shared" ca="1" si="3"/>
        <v>0.22420227415915855</v>
      </c>
      <c r="AH10" s="2">
        <f t="shared" ca="1" si="3"/>
        <v>0.26582478700424023</v>
      </c>
    </row>
    <row r="11" spans="1:34">
      <c r="A11" t="str">
        <f>sets!$H$3</f>
        <v>Teff</v>
      </c>
      <c r="B11" t="str">
        <v>Somali</v>
      </c>
      <c r="C11" s="2">
        <f t="shared" ca="1" si="2"/>
        <v>0.29424342291880523</v>
      </c>
      <c r="D11" s="2">
        <f t="shared" ca="1" si="3"/>
        <v>0.24827971629582413</v>
      </c>
      <c r="E11" s="2">
        <f t="shared" ca="1" si="3"/>
        <v>0.27469245622464711</v>
      </c>
      <c r="F11" s="2">
        <f t="shared" ca="1" si="3"/>
        <v>0.23703626261232003</v>
      </c>
      <c r="G11" s="2">
        <f t="shared" ca="1" si="3"/>
        <v>0.22840035516890972</v>
      </c>
      <c r="H11" s="2">
        <f t="shared" ca="1" si="3"/>
        <v>0.28267294339413912</v>
      </c>
      <c r="I11" s="2">
        <f t="shared" ca="1" si="3"/>
        <v>0.29889600370713826</v>
      </c>
      <c r="J11" s="2">
        <f t="shared" ca="1" si="3"/>
        <v>0.26797764843496613</v>
      </c>
      <c r="K11" s="2">
        <f t="shared" ref="K11:Z20" ca="1" si="4">RAND()*0.1+0.2</f>
        <v>0.22113491903986804</v>
      </c>
      <c r="L11" s="2">
        <f t="shared" ca="1" si="4"/>
        <v>0.24892278794415298</v>
      </c>
      <c r="M11" s="2">
        <f t="shared" ca="1" si="4"/>
        <v>0.25732143623620229</v>
      </c>
      <c r="N11" s="2">
        <f t="shared" ca="1" si="4"/>
        <v>0.28193538886737013</v>
      </c>
      <c r="O11" s="2">
        <f t="shared" ca="1" si="4"/>
        <v>0.22385193404043441</v>
      </c>
      <c r="P11" s="2">
        <f t="shared" ca="1" si="4"/>
        <v>0.26458886388896508</v>
      </c>
      <c r="Q11" s="2">
        <f t="shared" ca="1" si="4"/>
        <v>0.29906817001284236</v>
      </c>
      <c r="R11" s="2">
        <f t="shared" ca="1" si="4"/>
        <v>0.26883438538654197</v>
      </c>
      <c r="S11" s="2">
        <f t="shared" ca="1" si="4"/>
        <v>0.27874566916932536</v>
      </c>
      <c r="T11" s="2">
        <f t="shared" ca="1" si="4"/>
        <v>0.23502414981974099</v>
      </c>
      <c r="U11" s="2">
        <f t="shared" ca="1" si="4"/>
        <v>0.21944495536619868</v>
      </c>
      <c r="V11" s="2">
        <f t="shared" ca="1" si="4"/>
        <v>0.28205082111346358</v>
      </c>
      <c r="W11" s="2">
        <f t="shared" ca="1" si="4"/>
        <v>0.23517944306287078</v>
      </c>
      <c r="X11" s="2">
        <f t="shared" ca="1" si="4"/>
        <v>0.23909299243760676</v>
      </c>
      <c r="Y11" s="2">
        <f t="shared" ca="1" si="4"/>
        <v>0.25117989073590857</v>
      </c>
      <c r="Z11" s="2">
        <f t="shared" ca="1" si="4"/>
        <v>0.2241277727544064</v>
      </c>
      <c r="AA11" s="2">
        <f t="shared" ref="AA11:AH42" ca="1" si="5">RAND()*0.1+0.2</f>
        <v>0.26296441509728979</v>
      </c>
      <c r="AB11" s="2">
        <f t="shared" ca="1" si="5"/>
        <v>0.26795282645502327</v>
      </c>
      <c r="AC11" s="2">
        <f t="shared" ca="1" si="5"/>
        <v>0.2831476954498694</v>
      </c>
      <c r="AD11" s="2">
        <f t="shared" ca="1" si="5"/>
        <v>0.2019608687692441</v>
      </c>
      <c r="AE11" s="2">
        <f t="shared" ca="1" si="5"/>
        <v>0.27137002475400529</v>
      </c>
      <c r="AF11" s="2">
        <f t="shared" ca="1" si="5"/>
        <v>0.27055261383538348</v>
      </c>
      <c r="AG11" s="2">
        <f t="shared" ca="1" si="5"/>
        <v>0.25548692550555807</v>
      </c>
      <c r="AH11" s="2">
        <f t="shared" ca="1" si="5"/>
        <v>0.27131713021058473</v>
      </c>
    </row>
    <row r="12" spans="1:34">
      <c r="A12" t="str">
        <f>sets!$H$3</f>
        <v>Teff</v>
      </c>
      <c r="B12" t="str">
        <v>SNNPR</v>
      </c>
      <c r="C12" s="2">
        <f t="shared" ca="1" si="2"/>
        <v>0.25102118842787979</v>
      </c>
      <c r="D12" s="2">
        <f t="shared" ref="D12:J21" ca="1" si="6">RAND()*0.1+0.2</f>
        <v>0.29736766362422751</v>
      </c>
      <c r="E12" s="2">
        <f t="shared" ca="1" si="6"/>
        <v>0.2107776750592748</v>
      </c>
      <c r="F12" s="2">
        <f t="shared" ca="1" si="6"/>
        <v>0.23670571408573557</v>
      </c>
      <c r="G12" s="2">
        <f t="shared" ca="1" si="6"/>
        <v>0.25676999282321167</v>
      </c>
      <c r="H12" s="2">
        <f t="shared" ca="1" si="6"/>
        <v>0.23026729142344557</v>
      </c>
      <c r="I12" s="2">
        <f t="shared" ca="1" si="6"/>
        <v>0.26362383810563672</v>
      </c>
      <c r="J12" s="2">
        <f t="shared" ca="1" si="6"/>
        <v>0.20355874312360722</v>
      </c>
      <c r="K12" s="2">
        <f t="shared" ca="1" si="4"/>
        <v>0.24439948831391367</v>
      </c>
      <c r="L12" s="2">
        <f t="shared" ca="1" si="4"/>
        <v>0.20711126089764959</v>
      </c>
      <c r="M12" s="2">
        <f t="shared" ca="1" si="4"/>
        <v>0.28217023599437979</v>
      </c>
      <c r="N12" s="2">
        <f t="shared" ca="1" si="4"/>
        <v>0.29705810075965378</v>
      </c>
      <c r="O12" s="2">
        <f t="shared" ca="1" si="4"/>
        <v>0.21449008694714494</v>
      </c>
      <c r="P12" s="2">
        <f t="shared" ca="1" si="4"/>
        <v>0.24383645031912404</v>
      </c>
      <c r="Q12" s="2">
        <f t="shared" ca="1" si="4"/>
        <v>0.29681239279025035</v>
      </c>
      <c r="R12" s="2">
        <f t="shared" ca="1" si="4"/>
        <v>0.29247508987606796</v>
      </c>
      <c r="S12" s="2">
        <f t="shared" ca="1" si="4"/>
        <v>0.23181153188759485</v>
      </c>
      <c r="T12" s="2">
        <f t="shared" ca="1" si="4"/>
        <v>0.26113864394253933</v>
      </c>
      <c r="U12" s="2">
        <f t="shared" ca="1" si="4"/>
        <v>0.25953164151048613</v>
      </c>
      <c r="V12" s="2">
        <f t="shared" ca="1" si="4"/>
        <v>0.28866721788049465</v>
      </c>
      <c r="W12" s="2">
        <f t="shared" ca="1" si="4"/>
        <v>0.28030835656521974</v>
      </c>
      <c r="X12" s="2">
        <f t="shared" ca="1" si="4"/>
        <v>0.29792468910347542</v>
      </c>
      <c r="Y12" s="2">
        <f t="shared" ca="1" si="4"/>
        <v>0.20183245088522767</v>
      </c>
      <c r="Z12" s="2">
        <f t="shared" ca="1" si="4"/>
        <v>0.24215560687055129</v>
      </c>
      <c r="AA12" s="2">
        <f t="shared" ca="1" si="5"/>
        <v>0.28978247375269883</v>
      </c>
      <c r="AB12" s="2">
        <f t="shared" ca="1" si="5"/>
        <v>0.26116378537441975</v>
      </c>
      <c r="AC12" s="2">
        <f t="shared" ca="1" si="5"/>
        <v>0.25261913828851934</v>
      </c>
      <c r="AD12" s="2">
        <f t="shared" ca="1" si="5"/>
        <v>0.28625069285727817</v>
      </c>
      <c r="AE12" s="2">
        <f t="shared" ca="1" si="5"/>
        <v>0.2827500214250358</v>
      </c>
      <c r="AF12" s="2">
        <f t="shared" ca="1" si="5"/>
        <v>0.21069279372791033</v>
      </c>
      <c r="AG12" s="2">
        <f t="shared" ca="1" si="5"/>
        <v>0.22166674831458671</v>
      </c>
      <c r="AH12" s="2">
        <f t="shared" ca="1" si="5"/>
        <v>0.28632842596351643</v>
      </c>
    </row>
    <row r="13" spans="1:34">
      <c r="A13" t="str">
        <f>sets!$H$3</f>
        <v>Teff</v>
      </c>
      <c r="B13" t="str">
        <v>Tigray</v>
      </c>
      <c r="C13" s="2">
        <f t="shared" ca="1" si="2"/>
        <v>0.28694729354205339</v>
      </c>
      <c r="D13" s="2">
        <f t="shared" ca="1" si="6"/>
        <v>0.24950994059510978</v>
      </c>
      <c r="E13" s="2">
        <f t="shared" ca="1" si="6"/>
        <v>0.25066318033364465</v>
      </c>
      <c r="F13" s="2">
        <f t="shared" ca="1" si="6"/>
        <v>0.27221280562351591</v>
      </c>
      <c r="G13" s="2">
        <f t="shared" ca="1" si="6"/>
        <v>0.25394842028420556</v>
      </c>
      <c r="H13" s="2">
        <f t="shared" ca="1" si="6"/>
        <v>0.26526216986338974</v>
      </c>
      <c r="I13" s="2">
        <f t="shared" ca="1" si="6"/>
        <v>0.28095130586942496</v>
      </c>
      <c r="J13" s="2">
        <f t="shared" ca="1" si="6"/>
        <v>0.28825181956794677</v>
      </c>
      <c r="K13" s="2">
        <f t="shared" ca="1" si="4"/>
        <v>0.22975346780132302</v>
      </c>
      <c r="L13" s="2">
        <f t="shared" ca="1" si="4"/>
        <v>0.24155518611873361</v>
      </c>
      <c r="M13" s="2">
        <f t="shared" ca="1" si="4"/>
        <v>0.27201191433532368</v>
      </c>
      <c r="N13" s="2">
        <f t="shared" ca="1" si="4"/>
        <v>0.20129889501157452</v>
      </c>
      <c r="O13" s="2">
        <f t="shared" ca="1" si="4"/>
        <v>0.22467431957859013</v>
      </c>
      <c r="P13" s="2">
        <f t="shared" ca="1" si="4"/>
        <v>0.29788206271243967</v>
      </c>
      <c r="Q13" s="2">
        <f t="shared" ca="1" si="4"/>
        <v>0.23841479306553909</v>
      </c>
      <c r="R13" s="2">
        <f t="shared" ca="1" si="4"/>
        <v>0.25867508211422091</v>
      </c>
      <c r="S13" s="2">
        <f t="shared" ca="1" si="4"/>
        <v>0.26620516899341384</v>
      </c>
      <c r="T13" s="2">
        <f t="shared" ca="1" si="4"/>
        <v>0.27436555071849433</v>
      </c>
      <c r="U13" s="2">
        <f t="shared" ca="1" si="4"/>
        <v>0.24644405664131536</v>
      </c>
      <c r="V13" s="2">
        <f t="shared" ca="1" si="4"/>
        <v>0.25925300137137153</v>
      </c>
      <c r="W13" s="2">
        <f t="shared" ca="1" si="4"/>
        <v>0.25554049755539665</v>
      </c>
      <c r="X13" s="2">
        <f t="shared" ca="1" si="4"/>
        <v>0.23205646633505528</v>
      </c>
      <c r="Y13" s="2">
        <f t="shared" ca="1" si="4"/>
        <v>0.25833101811967263</v>
      </c>
      <c r="Z13" s="2">
        <f t="shared" ca="1" si="4"/>
        <v>0.21614437669702702</v>
      </c>
      <c r="AA13" s="2">
        <f t="shared" ca="1" si="5"/>
        <v>0.2182612965971944</v>
      </c>
      <c r="AB13" s="2">
        <f t="shared" ca="1" si="5"/>
        <v>0.27173720433630821</v>
      </c>
      <c r="AC13" s="2">
        <f t="shared" ca="1" si="5"/>
        <v>0.24759275042853052</v>
      </c>
      <c r="AD13" s="2">
        <f t="shared" ca="1" si="5"/>
        <v>0.20184353664473556</v>
      </c>
      <c r="AE13" s="2">
        <f t="shared" ca="1" si="5"/>
        <v>0.24499887485159941</v>
      </c>
      <c r="AF13" s="2">
        <f t="shared" ca="1" si="5"/>
        <v>0.27298567098144694</v>
      </c>
      <c r="AG13" s="2">
        <f t="shared" ca="1" si="5"/>
        <v>0.26137124694760661</v>
      </c>
      <c r="AH13" s="2">
        <f t="shared" ca="1" si="5"/>
        <v>0.27215859402001163</v>
      </c>
    </row>
    <row r="14" spans="1:34">
      <c r="A14" t="str">
        <f t="shared" ref="A14:A45" si="7">INDEX(Food,MATCH(A3,Food,0)+1)</f>
        <v>Sorghum</v>
      </c>
      <c r="B14" t="str">
        <f>B3</f>
        <v>AddisAbaba</v>
      </c>
      <c r="C14" s="2">
        <f t="shared" ca="1" si="2"/>
        <v>0.2565727399896281</v>
      </c>
      <c r="D14" s="2">
        <f t="shared" ca="1" si="6"/>
        <v>0.28304292450966728</v>
      </c>
      <c r="E14" s="2">
        <f t="shared" ca="1" si="6"/>
        <v>0.26403204762545751</v>
      </c>
      <c r="F14" s="2">
        <f t="shared" ca="1" si="6"/>
        <v>0.23715740433922458</v>
      </c>
      <c r="G14" s="2">
        <f t="shared" ca="1" si="6"/>
        <v>0.20707366747000772</v>
      </c>
      <c r="H14" s="2">
        <f t="shared" ca="1" si="6"/>
        <v>0.29986332760828127</v>
      </c>
      <c r="I14" s="2">
        <f t="shared" ca="1" si="6"/>
        <v>0.27565717971628484</v>
      </c>
      <c r="J14" s="2">
        <f t="shared" ca="1" si="6"/>
        <v>0.21681852853004094</v>
      </c>
      <c r="K14" s="2">
        <f t="shared" ca="1" si="4"/>
        <v>0.27641658214231551</v>
      </c>
      <c r="L14" s="2">
        <f t="shared" ca="1" si="4"/>
        <v>0.20688018600681479</v>
      </c>
      <c r="M14" s="2">
        <f t="shared" ca="1" si="4"/>
        <v>0.24992011224392163</v>
      </c>
      <c r="N14" s="2">
        <f t="shared" ca="1" si="4"/>
        <v>0.2009182728936531</v>
      </c>
      <c r="O14" s="2">
        <f t="shared" ca="1" si="4"/>
        <v>0.2631088411332152</v>
      </c>
      <c r="P14" s="2">
        <f t="shared" ca="1" si="4"/>
        <v>0.23697833662308021</v>
      </c>
      <c r="Q14" s="2">
        <f t="shared" ca="1" si="4"/>
        <v>0.28756080004973628</v>
      </c>
      <c r="R14" s="2">
        <f t="shared" ca="1" si="4"/>
        <v>0.26721394164577705</v>
      </c>
      <c r="S14" s="2">
        <f t="shared" ca="1" si="4"/>
        <v>0.25379277020739799</v>
      </c>
      <c r="T14" s="2">
        <f t="shared" ca="1" si="4"/>
        <v>0.26801482641217372</v>
      </c>
      <c r="U14" s="2">
        <f t="shared" ca="1" si="4"/>
        <v>0.28546590129264932</v>
      </c>
      <c r="V14" s="2">
        <f t="shared" ca="1" si="4"/>
        <v>0.27691365220136704</v>
      </c>
      <c r="W14" s="2">
        <f t="shared" ca="1" si="4"/>
        <v>0.27814514010620428</v>
      </c>
      <c r="X14" s="2">
        <f t="shared" ca="1" si="4"/>
        <v>0.21331187365298357</v>
      </c>
      <c r="Y14" s="2">
        <f t="shared" ca="1" si="4"/>
        <v>0.25409118565713429</v>
      </c>
      <c r="Z14" s="2">
        <f t="shared" ca="1" si="4"/>
        <v>0.25957971294505872</v>
      </c>
      <c r="AA14" s="2">
        <f t="shared" ca="1" si="5"/>
        <v>0.2884726232485364</v>
      </c>
      <c r="AB14" s="2">
        <f t="shared" ca="1" si="5"/>
        <v>0.21601672389085758</v>
      </c>
      <c r="AC14" s="2">
        <f t="shared" ca="1" si="5"/>
        <v>0.26448733065738095</v>
      </c>
      <c r="AD14" s="2">
        <f t="shared" ca="1" si="5"/>
        <v>0.2321261272658853</v>
      </c>
      <c r="AE14" s="2">
        <f t="shared" ca="1" si="5"/>
        <v>0.25869861906353536</v>
      </c>
      <c r="AF14" s="2">
        <f t="shared" ca="1" si="5"/>
        <v>0.27340479171535781</v>
      </c>
      <c r="AG14" s="2">
        <f t="shared" ca="1" si="5"/>
        <v>0.26068746949455185</v>
      </c>
      <c r="AH14" s="2">
        <f t="shared" ca="1" si="5"/>
        <v>0.27831234000055183</v>
      </c>
    </row>
    <row r="15" spans="1:34">
      <c r="A15" t="str">
        <f t="shared" si="7"/>
        <v>Sorghum</v>
      </c>
      <c r="B15" t="str">
        <f t="shared" ref="B15:B68" si="8">B4</f>
        <v>Afar</v>
      </c>
      <c r="C15" s="2">
        <f t="shared" ca="1" si="2"/>
        <v>0.22989548417091898</v>
      </c>
      <c r="D15" s="2">
        <f t="shared" ca="1" si="6"/>
        <v>0.20848073641112061</v>
      </c>
      <c r="E15" s="2">
        <f t="shared" ca="1" si="6"/>
        <v>0.29704483842004964</v>
      </c>
      <c r="F15" s="2">
        <f t="shared" ca="1" si="6"/>
        <v>0.23034491536621296</v>
      </c>
      <c r="G15" s="2">
        <f t="shared" ca="1" si="6"/>
        <v>0.29377292198877614</v>
      </c>
      <c r="H15" s="2">
        <f t="shared" ca="1" si="6"/>
        <v>0.24544086226217654</v>
      </c>
      <c r="I15" s="2">
        <f t="shared" ca="1" si="6"/>
        <v>0.29611237614128533</v>
      </c>
      <c r="J15" s="2">
        <f t="shared" ca="1" si="6"/>
        <v>0.2212439304496443</v>
      </c>
      <c r="K15" s="2">
        <f t="shared" ca="1" si="4"/>
        <v>0.25977060543440345</v>
      </c>
      <c r="L15" s="2">
        <f t="shared" ca="1" si="4"/>
        <v>0.20537725614652777</v>
      </c>
      <c r="M15" s="2">
        <f t="shared" ca="1" si="4"/>
        <v>0.22430645391448162</v>
      </c>
      <c r="N15" s="2">
        <f t="shared" ca="1" si="4"/>
        <v>0.26996404663164636</v>
      </c>
      <c r="O15" s="2">
        <f t="shared" ca="1" si="4"/>
        <v>0.20019187241234332</v>
      </c>
      <c r="P15" s="2">
        <f t="shared" ca="1" si="4"/>
        <v>0.24118336580986954</v>
      </c>
      <c r="Q15" s="2">
        <f t="shared" ca="1" si="4"/>
        <v>0.22649428301504831</v>
      </c>
      <c r="R15" s="2">
        <f t="shared" ca="1" si="4"/>
        <v>0.2808878611314759</v>
      </c>
      <c r="S15" s="2">
        <f t="shared" ca="1" si="4"/>
        <v>0.28151303107167308</v>
      </c>
      <c r="T15" s="2">
        <f t="shared" ca="1" si="4"/>
        <v>0.22187820935521008</v>
      </c>
      <c r="U15" s="2">
        <f t="shared" ca="1" si="4"/>
        <v>0.21821691857108119</v>
      </c>
      <c r="V15" s="2">
        <f t="shared" ca="1" si="4"/>
        <v>0.24059681442419989</v>
      </c>
      <c r="W15" s="2">
        <f t="shared" ca="1" si="4"/>
        <v>0.29572717235215512</v>
      </c>
      <c r="X15" s="2">
        <f t="shared" ca="1" si="4"/>
        <v>0.27270960839175312</v>
      </c>
      <c r="Y15" s="2">
        <f t="shared" ca="1" si="4"/>
        <v>0.26520375457226908</v>
      </c>
      <c r="Z15" s="2">
        <f t="shared" ca="1" si="4"/>
        <v>0.26485448757233021</v>
      </c>
      <c r="AA15" s="2">
        <f t="shared" ca="1" si="5"/>
        <v>0.24384087437440038</v>
      </c>
      <c r="AB15" s="2">
        <f t="shared" ca="1" si="5"/>
        <v>0.25922534324762903</v>
      </c>
      <c r="AC15" s="2">
        <f t="shared" ca="1" si="5"/>
        <v>0.23456388425592054</v>
      </c>
      <c r="AD15" s="2">
        <f t="shared" ca="1" si="5"/>
        <v>0.261285238179287</v>
      </c>
      <c r="AE15" s="2">
        <f t="shared" ca="1" si="5"/>
        <v>0.20059760695368248</v>
      </c>
      <c r="AF15" s="2">
        <f t="shared" ca="1" si="5"/>
        <v>0.2062637988646536</v>
      </c>
      <c r="AG15" s="2">
        <f t="shared" ca="1" si="5"/>
        <v>0.28976935334782827</v>
      </c>
      <c r="AH15" s="2">
        <f t="shared" ca="1" si="5"/>
        <v>0.25298149760044525</v>
      </c>
    </row>
    <row r="16" spans="1:34">
      <c r="A16" t="str">
        <f t="shared" si="7"/>
        <v>Sorghum</v>
      </c>
      <c r="B16" t="str">
        <f t="shared" si="8"/>
        <v>Amhara</v>
      </c>
      <c r="C16" s="2">
        <f t="shared" ca="1" si="2"/>
        <v>0.26389923496953643</v>
      </c>
      <c r="D16" s="2">
        <f t="shared" ca="1" si="6"/>
        <v>0.29517008251500021</v>
      </c>
      <c r="E16" s="2">
        <f t="shared" ca="1" si="6"/>
        <v>0.2379729845509379</v>
      </c>
      <c r="F16" s="2">
        <f t="shared" ca="1" si="6"/>
        <v>0.29436267489239121</v>
      </c>
      <c r="G16" s="2">
        <f t="shared" ca="1" si="6"/>
        <v>0.28642214449499426</v>
      </c>
      <c r="H16" s="2">
        <f t="shared" ca="1" si="6"/>
        <v>0.27551732349610919</v>
      </c>
      <c r="I16" s="2">
        <f t="shared" ca="1" si="6"/>
        <v>0.24777749528721821</v>
      </c>
      <c r="J16" s="2">
        <f t="shared" ca="1" si="6"/>
        <v>0.2608887638999674</v>
      </c>
      <c r="K16" s="2">
        <f t="shared" ca="1" si="4"/>
        <v>0.24095972364954882</v>
      </c>
      <c r="L16" s="2">
        <f t="shared" ca="1" si="4"/>
        <v>0.22689745911686787</v>
      </c>
      <c r="M16" s="2">
        <f t="shared" ca="1" si="4"/>
        <v>0.28820956502561074</v>
      </c>
      <c r="N16" s="2">
        <f t="shared" ca="1" si="4"/>
        <v>0.25305226157852534</v>
      </c>
      <c r="O16" s="2">
        <f t="shared" ca="1" si="4"/>
        <v>0.27708030073483736</v>
      </c>
      <c r="P16" s="2">
        <f t="shared" ca="1" si="4"/>
        <v>0.27177794395196997</v>
      </c>
      <c r="Q16" s="2">
        <f t="shared" ca="1" si="4"/>
        <v>0.23164829341678173</v>
      </c>
      <c r="R16" s="2">
        <f t="shared" ca="1" si="4"/>
        <v>0.2855167495407267</v>
      </c>
      <c r="S16" s="2">
        <f t="shared" ca="1" si="4"/>
        <v>0.27817262976427515</v>
      </c>
      <c r="T16" s="2">
        <f t="shared" ca="1" si="4"/>
        <v>0.26207857514525973</v>
      </c>
      <c r="U16" s="2">
        <f t="shared" ca="1" si="4"/>
        <v>0.28684421349732142</v>
      </c>
      <c r="V16" s="2">
        <f t="shared" ca="1" si="4"/>
        <v>0.24578646523492065</v>
      </c>
      <c r="W16" s="2">
        <f t="shared" ca="1" si="4"/>
        <v>0.23295433980914809</v>
      </c>
      <c r="X16" s="2">
        <f t="shared" ca="1" si="4"/>
        <v>0.26479580997852459</v>
      </c>
      <c r="Y16" s="2">
        <f t="shared" ca="1" si="4"/>
        <v>0.24557073935930632</v>
      </c>
      <c r="Z16" s="2">
        <f t="shared" ca="1" si="4"/>
        <v>0.25929309153422547</v>
      </c>
      <c r="AA16" s="2">
        <f t="shared" ca="1" si="5"/>
        <v>0.24580789808073175</v>
      </c>
      <c r="AB16" s="2">
        <f t="shared" ca="1" si="5"/>
        <v>0.23290859264288424</v>
      </c>
      <c r="AC16" s="2">
        <f t="shared" ca="1" si="5"/>
        <v>0.29288502186228682</v>
      </c>
      <c r="AD16" s="2">
        <f t="shared" ca="1" si="5"/>
        <v>0.23995950203182742</v>
      </c>
      <c r="AE16" s="2">
        <f t="shared" ca="1" si="5"/>
        <v>0.28533503394752058</v>
      </c>
      <c r="AF16" s="2">
        <f t="shared" ca="1" si="5"/>
        <v>0.25387508460689329</v>
      </c>
      <c r="AG16" s="2">
        <f t="shared" ca="1" si="5"/>
        <v>0.26956261043449359</v>
      </c>
      <c r="AH16" s="2">
        <f t="shared" ca="1" si="5"/>
        <v>0.27074229776701897</v>
      </c>
    </row>
    <row r="17" spans="1:34">
      <c r="A17" t="str">
        <f t="shared" si="7"/>
        <v>Sorghum</v>
      </c>
      <c r="B17" t="str">
        <f t="shared" si="8"/>
        <v>Gumuz</v>
      </c>
      <c r="C17" s="2">
        <f t="shared" ca="1" si="2"/>
        <v>0.24054209325862286</v>
      </c>
      <c r="D17" s="2">
        <f t="shared" ca="1" si="6"/>
        <v>0.24286936799615044</v>
      </c>
      <c r="E17" s="2">
        <f t="shared" ca="1" si="6"/>
        <v>0.22310365483043351</v>
      </c>
      <c r="F17" s="2">
        <f t="shared" ca="1" si="6"/>
        <v>0.23668700204166074</v>
      </c>
      <c r="G17" s="2">
        <f t="shared" ca="1" si="6"/>
        <v>0.20531462287188745</v>
      </c>
      <c r="H17" s="2">
        <f t="shared" ca="1" si="6"/>
        <v>0.29419426652267489</v>
      </c>
      <c r="I17" s="2">
        <f t="shared" ca="1" si="6"/>
        <v>0.22155404970867998</v>
      </c>
      <c r="J17" s="2">
        <f t="shared" ca="1" si="6"/>
        <v>0.24439568455315505</v>
      </c>
      <c r="K17" s="2">
        <f t="shared" ca="1" si="4"/>
        <v>0.22270786772638354</v>
      </c>
      <c r="L17" s="2">
        <f t="shared" ca="1" si="4"/>
        <v>0.24941677052309136</v>
      </c>
      <c r="M17" s="2">
        <f t="shared" ca="1" si="4"/>
        <v>0.29770532897145829</v>
      </c>
      <c r="N17" s="2">
        <f t="shared" ca="1" si="4"/>
        <v>0.2741754768145801</v>
      </c>
      <c r="O17" s="2">
        <f t="shared" ca="1" si="4"/>
        <v>0.21834854208249582</v>
      </c>
      <c r="P17" s="2">
        <f t="shared" ca="1" si="4"/>
        <v>0.26785158954741767</v>
      </c>
      <c r="Q17" s="2">
        <f t="shared" ca="1" si="4"/>
        <v>0.20019262740302532</v>
      </c>
      <c r="R17" s="2">
        <f t="shared" ca="1" si="4"/>
        <v>0.25519910207223551</v>
      </c>
      <c r="S17" s="2">
        <f t="shared" ca="1" si="4"/>
        <v>0.25378387720096707</v>
      </c>
      <c r="T17" s="2">
        <f t="shared" ca="1" si="4"/>
        <v>0.23744080594153949</v>
      </c>
      <c r="U17" s="2">
        <f t="shared" ca="1" si="4"/>
        <v>0.24532397052510846</v>
      </c>
      <c r="V17" s="2">
        <f t="shared" ca="1" si="4"/>
        <v>0.2802420675852989</v>
      </c>
      <c r="W17" s="2">
        <f t="shared" ca="1" si="4"/>
        <v>0.29123562923244201</v>
      </c>
      <c r="X17" s="2">
        <f t="shared" ca="1" si="4"/>
        <v>0.23521410380026583</v>
      </c>
      <c r="Y17" s="2">
        <f t="shared" ca="1" si="4"/>
        <v>0.28999762729266665</v>
      </c>
      <c r="Z17" s="2">
        <f t="shared" ca="1" si="4"/>
        <v>0.23245554034384719</v>
      </c>
      <c r="AA17" s="2">
        <f t="shared" ca="1" si="5"/>
        <v>0.27691849502274163</v>
      </c>
      <c r="AB17" s="2">
        <f t="shared" ca="1" si="5"/>
        <v>0.2776937042589398</v>
      </c>
      <c r="AC17" s="2">
        <f t="shared" ca="1" si="5"/>
        <v>0.24912278913170477</v>
      </c>
      <c r="AD17" s="2">
        <f t="shared" ca="1" si="5"/>
        <v>0.28833096352805571</v>
      </c>
      <c r="AE17" s="2">
        <f t="shared" ca="1" si="5"/>
        <v>0.22494207016624865</v>
      </c>
      <c r="AF17" s="2">
        <f t="shared" ca="1" si="5"/>
        <v>0.21393360094790431</v>
      </c>
      <c r="AG17" s="2">
        <f t="shared" ca="1" si="5"/>
        <v>0.23020323610712298</v>
      </c>
      <c r="AH17" s="2">
        <f t="shared" ca="1" si="5"/>
        <v>0.27765325965402193</v>
      </c>
    </row>
    <row r="18" spans="1:34">
      <c r="A18" t="str">
        <f t="shared" si="7"/>
        <v>Sorghum</v>
      </c>
      <c r="B18" t="str">
        <f t="shared" si="8"/>
        <v>DireDawa</v>
      </c>
      <c r="C18" s="2">
        <f t="shared" ca="1" si="2"/>
        <v>0.22276372075636952</v>
      </c>
      <c r="D18" s="2">
        <f t="shared" ca="1" si="6"/>
        <v>0.21939136722640118</v>
      </c>
      <c r="E18" s="2">
        <f t="shared" ca="1" si="6"/>
        <v>0.2333408287206957</v>
      </c>
      <c r="F18" s="2">
        <f t="shared" ca="1" si="6"/>
        <v>0.26476725901099274</v>
      </c>
      <c r="G18" s="2">
        <f t="shared" ca="1" si="6"/>
        <v>0.20570056832391898</v>
      </c>
      <c r="H18" s="2">
        <f t="shared" ca="1" si="6"/>
        <v>0.26646309150895037</v>
      </c>
      <c r="I18" s="2">
        <f t="shared" ca="1" si="6"/>
        <v>0.25136722938418088</v>
      </c>
      <c r="J18" s="2">
        <f t="shared" ca="1" si="6"/>
        <v>0.27003483074981305</v>
      </c>
      <c r="K18" s="2">
        <f t="shared" ca="1" si="4"/>
        <v>0.21123126755656166</v>
      </c>
      <c r="L18" s="2">
        <f t="shared" ca="1" si="4"/>
        <v>0.24889351024769216</v>
      </c>
      <c r="M18" s="2">
        <f t="shared" ca="1" si="4"/>
        <v>0.26602052081068461</v>
      </c>
      <c r="N18" s="2">
        <f t="shared" ca="1" si="4"/>
        <v>0.28792132002162552</v>
      </c>
      <c r="O18" s="2">
        <f t="shared" ca="1" si="4"/>
        <v>0.28215307215120677</v>
      </c>
      <c r="P18" s="2">
        <f t="shared" ca="1" si="4"/>
        <v>0.21521385777790433</v>
      </c>
      <c r="Q18" s="2">
        <f t="shared" ca="1" si="4"/>
        <v>0.27027478291021823</v>
      </c>
      <c r="R18" s="2">
        <f t="shared" ca="1" si="4"/>
        <v>0.2149630113456398</v>
      </c>
      <c r="S18" s="2">
        <f t="shared" ca="1" si="4"/>
        <v>0.29775349314116234</v>
      </c>
      <c r="T18" s="2">
        <f t="shared" ca="1" si="4"/>
        <v>0.21999043334049961</v>
      </c>
      <c r="U18" s="2">
        <f t="shared" ca="1" si="4"/>
        <v>0.24796627078096833</v>
      </c>
      <c r="V18" s="2">
        <f t="shared" ca="1" si="4"/>
        <v>0.23348847423270544</v>
      </c>
      <c r="W18" s="2">
        <f t="shared" ca="1" si="4"/>
        <v>0.27625680353300086</v>
      </c>
      <c r="X18" s="2">
        <f t="shared" ca="1" si="4"/>
        <v>0.2816096986540384</v>
      </c>
      <c r="Y18" s="2">
        <f t="shared" ca="1" si="4"/>
        <v>0.28079810089004886</v>
      </c>
      <c r="Z18" s="2">
        <f t="shared" ca="1" si="4"/>
        <v>0.26596404391448802</v>
      </c>
      <c r="AA18" s="2">
        <f t="shared" ca="1" si="5"/>
        <v>0.29651236356911637</v>
      </c>
      <c r="AB18" s="2">
        <f t="shared" ca="1" si="5"/>
        <v>0.26556965612570477</v>
      </c>
      <c r="AC18" s="2">
        <f t="shared" ca="1" si="5"/>
        <v>0.20036772758995675</v>
      </c>
      <c r="AD18" s="2">
        <f t="shared" ca="1" si="5"/>
        <v>0.26415385450003298</v>
      </c>
      <c r="AE18" s="2">
        <f t="shared" ca="1" si="5"/>
        <v>0.29171330994319261</v>
      </c>
      <c r="AF18" s="2">
        <f t="shared" ca="1" si="5"/>
        <v>0.22205400757095628</v>
      </c>
      <c r="AG18" s="2">
        <f t="shared" ca="1" si="5"/>
        <v>0.20288814433141786</v>
      </c>
      <c r="AH18" s="2">
        <f t="shared" ca="1" si="5"/>
        <v>0.24843206595094613</v>
      </c>
    </row>
    <row r="19" spans="1:34">
      <c r="A19" t="str">
        <f t="shared" si="7"/>
        <v>Sorghum</v>
      </c>
      <c r="B19" t="str">
        <f t="shared" si="8"/>
        <v>Gambela</v>
      </c>
      <c r="C19" s="2">
        <f t="shared" ca="1" si="2"/>
        <v>0.29063510019145244</v>
      </c>
      <c r="D19" s="2">
        <f t="shared" ca="1" si="6"/>
        <v>0.2764878482666604</v>
      </c>
      <c r="E19" s="2">
        <f t="shared" ca="1" si="6"/>
        <v>0.20465284472886225</v>
      </c>
      <c r="F19" s="2">
        <f t="shared" ca="1" si="6"/>
        <v>0.26546426959020486</v>
      </c>
      <c r="G19" s="2">
        <f t="shared" ca="1" si="6"/>
        <v>0.20134999959938496</v>
      </c>
      <c r="H19" s="2">
        <f t="shared" ca="1" si="6"/>
        <v>0.27618285385088431</v>
      </c>
      <c r="I19" s="2">
        <f t="shared" ca="1" si="6"/>
        <v>0.23250400875705465</v>
      </c>
      <c r="J19" s="2">
        <f t="shared" ca="1" si="6"/>
        <v>0.20634137805947797</v>
      </c>
      <c r="K19" s="2">
        <f t="shared" ca="1" si="4"/>
        <v>0.29996895233016835</v>
      </c>
      <c r="L19" s="2">
        <f t="shared" ca="1" si="4"/>
        <v>0.26399893190256912</v>
      </c>
      <c r="M19" s="2">
        <f t="shared" ca="1" si="4"/>
        <v>0.23682482347919018</v>
      </c>
      <c r="N19" s="2">
        <f t="shared" ca="1" si="4"/>
        <v>0.2106053017339978</v>
      </c>
      <c r="O19" s="2">
        <f t="shared" ca="1" si="4"/>
        <v>0.23963994948265965</v>
      </c>
      <c r="P19" s="2">
        <f t="shared" ca="1" si="4"/>
        <v>0.25929914818717287</v>
      </c>
      <c r="Q19" s="2">
        <f t="shared" ca="1" si="4"/>
        <v>0.21190979015690431</v>
      </c>
      <c r="R19" s="2">
        <f t="shared" ca="1" si="4"/>
        <v>0.23876551512016025</v>
      </c>
      <c r="S19" s="2">
        <f t="shared" ca="1" si="4"/>
        <v>0.25608915155862089</v>
      </c>
      <c r="T19" s="2">
        <f t="shared" ca="1" si="4"/>
        <v>0.2075922927397725</v>
      </c>
      <c r="U19" s="2">
        <f t="shared" ca="1" si="4"/>
        <v>0.23055709451093126</v>
      </c>
      <c r="V19" s="2">
        <f t="shared" ca="1" si="4"/>
        <v>0.21240234084087542</v>
      </c>
      <c r="W19" s="2">
        <f t="shared" ca="1" si="4"/>
        <v>0.22830100792934249</v>
      </c>
      <c r="X19" s="2">
        <f t="shared" ca="1" si="4"/>
        <v>0.28408623991965315</v>
      </c>
      <c r="Y19" s="2">
        <f t="shared" ca="1" si="4"/>
        <v>0.26295394877163264</v>
      </c>
      <c r="Z19" s="2">
        <f t="shared" ca="1" si="4"/>
        <v>0.24310942100653501</v>
      </c>
      <c r="AA19" s="2">
        <f t="shared" ca="1" si="5"/>
        <v>0.23816693805443112</v>
      </c>
      <c r="AB19" s="2">
        <f t="shared" ca="1" si="5"/>
        <v>0.24664121564138217</v>
      </c>
      <c r="AC19" s="2">
        <f t="shared" ca="1" si="5"/>
        <v>0.26766035809496092</v>
      </c>
      <c r="AD19" s="2">
        <f t="shared" ca="1" si="5"/>
        <v>0.2442696279815248</v>
      </c>
      <c r="AE19" s="2">
        <f t="shared" ca="1" si="5"/>
        <v>0.29086711349435307</v>
      </c>
      <c r="AF19" s="2">
        <f t="shared" ca="1" si="5"/>
        <v>0.29986306648200456</v>
      </c>
      <c r="AG19" s="2">
        <f t="shared" ca="1" si="5"/>
        <v>0.25548702878746588</v>
      </c>
      <c r="AH19" s="2">
        <f t="shared" ca="1" si="5"/>
        <v>0.29596654678605583</v>
      </c>
    </row>
    <row r="20" spans="1:34">
      <c r="A20" t="str">
        <f t="shared" si="7"/>
        <v>Sorghum</v>
      </c>
      <c r="B20" t="str">
        <f t="shared" si="8"/>
        <v>Harari</v>
      </c>
      <c r="C20" s="2">
        <f t="shared" ca="1" si="2"/>
        <v>0.2539960202948458</v>
      </c>
      <c r="D20" s="2">
        <f t="shared" ca="1" si="6"/>
        <v>0.29093162479520152</v>
      </c>
      <c r="E20" s="2">
        <f t="shared" ca="1" si="6"/>
        <v>0.26824181310993206</v>
      </c>
      <c r="F20" s="2">
        <f t="shared" ca="1" si="6"/>
        <v>0.28635855063745946</v>
      </c>
      <c r="G20" s="2">
        <f t="shared" ca="1" si="6"/>
        <v>0.21832157245898293</v>
      </c>
      <c r="H20" s="2">
        <f t="shared" ca="1" si="6"/>
        <v>0.26849555773327383</v>
      </c>
      <c r="I20" s="2">
        <f t="shared" ca="1" si="6"/>
        <v>0.27554524677759312</v>
      </c>
      <c r="J20" s="2">
        <f t="shared" ca="1" si="6"/>
        <v>0.28192989985053052</v>
      </c>
      <c r="K20" s="2">
        <f t="shared" ca="1" si="4"/>
        <v>0.24734836329001816</v>
      </c>
      <c r="L20" s="2">
        <f t="shared" ca="1" si="4"/>
        <v>0.20738348211671223</v>
      </c>
      <c r="M20" s="2">
        <f t="shared" ca="1" si="4"/>
        <v>0.27918504747051065</v>
      </c>
      <c r="N20" s="2">
        <f t="shared" ca="1" si="4"/>
        <v>0.25539713716634632</v>
      </c>
      <c r="O20" s="2">
        <f t="shared" ca="1" si="4"/>
        <v>0.21983432966177643</v>
      </c>
      <c r="P20" s="2">
        <f t="shared" ca="1" si="4"/>
        <v>0.28730550029781793</v>
      </c>
      <c r="Q20" s="2">
        <f t="shared" ca="1" si="4"/>
        <v>0.23197526376458499</v>
      </c>
      <c r="R20" s="2">
        <f t="shared" ca="1" si="4"/>
        <v>0.23694141704575253</v>
      </c>
      <c r="S20" s="2">
        <f t="shared" ca="1" si="4"/>
        <v>0.23660931340005956</v>
      </c>
      <c r="T20" s="2">
        <f t="shared" ca="1" si="4"/>
        <v>0.29691775915419771</v>
      </c>
      <c r="U20" s="2">
        <f t="shared" ca="1" si="4"/>
        <v>0.29690356873903984</v>
      </c>
      <c r="V20" s="2">
        <f t="shared" ca="1" si="4"/>
        <v>0.2130678243465654</v>
      </c>
      <c r="W20" s="2">
        <f t="shared" ca="1" si="4"/>
        <v>0.27021476662763144</v>
      </c>
      <c r="X20" s="2">
        <f t="shared" ca="1" si="4"/>
        <v>0.21934018743768893</v>
      </c>
      <c r="Y20" s="2">
        <f t="shared" ca="1" si="4"/>
        <v>0.24154459050136751</v>
      </c>
      <c r="Z20" s="2">
        <f t="shared" ca="1" si="4"/>
        <v>0.25910248748655296</v>
      </c>
      <c r="AA20" s="2">
        <f t="shared" ca="1" si="5"/>
        <v>0.2093735341411429</v>
      </c>
      <c r="AB20" s="2">
        <f t="shared" ca="1" si="5"/>
        <v>0.25301848437961111</v>
      </c>
      <c r="AC20" s="2">
        <f t="shared" ca="1" si="5"/>
        <v>0.25875838846780125</v>
      </c>
      <c r="AD20" s="2">
        <f t="shared" ca="1" si="5"/>
        <v>0.22711051444322825</v>
      </c>
      <c r="AE20" s="2">
        <f t="shared" ca="1" si="5"/>
        <v>0.27442522801101299</v>
      </c>
      <c r="AF20" s="2">
        <f t="shared" ca="1" si="5"/>
        <v>0.23242350876651874</v>
      </c>
      <c r="AG20" s="2">
        <f t="shared" ca="1" si="5"/>
        <v>0.23555153312025928</v>
      </c>
      <c r="AH20" s="2">
        <f t="shared" ca="1" si="5"/>
        <v>0.2972519237680975</v>
      </c>
    </row>
    <row r="21" spans="1:34">
      <c r="A21" t="str">
        <f t="shared" si="7"/>
        <v>Sorghum</v>
      </c>
      <c r="B21" t="str">
        <f t="shared" si="8"/>
        <v>Oromia</v>
      </c>
      <c r="C21" s="2">
        <f t="shared" ca="1" si="2"/>
        <v>0.22091892133017615</v>
      </c>
      <c r="D21" s="2">
        <f t="shared" ca="1" si="6"/>
        <v>0.25739169661677674</v>
      </c>
      <c r="E21" s="2">
        <f t="shared" ca="1" si="6"/>
        <v>0.23037246164140041</v>
      </c>
      <c r="F21" s="2">
        <f t="shared" ca="1" si="6"/>
        <v>0.27269646609850773</v>
      </c>
      <c r="G21" s="2">
        <f t="shared" ca="1" si="6"/>
        <v>0.24364728292918192</v>
      </c>
      <c r="H21" s="2">
        <f t="shared" ca="1" si="6"/>
        <v>0.21559664347181345</v>
      </c>
      <c r="I21" s="2">
        <f t="shared" ca="1" si="6"/>
        <v>0.20034376752143768</v>
      </c>
      <c r="J21" s="2">
        <f t="shared" ca="1" si="6"/>
        <v>0.23469347613173366</v>
      </c>
      <c r="K21" s="2">
        <f t="shared" ref="K21:Z30" ca="1" si="9">RAND()*0.1+0.2</f>
        <v>0.21123593968167476</v>
      </c>
      <c r="L21" s="2">
        <f t="shared" ca="1" si="9"/>
        <v>0.2839002724614838</v>
      </c>
      <c r="M21" s="2">
        <f t="shared" ca="1" si="9"/>
        <v>0.22904095968785268</v>
      </c>
      <c r="N21" s="2">
        <f t="shared" ca="1" si="9"/>
        <v>0.29606495367225227</v>
      </c>
      <c r="O21" s="2">
        <f t="shared" ca="1" si="9"/>
        <v>0.22480310521739846</v>
      </c>
      <c r="P21" s="2">
        <f t="shared" ca="1" si="9"/>
        <v>0.25279483499681288</v>
      </c>
      <c r="Q21" s="2">
        <f t="shared" ca="1" si="9"/>
        <v>0.29354371568441878</v>
      </c>
      <c r="R21" s="2">
        <f t="shared" ca="1" si="9"/>
        <v>0.2651252610312233</v>
      </c>
      <c r="S21" s="2">
        <f t="shared" ca="1" si="9"/>
        <v>0.22345460976876985</v>
      </c>
      <c r="T21" s="2">
        <f t="shared" ca="1" si="9"/>
        <v>0.25226958743194444</v>
      </c>
      <c r="U21" s="2">
        <f t="shared" ca="1" si="9"/>
        <v>0.2190909729893549</v>
      </c>
      <c r="V21" s="2">
        <f t="shared" ca="1" si="9"/>
        <v>0.23230536071672123</v>
      </c>
      <c r="W21" s="2">
        <f t="shared" ca="1" si="9"/>
        <v>0.27357518352741961</v>
      </c>
      <c r="X21" s="2">
        <f t="shared" ca="1" si="9"/>
        <v>0.27430207990650562</v>
      </c>
      <c r="Y21" s="2">
        <f t="shared" ca="1" si="9"/>
        <v>0.25517385694311201</v>
      </c>
      <c r="Z21" s="2">
        <f t="shared" ca="1" si="9"/>
        <v>0.29641751101465891</v>
      </c>
      <c r="AA21" s="2">
        <f t="shared" ca="1" si="5"/>
        <v>0.20853748372312547</v>
      </c>
      <c r="AB21" s="2">
        <f t="shared" ca="1" si="5"/>
        <v>0.25814626317221839</v>
      </c>
      <c r="AC21" s="2">
        <f t="shared" ca="1" si="5"/>
        <v>0.24294249047787669</v>
      </c>
      <c r="AD21" s="2">
        <f t="shared" ca="1" si="5"/>
        <v>0.27468117328002223</v>
      </c>
      <c r="AE21" s="2">
        <f t="shared" ca="1" si="5"/>
        <v>0.20007834984075928</v>
      </c>
      <c r="AF21" s="2">
        <f t="shared" ca="1" si="5"/>
        <v>0.20583530974857103</v>
      </c>
      <c r="AG21" s="2">
        <f t="shared" ca="1" si="5"/>
        <v>0.21574110940623564</v>
      </c>
      <c r="AH21" s="2">
        <f t="shared" ca="1" si="5"/>
        <v>0.27400870645343423</v>
      </c>
    </row>
    <row r="22" spans="1:34">
      <c r="A22" t="str">
        <f t="shared" si="7"/>
        <v>Sorghum</v>
      </c>
      <c r="B22" t="str">
        <f t="shared" si="8"/>
        <v>Somali</v>
      </c>
      <c r="C22" s="2">
        <f t="shared" ca="1" si="2"/>
        <v>0.23358031182706657</v>
      </c>
      <c r="D22" s="2">
        <f t="shared" ref="D22:J31" ca="1" si="10">RAND()*0.1+0.2</f>
        <v>0.28017000958992411</v>
      </c>
      <c r="E22" s="2">
        <f t="shared" ca="1" si="10"/>
        <v>0.22735099581874232</v>
      </c>
      <c r="F22" s="2">
        <f t="shared" ca="1" si="10"/>
        <v>0.21929741594782831</v>
      </c>
      <c r="G22" s="2">
        <f t="shared" ca="1" si="10"/>
        <v>0.24895208409724423</v>
      </c>
      <c r="H22" s="2">
        <f t="shared" ca="1" si="10"/>
        <v>0.23208976047532723</v>
      </c>
      <c r="I22" s="2">
        <f t="shared" ca="1" si="10"/>
        <v>0.25173271376309814</v>
      </c>
      <c r="J22" s="2">
        <f t="shared" ca="1" si="10"/>
        <v>0.26856543496346341</v>
      </c>
      <c r="K22" s="2">
        <f t="shared" ca="1" si="9"/>
        <v>0.20400715848557249</v>
      </c>
      <c r="L22" s="2">
        <f t="shared" ca="1" si="9"/>
        <v>0.24767368883506974</v>
      </c>
      <c r="M22" s="2">
        <f t="shared" ca="1" si="9"/>
        <v>0.21848663579547115</v>
      </c>
      <c r="N22" s="2">
        <f t="shared" ca="1" si="9"/>
        <v>0.21229385137026627</v>
      </c>
      <c r="O22" s="2">
        <f t="shared" ca="1" si="9"/>
        <v>0.27408193458772073</v>
      </c>
      <c r="P22" s="2">
        <f t="shared" ca="1" si="9"/>
        <v>0.23249116209984014</v>
      </c>
      <c r="Q22" s="2">
        <f t="shared" ca="1" si="9"/>
        <v>0.23210160306909924</v>
      </c>
      <c r="R22" s="2">
        <f t="shared" ca="1" si="9"/>
        <v>0.22230202022352114</v>
      </c>
      <c r="S22" s="2">
        <f t="shared" ca="1" si="9"/>
        <v>0.22923003823848387</v>
      </c>
      <c r="T22" s="2">
        <f t="shared" ca="1" si="9"/>
        <v>0.20778117704184723</v>
      </c>
      <c r="U22" s="2">
        <f t="shared" ca="1" si="9"/>
        <v>0.26678402765300402</v>
      </c>
      <c r="V22" s="2">
        <f t="shared" ca="1" si="9"/>
        <v>0.23424626939437462</v>
      </c>
      <c r="W22" s="2">
        <f t="shared" ca="1" si="9"/>
        <v>0.25680617885321028</v>
      </c>
      <c r="X22" s="2">
        <f t="shared" ca="1" si="9"/>
        <v>0.22678411432693338</v>
      </c>
      <c r="Y22" s="2">
        <f t="shared" ca="1" si="9"/>
        <v>0.21970234068472341</v>
      </c>
      <c r="Z22" s="2">
        <f t="shared" ca="1" si="9"/>
        <v>0.24008187762539826</v>
      </c>
      <c r="AA22" s="2">
        <f t="shared" ca="1" si="5"/>
        <v>0.20869328069149973</v>
      </c>
      <c r="AB22" s="2">
        <f t="shared" ca="1" si="5"/>
        <v>0.25803334064398054</v>
      </c>
      <c r="AC22" s="2">
        <f t="shared" ca="1" si="5"/>
        <v>0.22646922212091922</v>
      </c>
      <c r="AD22" s="2">
        <f t="shared" ca="1" si="5"/>
        <v>0.20242993528958475</v>
      </c>
      <c r="AE22" s="2">
        <f t="shared" ca="1" si="5"/>
        <v>0.29324962150464468</v>
      </c>
      <c r="AF22" s="2">
        <f t="shared" ca="1" si="5"/>
        <v>0.26008421462544645</v>
      </c>
      <c r="AG22" s="2">
        <f t="shared" ca="1" si="5"/>
        <v>0.26121970702358266</v>
      </c>
      <c r="AH22" s="2">
        <f t="shared" ca="1" si="5"/>
        <v>0.20218832654456281</v>
      </c>
    </row>
    <row r="23" spans="1:34">
      <c r="A23" t="str">
        <f t="shared" si="7"/>
        <v>Sorghum</v>
      </c>
      <c r="B23" t="str">
        <f t="shared" si="8"/>
        <v>SNNPR</v>
      </c>
      <c r="C23" s="2">
        <f t="shared" ca="1" si="2"/>
        <v>0.25048253285091376</v>
      </c>
      <c r="D23" s="2">
        <f t="shared" ca="1" si="10"/>
        <v>0.23045429932334285</v>
      </c>
      <c r="E23" s="2">
        <f t="shared" ca="1" si="10"/>
        <v>0.27726084179180066</v>
      </c>
      <c r="F23" s="2">
        <f t="shared" ca="1" si="10"/>
        <v>0.24541709131048103</v>
      </c>
      <c r="G23" s="2">
        <f t="shared" ca="1" si="10"/>
        <v>0.2252311813282524</v>
      </c>
      <c r="H23" s="2">
        <f t="shared" ca="1" si="10"/>
        <v>0.27854520559646589</v>
      </c>
      <c r="I23" s="2">
        <f t="shared" ca="1" si="10"/>
        <v>0.28209298405792127</v>
      </c>
      <c r="J23" s="2">
        <f t="shared" ca="1" si="10"/>
        <v>0.2431177500189354</v>
      </c>
      <c r="K23" s="2">
        <f t="shared" ca="1" si="9"/>
        <v>0.29234368421379231</v>
      </c>
      <c r="L23" s="2">
        <f t="shared" ca="1" si="9"/>
        <v>0.24972476067946286</v>
      </c>
      <c r="M23" s="2">
        <f t="shared" ca="1" si="9"/>
        <v>0.29361182483197684</v>
      </c>
      <c r="N23" s="2">
        <f t="shared" ca="1" si="9"/>
        <v>0.24550316943730655</v>
      </c>
      <c r="O23" s="2">
        <f t="shared" ca="1" si="9"/>
        <v>0.24429887350730584</v>
      </c>
      <c r="P23" s="2">
        <f t="shared" ca="1" si="9"/>
        <v>0.27100317876969643</v>
      </c>
      <c r="Q23" s="2">
        <f t="shared" ca="1" si="9"/>
        <v>0.2251416779289441</v>
      </c>
      <c r="R23" s="2">
        <f t="shared" ca="1" si="9"/>
        <v>0.29457395007595272</v>
      </c>
      <c r="S23" s="2">
        <f t="shared" ca="1" si="9"/>
        <v>0.24502321867910828</v>
      </c>
      <c r="T23" s="2">
        <f t="shared" ca="1" si="9"/>
        <v>0.20760084814106627</v>
      </c>
      <c r="U23" s="2">
        <f t="shared" ca="1" si="9"/>
        <v>0.21443594370919794</v>
      </c>
      <c r="V23" s="2">
        <f t="shared" ca="1" si="9"/>
        <v>0.29612294285056784</v>
      </c>
      <c r="W23" s="2">
        <f t="shared" ca="1" si="9"/>
        <v>0.2929622818338074</v>
      </c>
      <c r="X23" s="2">
        <f t="shared" ca="1" si="9"/>
        <v>0.2591450956591061</v>
      </c>
      <c r="Y23" s="2">
        <f t="shared" ca="1" si="9"/>
        <v>0.29198800919766554</v>
      </c>
      <c r="Z23" s="2">
        <f t="shared" ca="1" si="9"/>
        <v>0.29645954829226867</v>
      </c>
      <c r="AA23" s="2">
        <f t="shared" ca="1" si="5"/>
        <v>0.27796095392387082</v>
      </c>
      <c r="AB23" s="2">
        <f t="shared" ca="1" si="5"/>
        <v>0.28006441906064683</v>
      </c>
      <c r="AC23" s="2">
        <f t="shared" ca="1" si="5"/>
        <v>0.27126432576775145</v>
      </c>
      <c r="AD23" s="2">
        <f t="shared" ca="1" si="5"/>
        <v>0.21898090902479381</v>
      </c>
      <c r="AE23" s="2">
        <f t="shared" ca="1" si="5"/>
        <v>0.2662869244116679</v>
      </c>
      <c r="AF23" s="2">
        <f t="shared" ca="1" si="5"/>
        <v>0.29279077322446406</v>
      </c>
      <c r="AG23" s="2">
        <f t="shared" ca="1" si="5"/>
        <v>0.22167162976145036</v>
      </c>
      <c r="AH23" s="2">
        <f t="shared" ca="1" si="5"/>
        <v>0.26350940384742538</v>
      </c>
    </row>
    <row r="24" spans="1:34">
      <c r="A24" t="str">
        <f t="shared" si="7"/>
        <v>Sorghum</v>
      </c>
      <c r="B24" t="str">
        <f t="shared" si="8"/>
        <v>Tigray</v>
      </c>
      <c r="C24" s="2">
        <f t="shared" ca="1" si="2"/>
        <v>0.28719525780834981</v>
      </c>
      <c r="D24" s="2">
        <f t="shared" ca="1" si="10"/>
        <v>0.24639429229857734</v>
      </c>
      <c r="E24" s="2">
        <f t="shared" ca="1" si="10"/>
        <v>0.23604701800744449</v>
      </c>
      <c r="F24" s="2">
        <f t="shared" ca="1" si="10"/>
        <v>0.27153095174941611</v>
      </c>
      <c r="G24" s="2">
        <f t="shared" ca="1" si="10"/>
        <v>0.29268797895665666</v>
      </c>
      <c r="H24" s="2">
        <f t="shared" ca="1" si="10"/>
        <v>0.23323469710022787</v>
      </c>
      <c r="I24" s="2">
        <f t="shared" ca="1" si="10"/>
        <v>0.29050275084379124</v>
      </c>
      <c r="J24" s="2">
        <f t="shared" ca="1" si="10"/>
        <v>0.26776312076376618</v>
      </c>
      <c r="K24" s="2">
        <f t="shared" ca="1" si="9"/>
        <v>0.23426036014446278</v>
      </c>
      <c r="L24" s="2">
        <f t="shared" ca="1" si="9"/>
        <v>0.20813233084749777</v>
      </c>
      <c r="M24" s="2">
        <f t="shared" ca="1" si="9"/>
        <v>0.2348364023773637</v>
      </c>
      <c r="N24" s="2">
        <f t="shared" ca="1" si="9"/>
        <v>0.28961798962011315</v>
      </c>
      <c r="O24" s="2">
        <f t="shared" ca="1" si="9"/>
        <v>0.21981078540679863</v>
      </c>
      <c r="P24" s="2">
        <f t="shared" ca="1" si="9"/>
        <v>0.25938995642003093</v>
      </c>
      <c r="Q24" s="2">
        <f t="shared" ca="1" si="9"/>
        <v>0.29403666226938779</v>
      </c>
      <c r="R24" s="2">
        <f t="shared" ca="1" si="9"/>
        <v>0.25014679512985594</v>
      </c>
      <c r="S24" s="2">
        <f t="shared" ca="1" si="9"/>
        <v>0.254412372162442</v>
      </c>
      <c r="T24" s="2">
        <f t="shared" ca="1" si="9"/>
        <v>0.26517913161610479</v>
      </c>
      <c r="U24" s="2">
        <f t="shared" ca="1" si="9"/>
        <v>0.24479566392748936</v>
      </c>
      <c r="V24" s="2">
        <f t="shared" ca="1" si="9"/>
        <v>0.29616053947119914</v>
      </c>
      <c r="W24" s="2">
        <f t="shared" ca="1" si="9"/>
        <v>0.22813103752917707</v>
      </c>
      <c r="X24" s="2">
        <f t="shared" ca="1" si="9"/>
        <v>0.23255310810076749</v>
      </c>
      <c r="Y24" s="2">
        <f t="shared" ca="1" si="9"/>
        <v>0.22368838897958504</v>
      </c>
      <c r="Z24" s="2">
        <f t="shared" ca="1" si="9"/>
        <v>0.27584011312202233</v>
      </c>
      <c r="AA24" s="2">
        <f t="shared" ca="1" si="5"/>
        <v>0.26398125455685623</v>
      </c>
      <c r="AB24" s="2">
        <f t="shared" ca="1" si="5"/>
        <v>0.21498157430987752</v>
      </c>
      <c r="AC24" s="2">
        <f t="shared" ca="1" si="5"/>
        <v>0.210285490979286</v>
      </c>
      <c r="AD24" s="2">
        <f t="shared" ca="1" si="5"/>
        <v>0.28885135193692218</v>
      </c>
      <c r="AE24" s="2">
        <f t="shared" ca="1" si="5"/>
        <v>0.23446254152004559</v>
      </c>
      <c r="AF24" s="2">
        <f t="shared" ca="1" si="5"/>
        <v>0.26736957096995728</v>
      </c>
      <c r="AG24" s="2">
        <f t="shared" ca="1" si="5"/>
        <v>0.28352027033459198</v>
      </c>
      <c r="AH24" s="2">
        <f t="shared" ca="1" si="5"/>
        <v>0.29320156690887944</v>
      </c>
    </row>
    <row r="25" spans="1:34">
      <c r="A25" t="str">
        <f t="shared" si="7"/>
        <v>Maize</v>
      </c>
      <c r="B25" t="str">
        <f t="shared" si="8"/>
        <v>AddisAbaba</v>
      </c>
      <c r="C25" s="2">
        <f t="shared" ca="1" si="2"/>
        <v>0.22684395313906092</v>
      </c>
      <c r="D25" s="2">
        <f t="shared" ca="1" si="10"/>
        <v>0.24188152699797474</v>
      </c>
      <c r="E25" s="2">
        <f t="shared" ca="1" si="10"/>
        <v>0.27957914821380464</v>
      </c>
      <c r="F25" s="2">
        <f t="shared" ca="1" si="10"/>
        <v>0.28188491845935876</v>
      </c>
      <c r="G25" s="2">
        <f t="shared" ca="1" si="10"/>
        <v>0.29905657013224207</v>
      </c>
      <c r="H25" s="2">
        <f t="shared" ca="1" si="10"/>
        <v>0.23435571051547899</v>
      </c>
      <c r="I25" s="2">
        <f t="shared" ca="1" si="10"/>
        <v>0.22277778924169078</v>
      </c>
      <c r="J25" s="2">
        <f t="shared" ca="1" si="10"/>
        <v>0.27426332687522309</v>
      </c>
      <c r="K25" s="2">
        <f t="shared" ca="1" si="9"/>
        <v>0.28495833631260298</v>
      </c>
      <c r="L25" s="2">
        <f t="shared" ca="1" si="9"/>
        <v>0.21416119110005694</v>
      </c>
      <c r="M25" s="2">
        <f t="shared" ca="1" si="9"/>
        <v>0.23196347837993705</v>
      </c>
      <c r="N25" s="2">
        <f t="shared" ca="1" si="9"/>
        <v>0.25921294441159254</v>
      </c>
      <c r="O25" s="2">
        <f t="shared" ca="1" si="9"/>
        <v>0.21754061122160193</v>
      </c>
      <c r="P25" s="2">
        <f t="shared" ca="1" si="9"/>
        <v>0.26419206675460133</v>
      </c>
      <c r="Q25" s="2">
        <f t="shared" ca="1" si="9"/>
        <v>0.22208448166357569</v>
      </c>
      <c r="R25" s="2">
        <f t="shared" ca="1" si="9"/>
        <v>0.23130406784090377</v>
      </c>
      <c r="S25" s="2">
        <f t="shared" ca="1" si="9"/>
        <v>0.21697680341762021</v>
      </c>
      <c r="T25" s="2">
        <f t="shared" ca="1" si="9"/>
        <v>0.23326447317147425</v>
      </c>
      <c r="U25" s="2">
        <f t="shared" ca="1" si="9"/>
        <v>0.27279377134646593</v>
      </c>
      <c r="V25" s="2">
        <f t="shared" ca="1" si="9"/>
        <v>0.20603264778182648</v>
      </c>
      <c r="W25" s="2">
        <f t="shared" ca="1" si="9"/>
        <v>0.27256487015108544</v>
      </c>
      <c r="X25" s="2">
        <f t="shared" ca="1" si="9"/>
        <v>0.23746503187779397</v>
      </c>
      <c r="Y25" s="2">
        <f t="shared" ca="1" si="9"/>
        <v>0.22229768779764519</v>
      </c>
      <c r="Z25" s="2">
        <f t="shared" ca="1" si="9"/>
        <v>0.27002444614465204</v>
      </c>
      <c r="AA25" s="2">
        <f t="shared" ca="1" si="5"/>
        <v>0.29098902039662172</v>
      </c>
      <c r="AB25" s="2">
        <f t="shared" ca="1" si="5"/>
        <v>0.21058941083556168</v>
      </c>
      <c r="AC25" s="2">
        <f t="shared" ca="1" si="5"/>
        <v>0.20377931629048929</v>
      </c>
      <c r="AD25" s="2">
        <f t="shared" ca="1" si="5"/>
        <v>0.26759305976360076</v>
      </c>
      <c r="AE25" s="2">
        <f t="shared" ca="1" si="5"/>
        <v>0.27621606280546401</v>
      </c>
      <c r="AF25" s="2">
        <f t="shared" ca="1" si="5"/>
        <v>0.2142093847486396</v>
      </c>
      <c r="AG25" s="2">
        <f t="shared" ca="1" si="5"/>
        <v>0.26437384214011633</v>
      </c>
      <c r="AH25" s="2">
        <f t="shared" ca="1" si="5"/>
        <v>0.22385591591630263</v>
      </c>
    </row>
    <row r="26" spans="1:34">
      <c r="A26" t="str">
        <f t="shared" si="7"/>
        <v>Maize</v>
      </c>
      <c r="B26" t="str">
        <f t="shared" si="8"/>
        <v>Afar</v>
      </c>
      <c r="C26" s="2">
        <f t="shared" ca="1" si="2"/>
        <v>0.28415485304937105</v>
      </c>
      <c r="D26" s="2">
        <f t="shared" ca="1" si="10"/>
        <v>0.20762620041879268</v>
      </c>
      <c r="E26" s="2">
        <f t="shared" ca="1" si="10"/>
        <v>0.26729641532000237</v>
      </c>
      <c r="F26" s="2">
        <f t="shared" ca="1" si="10"/>
        <v>0.25166098767563089</v>
      </c>
      <c r="G26" s="2">
        <f t="shared" ca="1" si="10"/>
        <v>0.2155515627745655</v>
      </c>
      <c r="H26" s="2">
        <f t="shared" ca="1" si="10"/>
        <v>0.24739805416644237</v>
      </c>
      <c r="I26" s="2">
        <f t="shared" ca="1" si="10"/>
        <v>0.23070472776794815</v>
      </c>
      <c r="J26" s="2">
        <f t="shared" ca="1" si="10"/>
        <v>0.2739289396501266</v>
      </c>
      <c r="K26" s="2">
        <f t="shared" ca="1" si="9"/>
        <v>0.27940838849991634</v>
      </c>
      <c r="L26" s="2">
        <f t="shared" ca="1" si="9"/>
        <v>0.2258831164011452</v>
      </c>
      <c r="M26" s="2">
        <f t="shared" ca="1" si="9"/>
        <v>0.24031387403155138</v>
      </c>
      <c r="N26" s="2">
        <f t="shared" ca="1" si="9"/>
        <v>0.20155893415392251</v>
      </c>
      <c r="O26" s="2">
        <f t="shared" ca="1" si="9"/>
        <v>0.24556560229242116</v>
      </c>
      <c r="P26" s="2">
        <f t="shared" ca="1" si="9"/>
        <v>0.23652608349367263</v>
      </c>
      <c r="Q26" s="2">
        <f t="shared" ca="1" si="9"/>
        <v>0.22019367530271478</v>
      </c>
      <c r="R26" s="2">
        <f t="shared" ca="1" si="9"/>
        <v>0.23282246857758404</v>
      </c>
      <c r="S26" s="2">
        <f t="shared" ca="1" si="9"/>
        <v>0.24553227591362409</v>
      </c>
      <c r="T26" s="2">
        <f t="shared" ca="1" si="9"/>
        <v>0.27323773768371895</v>
      </c>
      <c r="U26" s="2">
        <f t="shared" ca="1" si="9"/>
        <v>0.20379502228532978</v>
      </c>
      <c r="V26" s="2">
        <f t="shared" ca="1" si="9"/>
        <v>0.22750196067671669</v>
      </c>
      <c r="W26" s="2">
        <f t="shared" ca="1" si="9"/>
        <v>0.23911087809728629</v>
      </c>
      <c r="X26" s="2">
        <f t="shared" ca="1" si="9"/>
        <v>0.27521726585200446</v>
      </c>
      <c r="Y26" s="2">
        <f t="shared" ca="1" si="9"/>
        <v>0.29406939400682597</v>
      </c>
      <c r="Z26" s="2">
        <f t="shared" ca="1" si="9"/>
        <v>0.2169911821665568</v>
      </c>
      <c r="AA26" s="2">
        <f t="shared" ca="1" si="5"/>
        <v>0.22192242567892648</v>
      </c>
      <c r="AB26" s="2">
        <f t="shared" ca="1" si="5"/>
        <v>0.22740097510904095</v>
      </c>
      <c r="AC26" s="2">
        <f t="shared" ca="1" si="5"/>
        <v>0.26496373040532195</v>
      </c>
      <c r="AD26" s="2">
        <f t="shared" ca="1" si="5"/>
        <v>0.24799032449134314</v>
      </c>
      <c r="AE26" s="2">
        <f t="shared" ca="1" si="5"/>
        <v>0.22010509968116487</v>
      </c>
      <c r="AF26" s="2">
        <f t="shared" ca="1" si="5"/>
        <v>0.22059911321010395</v>
      </c>
      <c r="AG26" s="2">
        <f t="shared" ca="1" si="5"/>
        <v>0.28173520635642307</v>
      </c>
      <c r="AH26" s="2">
        <f t="shared" ca="1" si="5"/>
        <v>0.23233296679871476</v>
      </c>
    </row>
    <row r="27" spans="1:34">
      <c r="A27" t="str">
        <f t="shared" si="7"/>
        <v>Maize</v>
      </c>
      <c r="B27" t="str">
        <f t="shared" si="8"/>
        <v>Amhara</v>
      </c>
      <c r="C27" s="2">
        <f t="shared" ca="1" si="2"/>
        <v>0.28483233833269306</v>
      </c>
      <c r="D27" s="2">
        <f t="shared" ca="1" si="10"/>
        <v>0.26527493357122395</v>
      </c>
      <c r="E27" s="2">
        <f t="shared" ca="1" si="10"/>
        <v>0.20528704495528161</v>
      </c>
      <c r="F27" s="2">
        <f t="shared" ca="1" si="10"/>
        <v>0.21571684133559707</v>
      </c>
      <c r="G27" s="2">
        <f t="shared" ca="1" si="10"/>
        <v>0.261981302917838</v>
      </c>
      <c r="H27" s="2">
        <f t="shared" ca="1" si="10"/>
        <v>0.20032225656033595</v>
      </c>
      <c r="I27" s="2">
        <f t="shared" ca="1" si="10"/>
        <v>0.21738830224007494</v>
      </c>
      <c r="J27" s="2">
        <f t="shared" ca="1" si="10"/>
        <v>0.22436301879313683</v>
      </c>
      <c r="K27" s="2">
        <f t="shared" ca="1" si="9"/>
        <v>0.20571505706109502</v>
      </c>
      <c r="L27" s="2">
        <f t="shared" ca="1" si="9"/>
        <v>0.235339804710964</v>
      </c>
      <c r="M27" s="2">
        <f t="shared" ca="1" si="9"/>
        <v>0.28128698382086603</v>
      </c>
      <c r="N27" s="2">
        <f t="shared" ca="1" si="9"/>
        <v>0.21292992589973869</v>
      </c>
      <c r="O27" s="2">
        <f t="shared" ca="1" si="9"/>
        <v>0.29919027808071563</v>
      </c>
      <c r="P27" s="2">
        <f t="shared" ca="1" si="9"/>
        <v>0.27039141981861342</v>
      </c>
      <c r="Q27" s="2">
        <f t="shared" ca="1" si="9"/>
        <v>0.21744460225012535</v>
      </c>
      <c r="R27" s="2">
        <f t="shared" ca="1" si="9"/>
        <v>0.27562681919017623</v>
      </c>
      <c r="S27" s="2">
        <f t="shared" ca="1" si="9"/>
        <v>0.29241978255139878</v>
      </c>
      <c r="T27" s="2">
        <f t="shared" ca="1" si="9"/>
        <v>0.25160228167036791</v>
      </c>
      <c r="U27" s="2">
        <f t="shared" ca="1" si="9"/>
        <v>0.22760067623594327</v>
      </c>
      <c r="V27" s="2">
        <f t="shared" ca="1" si="9"/>
        <v>0.23306474644366434</v>
      </c>
      <c r="W27" s="2">
        <f t="shared" ca="1" si="9"/>
        <v>0.26351077820592572</v>
      </c>
      <c r="X27" s="2">
        <f t="shared" ca="1" si="9"/>
        <v>0.21263079239212787</v>
      </c>
      <c r="Y27" s="2">
        <f t="shared" ca="1" si="9"/>
        <v>0.28157826872924441</v>
      </c>
      <c r="Z27" s="2">
        <f t="shared" ca="1" si="9"/>
        <v>0.2695181460627466</v>
      </c>
      <c r="AA27" s="2">
        <f t="shared" ca="1" si="5"/>
        <v>0.25708077200854818</v>
      </c>
      <c r="AB27" s="2">
        <f t="shared" ca="1" si="5"/>
        <v>0.28605677638746652</v>
      </c>
      <c r="AC27" s="2">
        <f t="shared" ca="1" si="5"/>
        <v>0.25316472120849826</v>
      </c>
      <c r="AD27" s="2">
        <f t="shared" ca="1" si="5"/>
        <v>0.26646815957635034</v>
      </c>
      <c r="AE27" s="2">
        <f t="shared" ca="1" si="5"/>
        <v>0.22891336443332611</v>
      </c>
      <c r="AF27" s="2">
        <f t="shared" ca="1" si="5"/>
        <v>0.28162673148545803</v>
      </c>
      <c r="AG27" s="2">
        <f t="shared" ca="1" si="5"/>
        <v>0.24149331019239964</v>
      </c>
      <c r="AH27" s="2">
        <f t="shared" ca="1" si="5"/>
        <v>0.24768201179060001</v>
      </c>
    </row>
    <row r="28" spans="1:34">
      <c r="A28" t="str">
        <f t="shared" si="7"/>
        <v>Maize</v>
      </c>
      <c r="B28" t="str">
        <f t="shared" si="8"/>
        <v>Gumuz</v>
      </c>
      <c r="C28" s="2">
        <f t="shared" ca="1" si="2"/>
        <v>0.22094279634360273</v>
      </c>
      <c r="D28" s="2">
        <f t="shared" ca="1" si="10"/>
        <v>0.2384007396844311</v>
      </c>
      <c r="E28" s="2">
        <f t="shared" ca="1" si="10"/>
        <v>0.29943069334692429</v>
      </c>
      <c r="F28" s="2">
        <f t="shared" ca="1" si="10"/>
        <v>0.21082797063579506</v>
      </c>
      <c r="G28" s="2">
        <f t="shared" ca="1" si="10"/>
        <v>0.2812722563641723</v>
      </c>
      <c r="H28" s="2">
        <f t="shared" ca="1" si="10"/>
        <v>0.25531131269310792</v>
      </c>
      <c r="I28" s="2">
        <f t="shared" ca="1" si="10"/>
        <v>0.29199974890427582</v>
      </c>
      <c r="J28" s="2">
        <f t="shared" ca="1" si="10"/>
        <v>0.271428360744496</v>
      </c>
      <c r="K28" s="2">
        <f t="shared" ca="1" si="9"/>
        <v>0.20562353177194692</v>
      </c>
      <c r="L28" s="2">
        <f t="shared" ca="1" si="9"/>
        <v>0.25395895054992423</v>
      </c>
      <c r="M28" s="2">
        <f t="shared" ca="1" si="9"/>
        <v>0.22378967792271709</v>
      </c>
      <c r="N28" s="2">
        <f t="shared" ca="1" si="9"/>
        <v>0.22682152192697277</v>
      </c>
      <c r="O28" s="2">
        <f t="shared" ca="1" si="9"/>
        <v>0.27424698835335165</v>
      </c>
      <c r="P28" s="2">
        <f t="shared" ca="1" si="9"/>
        <v>0.21602903391124895</v>
      </c>
      <c r="Q28" s="2">
        <f t="shared" ca="1" si="9"/>
        <v>0.2747501371463929</v>
      </c>
      <c r="R28" s="2">
        <f t="shared" ca="1" si="9"/>
        <v>0.29211165550845308</v>
      </c>
      <c r="S28" s="2">
        <f t="shared" ca="1" si="9"/>
        <v>0.2821986516917302</v>
      </c>
      <c r="T28" s="2">
        <f t="shared" ca="1" si="9"/>
        <v>0.2729685263987196</v>
      </c>
      <c r="U28" s="2">
        <f t="shared" ca="1" si="9"/>
        <v>0.21119435125128544</v>
      </c>
      <c r="V28" s="2">
        <f t="shared" ca="1" si="9"/>
        <v>0.26484555321663106</v>
      </c>
      <c r="W28" s="2">
        <f t="shared" ca="1" si="9"/>
        <v>0.27290546290896789</v>
      </c>
      <c r="X28" s="2">
        <f t="shared" ca="1" si="9"/>
        <v>0.20798442623495109</v>
      </c>
      <c r="Y28" s="2">
        <f t="shared" ca="1" si="9"/>
        <v>0.20282034025296936</v>
      </c>
      <c r="Z28" s="2">
        <f t="shared" ca="1" si="9"/>
        <v>0.27611170003059282</v>
      </c>
      <c r="AA28" s="2">
        <f t="shared" ca="1" si="5"/>
        <v>0.23403200425886758</v>
      </c>
      <c r="AB28" s="2">
        <f t="shared" ca="1" si="5"/>
        <v>0.22694963606407675</v>
      </c>
      <c r="AC28" s="2">
        <f t="shared" ca="1" si="5"/>
        <v>0.2459438242161783</v>
      </c>
      <c r="AD28" s="2">
        <f t="shared" ca="1" si="5"/>
        <v>0.21745234677590608</v>
      </c>
      <c r="AE28" s="2">
        <f t="shared" ca="1" si="5"/>
        <v>0.26479439841888108</v>
      </c>
      <c r="AF28" s="2">
        <f t="shared" ca="1" si="5"/>
        <v>0.20218577480072039</v>
      </c>
      <c r="AG28" s="2">
        <f t="shared" ca="1" si="5"/>
        <v>0.23667576255924908</v>
      </c>
      <c r="AH28" s="2">
        <f t="shared" ca="1" si="5"/>
        <v>0.2210070231676331</v>
      </c>
    </row>
    <row r="29" spans="1:34">
      <c r="A29" t="str">
        <f t="shared" si="7"/>
        <v>Maize</v>
      </c>
      <c r="B29" t="str">
        <f t="shared" si="8"/>
        <v>DireDawa</v>
      </c>
      <c r="C29" s="2">
        <f t="shared" ca="1" si="2"/>
        <v>0.28035451014255497</v>
      </c>
      <c r="D29" s="2">
        <f t="shared" ca="1" si="10"/>
        <v>0.22771699799684619</v>
      </c>
      <c r="E29" s="2">
        <f t="shared" ca="1" si="10"/>
        <v>0.26569053631900658</v>
      </c>
      <c r="F29" s="2">
        <f t="shared" ca="1" si="10"/>
        <v>0.25584033662649741</v>
      </c>
      <c r="G29" s="2">
        <f t="shared" ca="1" si="10"/>
        <v>0.20083438932801689</v>
      </c>
      <c r="H29" s="2">
        <f t="shared" ca="1" si="10"/>
        <v>0.25443408502505516</v>
      </c>
      <c r="I29" s="2">
        <f t="shared" ca="1" si="10"/>
        <v>0.21661482344218613</v>
      </c>
      <c r="J29" s="2">
        <f t="shared" ca="1" si="10"/>
        <v>0.26489152749875833</v>
      </c>
      <c r="K29" s="2">
        <f t="shared" ca="1" si="9"/>
        <v>0.24987344706249026</v>
      </c>
      <c r="L29" s="2">
        <f t="shared" ca="1" si="9"/>
        <v>0.25405889728145525</v>
      </c>
      <c r="M29" s="2">
        <f t="shared" ca="1" si="9"/>
        <v>0.24080209081638865</v>
      </c>
      <c r="N29" s="2">
        <f t="shared" ca="1" si="9"/>
        <v>0.2525620065442179</v>
      </c>
      <c r="O29" s="2">
        <f t="shared" ca="1" si="9"/>
        <v>0.20029884328556169</v>
      </c>
      <c r="P29" s="2">
        <f t="shared" ca="1" si="9"/>
        <v>0.2413759022576252</v>
      </c>
      <c r="Q29" s="2">
        <f t="shared" ca="1" si="9"/>
        <v>0.26720108883760246</v>
      </c>
      <c r="R29" s="2">
        <f t="shared" ca="1" si="9"/>
        <v>0.21324315098540511</v>
      </c>
      <c r="S29" s="2">
        <f t="shared" ca="1" si="9"/>
        <v>0.259095770657986</v>
      </c>
      <c r="T29" s="2">
        <f t="shared" ca="1" si="9"/>
        <v>0.2953718500439883</v>
      </c>
      <c r="U29" s="2">
        <f t="shared" ca="1" si="9"/>
        <v>0.25908961976537032</v>
      </c>
      <c r="V29" s="2">
        <f t="shared" ca="1" si="9"/>
        <v>0.26538089819894789</v>
      </c>
      <c r="W29" s="2">
        <f t="shared" ca="1" si="9"/>
        <v>0.29259200222255288</v>
      </c>
      <c r="X29" s="2">
        <f t="shared" ca="1" si="9"/>
        <v>0.23721568486962089</v>
      </c>
      <c r="Y29" s="2">
        <f t="shared" ca="1" si="9"/>
        <v>0.21660365839791318</v>
      </c>
      <c r="Z29" s="2">
        <f t="shared" ca="1" si="9"/>
        <v>0.21454299586619585</v>
      </c>
      <c r="AA29" s="2">
        <f t="shared" ca="1" si="5"/>
        <v>0.28685257578170892</v>
      </c>
      <c r="AB29" s="2">
        <f t="shared" ca="1" si="5"/>
        <v>0.25884804832238734</v>
      </c>
      <c r="AC29" s="2">
        <f t="shared" ca="1" si="5"/>
        <v>0.29190650625386599</v>
      </c>
      <c r="AD29" s="2">
        <f t="shared" ca="1" si="5"/>
        <v>0.25612247364032842</v>
      </c>
      <c r="AE29" s="2">
        <f t="shared" ca="1" si="5"/>
        <v>0.28733769916197222</v>
      </c>
      <c r="AF29" s="2">
        <f t="shared" ca="1" si="5"/>
        <v>0.24132893317947396</v>
      </c>
      <c r="AG29" s="2">
        <f t="shared" ca="1" si="5"/>
        <v>0.20847826320093116</v>
      </c>
      <c r="AH29" s="2">
        <f t="shared" ca="1" si="5"/>
        <v>0.24542648289632271</v>
      </c>
    </row>
    <row r="30" spans="1:34">
      <c r="A30" t="str">
        <f t="shared" si="7"/>
        <v>Maize</v>
      </c>
      <c r="B30" t="str">
        <f t="shared" si="8"/>
        <v>Gambela</v>
      </c>
      <c r="C30" s="2">
        <f t="shared" ca="1" si="2"/>
        <v>0.29219086442697889</v>
      </c>
      <c r="D30" s="2">
        <f t="shared" ca="1" si="10"/>
        <v>0.23812504044355592</v>
      </c>
      <c r="E30" s="2">
        <f t="shared" ca="1" si="10"/>
        <v>0.22851864729341623</v>
      </c>
      <c r="F30" s="2">
        <f t="shared" ca="1" si="10"/>
        <v>0.29861028125519595</v>
      </c>
      <c r="G30" s="2">
        <f t="shared" ca="1" si="10"/>
        <v>0.27888217548945432</v>
      </c>
      <c r="H30" s="2">
        <f t="shared" ca="1" si="10"/>
        <v>0.26824002916701356</v>
      </c>
      <c r="I30" s="2">
        <f t="shared" ca="1" si="10"/>
        <v>0.2828122242950516</v>
      </c>
      <c r="J30" s="2">
        <f t="shared" ca="1" si="10"/>
        <v>0.2971272734920839</v>
      </c>
      <c r="K30" s="2">
        <f t="shared" ca="1" si="9"/>
        <v>0.20687073908626871</v>
      </c>
      <c r="L30" s="2">
        <f t="shared" ca="1" si="9"/>
        <v>0.28797511370830037</v>
      </c>
      <c r="M30" s="2">
        <f t="shared" ca="1" si="9"/>
        <v>0.27633756152606648</v>
      </c>
      <c r="N30" s="2">
        <f t="shared" ca="1" si="9"/>
        <v>0.21329977045844359</v>
      </c>
      <c r="O30" s="2">
        <f t="shared" ca="1" si="9"/>
        <v>0.2541816795823269</v>
      </c>
      <c r="P30" s="2">
        <f t="shared" ca="1" si="9"/>
        <v>0.25178289423178551</v>
      </c>
      <c r="Q30" s="2">
        <f t="shared" ca="1" si="9"/>
        <v>0.28974857314723851</v>
      </c>
      <c r="R30" s="2">
        <f t="shared" ca="1" si="9"/>
        <v>0.29147080205762033</v>
      </c>
      <c r="S30" s="2">
        <f t="shared" ca="1" si="9"/>
        <v>0.28265457162834917</v>
      </c>
      <c r="T30" s="2">
        <f t="shared" ca="1" si="9"/>
        <v>0.29951074425070073</v>
      </c>
      <c r="U30" s="2">
        <f t="shared" ca="1" si="9"/>
        <v>0.23315396919197662</v>
      </c>
      <c r="V30" s="2">
        <f t="shared" ca="1" si="9"/>
        <v>0.24279705589904269</v>
      </c>
      <c r="W30" s="2">
        <f t="shared" ca="1" si="9"/>
        <v>0.20915105539548923</v>
      </c>
      <c r="X30" s="2">
        <f t="shared" ca="1" si="9"/>
        <v>0.27967795006103863</v>
      </c>
      <c r="Y30" s="2">
        <f t="shared" ca="1" si="9"/>
        <v>0.27755552544290241</v>
      </c>
      <c r="Z30" s="2">
        <f t="shared" ca="1" si="9"/>
        <v>0.28099001219418562</v>
      </c>
      <c r="AA30" s="2">
        <f t="shared" ca="1" si="5"/>
        <v>0.24360902972861548</v>
      </c>
      <c r="AB30" s="2">
        <f t="shared" ca="1" si="5"/>
        <v>0.26387324059273076</v>
      </c>
      <c r="AC30" s="2">
        <f t="shared" ca="1" si="5"/>
        <v>0.23997679115531795</v>
      </c>
      <c r="AD30" s="2">
        <f t="shared" ca="1" si="5"/>
        <v>0.2773207385138341</v>
      </c>
      <c r="AE30" s="2">
        <f t="shared" ca="1" si="5"/>
        <v>0.27567400304116335</v>
      </c>
      <c r="AF30" s="2">
        <f t="shared" ca="1" si="5"/>
        <v>0.2398390154287775</v>
      </c>
      <c r="AG30" s="2">
        <f t="shared" ca="1" si="5"/>
        <v>0.21065251316287986</v>
      </c>
      <c r="AH30" s="2">
        <f t="shared" ca="1" si="5"/>
        <v>0.2030071976156462</v>
      </c>
    </row>
    <row r="31" spans="1:34">
      <c r="A31" t="str">
        <f t="shared" si="7"/>
        <v>Maize</v>
      </c>
      <c r="B31" t="str">
        <f t="shared" si="8"/>
        <v>Harari</v>
      </c>
      <c r="C31" s="2">
        <f t="shared" ca="1" si="2"/>
        <v>0.20672568632703273</v>
      </c>
      <c r="D31" s="2">
        <f t="shared" ca="1" si="10"/>
        <v>0.21065356460995416</v>
      </c>
      <c r="E31" s="2">
        <f t="shared" ca="1" si="10"/>
        <v>0.25116388628755948</v>
      </c>
      <c r="F31" s="2">
        <f t="shared" ca="1" si="10"/>
        <v>0.22571838542649178</v>
      </c>
      <c r="G31" s="2">
        <f t="shared" ca="1" si="10"/>
        <v>0.26053481245782806</v>
      </c>
      <c r="H31" s="2">
        <f t="shared" ca="1" si="10"/>
        <v>0.27218137391903574</v>
      </c>
      <c r="I31" s="2">
        <f t="shared" ca="1" si="10"/>
        <v>0.25933690833018763</v>
      </c>
      <c r="J31" s="2">
        <f t="shared" ca="1" si="10"/>
        <v>0.24445447291939446</v>
      </c>
      <c r="K31" s="2">
        <f t="shared" ref="K31:Z40" ca="1" si="11">RAND()*0.1+0.2</f>
        <v>0.27359714574465643</v>
      </c>
      <c r="L31" s="2">
        <f t="shared" ca="1" si="11"/>
        <v>0.21848287345671158</v>
      </c>
      <c r="M31" s="2">
        <f t="shared" ca="1" si="11"/>
        <v>0.20908255152207292</v>
      </c>
      <c r="N31" s="2">
        <f t="shared" ca="1" si="11"/>
        <v>0.29792527989953371</v>
      </c>
      <c r="O31" s="2">
        <f t="shared" ca="1" si="11"/>
        <v>0.21570491577103384</v>
      </c>
      <c r="P31" s="2">
        <f t="shared" ca="1" si="11"/>
        <v>0.27042871333651503</v>
      </c>
      <c r="Q31" s="2">
        <f t="shared" ca="1" si="11"/>
        <v>0.26499339369491398</v>
      </c>
      <c r="R31" s="2">
        <f t="shared" ca="1" si="11"/>
        <v>0.26871760558955954</v>
      </c>
      <c r="S31" s="2">
        <f t="shared" ca="1" si="11"/>
        <v>0.22891416798286199</v>
      </c>
      <c r="T31" s="2">
        <f t="shared" ca="1" si="11"/>
        <v>0.282117202815649</v>
      </c>
      <c r="U31" s="2">
        <f t="shared" ca="1" si="11"/>
        <v>0.29468694197249257</v>
      </c>
      <c r="V31" s="2">
        <f t="shared" ca="1" si="11"/>
        <v>0.2766216494921977</v>
      </c>
      <c r="W31" s="2">
        <f t="shared" ca="1" si="11"/>
        <v>0.24495427555385327</v>
      </c>
      <c r="X31" s="2">
        <f t="shared" ca="1" si="11"/>
        <v>0.24929215954993664</v>
      </c>
      <c r="Y31" s="2">
        <f t="shared" ca="1" si="11"/>
        <v>0.244972330574035</v>
      </c>
      <c r="Z31" s="2">
        <f t="shared" ca="1" si="11"/>
        <v>0.22487510118304932</v>
      </c>
      <c r="AA31" s="2">
        <f t="shared" ca="1" si="5"/>
        <v>0.2285158671415464</v>
      </c>
      <c r="AB31" s="2">
        <f t="shared" ca="1" si="5"/>
        <v>0.25899434735293114</v>
      </c>
      <c r="AC31" s="2">
        <f t="shared" ca="1" si="5"/>
        <v>0.23246286905283156</v>
      </c>
      <c r="AD31" s="2">
        <f t="shared" ca="1" si="5"/>
        <v>0.23715348908601214</v>
      </c>
      <c r="AE31" s="2">
        <f t="shared" ca="1" si="5"/>
        <v>0.24767067220438152</v>
      </c>
      <c r="AF31" s="2">
        <f t="shared" ca="1" si="5"/>
        <v>0.26786550604324921</v>
      </c>
      <c r="AG31" s="2">
        <f t="shared" ca="1" si="5"/>
        <v>0.27184371408471802</v>
      </c>
      <c r="AH31" s="2">
        <f t="shared" ca="1" si="5"/>
        <v>0.27078496055570594</v>
      </c>
    </row>
    <row r="32" spans="1:34">
      <c r="A32" t="str">
        <f t="shared" si="7"/>
        <v>Maize</v>
      </c>
      <c r="B32" t="str">
        <f t="shared" si="8"/>
        <v>Oromia</v>
      </c>
      <c r="C32" s="2">
        <f t="shared" ca="1" si="2"/>
        <v>0.22659919890602645</v>
      </c>
      <c r="D32" s="2">
        <f t="shared" ref="D32:J41" ca="1" si="12">RAND()*0.1+0.2</f>
        <v>0.22470683489198542</v>
      </c>
      <c r="E32" s="2">
        <f t="shared" ca="1" si="12"/>
        <v>0.2736004098811628</v>
      </c>
      <c r="F32" s="2">
        <f t="shared" ca="1" si="12"/>
        <v>0.2140217731809915</v>
      </c>
      <c r="G32" s="2">
        <f t="shared" ca="1" si="12"/>
        <v>0.23607316751820481</v>
      </c>
      <c r="H32" s="2">
        <f t="shared" ca="1" si="12"/>
        <v>0.24826926258164761</v>
      </c>
      <c r="I32" s="2">
        <f t="shared" ca="1" si="12"/>
        <v>0.29073672599208078</v>
      </c>
      <c r="J32" s="2">
        <f t="shared" ca="1" si="12"/>
        <v>0.25773542515487935</v>
      </c>
      <c r="K32" s="2">
        <f t="shared" ca="1" si="11"/>
        <v>0.25396225346813261</v>
      </c>
      <c r="L32" s="2">
        <f t="shared" ca="1" si="11"/>
        <v>0.20054649374969907</v>
      </c>
      <c r="M32" s="2">
        <f t="shared" ca="1" si="11"/>
        <v>0.22398896923604961</v>
      </c>
      <c r="N32" s="2">
        <f t="shared" ca="1" si="11"/>
        <v>0.21846285190005249</v>
      </c>
      <c r="O32" s="2">
        <f t="shared" ca="1" si="11"/>
        <v>0.24536834062311189</v>
      </c>
      <c r="P32" s="2">
        <f t="shared" ca="1" si="11"/>
        <v>0.25353281887875034</v>
      </c>
      <c r="Q32" s="2">
        <f t="shared" ca="1" si="11"/>
        <v>0.25248993257073088</v>
      </c>
      <c r="R32" s="2">
        <f t="shared" ca="1" si="11"/>
        <v>0.23824528057955482</v>
      </c>
      <c r="S32" s="2">
        <f t="shared" ca="1" si="11"/>
        <v>0.20664607227497916</v>
      </c>
      <c r="T32" s="2">
        <f t="shared" ca="1" si="11"/>
        <v>0.2146299842370297</v>
      </c>
      <c r="U32" s="2">
        <f t="shared" ca="1" si="11"/>
        <v>0.29265504958436434</v>
      </c>
      <c r="V32" s="2">
        <f t="shared" ca="1" si="11"/>
        <v>0.20083006191292407</v>
      </c>
      <c r="W32" s="2">
        <f t="shared" ca="1" si="11"/>
        <v>0.237235279745732</v>
      </c>
      <c r="X32" s="2">
        <f t="shared" ca="1" si="11"/>
        <v>0.24703614321537715</v>
      </c>
      <c r="Y32" s="2">
        <f t="shared" ca="1" si="11"/>
        <v>0.29489930606644477</v>
      </c>
      <c r="Z32" s="2">
        <f t="shared" ca="1" si="11"/>
        <v>0.22517271934499689</v>
      </c>
      <c r="AA32" s="2">
        <f t="shared" ca="1" si="5"/>
        <v>0.29779945473330721</v>
      </c>
      <c r="AB32" s="2">
        <f t="shared" ca="1" si="5"/>
        <v>0.28821091721179559</v>
      </c>
      <c r="AC32" s="2">
        <f t="shared" ca="1" si="5"/>
        <v>0.23233724083690005</v>
      </c>
      <c r="AD32" s="2">
        <f t="shared" ca="1" si="5"/>
        <v>0.21402681998888864</v>
      </c>
      <c r="AE32" s="2">
        <f t="shared" ca="1" si="5"/>
        <v>0.22968434958213435</v>
      </c>
      <c r="AF32" s="2">
        <f t="shared" ca="1" si="5"/>
        <v>0.24870207653167933</v>
      </c>
      <c r="AG32" s="2">
        <f t="shared" ca="1" si="5"/>
        <v>0.27858848863899927</v>
      </c>
      <c r="AH32" s="2">
        <f t="shared" ca="1" si="5"/>
        <v>0.27729748632594636</v>
      </c>
    </row>
    <row r="33" spans="1:34">
      <c r="A33" t="str">
        <f t="shared" si="7"/>
        <v>Maize</v>
      </c>
      <c r="B33" t="str">
        <f t="shared" si="8"/>
        <v>Somali</v>
      </c>
      <c r="C33" s="2">
        <f t="shared" ca="1" si="2"/>
        <v>0.23637008970516452</v>
      </c>
      <c r="D33" s="2">
        <f t="shared" ca="1" si="12"/>
        <v>0.22264183455525946</v>
      </c>
      <c r="E33" s="2">
        <f t="shared" ca="1" si="12"/>
        <v>0.2147750261428758</v>
      </c>
      <c r="F33" s="2">
        <f t="shared" ca="1" si="12"/>
        <v>0.2535670622259541</v>
      </c>
      <c r="G33" s="2">
        <f t="shared" ca="1" si="12"/>
        <v>0.23746627786075081</v>
      </c>
      <c r="H33" s="2">
        <f t="shared" ca="1" si="12"/>
        <v>0.22915043450016531</v>
      </c>
      <c r="I33" s="2">
        <f t="shared" ca="1" si="12"/>
        <v>0.24655999559648556</v>
      </c>
      <c r="J33" s="2">
        <f t="shared" ca="1" si="12"/>
        <v>0.2755270140706878</v>
      </c>
      <c r="K33" s="2">
        <f t="shared" ca="1" si="11"/>
        <v>0.28794698234063387</v>
      </c>
      <c r="L33" s="2">
        <f t="shared" ca="1" si="11"/>
        <v>0.2398059054048276</v>
      </c>
      <c r="M33" s="2">
        <f t="shared" ca="1" si="11"/>
        <v>0.20056860912984301</v>
      </c>
      <c r="N33" s="2">
        <f t="shared" ca="1" si="11"/>
        <v>0.27722385689707635</v>
      </c>
      <c r="O33" s="2">
        <f t="shared" ca="1" si="11"/>
        <v>0.22256954451063779</v>
      </c>
      <c r="P33" s="2">
        <f t="shared" ca="1" si="11"/>
        <v>0.21890205210926128</v>
      </c>
      <c r="Q33" s="2">
        <f t="shared" ca="1" si="11"/>
        <v>0.23253943348405443</v>
      </c>
      <c r="R33" s="2">
        <f t="shared" ca="1" si="11"/>
        <v>0.24394830945255119</v>
      </c>
      <c r="S33" s="2">
        <f t="shared" ca="1" si="11"/>
        <v>0.21017938812106654</v>
      </c>
      <c r="T33" s="2">
        <f t="shared" ca="1" si="11"/>
        <v>0.24145959937535069</v>
      </c>
      <c r="U33" s="2">
        <f t="shared" ca="1" si="11"/>
        <v>0.297078858752231</v>
      </c>
      <c r="V33" s="2">
        <f t="shared" ca="1" si="11"/>
        <v>0.28127310321391752</v>
      </c>
      <c r="W33" s="2">
        <f t="shared" ca="1" si="11"/>
        <v>0.2965580062179477</v>
      </c>
      <c r="X33" s="2">
        <f t="shared" ca="1" si="11"/>
        <v>0.27188968832939608</v>
      </c>
      <c r="Y33" s="2">
        <f t="shared" ca="1" si="11"/>
        <v>0.27642622362667096</v>
      </c>
      <c r="Z33" s="2">
        <f t="shared" ca="1" si="11"/>
        <v>0.22506256164249672</v>
      </c>
      <c r="AA33" s="2">
        <f t="shared" ca="1" si="5"/>
        <v>0.29807475764001917</v>
      </c>
      <c r="AB33" s="2">
        <f t="shared" ca="1" si="5"/>
        <v>0.24673845739651662</v>
      </c>
      <c r="AC33" s="2">
        <f t="shared" ca="1" si="5"/>
        <v>0.25770362082395715</v>
      </c>
      <c r="AD33" s="2">
        <f t="shared" ca="1" si="5"/>
        <v>0.25564270108880405</v>
      </c>
      <c r="AE33" s="2">
        <f t="shared" ca="1" si="5"/>
        <v>0.25263989671839843</v>
      </c>
      <c r="AF33" s="2">
        <f t="shared" ca="1" si="5"/>
        <v>0.23237566285269479</v>
      </c>
      <c r="AG33" s="2">
        <f t="shared" ca="1" si="5"/>
        <v>0.25570100654246336</v>
      </c>
      <c r="AH33" s="2">
        <f t="shared" ca="1" si="5"/>
        <v>0.20974392613112416</v>
      </c>
    </row>
    <row r="34" spans="1:34">
      <c r="A34" t="str">
        <f t="shared" si="7"/>
        <v>Maize</v>
      </c>
      <c r="B34" t="str">
        <f t="shared" si="8"/>
        <v>SNNPR</v>
      </c>
      <c r="C34" s="2">
        <f t="shared" ca="1" si="2"/>
        <v>0.27838085419193381</v>
      </c>
      <c r="D34" s="2">
        <f t="shared" ca="1" si="12"/>
        <v>0.22864577930716706</v>
      </c>
      <c r="E34" s="2">
        <f t="shared" ca="1" si="12"/>
        <v>0.25935738353771293</v>
      </c>
      <c r="F34" s="2">
        <f t="shared" ca="1" si="12"/>
        <v>0.25678419714018175</v>
      </c>
      <c r="G34" s="2">
        <f t="shared" ca="1" si="12"/>
        <v>0.21889823666937813</v>
      </c>
      <c r="H34" s="2">
        <f t="shared" ca="1" si="12"/>
        <v>0.27326181861368992</v>
      </c>
      <c r="I34" s="2">
        <f t="shared" ca="1" si="12"/>
        <v>0.24245756018161974</v>
      </c>
      <c r="J34" s="2">
        <f t="shared" ca="1" si="12"/>
        <v>0.21825767274060909</v>
      </c>
      <c r="K34" s="2">
        <f t="shared" ca="1" si="11"/>
        <v>0.25679492038306467</v>
      </c>
      <c r="L34" s="2">
        <f t="shared" ca="1" si="11"/>
        <v>0.29032474171031258</v>
      </c>
      <c r="M34" s="2">
        <f t="shared" ca="1" si="11"/>
        <v>0.29668180351627205</v>
      </c>
      <c r="N34" s="2">
        <f t="shared" ca="1" si="11"/>
        <v>0.27904049296068212</v>
      </c>
      <c r="O34" s="2">
        <f t="shared" ca="1" si="11"/>
        <v>0.20740573136201296</v>
      </c>
      <c r="P34" s="2">
        <f t="shared" ca="1" si="11"/>
        <v>0.23439864485131684</v>
      </c>
      <c r="Q34" s="2">
        <f t="shared" ca="1" si="11"/>
        <v>0.27239557496111244</v>
      </c>
      <c r="R34" s="2">
        <f t="shared" ca="1" si="11"/>
        <v>0.28031712395608782</v>
      </c>
      <c r="S34" s="2">
        <f t="shared" ca="1" si="11"/>
        <v>0.22911656667160343</v>
      </c>
      <c r="T34" s="2">
        <f t="shared" ca="1" si="11"/>
        <v>0.26991564224505749</v>
      </c>
      <c r="U34" s="2">
        <f t="shared" ca="1" si="11"/>
        <v>0.28406952135468377</v>
      </c>
      <c r="V34" s="2">
        <f t="shared" ca="1" si="11"/>
        <v>0.25600381735110395</v>
      </c>
      <c r="W34" s="2">
        <f t="shared" ca="1" si="11"/>
        <v>0.29674310704995549</v>
      </c>
      <c r="X34" s="2">
        <f t="shared" ca="1" si="11"/>
        <v>0.27871801286984416</v>
      </c>
      <c r="Y34" s="2">
        <f t="shared" ca="1" si="11"/>
        <v>0.23259633959187442</v>
      </c>
      <c r="Z34" s="2">
        <f t="shared" ca="1" si="11"/>
        <v>0.28716935425861218</v>
      </c>
      <c r="AA34" s="2">
        <f t="shared" ca="1" si="5"/>
        <v>0.26381504929280675</v>
      </c>
      <c r="AB34" s="2">
        <f t="shared" ca="1" si="5"/>
        <v>0.27541800183647008</v>
      </c>
      <c r="AC34" s="2">
        <f t="shared" ca="1" si="5"/>
        <v>0.22645291933363215</v>
      </c>
      <c r="AD34" s="2">
        <f t="shared" ca="1" si="5"/>
        <v>0.27898235610636024</v>
      </c>
      <c r="AE34" s="2">
        <f t="shared" ca="1" si="5"/>
        <v>0.22368639459254208</v>
      </c>
      <c r="AF34" s="2">
        <f t="shared" ca="1" si="5"/>
        <v>0.23076604404749684</v>
      </c>
      <c r="AG34" s="2">
        <f t="shared" ca="1" si="5"/>
        <v>0.21857539066561299</v>
      </c>
      <c r="AH34" s="2">
        <f t="shared" ca="1" si="5"/>
        <v>0.29087976921044445</v>
      </c>
    </row>
    <row r="35" spans="1:34">
      <c r="A35" t="str">
        <f t="shared" si="7"/>
        <v>Maize</v>
      </c>
      <c r="B35" t="str">
        <f t="shared" si="8"/>
        <v>Tigray</v>
      </c>
      <c r="C35" s="2">
        <f t="shared" ref="C35:C52" ca="1" si="13">RAND()*0.1+0.2</f>
        <v>0.29690191722049969</v>
      </c>
      <c r="D35" s="2">
        <f t="shared" ca="1" si="12"/>
        <v>0.20081720029226477</v>
      </c>
      <c r="E35" s="2">
        <f t="shared" ca="1" si="12"/>
        <v>0.29480447290985645</v>
      </c>
      <c r="F35" s="2">
        <f t="shared" ca="1" si="12"/>
        <v>0.28332607963701106</v>
      </c>
      <c r="G35" s="2">
        <f t="shared" ca="1" si="12"/>
        <v>0.24917528531654992</v>
      </c>
      <c r="H35" s="2">
        <f t="shared" ca="1" si="12"/>
        <v>0.25528456423718282</v>
      </c>
      <c r="I35" s="2">
        <f t="shared" ca="1" si="12"/>
        <v>0.25636450393055932</v>
      </c>
      <c r="J35" s="2">
        <f t="shared" ca="1" si="12"/>
        <v>0.22212614611943066</v>
      </c>
      <c r="K35" s="2">
        <f t="shared" ca="1" si="11"/>
        <v>0.27571106711106086</v>
      </c>
      <c r="L35" s="2">
        <f t="shared" ca="1" si="11"/>
        <v>0.22395268082762637</v>
      </c>
      <c r="M35" s="2">
        <f t="shared" ca="1" si="11"/>
        <v>0.29287229716620911</v>
      </c>
      <c r="N35" s="2">
        <f t="shared" ca="1" si="11"/>
        <v>0.26351941424523651</v>
      </c>
      <c r="O35" s="2">
        <f t="shared" ca="1" si="11"/>
        <v>0.25233594093807959</v>
      </c>
      <c r="P35" s="2">
        <f t="shared" ca="1" si="11"/>
        <v>0.23403847213778142</v>
      </c>
      <c r="Q35" s="2">
        <f t="shared" ca="1" si="11"/>
        <v>0.28285709802519665</v>
      </c>
      <c r="R35" s="2">
        <f t="shared" ca="1" si="11"/>
        <v>0.28122443844991363</v>
      </c>
      <c r="S35" s="2">
        <f t="shared" ca="1" si="11"/>
        <v>0.29913228702586497</v>
      </c>
      <c r="T35" s="2">
        <f t="shared" ca="1" si="11"/>
        <v>0.24625221161668537</v>
      </c>
      <c r="U35" s="2">
        <f t="shared" ca="1" si="11"/>
        <v>0.25261639204700281</v>
      </c>
      <c r="V35" s="2">
        <f t="shared" ca="1" si="11"/>
        <v>0.23763403212969686</v>
      </c>
      <c r="W35" s="2">
        <f t="shared" ca="1" si="11"/>
        <v>0.21099251990990095</v>
      </c>
      <c r="X35" s="2">
        <f t="shared" ca="1" si="11"/>
        <v>0.29377085589922858</v>
      </c>
      <c r="Y35" s="2">
        <f t="shared" ca="1" si="11"/>
        <v>0.2357578287415644</v>
      </c>
      <c r="Z35" s="2">
        <f t="shared" ca="1" si="11"/>
        <v>0.28968894703127407</v>
      </c>
      <c r="AA35" s="2">
        <f t="shared" ca="1" si="5"/>
        <v>0.2807197470857612</v>
      </c>
      <c r="AB35" s="2">
        <f t="shared" ca="1" si="5"/>
        <v>0.21072292705787488</v>
      </c>
      <c r="AC35" s="2">
        <f t="shared" ca="1" si="5"/>
        <v>0.22109813585394683</v>
      </c>
      <c r="AD35" s="2">
        <f t="shared" ca="1" si="5"/>
        <v>0.21918465736020354</v>
      </c>
      <c r="AE35" s="2">
        <f t="shared" ca="1" si="5"/>
        <v>0.25210871087633513</v>
      </c>
      <c r="AF35" s="2">
        <f t="shared" ca="1" si="5"/>
        <v>0.26079948599490888</v>
      </c>
      <c r="AG35" s="2">
        <f t="shared" ca="1" si="5"/>
        <v>0.2669777301584948</v>
      </c>
      <c r="AH35" s="2">
        <f t="shared" ca="1" si="5"/>
        <v>0.23649574776756516</v>
      </c>
    </row>
    <row r="36" spans="1:34">
      <c r="A36" t="str">
        <f t="shared" si="7"/>
        <v>Lentils</v>
      </c>
      <c r="B36" t="str">
        <f t="shared" si="8"/>
        <v>AddisAbaba</v>
      </c>
      <c r="C36" s="2">
        <f t="shared" ca="1" si="13"/>
        <v>0.27247691162682136</v>
      </c>
      <c r="D36" s="2">
        <f t="shared" ca="1" si="12"/>
        <v>0.29165525867463404</v>
      </c>
      <c r="E36" s="2">
        <f t="shared" ca="1" si="12"/>
        <v>0.20941437090219314</v>
      </c>
      <c r="F36" s="2">
        <f t="shared" ca="1" si="12"/>
        <v>0.2235146358797363</v>
      </c>
      <c r="G36" s="2">
        <f t="shared" ca="1" si="12"/>
        <v>0.20113647665092699</v>
      </c>
      <c r="H36" s="2">
        <f t="shared" ca="1" si="12"/>
        <v>0.23338447995558098</v>
      </c>
      <c r="I36" s="2">
        <f t="shared" ca="1" si="12"/>
        <v>0.24199336519490178</v>
      </c>
      <c r="J36" s="2">
        <f t="shared" ca="1" si="12"/>
        <v>0.21481923832006594</v>
      </c>
      <c r="K36" s="2">
        <f t="shared" ca="1" si="11"/>
        <v>0.23774093338075084</v>
      </c>
      <c r="L36" s="2">
        <f t="shared" ca="1" si="11"/>
        <v>0.21383744191028184</v>
      </c>
      <c r="M36" s="2">
        <f t="shared" ca="1" si="11"/>
        <v>0.2368885946229744</v>
      </c>
      <c r="N36" s="2">
        <f t="shared" ca="1" si="11"/>
        <v>0.27555769567627614</v>
      </c>
      <c r="O36" s="2">
        <f t="shared" ca="1" si="11"/>
        <v>0.25129163364541335</v>
      </c>
      <c r="P36" s="2">
        <f t="shared" ca="1" si="11"/>
        <v>0.23975856917969529</v>
      </c>
      <c r="Q36" s="2">
        <f t="shared" ca="1" si="11"/>
        <v>0.20458487069224068</v>
      </c>
      <c r="R36" s="2">
        <f t="shared" ca="1" si="11"/>
        <v>0.28614766858302265</v>
      </c>
      <c r="S36" s="2">
        <f t="shared" ca="1" si="11"/>
        <v>0.20859245485138334</v>
      </c>
      <c r="T36" s="2">
        <f t="shared" ca="1" si="11"/>
        <v>0.24711727820578902</v>
      </c>
      <c r="U36" s="2">
        <f t="shared" ca="1" si="11"/>
        <v>0.22588875879328457</v>
      </c>
      <c r="V36" s="2">
        <f t="shared" ca="1" si="11"/>
        <v>0.26427058379467516</v>
      </c>
      <c r="W36" s="2">
        <f t="shared" ca="1" si="11"/>
        <v>0.25759287925914764</v>
      </c>
      <c r="X36" s="2">
        <f t="shared" ca="1" si="11"/>
        <v>0.23921764250673713</v>
      </c>
      <c r="Y36" s="2">
        <f t="shared" ca="1" si="11"/>
        <v>0.26787393779414836</v>
      </c>
      <c r="Z36" s="2">
        <f t="shared" ca="1" si="11"/>
        <v>0.24560316472140176</v>
      </c>
      <c r="AA36" s="2">
        <f t="shared" ca="1" si="5"/>
        <v>0.27483220897654781</v>
      </c>
      <c r="AB36" s="2">
        <f t="shared" ca="1" si="5"/>
        <v>0.22012233222727637</v>
      </c>
      <c r="AC36" s="2">
        <f t="shared" ca="1" si="5"/>
        <v>0.2265643831007525</v>
      </c>
      <c r="AD36" s="2">
        <f t="shared" ca="1" si="5"/>
        <v>0.20878684249676546</v>
      </c>
      <c r="AE36" s="2">
        <f t="shared" ca="1" si="5"/>
        <v>0.24354108796745044</v>
      </c>
      <c r="AF36" s="2">
        <f t="shared" ca="1" si="5"/>
        <v>0.255437421590889</v>
      </c>
      <c r="AG36" s="2">
        <f t="shared" ca="1" si="5"/>
        <v>0.26734363252156762</v>
      </c>
      <c r="AH36" s="2">
        <f t="shared" ca="1" si="5"/>
        <v>0.20655975869308879</v>
      </c>
    </row>
    <row r="37" spans="1:34">
      <c r="A37" t="str">
        <f t="shared" si="7"/>
        <v>Lentils</v>
      </c>
      <c r="B37" t="str">
        <f t="shared" si="8"/>
        <v>Afar</v>
      </c>
      <c r="C37" s="2">
        <f t="shared" ca="1" si="13"/>
        <v>0.21005066215564255</v>
      </c>
      <c r="D37" s="2">
        <f t="shared" ca="1" si="12"/>
        <v>0.25400332940164544</v>
      </c>
      <c r="E37" s="2">
        <f t="shared" ca="1" si="12"/>
        <v>0.27912821167726082</v>
      </c>
      <c r="F37" s="2">
        <f t="shared" ca="1" si="12"/>
        <v>0.27775895432475195</v>
      </c>
      <c r="G37" s="2">
        <f t="shared" ca="1" si="12"/>
        <v>0.23165713406071872</v>
      </c>
      <c r="H37" s="2">
        <f t="shared" ca="1" si="12"/>
        <v>0.2272426530685604</v>
      </c>
      <c r="I37" s="2">
        <f t="shared" ca="1" si="12"/>
        <v>0.27258264914519142</v>
      </c>
      <c r="J37" s="2">
        <f t="shared" ca="1" si="12"/>
        <v>0.27574575080082303</v>
      </c>
      <c r="K37" s="2">
        <f t="shared" ca="1" si="11"/>
        <v>0.2823722667463251</v>
      </c>
      <c r="L37" s="2">
        <f t="shared" ca="1" si="11"/>
        <v>0.2822550193645646</v>
      </c>
      <c r="M37" s="2">
        <f t="shared" ca="1" si="11"/>
        <v>0.23281014801433952</v>
      </c>
      <c r="N37" s="2">
        <f t="shared" ca="1" si="11"/>
        <v>0.2434859314467068</v>
      </c>
      <c r="O37" s="2">
        <f t="shared" ca="1" si="11"/>
        <v>0.28889864539346088</v>
      </c>
      <c r="P37" s="2">
        <f t="shared" ca="1" si="11"/>
        <v>0.27692918184685683</v>
      </c>
      <c r="Q37" s="2">
        <f t="shared" ca="1" si="11"/>
        <v>0.26753242473761818</v>
      </c>
      <c r="R37" s="2">
        <f t="shared" ca="1" si="11"/>
        <v>0.24219987997097478</v>
      </c>
      <c r="S37" s="2">
        <f t="shared" ca="1" si="11"/>
        <v>0.23489210212667641</v>
      </c>
      <c r="T37" s="2">
        <f t="shared" ca="1" si="11"/>
        <v>0.2207148103285925</v>
      </c>
      <c r="U37" s="2">
        <f t="shared" ca="1" si="11"/>
        <v>0.20449668850819075</v>
      </c>
      <c r="V37" s="2">
        <f t="shared" ca="1" si="11"/>
        <v>0.28568653040506753</v>
      </c>
      <c r="W37" s="2">
        <f t="shared" ca="1" si="11"/>
        <v>0.21316187633732633</v>
      </c>
      <c r="X37" s="2">
        <f t="shared" ca="1" si="11"/>
        <v>0.24678673205714738</v>
      </c>
      <c r="Y37" s="2">
        <f t="shared" ca="1" si="11"/>
        <v>0.24933253438713304</v>
      </c>
      <c r="Z37" s="2">
        <f t="shared" ca="1" si="11"/>
        <v>0.29153775520370406</v>
      </c>
      <c r="AA37" s="2">
        <f t="shared" ca="1" si="5"/>
        <v>0.20024368290811478</v>
      </c>
      <c r="AB37" s="2">
        <f t="shared" ca="1" si="5"/>
        <v>0.21388402202394896</v>
      </c>
      <c r="AC37" s="2">
        <f t="shared" ca="1" si="5"/>
        <v>0.21145135641594623</v>
      </c>
      <c r="AD37" s="2">
        <f t="shared" ca="1" si="5"/>
        <v>0.2977720708078283</v>
      </c>
      <c r="AE37" s="2">
        <f t="shared" ca="1" si="5"/>
        <v>0.27674709794124552</v>
      </c>
      <c r="AF37" s="2">
        <f t="shared" ca="1" si="5"/>
        <v>0.28109482702897187</v>
      </c>
      <c r="AG37" s="2">
        <f t="shared" ca="1" si="5"/>
        <v>0.29497487688285434</v>
      </c>
      <c r="AH37" s="2">
        <f t="shared" ca="1" si="5"/>
        <v>0.26227003569904628</v>
      </c>
    </row>
    <row r="38" spans="1:34">
      <c r="A38" t="str">
        <f t="shared" si="7"/>
        <v>Lentils</v>
      </c>
      <c r="B38" t="str">
        <f t="shared" si="8"/>
        <v>Amhara</v>
      </c>
      <c r="C38" s="2">
        <f t="shared" ca="1" si="13"/>
        <v>0.27690108005001834</v>
      </c>
      <c r="D38" s="2">
        <f t="shared" ca="1" si="12"/>
        <v>0.28824362052681446</v>
      </c>
      <c r="E38" s="2">
        <f t="shared" ca="1" si="12"/>
        <v>0.20637901344552781</v>
      </c>
      <c r="F38" s="2">
        <f t="shared" ca="1" si="12"/>
        <v>0.24186593748727134</v>
      </c>
      <c r="G38" s="2">
        <f t="shared" ca="1" si="12"/>
        <v>0.21737627687866157</v>
      </c>
      <c r="H38" s="2">
        <f t="shared" ca="1" si="12"/>
        <v>0.29488006737561312</v>
      </c>
      <c r="I38" s="2">
        <f t="shared" ca="1" si="12"/>
        <v>0.28759306834178966</v>
      </c>
      <c r="J38" s="2">
        <f t="shared" ca="1" si="12"/>
        <v>0.27327892545800986</v>
      </c>
      <c r="K38" s="2">
        <f t="shared" ca="1" si="11"/>
        <v>0.2375650834710519</v>
      </c>
      <c r="L38" s="2">
        <f t="shared" ca="1" si="11"/>
        <v>0.2328488856702913</v>
      </c>
      <c r="M38" s="2">
        <f t="shared" ca="1" si="11"/>
        <v>0.23069729902070268</v>
      </c>
      <c r="N38" s="2">
        <f t="shared" ca="1" si="11"/>
        <v>0.22720646520923576</v>
      </c>
      <c r="O38" s="2">
        <f t="shared" ca="1" si="11"/>
        <v>0.25672234979335773</v>
      </c>
      <c r="P38" s="2">
        <f t="shared" ca="1" si="11"/>
        <v>0.21749862447363516</v>
      </c>
      <c r="Q38" s="2">
        <f t="shared" ca="1" si="11"/>
        <v>0.20638419534369837</v>
      </c>
      <c r="R38" s="2">
        <f t="shared" ca="1" si="11"/>
        <v>0.27456237642664721</v>
      </c>
      <c r="S38" s="2">
        <f t="shared" ca="1" si="11"/>
        <v>0.223846506524192</v>
      </c>
      <c r="T38" s="2">
        <f t="shared" ca="1" si="11"/>
        <v>0.21523621508519891</v>
      </c>
      <c r="U38" s="2">
        <f t="shared" ca="1" si="11"/>
        <v>0.27368755153071456</v>
      </c>
      <c r="V38" s="2">
        <f t="shared" ca="1" si="11"/>
        <v>0.27420028634127636</v>
      </c>
      <c r="W38" s="2">
        <f t="shared" ca="1" si="11"/>
        <v>0.24750719647712621</v>
      </c>
      <c r="X38" s="2">
        <f t="shared" ca="1" si="11"/>
        <v>0.28065409802523333</v>
      </c>
      <c r="Y38" s="2">
        <f t="shared" ca="1" si="11"/>
        <v>0.25118193838169817</v>
      </c>
      <c r="Z38" s="2">
        <f t="shared" ca="1" si="11"/>
        <v>0.29961237781679056</v>
      </c>
      <c r="AA38" s="2">
        <f t="shared" ca="1" si="5"/>
        <v>0.23249951425424598</v>
      </c>
      <c r="AB38" s="2">
        <f t="shared" ca="1" si="5"/>
        <v>0.23130755082163784</v>
      </c>
      <c r="AC38" s="2">
        <f t="shared" ca="1" si="5"/>
        <v>0.286561349764344</v>
      </c>
      <c r="AD38" s="2">
        <f t="shared" ca="1" si="5"/>
        <v>0.28863537682047141</v>
      </c>
      <c r="AE38" s="2">
        <f t="shared" ca="1" si="5"/>
        <v>0.28125897124981136</v>
      </c>
      <c r="AF38" s="2">
        <f t="shared" ca="1" si="5"/>
        <v>0.23570142079735154</v>
      </c>
      <c r="AG38" s="2">
        <f t="shared" ca="1" si="5"/>
        <v>0.25998092405253503</v>
      </c>
      <c r="AH38" s="2">
        <f t="shared" ca="1" si="5"/>
        <v>0.29255449634533043</v>
      </c>
    </row>
    <row r="39" spans="1:34">
      <c r="A39" t="str">
        <f t="shared" si="7"/>
        <v>Lentils</v>
      </c>
      <c r="B39" t="str">
        <f t="shared" si="8"/>
        <v>Gumuz</v>
      </c>
      <c r="C39" s="2">
        <f t="shared" ca="1" si="13"/>
        <v>0.2978434626734392</v>
      </c>
      <c r="D39" s="2">
        <f t="shared" ca="1" si="12"/>
        <v>0.23657362879885402</v>
      </c>
      <c r="E39" s="2">
        <f t="shared" ca="1" si="12"/>
        <v>0.26211019666457097</v>
      </c>
      <c r="F39" s="2">
        <f t="shared" ca="1" si="12"/>
        <v>0.26625083603570887</v>
      </c>
      <c r="G39" s="2">
        <f t="shared" ca="1" si="12"/>
        <v>0.26202621593167164</v>
      </c>
      <c r="H39" s="2">
        <f t="shared" ca="1" si="12"/>
        <v>0.2515039590922501</v>
      </c>
      <c r="I39" s="2">
        <f t="shared" ca="1" si="12"/>
        <v>0.2818567645511692</v>
      </c>
      <c r="J39" s="2">
        <f t="shared" ca="1" si="12"/>
        <v>0.20046826725137709</v>
      </c>
      <c r="K39" s="2">
        <f t="shared" ca="1" si="11"/>
        <v>0.21547129730394796</v>
      </c>
      <c r="L39" s="2">
        <f t="shared" ca="1" si="11"/>
        <v>0.25880049498547975</v>
      </c>
      <c r="M39" s="2">
        <f t="shared" ca="1" si="11"/>
        <v>0.25400384759894118</v>
      </c>
      <c r="N39" s="2">
        <f t="shared" ca="1" si="11"/>
        <v>0.25902461467594839</v>
      </c>
      <c r="O39" s="2">
        <f t="shared" ca="1" si="11"/>
        <v>0.2746426295135983</v>
      </c>
      <c r="P39" s="2">
        <f t="shared" ca="1" si="11"/>
        <v>0.21040152919255092</v>
      </c>
      <c r="Q39" s="2">
        <f t="shared" ca="1" si="11"/>
        <v>0.21963738968777657</v>
      </c>
      <c r="R39" s="2">
        <f t="shared" ca="1" si="11"/>
        <v>0.24674123911688531</v>
      </c>
      <c r="S39" s="2">
        <f t="shared" ca="1" si="11"/>
        <v>0.27909789574807331</v>
      </c>
      <c r="T39" s="2">
        <f t="shared" ca="1" si="11"/>
        <v>0.29702477936282246</v>
      </c>
      <c r="U39" s="2">
        <f t="shared" ca="1" si="11"/>
        <v>0.22077959693184462</v>
      </c>
      <c r="V39" s="2">
        <f t="shared" ca="1" si="11"/>
        <v>0.27728464929355262</v>
      </c>
      <c r="W39" s="2">
        <f t="shared" ca="1" si="11"/>
        <v>0.25936285359579825</v>
      </c>
      <c r="X39" s="2">
        <f t="shared" ca="1" si="11"/>
        <v>0.27006342400457922</v>
      </c>
      <c r="Y39" s="2">
        <f t="shared" ca="1" si="11"/>
        <v>0.21296213761909658</v>
      </c>
      <c r="Z39" s="2">
        <f t="shared" ca="1" si="11"/>
        <v>0.27403408778254496</v>
      </c>
      <c r="AA39" s="2">
        <f t="shared" ca="1" si="5"/>
        <v>0.24365723740028281</v>
      </c>
      <c r="AB39" s="2">
        <f t="shared" ca="1" si="5"/>
        <v>0.23560886039600884</v>
      </c>
      <c r="AC39" s="2">
        <f t="shared" ca="1" si="5"/>
        <v>0.29909945935473037</v>
      </c>
      <c r="AD39" s="2">
        <f t="shared" ca="1" si="5"/>
        <v>0.24732596472176538</v>
      </c>
      <c r="AE39" s="2">
        <f t="shared" ca="1" si="5"/>
        <v>0.23216349371106465</v>
      </c>
      <c r="AF39" s="2">
        <f t="shared" ca="1" si="5"/>
        <v>0.27452268129446045</v>
      </c>
      <c r="AG39" s="2">
        <f t="shared" ca="1" si="5"/>
        <v>0.25702585570863573</v>
      </c>
      <c r="AH39" s="2">
        <f t="shared" ca="1" si="5"/>
        <v>0.22389079650188523</v>
      </c>
    </row>
    <row r="40" spans="1:34">
      <c r="A40" t="str">
        <f t="shared" si="7"/>
        <v>Lentils</v>
      </c>
      <c r="B40" t="str">
        <f t="shared" si="8"/>
        <v>DireDawa</v>
      </c>
      <c r="C40" s="2">
        <f t="shared" ca="1" si="13"/>
        <v>0.22914352914826799</v>
      </c>
      <c r="D40" s="2">
        <f t="shared" ca="1" si="12"/>
        <v>0.2905853335360174</v>
      </c>
      <c r="E40" s="2">
        <f t="shared" ca="1" si="12"/>
        <v>0.27392660446795325</v>
      </c>
      <c r="F40" s="2">
        <f t="shared" ca="1" si="12"/>
        <v>0.2814478309807476</v>
      </c>
      <c r="G40" s="2">
        <f t="shared" ca="1" si="12"/>
        <v>0.22503710946882138</v>
      </c>
      <c r="H40" s="2">
        <f t="shared" ca="1" si="12"/>
        <v>0.25266662397975803</v>
      </c>
      <c r="I40" s="2">
        <f t="shared" ca="1" si="12"/>
        <v>0.25196005644027009</v>
      </c>
      <c r="J40" s="2">
        <f t="shared" ca="1" si="12"/>
        <v>0.24437010014893168</v>
      </c>
      <c r="K40" s="2">
        <f t="shared" ca="1" si="11"/>
        <v>0.21632515331909274</v>
      </c>
      <c r="L40" s="2">
        <f t="shared" ca="1" si="11"/>
        <v>0.26567107897140141</v>
      </c>
      <c r="M40" s="2">
        <f t="shared" ca="1" si="11"/>
        <v>0.25129240785681423</v>
      </c>
      <c r="N40" s="2">
        <f t="shared" ca="1" si="11"/>
        <v>0.29257258276774284</v>
      </c>
      <c r="O40" s="2">
        <f t="shared" ca="1" si="11"/>
        <v>0.22342125423972001</v>
      </c>
      <c r="P40" s="2">
        <f t="shared" ca="1" si="11"/>
        <v>0.22399834924891601</v>
      </c>
      <c r="Q40" s="2">
        <f t="shared" ca="1" si="11"/>
        <v>0.24424696665604692</v>
      </c>
      <c r="R40" s="2">
        <f t="shared" ca="1" si="11"/>
        <v>0.22794646669220739</v>
      </c>
      <c r="S40" s="2">
        <f t="shared" ca="1" si="11"/>
        <v>0.26291754158842467</v>
      </c>
      <c r="T40" s="2">
        <f t="shared" ca="1" si="11"/>
        <v>0.27909130440231189</v>
      </c>
      <c r="U40" s="2">
        <f t="shared" ca="1" si="11"/>
        <v>0.27047107072698195</v>
      </c>
      <c r="V40" s="2">
        <f t="shared" ca="1" si="11"/>
        <v>0.29125685796792317</v>
      </c>
      <c r="W40" s="2">
        <f t="shared" ca="1" si="11"/>
        <v>0.24822797705182284</v>
      </c>
      <c r="X40" s="2">
        <f t="shared" ca="1" si="11"/>
        <v>0.24554521306402199</v>
      </c>
      <c r="Y40" s="2">
        <f t="shared" ca="1" si="11"/>
        <v>0.25937153676399866</v>
      </c>
      <c r="Z40" s="2">
        <f t="shared" ca="1" si="11"/>
        <v>0.28687686297004616</v>
      </c>
      <c r="AA40" s="2">
        <f t="shared" ca="1" si="5"/>
        <v>0.23621240533605198</v>
      </c>
      <c r="AB40" s="2">
        <f t="shared" ca="1" si="5"/>
        <v>0.25586631513488362</v>
      </c>
      <c r="AC40" s="2">
        <f t="shared" ca="1" si="5"/>
        <v>0.29317380713695451</v>
      </c>
      <c r="AD40" s="2">
        <f t="shared" ca="1" si="5"/>
        <v>0.27574132947025959</v>
      </c>
      <c r="AE40" s="2">
        <f t="shared" ca="1" si="5"/>
        <v>0.27252237583932898</v>
      </c>
      <c r="AF40" s="2">
        <f t="shared" ca="1" si="5"/>
        <v>0.27708936907823217</v>
      </c>
      <c r="AG40" s="2">
        <f t="shared" ca="1" si="5"/>
        <v>0.25135273864704477</v>
      </c>
      <c r="AH40" s="2">
        <f t="shared" ca="1" si="5"/>
        <v>0.28257831474368128</v>
      </c>
    </row>
    <row r="41" spans="1:34">
      <c r="A41" t="str">
        <f t="shared" si="7"/>
        <v>Lentils</v>
      </c>
      <c r="B41" t="str">
        <f t="shared" si="8"/>
        <v>Gambela</v>
      </c>
      <c r="C41" s="2">
        <f t="shared" ca="1" si="13"/>
        <v>0.24707837883751088</v>
      </c>
      <c r="D41" s="2">
        <f t="shared" ca="1" si="12"/>
        <v>0.23022438831429087</v>
      </c>
      <c r="E41" s="2">
        <f t="shared" ca="1" si="12"/>
        <v>0.29113413580911224</v>
      </c>
      <c r="F41" s="2">
        <f t="shared" ca="1" si="12"/>
        <v>0.21156950045998299</v>
      </c>
      <c r="G41" s="2">
        <f t="shared" ca="1" si="12"/>
        <v>0.22768847160154318</v>
      </c>
      <c r="H41" s="2">
        <f t="shared" ca="1" si="12"/>
        <v>0.26165691480095166</v>
      </c>
      <c r="I41" s="2">
        <f t="shared" ca="1" si="12"/>
        <v>0.25221941932758418</v>
      </c>
      <c r="J41" s="2">
        <f t="shared" ca="1" si="12"/>
        <v>0.27195491960818124</v>
      </c>
      <c r="K41" s="2">
        <f t="shared" ref="K41:Z50" ca="1" si="14">RAND()*0.1+0.2</f>
        <v>0.26914511533373797</v>
      </c>
      <c r="L41" s="2">
        <f t="shared" ca="1" si="14"/>
        <v>0.23247977366630979</v>
      </c>
      <c r="M41" s="2">
        <f t="shared" ca="1" si="14"/>
        <v>0.23771725918359132</v>
      </c>
      <c r="N41" s="2">
        <f t="shared" ca="1" si="14"/>
        <v>0.20896948262571005</v>
      </c>
      <c r="O41" s="2">
        <f t="shared" ca="1" si="14"/>
        <v>0.20391264241369261</v>
      </c>
      <c r="P41" s="2">
        <f t="shared" ca="1" si="14"/>
        <v>0.24325164231037724</v>
      </c>
      <c r="Q41" s="2">
        <f t="shared" ca="1" si="14"/>
        <v>0.21325299076015031</v>
      </c>
      <c r="R41" s="2">
        <f t="shared" ca="1" si="14"/>
        <v>0.25132176705436149</v>
      </c>
      <c r="S41" s="2">
        <f t="shared" ca="1" si="14"/>
        <v>0.24693295315808841</v>
      </c>
      <c r="T41" s="2">
        <f t="shared" ca="1" si="14"/>
        <v>0.23541736229962612</v>
      </c>
      <c r="U41" s="2">
        <f t="shared" ca="1" si="14"/>
        <v>0.23821534007300718</v>
      </c>
      <c r="V41" s="2">
        <f t="shared" ca="1" si="14"/>
        <v>0.2158435591724398</v>
      </c>
      <c r="W41" s="2">
        <f t="shared" ca="1" si="14"/>
        <v>0.24974579323556878</v>
      </c>
      <c r="X41" s="2">
        <f t="shared" ca="1" si="14"/>
        <v>0.22894473616565736</v>
      </c>
      <c r="Y41" s="2">
        <f t="shared" ca="1" si="14"/>
        <v>0.25836033486741655</v>
      </c>
      <c r="Z41" s="2">
        <f t="shared" ca="1" si="14"/>
        <v>0.23460058886893839</v>
      </c>
      <c r="AA41" s="2">
        <f t="shared" ca="1" si="5"/>
        <v>0.26375173201792829</v>
      </c>
      <c r="AB41" s="2">
        <f t="shared" ca="1" si="5"/>
        <v>0.22033541561000122</v>
      </c>
      <c r="AC41" s="2">
        <f t="shared" ca="1" si="5"/>
        <v>0.2973503993920516</v>
      </c>
      <c r="AD41" s="2">
        <f t="shared" ca="1" si="5"/>
        <v>0.29661564176999394</v>
      </c>
      <c r="AE41" s="2">
        <f t="shared" ca="1" si="5"/>
        <v>0.27071513908548472</v>
      </c>
      <c r="AF41" s="2">
        <f t="shared" ca="1" si="5"/>
        <v>0.23142768051202439</v>
      </c>
      <c r="AG41" s="2">
        <f t="shared" ca="1" si="5"/>
        <v>0.21818329646255602</v>
      </c>
      <c r="AH41" s="2">
        <f t="shared" ca="1" si="5"/>
        <v>0.22406015549588634</v>
      </c>
    </row>
    <row r="42" spans="1:34">
      <c r="A42" t="str">
        <f t="shared" si="7"/>
        <v>Lentils</v>
      </c>
      <c r="B42" t="str">
        <f t="shared" si="8"/>
        <v>Harari</v>
      </c>
      <c r="C42" s="2">
        <f t="shared" ca="1" si="13"/>
        <v>0.20570086385313627</v>
      </c>
      <c r="D42" s="2">
        <f t="shared" ref="D42:J52" ca="1" si="15">RAND()*0.1+0.2</f>
        <v>0.2025180897234134</v>
      </c>
      <c r="E42" s="2">
        <f t="shared" ca="1" si="15"/>
        <v>0.20517612102470814</v>
      </c>
      <c r="F42" s="2">
        <f t="shared" ca="1" si="15"/>
        <v>0.24938497136174878</v>
      </c>
      <c r="G42" s="2">
        <f t="shared" ca="1" si="15"/>
        <v>0.25222440414887604</v>
      </c>
      <c r="H42" s="2">
        <f t="shared" ca="1" si="15"/>
        <v>0.28842419614832415</v>
      </c>
      <c r="I42" s="2">
        <f t="shared" ca="1" si="15"/>
        <v>0.20783637614918465</v>
      </c>
      <c r="J42" s="2">
        <f t="shared" ca="1" si="15"/>
        <v>0.23960062038607316</v>
      </c>
      <c r="K42" s="2">
        <f t="shared" ca="1" si="14"/>
        <v>0.24163702822659117</v>
      </c>
      <c r="L42" s="2">
        <f t="shared" ca="1" si="14"/>
        <v>0.28539215002425855</v>
      </c>
      <c r="M42" s="2">
        <f t="shared" ca="1" si="14"/>
        <v>0.2225447181281322</v>
      </c>
      <c r="N42" s="2">
        <f t="shared" ca="1" si="14"/>
        <v>0.23261349518811186</v>
      </c>
      <c r="O42" s="2">
        <f t="shared" ca="1" si="14"/>
        <v>0.27300481117717029</v>
      </c>
      <c r="P42" s="2">
        <f t="shared" ca="1" si="14"/>
        <v>0.27951720569847571</v>
      </c>
      <c r="Q42" s="2">
        <f t="shared" ca="1" si="14"/>
        <v>0.28302022796456366</v>
      </c>
      <c r="R42" s="2">
        <f t="shared" ca="1" si="14"/>
        <v>0.29476231231400396</v>
      </c>
      <c r="S42" s="2">
        <f t="shared" ca="1" si="14"/>
        <v>0.24995728861799857</v>
      </c>
      <c r="T42" s="2">
        <f t="shared" ca="1" si="14"/>
        <v>0.21096666825643723</v>
      </c>
      <c r="U42" s="2">
        <f t="shared" ca="1" si="14"/>
        <v>0.23688023527774807</v>
      </c>
      <c r="V42" s="2">
        <f t="shared" ca="1" si="14"/>
        <v>0.22948789011107937</v>
      </c>
      <c r="W42" s="2">
        <f t="shared" ca="1" si="14"/>
        <v>0.26064763114273881</v>
      </c>
      <c r="X42" s="2">
        <f t="shared" ca="1" si="14"/>
        <v>0.21558202945287713</v>
      </c>
      <c r="Y42" s="2">
        <f t="shared" ca="1" si="14"/>
        <v>0.24454548670363202</v>
      </c>
      <c r="Z42" s="2">
        <f t="shared" ca="1" si="14"/>
        <v>0.22084893093014057</v>
      </c>
      <c r="AA42" s="2">
        <f t="shared" ca="1" si="5"/>
        <v>0.2744506607340475</v>
      </c>
      <c r="AB42" s="2">
        <f t="shared" ca="1" si="5"/>
        <v>0.23212429998270276</v>
      </c>
      <c r="AC42" s="2">
        <f t="shared" ca="1" si="5"/>
        <v>0.2933290266563332</v>
      </c>
      <c r="AD42" s="2">
        <f t="shared" ca="1" si="5"/>
        <v>0.27836264466202226</v>
      </c>
      <c r="AE42" s="2">
        <f t="shared" ca="1" si="5"/>
        <v>0.22126309556500046</v>
      </c>
      <c r="AF42" s="2">
        <f t="shared" ca="1" si="5"/>
        <v>0.26613927243458896</v>
      </c>
      <c r="AG42" s="2">
        <f t="shared" ca="1" si="5"/>
        <v>0.21463358669357346</v>
      </c>
      <c r="AH42" s="2">
        <f t="shared" ref="AH42:AH50" ca="1" si="16">RAND()*0.1+0.2</f>
        <v>0.20713245876202771</v>
      </c>
    </row>
    <row r="43" spans="1:34">
      <c r="A43" t="str">
        <f t="shared" si="7"/>
        <v>Lentils</v>
      </c>
      <c r="B43" t="str">
        <f t="shared" si="8"/>
        <v>Oromia</v>
      </c>
      <c r="C43" s="2">
        <f t="shared" ca="1" si="13"/>
        <v>0.24394000866305884</v>
      </c>
      <c r="D43" s="2">
        <f t="shared" ca="1" si="15"/>
        <v>0.26653898626687278</v>
      </c>
      <c r="E43" s="2">
        <f t="shared" ca="1" si="15"/>
        <v>0.23385475084922364</v>
      </c>
      <c r="F43" s="2">
        <f t="shared" ca="1" si="15"/>
        <v>0.23921053458278438</v>
      </c>
      <c r="G43" s="2">
        <f t="shared" ca="1" si="15"/>
        <v>0.2681429235485826</v>
      </c>
      <c r="H43" s="2">
        <f t="shared" ca="1" si="15"/>
        <v>0.25105656109560492</v>
      </c>
      <c r="I43" s="2">
        <f t="shared" ca="1" si="15"/>
        <v>0.22077773295451147</v>
      </c>
      <c r="J43" s="2">
        <f t="shared" ca="1" si="15"/>
        <v>0.20084238080033834</v>
      </c>
      <c r="K43" s="2">
        <f t="shared" ca="1" si="14"/>
        <v>0.24148662903550763</v>
      </c>
      <c r="L43" s="2">
        <f t="shared" ca="1" si="14"/>
        <v>0.28320500459387987</v>
      </c>
      <c r="M43" s="2">
        <f t="shared" ca="1" si="14"/>
        <v>0.24255009654550186</v>
      </c>
      <c r="N43" s="2">
        <f t="shared" ca="1" si="14"/>
        <v>0.27122642555164717</v>
      </c>
      <c r="O43" s="2">
        <f t="shared" ca="1" si="14"/>
        <v>0.26202673781927721</v>
      </c>
      <c r="P43" s="2">
        <f t="shared" ca="1" si="14"/>
        <v>0.2408174366024797</v>
      </c>
      <c r="Q43" s="2">
        <f t="shared" ca="1" si="14"/>
        <v>0.27508638596454449</v>
      </c>
      <c r="R43" s="2">
        <f t="shared" ca="1" si="14"/>
        <v>0.28871781165237503</v>
      </c>
      <c r="S43" s="2">
        <f t="shared" ca="1" si="14"/>
        <v>0.29907462837829824</v>
      </c>
      <c r="T43" s="2">
        <f t="shared" ca="1" si="14"/>
        <v>0.24557604220568288</v>
      </c>
      <c r="U43" s="2">
        <f t="shared" ca="1" si="14"/>
        <v>0.29937053919683621</v>
      </c>
      <c r="V43" s="2">
        <f t="shared" ca="1" si="14"/>
        <v>0.20547275866020429</v>
      </c>
      <c r="W43" s="2">
        <f t="shared" ca="1" si="14"/>
        <v>0.26410954380215446</v>
      </c>
      <c r="X43" s="2">
        <f t="shared" ca="1" si="14"/>
        <v>0.29601537945554712</v>
      </c>
      <c r="Y43" s="2">
        <f t="shared" ca="1" si="14"/>
        <v>0.23222431380164066</v>
      </c>
      <c r="Z43" s="2">
        <f t="shared" ca="1" si="14"/>
        <v>0.20723262294263986</v>
      </c>
      <c r="AA43" s="2">
        <f t="shared" ref="AA43:AG50" ca="1" si="17">RAND()*0.1+0.2</f>
        <v>0.225867817223603</v>
      </c>
      <c r="AB43" s="2">
        <f t="shared" ca="1" si="17"/>
        <v>0.24812656637320424</v>
      </c>
      <c r="AC43" s="2">
        <f t="shared" ca="1" si="17"/>
        <v>0.27950844949383047</v>
      </c>
      <c r="AD43" s="2">
        <f t="shared" ca="1" si="17"/>
        <v>0.28135286667141124</v>
      </c>
      <c r="AE43" s="2">
        <f t="shared" ca="1" si="17"/>
        <v>0.29070654851256755</v>
      </c>
      <c r="AF43" s="2">
        <f t="shared" ca="1" si="17"/>
        <v>0.26049242668479439</v>
      </c>
      <c r="AG43" s="2">
        <f t="shared" ca="1" si="17"/>
        <v>0.24734903124379298</v>
      </c>
      <c r="AH43" s="2">
        <f t="shared" ca="1" si="16"/>
        <v>0.25382744293813414</v>
      </c>
    </row>
    <row r="44" spans="1:34">
      <c r="A44" t="str">
        <f t="shared" si="7"/>
        <v>Lentils</v>
      </c>
      <c r="B44" t="str">
        <f t="shared" si="8"/>
        <v>Somali</v>
      </c>
      <c r="C44" s="2">
        <f t="shared" ca="1" si="13"/>
        <v>0.26779334308504144</v>
      </c>
      <c r="D44" s="2">
        <f t="shared" ca="1" si="15"/>
        <v>0.22799313374081012</v>
      </c>
      <c r="E44" s="2">
        <f t="shared" ca="1" si="15"/>
        <v>0.29017778399653149</v>
      </c>
      <c r="F44" s="2">
        <f t="shared" ca="1" si="15"/>
        <v>0.26426259091819904</v>
      </c>
      <c r="G44" s="2">
        <f t="shared" ca="1" si="15"/>
        <v>0.28208785573717504</v>
      </c>
      <c r="H44" s="2">
        <f t="shared" ca="1" si="15"/>
        <v>0.24938831061569108</v>
      </c>
      <c r="I44" s="2">
        <f t="shared" ca="1" si="15"/>
        <v>0.27136773509183076</v>
      </c>
      <c r="J44" s="2">
        <f t="shared" ca="1" si="15"/>
        <v>0.25293730038074969</v>
      </c>
      <c r="K44" s="2">
        <f t="shared" ca="1" si="14"/>
        <v>0.22944034001841959</v>
      </c>
      <c r="L44" s="2">
        <f t="shared" ca="1" si="14"/>
        <v>0.27206236942541373</v>
      </c>
      <c r="M44" s="2">
        <f t="shared" ca="1" si="14"/>
        <v>0.28034818026493585</v>
      </c>
      <c r="N44" s="2">
        <f t="shared" ca="1" si="14"/>
        <v>0.23017852018031346</v>
      </c>
      <c r="O44" s="2">
        <f t="shared" ca="1" si="14"/>
        <v>0.21683973316682864</v>
      </c>
      <c r="P44" s="2">
        <f t="shared" ca="1" si="14"/>
        <v>0.2589348268263803</v>
      </c>
      <c r="Q44" s="2">
        <f t="shared" ca="1" si="14"/>
        <v>0.27184987518390763</v>
      </c>
      <c r="R44" s="2">
        <f t="shared" ca="1" si="14"/>
        <v>0.21228033311039396</v>
      </c>
      <c r="S44" s="2">
        <f t="shared" ca="1" si="14"/>
        <v>0.21174475803312007</v>
      </c>
      <c r="T44" s="2">
        <f t="shared" ca="1" si="14"/>
        <v>0.28656605668678325</v>
      </c>
      <c r="U44" s="2">
        <f t="shared" ca="1" si="14"/>
        <v>0.24960886003271474</v>
      </c>
      <c r="V44" s="2">
        <f t="shared" ca="1" si="14"/>
        <v>0.29808074931397305</v>
      </c>
      <c r="W44" s="2">
        <f t="shared" ca="1" si="14"/>
        <v>0.28731272905653815</v>
      </c>
      <c r="X44" s="2">
        <f t="shared" ca="1" si="14"/>
        <v>0.22278095906599205</v>
      </c>
      <c r="Y44" s="2">
        <f t="shared" ca="1" si="14"/>
        <v>0.26412906770292321</v>
      </c>
      <c r="Z44" s="2">
        <f t="shared" ca="1" si="14"/>
        <v>0.25214257823583475</v>
      </c>
      <c r="AA44" s="2">
        <f t="shared" ca="1" si="17"/>
        <v>0.25848761432636241</v>
      </c>
      <c r="AB44" s="2">
        <f t="shared" ca="1" si="17"/>
        <v>0.27073097359753567</v>
      </c>
      <c r="AC44" s="2">
        <f t="shared" ca="1" si="17"/>
        <v>0.20009331725131138</v>
      </c>
      <c r="AD44" s="2">
        <f t="shared" ca="1" si="17"/>
        <v>0.28546553519290008</v>
      </c>
      <c r="AE44" s="2">
        <f t="shared" ca="1" si="17"/>
        <v>0.26077974088388423</v>
      </c>
      <c r="AF44" s="2">
        <f t="shared" ca="1" si="17"/>
        <v>0.28254585655902803</v>
      </c>
      <c r="AG44" s="2">
        <f t="shared" ca="1" si="17"/>
        <v>0.22672110674392698</v>
      </c>
      <c r="AH44" s="2">
        <f t="shared" ca="1" si="16"/>
        <v>0.24527506970318014</v>
      </c>
    </row>
    <row r="45" spans="1:34">
      <c r="A45" t="str">
        <f t="shared" si="7"/>
        <v>Lentils</v>
      </c>
      <c r="B45" t="str">
        <f t="shared" si="8"/>
        <v>SNNPR</v>
      </c>
      <c r="C45" s="2">
        <f t="shared" ca="1" si="13"/>
        <v>0.20606861180804364</v>
      </c>
      <c r="D45" s="2">
        <f t="shared" ca="1" si="15"/>
        <v>0.24643675134479451</v>
      </c>
      <c r="E45" s="2">
        <f t="shared" ca="1" si="15"/>
        <v>0.2498021496135196</v>
      </c>
      <c r="F45" s="2">
        <f t="shared" ca="1" si="15"/>
        <v>0.29029575412168568</v>
      </c>
      <c r="G45" s="2">
        <f t="shared" ca="1" si="15"/>
        <v>0.26892478249648222</v>
      </c>
      <c r="H45" s="2">
        <f t="shared" ca="1" si="15"/>
        <v>0.25212793534102929</v>
      </c>
      <c r="I45" s="2">
        <f t="shared" ca="1" si="15"/>
        <v>0.256720796018721</v>
      </c>
      <c r="J45" s="2">
        <f t="shared" ca="1" si="15"/>
        <v>0.28499235424646974</v>
      </c>
      <c r="K45" s="2">
        <f t="shared" ca="1" si="14"/>
        <v>0.20942650813494085</v>
      </c>
      <c r="L45" s="2">
        <f t="shared" ca="1" si="14"/>
        <v>0.25350146026210935</v>
      </c>
      <c r="M45" s="2">
        <f t="shared" ca="1" si="14"/>
        <v>0.29658021055368922</v>
      </c>
      <c r="N45" s="2">
        <f t="shared" ca="1" si="14"/>
        <v>0.21312578911218508</v>
      </c>
      <c r="O45" s="2">
        <f t="shared" ca="1" si="14"/>
        <v>0.28296510460014301</v>
      </c>
      <c r="P45" s="2">
        <f t="shared" ca="1" si="14"/>
        <v>0.25958264555214089</v>
      </c>
      <c r="Q45" s="2">
        <f t="shared" ca="1" si="14"/>
        <v>0.20277365143750159</v>
      </c>
      <c r="R45" s="2">
        <f t="shared" ca="1" si="14"/>
        <v>0.29135657613148874</v>
      </c>
      <c r="S45" s="2">
        <f t="shared" ca="1" si="14"/>
        <v>0.21602207441549146</v>
      </c>
      <c r="T45" s="2">
        <f t="shared" ca="1" si="14"/>
        <v>0.28447440676749164</v>
      </c>
      <c r="U45" s="2">
        <f t="shared" ca="1" si="14"/>
        <v>0.20296732208121587</v>
      </c>
      <c r="V45" s="2">
        <f t="shared" ca="1" si="14"/>
        <v>0.2226108313813831</v>
      </c>
      <c r="W45" s="2">
        <f t="shared" ca="1" si="14"/>
        <v>0.20883165413122068</v>
      </c>
      <c r="X45" s="2">
        <f t="shared" ca="1" si="14"/>
        <v>0.24748354401598086</v>
      </c>
      <c r="Y45" s="2">
        <f t="shared" ca="1" si="14"/>
        <v>0.21390536166376201</v>
      </c>
      <c r="Z45" s="2">
        <f t="shared" ca="1" si="14"/>
        <v>0.2287539846350847</v>
      </c>
      <c r="AA45" s="2">
        <f t="shared" ca="1" si="17"/>
        <v>0.22017352871964069</v>
      </c>
      <c r="AB45" s="2">
        <f t="shared" ca="1" si="17"/>
        <v>0.21759951915606707</v>
      </c>
      <c r="AC45" s="2">
        <f t="shared" ca="1" si="17"/>
        <v>0.22937842882622658</v>
      </c>
      <c r="AD45" s="2">
        <f t="shared" ca="1" si="17"/>
        <v>0.22945484494632351</v>
      </c>
      <c r="AE45" s="2">
        <f t="shared" ca="1" si="17"/>
        <v>0.23441057306956506</v>
      </c>
      <c r="AF45" s="2">
        <f t="shared" ca="1" si="17"/>
        <v>0.22882600956434962</v>
      </c>
      <c r="AG45" s="2">
        <f t="shared" ca="1" si="17"/>
        <v>0.2288084931743827</v>
      </c>
      <c r="AH45" s="2">
        <f t="shared" ca="1" si="16"/>
        <v>0.24112123898343568</v>
      </c>
    </row>
    <row r="46" spans="1:34">
      <c r="A46" t="str">
        <f t="shared" ref="A46:A68" si="18">INDEX(Food,MATCH(A35,Food,0)+1)</f>
        <v>Lentils</v>
      </c>
      <c r="B46" t="str">
        <f t="shared" si="8"/>
        <v>Tigray</v>
      </c>
      <c r="C46" s="2">
        <f t="shared" ca="1" si="13"/>
        <v>0.20323061445104054</v>
      </c>
      <c r="D46" s="2">
        <f t="shared" ca="1" si="15"/>
        <v>0.26223779654812712</v>
      </c>
      <c r="E46" s="2">
        <f t="shared" ca="1" si="15"/>
        <v>0.26834241578583878</v>
      </c>
      <c r="F46" s="2">
        <f t="shared" ca="1" si="15"/>
        <v>0.26775724930789013</v>
      </c>
      <c r="G46" s="2">
        <f t="shared" ca="1" si="15"/>
        <v>0.21497198627295988</v>
      </c>
      <c r="H46" s="2">
        <f t="shared" ca="1" si="15"/>
        <v>0.23832485771716702</v>
      </c>
      <c r="I46" s="2">
        <f t="shared" ca="1" si="15"/>
        <v>0.2707076636787813</v>
      </c>
      <c r="J46" s="2">
        <f t="shared" ca="1" si="15"/>
        <v>0.24120961695256612</v>
      </c>
      <c r="K46" s="2">
        <f t="shared" ca="1" si="14"/>
        <v>0.23755119190464596</v>
      </c>
      <c r="L46" s="2">
        <f t="shared" ca="1" si="14"/>
        <v>0.25989366308684664</v>
      </c>
      <c r="M46" s="2">
        <f t="shared" ca="1" si="14"/>
        <v>0.24852492768934409</v>
      </c>
      <c r="N46" s="2">
        <f t="shared" ca="1" si="14"/>
        <v>0.24372772632091505</v>
      </c>
      <c r="O46" s="2">
        <f t="shared" ca="1" si="14"/>
        <v>0.29589351358898125</v>
      </c>
      <c r="P46" s="2">
        <f t="shared" ca="1" si="14"/>
        <v>0.25583231903699999</v>
      </c>
      <c r="Q46" s="2">
        <f t="shared" ca="1" si="14"/>
        <v>0.26861934323578818</v>
      </c>
      <c r="R46" s="2">
        <f t="shared" ca="1" si="14"/>
        <v>0.2601714427472665</v>
      </c>
      <c r="S46" s="2">
        <f t="shared" ca="1" si="14"/>
        <v>0.23151546902683587</v>
      </c>
      <c r="T46" s="2">
        <f t="shared" ca="1" si="14"/>
        <v>0.20663180172488976</v>
      </c>
      <c r="U46" s="2">
        <f t="shared" ca="1" si="14"/>
        <v>0.27480818384006728</v>
      </c>
      <c r="V46" s="2">
        <f t="shared" ca="1" si="14"/>
        <v>0.20236463288881537</v>
      </c>
      <c r="W46" s="2">
        <f t="shared" ca="1" si="14"/>
        <v>0.26815182116864045</v>
      </c>
      <c r="X46" s="2">
        <f t="shared" ca="1" si="14"/>
        <v>0.20027549376706094</v>
      </c>
      <c r="Y46" s="2">
        <f t="shared" ca="1" si="14"/>
        <v>0.23024268104077592</v>
      </c>
      <c r="Z46" s="2">
        <f t="shared" ca="1" si="14"/>
        <v>0.23491307794821509</v>
      </c>
      <c r="AA46" s="2">
        <f t="shared" ca="1" si="17"/>
        <v>0.26782687442541925</v>
      </c>
      <c r="AB46" s="2">
        <f t="shared" ca="1" si="17"/>
        <v>0.22340405466701591</v>
      </c>
      <c r="AC46" s="2">
        <f t="shared" ca="1" si="17"/>
        <v>0.28907654212352668</v>
      </c>
      <c r="AD46" s="2">
        <f t="shared" ca="1" si="17"/>
        <v>0.28462295854267428</v>
      </c>
      <c r="AE46" s="2">
        <f t="shared" ca="1" si="17"/>
        <v>0.29329978333793566</v>
      </c>
      <c r="AF46" s="2">
        <f t="shared" ca="1" si="17"/>
        <v>0.21693313356084024</v>
      </c>
      <c r="AG46" s="2">
        <f t="shared" ca="1" si="17"/>
        <v>0.2454170596709124</v>
      </c>
      <c r="AH46" s="2">
        <f t="shared" ca="1" si="16"/>
        <v>0.24935627996119369</v>
      </c>
    </row>
    <row r="47" spans="1:34">
      <c r="A47" t="str">
        <f t="shared" si="18"/>
        <v>Vegetables</v>
      </c>
      <c r="B47" t="str">
        <f t="shared" si="8"/>
        <v>AddisAbaba</v>
      </c>
      <c r="C47" s="2">
        <f t="shared" ca="1" si="13"/>
        <v>0.27350409742734749</v>
      </c>
      <c r="D47" s="2">
        <f t="shared" ca="1" si="15"/>
        <v>0.2084780191484269</v>
      </c>
      <c r="E47" s="2">
        <f t="shared" ca="1" si="15"/>
        <v>0.28844386363617075</v>
      </c>
      <c r="F47" s="2">
        <f t="shared" ca="1" si="15"/>
        <v>0.29573951814483335</v>
      </c>
      <c r="G47" s="2">
        <f t="shared" ca="1" si="15"/>
        <v>0.23094411256219555</v>
      </c>
      <c r="H47" s="2">
        <f t="shared" ca="1" si="15"/>
        <v>0.25462878436868197</v>
      </c>
      <c r="I47" s="2">
        <f t="shared" ca="1" si="15"/>
        <v>0.25479026821658041</v>
      </c>
      <c r="J47" s="2">
        <f t="shared" ca="1" si="15"/>
        <v>0.27014369201637223</v>
      </c>
      <c r="K47" s="2">
        <f t="shared" ca="1" si="14"/>
        <v>0.2265228567247409</v>
      </c>
      <c r="L47" s="2">
        <f t="shared" ca="1" si="14"/>
        <v>0.26960273316070432</v>
      </c>
      <c r="M47" s="2">
        <f t="shared" ca="1" si="14"/>
        <v>0.27963431994703408</v>
      </c>
      <c r="N47" s="2">
        <f t="shared" ca="1" si="14"/>
        <v>0.20322916061380608</v>
      </c>
      <c r="O47" s="2">
        <f t="shared" ca="1" si="14"/>
        <v>0.22614784287041426</v>
      </c>
      <c r="P47" s="2">
        <f t="shared" ca="1" si="14"/>
        <v>0.23507648644180099</v>
      </c>
      <c r="Q47" s="2">
        <f t="shared" ca="1" si="14"/>
        <v>0.25508334500394947</v>
      </c>
      <c r="R47" s="2">
        <f t="shared" ca="1" si="14"/>
        <v>0.25241083117883628</v>
      </c>
      <c r="S47" s="2">
        <f t="shared" ca="1" si="14"/>
        <v>0.24153140866870684</v>
      </c>
      <c r="T47" s="2">
        <f t="shared" ca="1" si="14"/>
        <v>0.28127351757507241</v>
      </c>
      <c r="U47" s="2">
        <f t="shared" ca="1" si="14"/>
        <v>0.25436056616776254</v>
      </c>
      <c r="V47" s="2">
        <f t="shared" ca="1" si="14"/>
        <v>0.22787197844244944</v>
      </c>
      <c r="W47" s="2">
        <f t="shared" ca="1" si="14"/>
        <v>0.28350943419710878</v>
      </c>
      <c r="X47" s="2">
        <f t="shared" ca="1" si="14"/>
        <v>0.25540939117875139</v>
      </c>
      <c r="Y47" s="2">
        <f t="shared" ca="1" si="14"/>
        <v>0.27722427535250294</v>
      </c>
      <c r="Z47" s="2">
        <f t="shared" ca="1" si="14"/>
        <v>0.28148430647023998</v>
      </c>
      <c r="AA47" s="2">
        <f t="shared" ca="1" si="17"/>
        <v>0.20939710602029601</v>
      </c>
      <c r="AB47" s="2">
        <f t="shared" ca="1" si="17"/>
        <v>0.24994363949935572</v>
      </c>
      <c r="AC47" s="2">
        <f t="shared" ca="1" si="17"/>
        <v>0.20245056346324938</v>
      </c>
      <c r="AD47" s="2">
        <f t="shared" ca="1" si="17"/>
        <v>0.22085961277175731</v>
      </c>
      <c r="AE47" s="2">
        <f t="shared" ca="1" si="17"/>
        <v>0.25149258702733795</v>
      </c>
      <c r="AF47" s="2">
        <f t="shared" ca="1" si="17"/>
        <v>0.28561869285943037</v>
      </c>
      <c r="AG47" s="2">
        <f t="shared" ca="1" si="17"/>
        <v>0.27802792898084561</v>
      </c>
      <c r="AH47" s="2">
        <f t="shared" ca="1" si="16"/>
        <v>0.21848844170450815</v>
      </c>
    </row>
    <row r="48" spans="1:34">
      <c r="A48" t="str">
        <f t="shared" si="18"/>
        <v>Vegetables</v>
      </c>
      <c r="B48" t="str">
        <f t="shared" si="8"/>
        <v>Afar</v>
      </c>
      <c r="C48" s="2">
        <f t="shared" ca="1" si="13"/>
        <v>0.20050741125160806</v>
      </c>
      <c r="D48" s="2">
        <f t="shared" ca="1" si="15"/>
        <v>0.25214468415430052</v>
      </c>
      <c r="E48" s="2">
        <f t="shared" ca="1" si="15"/>
        <v>0.29370061017903892</v>
      </c>
      <c r="F48" s="2">
        <f t="shared" ca="1" si="15"/>
        <v>0.20994068421573692</v>
      </c>
      <c r="G48" s="2">
        <f t="shared" ca="1" si="15"/>
        <v>0.26345118467585471</v>
      </c>
      <c r="H48" s="2">
        <f t="shared" ca="1" si="15"/>
        <v>0.25715412712680913</v>
      </c>
      <c r="I48" s="2">
        <f t="shared" ca="1" si="15"/>
        <v>0.22652278922180369</v>
      </c>
      <c r="J48" s="2">
        <f t="shared" ca="1" si="15"/>
        <v>0.28815306280546538</v>
      </c>
      <c r="K48" s="2">
        <f t="shared" ca="1" si="14"/>
        <v>0.21345419429316251</v>
      </c>
      <c r="L48" s="2">
        <f t="shared" ca="1" si="14"/>
        <v>0.25608237468424999</v>
      </c>
      <c r="M48" s="2">
        <f t="shared" ca="1" si="14"/>
        <v>0.25363203780437488</v>
      </c>
      <c r="N48" s="2">
        <f t="shared" ca="1" si="14"/>
        <v>0.28124755690177589</v>
      </c>
      <c r="O48" s="2">
        <f t="shared" ca="1" si="14"/>
        <v>0.29472132419055946</v>
      </c>
      <c r="P48" s="2">
        <f t="shared" ca="1" si="14"/>
        <v>0.2267765812301375</v>
      </c>
      <c r="Q48" s="2">
        <f t="shared" ca="1" si="14"/>
        <v>0.22122316292671776</v>
      </c>
      <c r="R48" s="2">
        <f t="shared" ca="1" si="14"/>
        <v>0.21288801448952374</v>
      </c>
      <c r="S48" s="2">
        <f t="shared" ca="1" si="14"/>
        <v>0.23920674518075177</v>
      </c>
      <c r="T48" s="2">
        <f t="shared" ca="1" si="14"/>
        <v>0.24697603664658763</v>
      </c>
      <c r="U48" s="2">
        <f t="shared" ca="1" si="14"/>
        <v>0.28480871272660951</v>
      </c>
      <c r="V48" s="2">
        <f t="shared" ca="1" si="14"/>
        <v>0.20289837680008943</v>
      </c>
      <c r="W48" s="2">
        <f t="shared" ca="1" si="14"/>
        <v>0.22824906413799345</v>
      </c>
      <c r="X48" s="2">
        <f t="shared" ca="1" si="14"/>
        <v>0.29251217849720723</v>
      </c>
      <c r="Y48" s="2">
        <f t="shared" ca="1" si="14"/>
        <v>0.29319731846709185</v>
      </c>
      <c r="Z48" s="2">
        <f t="shared" ca="1" si="14"/>
        <v>0.27932231759994025</v>
      </c>
      <c r="AA48" s="2">
        <f t="shared" ca="1" si="17"/>
        <v>0.2449393862072973</v>
      </c>
      <c r="AB48" s="2">
        <f t="shared" ca="1" si="17"/>
        <v>0.21784873900579149</v>
      </c>
      <c r="AC48" s="2">
        <f t="shared" ca="1" si="17"/>
        <v>0.21828453305328452</v>
      </c>
      <c r="AD48" s="2">
        <f t="shared" ca="1" si="17"/>
        <v>0.25121867087586447</v>
      </c>
      <c r="AE48" s="2">
        <f t="shared" ca="1" si="17"/>
        <v>0.23082229208097868</v>
      </c>
      <c r="AF48" s="2">
        <f t="shared" ca="1" si="17"/>
        <v>0.21334339121841914</v>
      </c>
      <c r="AG48" s="2">
        <f t="shared" ca="1" si="17"/>
        <v>0.29822293522437676</v>
      </c>
      <c r="AH48" s="2">
        <f t="shared" ca="1" si="16"/>
        <v>0.23528558903168534</v>
      </c>
    </row>
    <row r="49" spans="1:34">
      <c r="A49" t="str">
        <f t="shared" si="18"/>
        <v>Vegetables</v>
      </c>
      <c r="B49" t="str">
        <f t="shared" si="8"/>
        <v>Amhara</v>
      </c>
      <c r="C49" s="2">
        <f t="shared" ca="1" si="13"/>
        <v>0.25913179821604515</v>
      </c>
      <c r="D49" s="2">
        <f t="shared" ca="1" si="15"/>
        <v>0.2705509560098816</v>
      </c>
      <c r="E49" s="2">
        <f t="shared" ca="1" si="15"/>
        <v>0.29917009873327005</v>
      </c>
      <c r="F49" s="2">
        <f t="shared" ca="1" si="15"/>
        <v>0.29218259780824057</v>
      </c>
      <c r="G49" s="2">
        <f t="shared" ca="1" si="15"/>
        <v>0.28137965981152646</v>
      </c>
      <c r="H49" s="2">
        <f t="shared" ca="1" si="15"/>
        <v>0.28033781038533179</v>
      </c>
      <c r="I49" s="2">
        <f t="shared" ca="1" si="15"/>
        <v>0.29955689512719741</v>
      </c>
      <c r="J49" s="2">
        <f t="shared" ca="1" si="15"/>
        <v>0.2385799682438729</v>
      </c>
      <c r="K49" s="2">
        <f t="shared" ca="1" si="14"/>
        <v>0.24710379321169276</v>
      </c>
      <c r="L49" s="2">
        <f t="shared" ca="1" si="14"/>
        <v>0.2759658746984911</v>
      </c>
      <c r="M49" s="2">
        <f t="shared" ca="1" si="14"/>
        <v>0.23419182456661941</v>
      </c>
      <c r="N49" s="2">
        <f t="shared" ca="1" si="14"/>
        <v>0.29512996458017082</v>
      </c>
      <c r="O49" s="2">
        <f t="shared" ca="1" si="14"/>
        <v>0.26454651923352879</v>
      </c>
      <c r="P49" s="2">
        <f t="shared" ca="1" si="14"/>
        <v>0.23225922875963823</v>
      </c>
      <c r="Q49" s="2">
        <f t="shared" ca="1" si="14"/>
        <v>0.2307621153296821</v>
      </c>
      <c r="R49" s="2">
        <f t="shared" ca="1" si="14"/>
        <v>0.20602717540233245</v>
      </c>
      <c r="S49" s="2">
        <f t="shared" ca="1" si="14"/>
        <v>0.27822689000531409</v>
      </c>
      <c r="T49" s="2">
        <f t="shared" ca="1" si="14"/>
        <v>0.24143152651472213</v>
      </c>
      <c r="U49" s="2">
        <f t="shared" ca="1" si="14"/>
        <v>0.24539491834289209</v>
      </c>
      <c r="V49" s="2">
        <f t="shared" ca="1" si="14"/>
        <v>0.21677631808148379</v>
      </c>
      <c r="W49" s="2">
        <f t="shared" ca="1" si="14"/>
        <v>0.28480271373439026</v>
      </c>
      <c r="X49" s="2">
        <f t="shared" ca="1" si="14"/>
        <v>0.21015208602489818</v>
      </c>
      <c r="Y49" s="2">
        <f t="shared" ca="1" si="14"/>
        <v>0.26823581477922137</v>
      </c>
      <c r="Z49" s="2">
        <f t="shared" ca="1" si="14"/>
        <v>0.28395744341841328</v>
      </c>
      <c r="AA49" s="2">
        <f t="shared" ca="1" si="17"/>
        <v>0.29546820247035405</v>
      </c>
      <c r="AB49" s="2">
        <f t="shared" ca="1" si="17"/>
        <v>0.2579318541971915</v>
      </c>
      <c r="AC49" s="2">
        <f t="shared" ca="1" si="17"/>
        <v>0.27466373831488139</v>
      </c>
      <c r="AD49" s="2">
        <f t="shared" ca="1" si="17"/>
        <v>0.21186525433577041</v>
      </c>
      <c r="AE49" s="2">
        <f t="shared" ca="1" si="17"/>
        <v>0.27504869023821821</v>
      </c>
      <c r="AF49" s="2">
        <f t="shared" ca="1" si="17"/>
        <v>0.23651749350454609</v>
      </c>
      <c r="AG49" s="2">
        <f t="shared" ca="1" si="17"/>
        <v>0.292915216752964</v>
      </c>
      <c r="AH49" s="2">
        <f t="shared" ca="1" si="16"/>
        <v>0.24547945123023238</v>
      </c>
    </row>
    <row r="50" spans="1:34">
      <c r="A50" t="str">
        <f t="shared" si="18"/>
        <v>Vegetables</v>
      </c>
      <c r="B50" t="str">
        <f t="shared" si="8"/>
        <v>Gumuz</v>
      </c>
      <c r="C50" s="2">
        <f t="shared" ca="1" si="13"/>
        <v>0.27249117560613556</v>
      </c>
      <c r="D50" s="2">
        <f t="shared" ca="1" si="15"/>
        <v>0.24376412375448858</v>
      </c>
      <c r="E50" s="2">
        <f t="shared" ca="1" si="15"/>
        <v>0.26714675177626329</v>
      </c>
      <c r="F50" s="2">
        <f t="shared" ca="1" si="15"/>
        <v>0.23753120929166738</v>
      </c>
      <c r="G50" s="2">
        <f t="shared" ca="1" si="15"/>
        <v>0.27103361327783559</v>
      </c>
      <c r="H50" s="2">
        <f t="shared" ca="1" si="15"/>
        <v>0.25144956688378256</v>
      </c>
      <c r="I50" s="2">
        <f t="shared" ca="1" si="15"/>
        <v>0.24703967810193106</v>
      </c>
      <c r="J50" s="2">
        <f t="shared" ca="1" si="15"/>
        <v>0.25656702090694905</v>
      </c>
      <c r="K50" s="2">
        <f t="shared" ca="1" si="14"/>
        <v>0.27953056382691854</v>
      </c>
      <c r="L50" s="2">
        <f t="shared" ca="1" si="14"/>
        <v>0.20838661978302606</v>
      </c>
      <c r="M50" s="2">
        <f t="shared" ca="1" si="14"/>
        <v>0.27191736338954614</v>
      </c>
      <c r="N50" s="2">
        <f t="shared" ca="1" si="14"/>
        <v>0.20276053554039331</v>
      </c>
      <c r="O50" s="2">
        <f t="shared" ca="1" si="14"/>
        <v>0.28402213117652786</v>
      </c>
      <c r="P50" s="2">
        <f t="shared" ca="1" si="14"/>
        <v>0.2173439520181025</v>
      </c>
      <c r="Q50" s="2">
        <f t="shared" ca="1" si="14"/>
        <v>0.23927390657131759</v>
      </c>
      <c r="R50" s="2">
        <f t="shared" ca="1" si="14"/>
        <v>0.25140682206981202</v>
      </c>
      <c r="S50" s="2">
        <f t="shared" ca="1" si="14"/>
        <v>0.24332282413083706</v>
      </c>
      <c r="T50" s="2">
        <f t="shared" ca="1" si="14"/>
        <v>0.21617355421330342</v>
      </c>
      <c r="U50" s="2">
        <f t="shared" ca="1" si="14"/>
        <v>0.22896734352297493</v>
      </c>
      <c r="V50" s="2">
        <f t="shared" ca="1" si="14"/>
        <v>0.21236987324340958</v>
      </c>
      <c r="W50" s="2">
        <f t="shared" ca="1" si="14"/>
        <v>0.28250691515497928</v>
      </c>
      <c r="X50" s="2">
        <f t="shared" ca="1" si="14"/>
        <v>0.285290797044642</v>
      </c>
      <c r="Y50" s="2">
        <f t="shared" ca="1" si="14"/>
        <v>0.26692607929518303</v>
      </c>
      <c r="Z50" s="2">
        <f t="shared" ca="1" si="14"/>
        <v>0.20635341468203039</v>
      </c>
      <c r="AA50" s="2">
        <f t="shared" ca="1" si="17"/>
        <v>0.2867264738031402</v>
      </c>
      <c r="AB50" s="2">
        <f t="shared" ca="1" si="17"/>
        <v>0.21013737630356807</v>
      </c>
      <c r="AC50" s="2">
        <f t="shared" ca="1" si="17"/>
        <v>0.26683739724745487</v>
      </c>
      <c r="AD50" s="2">
        <f t="shared" ca="1" si="17"/>
        <v>0.27609497707833253</v>
      </c>
      <c r="AE50" s="2">
        <f t="shared" ca="1" si="17"/>
        <v>0.27993240353645577</v>
      </c>
      <c r="AF50" s="2">
        <f t="shared" ca="1" si="17"/>
        <v>0.24930033452769659</v>
      </c>
      <c r="AG50" s="2">
        <f t="shared" ca="1" si="17"/>
        <v>0.21191133682684693</v>
      </c>
      <c r="AH50" s="2">
        <f t="shared" ca="1" si="16"/>
        <v>0.23731126686244752</v>
      </c>
    </row>
    <row r="51" spans="1:34">
      <c r="A51" t="str">
        <f t="shared" si="18"/>
        <v>Vegetables</v>
      </c>
      <c r="B51" t="str">
        <f t="shared" si="8"/>
        <v>DireDawa</v>
      </c>
      <c r="C51" s="2">
        <f t="shared" ca="1" si="13"/>
        <v>0.26713573911795008</v>
      </c>
      <c r="D51" s="2">
        <f t="shared" ca="1" si="15"/>
        <v>0.26282046693582628</v>
      </c>
      <c r="E51" s="2">
        <f t="shared" ca="1" si="15"/>
        <v>0.21212698196791618</v>
      </c>
      <c r="F51" s="2">
        <f t="shared" ca="1" si="15"/>
        <v>0.27377164738276205</v>
      </c>
      <c r="G51" s="2">
        <f t="shared" ca="1" si="15"/>
        <v>0.26970069633461957</v>
      </c>
      <c r="H51" s="2">
        <f t="shared" ca="1" si="15"/>
        <v>0.24083634732011391</v>
      </c>
      <c r="I51" s="2">
        <f t="shared" ca="1" si="15"/>
        <v>0.22282284255201218</v>
      </c>
      <c r="J51" s="2">
        <f t="shared" ca="1" si="15"/>
        <v>0.22208338082743123</v>
      </c>
      <c r="K51" s="2">
        <f t="shared" ref="K51:Y52" ca="1" si="19">RAND()*0.1+0.2</f>
        <v>0.27357770810024296</v>
      </c>
      <c r="L51" s="2">
        <f t="shared" ca="1" si="19"/>
        <v>0.2411199584925818</v>
      </c>
      <c r="M51" s="2">
        <f t="shared" ca="1" si="19"/>
        <v>0.23120190125690868</v>
      </c>
      <c r="N51" s="2">
        <f t="shared" ca="1" si="19"/>
        <v>0.24591209121982424</v>
      </c>
      <c r="O51" s="2">
        <f t="shared" ca="1" si="19"/>
        <v>0.2518807478279198</v>
      </c>
      <c r="P51" s="2">
        <f t="shared" ca="1" si="19"/>
        <v>0.26215926018823021</v>
      </c>
      <c r="Q51" s="2">
        <f t="shared" ca="1" si="19"/>
        <v>0.27128862840200535</v>
      </c>
      <c r="R51" s="2">
        <f t="shared" ca="1" si="19"/>
        <v>0.28068529694526939</v>
      </c>
      <c r="S51" s="2">
        <f t="shared" ca="1" si="19"/>
        <v>0.2192515281582387</v>
      </c>
      <c r="T51" s="2">
        <f t="shared" ca="1" si="19"/>
        <v>0.26625911821127879</v>
      </c>
      <c r="U51" s="2">
        <f t="shared" ca="1" si="19"/>
        <v>0.22604725999019196</v>
      </c>
      <c r="V51" s="2">
        <f t="shared" ca="1" si="19"/>
        <v>0.20979382885761994</v>
      </c>
      <c r="W51" s="2">
        <f t="shared" ca="1" si="19"/>
        <v>0.21125462205086037</v>
      </c>
      <c r="X51" s="2">
        <f t="shared" ca="1" si="19"/>
        <v>0.2888543378179726</v>
      </c>
      <c r="Y51" s="2">
        <f t="shared" ca="1" si="19"/>
        <v>0.26788404303910573</v>
      </c>
      <c r="Z51" s="2">
        <f t="shared" ref="Z51:AH67" ca="1" si="20">RAND()*0.1+0.2</f>
        <v>0.23832916278049726</v>
      </c>
      <c r="AA51" s="2">
        <f t="shared" ca="1" si="20"/>
        <v>0.25269081326779963</v>
      </c>
      <c r="AB51" s="2">
        <f t="shared" ca="1" si="20"/>
        <v>0.26785949616931748</v>
      </c>
      <c r="AC51" s="2">
        <f t="shared" ca="1" si="20"/>
        <v>0.23538028738083044</v>
      </c>
      <c r="AD51" s="2">
        <f t="shared" ca="1" si="20"/>
        <v>0.28131311910753454</v>
      </c>
      <c r="AE51" s="2">
        <f t="shared" ca="1" si="20"/>
        <v>0.23328901717050199</v>
      </c>
      <c r="AF51" s="2">
        <f t="shared" ca="1" si="20"/>
        <v>0.25254658419287229</v>
      </c>
      <c r="AG51" s="2">
        <f t="shared" ca="1" si="20"/>
        <v>0.23622392243670071</v>
      </c>
      <c r="AH51" s="2">
        <f t="shared" ca="1" si="20"/>
        <v>0.28211451930533288</v>
      </c>
    </row>
    <row r="52" spans="1:34">
      <c r="A52" t="str">
        <f t="shared" si="18"/>
        <v>Vegetables</v>
      </c>
      <c r="B52" t="str">
        <f t="shared" si="8"/>
        <v>Gambela</v>
      </c>
      <c r="C52" s="2">
        <f t="shared" ca="1" si="13"/>
        <v>0.27969520419090993</v>
      </c>
      <c r="D52" s="2">
        <f t="shared" ca="1" si="15"/>
        <v>0.27041804080439003</v>
      </c>
      <c r="E52" s="2">
        <f t="shared" ca="1" si="15"/>
        <v>0.20878005125983062</v>
      </c>
      <c r="F52" s="2">
        <f t="shared" ca="1" si="15"/>
        <v>0.23898629835131424</v>
      </c>
      <c r="G52" s="2">
        <f t="shared" ca="1" si="15"/>
        <v>0.26571163524689367</v>
      </c>
      <c r="H52" s="2">
        <f t="shared" ca="1" si="15"/>
        <v>0.22857412904544638</v>
      </c>
      <c r="I52" s="2">
        <f t="shared" ca="1" si="15"/>
        <v>0.28234653123656661</v>
      </c>
      <c r="J52" s="2">
        <f t="shared" ca="1" si="15"/>
        <v>0.25473159622852459</v>
      </c>
      <c r="K52" s="2">
        <f t="shared" ca="1" si="19"/>
        <v>0.22464962012922188</v>
      </c>
      <c r="L52" s="2">
        <f t="shared" ca="1" si="19"/>
        <v>0.20012501219398324</v>
      </c>
      <c r="M52" s="2">
        <f t="shared" ca="1" si="19"/>
        <v>0.26026548871180283</v>
      </c>
      <c r="N52" s="2">
        <f t="shared" ca="1" si="19"/>
        <v>0.25674050825607975</v>
      </c>
      <c r="O52" s="2">
        <f t="shared" ca="1" si="19"/>
        <v>0.29389335135716999</v>
      </c>
      <c r="P52" s="2">
        <f t="shared" ca="1" si="19"/>
        <v>0.21078467851736599</v>
      </c>
      <c r="Q52" s="2">
        <f t="shared" ca="1" si="19"/>
        <v>0.29708880392666737</v>
      </c>
      <c r="R52" s="2">
        <f t="shared" ca="1" si="19"/>
        <v>0.27481121038087164</v>
      </c>
      <c r="S52" s="2">
        <f t="shared" ca="1" si="19"/>
        <v>0.22170088659983062</v>
      </c>
      <c r="T52" s="2">
        <f t="shared" ca="1" si="19"/>
        <v>0.27393834625329838</v>
      </c>
      <c r="U52" s="2">
        <f t="shared" ca="1" si="19"/>
        <v>0.23901876797541952</v>
      </c>
      <c r="V52" s="2">
        <f t="shared" ca="1" si="19"/>
        <v>0.29699496701536521</v>
      </c>
      <c r="W52" s="2">
        <f t="shared" ca="1" si="19"/>
        <v>0.27477790323296336</v>
      </c>
      <c r="X52" s="2">
        <f t="shared" ca="1" si="19"/>
        <v>0.21599054085593833</v>
      </c>
      <c r="Y52" s="2">
        <f t="shared" ca="1" si="19"/>
        <v>0.20769257511998257</v>
      </c>
      <c r="Z52" s="2">
        <f t="shared" ca="1" si="20"/>
        <v>0.23131525247076634</v>
      </c>
      <c r="AA52" s="2">
        <f t="shared" ca="1" si="20"/>
        <v>0.24305317532599846</v>
      </c>
      <c r="AB52" s="2">
        <f t="shared" ca="1" si="20"/>
        <v>0.2879812724790981</v>
      </c>
      <c r="AC52" s="2">
        <f t="shared" ca="1" si="20"/>
        <v>0.24826402359350289</v>
      </c>
      <c r="AD52" s="2">
        <f t="shared" ca="1" si="20"/>
        <v>0.22406376308487153</v>
      </c>
      <c r="AE52" s="2">
        <f t="shared" ca="1" si="20"/>
        <v>0.24241920166253575</v>
      </c>
      <c r="AF52" s="2">
        <f t="shared" ca="1" si="20"/>
        <v>0.29306581074320642</v>
      </c>
      <c r="AG52" s="2">
        <f t="shared" ca="1" si="20"/>
        <v>0.29113400099051329</v>
      </c>
      <c r="AH52" s="2">
        <f t="shared" ca="1" si="20"/>
        <v>0.27346383239190319</v>
      </c>
    </row>
    <row r="53" spans="1:34">
      <c r="A53" t="str">
        <f t="shared" si="18"/>
        <v>Vegetables</v>
      </c>
      <c r="B53" t="str">
        <f t="shared" si="8"/>
        <v>Harari</v>
      </c>
      <c r="C53" s="2">
        <f t="shared" ref="C53:R68" ca="1" si="21">RAND()*0.1+0.2</f>
        <v>0.23425456786039969</v>
      </c>
      <c r="D53" s="2">
        <f t="shared" ca="1" si="21"/>
        <v>0.20175434162313374</v>
      </c>
      <c r="E53" s="2">
        <f t="shared" ca="1" si="21"/>
        <v>0.29180855526265115</v>
      </c>
      <c r="F53" s="2">
        <f t="shared" ca="1" si="21"/>
        <v>0.20358350215092191</v>
      </c>
      <c r="G53" s="2">
        <f t="shared" ca="1" si="21"/>
        <v>0.27034602804306063</v>
      </c>
      <c r="H53" s="2">
        <f t="shared" ca="1" si="21"/>
        <v>0.23887874519851651</v>
      </c>
      <c r="I53" s="2">
        <f t="shared" ca="1" si="21"/>
        <v>0.2668632815618257</v>
      </c>
      <c r="J53" s="2">
        <f t="shared" ca="1" si="21"/>
        <v>0.23186507633795483</v>
      </c>
      <c r="K53" s="2">
        <f t="shared" ca="1" si="21"/>
        <v>0.24866376239137547</v>
      </c>
      <c r="L53" s="2">
        <f t="shared" ca="1" si="21"/>
        <v>0.29766991559105893</v>
      </c>
      <c r="M53" s="2">
        <f t="shared" ca="1" si="21"/>
        <v>0.24395904192990722</v>
      </c>
      <c r="N53" s="2">
        <f t="shared" ca="1" si="21"/>
        <v>0.26627685852244182</v>
      </c>
      <c r="O53" s="2">
        <f t="shared" ca="1" si="21"/>
        <v>0.21981509066913429</v>
      </c>
      <c r="P53" s="2">
        <f t="shared" ca="1" si="21"/>
        <v>0.26302197907162561</v>
      </c>
      <c r="Q53" s="2">
        <f t="shared" ca="1" si="21"/>
        <v>0.24571905952858622</v>
      </c>
      <c r="R53" s="2">
        <f t="shared" ca="1" si="21"/>
        <v>0.23766963943316544</v>
      </c>
      <c r="S53" s="2">
        <f t="shared" ref="S53:Y67" ca="1" si="22">RAND()*0.1+0.2</f>
        <v>0.22713745081761899</v>
      </c>
      <c r="T53" s="2">
        <f t="shared" ca="1" si="22"/>
        <v>0.28005205639230024</v>
      </c>
      <c r="U53" s="2">
        <f t="shared" ca="1" si="22"/>
        <v>0.26137237389790169</v>
      </c>
      <c r="V53" s="2">
        <f t="shared" ca="1" si="22"/>
        <v>0.25727534025552223</v>
      </c>
      <c r="W53" s="2">
        <f t="shared" ca="1" si="22"/>
        <v>0.24310673159598287</v>
      </c>
      <c r="X53" s="2">
        <f t="shared" ca="1" si="22"/>
        <v>0.2632761125390547</v>
      </c>
      <c r="Y53" s="2">
        <f t="shared" ca="1" si="22"/>
        <v>0.24585328455610889</v>
      </c>
      <c r="Z53" s="2">
        <f t="shared" ca="1" si="20"/>
        <v>0.21387691647278262</v>
      </c>
      <c r="AA53" s="2">
        <f t="shared" ca="1" si="20"/>
        <v>0.2749322340206718</v>
      </c>
      <c r="AB53" s="2">
        <f t="shared" ca="1" si="20"/>
        <v>0.28306138785274848</v>
      </c>
      <c r="AC53" s="2">
        <f t="shared" ca="1" si="20"/>
        <v>0.27720697502883129</v>
      </c>
      <c r="AD53" s="2">
        <f t="shared" ca="1" si="20"/>
        <v>0.27431351064793852</v>
      </c>
      <c r="AE53" s="2">
        <f t="shared" ca="1" si="20"/>
        <v>0.24105795967099058</v>
      </c>
      <c r="AF53" s="2">
        <f t="shared" ca="1" si="20"/>
        <v>0.28731359134474838</v>
      </c>
      <c r="AG53" s="2">
        <f t="shared" ca="1" si="20"/>
        <v>0.21089371664051856</v>
      </c>
      <c r="AH53" s="2">
        <f t="shared" ca="1" si="20"/>
        <v>0.25402574201571837</v>
      </c>
    </row>
    <row r="54" spans="1:34">
      <c r="A54" t="str">
        <f t="shared" si="18"/>
        <v>Vegetables</v>
      </c>
      <c r="B54" t="str">
        <f t="shared" si="8"/>
        <v>Oromia</v>
      </c>
      <c r="C54" s="2">
        <f t="shared" ca="1" si="21"/>
        <v>0.21652314564127456</v>
      </c>
      <c r="D54" s="2">
        <f t="shared" ca="1" si="21"/>
        <v>0.20253814573704645</v>
      </c>
      <c r="E54" s="2">
        <f t="shared" ca="1" si="21"/>
        <v>0.22006470617107238</v>
      </c>
      <c r="F54" s="2">
        <f t="shared" ca="1" si="21"/>
        <v>0.20845738136158437</v>
      </c>
      <c r="G54" s="2">
        <f t="shared" ca="1" si="21"/>
        <v>0.24574200826168241</v>
      </c>
      <c r="H54" s="2">
        <f t="shared" ca="1" si="21"/>
        <v>0.22051770233341744</v>
      </c>
      <c r="I54" s="2">
        <f t="shared" ca="1" si="21"/>
        <v>0.21393721802294738</v>
      </c>
      <c r="J54" s="2">
        <f t="shared" ca="1" si="21"/>
        <v>0.24253473200564996</v>
      </c>
      <c r="K54" s="2">
        <f t="shared" ca="1" si="21"/>
        <v>0.25594258311255746</v>
      </c>
      <c r="L54" s="2">
        <f t="shared" ca="1" si="21"/>
        <v>0.28102241752797386</v>
      </c>
      <c r="M54" s="2">
        <f t="shared" ca="1" si="21"/>
        <v>0.22805014191763012</v>
      </c>
      <c r="N54" s="2">
        <f t="shared" ca="1" si="21"/>
        <v>0.20045434122195682</v>
      </c>
      <c r="O54" s="2">
        <f t="shared" ca="1" si="21"/>
        <v>0.22059635359760738</v>
      </c>
      <c r="P54" s="2">
        <f t="shared" ca="1" si="21"/>
        <v>0.27415841169906552</v>
      </c>
      <c r="Q54" s="2">
        <f t="shared" ca="1" si="21"/>
        <v>0.21302866230096734</v>
      </c>
      <c r="R54" s="2">
        <f t="shared" ca="1" si="21"/>
        <v>0.21657132478258173</v>
      </c>
      <c r="S54" s="2">
        <f t="shared" ca="1" si="22"/>
        <v>0.2250602533987229</v>
      </c>
      <c r="T54" s="2">
        <f t="shared" ca="1" si="22"/>
        <v>0.20162581288013415</v>
      </c>
      <c r="U54" s="2">
        <f t="shared" ca="1" si="22"/>
        <v>0.22788481991033885</v>
      </c>
      <c r="V54" s="2">
        <f t="shared" ca="1" si="22"/>
        <v>0.23286455407327739</v>
      </c>
      <c r="W54" s="2">
        <f t="shared" ca="1" si="22"/>
        <v>0.24162478342110105</v>
      </c>
      <c r="X54" s="2">
        <f t="shared" ca="1" si="22"/>
        <v>0.20293237134605763</v>
      </c>
      <c r="Y54" s="2">
        <f t="shared" ca="1" si="22"/>
        <v>0.29243817095167723</v>
      </c>
      <c r="Z54" s="2">
        <f t="shared" ca="1" si="20"/>
        <v>0.20427686039707785</v>
      </c>
      <c r="AA54" s="2">
        <f t="shared" ca="1" si="20"/>
        <v>0.26925396211941427</v>
      </c>
      <c r="AB54" s="2">
        <f t="shared" ca="1" si="20"/>
        <v>0.20878262922353666</v>
      </c>
      <c r="AC54" s="2">
        <f t="shared" ca="1" si="20"/>
        <v>0.20654191448122458</v>
      </c>
      <c r="AD54" s="2">
        <f t="shared" ca="1" si="20"/>
        <v>0.24267853042601056</v>
      </c>
      <c r="AE54" s="2">
        <f t="shared" ca="1" si="20"/>
        <v>0.28011593052237038</v>
      </c>
      <c r="AF54" s="2">
        <f t="shared" ca="1" si="20"/>
        <v>0.27890040620373618</v>
      </c>
      <c r="AG54" s="2">
        <f t="shared" ca="1" si="20"/>
        <v>0.20202799566371962</v>
      </c>
      <c r="AH54" s="2">
        <f t="shared" ca="1" si="20"/>
        <v>0.23043588618247227</v>
      </c>
    </row>
    <row r="55" spans="1:34">
      <c r="A55" t="str">
        <f t="shared" si="18"/>
        <v>Vegetables</v>
      </c>
      <c r="B55" t="str">
        <f t="shared" si="8"/>
        <v>Somali</v>
      </c>
      <c r="C55" s="2">
        <f t="shared" ca="1" si="21"/>
        <v>0.23798847224737157</v>
      </c>
      <c r="D55" s="2">
        <f t="shared" ca="1" si="21"/>
        <v>0.24212583100495139</v>
      </c>
      <c r="E55" s="2">
        <f t="shared" ca="1" si="21"/>
        <v>0.20168976844852343</v>
      </c>
      <c r="F55" s="2">
        <f t="shared" ca="1" si="21"/>
        <v>0.23809166471546636</v>
      </c>
      <c r="G55" s="2">
        <f t="shared" ca="1" si="21"/>
        <v>0.26917011282374315</v>
      </c>
      <c r="H55" s="2">
        <f t="shared" ca="1" si="21"/>
        <v>0.28273785033823934</v>
      </c>
      <c r="I55" s="2">
        <f t="shared" ca="1" si="21"/>
        <v>0.22184347356732903</v>
      </c>
      <c r="J55" s="2">
        <f t="shared" ca="1" si="21"/>
        <v>0.23153553374941518</v>
      </c>
      <c r="K55" s="2">
        <f t="shared" ca="1" si="21"/>
        <v>0.29772422709051793</v>
      </c>
      <c r="L55" s="2">
        <f t="shared" ca="1" si="21"/>
        <v>0.27871344112488999</v>
      </c>
      <c r="M55" s="2">
        <f t="shared" ca="1" si="21"/>
        <v>0.27308506126411397</v>
      </c>
      <c r="N55" s="2">
        <f t="shared" ca="1" si="21"/>
        <v>0.2545525991654955</v>
      </c>
      <c r="O55" s="2">
        <f t="shared" ca="1" si="21"/>
        <v>0.251989582439205</v>
      </c>
      <c r="P55" s="2">
        <f t="shared" ca="1" si="21"/>
        <v>0.23346587734832591</v>
      </c>
      <c r="Q55" s="2">
        <f t="shared" ca="1" si="21"/>
        <v>0.28273414705992289</v>
      </c>
      <c r="R55" s="2">
        <f t="shared" ca="1" si="21"/>
        <v>0.28058043973772856</v>
      </c>
      <c r="S55" s="2">
        <f t="shared" ca="1" si="22"/>
        <v>0.27934360802009511</v>
      </c>
      <c r="T55" s="2">
        <f t="shared" ca="1" si="22"/>
        <v>0.29596859642133444</v>
      </c>
      <c r="U55" s="2">
        <f t="shared" ca="1" si="22"/>
        <v>0.2934126150951693</v>
      </c>
      <c r="V55" s="2">
        <f t="shared" ca="1" si="22"/>
        <v>0.22378591597511785</v>
      </c>
      <c r="W55" s="2">
        <f t="shared" ca="1" si="22"/>
        <v>0.25872298095118179</v>
      </c>
      <c r="X55" s="2">
        <f t="shared" ca="1" si="22"/>
        <v>0.22539881563130959</v>
      </c>
      <c r="Y55" s="2">
        <f t="shared" ca="1" si="22"/>
        <v>0.21072082293592428</v>
      </c>
      <c r="Z55" s="2">
        <f t="shared" ca="1" si="20"/>
        <v>0.29711950018894162</v>
      </c>
      <c r="AA55" s="2">
        <f t="shared" ca="1" si="20"/>
        <v>0.29155319085284986</v>
      </c>
      <c r="AB55" s="2">
        <f t="shared" ca="1" si="20"/>
        <v>0.29946344582861134</v>
      </c>
      <c r="AC55" s="2">
        <f t="shared" ca="1" si="20"/>
        <v>0.29771456829545473</v>
      </c>
      <c r="AD55" s="2">
        <f t="shared" ca="1" si="20"/>
        <v>0.20542116071541094</v>
      </c>
      <c r="AE55" s="2">
        <f t="shared" ca="1" si="20"/>
        <v>0.2191586610372605</v>
      </c>
      <c r="AF55" s="2">
        <f t="shared" ca="1" si="20"/>
        <v>0.2036276022973888</v>
      </c>
      <c r="AG55" s="2">
        <f t="shared" ca="1" si="20"/>
        <v>0.25000776553744947</v>
      </c>
      <c r="AH55" s="2">
        <f t="shared" ca="1" si="20"/>
        <v>0.2689287806639058</v>
      </c>
    </row>
    <row r="56" spans="1:34">
      <c r="A56" t="str">
        <f t="shared" si="18"/>
        <v>Vegetables</v>
      </c>
      <c r="B56" t="str">
        <f t="shared" si="8"/>
        <v>SNNPR</v>
      </c>
      <c r="C56" s="2">
        <f t="shared" ca="1" si="21"/>
        <v>0.21674088526961746</v>
      </c>
      <c r="D56" s="2">
        <f t="shared" ca="1" si="21"/>
        <v>0.28626946775631729</v>
      </c>
      <c r="E56" s="2">
        <f t="shared" ca="1" si="21"/>
        <v>0.2202466119187845</v>
      </c>
      <c r="F56" s="2">
        <f t="shared" ca="1" si="21"/>
        <v>0.25316051230465653</v>
      </c>
      <c r="G56" s="2">
        <f t="shared" ca="1" si="21"/>
        <v>0.26221200607518325</v>
      </c>
      <c r="H56" s="2">
        <f t="shared" ca="1" si="21"/>
        <v>0.24917328922083318</v>
      </c>
      <c r="I56" s="2">
        <f t="shared" ca="1" si="21"/>
        <v>0.20583190224250131</v>
      </c>
      <c r="J56" s="2">
        <f t="shared" ca="1" si="21"/>
        <v>0.24727334965241987</v>
      </c>
      <c r="K56" s="2">
        <f t="shared" ca="1" si="21"/>
        <v>0.28417857972523203</v>
      </c>
      <c r="L56" s="2">
        <f t="shared" ca="1" si="21"/>
        <v>0.28463006255034717</v>
      </c>
      <c r="M56" s="2">
        <f t="shared" ca="1" si="21"/>
        <v>0.22195292940663197</v>
      </c>
      <c r="N56" s="2">
        <f t="shared" ca="1" si="21"/>
        <v>0.28286814604116112</v>
      </c>
      <c r="O56" s="2">
        <f t="shared" ca="1" si="21"/>
        <v>0.24164785965274127</v>
      </c>
      <c r="P56" s="2">
        <f t="shared" ca="1" si="21"/>
        <v>0.27178589939412862</v>
      </c>
      <c r="Q56" s="2">
        <f t="shared" ca="1" si="21"/>
        <v>0.26613731072089397</v>
      </c>
      <c r="R56" s="2">
        <f t="shared" ca="1" si="21"/>
        <v>0.24518167882157951</v>
      </c>
      <c r="S56" s="2">
        <f t="shared" ca="1" si="22"/>
        <v>0.24957965996796094</v>
      </c>
      <c r="T56" s="2">
        <f t="shared" ca="1" si="22"/>
        <v>0.25285677022210318</v>
      </c>
      <c r="U56" s="2">
        <f t="shared" ca="1" si="22"/>
        <v>0.25888920079655819</v>
      </c>
      <c r="V56" s="2">
        <f t="shared" ca="1" si="22"/>
        <v>0.27407428891170849</v>
      </c>
      <c r="W56" s="2">
        <f t="shared" ca="1" si="22"/>
        <v>0.28914265589881816</v>
      </c>
      <c r="X56" s="2">
        <f t="shared" ca="1" si="22"/>
        <v>0.29536684566109661</v>
      </c>
      <c r="Y56" s="2">
        <f t="shared" ca="1" si="22"/>
        <v>0.29633127230458967</v>
      </c>
      <c r="Z56" s="2">
        <f t="shared" ca="1" si="20"/>
        <v>0.27480929015211869</v>
      </c>
      <c r="AA56" s="2">
        <f t="shared" ca="1" si="20"/>
        <v>0.24153421310114437</v>
      </c>
      <c r="AB56" s="2">
        <f t="shared" ca="1" si="20"/>
        <v>0.29850306925795117</v>
      </c>
      <c r="AC56" s="2">
        <f t="shared" ca="1" si="20"/>
        <v>0.21878678822323905</v>
      </c>
      <c r="AD56" s="2">
        <f t="shared" ca="1" si="20"/>
        <v>0.29684085027587959</v>
      </c>
      <c r="AE56" s="2">
        <f t="shared" ca="1" si="20"/>
        <v>0.23929847511121344</v>
      </c>
      <c r="AF56" s="2">
        <f t="shared" ca="1" si="20"/>
        <v>0.2681329104024146</v>
      </c>
      <c r="AG56" s="2">
        <f t="shared" ca="1" si="20"/>
        <v>0.22867090640625184</v>
      </c>
      <c r="AH56" s="2">
        <f t="shared" ca="1" si="20"/>
        <v>0.21099808719771199</v>
      </c>
    </row>
    <row r="57" spans="1:34">
      <c r="A57" t="str">
        <f t="shared" si="18"/>
        <v>Vegetables</v>
      </c>
      <c r="B57" t="str">
        <f t="shared" si="8"/>
        <v>Tigray</v>
      </c>
      <c r="C57" s="2">
        <f t="shared" ca="1" si="21"/>
        <v>0.29771003147722469</v>
      </c>
      <c r="D57" s="2">
        <f t="shared" ca="1" si="21"/>
        <v>0.21939214975433274</v>
      </c>
      <c r="E57" s="2">
        <f t="shared" ca="1" si="21"/>
        <v>0.29665311435063585</v>
      </c>
      <c r="F57" s="2">
        <f t="shared" ca="1" si="21"/>
        <v>0.21892868504748886</v>
      </c>
      <c r="G57" s="2">
        <f t="shared" ca="1" si="21"/>
        <v>0.25731624842023615</v>
      </c>
      <c r="H57" s="2">
        <f t="shared" ca="1" si="21"/>
        <v>0.2088806184176896</v>
      </c>
      <c r="I57" s="2">
        <f t="shared" ca="1" si="21"/>
        <v>0.27762965427335679</v>
      </c>
      <c r="J57" s="2">
        <f t="shared" ca="1" si="21"/>
        <v>0.23874317731223255</v>
      </c>
      <c r="K57" s="2">
        <f t="shared" ca="1" si="21"/>
        <v>0.22006408830361504</v>
      </c>
      <c r="L57" s="2">
        <f t="shared" ca="1" si="21"/>
        <v>0.23531845674804797</v>
      </c>
      <c r="M57" s="2">
        <f t="shared" ca="1" si="21"/>
        <v>0.26660912001302423</v>
      </c>
      <c r="N57" s="2">
        <f t="shared" ca="1" si="21"/>
        <v>0.2144836581620026</v>
      </c>
      <c r="O57" s="2">
        <f t="shared" ca="1" si="21"/>
        <v>0.2594394254643797</v>
      </c>
      <c r="P57" s="2">
        <f t="shared" ca="1" si="21"/>
        <v>0.25615091819633784</v>
      </c>
      <c r="Q57" s="2">
        <f t="shared" ca="1" si="21"/>
        <v>0.20320214128221972</v>
      </c>
      <c r="R57" s="2">
        <f t="shared" ca="1" si="21"/>
        <v>0.23256493259090999</v>
      </c>
      <c r="S57" s="2">
        <f t="shared" ca="1" si="22"/>
        <v>0.27760920030252895</v>
      </c>
      <c r="T57" s="2">
        <f t="shared" ca="1" si="22"/>
        <v>0.20385486794320506</v>
      </c>
      <c r="U57" s="2">
        <f t="shared" ca="1" si="22"/>
        <v>0.21446195071821514</v>
      </c>
      <c r="V57" s="2">
        <f t="shared" ca="1" si="22"/>
        <v>0.2755329793200586</v>
      </c>
      <c r="W57" s="2">
        <f t="shared" ca="1" si="22"/>
        <v>0.27326814291758517</v>
      </c>
      <c r="X57" s="2">
        <f t="shared" ca="1" si="22"/>
        <v>0.20389470556238487</v>
      </c>
      <c r="Y57" s="2">
        <f t="shared" ca="1" si="22"/>
        <v>0.20770912608611233</v>
      </c>
      <c r="Z57" s="2">
        <f t="shared" ca="1" si="20"/>
        <v>0.29148469507516772</v>
      </c>
      <c r="AA57" s="2">
        <f t="shared" ca="1" si="20"/>
        <v>0.28335883580744292</v>
      </c>
      <c r="AB57" s="2">
        <f t="shared" ca="1" si="20"/>
        <v>0.23739692673300086</v>
      </c>
      <c r="AC57" s="2">
        <f t="shared" ca="1" si="20"/>
        <v>0.2467143685435785</v>
      </c>
      <c r="AD57" s="2">
        <f t="shared" ca="1" si="20"/>
        <v>0.24343073063697218</v>
      </c>
      <c r="AE57" s="2">
        <f t="shared" ca="1" si="20"/>
        <v>0.23418028227025353</v>
      </c>
      <c r="AF57" s="2">
        <f t="shared" ca="1" si="20"/>
        <v>0.24793691489792546</v>
      </c>
      <c r="AG57" s="2">
        <f t="shared" ca="1" si="20"/>
        <v>0.28396236601098118</v>
      </c>
      <c r="AH57" s="2">
        <f t="shared" ca="1" si="20"/>
        <v>0.26811268927397902</v>
      </c>
    </row>
    <row r="58" spans="1:34">
      <c r="A58" t="str">
        <f t="shared" si="18"/>
        <v>Coffee</v>
      </c>
      <c r="B58" t="str">
        <f t="shared" si="8"/>
        <v>AddisAbaba</v>
      </c>
      <c r="C58" s="2">
        <f t="shared" ca="1" si="21"/>
        <v>0.28872884680744137</v>
      </c>
      <c r="D58" s="2">
        <f t="shared" ca="1" si="21"/>
        <v>0.20469024008475473</v>
      </c>
      <c r="E58" s="2">
        <f t="shared" ca="1" si="21"/>
        <v>0.29263187290662962</v>
      </c>
      <c r="F58" s="2">
        <f t="shared" ca="1" si="21"/>
        <v>0.29850454106656227</v>
      </c>
      <c r="G58" s="2">
        <f t="shared" ca="1" si="21"/>
        <v>0.21836675791021126</v>
      </c>
      <c r="H58" s="2">
        <f t="shared" ca="1" si="21"/>
        <v>0.27472305579040207</v>
      </c>
      <c r="I58" s="2">
        <f t="shared" ca="1" si="21"/>
        <v>0.28693873605399967</v>
      </c>
      <c r="J58" s="2">
        <f t="shared" ca="1" si="21"/>
        <v>0.22583128449415069</v>
      </c>
      <c r="K58" s="2">
        <f t="shared" ca="1" si="21"/>
        <v>0.22849183658259192</v>
      </c>
      <c r="L58" s="2">
        <f t="shared" ca="1" si="21"/>
        <v>0.20037460867897564</v>
      </c>
      <c r="M58" s="2">
        <f t="shared" ca="1" si="21"/>
        <v>0.27470140051450276</v>
      </c>
      <c r="N58" s="2">
        <f t="shared" ca="1" si="21"/>
        <v>0.27990007434565523</v>
      </c>
      <c r="O58" s="2">
        <f t="shared" ca="1" si="21"/>
        <v>0.24857862249848006</v>
      </c>
      <c r="P58" s="2">
        <f t="shared" ca="1" si="21"/>
        <v>0.24111620155738309</v>
      </c>
      <c r="Q58" s="2">
        <f t="shared" ca="1" si="21"/>
        <v>0.24956819758259485</v>
      </c>
      <c r="R58" s="2">
        <f t="shared" ca="1" si="21"/>
        <v>0.27511298481818419</v>
      </c>
      <c r="S58" s="2">
        <f t="shared" ca="1" si="22"/>
        <v>0.22383367566403775</v>
      </c>
      <c r="T58" s="2">
        <f t="shared" ca="1" si="22"/>
        <v>0.26337414534571035</v>
      </c>
      <c r="U58" s="2">
        <f t="shared" ca="1" si="22"/>
        <v>0.28658430858167194</v>
      </c>
      <c r="V58" s="2">
        <f t="shared" ca="1" si="22"/>
        <v>0.27224831071116629</v>
      </c>
      <c r="W58" s="2">
        <f t="shared" ca="1" si="22"/>
        <v>0.26991980342645466</v>
      </c>
      <c r="X58" s="2">
        <f t="shared" ca="1" si="22"/>
        <v>0.27443204916692437</v>
      </c>
      <c r="Y58" s="2">
        <f t="shared" ca="1" si="22"/>
        <v>0.20741255310567797</v>
      </c>
      <c r="Z58" s="2">
        <f t="shared" ca="1" si="20"/>
        <v>0.20706464973757505</v>
      </c>
      <c r="AA58" s="2">
        <f t="shared" ca="1" si="20"/>
        <v>0.22153914519511164</v>
      </c>
      <c r="AB58" s="2">
        <f t="shared" ca="1" si="20"/>
        <v>0.20878943648972348</v>
      </c>
      <c r="AC58" s="2">
        <f t="shared" ca="1" si="20"/>
        <v>0.28298401813363006</v>
      </c>
      <c r="AD58" s="2">
        <f t="shared" ca="1" si="20"/>
        <v>0.21771739553885483</v>
      </c>
      <c r="AE58" s="2">
        <f t="shared" ca="1" si="20"/>
        <v>0.23406128512596078</v>
      </c>
      <c r="AF58" s="2">
        <f t="shared" ca="1" si="20"/>
        <v>0.2673469803342966</v>
      </c>
      <c r="AG58" s="2">
        <f t="shared" ca="1" si="20"/>
        <v>0.26331776469148138</v>
      </c>
      <c r="AH58" s="2">
        <f t="shared" ca="1" si="20"/>
        <v>0.23439141312191053</v>
      </c>
    </row>
    <row r="59" spans="1:34">
      <c r="A59" t="str">
        <f t="shared" si="18"/>
        <v>Coffee</v>
      </c>
      <c r="B59" t="str">
        <f t="shared" si="8"/>
        <v>Afar</v>
      </c>
      <c r="C59" s="2">
        <f t="shared" ca="1" si="21"/>
        <v>0.25144075568774599</v>
      </c>
      <c r="D59" s="2">
        <f t="shared" ca="1" si="21"/>
        <v>0.29022771871501518</v>
      </c>
      <c r="E59" s="2">
        <f t="shared" ca="1" si="21"/>
        <v>0.25111223828642415</v>
      </c>
      <c r="F59" s="2">
        <f t="shared" ca="1" si="21"/>
        <v>0.20470917732367189</v>
      </c>
      <c r="G59" s="2">
        <f t="shared" ca="1" si="21"/>
        <v>0.23143829858749709</v>
      </c>
      <c r="H59" s="2">
        <f t="shared" ca="1" si="21"/>
        <v>0.27307780921520758</v>
      </c>
      <c r="I59" s="2">
        <f t="shared" ca="1" si="21"/>
        <v>0.20403785070992428</v>
      </c>
      <c r="J59" s="2">
        <f t="shared" ca="1" si="21"/>
        <v>0.22612113754120583</v>
      </c>
      <c r="K59" s="2">
        <f t="shared" ca="1" si="21"/>
        <v>0.28451453358958767</v>
      </c>
      <c r="L59" s="2">
        <f t="shared" ca="1" si="21"/>
        <v>0.2767501504986869</v>
      </c>
      <c r="M59" s="2">
        <f t="shared" ca="1" si="21"/>
        <v>0.25849694435915566</v>
      </c>
      <c r="N59" s="2">
        <f t="shared" ca="1" si="21"/>
        <v>0.25119830368884644</v>
      </c>
      <c r="O59" s="2">
        <f t="shared" ca="1" si="21"/>
        <v>0.27117388638253881</v>
      </c>
      <c r="P59" s="2">
        <f t="shared" ca="1" si="21"/>
        <v>0.25517016298518491</v>
      </c>
      <c r="Q59" s="2">
        <f t="shared" ca="1" si="21"/>
        <v>0.26651219922516683</v>
      </c>
      <c r="R59" s="2">
        <f t="shared" ca="1" si="21"/>
        <v>0.27300089276060696</v>
      </c>
      <c r="S59" s="2">
        <f t="shared" ca="1" si="22"/>
        <v>0.29717120279215292</v>
      </c>
      <c r="T59" s="2">
        <f t="shared" ca="1" si="22"/>
        <v>0.24423032262941996</v>
      </c>
      <c r="U59" s="2">
        <f t="shared" ca="1" si="22"/>
        <v>0.29163089891748756</v>
      </c>
      <c r="V59" s="2">
        <f t="shared" ca="1" si="22"/>
        <v>0.27147611326966331</v>
      </c>
      <c r="W59" s="2">
        <f t="shared" ca="1" si="22"/>
        <v>0.29484102399258794</v>
      </c>
      <c r="X59" s="2">
        <f t="shared" ca="1" si="22"/>
        <v>0.22802222626408988</v>
      </c>
      <c r="Y59" s="2">
        <f t="shared" ca="1" si="22"/>
        <v>0.2709535212158487</v>
      </c>
      <c r="Z59" s="2">
        <f t="shared" ca="1" si="20"/>
        <v>0.24823056170435512</v>
      </c>
      <c r="AA59" s="2">
        <f t="shared" ca="1" si="20"/>
        <v>0.22001907124293174</v>
      </c>
      <c r="AB59" s="2">
        <f t="shared" ca="1" si="20"/>
        <v>0.26219530289363002</v>
      </c>
      <c r="AC59" s="2">
        <f t="shared" ca="1" si="20"/>
        <v>0.24103458074458389</v>
      </c>
      <c r="AD59" s="2">
        <f t="shared" ca="1" si="20"/>
        <v>0.2337975695135559</v>
      </c>
      <c r="AE59" s="2">
        <f t="shared" ca="1" si="20"/>
        <v>0.28545934167437637</v>
      </c>
      <c r="AF59" s="2">
        <f t="shared" ca="1" si="20"/>
        <v>0.27902716235341296</v>
      </c>
      <c r="AG59" s="2">
        <f t="shared" ca="1" si="20"/>
        <v>0.28622739715924522</v>
      </c>
      <c r="AH59" s="2">
        <f t="shared" ca="1" si="20"/>
        <v>0.27943573763967716</v>
      </c>
    </row>
    <row r="60" spans="1:34">
      <c r="A60" t="str">
        <f t="shared" si="18"/>
        <v>Coffee</v>
      </c>
      <c r="B60" t="str">
        <f t="shared" si="8"/>
        <v>Amhara</v>
      </c>
      <c r="C60" s="2">
        <f t="shared" ca="1" si="21"/>
        <v>0.2141905036737867</v>
      </c>
      <c r="D60" s="2">
        <f t="shared" ca="1" si="21"/>
        <v>0.26351017432236296</v>
      </c>
      <c r="E60" s="2">
        <f t="shared" ca="1" si="21"/>
        <v>0.21238905820572185</v>
      </c>
      <c r="F60" s="2">
        <f t="shared" ca="1" si="21"/>
        <v>0.26640790077373133</v>
      </c>
      <c r="G60" s="2">
        <f t="shared" ca="1" si="21"/>
        <v>0.2949115239625214</v>
      </c>
      <c r="H60" s="2">
        <f t="shared" ca="1" si="21"/>
        <v>0.28536508823851192</v>
      </c>
      <c r="I60" s="2">
        <f t="shared" ca="1" si="21"/>
        <v>0.23735195476865345</v>
      </c>
      <c r="J60" s="2">
        <f t="shared" ca="1" si="21"/>
        <v>0.20757922336562606</v>
      </c>
      <c r="K60" s="2">
        <f t="shared" ca="1" si="21"/>
        <v>0.22231397008743889</v>
      </c>
      <c r="L60" s="2">
        <f t="shared" ca="1" si="21"/>
        <v>0.2903328145335371</v>
      </c>
      <c r="M60" s="2">
        <f t="shared" ca="1" si="21"/>
        <v>0.24301441381121272</v>
      </c>
      <c r="N60" s="2">
        <f t="shared" ca="1" si="21"/>
        <v>0.26981173911421497</v>
      </c>
      <c r="O60" s="2">
        <f t="shared" ca="1" si="21"/>
        <v>0.21374033668168971</v>
      </c>
      <c r="P60" s="2">
        <f t="shared" ca="1" si="21"/>
        <v>0.22798205758100226</v>
      </c>
      <c r="Q60" s="2">
        <f t="shared" ca="1" si="21"/>
        <v>0.27101333214523277</v>
      </c>
      <c r="R60" s="2">
        <f t="shared" ca="1" si="21"/>
        <v>0.26992005480207915</v>
      </c>
      <c r="S60" s="2">
        <f t="shared" ca="1" si="22"/>
        <v>0.28728666119567836</v>
      </c>
      <c r="T60" s="2">
        <f t="shared" ca="1" si="22"/>
        <v>0.2800147042544614</v>
      </c>
      <c r="U60" s="2">
        <f t="shared" ca="1" si="22"/>
        <v>0.26746569936744863</v>
      </c>
      <c r="V60" s="2">
        <f t="shared" ca="1" si="22"/>
        <v>0.25212033807554379</v>
      </c>
      <c r="W60" s="2">
        <f t="shared" ca="1" si="22"/>
        <v>0.24912111610594526</v>
      </c>
      <c r="X60" s="2">
        <f t="shared" ca="1" si="22"/>
        <v>0.28966039010212369</v>
      </c>
      <c r="Y60" s="2">
        <f t="shared" ca="1" si="22"/>
        <v>0.21960929403804003</v>
      </c>
      <c r="Z60" s="2">
        <f t="shared" ca="1" si="20"/>
        <v>0.23641609270937919</v>
      </c>
      <c r="AA60" s="2">
        <f t="shared" ca="1" si="20"/>
        <v>0.22338856531481277</v>
      </c>
      <c r="AB60" s="2">
        <f t="shared" ca="1" si="20"/>
        <v>0.23457255756456302</v>
      </c>
      <c r="AC60" s="2">
        <f t="shared" ca="1" si="20"/>
        <v>0.28268294405013877</v>
      </c>
      <c r="AD60" s="2">
        <f t="shared" ca="1" si="20"/>
        <v>0.27935849055729195</v>
      </c>
      <c r="AE60" s="2">
        <f t="shared" ca="1" si="20"/>
        <v>0.21091164362063899</v>
      </c>
      <c r="AF60" s="2">
        <f t="shared" ca="1" si="20"/>
        <v>0.28081240449832734</v>
      </c>
      <c r="AG60" s="2">
        <f t="shared" ca="1" si="20"/>
        <v>0.22604723215478428</v>
      </c>
      <c r="AH60" s="2">
        <f t="shared" ca="1" si="20"/>
        <v>0.28992789296735277</v>
      </c>
    </row>
    <row r="61" spans="1:34">
      <c r="A61" t="str">
        <f t="shared" si="18"/>
        <v>Coffee</v>
      </c>
      <c r="B61" t="str">
        <f t="shared" si="8"/>
        <v>Gumuz</v>
      </c>
      <c r="C61" s="2">
        <f t="shared" ca="1" si="21"/>
        <v>0.28018953662196516</v>
      </c>
      <c r="D61" s="2">
        <f t="shared" ca="1" si="21"/>
        <v>0.20760461757623797</v>
      </c>
      <c r="E61" s="2">
        <f t="shared" ca="1" si="21"/>
        <v>0.29500998239287762</v>
      </c>
      <c r="F61" s="2">
        <f t="shared" ca="1" si="21"/>
        <v>0.20027242013984975</v>
      </c>
      <c r="G61" s="2">
        <f t="shared" ca="1" si="21"/>
        <v>0.2599610551594364</v>
      </c>
      <c r="H61" s="2">
        <f t="shared" ca="1" si="21"/>
        <v>0.25269205845823667</v>
      </c>
      <c r="I61" s="2">
        <f t="shared" ca="1" si="21"/>
        <v>0.23623833414725809</v>
      </c>
      <c r="J61" s="2">
        <f t="shared" ca="1" si="21"/>
        <v>0.23727421762129536</v>
      </c>
      <c r="K61" s="2">
        <f t="shared" ca="1" si="21"/>
        <v>0.22459992322861222</v>
      </c>
      <c r="L61" s="2">
        <f t="shared" ca="1" si="21"/>
        <v>0.2352391707236173</v>
      </c>
      <c r="M61" s="2">
        <f t="shared" ca="1" si="21"/>
        <v>0.21005299869376107</v>
      </c>
      <c r="N61" s="2">
        <f t="shared" ca="1" si="21"/>
        <v>0.23533685644903121</v>
      </c>
      <c r="O61" s="2">
        <f t="shared" ca="1" si="21"/>
        <v>0.28111221763733651</v>
      </c>
      <c r="P61" s="2">
        <f t="shared" ca="1" si="21"/>
        <v>0.22863074937974071</v>
      </c>
      <c r="Q61" s="2">
        <f t="shared" ca="1" si="21"/>
        <v>0.27567389065537801</v>
      </c>
      <c r="R61" s="2">
        <f t="shared" ca="1" si="21"/>
        <v>0.23841975462529982</v>
      </c>
      <c r="S61" s="2">
        <f t="shared" ca="1" si="22"/>
        <v>0.25000401476653306</v>
      </c>
      <c r="T61" s="2">
        <f t="shared" ca="1" si="22"/>
        <v>0.24643972439479148</v>
      </c>
      <c r="U61" s="2">
        <f t="shared" ca="1" si="22"/>
        <v>0.24400156153293226</v>
      </c>
      <c r="V61" s="2">
        <f t="shared" ca="1" si="22"/>
        <v>0.25519669194938194</v>
      </c>
      <c r="W61" s="2">
        <f t="shared" ca="1" si="22"/>
        <v>0.20204340909596644</v>
      </c>
      <c r="X61" s="2">
        <f t="shared" ca="1" si="22"/>
        <v>0.25241963601998874</v>
      </c>
      <c r="Y61" s="2">
        <f t="shared" ca="1" si="22"/>
        <v>0.28224287136937543</v>
      </c>
      <c r="Z61" s="2">
        <f t="shared" ca="1" si="20"/>
        <v>0.22861067122272963</v>
      </c>
      <c r="AA61" s="2">
        <f t="shared" ca="1" si="20"/>
        <v>0.26347141561003662</v>
      </c>
      <c r="AB61" s="2">
        <f t="shared" ca="1" si="20"/>
        <v>0.23896254227935362</v>
      </c>
      <c r="AC61" s="2">
        <f t="shared" ca="1" si="20"/>
        <v>0.29535648440188061</v>
      </c>
      <c r="AD61" s="2">
        <f t="shared" ca="1" si="20"/>
        <v>0.21978901650023641</v>
      </c>
      <c r="AE61" s="2">
        <f t="shared" ca="1" si="20"/>
        <v>0.29389346367993674</v>
      </c>
      <c r="AF61" s="2">
        <f t="shared" ca="1" si="20"/>
        <v>0.2058269474604249</v>
      </c>
      <c r="AG61" s="2">
        <f t="shared" ca="1" si="20"/>
        <v>0.2976461626967738</v>
      </c>
      <c r="AH61" s="2">
        <f t="shared" ca="1" si="20"/>
        <v>0.24611362602134779</v>
      </c>
    </row>
    <row r="62" spans="1:34">
      <c r="A62" t="str">
        <f t="shared" si="18"/>
        <v>Coffee</v>
      </c>
      <c r="B62" t="str">
        <f t="shared" si="8"/>
        <v>DireDawa</v>
      </c>
      <c r="C62" s="2">
        <f t="shared" ca="1" si="21"/>
        <v>0.29803269376531072</v>
      </c>
      <c r="D62" s="2">
        <f t="shared" ca="1" si="21"/>
        <v>0.22997810794078355</v>
      </c>
      <c r="E62" s="2">
        <f t="shared" ca="1" si="21"/>
        <v>0.28734164633010545</v>
      </c>
      <c r="F62" s="2">
        <f t="shared" ca="1" si="21"/>
        <v>0.25747923369851367</v>
      </c>
      <c r="G62" s="2">
        <f t="shared" ca="1" si="21"/>
        <v>0.26082565782346634</v>
      </c>
      <c r="H62" s="2">
        <f t="shared" ca="1" si="21"/>
        <v>0.26525739991390895</v>
      </c>
      <c r="I62" s="2">
        <f t="shared" ca="1" si="21"/>
        <v>0.21418403084898177</v>
      </c>
      <c r="J62" s="2">
        <f t="shared" ca="1" si="21"/>
        <v>0.26210040363607834</v>
      </c>
      <c r="K62" s="2">
        <f t="shared" ca="1" si="21"/>
        <v>0.27190457588157041</v>
      </c>
      <c r="L62" s="2">
        <f t="shared" ca="1" si="21"/>
        <v>0.26024095458535479</v>
      </c>
      <c r="M62" s="2">
        <f t="shared" ca="1" si="21"/>
        <v>0.23621773736618976</v>
      </c>
      <c r="N62" s="2">
        <f t="shared" ca="1" si="21"/>
        <v>0.28737959521406042</v>
      </c>
      <c r="O62" s="2">
        <f t="shared" ca="1" si="21"/>
        <v>0.27360860978744717</v>
      </c>
      <c r="P62" s="2">
        <f t="shared" ca="1" si="21"/>
        <v>0.20038509639500038</v>
      </c>
      <c r="Q62" s="2">
        <f t="shared" ca="1" si="21"/>
        <v>0.25229303322223962</v>
      </c>
      <c r="R62" s="2">
        <f t="shared" ca="1" si="21"/>
        <v>0.23775966441675539</v>
      </c>
      <c r="S62" s="2">
        <f t="shared" ca="1" si="22"/>
        <v>0.27263483406345018</v>
      </c>
      <c r="T62" s="2">
        <f t="shared" ca="1" si="22"/>
        <v>0.21126518803717595</v>
      </c>
      <c r="U62" s="2">
        <f t="shared" ca="1" si="22"/>
        <v>0.22998170305783278</v>
      </c>
      <c r="V62" s="2">
        <f t="shared" ca="1" si="22"/>
        <v>0.22862006360677889</v>
      </c>
      <c r="W62" s="2">
        <f t="shared" ca="1" si="22"/>
        <v>0.27959474848697508</v>
      </c>
      <c r="X62" s="2">
        <f t="shared" ca="1" si="22"/>
        <v>0.20871232379436078</v>
      </c>
      <c r="Y62" s="2">
        <f t="shared" ca="1" si="22"/>
        <v>0.25906938452801415</v>
      </c>
      <c r="Z62" s="2">
        <f t="shared" ca="1" si="20"/>
        <v>0.25180460862159038</v>
      </c>
      <c r="AA62" s="2">
        <f t="shared" ca="1" si="20"/>
        <v>0.24167188056591116</v>
      </c>
      <c r="AB62" s="2">
        <f t="shared" ca="1" si="20"/>
        <v>0.24113180192439249</v>
      </c>
      <c r="AC62" s="2">
        <f t="shared" ca="1" si="20"/>
        <v>0.29817958762720176</v>
      </c>
      <c r="AD62" s="2">
        <f t="shared" ca="1" si="20"/>
        <v>0.23586265161681738</v>
      </c>
      <c r="AE62" s="2">
        <f t="shared" ca="1" si="20"/>
        <v>0.27045827503298192</v>
      </c>
      <c r="AF62" s="2">
        <f t="shared" ca="1" si="20"/>
        <v>0.2375612639270212</v>
      </c>
      <c r="AG62" s="2">
        <f t="shared" ca="1" si="20"/>
        <v>0.29439889213878073</v>
      </c>
      <c r="AH62" s="2">
        <f t="shared" ca="1" si="20"/>
        <v>0.2691472217271606</v>
      </c>
    </row>
    <row r="63" spans="1:34">
      <c r="A63" t="str">
        <f t="shared" si="18"/>
        <v>Coffee</v>
      </c>
      <c r="B63" t="str">
        <f t="shared" si="8"/>
        <v>Gambela</v>
      </c>
      <c r="C63" s="2">
        <f t="shared" ca="1" si="21"/>
        <v>0.24498887467106734</v>
      </c>
      <c r="D63" s="2">
        <f t="shared" ca="1" si="21"/>
        <v>0.22662496305172541</v>
      </c>
      <c r="E63" s="2">
        <f t="shared" ca="1" si="21"/>
        <v>0.26205516714491761</v>
      </c>
      <c r="F63" s="2">
        <f t="shared" ca="1" si="21"/>
        <v>0.20612873961565711</v>
      </c>
      <c r="G63" s="2">
        <f t="shared" ca="1" si="21"/>
        <v>0.26931084651410953</v>
      </c>
      <c r="H63" s="2">
        <f t="shared" ca="1" si="21"/>
        <v>0.20559186052827888</v>
      </c>
      <c r="I63" s="2">
        <f t="shared" ca="1" si="21"/>
        <v>0.25348777222416791</v>
      </c>
      <c r="J63" s="2">
        <f t="shared" ca="1" si="21"/>
        <v>0.22097583240260857</v>
      </c>
      <c r="K63" s="2">
        <f t="shared" ca="1" si="21"/>
        <v>0.29554146077628862</v>
      </c>
      <c r="L63" s="2">
        <f t="shared" ca="1" si="21"/>
        <v>0.23020146591010848</v>
      </c>
      <c r="M63" s="2">
        <f t="shared" ca="1" si="21"/>
        <v>0.23214856469997053</v>
      </c>
      <c r="N63" s="2">
        <f t="shared" ca="1" si="21"/>
        <v>0.29556453626038537</v>
      </c>
      <c r="O63" s="2">
        <f t="shared" ca="1" si="21"/>
        <v>0.28548264721240807</v>
      </c>
      <c r="P63" s="2">
        <f t="shared" ca="1" si="21"/>
        <v>0.25431931656708218</v>
      </c>
      <c r="Q63" s="2">
        <f t="shared" ca="1" si="21"/>
        <v>0.26867371109350713</v>
      </c>
      <c r="R63" s="2">
        <f t="shared" ca="1" si="21"/>
        <v>0.278645441586306</v>
      </c>
      <c r="S63" s="2">
        <f t="shared" ca="1" si="22"/>
        <v>0.26001252917735357</v>
      </c>
      <c r="T63" s="2">
        <f t="shared" ca="1" si="22"/>
        <v>0.27214993077693245</v>
      </c>
      <c r="U63" s="2">
        <f t="shared" ca="1" si="22"/>
        <v>0.29328754436861382</v>
      </c>
      <c r="V63" s="2">
        <f t="shared" ca="1" si="22"/>
        <v>0.28386303024269122</v>
      </c>
      <c r="W63" s="2">
        <f t="shared" ca="1" si="22"/>
        <v>0.29459567616312549</v>
      </c>
      <c r="X63" s="2">
        <f t="shared" ca="1" si="22"/>
        <v>0.24199109614537609</v>
      </c>
      <c r="Y63" s="2">
        <f t="shared" ca="1" si="22"/>
        <v>0.28071955515795</v>
      </c>
      <c r="Z63" s="2">
        <f t="shared" ca="1" si="20"/>
        <v>0.29068162794928143</v>
      </c>
      <c r="AA63" s="2">
        <f t="shared" ca="1" si="20"/>
        <v>0.23522857536393305</v>
      </c>
      <c r="AB63" s="2">
        <f t="shared" ca="1" si="20"/>
        <v>0.26337458332059027</v>
      </c>
      <c r="AC63" s="2">
        <f t="shared" ca="1" si="20"/>
        <v>0.23043814368156768</v>
      </c>
      <c r="AD63" s="2">
        <f t="shared" ca="1" si="20"/>
        <v>0.24032558563736528</v>
      </c>
      <c r="AE63" s="2">
        <f t="shared" ca="1" si="20"/>
        <v>0.22638904715446323</v>
      </c>
      <c r="AF63" s="2">
        <f t="shared" ca="1" si="20"/>
        <v>0.24013684347172107</v>
      </c>
      <c r="AG63" s="2">
        <f t="shared" ca="1" si="20"/>
        <v>0.20714782862884756</v>
      </c>
      <c r="AH63" s="2">
        <f t="shared" ca="1" si="20"/>
        <v>0.24587509341972241</v>
      </c>
    </row>
    <row r="64" spans="1:34">
      <c r="A64" t="str">
        <f t="shared" si="18"/>
        <v>Coffee</v>
      </c>
      <c r="B64" t="str">
        <f t="shared" si="8"/>
        <v>Harari</v>
      </c>
      <c r="C64" s="2">
        <f t="shared" ca="1" si="21"/>
        <v>0.24757546886905579</v>
      </c>
      <c r="D64" s="2">
        <f t="shared" ca="1" si="21"/>
        <v>0.27196095195383718</v>
      </c>
      <c r="E64" s="2">
        <f t="shared" ca="1" si="21"/>
        <v>0.28276330857260257</v>
      </c>
      <c r="F64" s="2">
        <f t="shared" ca="1" si="21"/>
        <v>0.20269035113178471</v>
      </c>
      <c r="G64" s="2">
        <f t="shared" ca="1" si="21"/>
        <v>0.23257403056433196</v>
      </c>
      <c r="H64" s="2">
        <f t="shared" ca="1" si="21"/>
        <v>0.21377732648357875</v>
      </c>
      <c r="I64" s="2">
        <f t="shared" ca="1" si="21"/>
        <v>0.22199570885674724</v>
      </c>
      <c r="J64" s="2">
        <f t="shared" ca="1" si="21"/>
        <v>0.25409944694301706</v>
      </c>
      <c r="K64" s="2">
        <f t="shared" ca="1" si="21"/>
        <v>0.21169277006051918</v>
      </c>
      <c r="L64" s="2">
        <f t="shared" ca="1" si="21"/>
        <v>0.26347137266758397</v>
      </c>
      <c r="M64" s="2">
        <f t="shared" ca="1" si="21"/>
        <v>0.24625679735394909</v>
      </c>
      <c r="N64" s="2">
        <f t="shared" ca="1" si="21"/>
        <v>0.26512907421561227</v>
      </c>
      <c r="O64" s="2">
        <f t="shared" ca="1" si="21"/>
        <v>0.25107795248734721</v>
      </c>
      <c r="P64" s="2">
        <f t="shared" ca="1" si="21"/>
        <v>0.21691918987740186</v>
      </c>
      <c r="Q64" s="2">
        <f t="shared" ca="1" si="21"/>
        <v>0.21226465192227473</v>
      </c>
      <c r="R64" s="2">
        <f t="shared" ca="1" si="21"/>
        <v>0.20375753485592515</v>
      </c>
      <c r="S64" s="2">
        <f t="shared" ca="1" si="22"/>
        <v>0.26663349207226517</v>
      </c>
      <c r="T64" s="2">
        <f t="shared" ca="1" si="22"/>
        <v>0.2159848124673992</v>
      </c>
      <c r="U64" s="2">
        <f t="shared" ca="1" si="22"/>
        <v>0.29476359078761316</v>
      </c>
      <c r="V64" s="2">
        <f t="shared" ca="1" si="22"/>
        <v>0.24054660285278137</v>
      </c>
      <c r="W64" s="2">
        <f t="shared" ca="1" si="22"/>
        <v>0.25465435448579049</v>
      </c>
      <c r="X64" s="2">
        <f t="shared" ca="1" si="22"/>
        <v>0.26829370939605157</v>
      </c>
      <c r="Y64" s="2">
        <f t="shared" ca="1" si="22"/>
        <v>0.22606099801588761</v>
      </c>
      <c r="Z64" s="2">
        <f t="shared" ca="1" si="20"/>
        <v>0.21058974366969713</v>
      </c>
      <c r="AA64" s="2">
        <f t="shared" ca="1" si="20"/>
        <v>0.21661405521833535</v>
      </c>
      <c r="AB64" s="2">
        <f t="shared" ca="1" si="20"/>
        <v>0.27356310806013007</v>
      </c>
      <c r="AC64" s="2">
        <f t="shared" ca="1" si="20"/>
        <v>0.23281089579497058</v>
      </c>
      <c r="AD64" s="2">
        <f t="shared" ca="1" si="20"/>
        <v>0.27751963320371975</v>
      </c>
      <c r="AE64" s="2">
        <f t="shared" ca="1" si="20"/>
        <v>0.21910338003116764</v>
      </c>
      <c r="AF64" s="2">
        <f t="shared" ca="1" si="20"/>
        <v>0.24456848352019875</v>
      </c>
      <c r="AG64" s="2">
        <f t="shared" ca="1" si="20"/>
        <v>0.28305626065069478</v>
      </c>
      <c r="AH64" s="2">
        <f t="shared" ca="1" si="20"/>
        <v>0.25895610884550474</v>
      </c>
    </row>
    <row r="65" spans="1:34">
      <c r="A65" t="str">
        <f t="shared" si="18"/>
        <v>Coffee</v>
      </c>
      <c r="B65" t="str">
        <f t="shared" si="8"/>
        <v>Oromia</v>
      </c>
      <c r="C65" s="2">
        <f t="shared" ca="1" si="21"/>
        <v>0.28376961926200767</v>
      </c>
      <c r="D65" s="2">
        <f t="shared" ca="1" si="21"/>
        <v>0.24440680802998735</v>
      </c>
      <c r="E65" s="2">
        <f t="shared" ca="1" si="21"/>
        <v>0.27411521691773055</v>
      </c>
      <c r="F65" s="2">
        <f t="shared" ca="1" si="21"/>
        <v>0.2059897451085308</v>
      </c>
      <c r="G65" s="2">
        <f t="shared" ca="1" si="21"/>
        <v>0.21515748143147545</v>
      </c>
      <c r="H65" s="2">
        <f t="shared" ca="1" si="21"/>
        <v>0.25025017448354547</v>
      </c>
      <c r="I65" s="2">
        <f t="shared" ca="1" si="21"/>
        <v>0.26284892406954108</v>
      </c>
      <c r="J65" s="2">
        <f t="shared" ca="1" si="21"/>
        <v>0.22498615111669346</v>
      </c>
      <c r="K65" s="2">
        <f t="shared" ca="1" si="21"/>
        <v>0.23356258474027536</v>
      </c>
      <c r="L65" s="2">
        <f t="shared" ca="1" si="21"/>
        <v>0.27454107270922973</v>
      </c>
      <c r="M65" s="2">
        <f t="shared" ca="1" si="21"/>
        <v>0.26552204612422425</v>
      </c>
      <c r="N65" s="2">
        <f t="shared" ca="1" si="21"/>
        <v>0.21022012823506411</v>
      </c>
      <c r="O65" s="2">
        <f t="shared" ca="1" si="21"/>
        <v>0.21298062620029562</v>
      </c>
      <c r="P65" s="2">
        <f t="shared" ca="1" si="21"/>
        <v>0.28198315988873918</v>
      </c>
      <c r="Q65" s="2">
        <f t="shared" ca="1" si="21"/>
        <v>0.26888821234554655</v>
      </c>
      <c r="R65" s="2">
        <f t="shared" ca="1" si="21"/>
        <v>0.2765442869991197</v>
      </c>
      <c r="S65" s="2">
        <f t="shared" ca="1" si="22"/>
        <v>0.20882790982812799</v>
      </c>
      <c r="T65" s="2">
        <f t="shared" ca="1" si="22"/>
        <v>0.23876126231893804</v>
      </c>
      <c r="U65" s="2">
        <f t="shared" ca="1" si="22"/>
        <v>0.29862912495501809</v>
      </c>
      <c r="V65" s="2">
        <f t="shared" ca="1" si="22"/>
        <v>0.25579398065209741</v>
      </c>
      <c r="W65" s="2">
        <f t="shared" ca="1" si="22"/>
        <v>0.288673560161746</v>
      </c>
      <c r="X65" s="2">
        <f t="shared" ca="1" si="22"/>
        <v>0.26376014579747398</v>
      </c>
      <c r="Y65" s="2">
        <f t="shared" ca="1" si="22"/>
        <v>0.29036906072315277</v>
      </c>
      <c r="Z65" s="2">
        <f t="shared" ca="1" si="20"/>
        <v>0.23504051830658348</v>
      </c>
      <c r="AA65" s="2">
        <f t="shared" ca="1" si="20"/>
        <v>0.20749753498828491</v>
      </c>
      <c r="AB65" s="2">
        <f t="shared" ca="1" si="20"/>
        <v>0.29838093441291602</v>
      </c>
      <c r="AC65" s="2">
        <f t="shared" ca="1" si="20"/>
        <v>0.21060787959734628</v>
      </c>
      <c r="AD65" s="2">
        <f t="shared" ca="1" si="20"/>
        <v>0.28521625485628599</v>
      </c>
      <c r="AE65" s="2">
        <f t="shared" ca="1" si="20"/>
        <v>0.2281008271520571</v>
      </c>
      <c r="AF65" s="2">
        <f t="shared" ca="1" si="20"/>
        <v>0.20058279069138901</v>
      </c>
      <c r="AG65" s="2">
        <f t="shared" ca="1" si="20"/>
        <v>0.22975043304354531</v>
      </c>
      <c r="AH65" s="2">
        <f t="shared" ca="1" si="20"/>
        <v>0.26744508562670188</v>
      </c>
    </row>
    <row r="66" spans="1:34">
      <c r="A66" t="str">
        <f t="shared" si="18"/>
        <v>Coffee</v>
      </c>
      <c r="B66" t="str">
        <f t="shared" si="8"/>
        <v>Somali</v>
      </c>
      <c r="C66" s="2">
        <f t="shared" ca="1" si="21"/>
        <v>0.27844366705211371</v>
      </c>
      <c r="D66" s="2">
        <f t="shared" ca="1" si="21"/>
        <v>0.22451014129334701</v>
      </c>
      <c r="E66" s="2">
        <f t="shared" ca="1" si="21"/>
        <v>0.23959300342576234</v>
      </c>
      <c r="F66" s="2">
        <f t="shared" ca="1" si="21"/>
        <v>0.26078242789701062</v>
      </c>
      <c r="G66" s="2">
        <f t="shared" ca="1" si="21"/>
        <v>0.25397119543526209</v>
      </c>
      <c r="H66" s="2">
        <f t="shared" ca="1" si="21"/>
        <v>0.22433955781387924</v>
      </c>
      <c r="I66" s="2">
        <f t="shared" ca="1" si="21"/>
        <v>0.22178537127495482</v>
      </c>
      <c r="J66" s="2">
        <f t="shared" ca="1" si="21"/>
        <v>0.23195041820586029</v>
      </c>
      <c r="K66" s="2">
        <f t="shared" ca="1" si="21"/>
        <v>0.2606234063636238</v>
      </c>
      <c r="L66" s="2">
        <f t="shared" ca="1" si="21"/>
        <v>0.23457497787828507</v>
      </c>
      <c r="M66" s="2">
        <f t="shared" ca="1" si="21"/>
        <v>0.23491403756611462</v>
      </c>
      <c r="N66" s="2">
        <f t="shared" ca="1" si="21"/>
        <v>0.25867588640990252</v>
      </c>
      <c r="O66" s="2">
        <f t="shared" ca="1" si="21"/>
        <v>0.26861061922406021</v>
      </c>
      <c r="P66" s="2">
        <f t="shared" ca="1" si="21"/>
        <v>0.29570176066291587</v>
      </c>
      <c r="Q66" s="2">
        <f t="shared" ca="1" si="21"/>
        <v>0.27283614959151437</v>
      </c>
      <c r="R66" s="2">
        <f t="shared" ca="1" si="21"/>
        <v>0.2149262549249924</v>
      </c>
      <c r="S66" s="2">
        <f t="shared" ca="1" si="22"/>
        <v>0.28693030126831115</v>
      </c>
      <c r="T66" s="2">
        <f t="shared" ca="1" si="22"/>
        <v>0.20419921123823045</v>
      </c>
      <c r="U66" s="2">
        <f t="shared" ca="1" si="22"/>
        <v>0.2043853202799612</v>
      </c>
      <c r="V66" s="2">
        <f t="shared" ca="1" si="22"/>
        <v>0.27189687561406622</v>
      </c>
      <c r="W66" s="2">
        <f t="shared" ca="1" si="22"/>
        <v>0.20852618161690611</v>
      </c>
      <c r="X66" s="2">
        <f t="shared" ca="1" si="22"/>
        <v>0.24619925703285439</v>
      </c>
      <c r="Y66" s="2">
        <f t="shared" ca="1" si="22"/>
        <v>0.26231795965907578</v>
      </c>
      <c r="Z66" s="2">
        <f t="shared" ca="1" si="20"/>
        <v>0.22905751361201424</v>
      </c>
      <c r="AA66" s="2">
        <f t="shared" ca="1" si="20"/>
        <v>0.21771727457899759</v>
      </c>
      <c r="AB66" s="2">
        <f t="shared" ca="1" si="20"/>
        <v>0.22360677999945491</v>
      </c>
      <c r="AC66" s="2">
        <f t="shared" ca="1" si="20"/>
        <v>0.22667112805836509</v>
      </c>
      <c r="AD66" s="2">
        <f t="shared" ca="1" si="20"/>
        <v>0.23345515465423386</v>
      </c>
      <c r="AE66" s="2">
        <f t="shared" ca="1" si="20"/>
        <v>0.2197694846153698</v>
      </c>
      <c r="AF66" s="2">
        <f t="shared" ca="1" si="20"/>
        <v>0.21537564193425751</v>
      </c>
      <c r="AG66" s="2">
        <f t="shared" ca="1" si="20"/>
        <v>0.28583634023926802</v>
      </c>
      <c r="AH66" s="2">
        <f t="shared" ca="1" si="20"/>
        <v>0.26408543187135181</v>
      </c>
    </row>
    <row r="67" spans="1:34">
      <c r="A67" t="str">
        <f t="shared" si="18"/>
        <v>Coffee</v>
      </c>
      <c r="B67" t="str">
        <f t="shared" si="8"/>
        <v>SNNPR</v>
      </c>
      <c r="C67" s="2">
        <f t="shared" ca="1" si="21"/>
        <v>0.29039418914358084</v>
      </c>
      <c r="D67" s="2">
        <f t="shared" ca="1" si="21"/>
        <v>0.23491874644196459</v>
      </c>
      <c r="E67" s="2">
        <f t="shared" ca="1" si="21"/>
        <v>0.29944911727390827</v>
      </c>
      <c r="F67" s="2">
        <f t="shared" ca="1" si="21"/>
        <v>0.25472963726980402</v>
      </c>
      <c r="G67" s="2">
        <f t="shared" ca="1" si="21"/>
        <v>0.28180279316326573</v>
      </c>
      <c r="H67" s="2">
        <f t="shared" ca="1" si="21"/>
        <v>0.28590190623428102</v>
      </c>
      <c r="I67" s="2">
        <f t="shared" ca="1" si="21"/>
        <v>0.23167028743554968</v>
      </c>
      <c r="J67" s="2">
        <f t="shared" ca="1" si="21"/>
        <v>0.23368946124949055</v>
      </c>
      <c r="K67" s="2">
        <f t="shared" ca="1" si="21"/>
        <v>0.25433466828424961</v>
      </c>
      <c r="L67" s="2">
        <f t="shared" ca="1" si="21"/>
        <v>0.25448091913269083</v>
      </c>
      <c r="M67" s="2">
        <f t="shared" ca="1" si="21"/>
        <v>0.23609034610189031</v>
      </c>
      <c r="N67" s="2">
        <f t="shared" ca="1" si="21"/>
        <v>0.27893993192195815</v>
      </c>
      <c r="O67" s="2">
        <f t="shared" ca="1" si="21"/>
        <v>0.28976825999766376</v>
      </c>
      <c r="P67" s="2">
        <f t="shared" ca="1" si="21"/>
        <v>0.22694485287551092</v>
      </c>
      <c r="Q67" s="2">
        <f t="shared" ca="1" si="21"/>
        <v>0.20485660777431575</v>
      </c>
      <c r="R67" s="2">
        <f t="shared" ca="1" si="21"/>
        <v>0.2366758832852682</v>
      </c>
      <c r="S67" s="2">
        <f t="shared" ca="1" si="22"/>
        <v>0.27578272965165312</v>
      </c>
      <c r="T67" s="2">
        <f t="shared" ca="1" si="22"/>
        <v>0.25468730328567835</v>
      </c>
      <c r="U67" s="2">
        <f t="shared" ca="1" si="22"/>
        <v>0.24656670630273408</v>
      </c>
      <c r="V67" s="2">
        <f t="shared" ca="1" si="22"/>
        <v>0.20732713756869425</v>
      </c>
      <c r="W67" s="2">
        <f t="shared" ca="1" si="22"/>
        <v>0.20898145596696094</v>
      </c>
      <c r="X67" s="2">
        <f t="shared" ca="1" si="22"/>
        <v>0.24497067162752484</v>
      </c>
      <c r="Y67" s="2">
        <f t="shared" ca="1" si="22"/>
        <v>0.2022599559789251</v>
      </c>
      <c r="Z67" s="2">
        <f t="shared" ca="1" si="20"/>
        <v>0.26924393004860026</v>
      </c>
      <c r="AA67" s="2">
        <f t="shared" ca="1" si="20"/>
        <v>0.28589024383856049</v>
      </c>
      <c r="AB67" s="2">
        <f t="shared" ca="1" si="20"/>
        <v>0.20851667390978629</v>
      </c>
      <c r="AC67" s="2">
        <f t="shared" ca="1" si="20"/>
        <v>0.2027395377713099</v>
      </c>
      <c r="AD67" s="2">
        <f t="shared" ca="1" si="20"/>
        <v>0.24255503030607731</v>
      </c>
      <c r="AE67" s="2">
        <f t="shared" ca="1" si="20"/>
        <v>0.27457032730773195</v>
      </c>
      <c r="AF67" s="2">
        <f t="shared" ca="1" si="20"/>
        <v>0.21351859403912585</v>
      </c>
      <c r="AG67" s="2">
        <f t="shared" ca="1" si="20"/>
        <v>0.20189533711974145</v>
      </c>
      <c r="AH67" s="2">
        <f t="shared" ca="1" si="20"/>
        <v>0.2095460087287026</v>
      </c>
    </row>
    <row r="68" spans="1:34">
      <c r="A68" t="str">
        <f t="shared" si="18"/>
        <v>Coffee</v>
      </c>
      <c r="B68" t="str">
        <f t="shared" si="8"/>
        <v>Tigray</v>
      </c>
      <c r="C68" s="2">
        <f t="shared" ca="1" si="21"/>
        <v>0.20797239793741309</v>
      </c>
      <c r="D68" s="2">
        <f t="shared" ca="1" si="21"/>
        <v>0.24521947151262657</v>
      </c>
      <c r="E68" s="2">
        <f t="shared" ca="1" si="21"/>
        <v>0.24157514835111038</v>
      </c>
      <c r="F68" s="2">
        <f t="shared" ca="1" si="21"/>
        <v>0.24942302973441713</v>
      </c>
      <c r="G68" s="2">
        <f t="shared" ca="1" si="21"/>
        <v>0.25498783045530737</v>
      </c>
      <c r="H68" s="2">
        <f t="shared" ca="1" si="21"/>
        <v>0.21129319254434262</v>
      </c>
      <c r="I68" s="2">
        <f t="shared" ca="1" si="21"/>
        <v>0.21908388296365119</v>
      </c>
      <c r="J68" s="2">
        <f t="shared" ca="1" si="21"/>
        <v>0.2242030881455073</v>
      </c>
      <c r="K68" s="2">
        <f t="shared" ca="1" si="21"/>
        <v>0.21235751708988709</v>
      </c>
      <c r="L68" s="2">
        <f t="shared" ca="1" si="21"/>
        <v>0.23901991618137544</v>
      </c>
      <c r="M68" s="2">
        <f t="shared" ca="1" si="21"/>
        <v>0.29247922637690832</v>
      </c>
      <c r="N68" s="2">
        <f t="shared" ca="1" si="21"/>
        <v>0.21918067656051371</v>
      </c>
      <c r="O68" s="2">
        <f t="shared" ca="1" si="21"/>
        <v>0.23182696864029242</v>
      </c>
      <c r="P68" s="2">
        <f t="shared" ca="1" si="21"/>
        <v>0.29605485863291953</v>
      </c>
      <c r="Q68" s="2">
        <f t="shared" ca="1" si="21"/>
        <v>0.21328124733141193</v>
      </c>
      <c r="R68" s="2">
        <f t="shared" ref="R68:AH68" ca="1" si="23">RAND()*0.1+0.2</f>
        <v>0.27230033086789218</v>
      </c>
      <c r="S68" s="2">
        <f t="shared" ca="1" si="23"/>
        <v>0.29449916286934741</v>
      </c>
      <c r="T68" s="2">
        <f t="shared" ca="1" si="23"/>
        <v>0.24483589190424829</v>
      </c>
      <c r="U68" s="2">
        <f t="shared" ca="1" si="23"/>
        <v>0.2325633392041129</v>
      </c>
      <c r="V68" s="2">
        <f t="shared" ca="1" si="23"/>
        <v>0.26434858028124553</v>
      </c>
      <c r="W68" s="2">
        <f t="shared" ca="1" si="23"/>
        <v>0.21646069496770529</v>
      </c>
      <c r="X68" s="2">
        <f t="shared" ca="1" si="23"/>
        <v>0.21914860679266943</v>
      </c>
      <c r="Y68" s="2">
        <f t="shared" ca="1" si="23"/>
        <v>0.21876726532272678</v>
      </c>
      <c r="Z68" s="2">
        <f t="shared" ca="1" si="23"/>
        <v>0.26195819536542492</v>
      </c>
      <c r="AA68" s="2">
        <f t="shared" ca="1" si="23"/>
        <v>0.29316847668641555</v>
      </c>
      <c r="AB68" s="2">
        <f t="shared" ca="1" si="23"/>
        <v>0.26240955801472837</v>
      </c>
      <c r="AC68" s="2">
        <f t="shared" ca="1" si="23"/>
        <v>0.22707127757837248</v>
      </c>
      <c r="AD68" s="2">
        <f t="shared" ca="1" si="23"/>
        <v>0.24168278656841394</v>
      </c>
      <c r="AE68" s="2">
        <f t="shared" ca="1" si="23"/>
        <v>0.20318612458980953</v>
      </c>
      <c r="AF68" s="2">
        <f t="shared" ca="1" si="23"/>
        <v>0.21258962773731993</v>
      </c>
      <c r="AG68" s="2">
        <f t="shared" ca="1" si="23"/>
        <v>0.26956696857055928</v>
      </c>
      <c r="AH68" s="2">
        <f t="shared" ca="1" si="23"/>
        <v>0.29582770693903171</v>
      </c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71"/>
  <sheetViews>
    <sheetView topLeftCell="A127" zoomScale="85" zoomScaleNormal="85" workbookViewId="0">
      <selection activeCell="F132" sqref="F132"/>
    </sheetView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34">
      <c r="C1">
        <f>CYF!C1</f>
        <v>2015</v>
      </c>
      <c r="D1">
        <f>CYF!D1</f>
        <v>2015</v>
      </c>
      <c r="E1">
        <f>CYF!E1</f>
        <v>2016</v>
      </c>
      <c r="F1">
        <f>CYF!F1</f>
        <v>2016</v>
      </c>
      <c r="G1">
        <f>CYF!G1</f>
        <v>2017</v>
      </c>
      <c r="H1">
        <f>CYF!H1</f>
        <v>2017</v>
      </c>
      <c r="I1">
        <f>CYF!I1</f>
        <v>2018</v>
      </c>
      <c r="J1">
        <f>CYF!J1</f>
        <v>2018</v>
      </c>
      <c r="K1">
        <f>CYF!K1</f>
        <v>2019</v>
      </c>
      <c r="L1">
        <f>CYF!L1</f>
        <v>2019</v>
      </c>
      <c r="M1">
        <f>CYF!M1</f>
        <v>2020</v>
      </c>
      <c r="N1">
        <f>CYF!N1</f>
        <v>2020</v>
      </c>
      <c r="O1">
        <f>CYF!O1</f>
        <v>2021</v>
      </c>
      <c r="P1">
        <f>CYF!P1</f>
        <v>2021</v>
      </c>
      <c r="Q1">
        <f>CYF!Q1</f>
        <v>2022</v>
      </c>
      <c r="R1">
        <f>CYF!R1</f>
        <v>2022</v>
      </c>
      <c r="S1">
        <f>CYF!S1</f>
        <v>2023</v>
      </c>
      <c r="T1">
        <f>CYF!T1</f>
        <v>2023</v>
      </c>
      <c r="U1">
        <f>CYF!U1</f>
        <v>2024</v>
      </c>
      <c r="V1">
        <f>CYF!V1</f>
        <v>2024</v>
      </c>
      <c r="W1">
        <f>CYF!W1</f>
        <v>2025</v>
      </c>
      <c r="X1">
        <f>CYF!X1</f>
        <v>2025</v>
      </c>
      <c r="Y1">
        <f>CYF!Y1</f>
        <v>2026</v>
      </c>
      <c r="Z1">
        <f>CYF!Z1</f>
        <v>2026</v>
      </c>
      <c r="AA1">
        <f>CYF!AA1</f>
        <v>2027</v>
      </c>
      <c r="AB1">
        <f>CYF!AB1</f>
        <v>2027</v>
      </c>
      <c r="AC1">
        <f>CYF!AC1</f>
        <v>2028</v>
      </c>
      <c r="AD1">
        <f>CYF!AD1</f>
        <v>2028</v>
      </c>
      <c r="AE1">
        <f>CYF!AE1</f>
        <v>2029</v>
      </c>
      <c r="AF1">
        <f>CYF!AF1</f>
        <v>2029</v>
      </c>
      <c r="AG1">
        <f>CYF!AG1</f>
        <v>2030</v>
      </c>
      <c r="AH1">
        <f>CYF!AH1</f>
        <v>2030</v>
      </c>
    </row>
    <row r="2" spans="1:34">
      <c r="C2" t="str">
        <f>CYF!C2</f>
        <v>Belg</v>
      </c>
      <c r="D2" t="str">
        <f>CYF!D2</f>
        <v>Kremt</v>
      </c>
      <c r="E2" t="str">
        <f>CYF!E2</f>
        <v>Belg</v>
      </c>
      <c r="F2" t="str">
        <f>CYF!F2</f>
        <v>Kremt</v>
      </c>
      <c r="G2" t="str">
        <f>CYF!G2</f>
        <v>Belg</v>
      </c>
      <c r="H2" t="str">
        <f>CYF!H2</f>
        <v>Kremt</v>
      </c>
      <c r="I2" t="str">
        <f>CYF!I2</f>
        <v>Belg</v>
      </c>
      <c r="J2" t="str">
        <f>CYF!J2</f>
        <v>Kremt</v>
      </c>
      <c r="K2" t="str">
        <f>CYF!K2</f>
        <v>Belg</v>
      </c>
      <c r="L2" t="str">
        <f>CYF!L2</f>
        <v>Kremt</v>
      </c>
      <c r="M2" t="str">
        <f>CYF!M2</f>
        <v>Belg</v>
      </c>
      <c r="N2" t="str">
        <f>CYF!N2</f>
        <v>Kremt</v>
      </c>
      <c r="O2" t="str">
        <f>CYF!O2</f>
        <v>Belg</v>
      </c>
      <c r="P2" t="str">
        <f>CYF!P2</f>
        <v>Kremt</v>
      </c>
      <c r="Q2" t="str">
        <f>CYF!Q2</f>
        <v>Belg</v>
      </c>
      <c r="R2" t="str">
        <f>CYF!R2</f>
        <v>Kremt</v>
      </c>
      <c r="S2" t="str">
        <f>CYF!S2</f>
        <v>Belg</v>
      </c>
      <c r="T2" t="str">
        <f>CYF!T2</f>
        <v>Kremt</v>
      </c>
      <c r="U2" t="str">
        <f>CYF!U2</f>
        <v>Belg</v>
      </c>
      <c r="V2" t="str">
        <f>CYF!V2</f>
        <v>Kremt</v>
      </c>
      <c r="W2" t="str">
        <f>CYF!W2</f>
        <v>Belg</v>
      </c>
      <c r="X2" t="str">
        <f>CYF!X2</f>
        <v>Kremt</v>
      </c>
      <c r="Y2" t="str">
        <f>CYF!Y2</f>
        <v>Belg</v>
      </c>
      <c r="Z2" t="str">
        <f>CYF!Z2</f>
        <v>Kremt</v>
      </c>
      <c r="AA2" t="str">
        <f>CYF!AA2</f>
        <v>Belg</v>
      </c>
      <c r="AB2" t="str">
        <f>CYF!AB2</f>
        <v>Kremt</v>
      </c>
      <c r="AC2" t="str">
        <f>CYF!AC2</f>
        <v>Belg</v>
      </c>
      <c r="AD2" t="str">
        <f>CYF!AD2</f>
        <v>Kremt</v>
      </c>
      <c r="AE2" t="str">
        <f>CYF!AE2</f>
        <v>Belg</v>
      </c>
      <c r="AF2" t="str">
        <f>CYF!AF2</f>
        <v>Kremt</v>
      </c>
      <c r="AG2" t="str">
        <f>CYF!AG2</f>
        <v>Belg</v>
      </c>
      <c r="AH2" t="str">
        <f>CYF!AH2</f>
        <v>Kremt</v>
      </c>
    </row>
    <row r="3" spans="1:34">
      <c r="A3" t="str">
        <f>CYF!A3</f>
        <v>Teff</v>
      </c>
      <c r="B3" t="str">
        <f>CYF!B3</f>
        <v>AddisAbaba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</row>
    <row r="4" spans="1:34">
      <c r="A4" t="str">
        <f>CYF!A4</f>
        <v>Teff</v>
      </c>
      <c r="B4" t="str">
        <f>CYF!B4</f>
        <v>Afar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</row>
    <row r="5" spans="1:34">
      <c r="A5" t="str">
        <f>CYF!A5</f>
        <v>Teff</v>
      </c>
      <c r="B5" t="str">
        <f>CYF!B5</f>
        <v>Amhara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</row>
    <row r="6" spans="1:34">
      <c r="A6" t="str">
        <f>CYF!A6</f>
        <v>Teff</v>
      </c>
      <c r="B6" t="str">
        <f>CYF!B6</f>
        <v>Gumuz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</row>
    <row r="7" spans="1:34">
      <c r="A7" t="str">
        <f>CYF!A7</f>
        <v>Teff</v>
      </c>
      <c r="B7" t="str">
        <f>CYF!B7</f>
        <v>DireDawa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</row>
    <row r="8" spans="1:34">
      <c r="A8" t="str">
        <f>CYF!A8</f>
        <v>Teff</v>
      </c>
      <c r="B8" t="str">
        <f>CYF!B8</f>
        <v>Gambela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</row>
    <row r="9" spans="1:34">
      <c r="A9" t="str">
        <f>CYF!A9</f>
        <v>Teff</v>
      </c>
      <c r="B9" t="str">
        <f>CYF!B9</f>
        <v>Harari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</row>
    <row r="10" spans="1:34">
      <c r="A10" t="str">
        <f>CYF!A10</f>
        <v>Teff</v>
      </c>
      <c r="B10" t="str">
        <f>CYF!B10</f>
        <v>Oromia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</row>
    <row r="11" spans="1:34">
      <c r="A11" t="str">
        <f>CYF!A11</f>
        <v>Teff</v>
      </c>
      <c r="B11" t="str">
        <f>CYF!B11</f>
        <v>Somali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</row>
    <row r="12" spans="1:34">
      <c r="A12" t="str">
        <f>CYF!A12</f>
        <v>Teff</v>
      </c>
      <c r="B12" t="str">
        <f>CYF!B12</f>
        <v>SNNPR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</row>
    <row r="13" spans="1:34">
      <c r="A13" t="str">
        <f>CYF!A13</f>
        <v>Teff</v>
      </c>
      <c r="B13" t="str">
        <f>CYF!B13</f>
        <v>Tigray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</row>
    <row r="14" spans="1:34">
      <c r="A14" t="str">
        <f>CYF!A14</f>
        <v>Sorghum</v>
      </c>
      <c r="B14" t="str">
        <f>CYF!B14</f>
        <v>AddisAbaba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</row>
    <row r="15" spans="1:34">
      <c r="A15" t="str">
        <f>CYF!A15</f>
        <v>Sorghum</v>
      </c>
      <c r="B15" t="str">
        <f>CYF!B15</f>
        <v>Afar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</row>
    <row r="16" spans="1:34">
      <c r="A16" t="str">
        <f>CYF!A16</f>
        <v>Sorghum</v>
      </c>
      <c r="B16" t="str">
        <f>CYF!B16</f>
        <v>Amhara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</row>
    <row r="17" spans="1:34">
      <c r="A17" t="str">
        <f>CYF!A17</f>
        <v>Sorghum</v>
      </c>
      <c r="B17" t="str">
        <f>CYF!B17</f>
        <v>Gumuz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</row>
    <row r="18" spans="1:34">
      <c r="A18" t="str">
        <f>CYF!A18</f>
        <v>Sorghum</v>
      </c>
      <c r="B18" t="str">
        <f>CYF!B18</f>
        <v>DireDawa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</row>
    <row r="19" spans="1:34">
      <c r="A19" t="str">
        <f>CYF!A19</f>
        <v>Sorghum</v>
      </c>
      <c r="B19" t="str">
        <f>CYF!B19</f>
        <v>Gambela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</row>
    <row r="20" spans="1:34">
      <c r="A20" t="str">
        <f>CYF!A20</f>
        <v>Sorghum</v>
      </c>
      <c r="B20" t="str">
        <f>CYF!B20</f>
        <v>Harari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</row>
    <row r="21" spans="1:34">
      <c r="A21" t="str">
        <f>CYF!A21</f>
        <v>Sorghum</v>
      </c>
      <c r="B21" t="str">
        <f>CYF!B21</f>
        <v>Oromia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</row>
    <row r="22" spans="1:34">
      <c r="A22" t="str">
        <f>CYF!A22</f>
        <v>Sorghum</v>
      </c>
      <c r="B22" t="str">
        <f>CYF!B22</f>
        <v>Somali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</row>
    <row r="23" spans="1:34">
      <c r="A23" t="str">
        <f>CYF!A23</f>
        <v>Sorghum</v>
      </c>
      <c r="B23" t="str">
        <f>CYF!B23</f>
        <v>SNNPR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</row>
    <row r="24" spans="1:34">
      <c r="A24" t="str">
        <f>CYF!A24</f>
        <v>Sorghum</v>
      </c>
      <c r="B24" t="str">
        <f>CYF!B24</f>
        <v>Tigray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</row>
    <row r="25" spans="1:34">
      <c r="A25" t="str">
        <f>CYF!A25</f>
        <v>Maize</v>
      </c>
      <c r="B25" t="str">
        <f>CYF!B25</f>
        <v>AddisAbaba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</row>
    <row r="26" spans="1:34">
      <c r="A26" t="str">
        <f>CYF!A26</f>
        <v>Maize</v>
      </c>
      <c r="B26" t="str">
        <f>CYF!B26</f>
        <v>Afar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</row>
    <row r="27" spans="1:34">
      <c r="A27" t="str">
        <f>CYF!A27</f>
        <v>Maize</v>
      </c>
      <c r="B27" t="str">
        <f>CYF!B27</f>
        <v>Amhara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</row>
    <row r="28" spans="1:34">
      <c r="A28" t="str">
        <f>CYF!A28</f>
        <v>Maize</v>
      </c>
      <c r="B28" t="str">
        <f>CYF!B28</f>
        <v>Gumuz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</row>
    <row r="29" spans="1:34">
      <c r="A29" t="str">
        <f>CYF!A29</f>
        <v>Maize</v>
      </c>
      <c r="B29" t="str">
        <f>CYF!B29</f>
        <v>DireDawa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</row>
    <row r="30" spans="1:34">
      <c r="A30" t="str">
        <f>CYF!A30</f>
        <v>Maize</v>
      </c>
      <c r="B30" t="str">
        <f>CYF!B30</f>
        <v>Gambela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</row>
    <row r="31" spans="1:34">
      <c r="A31" t="str">
        <f>CYF!A31</f>
        <v>Maize</v>
      </c>
      <c r="B31" t="str">
        <f>CYF!B31</f>
        <v>Harari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</row>
    <row r="32" spans="1:34">
      <c r="A32" t="str">
        <f>CYF!A32</f>
        <v>Maize</v>
      </c>
      <c r="B32" t="str">
        <f>CYF!B32</f>
        <v>Oromia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</row>
    <row r="33" spans="1:34">
      <c r="A33" t="str">
        <f>CYF!A33</f>
        <v>Maize</v>
      </c>
      <c r="B33" t="str">
        <f>CYF!B33</f>
        <v>Somali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</row>
    <row r="34" spans="1:34">
      <c r="A34" t="str">
        <f>CYF!A34</f>
        <v>Maize</v>
      </c>
      <c r="B34" t="str">
        <f>CYF!B34</f>
        <v>SNNPR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</row>
    <row r="35" spans="1:34">
      <c r="A35" t="str">
        <f>CYF!A35</f>
        <v>Maize</v>
      </c>
      <c r="B35" t="str">
        <f>CYF!B35</f>
        <v>Tigray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</row>
    <row r="36" spans="1:34">
      <c r="A36" t="str">
        <f>CYF!A36</f>
        <v>Lentils</v>
      </c>
      <c r="B36" t="str">
        <f>CYF!B36</f>
        <v>AddisAbaba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</row>
    <row r="37" spans="1:34">
      <c r="A37" t="str">
        <f>CYF!A37</f>
        <v>Lentils</v>
      </c>
      <c r="B37" t="str">
        <f>CYF!B37</f>
        <v>Afar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</row>
    <row r="38" spans="1:34">
      <c r="A38" t="str">
        <f>CYF!A38</f>
        <v>Lentils</v>
      </c>
      <c r="B38" t="str">
        <f>CYF!B38</f>
        <v>Amhara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</row>
    <row r="39" spans="1:34">
      <c r="A39" t="str">
        <f>CYF!A39</f>
        <v>Lentils</v>
      </c>
      <c r="B39" t="str">
        <f>CYF!B39</f>
        <v>Gumuz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</row>
    <row r="40" spans="1:34">
      <c r="A40" t="str">
        <f>CYF!A40</f>
        <v>Lentils</v>
      </c>
      <c r="B40" t="str">
        <f>CYF!B40</f>
        <v>DireDawa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</row>
    <row r="41" spans="1:34">
      <c r="A41" t="str">
        <f>CYF!A41</f>
        <v>Lentils</v>
      </c>
      <c r="B41" t="str">
        <f>CYF!B41</f>
        <v>Gambela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</row>
    <row r="42" spans="1:34">
      <c r="A42" t="str">
        <f>CYF!A42</f>
        <v>Lentils</v>
      </c>
      <c r="B42" t="str">
        <f>CYF!B42</f>
        <v>Harari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</row>
    <row r="43" spans="1:34">
      <c r="A43" t="str">
        <f>CYF!A43</f>
        <v>Lentils</v>
      </c>
      <c r="B43" t="str">
        <f>CYF!B43</f>
        <v>Oromia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</row>
    <row r="44" spans="1:34">
      <c r="A44" t="str">
        <f>CYF!A44</f>
        <v>Lentils</v>
      </c>
      <c r="B44" t="str">
        <f>CYF!B44</f>
        <v>Somali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</row>
    <row r="45" spans="1:34">
      <c r="A45" t="str">
        <f>CYF!A45</f>
        <v>Lentils</v>
      </c>
      <c r="B45" t="str">
        <f>CYF!B45</f>
        <v>SNNPR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</row>
    <row r="46" spans="1:34">
      <c r="A46" t="str">
        <f>CYF!A46</f>
        <v>Lentils</v>
      </c>
      <c r="B46" t="str">
        <f>CYF!B46</f>
        <v>Tigray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</row>
    <row r="47" spans="1:34">
      <c r="A47" t="str">
        <f>CYF!A47</f>
        <v>Vegetables</v>
      </c>
      <c r="B47" t="str">
        <f>CYF!B47</f>
        <v>AddisAbaba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</row>
    <row r="48" spans="1:34">
      <c r="A48" t="str">
        <f>CYF!A48</f>
        <v>Vegetables</v>
      </c>
      <c r="B48" t="str">
        <f>CYF!B48</f>
        <v>Afar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</row>
    <row r="49" spans="1:34">
      <c r="A49" t="str">
        <f>CYF!A49</f>
        <v>Vegetables</v>
      </c>
      <c r="B49" t="str">
        <f>CYF!B49</f>
        <v>Amhara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</row>
    <row r="50" spans="1:34">
      <c r="A50" t="str">
        <f>CYF!A50</f>
        <v>Vegetables</v>
      </c>
      <c r="B50" t="str">
        <f>CYF!B50</f>
        <v>Gumuz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</row>
    <row r="51" spans="1:34">
      <c r="A51" t="str">
        <f>CYF!A51</f>
        <v>Vegetables</v>
      </c>
      <c r="B51" t="str">
        <f>CYF!B51</f>
        <v>DireDawa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</row>
    <row r="52" spans="1:34">
      <c r="A52" t="str">
        <f>CYF!A52</f>
        <v>Vegetables</v>
      </c>
      <c r="B52" t="str">
        <f>CYF!B52</f>
        <v>Gambela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</row>
    <row r="53" spans="1:34">
      <c r="A53" t="str">
        <f>CYF!A53</f>
        <v>Vegetables</v>
      </c>
      <c r="B53" t="str">
        <f>CYF!B53</f>
        <v>Harari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</row>
    <row r="54" spans="1:34">
      <c r="A54" t="str">
        <f>CYF!A54</f>
        <v>Vegetables</v>
      </c>
      <c r="B54" t="str">
        <f>CYF!B54</f>
        <v>Oromia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</row>
    <row r="55" spans="1:34">
      <c r="A55" t="str">
        <f>CYF!A55</f>
        <v>Vegetables</v>
      </c>
      <c r="B55" t="str">
        <f>CYF!B55</f>
        <v>Somali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</row>
    <row r="56" spans="1:34">
      <c r="A56" t="str">
        <f>CYF!A56</f>
        <v>Vegetables</v>
      </c>
      <c r="B56" t="str">
        <f>CYF!B56</f>
        <v>SNNPR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</row>
    <row r="57" spans="1:34">
      <c r="A57" t="str">
        <f>CYF!A57</f>
        <v>Vegetables</v>
      </c>
      <c r="B57" t="str">
        <f>CYF!B57</f>
        <v>Tigray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</row>
    <row r="58" spans="1:34">
      <c r="A58" t="str">
        <f>CYF!A58</f>
        <v>Coffee</v>
      </c>
      <c r="B58" t="str">
        <f>CYF!B58</f>
        <v>AddisAbaba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</row>
    <row r="59" spans="1:34">
      <c r="A59" t="str">
        <f>CYF!A59</f>
        <v>Coffee</v>
      </c>
      <c r="B59" t="str">
        <f>CYF!B59</f>
        <v>Afar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</row>
    <row r="60" spans="1:34">
      <c r="A60" t="str">
        <f>CYF!A60</f>
        <v>Coffee</v>
      </c>
      <c r="B60" t="str">
        <f>CYF!B60</f>
        <v>Amhara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</row>
    <row r="61" spans="1:34">
      <c r="A61" t="str">
        <f>CYF!A61</f>
        <v>Coffee</v>
      </c>
      <c r="B61" t="str">
        <f>CYF!B61</f>
        <v>Gumuz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</row>
    <row r="62" spans="1:34">
      <c r="A62" t="str">
        <f>CYF!A62</f>
        <v>Coffee</v>
      </c>
      <c r="B62" t="str">
        <f>CYF!B62</f>
        <v>DireDawa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</row>
    <row r="63" spans="1:34">
      <c r="A63" t="str">
        <f>CYF!A63</f>
        <v>Coffee</v>
      </c>
      <c r="B63" t="str">
        <f>CYF!B63</f>
        <v>Gambela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</row>
    <row r="64" spans="1:34">
      <c r="A64" t="str">
        <f>CYF!A64</f>
        <v>Coffee</v>
      </c>
      <c r="B64" t="str">
        <f>CYF!B64</f>
        <v>Harari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</row>
    <row r="65" spans="1:34">
      <c r="A65" t="str">
        <f>CYF!A65</f>
        <v>Coffee</v>
      </c>
      <c r="B65" t="str">
        <f>CYF!B65</f>
        <v>Oromia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</row>
    <row r="66" spans="1:34">
      <c r="A66" t="str">
        <f>CYF!A66</f>
        <v>Coffee</v>
      </c>
      <c r="B66" t="str">
        <f>CYF!B66</f>
        <v>Somali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</row>
    <row r="67" spans="1:34">
      <c r="A67" t="str">
        <f>CYF!A67</f>
        <v>Coffee</v>
      </c>
      <c r="B67" t="str">
        <f>CYF!B67</f>
        <v>SNNPR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</row>
    <row r="68" spans="1:34">
      <c r="A68" t="str">
        <f>CYF!A68</f>
        <v>Coffee</v>
      </c>
      <c r="B68" t="str">
        <f>CYF!B68</f>
        <v>Tigray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</row>
    <row r="103" spans="1:17">
      <c r="A103" t="str">
        <v>Afar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</row>
    <row r="104" spans="1:17">
      <c r="A104" t="str">
        <v>Amhara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</row>
    <row r="105" spans="1:17">
      <c r="A105" t="str">
        <v>Gumuz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</row>
    <row r="106" spans="1:17">
      <c r="A106" t="str">
        <v>DireDawa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</row>
    <row r="107" spans="1:17">
      <c r="A107" t="str">
        <v>Gambela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</row>
    <row r="108" spans="1:17">
      <c r="A108" t="str">
        <v>Harari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</row>
    <row r="109" spans="1:17">
      <c r="A109" t="str">
        <v>Oromia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</row>
    <row r="110" spans="1:17">
      <c r="A110" t="str">
        <v>Somali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</row>
    <row r="111" spans="1:17">
      <c r="A111" t="str">
        <v>SNNPR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</row>
    <row r="112" spans="1:17">
      <c r="A112" t="str">
        <v>Tigray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</row>
    <row r="123" spans="1:17">
      <c r="A123" t="str">
        <v>Afar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</row>
    <row r="124" spans="1:17">
      <c r="A124" t="str">
        <v>Amhara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</row>
    <row r="125" spans="1:17">
      <c r="A125" t="str">
        <v>Gumuz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>
        <v>1</v>
      </c>
    </row>
    <row r="126" spans="1:17">
      <c r="A126" t="str">
        <v>DireDawa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</row>
    <row r="127" spans="1:17">
      <c r="A127" t="str">
        <v>Gambela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</row>
    <row r="128" spans="1:17">
      <c r="A128" t="str">
        <v>Harari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</row>
    <row r="129" spans="1:17">
      <c r="A129" t="str">
        <v>Oromia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</row>
    <row r="130" spans="1:17">
      <c r="A130" t="str">
        <v>Somali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</row>
    <row r="131" spans="1:17">
      <c r="A131" t="str">
        <v>SNNPR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</row>
    <row r="132" spans="1:17">
      <c r="A132" t="str">
        <v>Tigray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1</v>
      </c>
      <c r="O132">
        <v>1</v>
      </c>
      <c r="P132">
        <v>1</v>
      </c>
      <c r="Q132">
        <v>1</v>
      </c>
    </row>
    <row r="141" spans="1:17">
      <c r="A141" t="str">
        <f t="array" ref="A141:A151">Nodes</f>
        <v>AddisAbaba</v>
      </c>
      <c r="B141" s="3">
        <v>15000</v>
      </c>
    </row>
    <row r="142" spans="1:17">
      <c r="A142" t="str">
        <v>Afar</v>
      </c>
      <c r="B142" s="3">
        <v>15000</v>
      </c>
    </row>
    <row r="143" spans="1:17">
      <c r="A143" t="str">
        <v>Amhara</v>
      </c>
      <c r="B143" s="3">
        <v>15000</v>
      </c>
    </row>
    <row r="144" spans="1:17">
      <c r="A144" t="str">
        <v>Gumuz</v>
      </c>
      <c r="B144" s="3">
        <v>15000</v>
      </c>
    </row>
    <row r="145" spans="1:2">
      <c r="A145" t="str">
        <v>DireDawa</v>
      </c>
      <c r="B145" s="3">
        <v>15000</v>
      </c>
    </row>
    <row r="146" spans="1:2">
      <c r="A146" t="str">
        <v>Gambela</v>
      </c>
      <c r="B146" s="3">
        <v>15000</v>
      </c>
    </row>
    <row r="147" spans="1:2">
      <c r="A147" t="str">
        <v>Harari</v>
      </c>
      <c r="B147" s="3">
        <v>15000</v>
      </c>
    </row>
    <row r="148" spans="1:2">
      <c r="A148" t="str">
        <v>Oromia</v>
      </c>
      <c r="B148" s="3">
        <v>15000</v>
      </c>
    </row>
    <row r="149" spans="1:2">
      <c r="A149" t="str">
        <v>Somali</v>
      </c>
      <c r="B149" s="3">
        <v>15000</v>
      </c>
    </row>
    <row r="150" spans="1:2">
      <c r="A150" t="str">
        <v>SNNPR</v>
      </c>
      <c r="B150" s="3">
        <v>15000</v>
      </c>
    </row>
    <row r="151" spans="1:2">
      <c r="A151" t="str">
        <v>Tigray</v>
      </c>
      <c r="B151" s="3">
        <v>15000</v>
      </c>
    </row>
    <row r="161" spans="1:2">
      <c r="A161" t="str">
        <f t="array" ref="A161:A171">Nodes</f>
        <v>AddisAbaba</v>
      </c>
      <c r="B161" s="2">
        <f>B141*0.6</f>
        <v>9000</v>
      </c>
    </row>
    <row r="162" spans="1:2">
      <c r="A162" t="str">
        <v>Afar</v>
      </c>
      <c r="B162" s="2">
        <f t="shared" ref="B162:B171" si="0">B142*0.6</f>
        <v>9000</v>
      </c>
    </row>
    <row r="163" spans="1:2">
      <c r="A163" t="str">
        <v>Amhara</v>
      </c>
      <c r="B163" s="2">
        <f t="shared" si="0"/>
        <v>9000</v>
      </c>
    </row>
    <row r="164" spans="1:2">
      <c r="A164" t="str">
        <v>Gumuz</v>
      </c>
      <c r="B164" s="2">
        <f t="shared" si="0"/>
        <v>9000</v>
      </c>
    </row>
    <row r="165" spans="1:2">
      <c r="A165" t="str">
        <v>DireDawa</v>
      </c>
      <c r="B165" s="2">
        <f t="shared" si="0"/>
        <v>9000</v>
      </c>
    </row>
    <row r="166" spans="1:2">
      <c r="A166" t="str">
        <v>Gambela</v>
      </c>
      <c r="B166" s="2">
        <f t="shared" si="0"/>
        <v>9000</v>
      </c>
    </row>
    <row r="167" spans="1:2">
      <c r="A167" t="str">
        <v>Harari</v>
      </c>
      <c r="B167" s="2">
        <f t="shared" si="0"/>
        <v>9000</v>
      </c>
    </row>
    <row r="168" spans="1:2">
      <c r="A168" t="str">
        <v>Oromia</v>
      </c>
      <c r="B168" s="2">
        <f t="shared" si="0"/>
        <v>9000</v>
      </c>
    </row>
    <row r="169" spans="1:2">
      <c r="A169" t="str">
        <v>Somali</v>
      </c>
      <c r="B169" s="2">
        <f t="shared" si="0"/>
        <v>9000</v>
      </c>
    </row>
    <row r="170" spans="1:2">
      <c r="A170" t="str">
        <v>SNNPR</v>
      </c>
      <c r="B170" s="2">
        <f t="shared" si="0"/>
        <v>9000</v>
      </c>
    </row>
    <row r="171" spans="1:2">
      <c r="A171" t="str">
        <v>Tigray</v>
      </c>
      <c r="B171" s="2">
        <f t="shared" si="0"/>
        <v>9000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31"/>
  <sheetViews>
    <sheetView topLeftCell="A105" zoomScale="85" zoomScaleNormal="85" workbookViewId="0">
      <selection activeCell="K121" sqref="K121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</row>
    <row r="3" spans="1:17">
      <c r="A3" t="str">
        <v>Afar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</row>
    <row r="4" spans="1:17">
      <c r="A4" t="str">
        <v>Amhara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>
      <c r="A5" t="str">
        <v>Gumuz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</row>
    <row r="6" spans="1:17">
      <c r="A6" t="str">
        <v>DireDawa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</row>
    <row r="7" spans="1:17">
      <c r="A7" t="str">
        <v>Gambela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</row>
    <row r="8" spans="1:17">
      <c r="A8" t="str">
        <v>Harari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</row>
    <row r="9" spans="1:17">
      <c r="A9" t="str">
        <v>Oromia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</row>
    <row r="10" spans="1:17">
      <c r="A10" t="str">
        <v>Somali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</row>
    <row r="11" spans="1:17">
      <c r="A11" t="str">
        <v>SNNPR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</row>
    <row r="12" spans="1:17">
      <c r="A12" t="str">
        <v>Tigray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</row>
    <row r="23" spans="1:17">
      <c r="A23" t="str">
        <v>Afar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</row>
    <row r="24" spans="1:17">
      <c r="A24" t="str">
        <v>Amhara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</row>
    <row r="25" spans="1:17">
      <c r="A25" t="str">
        <v>Gumuz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</row>
    <row r="26" spans="1:17">
      <c r="A26" t="str">
        <v>DireDawa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</row>
    <row r="27" spans="1:17">
      <c r="A27" t="str">
        <v>Gambela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</row>
    <row r="28" spans="1:17">
      <c r="A28" t="str">
        <v>Harari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</row>
    <row r="29" spans="1:17">
      <c r="A29" t="str">
        <v>Oromia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</row>
    <row r="30" spans="1:17">
      <c r="A30" t="str">
        <v>Somali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</row>
    <row r="31" spans="1:17">
      <c r="A31" t="str">
        <v>SNNPR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</row>
    <row r="32" spans="1:17">
      <c r="A32" t="str">
        <v>Tigray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</row>
    <row r="63" spans="1:17">
      <c r="A63" t="str">
        <v>Afar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</row>
    <row r="64" spans="1:17">
      <c r="A64" t="str">
        <v>Amhara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</row>
    <row r="65" spans="1:17">
      <c r="A65" t="str">
        <v>Gumuz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</row>
    <row r="66" spans="1:17">
      <c r="A66" t="str">
        <v>DireDawa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</row>
    <row r="67" spans="1:17">
      <c r="A67" t="str">
        <v>Gambela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</row>
    <row r="68" spans="1:17">
      <c r="A68" t="str">
        <v>Harari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</row>
    <row r="69" spans="1:17">
      <c r="A69" t="str">
        <v>Oromia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</row>
    <row r="70" spans="1:17">
      <c r="A70" t="str">
        <v>Somali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</row>
    <row r="71" spans="1:17">
      <c r="A71" t="str">
        <v>SNNPR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</row>
    <row r="72" spans="1:17">
      <c r="A72" t="str">
        <v>Tigray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</row>
    <row r="83" spans="1:17">
      <c r="A83" t="str">
        <v>Afar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</row>
    <row r="84" spans="1:17">
      <c r="A84" t="str">
        <v>Amhara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</row>
    <row r="85" spans="1:17">
      <c r="A85" t="str">
        <v>Gumuz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</row>
    <row r="86" spans="1:17">
      <c r="A86" t="str">
        <v>DireDawa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</row>
    <row r="87" spans="1:17">
      <c r="A87" t="str">
        <v>Gambela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</row>
    <row r="88" spans="1:17">
      <c r="A88" t="str">
        <v>Harari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</row>
    <row r="89" spans="1:17">
      <c r="A89" t="str">
        <v>Oromia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</row>
    <row r="90" spans="1:17">
      <c r="A90" t="str">
        <v>Somali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</row>
    <row r="91" spans="1:17">
      <c r="A91" t="str">
        <v>SNNPR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</row>
    <row r="92" spans="1:17">
      <c r="A92" t="str">
        <v>Tigray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-1</v>
      </c>
      <c r="C102">
        <v>-1</v>
      </c>
      <c r="D102">
        <v>-1</v>
      </c>
      <c r="E102">
        <v>-1</v>
      </c>
      <c r="F102">
        <v>-1</v>
      </c>
      <c r="G102">
        <v>-1</v>
      </c>
      <c r="H102">
        <v>-1</v>
      </c>
      <c r="I102">
        <v>-1</v>
      </c>
      <c r="J102">
        <v>-1</v>
      </c>
      <c r="K102">
        <v>-1</v>
      </c>
      <c r="L102">
        <v>-1</v>
      </c>
    </row>
    <row r="103" spans="1:12">
      <c r="A103" t="s">
        <v>6</v>
      </c>
      <c r="B103">
        <v>-1</v>
      </c>
      <c r="C103">
        <v>-1</v>
      </c>
      <c r="D103">
        <v>-1</v>
      </c>
      <c r="E103">
        <v>-1</v>
      </c>
      <c r="F103">
        <v>-1</v>
      </c>
      <c r="G103">
        <v>-1</v>
      </c>
      <c r="H103">
        <v>-1</v>
      </c>
      <c r="I103">
        <v>-1</v>
      </c>
      <c r="J103">
        <v>-1</v>
      </c>
      <c r="K103">
        <v>-1</v>
      </c>
      <c r="L103">
        <v>-1</v>
      </c>
    </row>
    <row r="104" spans="1:12">
      <c r="A104" t="s">
        <v>7</v>
      </c>
      <c r="B104">
        <v>-1</v>
      </c>
      <c r="C104">
        <v>-1</v>
      </c>
      <c r="D104">
        <v>-1</v>
      </c>
      <c r="E104">
        <v>-1</v>
      </c>
      <c r="F104">
        <v>-1</v>
      </c>
      <c r="G104">
        <v>-1</v>
      </c>
      <c r="H104">
        <v>-1</v>
      </c>
      <c r="I104">
        <v>-1</v>
      </c>
      <c r="J104">
        <v>-1</v>
      </c>
      <c r="K104">
        <v>-1</v>
      </c>
      <c r="L104">
        <v>-1</v>
      </c>
    </row>
    <row r="105" spans="1:12">
      <c r="A105" t="s">
        <v>8</v>
      </c>
      <c r="B105">
        <v>-1</v>
      </c>
      <c r="C105">
        <v>-1</v>
      </c>
      <c r="D105">
        <v>-1</v>
      </c>
      <c r="E105">
        <v>-1</v>
      </c>
      <c r="F105">
        <v>-1</v>
      </c>
      <c r="G105">
        <v>-1</v>
      </c>
      <c r="H105">
        <v>-1</v>
      </c>
      <c r="I105">
        <v>-1</v>
      </c>
      <c r="J105">
        <v>-1</v>
      </c>
      <c r="K105">
        <v>-1</v>
      </c>
      <c r="L105">
        <v>-1</v>
      </c>
    </row>
    <row r="106" spans="1:12">
      <c r="A106" t="s">
        <v>9</v>
      </c>
      <c r="B106">
        <v>-1</v>
      </c>
      <c r="C106">
        <v>-1</v>
      </c>
      <c r="D106">
        <v>-1</v>
      </c>
      <c r="E106">
        <v>-1</v>
      </c>
      <c r="F106">
        <v>-1</v>
      </c>
      <c r="G106">
        <v>-1</v>
      </c>
      <c r="H106">
        <v>-1</v>
      </c>
      <c r="I106">
        <v>-1</v>
      </c>
      <c r="J106">
        <v>-1</v>
      </c>
      <c r="K106">
        <v>-1</v>
      </c>
      <c r="L106">
        <v>-1</v>
      </c>
    </row>
    <row r="107" spans="1:12">
      <c r="A107" t="s">
        <v>10</v>
      </c>
      <c r="B107">
        <v>-1</v>
      </c>
      <c r="C107">
        <v>-1</v>
      </c>
      <c r="D107">
        <v>-1</v>
      </c>
      <c r="E107">
        <v>-1</v>
      </c>
      <c r="F107">
        <v>-1</v>
      </c>
      <c r="G107">
        <v>-1</v>
      </c>
      <c r="H107">
        <v>-1</v>
      </c>
      <c r="I107">
        <v>-1</v>
      </c>
      <c r="J107">
        <v>-1</v>
      </c>
      <c r="K107">
        <v>-1</v>
      </c>
      <c r="L107">
        <v>-1</v>
      </c>
    </row>
    <row r="108" spans="1:12">
      <c r="A108" t="s">
        <v>11</v>
      </c>
      <c r="B108">
        <v>-1</v>
      </c>
      <c r="C108">
        <v>-1</v>
      </c>
      <c r="D108">
        <v>-1</v>
      </c>
      <c r="E108">
        <v>-1</v>
      </c>
      <c r="F108">
        <v>-1</v>
      </c>
      <c r="G108">
        <v>-1</v>
      </c>
      <c r="H108">
        <v>-1</v>
      </c>
      <c r="I108">
        <v>-1</v>
      </c>
      <c r="J108">
        <v>-1</v>
      </c>
      <c r="K108">
        <v>-1</v>
      </c>
      <c r="L108">
        <v>-1</v>
      </c>
    </row>
    <row r="109" spans="1:12">
      <c r="A109" t="s">
        <v>12</v>
      </c>
      <c r="B109">
        <v>-1</v>
      </c>
      <c r="C109">
        <v>-1</v>
      </c>
      <c r="D109">
        <v>-1</v>
      </c>
      <c r="E109">
        <v>-1</v>
      </c>
      <c r="F109">
        <v>-1</v>
      </c>
      <c r="G109">
        <v>-1</v>
      </c>
      <c r="H109">
        <v>-1</v>
      </c>
      <c r="I109">
        <v>-1</v>
      </c>
      <c r="J109">
        <v>-1</v>
      </c>
      <c r="K109">
        <v>-1</v>
      </c>
      <c r="L109">
        <v>-1</v>
      </c>
    </row>
    <row r="110" spans="1:12">
      <c r="A110" t="s">
        <v>13</v>
      </c>
      <c r="B110">
        <v>-1</v>
      </c>
      <c r="C110">
        <v>-1</v>
      </c>
      <c r="D110">
        <v>-1</v>
      </c>
      <c r="E110">
        <v>-1</v>
      </c>
      <c r="F110">
        <v>-1</v>
      </c>
      <c r="G110">
        <v>-1</v>
      </c>
      <c r="H110">
        <v>-1</v>
      </c>
      <c r="I110">
        <v>-1</v>
      </c>
      <c r="J110">
        <v>-1</v>
      </c>
      <c r="K110">
        <v>-1</v>
      </c>
      <c r="L110">
        <v>-1</v>
      </c>
    </row>
    <row r="111" spans="1:12">
      <c r="A111" t="s">
        <v>19</v>
      </c>
      <c r="B111">
        <v>-1</v>
      </c>
      <c r="C111">
        <v>-1</v>
      </c>
      <c r="D111">
        <v>-1</v>
      </c>
      <c r="E111">
        <v>-1</v>
      </c>
      <c r="F111">
        <v>-1</v>
      </c>
      <c r="G111">
        <v>-1</v>
      </c>
      <c r="H111">
        <v>-1</v>
      </c>
      <c r="I111">
        <v>-1</v>
      </c>
      <c r="J111">
        <v>-1</v>
      </c>
      <c r="K111">
        <v>-1</v>
      </c>
      <c r="L111">
        <v>-1</v>
      </c>
    </row>
    <row r="112" spans="1:12">
      <c r="A112" t="s">
        <v>14</v>
      </c>
      <c r="B112">
        <v>-1</v>
      </c>
      <c r="C112">
        <v>-1</v>
      </c>
      <c r="D112">
        <v>-1</v>
      </c>
      <c r="E112">
        <v>-1</v>
      </c>
      <c r="F112">
        <v>-1</v>
      </c>
      <c r="G112">
        <v>-1</v>
      </c>
      <c r="H112">
        <v>-1</v>
      </c>
      <c r="I112">
        <v>-1</v>
      </c>
      <c r="J112">
        <v>-1</v>
      </c>
      <c r="K112">
        <v>-1</v>
      </c>
      <c r="L112">
        <v>-1</v>
      </c>
    </row>
    <row r="121" spans="1:12">
      <c r="A121" t="str">
        <f t="array" ref="A121:A131">Nodes</f>
        <v>AddisAbaba</v>
      </c>
      <c r="B121">
        <v>-1</v>
      </c>
      <c r="F121" t="str">
        <f t="array" ref="F121:F131">Nodes</f>
        <v>AddisAbaba</v>
      </c>
      <c r="G121">
        <v>-1</v>
      </c>
      <c r="K121" t="str">
        <f t="array" ref="K121:K131">Nodes</f>
        <v>AddisAbaba</v>
      </c>
      <c r="L121">
        <v>-1</v>
      </c>
    </row>
    <row r="122" spans="1:12">
      <c r="A122" t="str">
        <v>Afar</v>
      </c>
      <c r="B122">
        <v>-1</v>
      </c>
      <c r="F122" t="str">
        <v>Afar</v>
      </c>
      <c r="G122">
        <v>-1</v>
      </c>
      <c r="K122" t="str">
        <v>Afar</v>
      </c>
      <c r="L122">
        <v>-1</v>
      </c>
    </row>
    <row r="123" spans="1:12">
      <c r="A123" t="str">
        <v>Amhara</v>
      </c>
      <c r="B123">
        <v>-1</v>
      </c>
      <c r="F123" t="str">
        <v>Amhara</v>
      </c>
      <c r="G123">
        <v>-1</v>
      </c>
      <c r="K123" t="str">
        <v>Amhara</v>
      </c>
      <c r="L123">
        <v>-1</v>
      </c>
    </row>
    <row r="124" spans="1:12">
      <c r="A124" t="str">
        <v>Gumuz</v>
      </c>
      <c r="B124">
        <v>-1</v>
      </c>
      <c r="F124" t="str">
        <v>Gumuz</v>
      </c>
      <c r="G124">
        <v>-1</v>
      </c>
      <c r="K124" t="str">
        <v>Gumuz</v>
      </c>
      <c r="L124">
        <v>-1</v>
      </c>
    </row>
    <row r="125" spans="1:12">
      <c r="A125" t="str">
        <v>DireDawa</v>
      </c>
      <c r="B125">
        <v>-1</v>
      </c>
      <c r="F125" t="str">
        <v>DireDawa</v>
      </c>
      <c r="G125">
        <v>-1</v>
      </c>
      <c r="K125" t="str">
        <v>DireDawa</v>
      </c>
      <c r="L125">
        <v>-1</v>
      </c>
    </row>
    <row r="126" spans="1:12">
      <c r="A126" t="str">
        <v>Gambela</v>
      </c>
      <c r="B126">
        <v>-1</v>
      </c>
      <c r="F126" t="str">
        <v>Gambela</v>
      </c>
      <c r="G126">
        <v>-1</v>
      </c>
      <c r="K126" t="str">
        <v>Gambela</v>
      </c>
      <c r="L126">
        <v>-1</v>
      </c>
    </row>
    <row r="127" spans="1:12">
      <c r="A127" t="str">
        <v>Harari</v>
      </c>
      <c r="B127">
        <v>-1</v>
      </c>
      <c r="F127" t="str">
        <v>Harari</v>
      </c>
      <c r="G127">
        <v>-1</v>
      </c>
      <c r="K127" t="str">
        <v>Harari</v>
      </c>
      <c r="L127">
        <v>-1</v>
      </c>
    </row>
    <row r="128" spans="1:12">
      <c r="A128" t="str">
        <v>Oromia</v>
      </c>
      <c r="B128">
        <v>-1</v>
      </c>
      <c r="F128" t="str">
        <v>Oromia</v>
      </c>
      <c r="G128">
        <v>-1</v>
      </c>
      <c r="K128" t="str">
        <v>Oromia</v>
      </c>
      <c r="L128">
        <v>-1</v>
      </c>
    </row>
    <row r="129" spans="1:12">
      <c r="A129" t="str">
        <v>Somali</v>
      </c>
      <c r="B129">
        <v>-1</v>
      </c>
      <c r="F129" t="str">
        <v>Somali</v>
      </c>
      <c r="G129">
        <v>-1</v>
      </c>
      <c r="K129" t="str">
        <v>Somali</v>
      </c>
      <c r="L129">
        <v>-1</v>
      </c>
    </row>
    <row r="130" spans="1:12">
      <c r="A130" t="str">
        <v>SNNPR</v>
      </c>
      <c r="B130">
        <v>-1</v>
      </c>
      <c r="F130" t="str">
        <v>SNNPR</v>
      </c>
      <c r="G130">
        <v>-1</v>
      </c>
      <c r="K130" t="str">
        <v>SNNPR</v>
      </c>
      <c r="L130">
        <v>-1</v>
      </c>
    </row>
    <row r="131" spans="1:12">
      <c r="A131" t="str">
        <v>Tigray</v>
      </c>
      <c r="B131">
        <v>-1</v>
      </c>
      <c r="F131" t="str">
        <v>Tigray</v>
      </c>
      <c r="G131">
        <v>-1</v>
      </c>
      <c r="K131" t="str">
        <v>Tigray</v>
      </c>
      <c r="L131">
        <v>-1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index</vt:lpstr>
      <vt:lpstr>sets</vt:lpstr>
      <vt:lpstr>Roads</vt:lpstr>
      <vt:lpstr>ElecLine</vt:lpstr>
      <vt:lpstr>DiscFact</vt:lpstr>
      <vt:lpstr>CYF</vt:lpstr>
      <vt:lpstr>Crop</vt:lpstr>
      <vt:lpstr>Cattle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2017-05-10T15:05:38Z</dcterms:modified>
</cp:coreProperties>
</file>