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rir\Dropbox\code\Food\MME\Data\"/>
    </mc:Choice>
  </mc:AlternateContent>
  <xr:revisionPtr revIDLastSave="0" documentId="13_ncr:1_{4A91C592-6D4D-4795-B44B-C138D3923AAA}" xr6:coauthVersionLast="31" xr6:coauthVersionMax="31" xr10:uidLastSave="{00000000-0000-0000-0000-000000000000}"/>
  <bookViews>
    <workbookView xWindow="0" yWindow="10395" windowWidth="12960" windowHeight="7065" tabRatio="763" xr2:uid="{00000000-000D-0000-FFFF-FFFF00000000}"/>
  </bookViews>
  <sheets>
    <sheet name="index" sheetId="1" r:id="rId1"/>
    <sheet name="Explained" sheetId="16" r:id="rId2"/>
    <sheet name="sets" sheetId="3" r:id="rId3"/>
    <sheet name="DiscFact" sheetId="6" r:id="rId4"/>
    <sheet name="Crop" sheetId="7" r:id="rId5"/>
    <sheet name="aFAO" sheetId="11" r:id="rId6"/>
    <sheet name="CYF" sheetId="4" r:id="rId7"/>
    <sheet name="Cattle" sheetId="8" r:id="rId8"/>
    <sheet name="Roads" sheetId="5" r:id="rId9"/>
    <sheet name="DemInt" sheetId="14" r:id="rId10"/>
    <sheet name="DemSlope" sheetId="15" r:id="rId11"/>
    <sheet name="Elec" sheetId="9" r:id="rId12"/>
    <sheet name="ElecLine" sheetId="10" r:id="rId13"/>
    <sheet name="DemElas" sheetId="17" r:id="rId14"/>
    <sheet name="Prices" sheetId="22" r:id="rId15"/>
    <sheet name="ConvFactor" sheetId="21" r:id="rId16"/>
    <sheet name="TargetProduction" sheetId="23" r:id="rId17"/>
    <sheet name="TargetConsumption" sheetId="19" r:id="rId18"/>
    <sheet name="Basic Feasibility" sheetId="18" r:id="rId19"/>
  </sheets>
  <definedNames>
    <definedName name="_xlnm._FilterDatabase" localSheetId="12" hidden="1">ElecLine!$A$21:$B$86</definedName>
    <definedName name="_xlnm._FilterDatabase" localSheetId="1" hidden="1">Explained!$A$1:$R$61</definedName>
    <definedName name="_xlnm._FilterDatabase" localSheetId="0" hidden="1">index!$A$1:$E$29</definedName>
    <definedName name="_xlnm._FilterDatabase" localSheetId="8" hidden="1">Roads!$A$23:$B$88</definedName>
    <definedName name="_xlnm._FilterDatabase" localSheetId="2" hidden="1">sets!$F$2:$F$13</definedName>
    <definedName name="Adapt">sets!$N$3:$N$65</definedName>
    <definedName name="Crops">sets!$J$3:$J$62</definedName>
    <definedName name="Food">sets!$H$3:$H$62</definedName>
    <definedName name="Nodes">sets!$F$3:$F$62</definedName>
    <definedName name="Profit_Margin">'Basic Feasibility'!$C$1</definedName>
    <definedName name="RoadList" localSheetId="12">ElecLine!$A$21</definedName>
    <definedName name="RoadList">Roads!$A$23</definedName>
    <definedName name="Seasons">sets!$D$3:$D$62</definedName>
    <definedName name="Years">sets!$B$3:$B$62</definedName>
  </definedNames>
  <calcPr calcId="179017"/>
</workbook>
</file>

<file path=xl/calcChain.xml><?xml version="1.0" encoding="utf-8"?>
<calcChain xmlns="http://schemas.openxmlformats.org/spreadsheetml/2006/main">
  <c r="I72" i="23" l="1"/>
  <c r="J72" i="23"/>
  <c r="K72" i="23"/>
  <c r="L72" i="23"/>
  <c r="M72" i="23"/>
  <c r="N72" i="23"/>
  <c r="O72" i="23"/>
  <c r="I73" i="23"/>
  <c r="J73" i="23"/>
  <c r="K73" i="23"/>
  <c r="L73" i="23"/>
  <c r="M73" i="23"/>
  <c r="N73" i="23"/>
  <c r="O73" i="23"/>
  <c r="I74" i="23"/>
  <c r="J74" i="23"/>
  <c r="K74" i="23"/>
  <c r="L74" i="23"/>
  <c r="M74" i="23"/>
  <c r="N74" i="23"/>
  <c r="O74" i="23"/>
  <c r="I75" i="23"/>
  <c r="J75" i="23"/>
  <c r="K75" i="23"/>
  <c r="L75" i="23"/>
  <c r="M75" i="23"/>
  <c r="N75" i="23"/>
  <c r="O75" i="23"/>
  <c r="I76" i="23"/>
  <c r="J76" i="23"/>
  <c r="K76" i="23"/>
  <c r="L76" i="23"/>
  <c r="M76" i="23"/>
  <c r="N76" i="23"/>
  <c r="O76" i="23"/>
  <c r="I77" i="23"/>
  <c r="J77" i="23"/>
  <c r="K77" i="23"/>
  <c r="L77" i="23"/>
  <c r="M77" i="23"/>
  <c r="N77" i="23"/>
  <c r="O77" i="23"/>
  <c r="I78" i="23"/>
  <c r="J78" i="23"/>
  <c r="K78" i="23"/>
  <c r="L78" i="23"/>
  <c r="M78" i="23"/>
  <c r="N78" i="23"/>
  <c r="O78" i="23"/>
  <c r="I79" i="23"/>
  <c r="J79" i="23"/>
  <c r="K79" i="23"/>
  <c r="L79" i="23"/>
  <c r="M79" i="23"/>
  <c r="N79" i="23"/>
  <c r="O79" i="23"/>
  <c r="I80" i="23"/>
  <c r="J80" i="23"/>
  <c r="K80" i="23"/>
  <c r="L80" i="23"/>
  <c r="M80" i="23"/>
  <c r="N80" i="23"/>
  <c r="O80" i="23"/>
  <c r="I81" i="23"/>
  <c r="J81" i="23"/>
  <c r="K81" i="23"/>
  <c r="L81" i="23"/>
  <c r="M81" i="23"/>
  <c r="N81" i="23"/>
  <c r="O81" i="23"/>
  <c r="I82" i="23"/>
  <c r="J82" i="23"/>
  <c r="K82" i="23"/>
  <c r="L82" i="23"/>
  <c r="M82" i="23"/>
  <c r="N82" i="23"/>
  <c r="O82" i="23"/>
  <c r="I83" i="23"/>
  <c r="J83" i="23"/>
  <c r="K83" i="23"/>
  <c r="L83" i="23"/>
  <c r="M83" i="23"/>
  <c r="N83" i="23"/>
  <c r="O83" i="23"/>
  <c r="I84" i="23"/>
  <c r="J84" i="23"/>
  <c r="K84" i="23"/>
  <c r="L84" i="23"/>
  <c r="M84" i="23"/>
  <c r="N84" i="23"/>
  <c r="O84" i="23"/>
  <c r="I85" i="23"/>
  <c r="J85" i="23"/>
  <c r="K85" i="23"/>
  <c r="L85" i="23"/>
  <c r="M85" i="23"/>
  <c r="N85" i="23"/>
  <c r="O85" i="23"/>
  <c r="J71" i="23"/>
  <c r="K71" i="23"/>
  <c r="L71" i="23"/>
  <c r="M71" i="23"/>
  <c r="N71" i="23"/>
  <c r="O71" i="23"/>
  <c r="I71" i="23"/>
  <c r="J18" i="22" a="1"/>
  <c r="J18" i="22" s="1"/>
  <c r="J22" i="22" l="1"/>
  <c r="J20" i="22"/>
  <c r="J19" i="22"/>
  <c r="J23" i="22"/>
  <c r="J21" i="22"/>
  <c r="A12" i="18" a="1"/>
  <c r="A13" i="18" s="1"/>
  <c r="A20" i="18" l="1"/>
  <c r="A19" i="18"/>
  <c r="A12" i="18"/>
  <c r="A26" i="18"/>
  <c r="A18" i="18"/>
  <c r="A25" i="18"/>
  <c r="A17" i="18"/>
  <c r="A24" i="18"/>
  <c r="A16" i="18"/>
  <c r="A23" i="18"/>
  <c r="A15" i="18"/>
  <c r="A22" i="18"/>
  <c r="A14" i="18"/>
  <c r="A21" i="18"/>
  <c r="B45" i="19" a="1"/>
  <c r="B45" i="19" s="1"/>
  <c r="K45" i="19" a="1"/>
  <c r="Q45" i="19" s="1"/>
  <c r="D18" i="22"/>
  <c r="E18" i="22"/>
  <c r="F18" i="22"/>
  <c r="G18" i="22"/>
  <c r="H18" i="22"/>
  <c r="D19" i="22"/>
  <c r="E19" i="22"/>
  <c r="F19" i="22"/>
  <c r="G19" i="22"/>
  <c r="H19" i="22"/>
  <c r="C19" i="22"/>
  <c r="C18" i="22"/>
  <c r="R45" i="19" l="1"/>
  <c r="H45" i="19"/>
  <c r="P45" i="19"/>
  <c r="O45" i="19"/>
  <c r="I45" i="19"/>
  <c r="N45" i="19"/>
  <c r="G45" i="19"/>
  <c r="M45" i="19"/>
  <c r="F45" i="19"/>
  <c r="L45" i="19"/>
  <c r="E45" i="19"/>
  <c r="S45" i="19"/>
  <c r="K45" i="19"/>
  <c r="D45" i="19"/>
  <c r="C45" i="19"/>
  <c r="J45" i="19"/>
  <c r="AE29" i="21" a="1"/>
  <c r="AG29" i="21" s="1"/>
  <c r="AS43" i="21" l="1"/>
  <c r="AI33" i="21"/>
  <c r="AR43" i="21"/>
  <c r="AQ42" i="21"/>
  <c r="AP41" i="21"/>
  <c r="AO40" i="21"/>
  <c r="AN39" i="21"/>
  <c r="AM38" i="21"/>
  <c r="AL37" i="21"/>
  <c r="AK36" i="21"/>
  <c r="AJ35" i="21"/>
  <c r="AI34" i="21"/>
  <c r="AH33" i="21"/>
  <c r="AG32" i="21"/>
  <c r="AF31" i="21"/>
  <c r="AE30" i="21"/>
  <c r="AP43" i="21"/>
  <c r="AO42" i="21"/>
  <c r="AN41" i="21"/>
  <c r="AM40" i="21"/>
  <c r="AL39" i="21"/>
  <c r="AK38" i="21"/>
  <c r="AJ37" i="21"/>
  <c r="AI36" i="21"/>
  <c r="AH35" i="21"/>
  <c r="AG34" i="21"/>
  <c r="AF33" i="21"/>
  <c r="AE32" i="21"/>
  <c r="AS30" i="21"/>
  <c r="AR29" i="21"/>
  <c r="AR42" i="21"/>
  <c r="AN38" i="21"/>
  <c r="AK35" i="21"/>
  <c r="AF30" i="21"/>
  <c r="AJ41" i="21"/>
  <c r="AS34" i="21"/>
  <c r="AO30" i="21"/>
  <c r="AL36" i="21"/>
  <c r="AH39" i="21"/>
  <c r="AQ32" i="21"/>
  <c r="AK43" i="21"/>
  <c r="AH40" i="21"/>
  <c r="AF38" i="21"/>
  <c r="AS35" i="21"/>
  <c r="AQ33" i="21"/>
  <c r="AP32" i="21"/>
  <c r="AN30" i="21"/>
  <c r="AM29" i="21"/>
  <c r="AO39" i="21"/>
  <c r="AL43" i="21"/>
  <c r="AI40" i="21"/>
  <c r="AG38" i="21"/>
  <c r="AF37" i="21"/>
  <c r="AE36" i="21"/>
  <c r="AR33" i="21"/>
  <c r="AP31" i="21"/>
  <c r="AN29" i="21"/>
  <c r="AJ42" i="21"/>
  <c r="AI41" i="21"/>
  <c r="AG39" i="21"/>
  <c r="AE37" i="21"/>
  <c r="AR34" i="21"/>
  <c r="AO31" i="21"/>
  <c r="AJ43" i="21"/>
  <c r="AI42" i="21"/>
  <c r="AH41" i="21"/>
  <c r="AG40" i="21"/>
  <c r="AF39" i="21"/>
  <c r="AE38" i="21"/>
  <c r="AS36" i="21"/>
  <c r="AR35" i="21"/>
  <c r="AQ34" i="21"/>
  <c r="AP33" i="21"/>
  <c r="AO32" i="21"/>
  <c r="AN31" i="21"/>
  <c r="AM30" i="21"/>
  <c r="AL29" i="21"/>
  <c r="AQ41" i="21"/>
  <c r="AM37" i="21"/>
  <c r="AJ34" i="21"/>
  <c r="AG31" i="21"/>
  <c r="AE40" i="21"/>
  <c r="AP35" i="21"/>
  <c r="AP40" i="21"/>
  <c r="AH32" i="21"/>
  <c r="AK42" i="21"/>
  <c r="AH43" i="21"/>
  <c r="AG42" i="21"/>
  <c r="AF41" i="21"/>
  <c r="AS38" i="21"/>
  <c r="AR37" i="21"/>
  <c r="AQ36" i="21"/>
  <c r="AO34" i="21"/>
  <c r="AN33" i="21"/>
  <c r="AM32" i="21"/>
  <c r="AL31" i="21"/>
  <c r="AK30" i="21"/>
  <c r="AF29" i="21"/>
  <c r="AS42" i="21"/>
  <c r="AR41" i="21"/>
  <c r="AQ40" i="21"/>
  <c r="AP39" i="21"/>
  <c r="AO38" i="21"/>
  <c r="AN37" i="21"/>
  <c r="AM36" i="21"/>
  <c r="AL35" i="21"/>
  <c r="AK34" i="21"/>
  <c r="AJ33" i="21"/>
  <c r="AI32" i="21"/>
  <c r="AH31" i="21"/>
  <c r="AG30" i="21"/>
  <c r="AE29" i="21"/>
  <c r="AQ43" i="21"/>
  <c r="AI43" i="21"/>
  <c r="AP42" i="21"/>
  <c r="AH42" i="21"/>
  <c r="AO41" i="21"/>
  <c r="AG41" i="21"/>
  <c r="AN40" i="21"/>
  <c r="AF40" i="21"/>
  <c r="AM39" i="21"/>
  <c r="AE39" i="21"/>
  <c r="AL38" i="21"/>
  <c r="AS37" i="21"/>
  <c r="AK37" i="21"/>
  <c r="AR36" i="21"/>
  <c r="AJ36" i="21"/>
  <c r="AQ35" i="21"/>
  <c r="AI35" i="21"/>
  <c r="AP34" i="21"/>
  <c r="AH34" i="21"/>
  <c r="AO33" i="21"/>
  <c r="AG33" i="21"/>
  <c r="AN32" i="21"/>
  <c r="AF32" i="21"/>
  <c r="AM31" i="21"/>
  <c r="AE31" i="21"/>
  <c r="AL30" i="21"/>
  <c r="AS29" i="21"/>
  <c r="AK29" i="21"/>
  <c r="AJ29" i="21"/>
  <c r="AO43" i="21"/>
  <c r="AG43" i="21"/>
  <c r="AN42" i="21"/>
  <c r="AF42" i="21"/>
  <c r="AM41" i="21"/>
  <c r="AE41" i="21"/>
  <c r="AL40" i="21"/>
  <c r="AS39" i="21"/>
  <c r="AK39" i="21"/>
  <c r="AR38" i="21"/>
  <c r="AJ38" i="21"/>
  <c r="AQ37" i="21"/>
  <c r="AI37" i="21"/>
  <c r="AP36" i="21"/>
  <c r="AH36" i="21"/>
  <c r="AO35" i="21"/>
  <c r="AG35" i="21"/>
  <c r="AN34" i="21"/>
  <c r="AF34" i="21"/>
  <c r="AM33" i="21"/>
  <c r="AE33" i="21"/>
  <c r="AL32" i="21"/>
  <c r="AS31" i="21"/>
  <c r="AK31" i="21"/>
  <c r="AR30" i="21"/>
  <c r="AJ30" i="21"/>
  <c r="AQ29" i="21"/>
  <c r="AI29" i="21"/>
  <c r="AN43" i="21"/>
  <c r="AF43" i="21"/>
  <c r="AM42" i="21"/>
  <c r="AE42" i="21"/>
  <c r="AL41" i="21"/>
  <c r="AS40" i="21"/>
  <c r="AK40" i="21"/>
  <c r="AR39" i="21"/>
  <c r="AJ39" i="21"/>
  <c r="AQ38" i="21"/>
  <c r="AI38" i="21"/>
  <c r="AP37" i="21"/>
  <c r="AH37" i="21"/>
  <c r="AO36" i="21"/>
  <c r="AG36" i="21"/>
  <c r="AN35" i="21"/>
  <c r="AF35" i="21"/>
  <c r="AM34" i="21"/>
  <c r="AE34" i="21"/>
  <c r="AL33" i="21"/>
  <c r="AS32" i="21"/>
  <c r="AK32" i="21"/>
  <c r="AR31" i="21"/>
  <c r="AJ31" i="21"/>
  <c r="AQ30" i="21"/>
  <c r="AI30" i="21"/>
  <c r="AP29" i="21"/>
  <c r="AH29" i="21"/>
  <c r="AM43" i="21"/>
  <c r="AE43" i="21"/>
  <c r="AL42" i="21"/>
  <c r="AS41" i="21"/>
  <c r="AK41" i="21"/>
  <c r="AR40" i="21"/>
  <c r="AJ40" i="21"/>
  <c r="AQ39" i="21"/>
  <c r="AI39" i="21"/>
  <c r="AP38" i="21"/>
  <c r="AH38" i="21"/>
  <c r="AO37" i="21"/>
  <c r="AG37" i="21"/>
  <c r="AN36" i="21"/>
  <c r="AF36" i="21"/>
  <c r="AM35" i="21"/>
  <c r="AE35" i="21"/>
  <c r="AL34" i="21"/>
  <c r="AS33" i="21"/>
  <c r="AK33" i="21"/>
  <c r="AR32" i="21"/>
  <c r="AJ32" i="21"/>
  <c r="AQ31" i="21"/>
  <c r="AI31" i="21"/>
  <c r="AP30" i="21"/>
  <c r="AH30" i="21"/>
  <c r="AO29" i="21"/>
  <c r="C16" i="19"/>
  <c r="D16" i="19"/>
  <c r="E16" i="19"/>
  <c r="F16" i="19"/>
  <c r="G16" i="19"/>
  <c r="H16" i="19"/>
  <c r="I16" i="19"/>
  <c r="C3" i="19"/>
  <c r="D3" i="19"/>
  <c r="E3" i="19"/>
  <c r="F3" i="19"/>
  <c r="G3" i="19"/>
  <c r="H3" i="19"/>
  <c r="I3" i="19"/>
  <c r="C4" i="19"/>
  <c r="D4" i="19"/>
  <c r="E4" i="19"/>
  <c r="F4" i="19"/>
  <c r="G4" i="19"/>
  <c r="H4" i="19"/>
  <c r="I4" i="19"/>
  <c r="C5" i="19"/>
  <c r="D5" i="19"/>
  <c r="E5" i="19"/>
  <c r="F5" i="19"/>
  <c r="G5" i="19"/>
  <c r="H5" i="19"/>
  <c r="I5" i="19"/>
  <c r="C6" i="19"/>
  <c r="D6" i="19"/>
  <c r="E6" i="19"/>
  <c r="F6" i="19"/>
  <c r="G6" i="19"/>
  <c r="H6" i="19"/>
  <c r="I6" i="19"/>
  <c r="C7" i="19"/>
  <c r="D7" i="19"/>
  <c r="E7" i="19"/>
  <c r="F7" i="19"/>
  <c r="G7" i="19"/>
  <c r="H7" i="19"/>
  <c r="I7" i="19"/>
  <c r="C8" i="19"/>
  <c r="D8" i="19"/>
  <c r="E8" i="19"/>
  <c r="F8" i="19"/>
  <c r="G8" i="19"/>
  <c r="H8" i="19"/>
  <c r="I8" i="19"/>
  <c r="C9" i="19"/>
  <c r="D9" i="19"/>
  <c r="E9" i="19"/>
  <c r="F9" i="19"/>
  <c r="G9" i="19"/>
  <c r="H9" i="19"/>
  <c r="I9" i="19"/>
  <c r="C10" i="19"/>
  <c r="D10" i="19"/>
  <c r="E10" i="19"/>
  <c r="F10" i="19"/>
  <c r="G10" i="19"/>
  <c r="H10" i="19"/>
  <c r="I10" i="19"/>
  <c r="C11" i="19"/>
  <c r="D11" i="19"/>
  <c r="E11" i="19"/>
  <c r="F11" i="19"/>
  <c r="G11" i="19"/>
  <c r="H11" i="19"/>
  <c r="I11" i="19"/>
  <c r="C12" i="19"/>
  <c r="D12" i="19"/>
  <c r="E12" i="19"/>
  <c r="F12" i="19"/>
  <c r="G12" i="19"/>
  <c r="H12" i="19"/>
  <c r="I12" i="19"/>
  <c r="C13" i="19"/>
  <c r="D13" i="19"/>
  <c r="E13" i="19"/>
  <c r="F13" i="19"/>
  <c r="G13" i="19"/>
  <c r="H13" i="19"/>
  <c r="I13" i="19"/>
  <c r="C14" i="19"/>
  <c r="D14" i="19"/>
  <c r="E14" i="19"/>
  <c r="F14" i="19"/>
  <c r="G14" i="19"/>
  <c r="H14" i="19"/>
  <c r="I14" i="19"/>
  <c r="C15" i="19"/>
  <c r="D15" i="19"/>
  <c r="E15" i="19"/>
  <c r="F15" i="19"/>
  <c r="G15" i="19"/>
  <c r="H15" i="19"/>
  <c r="I15" i="19"/>
  <c r="D2" i="19"/>
  <c r="E2" i="19"/>
  <c r="F2" i="19"/>
  <c r="G2" i="19"/>
  <c r="H2" i="19"/>
  <c r="I2" i="19"/>
  <c r="C2" i="19"/>
  <c r="AG21" i="23"/>
  <c r="AH21" i="23"/>
  <c r="AI21" i="23"/>
  <c r="AJ21" i="23"/>
  <c r="AK21" i="23"/>
  <c r="AL21" i="23"/>
  <c r="AM21" i="23"/>
  <c r="AN21" i="23"/>
  <c r="AO21" i="23"/>
  <c r="AG26" i="23" a="1"/>
  <c r="AG26" i="23" s="1"/>
  <c r="AH26" i="23" a="1"/>
  <c r="AH26" i="23" s="1"/>
  <c r="AI26" i="23" a="1"/>
  <c r="AI26" i="23" s="1"/>
  <c r="AJ26" i="23" a="1"/>
  <c r="AJ26" i="23" s="1"/>
  <c r="AK26" i="23" a="1"/>
  <c r="AK26" i="23" s="1"/>
  <c r="AL26" i="23" a="1"/>
  <c r="AL26" i="23" s="1"/>
  <c r="AM26" i="23" a="1"/>
  <c r="AM26" i="23" s="1"/>
  <c r="AN26" i="23" a="1"/>
  <c r="AN26" i="23" s="1"/>
  <c r="AO26" i="23" a="1"/>
  <c r="AO26" i="23" s="1"/>
  <c r="AG27" i="23" a="1"/>
  <c r="AG27" i="23" s="1"/>
  <c r="AH27" i="23" a="1"/>
  <c r="AH27" i="23" s="1"/>
  <c r="AI27" i="23" a="1"/>
  <c r="AI27" i="23"/>
  <c r="AJ27" i="23" a="1"/>
  <c r="AJ27" i="23" s="1"/>
  <c r="AK27" i="23" a="1"/>
  <c r="AK27" i="23" s="1"/>
  <c r="AL27" i="23" a="1"/>
  <c r="AL27" i="23" s="1"/>
  <c r="AM27" i="23" a="1"/>
  <c r="AM27" i="23" s="1"/>
  <c r="AN27" i="23" a="1"/>
  <c r="AN27" i="23" s="1"/>
  <c r="AO27" i="23" a="1"/>
  <c r="AO27" i="23" s="1"/>
  <c r="AG28" i="23" a="1"/>
  <c r="AG28" i="23" s="1"/>
  <c r="AH28" i="23" a="1"/>
  <c r="AH28" i="23" s="1"/>
  <c r="AI28" i="23" a="1"/>
  <c r="AI28" i="23" s="1"/>
  <c r="AJ28" i="23" a="1"/>
  <c r="AJ28" i="23" s="1"/>
  <c r="AK28" i="23" a="1"/>
  <c r="AK28" i="23" s="1"/>
  <c r="AL28" i="23" a="1"/>
  <c r="AL28" i="23" s="1"/>
  <c r="AM28" i="23" a="1"/>
  <c r="AM28" i="23" s="1"/>
  <c r="AN28" i="23" a="1"/>
  <c r="AN28" i="23" s="1"/>
  <c r="AO28" i="23" a="1"/>
  <c r="AO28" i="23" s="1"/>
  <c r="AG29" i="23" a="1"/>
  <c r="AG29" i="23"/>
  <c r="AH29" i="23" a="1"/>
  <c r="AH29" i="23" s="1"/>
  <c r="AI29" i="23" a="1"/>
  <c r="AI29" i="23" s="1"/>
  <c r="AJ29" i="23" a="1"/>
  <c r="AJ29" i="23" s="1"/>
  <c r="AK29" i="23" a="1"/>
  <c r="AK29" i="23"/>
  <c r="AL29" i="23" a="1"/>
  <c r="AL29" i="23" s="1"/>
  <c r="AM29" i="23" a="1"/>
  <c r="AM29" i="23" s="1"/>
  <c r="AN29" i="23" a="1"/>
  <c r="AN29" i="23" s="1"/>
  <c r="AO29" i="23" a="1"/>
  <c r="AO29" i="23" s="1"/>
  <c r="AG30" i="23" a="1"/>
  <c r="AG30" i="23" s="1"/>
  <c r="AH30" i="23" a="1"/>
  <c r="AH30" i="23" s="1"/>
  <c r="AI30" i="23" a="1"/>
  <c r="AI30" i="23" s="1"/>
  <c r="AJ30" i="23" a="1"/>
  <c r="AJ30" i="23" s="1"/>
  <c r="AK30" i="23" a="1"/>
  <c r="AK30" i="23" s="1"/>
  <c r="AL30" i="23" a="1"/>
  <c r="AL30" i="23" s="1"/>
  <c r="AM30" i="23" a="1"/>
  <c r="AM30" i="23" s="1"/>
  <c r="AN30" i="23" a="1"/>
  <c r="AN30" i="23"/>
  <c r="AO30" i="23" a="1"/>
  <c r="AO30" i="23" s="1"/>
  <c r="AG31" i="23" a="1"/>
  <c r="AG31" i="23" s="1"/>
  <c r="AH31" i="23" a="1"/>
  <c r="AH31" i="23" s="1"/>
  <c r="AI31" i="23" a="1"/>
  <c r="AI31" i="23" s="1"/>
  <c r="AJ31" i="23" a="1"/>
  <c r="AJ31" i="23" s="1"/>
  <c r="AK31" i="23" a="1"/>
  <c r="AK31" i="23" s="1"/>
  <c r="AL31" i="23" a="1"/>
  <c r="AL31" i="23" s="1"/>
  <c r="AM31" i="23" a="1"/>
  <c r="AM31" i="23" s="1"/>
  <c r="AN31" i="23" a="1"/>
  <c r="AN31" i="23" s="1"/>
  <c r="AO31" i="23" a="1"/>
  <c r="AO31" i="23" s="1"/>
  <c r="AG32" i="23" a="1"/>
  <c r="AG32" i="23" s="1"/>
  <c r="AH32" i="23" a="1"/>
  <c r="AH32" i="23" s="1"/>
  <c r="AI32" i="23" a="1"/>
  <c r="AI32" i="23" s="1"/>
  <c r="AJ32" i="23" a="1"/>
  <c r="AJ32" i="23" s="1"/>
  <c r="AK32" i="23" a="1"/>
  <c r="AK32" i="23" s="1"/>
  <c r="AL32" i="23" a="1"/>
  <c r="AL32" i="23" s="1"/>
  <c r="AM32" i="23" a="1"/>
  <c r="AM32" i="23" s="1"/>
  <c r="AN32" i="23" a="1"/>
  <c r="AN32" i="23" s="1"/>
  <c r="AO32" i="23" a="1"/>
  <c r="AO32" i="23" s="1"/>
  <c r="AG33" i="23" a="1"/>
  <c r="AG33" i="23" s="1"/>
  <c r="AH33" i="23" a="1"/>
  <c r="AH33" i="23" s="1"/>
  <c r="AI33" i="23" a="1"/>
  <c r="AI33" i="23" s="1"/>
  <c r="AJ33" i="23" a="1"/>
  <c r="AJ33" i="23" s="1"/>
  <c r="AK33" i="23" a="1"/>
  <c r="AK33" i="23" s="1"/>
  <c r="AL33" i="23" a="1"/>
  <c r="AL33" i="23" s="1"/>
  <c r="AM33" i="23" a="1"/>
  <c r="AM33" i="23" s="1"/>
  <c r="AN33" i="23" a="1"/>
  <c r="AN33" i="23" s="1"/>
  <c r="AO33" i="23" a="1"/>
  <c r="AO33" i="23" s="1"/>
  <c r="AG34" i="23" a="1"/>
  <c r="AG34" i="23" s="1"/>
  <c r="AH34" i="23" a="1"/>
  <c r="AH34" i="23" s="1"/>
  <c r="AI34" i="23" a="1"/>
  <c r="AI34" i="23" s="1"/>
  <c r="AJ34" i="23" a="1"/>
  <c r="AJ34" i="23" s="1"/>
  <c r="AK34" i="23" a="1"/>
  <c r="AK34" i="23" s="1"/>
  <c r="AL34" i="23" a="1"/>
  <c r="AL34" i="23" s="1"/>
  <c r="AM34" i="23" a="1"/>
  <c r="AM34" i="23" s="1"/>
  <c r="AN34" i="23" a="1"/>
  <c r="AN34" i="23" s="1"/>
  <c r="AO34" i="23" a="1"/>
  <c r="AO34" i="23" s="1"/>
  <c r="AG35" i="23" a="1"/>
  <c r="AG35" i="23" s="1"/>
  <c r="AH35" i="23" a="1"/>
  <c r="AH35" i="23" s="1"/>
  <c r="AI35" i="23" a="1"/>
  <c r="AI35" i="23" s="1"/>
  <c r="AJ35" i="23" a="1"/>
  <c r="AJ35" i="23" s="1"/>
  <c r="AK35" i="23" a="1"/>
  <c r="AK35" i="23" s="1"/>
  <c r="AL35" i="23" a="1"/>
  <c r="AL35" i="23" s="1"/>
  <c r="AM35" i="23" a="1"/>
  <c r="AM35" i="23" s="1"/>
  <c r="AN35" i="23" a="1"/>
  <c r="AN35" i="23" s="1"/>
  <c r="AO35" i="23" a="1"/>
  <c r="AO35" i="23" s="1"/>
  <c r="AG36" i="23" a="1"/>
  <c r="AG36" i="23" s="1"/>
  <c r="AH36" i="23" a="1"/>
  <c r="AH36" i="23" s="1"/>
  <c r="AI36" i="23" a="1"/>
  <c r="AI36" i="23" s="1"/>
  <c r="AJ36" i="23" a="1"/>
  <c r="AJ36" i="23" s="1"/>
  <c r="AK36" i="23" a="1"/>
  <c r="AK36" i="23" s="1"/>
  <c r="AL36" i="23" a="1"/>
  <c r="AL36" i="23" s="1"/>
  <c r="AM36" i="23" a="1"/>
  <c r="AM36" i="23" s="1"/>
  <c r="AN36" i="23" a="1"/>
  <c r="AN36" i="23" s="1"/>
  <c r="AO36" i="23" a="1"/>
  <c r="AO36" i="23" s="1"/>
  <c r="AG37" i="23" a="1"/>
  <c r="AG37" i="23" s="1"/>
  <c r="AH37" i="23" a="1"/>
  <c r="AH37" i="23" s="1"/>
  <c r="AI37" i="23" a="1"/>
  <c r="AI37" i="23" s="1"/>
  <c r="AJ37" i="23" a="1"/>
  <c r="AJ37" i="23" s="1"/>
  <c r="AK37" i="23" a="1"/>
  <c r="AK37" i="23" s="1"/>
  <c r="AL37" i="23" a="1"/>
  <c r="AL37" i="23" s="1"/>
  <c r="AM37" i="23" a="1"/>
  <c r="AM37" i="23" s="1"/>
  <c r="AN37" i="23" a="1"/>
  <c r="AN37" i="23" s="1"/>
  <c r="AO37" i="23" a="1"/>
  <c r="AO37" i="23" s="1"/>
  <c r="AG38" i="23" a="1"/>
  <c r="AG38" i="23" s="1"/>
  <c r="AH38" i="23" a="1"/>
  <c r="AH38" i="23" s="1"/>
  <c r="AI38" i="23" a="1"/>
  <c r="AI38" i="23" s="1"/>
  <c r="AJ38" i="23" a="1"/>
  <c r="AJ38" i="23" s="1"/>
  <c r="AK38" i="23" a="1"/>
  <c r="AK38" i="23" s="1"/>
  <c r="AL38" i="23" a="1"/>
  <c r="AL38" i="23" s="1"/>
  <c r="AM38" i="23" a="1"/>
  <c r="AM38" i="23" s="1"/>
  <c r="AN38" i="23" a="1"/>
  <c r="AN38" i="23" s="1"/>
  <c r="AO38" i="23" a="1"/>
  <c r="AO38" i="23" s="1"/>
  <c r="AG39" i="23" a="1"/>
  <c r="AG39" i="23" s="1"/>
  <c r="AH39" i="23" a="1"/>
  <c r="AH39" i="23" s="1"/>
  <c r="AI39" i="23" a="1"/>
  <c r="AI39" i="23" s="1"/>
  <c r="AJ39" i="23" a="1"/>
  <c r="AJ39" i="23" s="1"/>
  <c r="AK39" i="23" a="1"/>
  <c r="AK39" i="23" s="1"/>
  <c r="AL39" i="23" a="1"/>
  <c r="AL39" i="23" s="1"/>
  <c r="AM39" i="23" a="1"/>
  <c r="AM39" i="23" s="1"/>
  <c r="AN39" i="23" a="1"/>
  <c r="AN39" i="23" s="1"/>
  <c r="AO39" i="23" a="1"/>
  <c r="AO39" i="23" s="1"/>
  <c r="AG40" i="23" a="1"/>
  <c r="AG40" i="23" s="1"/>
  <c r="AH40" i="23" a="1"/>
  <c r="AH40" i="23" s="1"/>
  <c r="AI40" i="23" a="1"/>
  <c r="AI40" i="23" s="1"/>
  <c r="AJ40" i="23" a="1"/>
  <c r="AJ40" i="23" s="1"/>
  <c r="AK40" i="23" a="1"/>
  <c r="AK40" i="23" s="1"/>
  <c r="AL40" i="23" a="1"/>
  <c r="AL40" i="23" s="1"/>
  <c r="AM40" i="23" a="1"/>
  <c r="AM40" i="23" s="1"/>
  <c r="AN40" i="23" a="1"/>
  <c r="AN40" i="23" s="1"/>
  <c r="AO40" i="23" a="1"/>
  <c r="AO40" i="23" s="1"/>
  <c r="AE48" i="23"/>
  <c r="AI48" i="23"/>
  <c r="AF49" i="23"/>
  <c r="AJ49" i="23"/>
  <c r="AG50" i="23"/>
  <c r="AJ50" i="23"/>
  <c r="AK50" i="23"/>
  <c r="AG51" i="23"/>
  <c r="AH51" i="23"/>
  <c r="AE52" i="23"/>
  <c r="AG52" i="23"/>
  <c r="AI52" i="23"/>
  <c r="AF53" i="23"/>
  <c r="AJ53" i="23"/>
  <c r="AG54" i="23"/>
  <c r="AK54" i="23"/>
  <c r="AG55" i="23"/>
  <c r="AH55" i="23"/>
  <c r="AE56" i="23"/>
  <c r="AI56" i="23"/>
  <c r="AK56" i="23"/>
  <c r="AF57" i="23"/>
  <c r="AJ57" i="23"/>
  <c r="AG58" i="23"/>
  <c r="AK58" i="23"/>
  <c r="AH59" i="23"/>
  <c r="AK59" i="23"/>
  <c r="AE60" i="23"/>
  <c r="AI60" i="23"/>
  <c r="AF61" i="23"/>
  <c r="AH61" i="23"/>
  <c r="AJ61" i="23"/>
  <c r="AH47" i="23"/>
  <c r="AE47" i="23"/>
  <c r="I27" i="23"/>
  <c r="J27" i="23"/>
  <c r="AF48" i="23" s="1"/>
  <c r="K27" i="23"/>
  <c r="AG48" i="23" s="1"/>
  <c r="L27" i="23"/>
  <c r="AH48" i="23" s="1"/>
  <c r="M27" i="23"/>
  <c r="N27" i="23"/>
  <c r="AJ48" i="23" s="1"/>
  <c r="O27" i="23"/>
  <c r="AK48" i="23" s="1"/>
  <c r="I28" i="23"/>
  <c r="AE49" i="23" s="1"/>
  <c r="J28" i="23"/>
  <c r="K28" i="23"/>
  <c r="AG49" i="23" s="1"/>
  <c r="L28" i="23"/>
  <c r="AH49" i="23" s="1"/>
  <c r="M28" i="23"/>
  <c r="AI49" i="23" s="1"/>
  <c r="N28" i="23"/>
  <c r="O28" i="23"/>
  <c r="AK49" i="23" s="1"/>
  <c r="I29" i="23"/>
  <c r="AE50" i="23" s="1"/>
  <c r="J29" i="23"/>
  <c r="AF50" i="23" s="1"/>
  <c r="K29" i="23"/>
  <c r="L29" i="23"/>
  <c r="AH50" i="23" s="1"/>
  <c r="M29" i="23"/>
  <c r="AI50" i="23" s="1"/>
  <c r="N29" i="23"/>
  <c r="O29" i="23"/>
  <c r="I30" i="23"/>
  <c r="AE51" i="23" s="1"/>
  <c r="J30" i="23"/>
  <c r="AF51" i="23" s="1"/>
  <c r="K30" i="23"/>
  <c r="L30" i="23"/>
  <c r="M30" i="23"/>
  <c r="AI51" i="23" s="1"/>
  <c r="N30" i="23"/>
  <c r="AJ51" i="23" s="1"/>
  <c r="O30" i="23"/>
  <c r="AK51" i="23" s="1"/>
  <c r="I31" i="23"/>
  <c r="J31" i="23"/>
  <c r="AF52" i="23" s="1"/>
  <c r="K31" i="23"/>
  <c r="L31" i="23"/>
  <c r="AH52" i="23" s="1"/>
  <c r="M31" i="23"/>
  <c r="N31" i="23"/>
  <c r="AJ52" i="23" s="1"/>
  <c r="O31" i="23"/>
  <c r="AK52" i="23" s="1"/>
  <c r="I32" i="23"/>
  <c r="AE53" i="23" s="1"/>
  <c r="J32" i="23"/>
  <c r="K32" i="23"/>
  <c r="AG53" i="23" s="1"/>
  <c r="L32" i="23"/>
  <c r="AH53" i="23" s="1"/>
  <c r="M32" i="23"/>
  <c r="AI53" i="23" s="1"/>
  <c r="N32" i="23"/>
  <c r="O32" i="23"/>
  <c r="AK53" i="23" s="1"/>
  <c r="I33" i="23"/>
  <c r="AE54" i="23" s="1"/>
  <c r="J33" i="23"/>
  <c r="AF54" i="23" s="1"/>
  <c r="K33" i="23"/>
  <c r="L33" i="23"/>
  <c r="AH54" i="23" s="1"/>
  <c r="M33" i="23"/>
  <c r="AI54" i="23" s="1"/>
  <c r="N33" i="23"/>
  <c r="AJ54" i="23" s="1"/>
  <c r="O33" i="23"/>
  <c r="I34" i="23"/>
  <c r="AE55" i="23" s="1"/>
  <c r="J34" i="23"/>
  <c r="AF55" i="23" s="1"/>
  <c r="K34" i="23"/>
  <c r="L34" i="23"/>
  <c r="M34" i="23"/>
  <c r="AI55" i="23" s="1"/>
  <c r="N34" i="23"/>
  <c r="AJ55" i="23" s="1"/>
  <c r="O34" i="23"/>
  <c r="AK55" i="23" s="1"/>
  <c r="I35" i="23"/>
  <c r="J35" i="23"/>
  <c r="AF56" i="23" s="1"/>
  <c r="K35" i="23"/>
  <c r="AG56" i="23" s="1"/>
  <c r="L35" i="23"/>
  <c r="AH56" i="23" s="1"/>
  <c r="M35" i="23"/>
  <c r="N35" i="23"/>
  <c r="AJ56" i="23" s="1"/>
  <c r="O35" i="23"/>
  <c r="I36" i="23"/>
  <c r="AE57" i="23" s="1"/>
  <c r="J36" i="23"/>
  <c r="K36" i="23"/>
  <c r="AG57" i="23" s="1"/>
  <c r="L36" i="23"/>
  <c r="AH57" i="23" s="1"/>
  <c r="M36" i="23"/>
  <c r="AI57" i="23" s="1"/>
  <c r="N36" i="23"/>
  <c r="O36" i="23"/>
  <c r="AK57" i="23" s="1"/>
  <c r="I37" i="23"/>
  <c r="AE58" i="23" s="1"/>
  <c r="J37" i="23"/>
  <c r="AF58" i="23" s="1"/>
  <c r="K37" i="23"/>
  <c r="L37" i="23"/>
  <c r="AH58" i="23" s="1"/>
  <c r="M37" i="23"/>
  <c r="AI58" i="23" s="1"/>
  <c r="N37" i="23"/>
  <c r="AJ58" i="23" s="1"/>
  <c r="O37" i="23"/>
  <c r="I38" i="23"/>
  <c r="AE59" i="23" s="1"/>
  <c r="J38" i="23"/>
  <c r="AF59" i="23" s="1"/>
  <c r="K38" i="23"/>
  <c r="AG59" i="23" s="1"/>
  <c r="L38" i="23"/>
  <c r="M38" i="23"/>
  <c r="AI59" i="23" s="1"/>
  <c r="N38" i="23"/>
  <c r="AJ59" i="23" s="1"/>
  <c r="O38" i="23"/>
  <c r="I39" i="23"/>
  <c r="J39" i="23"/>
  <c r="AF60" i="23" s="1"/>
  <c r="K39" i="23"/>
  <c r="AG60" i="23" s="1"/>
  <c r="L39" i="23"/>
  <c r="AH60" i="23" s="1"/>
  <c r="M39" i="23"/>
  <c r="N39" i="23"/>
  <c r="AJ60" i="23" s="1"/>
  <c r="O39" i="23"/>
  <c r="AK60" i="23" s="1"/>
  <c r="I40" i="23"/>
  <c r="AE61" i="23" s="1"/>
  <c r="J40" i="23"/>
  <c r="K40" i="23"/>
  <c r="AG61" i="23" s="1"/>
  <c r="L40" i="23"/>
  <c r="M40" i="23"/>
  <c r="AI61" i="23" s="1"/>
  <c r="N40" i="23"/>
  <c r="O40" i="23"/>
  <c r="AK61" i="23" s="1"/>
  <c r="J26" i="23"/>
  <c r="AF47" i="23" s="1"/>
  <c r="K26" i="23"/>
  <c r="AG47" i="23" s="1"/>
  <c r="L26" i="23"/>
  <c r="M26" i="23"/>
  <c r="AI47" i="23" s="1"/>
  <c r="N26" i="23"/>
  <c r="AJ47" i="23" s="1"/>
  <c r="O26" i="23"/>
  <c r="AK47" i="23" s="1"/>
  <c r="I26" i="23"/>
  <c r="A182" i="7" a="1"/>
  <c r="A182" i="7" s="1"/>
  <c r="A185" i="7"/>
  <c r="A186" i="7"/>
  <c r="A188" i="7"/>
  <c r="A189" i="7"/>
  <c r="A193" i="7"/>
  <c r="A194" i="7"/>
  <c r="A196" i="7"/>
  <c r="Y21" i="23"/>
  <c r="Z21" i="23"/>
  <c r="AA21" i="23"/>
  <c r="AB21" i="23"/>
  <c r="AC21" i="23"/>
  <c r="AD21" i="23"/>
  <c r="X21" i="23"/>
  <c r="J21" i="23"/>
  <c r="B27" i="23"/>
  <c r="X48" i="23" s="1"/>
  <c r="C27" i="23"/>
  <c r="Y48" i="23"/>
  <c r="D27" i="23"/>
  <c r="Z48" i="23" s="1"/>
  <c r="E27" i="23"/>
  <c r="AA48" i="23"/>
  <c r="F27" i="23"/>
  <c r="AB48" i="23" s="1"/>
  <c r="G27" i="23"/>
  <c r="AC48" i="23"/>
  <c r="H27" i="23"/>
  <c r="AD48" i="23"/>
  <c r="B28" i="23"/>
  <c r="X49" i="23"/>
  <c r="C28" i="23"/>
  <c r="Y49" i="23" s="1"/>
  <c r="D28" i="23"/>
  <c r="Z49" i="23"/>
  <c r="E28" i="23"/>
  <c r="AA49" i="23"/>
  <c r="F28" i="23"/>
  <c r="AB49" i="23"/>
  <c r="G28" i="23"/>
  <c r="AC49" i="23" s="1"/>
  <c r="H28" i="23"/>
  <c r="AD49" i="23"/>
  <c r="B29" i="23"/>
  <c r="X50" i="23" s="1"/>
  <c r="C29" i="23"/>
  <c r="Y50" i="23"/>
  <c r="D29" i="23"/>
  <c r="Z50" i="23" s="1"/>
  <c r="E29" i="23"/>
  <c r="AA50" i="23"/>
  <c r="F29" i="23"/>
  <c r="AB50" i="23"/>
  <c r="G29" i="23"/>
  <c r="AC50" i="23"/>
  <c r="H29" i="23"/>
  <c r="AD50" i="23" s="1"/>
  <c r="B30" i="23"/>
  <c r="X51" i="23"/>
  <c r="C30" i="23"/>
  <c r="Y51" i="23" s="1"/>
  <c r="D30" i="23"/>
  <c r="Z51" i="23"/>
  <c r="E30" i="23"/>
  <c r="AA51" i="23" s="1"/>
  <c r="F30" i="23"/>
  <c r="AB51" i="23"/>
  <c r="G30" i="23"/>
  <c r="AC51" i="23"/>
  <c r="H30" i="23"/>
  <c r="AD51" i="23"/>
  <c r="B31" i="23"/>
  <c r="X52" i="23" s="1"/>
  <c r="C31" i="23"/>
  <c r="Y52" i="23"/>
  <c r="D31" i="23"/>
  <c r="Z52" i="23"/>
  <c r="E31" i="23"/>
  <c r="AA52" i="23"/>
  <c r="F31" i="23"/>
  <c r="AB52" i="23" s="1"/>
  <c r="G31" i="23"/>
  <c r="AC52" i="23"/>
  <c r="H31" i="23"/>
  <c r="AD52" i="23" s="1"/>
  <c r="B32" i="23"/>
  <c r="X53" i="23"/>
  <c r="C32" i="23"/>
  <c r="Y53" i="23" s="1"/>
  <c r="D32" i="23"/>
  <c r="Z53" i="23"/>
  <c r="E32" i="23"/>
  <c r="AA53" i="23"/>
  <c r="F32" i="23"/>
  <c r="AB53" i="23"/>
  <c r="G32" i="23"/>
  <c r="AC53" i="23" s="1"/>
  <c r="H32" i="23"/>
  <c r="AD53" i="23"/>
  <c r="B33" i="23"/>
  <c r="X54" i="23"/>
  <c r="C33" i="23"/>
  <c r="Y54" i="23"/>
  <c r="D33" i="23"/>
  <c r="Z54" i="23" s="1"/>
  <c r="E33" i="23"/>
  <c r="AA54" i="23"/>
  <c r="F33" i="23"/>
  <c r="AB54" i="23" s="1"/>
  <c r="G33" i="23"/>
  <c r="AC54" i="23"/>
  <c r="H33" i="23"/>
  <c r="AD54" i="23" s="1"/>
  <c r="B34" i="23"/>
  <c r="X55" i="23"/>
  <c r="C34" i="23"/>
  <c r="Y55" i="23"/>
  <c r="D34" i="23"/>
  <c r="Z55" i="23"/>
  <c r="E34" i="23"/>
  <c r="AA55" i="23" s="1"/>
  <c r="F34" i="23"/>
  <c r="AB55" i="23"/>
  <c r="G34" i="23"/>
  <c r="AC55" i="23" s="1"/>
  <c r="H34" i="23"/>
  <c r="AD55" i="23"/>
  <c r="B35" i="23"/>
  <c r="X56" i="23" s="1"/>
  <c r="C35" i="23"/>
  <c r="Y56" i="23"/>
  <c r="D35" i="23"/>
  <c r="Z56" i="23"/>
  <c r="E35" i="23"/>
  <c r="AA56" i="23"/>
  <c r="F35" i="23"/>
  <c r="AB56" i="23" s="1"/>
  <c r="G35" i="23"/>
  <c r="AC56" i="23"/>
  <c r="H35" i="23"/>
  <c r="AD56" i="23"/>
  <c r="B36" i="23"/>
  <c r="X57" i="23"/>
  <c r="C36" i="23"/>
  <c r="Y57" i="23" s="1"/>
  <c r="D36" i="23"/>
  <c r="Z57" i="23"/>
  <c r="E36" i="23"/>
  <c r="AA57" i="23" s="1"/>
  <c r="F36" i="23"/>
  <c r="AB57" i="23"/>
  <c r="G36" i="23"/>
  <c r="AC57" i="23" s="1"/>
  <c r="H36" i="23"/>
  <c r="AD57" i="23"/>
  <c r="B37" i="23"/>
  <c r="X58" i="23"/>
  <c r="C37" i="23"/>
  <c r="Y58" i="23"/>
  <c r="D37" i="23"/>
  <c r="Z58" i="23" s="1"/>
  <c r="E37" i="23"/>
  <c r="AA58" i="23"/>
  <c r="F37" i="23"/>
  <c r="AB58" i="23"/>
  <c r="G37" i="23"/>
  <c r="AC58" i="23"/>
  <c r="H37" i="23"/>
  <c r="AD58" i="23" s="1"/>
  <c r="B38" i="23"/>
  <c r="X59" i="23"/>
  <c r="C38" i="23"/>
  <c r="Y59" i="23" s="1"/>
  <c r="D38" i="23"/>
  <c r="Z59" i="23"/>
  <c r="E38" i="23"/>
  <c r="AA59" i="23" s="1"/>
  <c r="F38" i="23"/>
  <c r="AB59" i="23"/>
  <c r="G38" i="23"/>
  <c r="AC59" i="23"/>
  <c r="H38" i="23"/>
  <c r="AD59" i="23"/>
  <c r="B39" i="23"/>
  <c r="X60" i="23" s="1"/>
  <c r="C39" i="23"/>
  <c r="Y60" i="23"/>
  <c r="D39" i="23"/>
  <c r="Z60" i="23" s="1"/>
  <c r="E39" i="23"/>
  <c r="AA60" i="23"/>
  <c r="F39" i="23"/>
  <c r="AB60" i="23" s="1"/>
  <c r="G39" i="23"/>
  <c r="AC60" i="23"/>
  <c r="H39" i="23"/>
  <c r="AD60" i="23"/>
  <c r="I21" i="23" s="1"/>
  <c r="B40" i="23"/>
  <c r="X61" i="23"/>
  <c r="C40" i="23"/>
  <c r="Y61" i="23" s="1"/>
  <c r="D40" i="23"/>
  <c r="Z61" i="23"/>
  <c r="E40" i="23"/>
  <c r="AA61" i="23"/>
  <c r="F40" i="23"/>
  <c r="AB61" i="23"/>
  <c r="G40" i="23"/>
  <c r="AC61" i="23" s="1"/>
  <c r="H40" i="23"/>
  <c r="AD61" i="23"/>
  <c r="C26" i="23"/>
  <c r="Y47" i="23" s="1"/>
  <c r="D26" i="23"/>
  <c r="Z47" i="23"/>
  <c r="E26" i="23"/>
  <c r="AA47" i="23" s="1"/>
  <c r="F26" i="23"/>
  <c r="AB47" i="23"/>
  <c r="G26" i="23"/>
  <c r="AC47" i="23"/>
  <c r="H26" i="23"/>
  <c r="AD47" i="23"/>
  <c r="B26" i="23"/>
  <c r="X47" i="23" s="1"/>
  <c r="H21" i="23"/>
  <c r="W47" i="23" a="1"/>
  <c r="W47" i="23" s="1"/>
  <c r="W54" i="23"/>
  <c r="D2" i="11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4" i="23"/>
  <c r="AE21" i="23" s="1"/>
  <c r="B2" i="19" a="1"/>
  <c r="B3" i="19" s="1"/>
  <c r="D176" i="8"/>
  <c r="E176" i="8" s="1"/>
  <c r="F176" i="8" s="1"/>
  <c r="G176" i="8" s="1"/>
  <c r="H176" i="8" s="1"/>
  <c r="I176" i="8" s="1"/>
  <c r="J176" i="8" s="1"/>
  <c r="K176" i="8" s="1"/>
  <c r="L176" i="8" s="1"/>
  <c r="M176" i="8" s="1"/>
  <c r="N176" i="8" s="1"/>
  <c r="O176" i="8" s="1"/>
  <c r="P176" i="8" s="1"/>
  <c r="Q176" i="8" s="1"/>
  <c r="C176" i="8"/>
  <c r="D144" i="8"/>
  <c r="E144" i="8"/>
  <c r="F144" i="8" s="1"/>
  <c r="G144" i="8" s="1"/>
  <c r="H144" i="8" s="1"/>
  <c r="I144" i="8" s="1"/>
  <c r="J144" i="8" s="1"/>
  <c r="K144" i="8" s="1"/>
  <c r="L144" i="8" s="1"/>
  <c r="M144" i="8" s="1"/>
  <c r="N144" i="8" s="1"/>
  <c r="O144" i="8" s="1"/>
  <c r="P144" i="8" s="1"/>
  <c r="Q144" i="8" s="1"/>
  <c r="D147" i="8"/>
  <c r="E147" i="8" s="1"/>
  <c r="F147" i="8"/>
  <c r="G147" i="8" s="1"/>
  <c r="H147" i="8" s="1"/>
  <c r="I147" i="8" s="1"/>
  <c r="J147" i="8" s="1"/>
  <c r="K147" i="8" s="1"/>
  <c r="L147" i="8" s="1"/>
  <c r="M147" i="8" s="1"/>
  <c r="N147" i="8" s="1"/>
  <c r="O147" i="8" s="1"/>
  <c r="P147" i="8" s="1"/>
  <c r="Q147" i="8" s="1"/>
  <c r="D150" i="8"/>
  <c r="E150" i="8" s="1"/>
  <c r="F150" i="8" s="1"/>
  <c r="G150" i="8" s="1"/>
  <c r="H150" i="8" s="1"/>
  <c r="I150" i="8" s="1"/>
  <c r="J150" i="8" s="1"/>
  <c r="K150" i="8" s="1"/>
  <c r="L150" i="8" s="1"/>
  <c r="M150" i="8" s="1"/>
  <c r="N150" i="8" s="1"/>
  <c r="O150" i="8" s="1"/>
  <c r="P150" i="8" s="1"/>
  <c r="Q150" i="8" s="1"/>
  <c r="D152" i="8"/>
  <c r="E152" i="8"/>
  <c r="F152" i="8" s="1"/>
  <c r="G152" i="8" s="1"/>
  <c r="H152" i="8" s="1"/>
  <c r="I152" i="8" s="1"/>
  <c r="J152" i="8" s="1"/>
  <c r="K152" i="8" s="1"/>
  <c r="L152" i="8" s="1"/>
  <c r="M152" i="8" s="1"/>
  <c r="N152" i="8" s="1"/>
  <c r="O152" i="8" s="1"/>
  <c r="P152" i="8" s="1"/>
  <c r="Q152" i="8" s="1"/>
  <c r="E153" i="8"/>
  <c r="F153" i="8" s="1"/>
  <c r="G153" i="8" s="1"/>
  <c r="H153" i="8" s="1"/>
  <c r="I153" i="8" s="1"/>
  <c r="J153" i="8" s="1"/>
  <c r="K153" i="8" s="1"/>
  <c r="L153" i="8" s="1"/>
  <c r="M153" i="8" s="1"/>
  <c r="N153" i="8" s="1"/>
  <c r="O153" i="8" s="1"/>
  <c r="P153" i="8" s="1"/>
  <c r="Q153" i="8" s="1"/>
  <c r="D154" i="8"/>
  <c r="E154" i="8" s="1"/>
  <c r="F154" i="8" s="1"/>
  <c r="G154" i="8" s="1"/>
  <c r="H154" i="8" s="1"/>
  <c r="I154" i="8" s="1"/>
  <c r="J154" i="8" s="1"/>
  <c r="K154" i="8" s="1"/>
  <c r="L154" i="8" s="1"/>
  <c r="M154" i="8" s="1"/>
  <c r="N154" i="8" s="1"/>
  <c r="O154" i="8" s="1"/>
  <c r="P154" i="8" s="1"/>
  <c r="Q154" i="8" s="1"/>
  <c r="C143" i="8"/>
  <c r="D143" i="8" s="1"/>
  <c r="E143" i="8" s="1"/>
  <c r="F143" i="8" s="1"/>
  <c r="G143" i="8" s="1"/>
  <c r="H143" i="8" s="1"/>
  <c r="I143" i="8" s="1"/>
  <c r="J143" i="8" s="1"/>
  <c r="K143" i="8" s="1"/>
  <c r="L143" i="8" s="1"/>
  <c r="M143" i="8" s="1"/>
  <c r="N143" i="8" s="1"/>
  <c r="O143" i="8" s="1"/>
  <c r="P143" i="8" s="1"/>
  <c r="Q143" i="8" s="1"/>
  <c r="C144" i="8"/>
  <c r="C145" i="8"/>
  <c r="D145" i="8" s="1"/>
  <c r="E145" i="8" s="1"/>
  <c r="F145" i="8" s="1"/>
  <c r="G145" i="8" s="1"/>
  <c r="H145" i="8" s="1"/>
  <c r="I145" i="8" s="1"/>
  <c r="J145" i="8" s="1"/>
  <c r="K145" i="8" s="1"/>
  <c r="L145" i="8" s="1"/>
  <c r="M145" i="8" s="1"/>
  <c r="N145" i="8" s="1"/>
  <c r="O145" i="8" s="1"/>
  <c r="P145" i="8" s="1"/>
  <c r="Q145" i="8" s="1"/>
  <c r="C146" i="8"/>
  <c r="D146" i="8" s="1"/>
  <c r="E146" i="8" s="1"/>
  <c r="F146" i="8" s="1"/>
  <c r="G146" i="8" s="1"/>
  <c r="H146" i="8" s="1"/>
  <c r="I146" i="8" s="1"/>
  <c r="J146" i="8" s="1"/>
  <c r="K146" i="8" s="1"/>
  <c r="L146" i="8" s="1"/>
  <c r="M146" i="8" s="1"/>
  <c r="N146" i="8" s="1"/>
  <c r="O146" i="8" s="1"/>
  <c r="P146" i="8" s="1"/>
  <c r="Q146" i="8" s="1"/>
  <c r="C147" i="8"/>
  <c r="C148" i="8"/>
  <c r="D148" i="8" s="1"/>
  <c r="E148" i="8" s="1"/>
  <c r="F148" i="8" s="1"/>
  <c r="G148" i="8" s="1"/>
  <c r="H148" i="8" s="1"/>
  <c r="I148" i="8" s="1"/>
  <c r="J148" i="8" s="1"/>
  <c r="K148" i="8" s="1"/>
  <c r="L148" i="8" s="1"/>
  <c r="M148" i="8" s="1"/>
  <c r="N148" i="8" s="1"/>
  <c r="O148" i="8" s="1"/>
  <c r="P148" i="8" s="1"/>
  <c r="Q148" i="8" s="1"/>
  <c r="C149" i="8"/>
  <c r="D149" i="8" s="1"/>
  <c r="E149" i="8" s="1"/>
  <c r="F149" i="8" s="1"/>
  <c r="G149" i="8" s="1"/>
  <c r="H149" i="8" s="1"/>
  <c r="I149" i="8" s="1"/>
  <c r="J149" i="8" s="1"/>
  <c r="K149" i="8" s="1"/>
  <c r="L149" i="8" s="1"/>
  <c r="M149" i="8" s="1"/>
  <c r="N149" i="8" s="1"/>
  <c r="O149" i="8" s="1"/>
  <c r="P149" i="8" s="1"/>
  <c r="Q149" i="8" s="1"/>
  <c r="C150" i="8"/>
  <c r="C151" i="8"/>
  <c r="D151" i="8" s="1"/>
  <c r="E151" i="8" s="1"/>
  <c r="F151" i="8" s="1"/>
  <c r="G151" i="8" s="1"/>
  <c r="H151" i="8" s="1"/>
  <c r="I151" i="8" s="1"/>
  <c r="J151" i="8" s="1"/>
  <c r="K151" i="8" s="1"/>
  <c r="L151" i="8" s="1"/>
  <c r="M151" i="8" s="1"/>
  <c r="N151" i="8" s="1"/>
  <c r="O151" i="8" s="1"/>
  <c r="P151" i="8" s="1"/>
  <c r="Q151" i="8" s="1"/>
  <c r="C152" i="8"/>
  <c r="C153" i="8"/>
  <c r="D153" i="8" s="1"/>
  <c r="C154" i="8"/>
  <c r="C155" i="8"/>
  <c r="D155" i="8" s="1"/>
  <c r="E155" i="8" s="1"/>
  <c r="F155" i="8" s="1"/>
  <c r="G155" i="8" s="1"/>
  <c r="H155" i="8" s="1"/>
  <c r="I155" i="8" s="1"/>
  <c r="J155" i="8" s="1"/>
  <c r="K155" i="8" s="1"/>
  <c r="L155" i="8" s="1"/>
  <c r="M155" i="8" s="1"/>
  <c r="N155" i="8" s="1"/>
  <c r="O155" i="8" s="1"/>
  <c r="P155" i="8" s="1"/>
  <c r="Q155" i="8" s="1"/>
  <c r="C156" i="8"/>
  <c r="D156" i="8" s="1"/>
  <c r="E156" i="8" s="1"/>
  <c r="F156" i="8" s="1"/>
  <c r="G156" i="8" s="1"/>
  <c r="H156" i="8" s="1"/>
  <c r="I156" i="8" s="1"/>
  <c r="J156" i="8" s="1"/>
  <c r="K156" i="8" s="1"/>
  <c r="L156" i="8" s="1"/>
  <c r="M156" i="8" s="1"/>
  <c r="N156" i="8" s="1"/>
  <c r="O156" i="8" s="1"/>
  <c r="P156" i="8" s="1"/>
  <c r="Q156" i="8" s="1"/>
  <c r="C142" i="8"/>
  <c r="D142" i="8" s="1"/>
  <c r="E142" i="8" s="1"/>
  <c r="F142" i="8" s="1"/>
  <c r="G142" i="8" s="1"/>
  <c r="H142" i="8" s="1"/>
  <c r="I142" i="8" s="1"/>
  <c r="J142" i="8" s="1"/>
  <c r="K142" i="8" s="1"/>
  <c r="L142" i="8" s="1"/>
  <c r="M142" i="8" s="1"/>
  <c r="N142" i="8" s="1"/>
  <c r="O142" i="8" s="1"/>
  <c r="P142" i="8" s="1"/>
  <c r="Q142" i="8" s="1"/>
  <c r="Y26" i="23" a="1"/>
  <c r="Y26" i="23" s="1"/>
  <c r="Z26" i="23" a="1"/>
  <c r="Z26" i="23" s="1"/>
  <c r="AA26" i="23" a="1"/>
  <c r="AA26" i="23" s="1"/>
  <c r="AB26" i="23" a="1"/>
  <c r="AB26" i="23" s="1"/>
  <c r="AC26" i="23" a="1"/>
  <c r="AC26" i="23" s="1"/>
  <c r="AD26" i="23" a="1"/>
  <c r="AD26" i="23" s="1"/>
  <c r="AE26" i="23" a="1"/>
  <c r="AE26" i="23" s="1"/>
  <c r="AF18" i="23"/>
  <c r="Y27" i="23" a="1"/>
  <c r="Y27" i="23" s="1"/>
  <c r="Z27" i="23" a="1"/>
  <c r="Z27" i="23" s="1"/>
  <c r="AA27" i="23" a="1"/>
  <c r="AA27" i="23" s="1"/>
  <c r="AB27" i="23" a="1"/>
  <c r="AB27" i="23" s="1"/>
  <c r="AC27" i="23" a="1"/>
  <c r="AC27" i="23" s="1"/>
  <c r="AD27" i="23" a="1"/>
  <c r="AD27" i="23" s="1"/>
  <c r="AE27" i="23" a="1"/>
  <c r="AE27" i="23" s="1"/>
  <c r="Y28" i="23" a="1"/>
  <c r="Y28" i="23" s="1"/>
  <c r="Z28" i="23" a="1"/>
  <c r="Z28" i="23" s="1"/>
  <c r="AA28" i="23" a="1"/>
  <c r="AA28" i="23" s="1"/>
  <c r="AB28" i="23" a="1"/>
  <c r="AB28" i="23" s="1"/>
  <c r="AC28" i="23" a="1"/>
  <c r="AC28" i="23" s="1"/>
  <c r="AD28" i="23" a="1"/>
  <c r="AD28" i="23" s="1"/>
  <c r="AE28" i="23" a="1"/>
  <c r="AE28" i="23" s="1"/>
  <c r="Y29" i="23" a="1"/>
  <c r="Y29" i="23" s="1"/>
  <c r="Z29" i="23" a="1"/>
  <c r="Z29" i="23" s="1"/>
  <c r="AA29" i="23" a="1"/>
  <c r="AA29" i="23" s="1"/>
  <c r="AB29" i="23" a="1"/>
  <c r="AB29" i="23" s="1"/>
  <c r="AC29" i="23" a="1"/>
  <c r="AC29" i="23" s="1"/>
  <c r="AD29" i="23" a="1"/>
  <c r="AD29" i="23" s="1"/>
  <c r="AE29" i="23" a="1"/>
  <c r="AE29" i="23" s="1"/>
  <c r="Y30" i="23" a="1"/>
  <c r="Y30" i="23" s="1"/>
  <c r="Z30" i="23" a="1"/>
  <c r="Z30" i="23" s="1"/>
  <c r="AA30" i="23" a="1"/>
  <c r="AA30" i="23" s="1"/>
  <c r="AB30" i="23" a="1"/>
  <c r="AB30" i="23" s="1"/>
  <c r="AC30" i="23" a="1"/>
  <c r="AC30" i="23" s="1"/>
  <c r="AD30" i="23" a="1"/>
  <c r="AD30" i="23" s="1"/>
  <c r="AE30" i="23" a="1"/>
  <c r="AE30" i="23" s="1"/>
  <c r="Y31" i="23" a="1"/>
  <c r="Y31" i="23" s="1"/>
  <c r="Z31" i="23" a="1"/>
  <c r="Z31" i="23" s="1"/>
  <c r="AA31" i="23" a="1"/>
  <c r="AA31" i="23" s="1"/>
  <c r="AB31" i="23" a="1"/>
  <c r="AB31" i="23" s="1"/>
  <c r="AC31" i="23" a="1"/>
  <c r="AC31" i="23" s="1"/>
  <c r="AD31" i="23" a="1"/>
  <c r="AD31" i="23" s="1"/>
  <c r="AE31" i="23" a="1"/>
  <c r="AE31" i="23" s="1"/>
  <c r="Y32" i="23" a="1"/>
  <c r="Y32" i="23" s="1"/>
  <c r="Z32" i="23" a="1"/>
  <c r="Z32" i="23" s="1"/>
  <c r="AA32" i="23" a="1"/>
  <c r="AA32" i="23" s="1"/>
  <c r="AB32" i="23" a="1"/>
  <c r="AB32" i="23" s="1"/>
  <c r="AC32" i="23" a="1"/>
  <c r="AC32" i="23" s="1"/>
  <c r="AD32" i="23" a="1"/>
  <c r="AD32" i="23" s="1"/>
  <c r="AE32" i="23" a="1"/>
  <c r="AE32" i="23" s="1"/>
  <c r="Y33" i="23" a="1"/>
  <c r="Y33" i="23" s="1"/>
  <c r="Z33" i="23" a="1"/>
  <c r="Z33" i="23" s="1"/>
  <c r="AA33" i="23" a="1"/>
  <c r="AA33" i="23" s="1"/>
  <c r="AB33" i="23" a="1"/>
  <c r="AB33" i="23" s="1"/>
  <c r="AC33" i="23" a="1"/>
  <c r="AC33" i="23" s="1"/>
  <c r="AD33" i="23" a="1"/>
  <c r="AD33" i="23" s="1"/>
  <c r="AE33" i="23" a="1"/>
  <c r="AE33" i="23" s="1"/>
  <c r="Y34" i="23" a="1"/>
  <c r="Y34" i="23" s="1"/>
  <c r="Z34" i="23" a="1"/>
  <c r="Z34" i="23" s="1"/>
  <c r="AA34" i="23" a="1"/>
  <c r="AA34" i="23" s="1"/>
  <c r="AB34" i="23" a="1"/>
  <c r="AB34" i="23" s="1"/>
  <c r="AC34" i="23" a="1"/>
  <c r="AC34" i="23" s="1"/>
  <c r="AD34" i="23" a="1"/>
  <c r="AD34" i="23" s="1"/>
  <c r="AE34" i="23" a="1"/>
  <c r="AE34" i="23" s="1"/>
  <c r="Y35" i="23" a="1"/>
  <c r="Y35" i="23" s="1"/>
  <c r="Z35" i="23" a="1"/>
  <c r="Z35" i="23" s="1"/>
  <c r="AA35" i="23" a="1"/>
  <c r="AA35" i="23" s="1"/>
  <c r="AB35" i="23" a="1"/>
  <c r="AB35" i="23" s="1"/>
  <c r="AC35" i="23" a="1"/>
  <c r="AC35" i="23" s="1"/>
  <c r="AD35" i="23" a="1"/>
  <c r="AD35" i="23" s="1"/>
  <c r="AE35" i="23" a="1"/>
  <c r="AE35" i="23" s="1"/>
  <c r="Y36" i="23" a="1"/>
  <c r="Y36" i="23" s="1"/>
  <c r="Z36" i="23" a="1"/>
  <c r="Z36" i="23" s="1"/>
  <c r="AA36" i="23" a="1"/>
  <c r="AA36" i="23" s="1"/>
  <c r="AB36" i="23" a="1"/>
  <c r="AB36" i="23" s="1"/>
  <c r="AC36" i="23" a="1"/>
  <c r="AC36" i="23" s="1"/>
  <c r="AD36" i="23" a="1"/>
  <c r="AD36" i="23" s="1"/>
  <c r="AE36" i="23" a="1"/>
  <c r="AE36" i="23" s="1"/>
  <c r="Y37" i="23" a="1"/>
  <c r="Y37" i="23" s="1"/>
  <c r="Z37" i="23" a="1"/>
  <c r="Z37" i="23" s="1"/>
  <c r="AA37" i="23" a="1"/>
  <c r="AA37" i="23" s="1"/>
  <c r="AB37" i="23" a="1"/>
  <c r="AB37" i="23" s="1"/>
  <c r="AC37" i="23" a="1"/>
  <c r="AC37" i="23" s="1"/>
  <c r="AD37" i="23" a="1"/>
  <c r="AD37" i="23" s="1"/>
  <c r="AE37" i="23" a="1"/>
  <c r="AE37" i="23" s="1"/>
  <c r="Y38" i="23" a="1"/>
  <c r="Y38" i="23" s="1"/>
  <c r="Z38" i="23" a="1"/>
  <c r="Z38" i="23" s="1"/>
  <c r="AA38" i="23" a="1"/>
  <c r="AA38" i="23" s="1"/>
  <c r="AB38" i="23" a="1"/>
  <c r="AB38" i="23" s="1"/>
  <c r="AC38" i="23" a="1"/>
  <c r="AC38" i="23" s="1"/>
  <c r="AD38" i="23" a="1"/>
  <c r="AD38" i="23" s="1"/>
  <c r="AE38" i="23" a="1"/>
  <c r="AE38" i="23" s="1"/>
  <c r="Y39" i="23" a="1"/>
  <c r="Y39" i="23" s="1"/>
  <c r="Z39" i="23" a="1"/>
  <c r="Z39" i="23" s="1"/>
  <c r="AA39" i="23" a="1"/>
  <c r="AA39" i="23" s="1"/>
  <c r="AB39" i="23" a="1"/>
  <c r="AB39" i="23" s="1"/>
  <c r="AC39" i="23" a="1"/>
  <c r="AC39" i="23" s="1"/>
  <c r="AD39" i="23" a="1"/>
  <c r="AD39" i="23" s="1"/>
  <c r="Y40" i="23" a="1"/>
  <c r="Y40" i="23"/>
  <c r="Z40" i="23" a="1"/>
  <c r="Z40" i="23" s="1"/>
  <c r="AA40" i="23" a="1"/>
  <c r="AA40" i="23" s="1"/>
  <c r="AB40" i="23" a="1"/>
  <c r="AB40" i="23" s="1"/>
  <c r="AC40" i="23" a="1"/>
  <c r="AC40" i="23" s="1"/>
  <c r="AD40" i="23" a="1"/>
  <c r="AD40" i="23" s="1"/>
  <c r="X27" i="23" a="1"/>
  <c r="X27" i="23"/>
  <c r="X28" i="23" a="1"/>
  <c r="X28" i="23" s="1"/>
  <c r="X29" i="23" a="1"/>
  <c r="X29" i="23" s="1"/>
  <c r="X30" i="23" a="1"/>
  <c r="X30" i="23" s="1"/>
  <c r="X31" i="23" a="1"/>
  <c r="X31" i="23" s="1"/>
  <c r="X32" i="23" a="1"/>
  <c r="X32" i="23" s="1"/>
  <c r="X33" i="23" a="1"/>
  <c r="X33" i="23"/>
  <c r="X34" i="23" a="1"/>
  <c r="X34" i="23"/>
  <c r="X35" i="23" a="1"/>
  <c r="X35" i="23"/>
  <c r="X36" i="23" a="1"/>
  <c r="X36" i="23" s="1"/>
  <c r="X37" i="23" a="1"/>
  <c r="X37" i="23" s="1"/>
  <c r="X38" i="23" a="1"/>
  <c r="X38" i="23" s="1"/>
  <c r="X39" i="23" a="1"/>
  <c r="X39" i="23" s="1"/>
  <c r="X40" i="23" a="1"/>
  <c r="X40" i="23" s="1"/>
  <c r="X26" i="23" a="1"/>
  <c r="X26" i="23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J45" i="16"/>
  <c r="B42" i="16"/>
  <c r="B43" i="16"/>
  <c r="B44" i="16"/>
  <c r="B45" i="16"/>
  <c r="AX4" i="23" a="1"/>
  <c r="AX11" i="23" s="1"/>
  <c r="AX5" i="23"/>
  <c r="AX7" i="23"/>
  <c r="AX9" i="23"/>
  <c r="AX13" i="23"/>
  <c r="AX15" i="23"/>
  <c r="AZ4" i="23"/>
  <c r="BA4" i="23"/>
  <c r="BB4" i="23"/>
  <c r="BC4" i="23"/>
  <c r="BD4" i="23"/>
  <c r="BE4" i="23"/>
  <c r="BF4" i="23"/>
  <c r="AZ5" i="23"/>
  <c r="BA5" i="23"/>
  <c r="BB5" i="23"/>
  <c r="BC5" i="23"/>
  <c r="BD5" i="23"/>
  <c r="BE5" i="23"/>
  <c r="BF5" i="23"/>
  <c r="AZ6" i="23"/>
  <c r="BA6" i="23"/>
  <c r="BB6" i="23"/>
  <c r="BC6" i="23"/>
  <c r="BD6" i="23"/>
  <c r="BE6" i="23"/>
  <c r="BF6" i="23"/>
  <c r="AZ7" i="23"/>
  <c r="BA7" i="23"/>
  <c r="BB7" i="23"/>
  <c r="BC7" i="23"/>
  <c r="BD7" i="23"/>
  <c r="BE7" i="23"/>
  <c r="BF7" i="23"/>
  <c r="AZ8" i="23"/>
  <c r="BA8" i="23"/>
  <c r="BB8" i="23"/>
  <c r="BC8" i="23"/>
  <c r="BD8" i="23"/>
  <c r="BE8" i="23"/>
  <c r="BF8" i="23"/>
  <c r="AZ9" i="23"/>
  <c r="BA9" i="23"/>
  <c r="BB9" i="23"/>
  <c r="BC9" i="23"/>
  <c r="BD9" i="23"/>
  <c r="BE9" i="23"/>
  <c r="BF9" i="23"/>
  <c r="AZ10" i="23"/>
  <c r="BA10" i="23"/>
  <c r="BB10" i="23"/>
  <c r="BC10" i="23"/>
  <c r="BD10" i="23"/>
  <c r="BE10" i="23"/>
  <c r="BF10" i="23"/>
  <c r="AZ11" i="23"/>
  <c r="BA11" i="23"/>
  <c r="BB11" i="23"/>
  <c r="BC11" i="23"/>
  <c r="BD11" i="23"/>
  <c r="BE11" i="23"/>
  <c r="BF11" i="23"/>
  <c r="AZ12" i="23"/>
  <c r="BA12" i="23"/>
  <c r="BB12" i="23"/>
  <c r="BC12" i="23"/>
  <c r="BD12" i="23"/>
  <c r="BE12" i="23"/>
  <c r="BF12" i="23"/>
  <c r="AZ13" i="23"/>
  <c r="BA13" i="23"/>
  <c r="BB13" i="23"/>
  <c r="BC13" i="23"/>
  <c r="BD13" i="23"/>
  <c r="BE13" i="23"/>
  <c r="BF13" i="23"/>
  <c r="AZ14" i="23"/>
  <c r="BA14" i="23"/>
  <c r="BB14" i="23"/>
  <c r="BC14" i="23"/>
  <c r="BD14" i="23"/>
  <c r="BE14" i="23"/>
  <c r="BF14" i="23"/>
  <c r="AZ15" i="23"/>
  <c r="BA15" i="23"/>
  <c r="BB15" i="23"/>
  <c r="BC15" i="23"/>
  <c r="BD15" i="23"/>
  <c r="BE15" i="23"/>
  <c r="BF15" i="23"/>
  <c r="AZ16" i="23"/>
  <c r="BA16" i="23"/>
  <c r="BB16" i="23"/>
  <c r="BC16" i="23"/>
  <c r="BD16" i="23"/>
  <c r="BE16" i="23"/>
  <c r="BF16" i="23"/>
  <c r="AZ17" i="23"/>
  <c r="BA17" i="23"/>
  <c r="BB17" i="23"/>
  <c r="BC17" i="23"/>
  <c r="BD17" i="23"/>
  <c r="BE17" i="23"/>
  <c r="BF17" i="23"/>
  <c r="AZ18" i="23"/>
  <c r="BA18" i="23"/>
  <c r="BB18" i="23"/>
  <c r="BC18" i="23"/>
  <c r="BD18" i="23"/>
  <c r="BE18" i="23"/>
  <c r="BF18" i="23"/>
  <c r="AY5" i="23"/>
  <c r="AY6" i="23"/>
  <c r="AY7" i="23"/>
  <c r="AY8" i="23"/>
  <c r="AY9" i="23"/>
  <c r="AY10" i="23"/>
  <c r="AY11" i="23"/>
  <c r="AY12" i="23"/>
  <c r="AY13" i="23"/>
  <c r="AY14" i="23"/>
  <c r="AY15" i="23"/>
  <c r="AY16" i="23"/>
  <c r="AY17" i="23"/>
  <c r="AY18" i="23"/>
  <c r="AY4" i="23"/>
  <c r="J8" i="22" a="1"/>
  <c r="J11" i="22" s="1"/>
  <c r="F22" i="10" a="1"/>
  <c r="F22" i="10"/>
  <c r="G22" i="10" a="1"/>
  <c r="G22" i="10" s="1"/>
  <c r="H22" i="10" a="1"/>
  <c r="H22" i="10" s="1"/>
  <c r="I22" i="10" a="1"/>
  <c r="I22" i="10"/>
  <c r="J22" i="10" a="1"/>
  <c r="J22" i="10" s="1"/>
  <c r="K22" i="10" a="1"/>
  <c r="K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Q22" i="10" a="1"/>
  <c r="Q22" i="10" s="1"/>
  <c r="R22" i="10" a="1"/>
  <c r="R22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K33" i="10" a="1"/>
  <c r="K33" i="10" s="1"/>
  <c r="L33" i="10" a="1"/>
  <c r="L33" i="10" s="1"/>
  <c r="M33" i="10" a="1"/>
  <c r="M33" i="10" s="1"/>
  <c r="N33" i="10" a="1"/>
  <c r="N33" i="10"/>
  <c r="O33" i="10" a="1"/>
  <c r="O33" i="10" s="1"/>
  <c r="P33" i="10" a="1"/>
  <c r="P33" i="10" s="1"/>
  <c r="Q33" i="10" a="1"/>
  <c r="Q33" i="10" s="1"/>
  <c r="R33" i="10" a="1"/>
  <c r="R33" i="10"/>
  <c r="A4" i="23" a="1"/>
  <c r="A4" i="23"/>
  <c r="A5" i="23"/>
  <c r="A7" i="23"/>
  <c r="A9" i="23"/>
  <c r="A11" i="23"/>
  <c r="A12" i="23"/>
  <c r="A13" i="23"/>
  <c r="A15" i="23"/>
  <c r="A17" i="23"/>
  <c r="A18" i="23"/>
  <c r="L8" i="22" a="1"/>
  <c r="L9" i="22"/>
  <c r="L11" i="22"/>
  <c r="L13" i="22"/>
  <c r="D17" i="22"/>
  <c r="E17" i="22"/>
  <c r="F17" i="22"/>
  <c r="G17" i="22"/>
  <c r="H17" i="22"/>
  <c r="C17" i="22"/>
  <c r="B11" i="15"/>
  <c r="B12" i="15"/>
  <c r="B14" i="15"/>
  <c r="B2" i="15" a="1"/>
  <c r="B2" i="15"/>
  <c r="B3" i="15"/>
  <c r="B4" i="15"/>
  <c r="B13" i="15" s="1"/>
  <c r="B5" i="15"/>
  <c r="B7" i="15"/>
  <c r="B16" i="15" s="1"/>
  <c r="B9" i="15"/>
  <c r="B18" i="15" s="1"/>
  <c r="B10" i="15"/>
  <c r="B19" i="15" s="1"/>
  <c r="J4" i="3"/>
  <c r="J5" i="3"/>
  <c r="J6" i="3"/>
  <c r="J7" i="3"/>
  <c r="J8" i="3"/>
  <c r="J9" i="3"/>
  <c r="J3" i="3"/>
  <c r="A17" i="4"/>
  <c r="A31" i="4" s="1"/>
  <c r="A17" i="11"/>
  <c r="A22" i="4"/>
  <c r="A28" i="4"/>
  <c r="A28" i="11" s="1"/>
  <c r="A31" i="11"/>
  <c r="A45" i="4"/>
  <c r="A47" i="23" a="1"/>
  <c r="A48" i="23"/>
  <c r="A55" i="23"/>
  <c r="A56" i="23"/>
  <c r="W61" i="23"/>
  <c r="A26" i="23" a="1"/>
  <c r="A27" i="23"/>
  <c r="A31" i="23"/>
  <c r="A33" i="23"/>
  <c r="W4" i="23" a="1"/>
  <c r="W5" i="23"/>
  <c r="W9" i="23"/>
  <c r="W11" i="23"/>
  <c r="W13" i="23"/>
  <c r="W17" i="23"/>
  <c r="B3" i="14"/>
  <c r="B12" i="14" s="1"/>
  <c r="B4" i="14"/>
  <c r="B13" i="14" s="1"/>
  <c r="B6" i="14"/>
  <c r="B15" i="14" s="1"/>
  <c r="B7" i="14"/>
  <c r="B16" i="14" s="1"/>
  <c r="B8" i="14"/>
  <c r="B17" i="14" s="1"/>
  <c r="B2" i="14" a="1"/>
  <c r="A14" i="11"/>
  <c r="A13" i="11"/>
  <c r="A7" i="11"/>
  <c r="A5" i="11"/>
  <c r="B32" i="7" a="1"/>
  <c r="B35" i="7" s="1"/>
  <c r="B42" i="7" s="1"/>
  <c r="B38" i="7"/>
  <c r="B45" i="7" s="1"/>
  <c r="B37" i="7"/>
  <c r="B44" i="7" s="1"/>
  <c r="B36" i="7"/>
  <c r="B43" i="7" s="1"/>
  <c r="B34" i="7"/>
  <c r="B41" i="7" s="1"/>
  <c r="B33" i="7"/>
  <c r="B40" i="7" s="1"/>
  <c r="B32" i="7"/>
  <c r="B39" i="7" s="1"/>
  <c r="B4" i="7"/>
  <c r="B11" i="7" s="1"/>
  <c r="B5" i="7"/>
  <c r="B12" i="7" s="1"/>
  <c r="B6" i="7"/>
  <c r="B13" i="7" s="1"/>
  <c r="B8" i="7"/>
  <c r="B15" i="7" s="1"/>
  <c r="B2" i="7" a="1"/>
  <c r="E18" i="9"/>
  <c r="G18" i="9" s="1"/>
  <c r="I18" i="9"/>
  <c r="K18" i="9"/>
  <c r="M18" i="9" s="1"/>
  <c r="O18" i="9" s="1"/>
  <c r="Q18" i="9"/>
  <c r="S18" i="9" s="1"/>
  <c r="U18" i="9" s="1"/>
  <c r="W18" i="9" s="1"/>
  <c r="Y18" i="9" s="1"/>
  <c r="AA18" i="9" s="1"/>
  <c r="AC18" i="9" s="1"/>
  <c r="AE18" i="9" s="1"/>
  <c r="AG18" i="9" s="1"/>
  <c r="D18" i="9"/>
  <c r="F18" i="9" s="1"/>
  <c r="H18" i="9" s="1"/>
  <c r="J18" i="9" s="1"/>
  <c r="L18" i="9" s="1"/>
  <c r="N18" i="9" s="1"/>
  <c r="P18" i="9" s="1"/>
  <c r="R18" i="9" s="1"/>
  <c r="T18" i="9" s="1"/>
  <c r="V18" i="9" s="1"/>
  <c r="X18" i="9" s="1"/>
  <c r="Z18" i="9" s="1"/>
  <c r="AB18" i="9" s="1"/>
  <c r="AD18" i="9" s="1"/>
  <c r="AF18" i="9" s="1"/>
  <c r="S55" i="9" a="1"/>
  <c r="S55" i="9" s="1"/>
  <c r="S42" i="9" a="1"/>
  <c r="S42" i="9" s="1"/>
  <c r="S43" i="9" a="1"/>
  <c r="S43" i="9"/>
  <c r="S44" i="9" a="1"/>
  <c r="S44" i="9" s="1"/>
  <c r="S45" i="9" a="1"/>
  <c r="S45" i="9" s="1"/>
  <c r="S46" i="9" a="1"/>
  <c r="S46" i="9" s="1"/>
  <c r="S47" i="9" a="1"/>
  <c r="S47" i="9"/>
  <c r="S48" i="9" a="1"/>
  <c r="S48" i="9" s="1"/>
  <c r="S49" i="9" a="1"/>
  <c r="S49" i="9"/>
  <c r="S50" i="9" a="1"/>
  <c r="S50" i="9"/>
  <c r="S51" i="9" a="1"/>
  <c r="S51" i="9"/>
  <c r="S52" i="9" a="1"/>
  <c r="S52" i="9" s="1"/>
  <c r="S53" i="9" a="1"/>
  <c r="S53" i="9" s="1"/>
  <c r="S54" i="9" a="1"/>
  <c r="S54" i="9" s="1"/>
  <c r="S41" i="9" a="1"/>
  <c r="S41" i="9" s="1"/>
  <c r="U33" i="21" a="1"/>
  <c r="U33" i="21" s="1"/>
  <c r="U34" i="21" a="1"/>
  <c r="U34" i="21" s="1"/>
  <c r="U35" i="21" a="1"/>
  <c r="U35" i="21" s="1"/>
  <c r="U36" i="21" a="1"/>
  <c r="U36" i="21" s="1"/>
  <c r="U37" i="21" a="1"/>
  <c r="U37" i="21" s="1"/>
  <c r="U38" i="21" a="1"/>
  <c r="U38" i="21" s="1"/>
  <c r="U39" i="21" a="1"/>
  <c r="U39" i="21" s="1"/>
  <c r="U40" i="21" a="1"/>
  <c r="U40" i="21" s="1"/>
  <c r="U41" i="21" a="1"/>
  <c r="U41" i="21" s="1"/>
  <c r="U42" i="21" a="1"/>
  <c r="U42" i="21" s="1"/>
  <c r="U43" i="21" a="1"/>
  <c r="U43" i="21" s="1"/>
  <c r="U44" i="21" a="1"/>
  <c r="U44" i="21" s="1"/>
  <c r="U45" i="21" a="1"/>
  <c r="U45" i="21" s="1"/>
  <c r="U46" i="21" a="1"/>
  <c r="U46" i="21" s="1"/>
  <c r="U47" i="21" a="1"/>
  <c r="U47" i="21" s="1"/>
  <c r="W47" i="21" a="1"/>
  <c r="W47" i="21" s="1"/>
  <c r="W46" i="21" a="1"/>
  <c r="W46" i="21" s="1"/>
  <c r="W45" i="21" a="1"/>
  <c r="W45" i="21" s="1"/>
  <c r="W44" i="21" a="1"/>
  <c r="W44" i="21" s="1"/>
  <c r="W43" i="21" a="1"/>
  <c r="W43" i="21" s="1"/>
  <c r="W42" i="21" a="1"/>
  <c r="W42" i="21" s="1"/>
  <c r="W41" i="21" a="1"/>
  <c r="W41" i="21" s="1"/>
  <c r="W40" i="21" a="1"/>
  <c r="W40" i="21" s="1"/>
  <c r="W39" i="21" a="1"/>
  <c r="W39" i="21" s="1"/>
  <c r="W38" i="21" a="1"/>
  <c r="W38" i="21" s="1"/>
  <c r="W37" i="21" a="1"/>
  <c r="W37" i="21" s="1"/>
  <c r="W36" i="21" a="1"/>
  <c r="W36" i="21" s="1"/>
  <c r="W35" i="21" a="1"/>
  <c r="W35" i="21" s="1"/>
  <c r="W34" i="21" a="1"/>
  <c r="W34" i="21" s="1"/>
  <c r="AE3" i="21" a="1"/>
  <c r="AF3" i="21" s="1"/>
  <c r="AE3" i="21"/>
  <c r="AH3" i="21"/>
  <c r="AI3" i="21"/>
  <c r="AK3" i="21"/>
  <c r="AL3" i="21"/>
  <c r="AM3" i="21"/>
  <c r="AP3" i="21"/>
  <c r="AQ3" i="21"/>
  <c r="AS3" i="21"/>
  <c r="AE4" i="21"/>
  <c r="AF4" i="21"/>
  <c r="AI4" i="21"/>
  <c r="AJ4" i="21"/>
  <c r="AL4" i="21"/>
  <c r="AM4" i="21"/>
  <c r="AN4" i="21"/>
  <c r="AQ4" i="21"/>
  <c r="AR4" i="21"/>
  <c r="AE5" i="21"/>
  <c r="AF5" i="21"/>
  <c r="AG5" i="21"/>
  <c r="AJ5" i="21"/>
  <c r="AK5" i="21"/>
  <c r="AM5" i="21"/>
  <c r="AN5" i="21"/>
  <c r="AO5" i="21"/>
  <c r="AR5" i="21"/>
  <c r="AS5" i="21"/>
  <c r="AF6" i="21"/>
  <c r="AG6" i="21"/>
  <c r="AH6" i="21"/>
  <c r="AK6" i="21"/>
  <c r="AL6" i="21"/>
  <c r="AN6" i="21"/>
  <c r="AO6" i="21"/>
  <c r="AP6" i="21"/>
  <c r="AS6" i="21"/>
  <c r="AE7" i="21"/>
  <c r="AG7" i="21"/>
  <c r="AH7" i="21"/>
  <c r="AI7" i="21"/>
  <c r="AL7" i="21"/>
  <c r="AM7" i="21"/>
  <c r="AO7" i="21"/>
  <c r="AP7" i="21"/>
  <c r="AQ7" i="21"/>
  <c r="AE8" i="21"/>
  <c r="AF8" i="21"/>
  <c r="AH8" i="21"/>
  <c r="AI8" i="21"/>
  <c r="AJ8" i="21"/>
  <c r="AM8" i="21"/>
  <c r="AN8" i="21"/>
  <c r="AP8" i="21"/>
  <c r="AQ8" i="21"/>
  <c r="AR8" i="21"/>
  <c r="AF9" i="21"/>
  <c r="AG9" i="21"/>
  <c r="AI9" i="21"/>
  <c r="AJ9" i="21"/>
  <c r="AK9" i="21"/>
  <c r="AN9" i="21"/>
  <c r="AO9" i="21"/>
  <c r="AQ9" i="21"/>
  <c r="AR9" i="21"/>
  <c r="AS9" i="21"/>
  <c r="AG10" i="21"/>
  <c r="AH10" i="21"/>
  <c r="AJ10" i="21"/>
  <c r="AK10" i="21"/>
  <c r="AL10" i="21"/>
  <c r="AO10" i="21"/>
  <c r="AP10" i="21"/>
  <c r="AR10" i="21"/>
  <c r="AS10" i="21"/>
  <c r="AE11" i="21"/>
  <c r="AH11" i="21"/>
  <c r="AI11" i="21"/>
  <c r="AK11" i="21"/>
  <c r="AL11" i="21"/>
  <c r="AM11" i="21"/>
  <c r="AP11" i="21"/>
  <c r="AQ11" i="21"/>
  <c r="AS11" i="21"/>
  <c r="AE12" i="21"/>
  <c r="AF12" i="21"/>
  <c r="AI12" i="21"/>
  <c r="AJ12" i="21"/>
  <c r="AL12" i="21"/>
  <c r="AM12" i="21"/>
  <c r="AN12" i="21"/>
  <c r="AQ12" i="21"/>
  <c r="AR12" i="21"/>
  <c r="AE13" i="21"/>
  <c r="AF13" i="21"/>
  <c r="AG13" i="21"/>
  <c r="AJ13" i="21"/>
  <c r="AK13" i="21"/>
  <c r="AM13" i="21"/>
  <c r="AN13" i="21"/>
  <c r="AO13" i="21"/>
  <c r="AR13" i="21"/>
  <c r="AS13" i="21"/>
  <c r="AF14" i="21"/>
  <c r="AG14" i="21"/>
  <c r="AH14" i="21"/>
  <c r="AK14" i="21"/>
  <c r="AL14" i="21"/>
  <c r="AN14" i="21"/>
  <c r="AO14" i="21"/>
  <c r="AP14" i="21"/>
  <c r="AS14" i="21"/>
  <c r="AE15" i="21"/>
  <c r="AG15" i="21"/>
  <c r="AH15" i="21"/>
  <c r="AI15" i="21"/>
  <c r="AL15" i="21"/>
  <c r="AM15" i="21"/>
  <c r="AO15" i="21"/>
  <c r="AP15" i="21"/>
  <c r="AQ15" i="21"/>
  <c r="AE16" i="21"/>
  <c r="AF16" i="21"/>
  <c r="AH16" i="21"/>
  <c r="AI16" i="21"/>
  <c r="AJ16" i="21"/>
  <c r="AM16" i="21"/>
  <c r="AN16" i="21"/>
  <c r="AP16" i="21"/>
  <c r="AQ16" i="21"/>
  <c r="AR16" i="21"/>
  <c r="AF17" i="21"/>
  <c r="AG17" i="21"/>
  <c r="AI17" i="21"/>
  <c r="AJ17" i="21"/>
  <c r="AK17" i="21"/>
  <c r="AN17" i="21"/>
  <c r="AO17" i="21"/>
  <c r="AQ17" i="21"/>
  <c r="AR17" i="21"/>
  <c r="AS17" i="21"/>
  <c r="B17" i="4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4"/>
  <c r="B19" i="4"/>
  <c r="B19" i="11"/>
  <c r="B20" i="4"/>
  <c r="B34" i="4" s="1"/>
  <c r="B21" i="4"/>
  <c r="B21" i="11" s="1"/>
  <c r="B22" i="4"/>
  <c r="B23" i="4"/>
  <c r="B23" i="11"/>
  <c r="B24" i="4"/>
  <c r="B25" i="4"/>
  <c r="B25" i="11"/>
  <c r="B26" i="4"/>
  <c r="B27" i="4"/>
  <c r="B27" i="11"/>
  <c r="B28" i="4"/>
  <c r="B29" i="4"/>
  <c r="B29" i="11"/>
  <c r="B30" i="4"/>
  <c r="B33" i="4"/>
  <c r="B33" i="11"/>
  <c r="B36" i="4"/>
  <c r="B37" i="4"/>
  <c r="B37" i="11"/>
  <c r="B40" i="4"/>
  <c r="B41" i="4"/>
  <c r="B41" i="11" s="1"/>
  <c r="B42" i="4"/>
  <c r="B44" i="4"/>
  <c r="B58" i="4" s="1"/>
  <c r="B54" i="4"/>
  <c r="B68" i="4"/>
  <c r="A14" i="4"/>
  <c r="C1" i="4" a="1"/>
  <c r="D1" i="4"/>
  <c r="D1" i="11" s="1"/>
  <c r="A3" i="4"/>
  <c r="A4" i="4"/>
  <c r="A5" i="4"/>
  <c r="A6" i="4"/>
  <c r="A20" i="4" s="1"/>
  <c r="A7" i="4"/>
  <c r="A21" i="4" s="1"/>
  <c r="A8" i="4"/>
  <c r="A8" i="11" s="1"/>
  <c r="A9" i="4"/>
  <c r="A10" i="4"/>
  <c r="A11" i="4"/>
  <c r="A12" i="4"/>
  <c r="A13" i="4"/>
  <c r="A15" i="4"/>
  <c r="A16" i="4"/>
  <c r="A30" i="4" s="1"/>
  <c r="AA165" i="7"/>
  <c r="AA167" i="7"/>
  <c r="AA175" i="7"/>
  <c r="AA146" i="7"/>
  <c r="AA157" i="7"/>
  <c r="A162" i="7" a="1"/>
  <c r="A164" i="7" s="1"/>
  <c r="A165" i="7"/>
  <c r="A167" i="7"/>
  <c r="A168" i="7"/>
  <c r="A169" i="7"/>
  <c r="A172" i="7"/>
  <c r="A173" i="7"/>
  <c r="AA173" i="7" s="1"/>
  <c r="A175" i="7"/>
  <c r="A102" i="7" a="1"/>
  <c r="A104" i="7"/>
  <c r="A105" i="7"/>
  <c r="A107" i="7"/>
  <c r="A108" i="7"/>
  <c r="A109" i="7"/>
  <c r="A115" i="7"/>
  <c r="A116" i="7"/>
  <c r="A122" i="7" a="1"/>
  <c r="A124" i="7"/>
  <c r="A125" i="7"/>
  <c r="A127" i="7"/>
  <c r="A133" i="7"/>
  <c r="A135" i="7"/>
  <c r="A136" i="7"/>
  <c r="C31" i="7" a="1"/>
  <c r="E31" i="7"/>
  <c r="N31" i="7"/>
  <c r="P31" i="7"/>
  <c r="Q31" i="7"/>
  <c r="C1" i="7" a="1"/>
  <c r="E1" i="7" s="1"/>
  <c r="F1" i="7"/>
  <c r="H1" i="7"/>
  <c r="I1" i="7"/>
  <c r="J1" i="7"/>
  <c r="M1" i="7"/>
  <c r="N1" i="7"/>
  <c r="P1" i="7"/>
  <c r="A141" i="7" a="1"/>
  <c r="A143" i="7"/>
  <c r="AA145" i="7" s="1"/>
  <c r="A144" i="7"/>
  <c r="A146" i="7"/>
  <c r="AA148" i="7" s="1"/>
  <c r="A147" i="7"/>
  <c r="AA149" i="7" s="1"/>
  <c r="A148" i="7"/>
  <c r="AA150" i="7" s="1"/>
  <c r="A154" i="7"/>
  <c r="AA156" i="7" s="1"/>
  <c r="A155" i="7"/>
  <c r="D24" i="5" a="1"/>
  <c r="D24" i="5" s="1"/>
  <c r="E24" i="5" a="1"/>
  <c r="E24" i="5" s="1"/>
  <c r="F24" i="5" a="1"/>
  <c r="F24" i="5" s="1"/>
  <c r="G24" i="5" a="1"/>
  <c r="G24" i="5" s="1"/>
  <c r="H24" i="5" a="1"/>
  <c r="H24" i="5"/>
  <c r="I24" i="5" a="1"/>
  <c r="I24" i="5" s="1"/>
  <c r="J24" i="5" a="1"/>
  <c r="J24" i="5"/>
  <c r="H2" i="5" s="1"/>
  <c r="K24" i="5" a="1"/>
  <c r="K24" i="5" s="1"/>
  <c r="L24" i="5" a="1"/>
  <c r="L24" i="5"/>
  <c r="M24" i="5" a="1"/>
  <c r="M24" i="5" s="1"/>
  <c r="N24" i="5" a="1"/>
  <c r="N24" i="5"/>
  <c r="O24" i="5" a="1"/>
  <c r="O24" i="5"/>
  <c r="P24" i="5" a="1"/>
  <c r="P24" i="5"/>
  <c r="Q24" i="5" a="1"/>
  <c r="Q24" i="5" s="1"/>
  <c r="R24" i="5" a="1"/>
  <c r="R24" i="5" s="1"/>
  <c r="E4" i="5"/>
  <c r="L4" i="5"/>
  <c r="D5" i="5"/>
  <c r="Y5" i="5" s="1"/>
  <c r="G5" i="5"/>
  <c r="I6" i="5"/>
  <c r="BF6" i="5" s="1"/>
  <c r="M7" i="5"/>
  <c r="O10" i="5"/>
  <c r="C11" i="5"/>
  <c r="X11" i="5" s="1"/>
  <c r="K12" i="5"/>
  <c r="J13" i="5"/>
  <c r="N15" i="5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W26" i="21"/>
  <c r="U26" i="21"/>
  <c r="C28" i="22"/>
  <c r="F24" i="22" s="1"/>
  <c r="F25" i="22"/>
  <c r="D28" i="22"/>
  <c r="G24" i="22" s="1"/>
  <c r="G25" i="22"/>
  <c r="G26" i="22"/>
  <c r="G27" i="22"/>
  <c r="E28" i="22"/>
  <c r="H25" i="22" s="1"/>
  <c r="H27" i="22"/>
  <c r="A41" i="9" a="1"/>
  <c r="A41" i="9" s="1"/>
  <c r="A49" i="9"/>
  <c r="F41" i="9" a="1"/>
  <c r="F41" i="9" s="1"/>
  <c r="K41" i="9" a="1"/>
  <c r="K41" i="9" s="1"/>
  <c r="K42" i="9"/>
  <c r="K43" i="9"/>
  <c r="K45" i="9"/>
  <c r="K46" i="9"/>
  <c r="K49" i="9"/>
  <c r="K51" i="9"/>
  <c r="K53" i="9"/>
  <c r="K54" i="9"/>
  <c r="K55" i="9"/>
  <c r="R41" i="9" a="1"/>
  <c r="R41" i="9" s="1"/>
  <c r="R45" i="9"/>
  <c r="R46" i="9"/>
  <c r="R47" i="9"/>
  <c r="R48" i="9"/>
  <c r="R49" i="9"/>
  <c r="R54" i="9"/>
  <c r="R55" i="9"/>
  <c r="A3" i="9" a="1"/>
  <c r="A3" i="9" s="1"/>
  <c r="Z4" i="5"/>
  <c r="AG4" i="5"/>
  <c r="AB5" i="5"/>
  <c r="AD6" i="5"/>
  <c r="AH7" i="5"/>
  <c r="AJ10" i="5"/>
  <c r="AF12" i="5"/>
  <c r="AE13" i="5"/>
  <c r="AI15" i="5"/>
  <c r="AC2" i="5"/>
  <c r="B21" i="5"/>
  <c r="B175" i="8"/>
  <c r="B174" i="8"/>
  <c r="B173" i="8"/>
  <c r="F1" i="4"/>
  <c r="F1" i="11" s="1"/>
  <c r="C1" i="4"/>
  <c r="E1" i="4"/>
  <c r="E1" i="11" s="1"/>
  <c r="H1" i="4"/>
  <c r="H1" i="11" s="1"/>
  <c r="F2" i="4"/>
  <c r="F2" i="11" s="1"/>
  <c r="E2" i="4"/>
  <c r="E2" i="11" s="1"/>
  <c r="H2" i="4"/>
  <c r="H2" i="11" s="1"/>
  <c r="J2" i="4"/>
  <c r="B41" i="16"/>
  <c r="C2" i="11"/>
  <c r="C1" i="11"/>
  <c r="BD5" i="5"/>
  <c r="AZ11" i="5"/>
  <c r="BH12" i="5"/>
  <c r="BE2" i="5"/>
  <c r="BI4" i="5"/>
  <c r="BA5" i="5"/>
  <c r="AA172" i="8"/>
  <c r="AA171" i="8"/>
  <c r="AA162" i="8"/>
  <c r="AA163" i="8"/>
  <c r="AA164" i="8"/>
  <c r="AA152" i="8"/>
  <c r="AA151" i="8"/>
  <c r="AA142" i="8"/>
  <c r="AA143" i="8"/>
  <c r="AA144" i="8"/>
  <c r="AA145" i="8"/>
  <c r="AA153" i="8" s="1"/>
  <c r="AA146" i="8"/>
  <c r="AA147" i="8"/>
  <c r="AA148" i="8"/>
  <c r="AA149" i="8"/>
  <c r="AA150" i="8"/>
  <c r="AB152" i="8"/>
  <c r="AB151" i="8"/>
  <c r="AB142" i="8"/>
  <c r="AB143" i="8"/>
  <c r="AB144" i="8"/>
  <c r="AB145" i="8"/>
  <c r="AB153" i="8" s="1"/>
  <c r="AB146" i="8"/>
  <c r="AB147" i="8"/>
  <c r="AB148" i="8"/>
  <c r="AB149" i="8"/>
  <c r="AB150" i="8"/>
  <c r="Z162" i="8" a="1"/>
  <c r="Z172" i="8" s="1"/>
  <c r="AC143" i="8"/>
  <c r="AD143" i="8"/>
  <c r="AE143" i="8"/>
  <c r="AF143" i="8"/>
  <c r="AG143" i="8"/>
  <c r="AH143" i="8"/>
  <c r="AH153" i="8" s="1"/>
  <c r="AH152" i="8"/>
  <c r="AH151" i="8"/>
  <c r="AH142" i="8"/>
  <c r="AH144" i="8"/>
  <c r="AH145" i="8"/>
  <c r="AH146" i="8"/>
  <c r="AH147" i="8"/>
  <c r="AH148" i="8"/>
  <c r="AH149" i="8"/>
  <c r="AH150" i="8"/>
  <c r="AI143" i="8"/>
  <c r="AJ143" i="8"/>
  <c r="AK143" i="8"/>
  <c r="AL143" i="8"/>
  <c r="AM143" i="8"/>
  <c r="AM153" i="8" s="1"/>
  <c r="AN143" i="8"/>
  <c r="AO143" i="8"/>
  <c r="AO152" i="8"/>
  <c r="AO151" i="8"/>
  <c r="AO142" i="8"/>
  <c r="AO144" i="8"/>
  <c r="AO153" i="8" s="1"/>
  <c r="AO145" i="8"/>
  <c r="AO146" i="8"/>
  <c r="AO147" i="8"/>
  <c r="AO148" i="8"/>
  <c r="AO149" i="8"/>
  <c r="AO150" i="8"/>
  <c r="AP143" i="8"/>
  <c r="AP153" i="8" s="1"/>
  <c r="AP152" i="8"/>
  <c r="AP151" i="8"/>
  <c r="AP142" i="8"/>
  <c r="AP144" i="8"/>
  <c r="AP145" i="8"/>
  <c r="AP146" i="8"/>
  <c r="AP147" i="8"/>
  <c r="AP148" i="8"/>
  <c r="AP149" i="8"/>
  <c r="AP150" i="8"/>
  <c r="AC144" i="8"/>
  <c r="AD144" i="8"/>
  <c r="AE144" i="8"/>
  <c r="AF144" i="8"/>
  <c r="AG144" i="8"/>
  <c r="AI144" i="8"/>
  <c r="AJ144" i="8"/>
  <c r="AJ153" i="8" s="1"/>
  <c r="AK144" i="8"/>
  <c r="AL144" i="8"/>
  <c r="AM144" i="8"/>
  <c r="AN144" i="8"/>
  <c r="AC145" i="8"/>
  <c r="AD145" i="8"/>
  <c r="AE145" i="8"/>
  <c r="AF145" i="8"/>
  <c r="AG145" i="8"/>
  <c r="AI145" i="8"/>
  <c r="AJ145" i="8"/>
  <c r="AK145" i="8"/>
  <c r="AL145" i="8"/>
  <c r="AM145" i="8"/>
  <c r="AN145" i="8"/>
  <c r="AC146" i="8"/>
  <c r="AD146" i="8"/>
  <c r="AE146" i="8"/>
  <c r="AF146" i="8"/>
  <c r="AG146" i="8"/>
  <c r="AI146" i="8"/>
  <c r="AI153" i="8" s="1"/>
  <c r="AJ146" i="8"/>
  <c r="AK146" i="8"/>
  <c r="AL146" i="8"/>
  <c r="AM146" i="8"/>
  <c r="AN146" i="8"/>
  <c r="AC147" i="8"/>
  <c r="AD147" i="8"/>
  <c r="AE147" i="8"/>
  <c r="AF147" i="8"/>
  <c r="AG147" i="8"/>
  <c r="AI147" i="8"/>
  <c r="AJ147" i="8"/>
  <c r="AK147" i="8"/>
  <c r="AL147" i="8"/>
  <c r="AM147" i="8"/>
  <c r="AN147" i="8"/>
  <c r="AC148" i="8"/>
  <c r="AD148" i="8"/>
  <c r="AE148" i="8"/>
  <c r="AF148" i="8"/>
  <c r="AG148" i="8"/>
  <c r="AI148" i="8"/>
  <c r="AJ148" i="8"/>
  <c r="AK148" i="8"/>
  <c r="AL148" i="8"/>
  <c r="AM148" i="8"/>
  <c r="AN148" i="8"/>
  <c r="AC149" i="8"/>
  <c r="AD149" i="8"/>
  <c r="AE149" i="8"/>
  <c r="AF149" i="8"/>
  <c r="AG149" i="8"/>
  <c r="AI149" i="8"/>
  <c r="AJ149" i="8"/>
  <c r="AK149" i="8"/>
  <c r="AL149" i="8"/>
  <c r="AM149" i="8"/>
  <c r="AN149" i="8"/>
  <c r="AC150" i="8"/>
  <c r="AD150" i="8"/>
  <c r="AE150" i="8"/>
  <c r="AF150" i="8"/>
  <c r="AG150" i="8"/>
  <c r="AI150" i="8"/>
  <c r="AJ150" i="8"/>
  <c r="AK150" i="8"/>
  <c r="AL150" i="8"/>
  <c r="AM150" i="8"/>
  <c r="AN150" i="8"/>
  <c r="AC151" i="8"/>
  <c r="AD151" i="8"/>
  <c r="AE151" i="8"/>
  <c r="AF151" i="8"/>
  <c r="AG151" i="8"/>
  <c r="AI151" i="8"/>
  <c r="AJ151" i="8"/>
  <c r="AK151" i="8"/>
  <c r="AL151" i="8"/>
  <c r="AM151" i="8"/>
  <c r="AN151" i="8"/>
  <c r="AC152" i="8"/>
  <c r="AD152" i="8"/>
  <c r="AE152" i="8"/>
  <c r="AF152" i="8"/>
  <c r="AG152" i="8"/>
  <c r="AI152" i="8"/>
  <c r="AJ152" i="8"/>
  <c r="AK152" i="8"/>
  <c r="AL152" i="8"/>
  <c r="AM152" i="8"/>
  <c r="AN152" i="8"/>
  <c r="AC142" i="8"/>
  <c r="AC153" i="8" s="1"/>
  <c r="AD142" i="8"/>
  <c r="AD153" i="8" s="1"/>
  <c r="AE142" i="8"/>
  <c r="AF142" i="8"/>
  <c r="AF153" i="8" s="1"/>
  <c r="AG142" i="8"/>
  <c r="AI142" i="8"/>
  <c r="AJ142" i="8"/>
  <c r="AK142" i="8"/>
  <c r="AL142" i="8"/>
  <c r="AL153" i="8" s="1"/>
  <c r="AM142" i="8"/>
  <c r="AN142" i="8"/>
  <c r="AN153" i="8" s="1"/>
  <c r="AG153" i="8"/>
  <c r="Z142" i="8" a="1"/>
  <c r="Z146" i="8" s="1"/>
  <c r="Z169" i="8"/>
  <c r="Z162" i="8"/>
  <c r="Z167" i="8"/>
  <c r="Z163" i="8"/>
  <c r="Z143" i="8"/>
  <c r="Z148" i="8"/>
  <c r="C7" i="18"/>
  <c r="B162" i="8"/>
  <c r="B172" i="8"/>
  <c r="B171" i="8"/>
  <c r="B170" i="8"/>
  <c r="AA170" i="8" s="1"/>
  <c r="B169" i="8"/>
  <c r="AA169" i="8" s="1"/>
  <c r="B168" i="8"/>
  <c r="B167" i="8"/>
  <c r="AA167" i="8" s="1"/>
  <c r="B166" i="8"/>
  <c r="B165" i="8"/>
  <c r="B164" i="8"/>
  <c r="B163" i="8"/>
  <c r="B2" i="16"/>
  <c r="H2" i="16"/>
  <c r="I2" i="16"/>
  <c r="J2" i="16"/>
  <c r="B3" i="16"/>
  <c r="H3" i="16"/>
  <c r="I3" i="16"/>
  <c r="J3" i="16"/>
  <c r="B4" i="16"/>
  <c r="H4" i="16"/>
  <c r="I4" i="16"/>
  <c r="J4" i="16"/>
  <c r="B5" i="16"/>
  <c r="H5" i="16"/>
  <c r="I5" i="16"/>
  <c r="J5" i="16"/>
  <c r="B6" i="16"/>
  <c r="H6" i="16"/>
  <c r="I6" i="16"/>
  <c r="J6" i="16"/>
  <c r="B7" i="16"/>
  <c r="H7" i="16"/>
  <c r="I7" i="16"/>
  <c r="J7" i="16"/>
  <c r="B8" i="16"/>
  <c r="H8" i="16"/>
  <c r="I8" i="16"/>
  <c r="J8" i="16"/>
  <c r="B9" i="16"/>
  <c r="H9" i="16"/>
  <c r="I9" i="16"/>
  <c r="J9" i="16"/>
  <c r="B10" i="16"/>
  <c r="H10" i="16"/>
  <c r="I10" i="16"/>
  <c r="J10" i="16"/>
  <c r="B11" i="16"/>
  <c r="H11" i="16"/>
  <c r="I11" i="16"/>
  <c r="J11" i="16"/>
  <c r="B12" i="16"/>
  <c r="H12" i="16"/>
  <c r="I12" i="16"/>
  <c r="J12" i="16"/>
  <c r="B13" i="16"/>
  <c r="H13" i="16"/>
  <c r="I13" i="16"/>
  <c r="J13" i="16"/>
  <c r="B14" i="16"/>
  <c r="H14" i="16"/>
  <c r="I14" i="16"/>
  <c r="J14" i="16"/>
  <c r="B15" i="16"/>
  <c r="H15" i="16"/>
  <c r="I15" i="16"/>
  <c r="J15" i="16"/>
  <c r="B16" i="16"/>
  <c r="H16" i="16"/>
  <c r="I16" i="16"/>
  <c r="J16" i="16"/>
  <c r="B17" i="16"/>
  <c r="H17" i="16"/>
  <c r="I17" i="16"/>
  <c r="J17" i="16"/>
  <c r="B18" i="16"/>
  <c r="H18" i="16"/>
  <c r="I18" i="16"/>
  <c r="J18" i="16"/>
  <c r="B19" i="16"/>
  <c r="H19" i="16"/>
  <c r="I19" i="16"/>
  <c r="J19" i="16"/>
  <c r="B20" i="16"/>
  <c r="H20" i="16"/>
  <c r="I20" i="16"/>
  <c r="J20" i="16"/>
  <c r="B21" i="16"/>
  <c r="H21" i="16"/>
  <c r="I21" i="16"/>
  <c r="J21" i="16"/>
  <c r="B22" i="16"/>
  <c r="H22" i="16"/>
  <c r="I22" i="16"/>
  <c r="J22" i="16"/>
  <c r="B23" i="16"/>
  <c r="H23" i="16"/>
  <c r="I23" i="16"/>
  <c r="J23" i="16"/>
  <c r="B24" i="16"/>
  <c r="H24" i="16"/>
  <c r="I24" i="16"/>
  <c r="J24" i="16"/>
  <c r="B25" i="16"/>
  <c r="H25" i="16"/>
  <c r="I25" i="16"/>
  <c r="J25" i="16"/>
  <c r="B26" i="16"/>
  <c r="H26" i="16"/>
  <c r="I26" i="16"/>
  <c r="J26" i="16"/>
  <c r="B27" i="16"/>
  <c r="H27" i="16"/>
  <c r="I27" i="16"/>
  <c r="J27" i="16"/>
  <c r="B28" i="16"/>
  <c r="H28" i="16"/>
  <c r="I28" i="16"/>
  <c r="J28" i="16"/>
  <c r="B29" i="16"/>
  <c r="H29" i="16"/>
  <c r="I29" i="16"/>
  <c r="J29" i="16"/>
  <c r="B30" i="16"/>
  <c r="H30" i="16"/>
  <c r="I30" i="16"/>
  <c r="J30" i="16"/>
  <c r="B31" i="16"/>
  <c r="H31" i="16"/>
  <c r="I31" i="16"/>
  <c r="J31" i="16"/>
  <c r="B32" i="16"/>
  <c r="H32" i="16"/>
  <c r="I32" i="16"/>
  <c r="J32" i="16"/>
  <c r="B33" i="16"/>
  <c r="H33" i="16"/>
  <c r="I33" i="16"/>
  <c r="J33" i="16"/>
  <c r="B34" i="16"/>
  <c r="H34" i="16"/>
  <c r="I34" i="16"/>
  <c r="J34" i="16"/>
  <c r="B35" i="16"/>
  <c r="H35" i="16"/>
  <c r="I35" i="16"/>
  <c r="J35" i="16"/>
  <c r="B36" i="16"/>
  <c r="H36" i="16"/>
  <c r="I36" i="16"/>
  <c r="B37" i="16"/>
  <c r="H37" i="16"/>
  <c r="I37" i="16"/>
  <c r="B38" i="16"/>
  <c r="H38" i="16"/>
  <c r="I38" i="16"/>
  <c r="J38" i="16"/>
  <c r="B39" i="16"/>
  <c r="H39" i="16"/>
  <c r="I39" i="16"/>
  <c r="J39" i="16"/>
  <c r="B40" i="16"/>
  <c r="H40" i="16"/>
  <c r="I40" i="16"/>
  <c r="J40" i="16"/>
  <c r="H42" i="16"/>
  <c r="I42" i="16"/>
  <c r="J42" i="16"/>
  <c r="H43" i="16"/>
  <c r="I43" i="16"/>
  <c r="J43" i="16"/>
  <c r="H44" i="16"/>
  <c r="I44" i="16"/>
  <c r="J44" i="16"/>
  <c r="H45" i="16"/>
  <c r="I45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2" i="16"/>
  <c r="A43" i="16"/>
  <c r="A44" i="16"/>
  <c r="A45" i="16"/>
  <c r="A47" i="16"/>
  <c r="A1" i="16"/>
  <c r="E2" i="9"/>
  <c r="G2" i="9"/>
  <c r="I2" i="9"/>
  <c r="K2" i="9"/>
  <c r="M2" i="9"/>
  <c r="O2" i="9" s="1"/>
  <c r="Q2" i="9" s="1"/>
  <c r="S2" i="9" s="1"/>
  <c r="U2" i="9" s="1"/>
  <c r="W2" i="9" s="1"/>
  <c r="Y2" i="9" s="1"/>
  <c r="AA2" i="9" s="1"/>
  <c r="AC2" i="9" s="1"/>
  <c r="AE2" i="9" s="1"/>
  <c r="AG2" i="9" s="1"/>
  <c r="D2" i="9"/>
  <c r="F2" i="9" s="1"/>
  <c r="H2" i="9"/>
  <c r="J2" i="9" s="1"/>
  <c r="L2" i="9" s="1"/>
  <c r="N2" i="9" s="1"/>
  <c r="P2" i="9" s="1"/>
  <c r="R2" i="9" s="1"/>
  <c r="T2" i="9" s="1"/>
  <c r="V2" i="9" s="1"/>
  <c r="X2" i="9" s="1"/>
  <c r="Z2" i="9" s="1"/>
  <c r="AB2" i="9" s="1"/>
  <c r="AD2" i="9" s="1"/>
  <c r="AF2" i="9" s="1"/>
  <c r="B1" i="9" a="1"/>
  <c r="B1" i="9" s="1"/>
  <c r="D1" i="9" s="1"/>
  <c r="F1" i="9" s="1"/>
  <c r="H1" i="9" s="1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C1" i="9"/>
  <c r="E1" i="9" s="1"/>
  <c r="G1" i="9" s="1"/>
  <c r="I1" i="9" s="1"/>
  <c r="K1" i="9" s="1"/>
  <c r="M1" i="9" s="1"/>
  <c r="O1" i="9" s="1"/>
  <c r="Q1" i="9" s="1"/>
  <c r="S1" i="9" s="1"/>
  <c r="U1" i="9" s="1"/>
  <c r="W1" i="9" s="1"/>
  <c r="Y1" i="9" s="1"/>
  <c r="AA1" i="9" s="1"/>
  <c r="AC1" i="9" s="1"/>
  <c r="AE1" i="9" s="1"/>
  <c r="AG1" i="9" s="1"/>
  <c r="G38" i="10" a="1"/>
  <c r="G38" i="10"/>
  <c r="G37" i="10" a="1"/>
  <c r="G37" i="10" s="1"/>
  <c r="G36" i="10" a="1"/>
  <c r="G36" i="10"/>
  <c r="G35" i="10" a="1"/>
  <c r="G35" i="10" s="1"/>
  <c r="H34" i="10"/>
  <c r="E33" i="10" a="1"/>
  <c r="E33" i="10" s="1"/>
  <c r="D33" i="10" a="1"/>
  <c r="D33" i="10" s="1"/>
  <c r="C23" i="10"/>
  <c r="C24" i="10"/>
  <c r="D23" i="10" a="1"/>
  <c r="D23" i="10" s="1"/>
  <c r="E22" i="10" a="1"/>
  <c r="E22" i="10" s="1"/>
  <c r="D22" i="10" a="1"/>
  <c r="D22" i="10" s="1"/>
  <c r="B4" i="3"/>
  <c r="B5" i="3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C25" i="5"/>
  <c r="C26" i="5"/>
  <c r="C27" i="5" s="1"/>
  <c r="D24" i="10" a="1"/>
  <c r="D24" i="10"/>
  <c r="E24" i="10" a="1"/>
  <c r="E24" i="10" s="1"/>
  <c r="C25" i="10"/>
  <c r="E4" i="10"/>
  <c r="BB4" i="5"/>
  <c r="L4" i="10"/>
  <c r="D25" i="10" a="1"/>
  <c r="D25" i="10"/>
  <c r="D26" i="10" a="1"/>
  <c r="D26" i="10" s="1"/>
  <c r="D27" i="10" a="1"/>
  <c r="D27" i="10" s="1"/>
  <c r="E25" i="10" a="1"/>
  <c r="E25" i="10"/>
  <c r="E26" i="10" a="1"/>
  <c r="E26" i="10" s="1"/>
  <c r="C26" i="10"/>
  <c r="D5" i="10"/>
  <c r="C27" i="10"/>
  <c r="C28" i="10"/>
  <c r="D28" i="10" s="1" a="1"/>
  <c r="D28" i="10" s="1"/>
  <c r="H2" i="10"/>
  <c r="I6" i="10"/>
  <c r="F3" i="10"/>
  <c r="K12" i="10"/>
  <c r="G5" i="10"/>
  <c r="W33" i="21" a="1"/>
  <c r="W33" i="21" s="1"/>
  <c r="C37" i="16"/>
  <c r="C9" i="16"/>
  <c r="C14" i="16"/>
  <c r="D4" i="18" a="1"/>
  <c r="C8" i="16"/>
  <c r="C33" i="16"/>
  <c r="C5" i="16"/>
  <c r="C41" i="16"/>
  <c r="D3" i="18" a="1"/>
  <c r="C45" i="16"/>
  <c r="C12" i="16"/>
  <c r="C36" i="16"/>
  <c r="C10" i="16"/>
  <c r="D2" i="18" a="1"/>
  <c r="C2" i="16"/>
  <c r="C28" i="16"/>
  <c r="C39" i="16"/>
  <c r="D5" i="18" a="1"/>
  <c r="C19" i="16"/>
  <c r="C35" i="16"/>
  <c r="C13" i="16"/>
  <c r="C44" i="16"/>
  <c r="C17" i="16"/>
  <c r="C32" i="16"/>
  <c r="C40" i="16"/>
  <c r="C27" i="16"/>
  <c r="C23" i="16"/>
  <c r="C3" i="16"/>
  <c r="C6" i="16"/>
  <c r="C20" i="16"/>
  <c r="C24" i="16"/>
  <c r="C21" i="16"/>
  <c r="C7" i="16"/>
  <c r="C15" i="16"/>
  <c r="C26" i="16"/>
  <c r="C11" i="16"/>
  <c r="C22" i="16"/>
  <c r="C4" i="16"/>
  <c r="C43" i="16"/>
  <c r="C25" i="16"/>
  <c r="C34" i="16"/>
  <c r="C38" i="16"/>
  <c r="C29" i="16"/>
  <c r="C30" i="16"/>
  <c r="C42" i="16"/>
  <c r="C31" i="16"/>
  <c r="C18" i="16"/>
  <c r="C16" i="16"/>
  <c r="D27" i="5" l="1" a="1"/>
  <c r="D27" i="5" s="1"/>
  <c r="L27" i="5" a="1"/>
  <c r="L27" i="5" s="1"/>
  <c r="O27" i="5" a="1"/>
  <c r="O27" i="5" s="1"/>
  <c r="M27" i="5" a="1"/>
  <c r="M27" i="5" s="1"/>
  <c r="E27" i="5" a="1"/>
  <c r="E27" i="5" s="1"/>
  <c r="F27" i="5" a="1"/>
  <c r="F27" i="5" s="1"/>
  <c r="P27" i="5" a="1"/>
  <c r="P27" i="5" s="1"/>
  <c r="K27" i="5" a="1"/>
  <c r="K27" i="5" s="1"/>
  <c r="G27" i="5" a="1"/>
  <c r="G27" i="5" s="1"/>
  <c r="I27" i="5" a="1"/>
  <c r="I27" i="5" s="1"/>
  <c r="Q27" i="5" a="1"/>
  <c r="Q27" i="5" s="1"/>
  <c r="R27" i="5" a="1"/>
  <c r="R27" i="5" s="1"/>
  <c r="N27" i="5" a="1"/>
  <c r="N27" i="5" s="1"/>
  <c r="J27" i="5" a="1"/>
  <c r="J27" i="5" s="1"/>
  <c r="H27" i="5" a="1"/>
  <c r="H27" i="5" s="1"/>
  <c r="C28" i="5"/>
  <c r="AA141" i="8" a="1"/>
  <c r="B16" i="10"/>
  <c r="B13" i="10"/>
  <c r="B10" i="10"/>
  <c r="B8" i="10"/>
  <c r="B4" i="10"/>
  <c r="B6" i="10"/>
  <c r="C6" i="10"/>
  <c r="C11" i="10"/>
  <c r="P26" i="10" a="1"/>
  <c r="P26" i="10" s="1"/>
  <c r="L26" i="10" a="1"/>
  <c r="L26" i="10" s="1"/>
  <c r="H26" i="10" a="1"/>
  <c r="H26" i="10" s="1"/>
  <c r="F26" i="10" a="1"/>
  <c r="F26" i="10" s="1"/>
  <c r="Q26" i="10" a="1"/>
  <c r="Q26" i="10" s="1"/>
  <c r="G26" i="10" a="1"/>
  <c r="G26" i="10" s="1"/>
  <c r="R26" i="10" a="1"/>
  <c r="R26" i="10" s="1"/>
  <c r="I26" i="10" a="1"/>
  <c r="I26" i="10" s="1"/>
  <c r="J26" i="10" a="1"/>
  <c r="J26" i="10" s="1"/>
  <c r="K26" i="10" a="1"/>
  <c r="K26" i="10" s="1"/>
  <c r="M26" i="10" a="1"/>
  <c r="M26" i="10" s="1"/>
  <c r="N26" i="10" a="1"/>
  <c r="N26" i="10" s="1"/>
  <c r="O26" i="10" a="1"/>
  <c r="O26" i="10" s="1"/>
  <c r="J23" i="10" a="1"/>
  <c r="J23" i="10" s="1"/>
  <c r="P23" i="10" a="1"/>
  <c r="P23" i="10" s="1"/>
  <c r="K23" i="10" a="1"/>
  <c r="K23" i="10" s="1"/>
  <c r="F23" i="10" a="1"/>
  <c r="F23" i="10" s="1"/>
  <c r="L23" i="10" a="1"/>
  <c r="L23" i="10" s="1"/>
  <c r="Q23" i="10" a="1"/>
  <c r="Q23" i="10" s="1"/>
  <c r="G23" i="10" a="1"/>
  <c r="G23" i="10" s="1"/>
  <c r="H23" i="10" a="1"/>
  <c r="H23" i="10" s="1"/>
  <c r="M23" i="10" a="1"/>
  <c r="M23" i="10" s="1"/>
  <c r="R23" i="10" a="1"/>
  <c r="R23" i="10" s="1"/>
  <c r="I23" i="10" a="1"/>
  <c r="I23" i="10" s="1"/>
  <c r="N23" i="10" a="1"/>
  <c r="N23" i="10" s="1"/>
  <c r="O23" i="10" a="1"/>
  <c r="O23" i="10" s="1"/>
  <c r="E23" i="10" a="1"/>
  <c r="E23" i="10" s="1"/>
  <c r="C164" i="8"/>
  <c r="AF6" i="23"/>
  <c r="C172" i="8"/>
  <c r="AF14" i="23"/>
  <c r="Z147" i="8"/>
  <c r="AF15" i="23"/>
  <c r="C173" i="8"/>
  <c r="D173" i="8" s="1"/>
  <c r="E173" i="8" s="1"/>
  <c r="F173" i="8" s="1"/>
  <c r="G173" i="8" s="1"/>
  <c r="H173" i="8" s="1"/>
  <c r="I173" i="8" s="1"/>
  <c r="J173" i="8" s="1"/>
  <c r="K173" i="8" s="1"/>
  <c r="L173" i="8" s="1"/>
  <c r="M173" i="8" s="1"/>
  <c r="N173" i="8" s="1"/>
  <c r="O173" i="8" s="1"/>
  <c r="P173" i="8" s="1"/>
  <c r="Q173" i="8" s="1"/>
  <c r="F26" i="22"/>
  <c r="B161" i="8" a="1"/>
  <c r="Z151" i="8"/>
  <c r="AA161" i="8" a="1"/>
  <c r="C174" i="8"/>
  <c r="D174" i="8" s="1"/>
  <c r="E174" i="8" s="1"/>
  <c r="F174" i="8" s="1"/>
  <c r="G174" i="8" s="1"/>
  <c r="H174" i="8" s="1"/>
  <c r="I174" i="8" s="1"/>
  <c r="J174" i="8" s="1"/>
  <c r="K174" i="8" s="1"/>
  <c r="L174" i="8" s="1"/>
  <c r="M174" i="8" s="1"/>
  <c r="N174" i="8" s="1"/>
  <c r="O174" i="8" s="1"/>
  <c r="P174" i="8" s="1"/>
  <c r="Q174" i="8" s="1"/>
  <c r="AF16" i="23"/>
  <c r="F44" i="9"/>
  <c r="F52" i="9"/>
  <c r="F45" i="9"/>
  <c r="F54" i="9"/>
  <c r="F46" i="9"/>
  <c r="F55" i="9"/>
  <c r="F47" i="9"/>
  <c r="F48" i="9"/>
  <c r="C166" i="8"/>
  <c r="AF8" i="23"/>
  <c r="AA166" i="8"/>
  <c r="Z168" i="8"/>
  <c r="C175" i="8"/>
  <c r="D175" i="8" s="1"/>
  <c r="E175" i="8" s="1"/>
  <c r="F175" i="8" s="1"/>
  <c r="G175" i="8" s="1"/>
  <c r="H175" i="8" s="1"/>
  <c r="I175" i="8" s="1"/>
  <c r="J175" i="8" s="1"/>
  <c r="K175" i="8" s="1"/>
  <c r="L175" i="8" s="1"/>
  <c r="M175" i="8" s="1"/>
  <c r="N175" i="8" s="1"/>
  <c r="O175" i="8" s="1"/>
  <c r="P175" i="8" s="1"/>
  <c r="Q175" i="8" s="1"/>
  <c r="AF17" i="23"/>
  <c r="A12" i="9"/>
  <c r="F53" i="9"/>
  <c r="A50" i="9"/>
  <c r="C167" i="8"/>
  <c r="AF9" i="23"/>
  <c r="Z145" i="8"/>
  <c r="Z150" i="8"/>
  <c r="Z144" i="8"/>
  <c r="Z166" i="8"/>
  <c r="Z171" i="8"/>
  <c r="J2" i="11"/>
  <c r="L2" i="4"/>
  <c r="A11" i="9"/>
  <c r="F51" i="9"/>
  <c r="F23" i="22"/>
  <c r="F28" i="22" s="1"/>
  <c r="F27" i="22"/>
  <c r="G27" i="10" a="1"/>
  <c r="G27" i="10" s="1"/>
  <c r="O27" i="10" a="1"/>
  <c r="O27" i="10" s="1"/>
  <c r="K27" i="10" a="1"/>
  <c r="K27" i="10" s="1"/>
  <c r="N27" i="10" a="1"/>
  <c r="N27" i="10" s="1"/>
  <c r="P27" i="10" a="1"/>
  <c r="P27" i="10" s="1"/>
  <c r="F27" i="10" a="1"/>
  <c r="F27" i="10" s="1"/>
  <c r="Q27" i="10" a="1"/>
  <c r="Q27" i="10" s="1"/>
  <c r="H27" i="10" a="1"/>
  <c r="H27" i="10" s="1"/>
  <c r="R27" i="10" a="1"/>
  <c r="R27" i="10" s="1"/>
  <c r="I27" i="10" a="1"/>
  <c r="I27" i="10" s="1"/>
  <c r="J27" i="10" a="1"/>
  <c r="J27" i="10" s="1"/>
  <c r="L27" i="10" a="1"/>
  <c r="L27" i="10" s="1"/>
  <c r="M27" i="10" a="1"/>
  <c r="M27" i="10" s="1"/>
  <c r="B141" i="8" a="1"/>
  <c r="C168" i="8"/>
  <c r="AF10" i="23"/>
  <c r="AA168" i="8"/>
  <c r="Z152" i="8"/>
  <c r="Z170" i="8"/>
  <c r="AE153" i="8"/>
  <c r="A10" i="9"/>
  <c r="F50" i="9"/>
  <c r="A48" i="9"/>
  <c r="E26" i="5" a="1"/>
  <c r="E26" i="5" s="1"/>
  <c r="O26" i="5" a="1"/>
  <c r="O26" i="5" s="1"/>
  <c r="M26" i="5" a="1"/>
  <c r="M26" i="5" s="1"/>
  <c r="F26" i="5" a="1"/>
  <c r="F26" i="5" s="1"/>
  <c r="P26" i="5" a="1"/>
  <c r="P26" i="5" s="1"/>
  <c r="K26" i="5" a="1"/>
  <c r="K26" i="5" s="1"/>
  <c r="N26" i="5" a="1"/>
  <c r="N26" i="5" s="1"/>
  <c r="D26" i="5" a="1"/>
  <c r="D26" i="5" s="1"/>
  <c r="L26" i="5" a="1"/>
  <c r="L26" i="5" s="1"/>
  <c r="R26" i="5" a="1"/>
  <c r="R26" i="5" s="1"/>
  <c r="J26" i="5" a="1"/>
  <c r="J26" i="5" s="1"/>
  <c r="H26" i="5" a="1"/>
  <c r="H26" i="5" s="1"/>
  <c r="G26" i="5" a="1"/>
  <c r="G26" i="5" s="1"/>
  <c r="I26" i="5" a="1"/>
  <c r="I26" i="5" s="1"/>
  <c r="Q26" i="5" a="1"/>
  <c r="Q26" i="5" s="1"/>
  <c r="C169" i="8"/>
  <c r="AF11" i="23"/>
  <c r="A9" i="9"/>
  <c r="F49" i="9"/>
  <c r="A47" i="9"/>
  <c r="J28" i="10" a="1"/>
  <c r="J28" i="10" s="1"/>
  <c r="F28" i="10" a="1"/>
  <c r="F28" i="10" s="1"/>
  <c r="R28" i="10" a="1"/>
  <c r="R28" i="10" s="1"/>
  <c r="N28" i="10" a="1"/>
  <c r="N28" i="10" s="1"/>
  <c r="L28" i="10" a="1"/>
  <c r="L28" i="10" s="1"/>
  <c r="M28" i="10" a="1"/>
  <c r="M28" i="10" s="1"/>
  <c r="P28" i="10" a="1"/>
  <c r="P28" i="10" s="1"/>
  <c r="G28" i="10" a="1"/>
  <c r="G28" i="10" s="1"/>
  <c r="Q28" i="10" a="1"/>
  <c r="Q28" i="10" s="1"/>
  <c r="H28" i="10" a="1"/>
  <c r="H28" i="10" s="1"/>
  <c r="I28" i="10" a="1"/>
  <c r="I28" i="10" s="1"/>
  <c r="K28" i="10" a="1"/>
  <c r="K28" i="10" s="1"/>
  <c r="O28" i="10" a="1"/>
  <c r="O28" i="10" s="1"/>
  <c r="E28" i="10" a="1"/>
  <c r="E28" i="10" s="1"/>
  <c r="F25" i="10" a="1"/>
  <c r="F25" i="10" s="1"/>
  <c r="K25" i="10" a="1"/>
  <c r="K25" i="10" s="1"/>
  <c r="Q25" i="10" a="1"/>
  <c r="Q25" i="10" s="1"/>
  <c r="G25" i="10" a="1"/>
  <c r="G25" i="10" s="1"/>
  <c r="L25" i="10" a="1"/>
  <c r="L25" i="10" s="1"/>
  <c r="R25" i="10" a="1"/>
  <c r="R25" i="10" s="1"/>
  <c r="M25" i="10" a="1"/>
  <c r="M25" i="10" s="1"/>
  <c r="H25" i="10" a="1"/>
  <c r="H25" i="10" s="1"/>
  <c r="I25" i="10" a="1"/>
  <c r="I25" i="10" s="1"/>
  <c r="J25" i="10" a="1"/>
  <c r="J25" i="10" s="1"/>
  <c r="N25" i="10" a="1"/>
  <c r="N25" i="10" s="1"/>
  <c r="O25" i="10" a="1"/>
  <c r="O25" i="10" s="1"/>
  <c r="P25" i="10" a="1"/>
  <c r="P25" i="10" s="1"/>
  <c r="D25" i="5" a="1"/>
  <c r="D25" i="5" s="1"/>
  <c r="M25" i="5" a="1"/>
  <c r="M25" i="5" s="1"/>
  <c r="F25" i="5" a="1"/>
  <c r="F25" i="5" s="1"/>
  <c r="P25" i="5" a="1"/>
  <c r="P25" i="5" s="1"/>
  <c r="E25" i="5" a="1"/>
  <c r="E25" i="5" s="1"/>
  <c r="K25" i="5" a="1"/>
  <c r="K25" i="5" s="1"/>
  <c r="N25" i="5" a="1"/>
  <c r="N25" i="5" s="1"/>
  <c r="G25" i="5" a="1"/>
  <c r="G25" i="5" s="1"/>
  <c r="I25" i="5" a="1"/>
  <c r="I25" i="5" s="1"/>
  <c r="L25" i="5" a="1"/>
  <c r="L25" i="5" s="1"/>
  <c r="H25" i="5" a="1"/>
  <c r="H25" i="5" s="1"/>
  <c r="O25" i="5" a="1"/>
  <c r="O25" i="5" s="1"/>
  <c r="Q25" i="5" a="1"/>
  <c r="Q25" i="5" s="1"/>
  <c r="R25" i="5" a="1"/>
  <c r="R25" i="5" s="1"/>
  <c r="J25" i="5" a="1"/>
  <c r="J25" i="5" s="1"/>
  <c r="A1" i="6" a="1"/>
  <c r="AF12" i="23"/>
  <c r="C170" i="8"/>
  <c r="Z142" i="8"/>
  <c r="Z164" i="8"/>
  <c r="Z165" i="8"/>
  <c r="AK153" i="8"/>
  <c r="G2" i="4"/>
  <c r="J1" i="4"/>
  <c r="F43" i="9"/>
  <c r="C29" i="10"/>
  <c r="E27" i="10" a="1"/>
  <c r="E27" i="10" s="1"/>
  <c r="H24" i="10" a="1"/>
  <c r="H24" i="10" s="1"/>
  <c r="M24" i="10" a="1"/>
  <c r="M24" i="10" s="1"/>
  <c r="N24" i="10" a="1"/>
  <c r="N24" i="10" s="1"/>
  <c r="I24" i="10" a="1"/>
  <c r="I24" i="10" s="1"/>
  <c r="O24" i="10" a="1"/>
  <c r="O24" i="10" s="1"/>
  <c r="J24" i="10" a="1"/>
  <c r="J24" i="10" s="1"/>
  <c r="H14" i="10" s="1"/>
  <c r="K24" i="10" a="1"/>
  <c r="K24" i="10" s="1"/>
  <c r="P24" i="10" a="1"/>
  <c r="P24" i="10" s="1"/>
  <c r="F24" i="10" a="1"/>
  <c r="F24" i="10" s="1"/>
  <c r="G24" i="10" a="1"/>
  <c r="G24" i="10" s="1"/>
  <c r="L24" i="10" a="1"/>
  <c r="L24" i="10" s="1"/>
  <c r="Q24" i="10" a="1"/>
  <c r="Q24" i="10" s="1"/>
  <c r="R24" i="10" a="1"/>
  <c r="R24" i="10" s="1"/>
  <c r="Z149" i="8"/>
  <c r="A6" i="9"/>
  <c r="A14" i="9"/>
  <c r="A4" i="9"/>
  <c r="A13" i="9"/>
  <c r="A5" i="9"/>
  <c r="A15" i="9"/>
  <c r="A7" i="9"/>
  <c r="A16" i="9"/>
  <c r="A8" i="9"/>
  <c r="A17" i="9"/>
  <c r="F42" i="9"/>
  <c r="A44" i="9"/>
  <c r="A52" i="9"/>
  <c r="A42" i="9"/>
  <c r="A51" i="9"/>
  <c r="A43" i="9"/>
  <c r="A53" i="9"/>
  <c r="A45" i="9"/>
  <c r="A54" i="9"/>
  <c r="A46" i="9"/>
  <c r="A55" i="9"/>
  <c r="C163" i="8"/>
  <c r="AF5" i="23"/>
  <c r="BG5" i="23" s="1"/>
  <c r="AF13" i="23"/>
  <c r="C171" i="8"/>
  <c r="G1" i="4"/>
  <c r="R53" i="9"/>
  <c r="R43" i="9"/>
  <c r="K50" i="9"/>
  <c r="H26" i="22"/>
  <c r="G23" i="22"/>
  <c r="G28" i="22" s="1"/>
  <c r="R51" i="9"/>
  <c r="R42" i="9"/>
  <c r="K44" i="9"/>
  <c r="K52" i="9"/>
  <c r="H24" i="22"/>
  <c r="C165" i="8"/>
  <c r="AF7" i="23"/>
  <c r="C162" i="8"/>
  <c r="AF4" i="23"/>
  <c r="AA165" i="8"/>
  <c r="AA173" i="8" s="1"/>
  <c r="R50" i="9"/>
  <c r="K48" i="9"/>
  <c r="H23" i="22"/>
  <c r="H28" i="22" s="1"/>
  <c r="R44" i="9"/>
  <c r="R52" i="9"/>
  <c r="K47" i="9"/>
  <c r="P2" i="5"/>
  <c r="AK2" i="5" s="1"/>
  <c r="B42" i="11"/>
  <c r="B56" i="4"/>
  <c r="A20" i="11"/>
  <c r="A34" i="4"/>
  <c r="B24" i="11"/>
  <c r="B38" i="4"/>
  <c r="F2" i="5"/>
  <c r="F3" i="5"/>
  <c r="B68" i="11"/>
  <c r="B82" i="4"/>
  <c r="AA169" i="7"/>
  <c r="B36" i="11"/>
  <c r="B50" i="4"/>
  <c r="A22" i="11"/>
  <c r="A36" i="4"/>
  <c r="B34" i="11"/>
  <c r="B48" i="4"/>
  <c r="D2" i="5"/>
  <c r="AA164" i="7"/>
  <c r="B58" i="11"/>
  <c r="B72" i="4"/>
  <c r="C31" i="7"/>
  <c r="K31" i="7"/>
  <c r="D31" i="7"/>
  <c r="L31" i="7"/>
  <c r="G31" i="7"/>
  <c r="O31" i="7"/>
  <c r="A23" i="4"/>
  <c r="B51" i="4"/>
  <c r="B30" i="11"/>
  <c r="B39" i="4"/>
  <c r="B10" i="5"/>
  <c r="B13" i="5"/>
  <c r="W13" i="5" s="1"/>
  <c r="M31" i="7"/>
  <c r="A122" i="7"/>
  <c r="A130" i="7"/>
  <c r="A123" i="7"/>
  <c r="A131" i="7"/>
  <c r="A126" i="7"/>
  <c r="A134" i="7"/>
  <c r="A44" i="4"/>
  <c r="A30" i="11"/>
  <c r="A35" i="4"/>
  <c r="A21" i="11"/>
  <c r="B54" i="11"/>
  <c r="B43" i="4"/>
  <c r="B18" i="11"/>
  <c r="B31" i="4"/>
  <c r="A9" i="11"/>
  <c r="A26" i="23"/>
  <c r="A34" i="23"/>
  <c r="A28" i="23"/>
  <c r="A36" i="23"/>
  <c r="A29" i="23"/>
  <c r="A37" i="23"/>
  <c r="A30" i="23"/>
  <c r="A38" i="23"/>
  <c r="A32" i="23"/>
  <c r="A40" i="23"/>
  <c r="J31" i="7"/>
  <c r="A6" i="11"/>
  <c r="B55" i="4"/>
  <c r="B28" i="11"/>
  <c r="AI142" i="7" a="1"/>
  <c r="AI161" i="7" a="1"/>
  <c r="I161" i="7" a="1"/>
  <c r="B161" i="7" a="1"/>
  <c r="AB161" i="7" a="1"/>
  <c r="A141" i="7"/>
  <c r="AA143" i="7" s="1"/>
  <c r="A149" i="7"/>
  <c r="AA151" i="7" s="1"/>
  <c r="A142" i="7"/>
  <c r="AA144" i="7" s="1"/>
  <c r="A150" i="7"/>
  <c r="AA152" i="7" s="1"/>
  <c r="A145" i="7"/>
  <c r="AA147" i="7" s="1"/>
  <c r="A153" i="7"/>
  <c r="AA155" i="7" s="1"/>
  <c r="I31" i="7"/>
  <c r="A132" i="7"/>
  <c r="A102" i="7"/>
  <c r="A110" i="7"/>
  <c r="A103" i="7"/>
  <c r="A111" i="7"/>
  <c r="A106" i="7"/>
  <c r="A114" i="7"/>
  <c r="AA172" i="7"/>
  <c r="A27" i="4"/>
  <c r="A19" i="4"/>
  <c r="B40" i="11"/>
  <c r="B22" i="11"/>
  <c r="B5" i="14"/>
  <c r="B14" i="14" s="1"/>
  <c r="B9" i="14"/>
  <c r="B18" i="14" s="1"/>
  <c r="W4" i="23"/>
  <c r="W12" i="23"/>
  <c r="W6" i="23"/>
  <c r="W14" i="23"/>
  <c r="W7" i="23"/>
  <c r="W15" i="23"/>
  <c r="W8" i="23"/>
  <c r="W16" i="23"/>
  <c r="W10" i="23"/>
  <c r="W18" i="23"/>
  <c r="A49" i="23"/>
  <c r="A53" i="23"/>
  <c r="A57" i="23"/>
  <c r="A47" i="23"/>
  <c r="A52" i="23"/>
  <c r="A58" i="23"/>
  <c r="A54" i="23"/>
  <c r="A50" i="23"/>
  <c r="A59" i="23"/>
  <c r="A51" i="23"/>
  <c r="A60" i="23"/>
  <c r="A61" i="23"/>
  <c r="A152" i="7"/>
  <c r="AA154" i="7" s="1"/>
  <c r="Q1" i="7"/>
  <c r="H31" i="7"/>
  <c r="A129" i="7"/>
  <c r="A113" i="7"/>
  <c r="A176" i="7"/>
  <c r="A12" i="11"/>
  <c r="A26" i="4"/>
  <c r="A4" i="11"/>
  <c r="A18" i="4"/>
  <c r="B47" i="4"/>
  <c r="A15" i="11"/>
  <c r="B2" i="14"/>
  <c r="B11" i="14" s="1"/>
  <c r="A39" i="23"/>
  <c r="A29" i="4"/>
  <c r="A151" i="7"/>
  <c r="AA153" i="7" s="1"/>
  <c r="C1" i="7"/>
  <c r="K1" i="7"/>
  <c r="D1" i="7"/>
  <c r="L1" i="7"/>
  <c r="G1" i="7"/>
  <c r="O1" i="7"/>
  <c r="F31" i="7"/>
  <c r="A128" i="7"/>
  <c r="A112" i="7"/>
  <c r="A162" i="7"/>
  <c r="A170" i="7"/>
  <c r="A163" i="7"/>
  <c r="A171" i="7"/>
  <c r="A166" i="7"/>
  <c r="A174" i="7"/>
  <c r="AA168" i="7"/>
  <c r="B32" i="4"/>
  <c r="B26" i="11"/>
  <c r="B35" i="4"/>
  <c r="B2" i="7"/>
  <c r="B9" i="7" s="1"/>
  <c r="B3" i="7"/>
  <c r="B10" i="7" s="1"/>
  <c r="B7" i="7"/>
  <c r="B14" i="7" s="1"/>
  <c r="B10" i="14"/>
  <c r="B19" i="14" s="1"/>
  <c r="X3" i="23" a="1"/>
  <c r="A35" i="23"/>
  <c r="A59" i="4"/>
  <c r="A45" i="11"/>
  <c r="A24" i="4"/>
  <c r="A10" i="11"/>
  <c r="B44" i="11"/>
  <c r="B20" i="11"/>
  <c r="AP17" i="21"/>
  <c r="AH17" i="21"/>
  <c r="AO16" i="21"/>
  <c r="AG16" i="21"/>
  <c r="AN15" i="21"/>
  <c r="AF15" i="21"/>
  <c r="AM14" i="21"/>
  <c r="AE14" i="21"/>
  <c r="AL13" i="21"/>
  <c r="AS12" i="21"/>
  <c r="AK12" i="21"/>
  <c r="AR11" i="21"/>
  <c r="AJ11" i="21"/>
  <c r="AQ10" i="21"/>
  <c r="AI10" i="21"/>
  <c r="AP9" i="21"/>
  <c r="AH9" i="21"/>
  <c r="AO8" i="21"/>
  <c r="AG8" i="21"/>
  <c r="AN7" i="21"/>
  <c r="AF7" i="21"/>
  <c r="AM6" i="21"/>
  <c r="AE6" i="21"/>
  <c r="AL5" i="21"/>
  <c r="AS4" i="21"/>
  <c r="AK4" i="21"/>
  <c r="AR3" i="21"/>
  <c r="AJ3" i="21"/>
  <c r="A16" i="11"/>
  <c r="AM17" i="21"/>
  <c r="AE17" i="21"/>
  <c r="AL16" i="21"/>
  <c r="AS15" i="21"/>
  <c r="AK15" i="21"/>
  <c r="AR14" i="21"/>
  <c r="AJ14" i="21"/>
  <c r="AQ13" i="21"/>
  <c r="AI13" i="21"/>
  <c r="AP12" i="21"/>
  <c r="AH12" i="21"/>
  <c r="AO11" i="21"/>
  <c r="AG11" i="21"/>
  <c r="AN10" i="21"/>
  <c r="AF10" i="21"/>
  <c r="AM9" i="21"/>
  <c r="AE9" i="21"/>
  <c r="AL8" i="21"/>
  <c r="AS7" i="21"/>
  <c r="AK7" i="21"/>
  <c r="AR6" i="21"/>
  <c r="AJ6" i="21"/>
  <c r="AQ5" i="21"/>
  <c r="AI5" i="21"/>
  <c r="AP4" i="21"/>
  <c r="AH4" i="21"/>
  <c r="AO3" i="21"/>
  <c r="AG3" i="21"/>
  <c r="X33" i="21"/>
  <c r="A3" i="11"/>
  <c r="A11" i="11"/>
  <c r="B46" i="23" a="1"/>
  <c r="I3" i="23" a="1"/>
  <c r="I46" i="23" a="1"/>
  <c r="AG3" i="23" a="1"/>
  <c r="AE46" i="23" a="1"/>
  <c r="I25" i="23" a="1"/>
  <c r="B181" i="7" a="1"/>
  <c r="X46" i="23" a="1"/>
  <c r="C1" i="19" a="1"/>
  <c r="H1" i="19" s="1"/>
  <c r="B25" i="23" a="1"/>
  <c r="B3" i="23" a="1"/>
  <c r="AY3" i="23" a="1"/>
  <c r="AB142" i="7" a="1"/>
  <c r="P2" i="10"/>
  <c r="AL17" i="21"/>
  <c r="AS16" i="21"/>
  <c r="AK16" i="21"/>
  <c r="AR15" i="21"/>
  <c r="AJ15" i="21"/>
  <c r="AQ14" i="21"/>
  <c r="AI14" i="21"/>
  <c r="AP13" i="21"/>
  <c r="AH13" i="21"/>
  <c r="AO12" i="21"/>
  <c r="AG12" i="21"/>
  <c r="AN11" i="21"/>
  <c r="AF11" i="21"/>
  <c r="AM10" i="21"/>
  <c r="AE10" i="21"/>
  <c r="AL9" i="21"/>
  <c r="AS8" i="21"/>
  <c r="AK8" i="21"/>
  <c r="AR7" i="21"/>
  <c r="AJ7" i="21"/>
  <c r="AQ6" i="21"/>
  <c r="AI6" i="21"/>
  <c r="AP5" i="21"/>
  <c r="AH5" i="21"/>
  <c r="AO4" i="21"/>
  <c r="AG4" i="21"/>
  <c r="AN3" i="21"/>
  <c r="A25" i="4"/>
  <c r="L10" i="22"/>
  <c r="L12" i="22"/>
  <c r="L8" i="22"/>
  <c r="A6" i="23"/>
  <c r="A14" i="23"/>
  <c r="A8" i="23"/>
  <c r="A16" i="23"/>
  <c r="A10" i="23"/>
  <c r="O14" i="10"/>
  <c r="O10" i="10"/>
  <c r="A42" i="4"/>
  <c r="J15" i="10"/>
  <c r="J13" i="10"/>
  <c r="I14" i="10"/>
  <c r="N8" i="10"/>
  <c r="N15" i="10"/>
  <c r="M10" i="10"/>
  <c r="M7" i="10"/>
  <c r="B6" i="15"/>
  <c r="B15" i="15" s="1"/>
  <c r="B8" i="15"/>
  <c r="B17" i="15" s="1"/>
  <c r="G13" i="10"/>
  <c r="N9" i="10"/>
  <c r="AX6" i="23"/>
  <c r="AX14" i="23"/>
  <c r="AX8" i="23"/>
  <c r="AX16" i="23"/>
  <c r="AX10" i="23"/>
  <c r="AX18" i="23"/>
  <c r="AX4" i="23"/>
  <c r="AX12" i="23"/>
  <c r="AX17" i="23"/>
  <c r="AE39" i="23" a="1"/>
  <c r="AE39" i="23" s="1"/>
  <c r="AE40" i="23" a="1"/>
  <c r="AE40" i="23" s="1"/>
  <c r="W59" i="23"/>
  <c r="W50" i="23"/>
  <c r="W53" i="23"/>
  <c r="W49" i="23"/>
  <c r="W58" i="23"/>
  <c r="W52" i="23"/>
  <c r="W60" i="23"/>
  <c r="W56" i="23"/>
  <c r="W48" i="23"/>
  <c r="W55" i="23"/>
  <c r="W57" i="23"/>
  <c r="W51" i="23"/>
  <c r="A195" i="7"/>
  <c r="A187" i="7"/>
  <c r="A192" i="7"/>
  <c r="A184" i="7"/>
  <c r="A191" i="7"/>
  <c r="A183" i="7"/>
  <c r="A190" i="7"/>
  <c r="B14" i="19"/>
  <c r="E1" i="19"/>
  <c r="C1" i="19"/>
  <c r="B10" i="19"/>
  <c r="B6" i="19"/>
  <c r="B2" i="19"/>
  <c r="K3" i="19"/>
  <c r="J3" i="19"/>
  <c r="D1" i="19"/>
  <c r="B13" i="19"/>
  <c r="B9" i="19"/>
  <c r="B5" i="19"/>
  <c r="B16" i="19"/>
  <c r="B12" i="19"/>
  <c r="B8" i="19"/>
  <c r="B4" i="19"/>
  <c r="B15" i="19"/>
  <c r="B11" i="19"/>
  <c r="B7" i="19"/>
  <c r="O18" i="22"/>
  <c r="P19" i="22"/>
  <c r="X19" i="22"/>
  <c r="Q19" i="22"/>
  <c r="Y19" i="22"/>
  <c r="R19" i="22"/>
  <c r="Z19" i="22"/>
  <c r="S19" i="22"/>
  <c r="AA19" i="22"/>
  <c r="T19" i="22"/>
  <c r="M19" i="22"/>
  <c r="U19" i="22"/>
  <c r="N19" i="22"/>
  <c r="V19" i="22"/>
  <c r="O19" i="22"/>
  <c r="W19" i="22"/>
  <c r="V18" i="22"/>
  <c r="N18" i="22"/>
  <c r="M18" i="22"/>
  <c r="J24" i="22"/>
  <c r="T18" i="22"/>
  <c r="AA18" i="22"/>
  <c r="S18" i="22"/>
  <c r="Y18" i="22"/>
  <c r="Q18" i="22"/>
  <c r="X18" i="22"/>
  <c r="P18" i="22"/>
  <c r="W18" i="22"/>
  <c r="O11" i="22"/>
  <c r="W11" i="22"/>
  <c r="P11" i="22"/>
  <c r="X11" i="22"/>
  <c r="Q11" i="22"/>
  <c r="Y11" i="22"/>
  <c r="R11" i="22"/>
  <c r="Z11" i="22"/>
  <c r="S11" i="22"/>
  <c r="AA11" i="22"/>
  <c r="T11" i="22"/>
  <c r="M11" i="22"/>
  <c r="U11" i="22"/>
  <c r="N11" i="22"/>
  <c r="V11" i="22"/>
  <c r="J10" i="22"/>
  <c r="J9" i="22"/>
  <c r="J8" i="22"/>
  <c r="J13" i="22"/>
  <c r="J12" i="22"/>
  <c r="V42" i="21"/>
  <c r="X42" i="21"/>
  <c r="V41" i="21"/>
  <c r="X41" i="21"/>
  <c r="V34" i="21"/>
  <c r="X34" i="21"/>
  <c r="V35" i="21"/>
  <c r="X35" i="21"/>
  <c r="V47" i="21"/>
  <c r="X47" i="21"/>
  <c r="V46" i="21"/>
  <c r="X46" i="21"/>
  <c r="V40" i="21"/>
  <c r="X40" i="21"/>
  <c r="V45" i="21"/>
  <c r="X45" i="21"/>
  <c r="V39" i="21"/>
  <c r="X39" i="21"/>
  <c r="V44" i="21"/>
  <c r="X44" i="21"/>
  <c r="V38" i="21"/>
  <c r="X38" i="21"/>
  <c r="V43" i="21"/>
  <c r="X43" i="21"/>
  <c r="V37" i="21"/>
  <c r="X37" i="21"/>
  <c r="V36" i="21"/>
  <c r="X36" i="21"/>
  <c r="W29" i="21"/>
  <c r="U29" i="21"/>
  <c r="V33" i="21"/>
  <c r="P16" i="9"/>
  <c r="L16" i="9"/>
  <c r="N16" i="9"/>
  <c r="B10" i="9"/>
  <c r="D10" i="9"/>
  <c r="K14" i="9"/>
  <c r="M14" i="9"/>
  <c r="O14" i="9"/>
  <c r="X8" i="9"/>
  <c r="U8" i="9"/>
  <c r="K4" i="9"/>
  <c r="M4" i="9"/>
  <c r="O4" i="9"/>
  <c r="S58" i="9"/>
  <c r="I8" i="9" s="1"/>
  <c r="AB4" i="9"/>
  <c r="H12" i="9"/>
  <c r="V12" i="9"/>
  <c r="E12" i="9"/>
  <c r="Y12" i="9"/>
  <c r="Q12" i="9"/>
  <c r="I12" i="9"/>
  <c r="T3" i="9"/>
  <c r="AG11" i="9"/>
  <c r="N11" i="9"/>
  <c r="AG7" i="9"/>
  <c r="N7" i="9"/>
  <c r="W5" i="9"/>
  <c r="E5" i="9"/>
  <c r="P15" i="9"/>
  <c r="AF15" i="9"/>
  <c r="P7" i="9"/>
  <c r="AF7" i="9"/>
  <c r="T17" i="9"/>
  <c r="B17" i="9"/>
  <c r="X3" i="9"/>
  <c r="F3" i="9"/>
  <c r="J15" i="9"/>
  <c r="S13" i="9"/>
  <c r="S9" i="9"/>
  <c r="AB7" i="9"/>
  <c r="W3" i="9"/>
  <c r="E3" i="9"/>
  <c r="I15" i="9"/>
  <c r="R13" i="9"/>
  <c r="R9" i="9"/>
  <c r="AA7" i="9"/>
  <c r="Z17" i="9"/>
  <c r="G17" i="9"/>
  <c r="Z11" i="9"/>
  <c r="G11" i="9"/>
  <c r="AD6" i="9"/>
  <c r="L6" i="9"/>
  <c r="H13" i="9"/>
  <c r="X13" i="9"/>
  <c r="X9" i="9"/>
  <c r="H5" i="9"/>
  <c r="X5" i="9"/>
  <c r="L3" i="9"/>
  <c r="Y13" i="9"/>
  <c r="F13" i="9"/>
  <c r="O11" i="9"/>
  <c r="F9" i="9"/>
  <c r="O7" i="9"/>
  <c r="AC6" i="9"/>
  <c r="M2" i="18"/>
  <c r="Q2" i="18"/>
  <c r="F2" i="18"/>
  <c r="J2" i="18"/>
  <c r="N2" i="18"/>
  <c r="R2" i="18"/>
  <c r="D2" i="18"/>
  <c r="H2" i="18"/>
  <c r="G2" i="18"/>
  <c r="O2" i="18"/>
  <c r="P2" i="18"/>
  <c r="I2" i="18"/>
  <c r="K2" i="18"/>
  <c r="S2" i="18"/>
  <c r="L2" i="18"/>
  <c r="E2" i="18"/>
  <c r="E16" i="16"/>
  <c r="D16" i="16"/>
  <c r="E37" i="16"/>
  <c r="D37" i="16"/>
  <c r="D28" i="16"/>
  <c r="E28" i="16"/>
  <c r="D44" i="16"/>
  <c r="E44" i="16"/>
  <c r="E20" i="16"/>
  <c r="D20" i="16"/>
  <c r="E29" i="16"/>
  <c r="D29" i="16"/>
  <c r="E21" i="16"/>
  <c r="D21" i="16"/>
  <c r="E13" i="16"/>
  <c r="D13" i="16"/>
  <c r="E34" i="16"/>
  <c r="D34" i="16"/>
  <c r="E26" i="16"/>
  <c r="D26" i="16"/>
  <c r="E18" i="16"/>
  <c r="D18" i="16"/>
  <c r="D9" i="16"/>
  <c r="E9" i="16"/>
  <c r="E3" i="18"/>
  <c r="Q3" i="18"/>
  <c r="M3" i="18"/>
  <c r="H3" i="18"/>
  <c r="F3" i="18"/>
  <c r="P3" i="18"/>
  <c r="D3" i="18"/>
  <c r="G3" i="18"/>
  <c r="N3" i="18"/>
  <c r="R3" i="18"/>
  <c r="O3" i="18"/>
  <c r="I3" i="18"/>
  <c r="K3" i="18"/>
  <c r="S3" i="18"/>
  <c r="L3" i="18"/>
  <c r="J3" i="18"/>
  <c r="E8" i="16"/>
  <c r="D8" i="16"/>
  <c r="E15" i="16"/>
  <c r="D15" i="16"/>
  <c r="E11" i="16"/>
  <c r="D11" i="16"/>
  <c r="D23" i="16"/>
  <c r="E23" i="16"/>
  <c r="D31" i="16"/>
  <c r="E31" i="16"/>
  <c r="E14" i="16"/>
  <c r="D14" i="16"/>
  <c r="D41" i="16"/>
  <c r="E41" i="16"/>
  <c r="E2" i="16"/>
  <c r="D2" i="16"/>
  <c r="E36" i="16"/>
  <c r="D36" i="16"/>
  <c r="E3" i="16"/>
  <c r="D3" i="16"/>
  <c r="D45" i="16"/>
  <c r="E45" i="16"/>
  <c r="D25" i="16"/>
  <c r="E25" i="16"/>
  <c r="E33" i="16"/>
  <c r="D33" i="16"/>
  <c r="E4" i="16"/>
  <c r="D4" i="16"/>
  <c r="S5" i="18"/>
  <c r="F5" i="18"/>
  <c r="D5" i="18"/>
  <c r="N5" i="18"/>
  <c r="L5" i="18"/>
  <c r="P5" i="18"/>
  <c r="J5" i="18"/>
  <c r="M5" i="18"/>
  <c r="H5" i="18"/>
  <c r="E5" i="18"/>
  <c r="G5" i="18"/>
  <c r="O5" i="18"/>
  <c r="I5" i="18"/>
  <c r="Q5" i="18"/>
  <c r="R5" i="18"/>
  <c r="K5" i="18"/>
  <c r="D10" i="16"/>
  <c r="E10" i="16"/>
  <c r="D22" i="16"/>
  <c r="E22" i="16"/>
  <c r="D30" i="16"/>
  <c r="E30" i="16"/>
  <c r="E5" i="16"/>
  <c r="D5" i="16"/>
  <c r="D42" i="16"/>
  <c r="E42" i="16"/>
  <c r="E38" i="16"/>
  <c r="D38" i="16"/>
  <c r="E19" i="16"/>
  <c r="D19" i="16"/>
  <c r="E27" i="16"/>
  <c r="D27" i="16"/>
  <c r="E35" i="16"/>
  <c r="D35" i="16"/>
  <c r="D6" i="16"/>
  <c r="E6" i="16"/>
  <c r="D4" i="18"/>
  <c r="G4" i="18"/>
  <c r="L4" i="18"/>
  <c r="O4" i="18"/>
  <c r="E4" i="18"/>
  <c r="I4" i="18"/>
  <c r="K4" i="18"/>
  <c r="N4" i="18"/>
  <c r="M4" i="18"/>
  <c r="F4" i="18"/>
  <c r="H4" i="18"/>
  <c r="P4" i="18"/>
  <c r="J4" i="18"/>
  <c r="R4" i="18"/>
  <c r="S4" i="18"/>
  <c r="Q4" i="18"/>
  <c r="E12" i="16"/>
  <c r="D12" i="16"/>
  <c r="E24" i="16"/>
  <c r="D24" i="16"/>
  <c r="D32" i="16"/>
  <c r="E32" i="16"/>
  <c r="D39" i="16"/>
  <c r="E39" i="16"/>
  <c r="D40" i="16"/>
  <c r="E40" i="16"/>
  <c r="E7" i="16"/>
  <c r="D7" i="16"/>
  <c r="E17" i="16"/>
  <c r="D17" i="16"/>
  <c r="D43" i="16"/>
  <c r="E43" i="16"/>
  <c r="BG16" i="23" l="1"/>
  <c r="I8" i="10"/>
  <c r="D28" i="5" a="1"/>
  <c r="D28" i="5" s="1"/>
  <c r="B8" i="5" s="1"/>
  <c r="G28" i="5" a="1"/>
  <c r="G28" i="5" s="1"/>
  <c r="I28" i="5" a="1"/>
  <c r="I28" i="5" s="1"/>
  <c r="L28" i="5" a="1"/>
  <c r="L28" i="5" s="1"/>
  <c r="M28" i="5" a="1"/>
  <c r="M28" i="5" s="1"/>
  <c r="E28" i="5" a="1"/>
  <c r="E28" i="5" s="1"/>
  <c r="F28" i="5" a="1"/>
  <c r="F28" i="5" s="1"/>
  <c r="P28" i="5" a="1"/>
  <c r="P28" i="5" s="1"/>
  <c r="N28" i="5" a="1"/>
  <c r="N28" i="5" s="1"/>
  <c r="Q28" i="5" a="1"/>
  <c r="Q28" i="5" s="1"/>
  <c r="R28" i="5" a="1"/>
  <c r="R28" i="5" s="1"/>
  <c r="J28" i="5" a="1"/>
  <c r="J28" i="5" s="1"/>
  <c r="O28" i="5" a="1"/>
  <c r="O28" i="5" s="1"/>
  <c r="H28" i="5" a="1"/>
  <c r="H28" i="5" s="1"/>
  <c r="K28" i="5" a="1"/>
  <c r="K28" i="5" s="1"/>
  <c r="C29" i="5"/>
  <c r="N9" i="5"/>
  <c r="AI9" i="5" s="1"/>
  <c r="N8" i="5"/>
  <c r="AI8" i="5" s="1"/>
  <c r="F5" i="9"/>
  <c r="C12" i="9"/>
  <c r="R18" i="22"/>
  <c r="M2" i="10"/>
  <c r="AD46" i="23"/>
  <c r="Z46" i="23"/>
  <c r="AB46" i="23"/>
  <c r="AC46" i="23"/>
  <c r="X46" i="23"/>
  <c r="C6" i="11" s="1"/>
  <c r="E6" i="11" s="1"/>
  <c r="G6" i="11" s="1"/>
  <c r="I6" i="11" s="1"/>
  <c r="K6" i="11" s="1"/>
  <c r="M6" i="11" s="1"/>
  <c r="O6" i="11" s="1"/>
  <c r="Q6" i="11" s="1"/>
  <c r="S6" i="11" s="1"/>
  <c r="U6" i="11" s="1"/>
  <c r="W6" i="11" s="1"/>
  <c r="Y6" i="11" s="1"/>
  <c r="AA6" i="11" s="1"/>
  <c r="AC6" i="11" s="1"/>
  <c r="AE6" i="11" s="1"/>
  <c r="AG6" i="11" s="1"/>
  <c r="Y46" i="23"/>
  <c r="AA46" i="23"/>
  <c r="C4" i="11"/>
  <c r="E4" i="11" s="1"/>
  <c r="G4" i="11" s="1"/>
  <c r="I4" i="11" s="1"/>
  <c r="K4" i="11" s="1"/>
  <c r="M4" i="11" s="1"/>
  <c r="O4" i="11" s="1"/>
  <c r="Q4" i="11" s="1"/>
  <c r="S4" i="11" s="1"/>
  <c r="U4" i="11" s="1"/>
  <c r="W4" i="11" s="1"/>
  <c r="Y4" i="11" s="1"/>
  <c r="AA4" i="11" s="1"/>
  <c r="AC4" i="11" s="1"/>
  <c r="AE4" i="11" s="1"/>
  <c r="AG4" i="11" s="1"/>
  <c r="A59" i="11"/>
  <c r="A73" i="4"/>
  <c r="AA162" i="7"/>
  <c r="B47" i="11"/>
  <c r="B61" i="4"/>
  <c r="B31" i="11"/>
  <c r="B45" i="4"/>
  <c r="B72" i="11"/>
  <c r="B86" i="4"/>
  <c r="A48" i="4"/>
  <c r="A34" i="11"/>
  <c r="G1" i="11"/>
  <c r="I1" i="4"/>
  <c r="F8" i="5"/>
  <c r="F9" i="5"/>
  <c r="D12" i="5"/>
  <c r="BG14" i="23"/>
  <c r="H46" i="23"/>
  <c r="D46" i="23"/>
  <c r="B46" i="23"/>
  <c r="C46" i="23"/>
  <c r="C30" i="4" s="1"/>
  <c r="E30" i="4" s="1"/>
  <c r="G30" i="4" s="1"/>
  <c r="I30" i="4" s="1"/>
  <c r="K30" i="4" s="1"/>
  <c r="M30" i="4" s="1"/>
  <c r="O30" i="4" s="1"/>
  <c r="Q30" i="4" s="1"/>
  <c r="S30" i="4" s="1"/>
  <c r="U30" i="4" s="1"/>
  <c r="W30" i="4" s="1"/>
  <c r="Y30" i="4" s="1"/>
  <c r="AA30" i="4" s="1"/>
  <c r="AC30" i="4" s="1"/>
  <c r="AE30" i="4" s="1"/>
  <c r="AG30" i="4" s="1"/>
  <c r="E46" i="23"/>
  <c r="F46" i="23"/>
  <c r="G46" i="23"/>
  <c r="AA170" i="7"/>
  <c r="A40" i="4"/>
  <c r="A26" i="11"/>
  <c r="C26" i="11" s="1"/>
  <c r="E26" i="11" s="1"/>
  <c r="G26" i="11" s="1"/>
  <c r="I26" i="11" s="1"/>
  <c r="K26" i="11" s="1"/>
  <c r="M26" i="11" s="1"/>
  <c r="O26" i="11" s="1"/>
  <c r="Q26" i="11" s="1"/>
  <c r="S26" i="11" s="1"/>
  <c r="U26" i="11" s="1"/>
  <c r="W26" i="11" s="1"/>
  <c r="Y26" i="11" s="1"/>
  <c r="AA26" i="11" s="1"/>
  <c r="AC26" i="11" s="1"/>
  <c r="AE26" i="11" s="1"/>
  <c r="AG26" i="11" s="1"/>
  <c r="C26" i="4"/>
  <c r="E26" i="4" s="1"/>
  <c r="G26" i="4" s="1"/>
  <c r="I26" i="4" s="1"/>
  <c r="K26" i="4" s="1"/>
  <c r="M26" i="4" s="1"/>
  <c r="O26" i="4" s="1"/>
  <c r="Q26" i="4" s="1"/>
  <c r="S26" i="4" s="1"/>
  <c r="U26" i="4" s="1"/>
  <c r="W26" i="4" s="1"/>
  <c r="Y26" i="4" s="1"/>
  <c r="AA26" i="4" s="1"/>
  <c r="AC26" i="4" s="1"/>
  <c r="AE26" i="4" s="1"/>
  <c r="AG26" i="4" s="1"/>
  <c r="A19" i="11"/>
  <c r="A33" i="4"/>
  <c r="C9" i="11"/>
  <c r="E9" i="11" s="1"/>
  <c r="G9" i="11" s="1"/>
  <c r="I9" i="11" s="1"/>
  <c r="K9" i="11" s="1"/>
  <c r="M9" i="11" s="1"/>
  <c r="O9" i="11" s="1"/>
  <c r="Q9" i="11" s="1"/>
  <c r="S9" i="11" s="1"/>
  <c r="U9" i="11" s="1"/>
  <c r="W9" i="11" s="1"/>
  <c r="Y9" i="11" s="1"/>
  <c r="AA9" i="11" s="1"/>
  <c r="AC9" i="11" s="1"/>
  <c r="AE9" i="11" s="1"/>
  <c r="AG9" i="11" s="1"/>
  <c r="A35" i="11"/>
  <c r="A49" i="4"/>
  <c r="A36" i="11"/>
  <c r="A50" i="4"/>
  <c r="BC2" i="5"/>
  <c r="AA2" i="5"/>
  <c r="M2" i="5"/>
  <c r="AH2" i="5" s="1"/>
  <c r="M10" i="5"/>
  <c r="AH10" i="5" s="1"/>
  <c r="F17" i="9"/>
  <c r="Y3" i="9"/>
  <c r="R5" i="9"/>
  <c r="J5" i="9"/>
  <c r="B11" i="9"/>
  <c r="U11" i="9"/>
  <c r="N15" i="9"/>
  <c r="J8" i="9"/>
  <c r="AB10" i="9"/>
  <c r="U18" i="22"/>
  <c r="Y5" i="9"/>
  <c r="Y17" i="9"/>
  <c r="Z5" i="9"/>
  <c r="D6" i="9"/>
  <c r="AB5" i="9"/>
  <c r="T11" i="9"/>
  <c r="L15" i="9"/>
  <c r="AG15" i="9"/>
  <c r="T12" i="9"/>
  <c r="W8" i="9"/>
  <c r="F10" i="9"/>
  <c r="Z18" i="22"/>
  <c r="F1" i="19"/>
  <c r="B181" i="7"/>
  <c r="C181" i="7"/>
  <c r="D181" i="7"/>
  <c r="G181" i="7"/>
  <c r="E181" i="7"/>
  <c r="F181" i="7"/>
  <c r="H181" i="7"/>
  <c r="C5" i="11"/>
  <c r="E5" i="11" s="1"/>
  <c r="G5" i="11" s="1"/>
  <c r="I5" i="11" s="1"/>
  <c r="K5" i="11" s="1"/>
  <c r="M5" i="11" s="1"/>
  <c r="O5" i="11" s="1"/>
  <c r="Q5" i="11" s="1"/>
  <c r="S5" i="11" s="1"/>
  <c r="U5" i="11" s="1"/>
  <c r="W5" i="11" s="1"/>
  <c r="Y5" i="11" s="1"/>
  <c r="AA5" i="11" s="1"/>
  <c r="AC5" i="11" s="1"/>
  <c r="AE5" i="11" s="1"/>
  <c r="AG5" i="11" s="1"/>
  <c r="A24" i="11"/>
  <c r="A38" i="4"/>
  <c r="C38" i="4" s="1"/>
  <c r="E38" i="4" s="1"/>
  <c r="G38" i="4" s="1"/>
  <c r="I38" i="4" s="1"/>
  <c r="K38" i="4" s="1"/>
  <c r="M38" i="4" s="1"/>
  <c r="O38" i="4" s="1"/>
  <c r="Q38" i="4" s="1"/>
  <c r="S38" i="4" s="1"/>
  <c r="U38" i="4" s="1"/>
  <c r="W38" i="4" s="1"/>
  <c r="Y38" i="4" s="1"/>
  <c r="AA38" i="4" s="1"/>
  <c r="AC38" i="4" s="1"/>
  <c r="AE38" i="4" s="1"/>
  <c r="AG38" i="4" s="1"/>
  <c r="B32" i="11"/>
  <c r="B46" i="4"/>
  <c r="C12" i="4"/>
  <c r="E12" i="4" s="1"/>
  <c r="G12" i="4" s="1"/>
  <c r="I12" i="4" s="1"/>
  <c r="K12" i="4" s="1"/>
  <c r="M12" i="4" s="1"/>
  <c r="O12" i="4" s="1"/>
  <c r="Q12" i="4" s="1"/>
  <c r="S12" i="4" s="1"/>
  <c r="U12" i="4" s="1"/>
  <c r="W12" i="4" s="1"/>
  <c r="Y12" i="4" s="1"/>
  <c r="AA12" i="4" s="1"/>
  <c r="AC12" i="4" s="1"/>
  <c r="AE12" i="4" s="1"/>
  <c r="AG12" i="4" s="1"/>
  <c r="C3" i="4"/>
  <c r="E3" i="4" s="1"/>
  <c r="G3" i="4" s="1"/>
  <c r="I3" i="4" s="1"/>
  <c r="K3" i="4" s="1"/>
  <c r="M3" i="4" s="1"/>
  <c r="O3" i="4" s="1"/>
  <c r="Q3" i="4" s="1"/>
  <c r="S3" i="4" s="1"/>
  <c r="U3" i="4" s="1"/>
  <c r="W3" i="4" s="1"/>
  <c r="Y3" i="4" s="1"/>
  <c r="AA3" i="4" s="1"/>
  <c r="AC3" i="4" s="1"/>
  <c r="AE3" i="4" s="1"/>
  <c r="AG3" i="4" s="1"/>
  <c r="C16" i="4"/>
  <c r="E16" i="4" s="1"/>
  <c r="G16" i="4" s="1"/>
  <c r="I16" i="4" s="1"/>
  <c r="K16" i="4" s="1"/>
  <c r="M16" i="4" s="1"/>
  <c r="O16" i="4" s="1"/>
  <c r="Q16" i="4" s="1"/>
  <c r="S16" i="4" s="1"/>
  <c r="U16" i="4" s="1"/>
  <c r="W16" i="4" s="1"/>
  <c r="Y16" i="4" s="1"/>
  <c r="AA16" i="4" s="1"/>
  <c r="AC16" i="4" s="1"/>
  <c r="AE16" i="4" s="1"/>
  <c r="AG16" i="4" s="1"/>
  <c r="C8" i="4"/>
  <c r="E8" i="4" s="1"/>
  <c r="G8" i="4" s="1"/>
  <c r="I8" i="4" s="1"/>
  <c r="K8" i="4" s="1"/>
  <c r="M8" i="4" s="1"/>
  <c r="O8" i="4" s="1"/>
  <c r="Q8" i="4" s="1"/>
  <c r="S8" i="4" s="1"/>
  <c r="U8" i="4" s="1"/>
  <c r="W8" i="4" s="1"/>
  <c r="Y8" i="4" s="1"/>
  <c r="AA8" i="4" s="1"/>
  <c r="AC8" i="4" s="1"/>
  <c r="AE8" i="4" s="1"/>
  <c r="AG8" i="4" s="1"/>
  <c r="C7" i="4"/>
  <c r="E7" i="4" s="1"/>
  <c r="G7" i="4" s="1"/>
  <c r="I7" i="4" s="1"/>
  <c r="K7" i="4" s="1"/>
  <c r="M7" i="4" s="1"/>
  <c r="O7" i="4" s="1"/>
  <c r="Q7" i="4" s="1"/>
  <c r="S7" i="4" s="1"/>
  <c r="U7" i="4" s="1"/>
  <c r="W7" i="4" s="1"/>
  <c r="Y7" i="4" s="1"/>
  <c r="AA7" i="4" s="1"/>
  <c r="AC7" i="4" s="1"/>
  <c r="AE7" i="4" s="1"/>
  <c r="AG7" i="4" s="1"/>
  <c r="A27" i="11"/>
  <c r="A41" i="4"/>
  <c r="AD161" i="7"/>
  <c r="AB161" i="7"/>
  <c r="AC161" i="7"/>
  <c r="AF161" i="7"/>
  <c r="AG161" i="7"/>
  <c r="AH161" i="7"/>
  <c r="AE161" i="7"/>
  <c r="A44" i="11"/>
  <c r="A58" i="4"/>
  <c r="B51" i="11"/>
  <c r="B65" i="4"/>
  <c r="C21" i="11"/>
  <c r="E21" i="11" s="1"/>
  <c r="G21" i="11" s="1"/>
  <c r="I21" i="11" s="1"/>
  <c r="K21" i="11" s="1"/>
  <c r="M21" i="11" s="1"/>
  <c r="O21" i="11" s="1"/>
  <c r="Q21" i="11" s="1"/>
  <c r="S21" i="11" s="1"/>
  <c r="U21" i="11" s="1"/>
  <c r="W21" i="11" s="1"/>
  <c r="Y21" i="11" s="1"/>
  <c r="AA21" i="11" s="1"/>
  <c r="AC21" i="11" s="1"/>
  <c r="AE21" i="11" s="1"/>
  <c r="AG21" i="11" s="1"/>
  <c r="B38" i="11"/>
  <c r="B52" i="4"/>
  <c r="D171" i="8"/>
  <c r="AB171" i="8"/>
  <c r="M29" i="10" a="1"/>
  <c r="M29" i="10" s="1"/>
  <c r="I29" i="10" a="1"/>
  <c r="I29" i="10" s="1"/>
  <c r="Q29" i="10" a="1"/>
  <c r="Q29" i="10" s="1"/>
  <c r="J29" i="10" a="1"/>
  <c r="J29" i="10" s="1"/>
  <c r="K29" i="10" a="1"/>
  <c r="K29" i="10" s="1"/>
  <c r="N29" i="10" a="1"/>
  <c r="N29" i="10" s="1"/>
  <c r="O29" i="10" a="1"/>
  <c r="O29" i="10" s="1"/>
  <c r="F29" i="10" a="1"/>
  <c r="F29" i="10" s="1"/>
  <c r="P29" i="10" a="1"/>
  <c r="P29" i="10" s="1"/>
  <c r="G29" i="10" a="1"/>
  <c r="G29" i="10" s="1"/>
  <c r="R29" i="10" a="1"/>
  <c r="R29" i="10" s="1"/>
  <c r="H29" i="10" a="1"/>
  <c r="H29" i="10" s="1"/>
  <c r="L29" i="10" a="1"/>
  <c r="L29" i="10" s="1"/>
  <c r="E29" i="10" a="1"/>
  <c r="E29" i="10" s="1"/>
  <c r="C30" i="10"/>
  <c r="D29" i="10" a="1"/>
  <c r="D29" i="10" s="1"/>
  <c r="D170" i="8"/>
  <c r="AB170" i="8"/>
  <c r="J2" i="5"/>
  <c r="J15" i="5"/>
  <c r="AE15" i="5" s="1"/>
  <c r="K3" i="5"/>
  <c r="BG11" i="23"/>
  <c r="BG10" i="23"/>
  <c r="BG17" i="23"/>
  <c r="AL161" i="8"/>
  <c r="AF161" i="8"/>
  <c r="AA161" i="8"/>
  <c r="AK161" i="8"/>
  <c r="AB161" i="8"/>
  <c r="AM161" i="8"/>
  <c r="AI161" i="8"/>
  <c r="AD161" i="8"/>
  <c r="AJ161" i="8"/>
  <c r="AN161" i="8"/>
  <c r="AH161" i="8"/>
  <c r="AP161" i="8"/>
  <c r="AC161" i="8"/>
  <c r="AE161" i="8"/>
  <c r="AG161" i="8"/>
  <c r="AO161" i="8"/>
  <c r="D172" i="8"/>
  <c r="AB172" i="8"/>
  <c r="K3" i="10"/>
  <c r="H6" i="10"/>
  <c r="H9" i="10"/>
  <c r="I11" i="15"/>
  <c r="I11" i="14" s="1"/>
  <c r="K53" i="19" s="1"/>
  <c r="AE77" i="23" s="1"/>
  <c r="D11" i="15"/>
  <c r="D11" i="14" s="1"/>
  <c r="K48" i="19" s="1"/>
  <c r="AE72" i="23" s="1"/>
  <c r="C15" i="15"/>
  <c r="C15" i="14" s="1"/>
  <c r="O47" i="19" s="1"/>
  <c r="AI71" i="23" s="1"/>
  <c r="G1" i="19"/>
  <c r="O25" i="23"/>
  <c r="K25" i="23"/>
  <c r="J25" i="23"/>
  <c r="L25" i="23"/>
  <c r="M25" i="23"/>
  <c r="N25" i="23"/>
  <c r="I25" i="23"/>
  <c r="C12" i="11"/>
  <c r="E12" i="11" s="1"/>
  <c r="G12" i="11" s="1"/>
  <c r="I12" i="11" s="1"/>
  <c r="K12" i="11" s="1"/>
  <c r="M12" i="11" s="1"/>
  <c r="O12" i="11" s="1"/>
  <c r="Q12" i="11" s="1"/>
  <c r="S12" i="11" s="1"/>
  <c r="U12" i="11" s="1"/>
  <c r="W12" i="11" s="1"/>
  <c r="Y12" i="11" s="1"/>
  <c r="AA12" i="11" s="1"/>
  <c r="AC12" i="11" s="1"/>
  <c r="AE12" i="11" s="1"/>
  <c r="AG12" i="11" s="1"/>
  <c r="D5" i="11"/>
  <c r="F5" i="11" s="1"/>
  <c r="H5" i="11" s="1"/>
  <c r="J5" i="11" s="1"/>
  <c r="L5" i="11" s="1"/>
  <c r="N5" i="11" s="1"/>
  <c r="P5" i="11" s="1"/>
  <c r="R5" i="11" s="1"/>
  <c r="T5" i="11" s="1"/>
  <c r="V5" i="11" s="1"/>
  <c r="X5" i="11" s="1"/>
  <c r="Z5" i="11" s="1"/>
  <c r="AB5" i="11" s="1"/>
  <c r="AD5" i="11" s="1"/>
  <c r="AF5" i="11" s="1"/>
  <c r="AH5" i="11" s="1"/>
  <c r="C14" i="11"/>
  <c r="E14" i="11" s="1"/>
  <c r="G14" i="11" s="1"/>
  <c r="I14" i="11" s="1"/>
  <c r="K14" i="11" s="1"/>
  <c r="M14" i="11" s="1"/>
  <c r="O14" i="11" s="1"/>
  <c r="Q14" i="11" s="1"/>
  <c r="S14" i="11" s="1"/>
  <c r="U14" i="11" s="1"/>
  <c r="W14" i="11" s="1"/>
  <c r="Y14" i="11" s="1"/>
  <c r="AA14" i="11" s="1"/>
  <c r="AC14" i="11" s="1"/>
  <c r="AE14" i="11" s="1"/>
  <c r="AG14" i="11" s="1"/>
  <c r="A43" i="4"/>
  <c r="A29" i="11"/>
  <c r="C8" i="11"/>
  <c r="E8" i="11" s="1"/>
  <c r="G8" i="11" s="1"/>
  <c r="I8" i="11" s="1"/>
  <c r="K8" i="11" s="1"/>
  <c r="M8" i="11" s="1"/>
  <c r="O8" i="11" s="1"/>
  <c r="Q8" i="11" s="1"/>
  <c r="S8" i="11" s="1"/>
  <c r="U8" i="11" s="1"/>
  <c r="W8" i="11" s="1"/>
  <c r="Y8" i="11" s="1"/>
  <c r="AA8" i="11" s="1"/>
  <c r="AC8" i="11" s="1"/>
  <c r="AE8" i="11" s="1"/>
  <c r="AG8" i="11" s="1"/>
  <c r="E161" i="7"/>
  <c r="L162" i="7" s="1"/>
  <c r="G161" i="7"/>
  <c r="G162" i="7" s="1"/>
  <c r="H161" i="7"/>
  <c r="H174" i="7" s="1"/>
  <c r="C161" i="7"/>
  <c r="J162" i="7" s="1"/>
  <c r="B161" i="7"/>
  <c r="B162" i="7" s="1"/>
  <c r="D161" i="7"/>
  <c r="F161" i="7"/>
  <c r="C23" i="4"/>
  <c r="E23" i="4" s="1"/>
  <c r="G23" i="4" s="1"/>
  <c r="I23" i="4" s="1"/>
  <c r="K23" i="4" s="1"/>
  <c r="M23" i="4" s="1"/>
  <c r="O23" i="4" s="1"/>
  <c r="Q23" i="4" s="1"/>
  <c r="S23" i="4" s="1"/>
  <c r="U23" i="4" s="1"/>
  <c r="W23" i="4" s="1"/>
  <c r="Y23" i="4" s="1"/>
  <c r="AA23" i="4" s="1"/>
  <c r="AC23" i="4" s="1"/>
  <c r="AE23" i="4" s="1"/>
  <c r="AG23" i="4" s="1"/>
  <c r="C43" i="4"/>
  <c r="E43" i="4" s="1"/>
  <c r="G43" i="4" s="1"/>
  <c r="I43" i="4" s="1"/>
  <c r="K43" i="4" s="1"/>
  <c r="M43" i="4" s="1"/>
  <c r="O43" i="4" s="1"/>
  <c r="Q43" i="4" s="1"/>
  <c r="S43" i="4" s="1"/>
  <c r="U43" i="4" s="1"/>
  <c r="W43" i="4" s="1"/>
  <c r="Y43" i="4" s="1"/>
  <c r="AA43" i="4" s="1"/>
  <c r="AC43" i="4" s="1"/>
  <c r="AE43" i="4" s="1"/>
  <c r="AG43" i="4" s="1"/>
  <c r="B57" i="4"/>
  <c r="B43" i="11"/>
  <c r="Y2" i="5"/>
  <c r="BA2" i="5"/>
  <c r="B82" i="11"/>
  <c r="B96" i="4"/>
  <c r="C24" i="11"/>
  <c r="E24" i="11" s="1"/>
  <c r="G24" i="11" s="1"/>
  <c r="I24" i="11" s="1"/>
  <c r="K24" i="11" s="1"/>
  <c r="M24" i="11" s="1"/>
  <c r="O24" i="11" s="1"/>
  <c r="Q24" i="11" s="1"/>
  <c r="S24" i="11" s="1"/>
  <c r="U24" i="11" s="1"/>
  <c r="W24" i="11" s="1"/>
  <c r="Y24" i="11" s="1"/>
  <c r="AA24" i="11" s="1"/>
  <c r="AC24" i="11" s="1"/>
  <c r="AE24" i="11" s="1"/>
  <c r="AG24" i="11" s="1"/>
  <c r="B56" i="11"/>
  <c r="B70" i="4"/>
  <c r="C56" i="4"/>
  <c r="E56" i="4" s="1"/>
  <c r="G56" i="4" s="1"/>
  <c r="I56" i="4" s="1"/>
  <c r="K56" i="4" s="1"/>
  <c r="M56" i="4" s="1"/>
  <c r="O56" i="4" s="1"/>
  <c r="Q56" i="4" s="1"/>
  <c r="S56" i="4" s="1"/>
  <c r="U56" i="4" s="1"/>
  <c r="W56" i="4" s="1"/>
  <c r="Y56" i="4" s="1"/>
  <c r="AA56" i="4" s="1"/>
  <c r="AC56" i="4" s="1"/>
  <c r="AE56" i="4" s="1"/>
  <c r="AG56" i="4" s="1"/>
  <c r="AF21" i="23"/>
  <c r="AF40" i="23" a="1"/>
  <c r="AF40" i="23" s="1"/>
  <c r="BG4" i="23"/>
  <c r="AF39" i="23" a="1"/>
  <c r="AF39" i="23" s="1"/>
  <c r="AF26" i="23" a="1"/>
  <c r="AF26" i="23" s="1"/>
  <c r="AF27" i="23" a="1"/>
  <c r="AF27" i="23" s="1"/>
  <c r="AF28" i="23" a="1"/>
  <c r="AF28" i="23" s="1"/>
  <c r="AF29" i="23" a="1"/>
  <c r="AF29" i="23" s="1"/>
  <c r="AF30" i="23" a="1"/>
  <c r="AF30" i="23" s="1"/>
  <c r="AF31" i="23" a="1"/>
  <c r="AF31" i="23" s="1"/>
  <c r="AF32" i="23" a="1"/>
  <c r="AF32" i="23" s="1"/>
  <c r="AF33" i="23" a="1"/>
  <c r="AF33" i="23" s="1"/>
  <c r="AF34" i="23" a="1"/>
  <c r="AF34" i="23" s="1"/>
  <c r="AF35" i="23" a="1"/>
  <c r="AF35" i="23" s="1"/>
  <c r="AF36" i="23" a="1"/>
  <c r="AF36" i="23" s="1"/>
  <c r="AF37" i="23" a="1"/>
  <c r="AF37" i="23" s="1"/>
  <c r="AF38" i="23" a="1"/>
  <c r="AF38" i="23" s="1"/>
  <c r="BG18" i="23"/>
  <c r="BG13" i="23"/>
  <c r="BG12" i="23"/>
  <c r="G13" i="5"/>
  <c r="AB13" i="5" s="1"/>
  <c r="B4" i="5"/>
  <c r="B6" i="5"/>
  <c r="D169" i="8"/>
  <c r="AB169" i="8"/>
  <c r="D168" i="8"/>
  <c r="AB168" i="8"/>
  <c r="BG6" i="23"/>
  <c r="F9" i="10"/>
  <c r="F8" i="10"/>
  <c r="F2" i="10"/>
  <c r="I1" i="19"/>
  <c r="A56" i="4"/>
  <c r="A42" i="11"/>
  <c r="AK46" i="23"/>
  <c r="AG46" i="23"/>
  <c r="AF46" i="23"/>
  <c r="D24" i="11" s="1"/>
  <c r="AH46" i="23"/>
  <c r="AI46" i="23"/>
  <c r="AJ46" i="23"/>
  <c r="AE46" i="23"/>
  <c r="D15" i="11" s="1"/>
  <c r="F15" i="11" s="1"/>
  <c r="H15" i="11" s="1"/>
  <c r="J15" i="11" s="1"/>
  <c r="L15" i="11" s="1"/>
  <c r="N15" i="11" s="1"/>
  <c r="P15" i="11" s="1"/>
  <c r="R15" i="11" s="1"/>
  <c r="T15" i="11" s="1"/>
  <c r="V15" i="11" s="1"/>
  <c r="X15" i="11" s="1"/>
  <c r="Z15" i="11" s="1"/>
  <c r="AB15" i="11" s="1"/>
  <c r="AD15" i="11" s="1"/>
  <c r="AF15" i="11" s="1"/>
  <c r="AH15" i="11" s="1"/>
  <c r="X3" i="23"/>
  <c r="Z3" i="23"/>
  <c r="AA3" i="23"/>
  <c r="AB3" i="23"/>
  <c r="AD3" i="23"/>
  <c r="Y3" i="23"/>
  <c r="AC3" i="23"/>
  <c r="I174" i="7"/>
  <c r="AA174" i="7"/>
  <c r="A18" i="11"/>
  <c r="A32" i="4"/>
  <c r="C32" i="4" s="1"/>
  <c r="E32" i="4" s="1"/>
  <c r="G32" i="4" s="1"/>
  <c r="I32" i="4" s="1"/>
  <c r="K32" i="4" s="1"/>
  <c r="M32" i="4" s="1"/>
  <c r="O32" i="4" s="1"/>
  <c r="Q32" i="4" s="1"/>
  <c r="S32" i="4" s="1"/>
  <c r="U32" i="4" s="1"/>
  <c r="W32" i="4" s="1"/>
  <c r="Y32" i="4" s="1"/>
  <c r="AA32" i="4" s="1"/>
  <c r="AC32" i="4" s="1"/>
  <c r="AE32" i="4" s="1"/>
  <c r="AG32" i="4" s="1"/>
  <c r="I176" i="7"/>
  <c r="AA176" i="7"/>
  <c r="D8" i="11"/>
  <c r="F8" i="11" s="1"/>
  <c r="H8" i="11" s="1"/>
  <c r="J8" i="11" s="1"/>
  <c r="L8" i="11" s="1"/>
  <c r="N8" i="11" s="1"/>
  <c r="P8" i="11" s="1"/>
  <c r="R8" i="11" s="1"/>
  <c r="T8" i="11" s="1"/>
  <c r="V8" i="11" s="1"/>
  <c r="X8" i="11" s="1"/>
  <c r="Z8" i="11" s="1"/>
  <c r="AB8" i="11" s="1"/>
  <c r="AD8" i="11" s="1"/>
  <c r="AF8" i="11" s="1"/>
  <c r="AH8" i="11" s="1"/>
  <c r="D10" i="11"/>
  <c r="F10" i="11" s="1"/>
  <c r="H10" i="11" s="1"/>
  <c r="J10" i="11" s="1"/>
  <c r="L10" i="11" s="1"/>
  <c r="N10" i="11" s="1"/>
  <c r="P10" i="11" s="1"/>
  <c r="R10" i="11" s="1"/>
  <c r="T10" i="11" s="1"/>
  <c r="V10" i="11" s="1"/>
  <c r="X10" i="11" s="1"/>
  <c r="Z10" i="11" s="1"/>
  <c r="AB10" i="11" s="1"/>
  <c r="AD10" i="11" s="1"/>
  <c r="AF10" i="11" s="1"/>
  <c r="AH10" i="11" s="1"/>
  <c r="E7" i="5"/>
  <c r="I141" i="8"/>
  <c r="Q141" i="8"/>
  <c r="E141" i="8"/>
  <c r="N141" i="8"/>
  <c r="F141" i="8"/>
  <c r="O141" i="8"/>
  <c r="G141" i="8"/>
  <c r="P141" i="8"/>
  <c r="H141" i="8"/>
  <c r="J141" i="8"/>
  <c r="B141" i="8"/>
  <c r="K141" i="8"/>
  <c r="C141" i="8"/>
  <c r="L141" i="8"/>
  <c r="D141" i="8"/>
  <c r="M141" i="8"/>
  <c r="B161" i="8"/>
  <c r="J161" i="8"/>
  <c r="D161" i="8"/>
  <c r="M161" i="8"/>
  <c r="E161" i="8"/>
  <c r="N161" i="8"/>
  <c r="F161" i="8"/>
  <c r="O161" i="8"/>
  <c r="G161" i="8"/>
  <c r="P161" i="8"/>
  <c r="H161" i="8"/>
  <c r="Q161" i="8"/>
  <c r="I161" i="8"/>
  <c r="K161" i="8"/>
  <c r="C161" i="8"/>
  <c r="L161" i="8"/>
  <c r="D164" i="8"/>
  <c r="AB164" i="8"/>
  <c r="E7" i="10"/>
  <c r="AB142" i="7"/>
  <c r="AD142" i="7"/>
  <c r="AE142" i="7"/>
  <c r="AF142" i="7"/>
  <c r="AH142" i="7"/>
  <c r="AC142" i="7"/>
  <c r="AG142" i="7"/>
  <c r="D12" i="11"/>
  <c r="F12" i="11" s="1"/>
  <c r="H12" i="11" s="1"/>
  <c r="J12" i="11" s="1"/>
  <c r="L12" i="11" s="1"/>
  <c r="N12" i="11" s="1"/>
  <c r="P12" i="11" s="1"/>
  <c r="R12" i="11" s="1"/>
  <c r="T12" i="11" s="1"/>
  <c r="V12" i="11" s="1"/>
  <c r="X12" i="11" s="1"/>
  <c r="Z12" i="11" s="1"/>
  <c r="AB12" i="11" s="1"/>
  <c r="AD12" i="11" s="1"/>
  <c r="AF12" i="11" s="1"/>
  <c r="AH12" i="11" s="1"/>
  <c r="C7" i="11"/>
  <c r="E7" i="11" s="1"/>
  <c r="G7" i="11" s="1"/>
  <c r="I7" i="11" s="1"/>
  <c r="K7" i="11" s="1"/>
  <c r="M7" i="11" s="1"/>
  <c r="O7" i="11" s="1"/>
  <c r="Q7" i="11" s="1"/>
  <c r="S7" i="11" s="1"/>
  <c r="U7" i="11" s="1"/>
  <c r="W7" i="11" s="1"/>
  <c r="Y7" i="11" s="1"/>
  <c r="AA7" i="11" s="1"/>
  <c r="AC7" i="11" s="1"/>
  <c r="AE7" i="11" s="1"/>
  <c r="AG7" i="11" s="1"/>
  <c r="C13" i="11"/>
  <c r="E13" i="11" s="1"/>
  <c r="G13" i="11" s="1"/>
  <c r="I13" i="11" s="1"/>
  <c r="K13" i="11" s="1"/>
  <c r="M13" i="11" s="1"/>
  <c r="O13" i="11" s="1"/>
  <c r="Q13" i="11" s="1"/>
  <c r="S13" i="11" s="1"/>
  <c r="U13" i="11" s="1"/>
  <c r="W13" i="11" s="1"/>
  <c r="Y13" i="11" s="1"/>
  <c r="AA13" i="11" s="1"/>
  <c r="AC13" i="11" s="1"/>
  <c r="AE13" i="11" s="1"/>
  <c r="AG13" i="11" s="1"/>
  <c r="D14" i="11"/>
  <c r="F14" i="11" s="1"/>
  <c r="H14" i="11" s="1"/>
  <c r="J14" i="11" s="1"/>
  <c r="L14" i="11" s="1"/>
  <c r="N14" i="11" s="1"/>
  <c r="P14" i="11" s="1"/>
  <c r="R14" i="11" s="1"/>
  <c r="T14" i="11" s="1"/>
  <c r="V14" i="11" s="1"/>
  <c r="X14" i="11" s="1"/>
  <c r="Z14" i="11" s="1"/>
  <c r="AB14" i="11" s="1"/>
  <c r="AD14" i="11" s="1"/>
  <c r="AF14" i="11" s="1"/>
  <c r="AH14" i="11" s="1"/>
  <c r="L161" i="7"/>
  <c r="N161" i="7"/>
  <c r="O161" i="7"/>
  <c r="J161" i="7"/>
  <c r="I161" i="7"/>
  <c r="K161" i="7"/>
  <c r="M161" i="7"/>
  <c r="C28" i="11"/>
  <c r="E28" i="11" s="1"/>
  <c r="G28" i="11" s="1"/>
  <c r="I28" i="11" s="1"/>
  <c r="K28" i="11" s="1"/>
  <c r="M28" i="11" s="1"/>
  <c r="O28" i="11" s="1"/>
  <c r="Q28" i="11" s="1"/>
  <c r="S28" i="11" s="1"/>
  <c r="U28" i="11" s="1"/>
  <c r="W28" i="11" s="1"/>
  <c r="Y28" i="11" s="1"/>
  <c r="AA28" i="11" s="1"/>
  <c r="AC28" i="11" s="1"/>
  <c r="AE28" i="11" s="1"/>
  <c r="AG28" i="11" s="1"/>
  <c r="D15" i="4"/>
  <c r="F15" i="4" s="1"/>
  <c r="H15" i="4" s="1"/>
  <c r="J15" i="4" s="1"/>
  <c r="L15" i="4" s="1"/>
  <c r="N15" i="4" s="1"/>
  <c r="P15" i="4" s="1"/>
  <c r="R15" i="4" s="1"/>
  <c r="T15" i="4" s="1"/>
  <c r="V15" i="4" s="1"/>
  <c r="X15" i="4" s="1"/>
  <c r="Z15" i="4" s="1"/>
  <c r="AB15" i="4" s="1"/>
  <c r="AD15" i="4" s="1"/>
  <c r="AF15" i="4" s="1"/>
  <c r="AH15" i="4" s="1"/>
  <c r="D29" i="4"/>
  <c r="F29" i="4" s="1"/>
  <c r="H29" i="4" s="1"/>
  <c r="J29" i="4" s="1"/>
  <c r="L29" i="4" s="1"/>
  <c r="N29" i="4" s="1"/>
  <c r="P29" i="4" s="1"/>
  <c r="R29" i="4" s="1"/>
  <c r="T29" i="4" s="1"/>
  <c r="V29" i="4" s="1"/>
  <c r="X29" i="4" s="1"/>
  <c r="Z29" i="4" s="1"/>
  <c r="AB29" i="4" s="1"/>
  <c r="AD29" i="4" s="1"/>
  <c r="AF29" i="4" s="1"/>
  <c r="AH29" i="4" s="1"/>
  <c r="B39" i="11"/>
  <c r="B53" i="4"/>
  <c r="C9" i="4"/>
  <c r="E9" i="4" s="1"/>
  <c r="G9" i="4" s="1"/>
  <c r="I9" i="4" s="1"/>
  <c r="K9" i="4" s="1"/>
  <c r="M9" i="4" s="1"/>
  <c r="O9" i="4" s="1"/>
  <c r="Q9" i="4" s="1"/>
  <c r="S9" i="4" s="1"/>
  <c r="U9" i="4" s="1"/>
  <c r="W9" i="4" s="1"/>
  <c r="Y9" i="4" s="1"/>
  <c r="AA9" i="4" s="1"/>
  <c r="AC9" i="4" s="1"/>
  <c r="AE9" i="4" s="1"/>
  <c r="AG9" i="4" s="1"/>
  <c r="D48" i="4"/>
  <c r="F48" i="4" s="1"/>
  <c r="H48" i="4" s="1"/>
  <c r="J48" i="4" s="1"/>
  <c r="L48" i="4" s="1"/>
  <c r="N48" i="4" s="1"/>
  <c r="P48" i="4" s="1"/>
  <c r="R48" i="4" s="1"/>
  <c r="T48" i="4" s="1"/>
  <c r="V48" i="4" s="1"/>
  <c r="X48" i="4" s="1"/>
  <c r="Z48" i="4" s="1"/>
  <c r="AB48" i="4" s="1"/>
  <c r="AD48" i="4" s="1"/>
  <c r="AF48" i="4" s="1"/>
  <c r="AH48" i="4" s="1"/>
  <c r="B48" i="11"/>
  <c r="C48" i="4"/>
  <c r="E48" i="4" s="1"/>
  <c r="G48" i="4" s="1"/>
  <c r="I48" i="4" s="1"/>
  <c r="K48" i="4" s="1"/>
  <c r="M48" i="4" s="1"/>
  <c r="O48" i="4" s="1"/>
  <c r="Q48" i="4" s="1"/>
  <c r="S48" i="4" s="1"/>
  <c r="U48" i="4" s="1"/>
  <c r="W48" i="4" s="1"/>
  <c r="Y48" i="4" s="1"/>
  <c r="AA48" i="4" s="1"/>
  <c r="AC48" i="4" s="1"/>
  <c r="AE48" i="4" s="1"/>
  <c r="AG48" i="4" s="1"/>
  <c r="B62" i="4"/>
  <c r="B50" i="11"/>
  <c r="C50" i="4"/>
  <c r="E50" i="4" s="1"/>
  <c r="G50" i="4" s="1"/>
  <c r="I50" i="4" s="1"/>
  <c r="K50" i="4" s="1"/>
  <c r="M50" i="4" s="1"/>
  <c r="O50" i="4" s="1"/>
  <c r="Q50" i="4" s="1"/>
  <c r="S50" i="4" s="1"/>
  <c r="U50" i="4" s="1"/>
  <c r="W50" i="4" s="1"/>
  <c r="Y50" i="4" s="1"/>
  <c r="AA50" i="4" s="1"/>
  <c r="AC50" i="4" s="1"/>
  <c r="AE50" i="4" s="1"/>
  <c r="AG50" i="4" s="1"/>
  <c r="B64" i="4"/>
  <c r="D24" i="4"/>
  <c r="F24" i="4" s="1"/>
  <c r="H24" i="4" s="1"/>
  <c r="J24" i="4" s="1"/>
  <c r="L24" i="4" s="1"/>
  <c r="N24" i="4" s="1"/>
  <c r="P24" i="4" s="1"/>
  <c r="R24" i="4" s="1"/>
  <c r="T24" i="4" s="1"/>
  <c r="V24" i="4" s="1"/>
  <c r="X24" i="4" s="1"/>
  <c r="Z24" i="4" s="1"/>
  <c r="AB24" i="4" s="1"/>
  <c r="AD24" i="4" s="1"/>
  <c r="AF24" i="4" s="1"/>
  <c r="AH24" i="4" s="1"/>
  <c r="C42" i="11"/>
  <c r="E42" i="11" s="1"/>
  <c r="G42" i="11" s="1"/>
  <c r="I42" i="11" s="1"/>
  <c r="K42" i="11" s="1"/>
  <c r="M42" i="11" s="1"/>
  <c r="O42" i="11" s="1"/>
  <c r="Q42" i="11" s="1"/>
  <c r="S42" i="11" s="1"/>
  <c r="U42" i="11" s="1"/>
  <c r="W42" i="11" s="1"/>
  <c r="Y42" i="11" s="1"/>
  <c r="AA42" i="11" s="1"/>
  <c r="AC42" i="11" s="1"/>
  <c r="AE42" i="11" s="1"/>
  <c r="AG42" i="11" s="1"/>
  <c r="D162" i="8"/>
  <c r="AB162" i="8"/>
  <c r="J1" i="11"/>
  <c r="L1" i="4"/>
  <c r="A4" i="6"/>
  <c r="A8" i="6"/>
  <c r="A12" i="6"/>
  <c r="A16" i="6"/>
  <c r="A1" i="6"/>
  <c r="A5" i="6"/>
  <c r="A9" i="6"/>
  <c r="A13" i="6"/>
  <c r="A2" i="6"/>
  <c r="A6" i="6"/>
  <c r="A10" i="6"/>
  <c r="A14" i="6"/>
  <c r="A3" i="6"/>
  <c r="A7" i="6"/>
  <c r="A11" i="6"/>
  <c r="A15" i="6"/>
  <c r="G9" i="9"/>
  <c r="Z16" i="9"/>
  <c r="A39" i="4"/>
  <c r="A25" i="11"/>
  <c r="C11" i="11"/>
  <c r="E11" i="11" s="1"/>
  <c r="G11" i="11" s="1"/>
  <c r="I11" i="11" s="1"/>
  <c r="K11" i="11" s="1"/>
  <c r="M11" i="11" s="1"/>
  <c r="O11" i="11" s="1"/>
  <c r="Q11" i="11" s="1"/>
  <c r="S11" i="11" s="1"/>
  <c r="U11" i="11" s="1"/>
  <c r="W11" i="11" s="1"/>
  <c r="Y11" i="11" s="1"/>
  <c r="AA11" i="11" s="1"/>
  <c r="AC11" i="11" s="1"/>
  <c r="AE11" i="11" s="1"/>
  <c r="AG11" i="11" s="1"/>
  <c r="BC3" i="23"/>
  <c r="BD3" i="23"/>
  <c r="BE3" i="23"/>
  <c r="AY3" i="23"/>
  <c r="AZ3" i="23"/>
  <c r="BA3" i="23"/>
  <c r="BB3" i="23"/>
  <c r="AM3" i="23"/>
  <c r="AI3" i="23"/>
  <c r="AG3" i="23"/>
  <c r="AK3" i="23"/>
  <c r="AH3" i="23"/>
  <c r="AJ3" i="23"/>
  <c r="AL3" i="23"/>
  <c r="D7" i="11"/>
  <c r="F7" i="11" s="1"/>
  <c r="H7" i="11" s="1"/>
  <c r="J7" i="11" s="1"/>
  <c r="L7" i="11" s="1"/>
  <c r="N7" i="11" s="1"/>
  <c r="P7" i="11" s="1"/>
  <c r="R7" i="11" s="1"/>
  <c r="T7" i="11" s="1"/>
  <c r="V7" i="11" s="1"/>
  <c r="X7" i="11" s="1"/>
  <c r="Z7" i="11" s="1"/>
  <c r="AB7" i="11" s="1"/>
  <c r="AD7" i="11" s="1"/>
  <c r="AF7" i="11" s="1"/>
  <c r="AH7" i="11" s="1"/>
  <c r="D13" i="11"/>
  <c r="F13" i="11" s="1"/>
  <c r="H13" i="11" s="1"/>
  <c r="J13" i="11" s="1"/>
  <c r="L13" i="11" s="1"/>
  <c r="N13" i="11" s="1"/>
  <c r="P13" i="11" s="1"/>
  <c r="R13" i="11" s="1"/>
  <c r="T13" i="11" s="1"/>
  <c r="V13" i="11" s="1"/>
  <c r="X13" i="11" s="1"/>
  <c r="Z13" i="11" s="1"/>
  <c r="AB13" i="11" s="1"/>
  <c r="AD13" i="11" s="1"/>
  <c r="AF13" i="11" s="1"/>
  <c r="AH13" i="11" s="1"/>
  <c r="D44" i="11"/>
  <c r="F44" i="11" s="1"/>
  <c r="H44" i="11" s="1"/>
  <c r="J44" i="11" s="1"/>
  <c r="L44" i="11" s="1"/>
  <c r="N44" i="11" s="1"/>
  <c r="P44" i="11" s="1"/>
  <c r="R44" i="11" s="1"/>
  <c r="T44" i="11" s="1"/>
  <c r="V44" i="11" s="1"/>
  <c r="X44" i="11" s="1"/>
  <c r="Z44" i="11" s="1"/>
  <c r="AB44" i="11" s="1"/>
  <c r="AD44" i="11" s="1"/>
  <c r="AF44" i="11" s="1"/>
  <c r="AH44" i="11" s="1"/>
  <c r="C44" i="11"/>
  <c r="E44" i="11" s="1"/>
  <c r="G44" i="11" s="1"/>
  <c r="I44" i="11" s="1"/>
  <c r="K44" i="11" s="1"/>
  <c r="M44" i="11" s="1"/>
  <c r="O44" i="11" s="1"/>
  <c r="Q44" i="11" s="1"/>
  <c r="S44" i="11" s="1"/>
  <c r="U44" i="11" s="1"/>
  <c r="W44" i="11" s="1"/>
  <c r="Y44" i="11" s="1"/>
  <c r="AA44" i="11" s="1"/>
  <c r="AC44" i="11" s="1"/>
  <c r="AE44" i="11" s="1"/>
  <c r="AG44" i="11" s="1"/>
  <c r="C21" i="4"/>
  <c r="E21" i="4" s="1"/>
  <c r="G21" i="4" s="1"/>
  <c r="I21" i="4" s="1"/>
  <c r="K21" i="4" s="1"/>
  <c r="M21" i="4" s="1"/>
  <c r="O21" i="4" s="1"/>
  <c r="Q21" i="4" s="1"/>
  <c r="S21" i="4" s="1"/>
  <c r="U21" i="4" s="1"/>
  <c r="W21" i="4" s="1"/>
  <c r="Y21" i="4" s="1"/>
  <c r="AA21" i="4" s="1"/>
  <c r="AC21" i="4" s="1"/>
  <c r="AE21" i="4" s="1"/>
  <c r="AG21" i="4" s="1"/>
  <c r="C166" i="7"/>
  <c r="I166" i="7"/>
  <c r="D166" i="7"/>
  <c r="AA166" i="7"/>
  <c r="C16" i="11"/>
  <c r="E16" i="11" s="1"/>
  <c r="G16" i="11" s="1"/>
  <c r="I16" i="11" s="1"/>
  <c r="K16" i="11" s="1"/>
  <c r="M16" i="11" s="1"/>
  <c r="O16" i="11" s="1"/>
  <c r="Q16" i="11" s="1"/>
  <c r="S16" i="11" s="1"/>
  <c r="U16" i="11" s="1"/>
  <c r="W16" i="11" s="1"/>
  <c r="Y16" i="11" s="1"/>
  <c r="AA16" i="11" s="1"/>
  <c r="AC16" i="11" s="1"/>
  <c r="AE16" i="11" s="1"/>
  <c r="AG16" i="11" s="1"/>
  <c r="AK161" i="7"/>
  <c r="AM161" i="7"/>
  <c r="AJ161" i="7"/>
  <c r="AL161" i="7"/>
  <c r="AN161" i="7"/>
  <c r="AI161" i="7"/>
  <c r="AO161" i="7"/>
  <c r="C28" i="4"/>
  <c r="E28" i="4" s="1"/>
  <c r="G28" i="4" s="1"/>
  <c r="I28" i="4" s="1"/>
  <c r="K28" i="4" s="1"/>
  <c r="M28" i="4" s="1"/>
  <c r="O28" i="4" s="1"/>
  <c r="Q28" i="4" s="1"/>
  <c r="S28" i="4" s="1"/>
  <c r="U28" i="4" s="1"/>
  <c r="W28" i="4" s="1"/>
  <c r="Y28" i="4" s="1"/>
  <c r="AA28" i="4" s="1"/>
  <c r="AC28" i="4" s="1"/>
  <c r="AE28" i="4" s="1"/>
  <c r="AG28" i="4" s="1"/>
  <c r="C18" i="4"/>
  <c r="E18" i="4" s="1"/>
  <c r="G18" i="4" s="1"/>
  <c r="I18" i="4" s="1"/>
  <c r="K18" i="4" s="1"/>
  <c r="M18" i="4" s="1"/>
  <c r="O18" i="4" s="1"/>
  <c r="Q18" i="4" s="1"/>
  <c r="S18" i="4" s="1"/>
  <c r="U18" i="4" s="1"/>
  <c r="W18" i="4" s="1"/>
  <c r="Y18" i="4" s="1"/>
  <c r="AA18" i="4" s="1"/>
  <c r="AC18" i="4" s="1"/>
  <c r="AE18" i="4" s="1"/>
  <c r="AG18" i="4" s="1"/>
  <c r="C25" i="4"/>
  <c r="E25" i="4" s="1"/>
  <c r="G25" i="4" s="1"/>
  <c r="I25" i="4" s="1"/>
  <c r="K25" i="4" s="1"/>
  <c r="M25" i="4" s="1"/>
  <c r="O25" i="4" s="1"/>
  <c r="Q25" i="4" s="1"/>
  <c r="S25" i="4" s="1"/>
  <c r="U25" i="4" s="1"/>
  <c r="W25" i="4" s="1"/>
  <c r="Y25" i="4" s="1"/>
  <c r="AA25" i="4" s="1"/>
  <c r="AC25" i="4" s="1"/>
  <c r="AE25" i="4" s="1"/>
  <c r="AG25" i="4" s="1"/>
  <c r="A23" i="11"/>
  <c r="A37" i="4"/>
  <c r="C36" i="11"/>
  <c r="E36" i="11" s="1"/>
  <c r="G36" i="11" s="1"/>
  <c r="I36" i="11" s="1"/>
  <c r="K36" i="11" s="1"/>
  <c r="M36" i="11" s="1"/>
  <c r="O36" i="11" s="1"/>
  <c r="Q36" i="11" s="1"/>
  <c r="S36" i="11" s="1"/>
  <c r="U36" i="11" s="1"/>
  <c r="W36" i="11" s="1"/>
  <c r="Y36" i="11" s="1"/>
  <c r="AA36" i="11" s="1"/>
  <c r="AC36" i="11" s="1"/>
  <c r="AE36" i="11" s="1"/>
  <c r="AG36" i="11" s="1"/>
  <c r="BG7" i="23"/>
  <c r="D163" i="8"/>
  <c r="AB163" i="8"/>
  <c r="G2" i="11"/>
  <c r="I2" i="4"/>
  <c r="H14" i="5"/>
  <c r="AC14" i="5" s="1"/>
  <c r="H6" i="5"/>
  <c r="H9" i="5"/>
  <c r="L11" i="5"/>
  <c r="BG9" i="23"/>
  <c r="D11" i="11"/>
  <c r="F11" i="11" s="1"/>
  <c r="H11" i="11" s="1"/>
  <c r="J11" i="11" s="1"/>
  <c r="L11" i="11" s="1"/>
  <c r="N11" i="11" s="1"/>
  <c r="P11" i="11" s="1"/>
  <c r="R11" i="11" s="1"/>
  <c r="T11" i="11" s="1"/>
  <c r="V11" i="11" s="1"/>
  <c r="X11" i="11" s="1"/>
  <c r="Z11" i="11" s="1"/>
  <c r="AB11" i="11" s="1"/>
  <c r="AD11" i="11" s="1"/>
  <c r="AF11" i="11" s="1"/>
  <c r="AH11" i="11" s="1"/>
  <c r="C3" i="23"/>
  <c r="L174" i="7" s="1"/>
  <c r="B3" i="23"/>
  <c r="J174" i="7" s="1"/>
  <c r="F3" i="23"/>
  <c r="G3" i="23"/>
  <c r="E3" i="23"/>
  <c r="D3" i="23"/>
  <c r="O163" i="7" s="1"/>
  <c r="H3" i="23"/>
  <c r="O46" i="23"/>
  <c r="K46" i="23"/>
  <c r="I46" i="23"/>
  <c r="D10" i="4" s="1"/>
  <c r="F10" i="4" s="1"/>
  <c r="H10" i="4" s="1"/>
  <c r="J10" i="4" s="1"/>
  <c r="L10" i="4" s="1"/>
  <c r="N10" i="4" s="1"/>
  <c r="P10" i="4" s="1"/>
  <c r="R10" i="4" s="1"/>
  <c r="T10" i="4" s="1"/>
  <c r="V10" i="4" s="1"/>
  <c r="X10" i="4" s="1"/>
  <c r="Z10" i="4" s="1"/>
  <c r="AB10" i="4" s="1"/>
  <c r="AD10" i="4" s="1"/>
  <c r="AF10" i="4" s="1"/>
  <c r="AH10" i="4" s="1"/>
  <c r="M46" i="23"/>
  <c r="J46" i="23"/>
  <c r="L46" i="23"/>
  <c r="N46" i="23"/>
  <c r="D23" i="4"/>
  <c r="F23" i="4" s="1"/>
  <c r="H23" i="4" s="1"/>
  <c r="J23" i="4" s="1"/>
  <c r="L23" i="4" s="1"/>
  <c r="N23" i="4" s="1"/>
  <c r="P23" i="4" s="1"/>
  <c r="R23" i="4" s="1"/>
  <c r="T23" i="4" s="1"/>
  <c r="V23" i="4" s="1"/>
  <c r="X23" i="4" s="1"/>
  <c r="Z23" i="4" s="1"/>
  <c r="AB23" i="4" s="1"/>
  <c r="AD23" i="4" s="1"/>
  <c r="AF23" i="4" s="1"/>
  <c r="AH23" i="4" s="1"/>
  <c r="C11" i="4"/>
  <c r="E11" i="4" s="1"/>
  <c r="G11" i="4" s="1"/>
  <c r="I11" i="4" s="1"/>
  <c r="K11" i="4" s="1"/>
  <c r="M11" i="4" s="1"/>
  <c r="O11" i="4" s="1"/>
  <c r="Q11" i="4" s="1"/>
  <c r="S11" i="4" s="1"/>
  <c r="U11" i="4" s="1"/>
  <c r="W11" i="4" s="1"/>
  <c r="Y11" i="4" s="1"/>
  <c r="AA11" i="4" s="1"/>
  <c r="AC11" i="4" s="1"/>
  <c r="AE11" i="4" s="1"/>
  <c r="AG11" i="4" s="1"/>
  <c r="D20" i="11"/>
  <c r="F20" i="11" s="1"/>
  <c r="H20" i="11" s="1"/>
  <c r="J20" i="11" s="1"/>
  <c r="L20" i="11" s="1"/>
  <c r="N20" i="11" s="1"/>
  <c r="P20" i="11" s="1"/>
  <c r="R20" i="11" s="1"/>
  <c r="T20" i="11" s="1"/>
  <c r="V20" i="11" s="1"/>
  <c r="X20" i="11" s="1"/>
  <c r="Z20" i="11" s="1"/>
  <c r="AB20" i="11" s="1"/>
  <c r="AD20" i="11" s="1"/>
  <c r="AF20" i="11" s="1"/>
  <c r="AH20" i="11" s="1"/>
  <c r="C20" i="11"/>
  <c r="E20" i="11" s="1"/>
  <c r="G20" i="11" s="1"/>
  <c r="I20" i="11" s="1"/>
  <c r="K20" i="11" s="1"/>
  <c r="M20" i="11" s="1"/>
  <c r="O20" i="11" s="1"/>
  <c r="Q20" i="11" s="1"/>
  <c r="S20" i="11" s="1"/>
  <c r="U20" i="11" s="1"/>
  <c r="W20" i="11" s="1"/>
  <c r="Y20" i="11" s="1"/>
  <c r="AA20" i="11" s="1"/>
  <c r="AC20" i="11" s="1"/>
  <c r="AE20" i="11" s="1"/>
  <c r="AG20" i="11" s="1"/>
  <c r="C35" i="4"/>
  <c r="E35" i="4" s="1"/>
  <c r="G35" i="4" s="1"/>
  <c r="I35" i="4" s="1"/>
  <c r="K35" i="4" s="1"/>
  <c r="M35" i="4" s="1"/>
  <c r="O35" i="4" s="1"/>
  <c r="Q35" i="4" s="1"/>
  <c r="S35" i="4" s="1"/>
  <c r="U35" i="4" s="1"/>
  <c r="W35" i="4" s="1"/>
  <c r="Y35" i="4" s="1"/>
  <c r="AA35" i="4" s="1"/>
  <c r="AC35" i="4" s="1"/>
  <c r="AE35" i="4" s="1"/>
  <c r="AG35" i="4" s="1"/>
  <c r="B35" i="11"/>
  <c r="B49" i="4"/>
  <c r="K171" i="7"/>
  <c r="N171" i="7"/>
  <c r="O171" i="7"/>
  <c r="B171" i="7"/>
  <c r="D171" i="7"/>
  <c r="AA171" i="7"/>
  <c r="C15" i="4"/>
  <c r="E15" i="4" s="1"/>
  <c r="G15" i="4" s="1"/>
  <c r="I15" i="4" s="1"/>
  <c r="K15" i="4" s="1"/>
  <c r="M15" i="4" s="1"/>
  <c r="O15" i="4" s="1"/>
  <c r="Q15" i="4" s="1"/>
  <c r="S15" i="4" s="1"/>
  <c r="U15" i="4" s="1"/>
  <c r="W15" i="4" s="1"/>
  <c r="Y15" i="4" s="1"/>
  <c r="AA15" i="4" s="1"/>
  <c r="AC15" i="4" s="1"/>
  <c r="AE15" i="4" s="1"/>
  <c r="AG15" i="4" s="1"/>
  <c r="AI142" i="7"/>
  <c r="AK142" i="7"/>
  <c r="AL142" i="7"/>
  <c r="AM142" i="7"/>
  <c r="AN142" i="7"/>
  <c r="AJ142" i="7"/>
  <c r="AO142" i="7"/>
  <c r="D28" i="4"/>
  <c r="F28" i="4" s="1"/>
  <c r="H28" i="4" s="1"/>
  <c r="J28" i="4" s="1"/>
  <c r="L28" i="4" s="1"/>
  <c r="N28" i="4" s="1"/>
  <c r="P28" i="4" s="1"/>
  <c r="R28" i="4" s="1"/>
  <c r="T28" i="4" s="1"/>
  <c r="V28" i="4" s="1"/>
  <c r="X28" i="4" s="1"/>
  <c r="Z28" i="4" s="1"/>
  <c r="AB28" i="4" s="1"/>
  <c r="AD28" i="4" s="1"/>
  <c r="AF28" i="4" s="1"/>
  <c r="AH28" i="4" s="1"/>
  <c r="C18" i="11"/>
  <c r="E18" i="11" s="1"/>
  <c r="G18" i="11" s="1"/>
  <c r="I18" i="11" s="1"/>
  <c r="K18" i="11" s="1"/>
  <c r="M18" i="11" s="1"/>
  <c r="O18" i="11" s="1"/>
  <c r="Q18" i="11" s="1"/>
  <c r="S18" i="11" s="1"/>
  <c r="U18" i="11" s="1"/>
  <c r="W18" i="11" s="1"/>
  <c r="Y18" i="11" s="1"/>
  <c r="AA18" i="11" s="1"/>
  <c r="AC18" i="11" s="1"/>
  <c r="AE18" i="11" s="1"/>
  <c r="AG18" i="11" s="1"/>
  <c r="D18" i="11"/>
  <c r="F18" i="11" s="1"/>
  <c r="H18" i="11" s="1"/>
  <c r="J18" i="11" s="1"/>
  <c r="L18" i="11" s="1"/>
  <c r="N18" i="11" s="1"/>
  <c r="P18" i="11" s="1"/>
  <c r="R18" i="11" s="1"/>
  <c r="T18" i="11" s="1"/>
  <c r="V18" i="11" s="1"/>
  <c r="X18" i="11" s="1"/>
  <c r="Z18" i="11" s="1"/>
  <c r="AB18" i="11" s="1"/>
  <c r="AD18" i="11" s="1"/>
  <c r="AF18" i="11" s="1"/>
  <c r="AH18" i="11" s="1"/>
  <c r="AY10" i="5"/>
  <c r="W10" i="5"/>
  <c r="C34" i="11"/>
  <c r="E34" i="11" s="1"/>
  <c r="G34" i="11" s="1"/>
  <c r="I34" i="11" s="1"/>
  <c r="K34" i="11" s="1"/>
  <c r="M34" i="11" s="1"/>
  <c r="O34" i="11" s="1"/>
  <c r="Q34" i="11" s="1"/>
  <c r="S34" i="11" s="1"/>
  <c r="U34" i="11" s="1"/>
  <c r="W34" i="11" s="1"/>
  <c r="Y34" i="11" s="1"/>
  <c r="AA34" i="11" s="1"/>
  <c r="AC34" i="11" s="1"/>
  <c r="AE34" i="11" s="1"/>
  <c r="AG34" i="11" s="1"/>
  <c r="D34" i="11"/>
  <c r="F34" i="11" s="1"/>
  <c r="H34" i="11" s="1"/>
  <c r="J34" i="11" s="1"/>
  <c r="L34" i="11" s="1"/>
  <c r="N34" i="11" s="1"/>
  <c r="P34" i="11" s="1"/>
  <c r="R34" i="11" s="1"/>
  <c r="T34" i="11" s="1"/>
  <c r="V34" i="11" s="1"/>
  <c r="X34" i="11" s="1"/>
  <c r="Z34" i="11" s="1"/>
  <c r="AB34" i="11" s="1"/>
  <c r="AD34" i="11" s="1"/>
  <c r="AF34" i="11" s="1"/>
  <c r="AH34" i="11" s="1"/>
  <c r="C36" i="4"/>
  <c r="E36" i="4" s="1"/>
  <c r="G36" i="4" s="1"/>
  <c r="I36" i="4" s="1"/>
  <c r="K36" i="4" s="1"/>
  <c r="M36" i="4" s="1"/>
  <c r="O36" i="4" s="1"/>
  <c r="Q36" i="4" s="1"/>
  <c r="S36" i="4" s="1"/>
  <c r="U36" i="4" s="1"/>
  <c r="W36" i="4" s="1"/>
  <c r="Y36" i="4" s="1"/>
  <c r="AA36" i="4" s="1"/>
  <c r="AC36" i="4" s="1"/>
  <c r="AE36" i="4" s="1"/>
  <c r="AG36" i="4" s="1"/>
  <c r="D165" i="8"/>
  <c r="AB165" i="8"/>
  <c r="I8" i="5"/>
  <c r="I14" i="5"/>
  <c r="AD14" i="5" s="1"/>
  <c r="L2" i="11"/>
  <c r="N2" i="4"/>
  <c r="D167" i="8"/>
  <c r="AB167" i="8"/>
  <c r="BG8" i="23"/>
  <c r="J2" i="10"/>
  <c r="H25" i="23"/>
  <c r="D25" i="23"/>
  <c r="F25" i="23"/>
  <c r="G25" i="23"/>
  <c r="C25" i="23"/>
  <c r="E25" i="23"/>
  <c r="B25" i="23"/>
  <c r="I3" i="23"/>
  <c r="C174" i="7" s="1"/>
  <c r="J3" i="23"/>
  <c r="K3" i="23"/>
  <c r="N3" i="23"/>
  <c r="L3" i="23"/>
  <c r="F166" i="7" s="1"/>
  <c r="M3" i="23"/>
  <c r="O3" i="23"/>
  <c r="M163" i="7"/>
  <c r="H163" i="7"/>
  <c r="N163" i="7"/>
  <c r="B163" i="7"/>
  <c r="I163" i="7"/>
  <c r="C163" i="7"/>
  <c r="AA163" i="7"/>
  <c r="D22" i="11"/>
  <c r="F22" i="11" s="1"/>
  <c r="H22" i="11" s="1"/>
  <c r="J22" i="11" s="1"/>
  <c r="L22" i="11" s="1"/>
  <c r="N22" i="11" s="1"/>
  <c r="P22" i="11" s="1"/>
  <c r="R22" i="11" s="1"/>
  <c r="T22" i="11" s="1"/>
  <c r="V22" i="11" s="1"/>
  <c r="X22" i="11" s="1"/>
  <c r="Z22" i="11" s="1"/>
  <c r="AB22" i="11" s="1"/>
  <c r="AD22" i="11" s="1"/>
  <c r="AF22" i="11" s="1"/>
  <c r="AH22" i="11" s="1"/>
  <c r="C22" i="11"/>
  <c r="E22" i="11" s="1"/>
  <c r="G22" i="11" s="1"/>
  <c r="I22" i="11" s="1"/>
  <c r="K22" i="11" s="1"/>
  <c r="M22" i="11" s="1"/>
  <c r="O22" i="11" s="1"/>
  <c r="Q22" i="11" s="1"/>
  <c r="S22" i="11" s="1"/>
  <c r="U22" i="11" s="1"/>
  <c r="W22" i="11" s="1"/>
  <c r="Y22" i="11" s="1"/>
  <c r="AA22" i="11" s="1"/>
  <c r="AC22" i="11" s="1"/>
  <c r="AE22" i="11" s="1"/>
  <c r="AG22" i="11" s="1"/>
  <c r="B69" i="4"/>
  <c r="B55" i="11"/>
  <c r="D30" i="11"/>
  <c r="F30" i="11" s="1"/>
  <c r="H30" i="11" s="1"/>
  <c r="J30" i="11" s="1"/>
  <c r="L30" i="11" s="1"/>
  <c r="N30" i="11" s="1"/>
  <c r="P30" i="11" s="1"/>
  <c r="R30" i="11" s="1"/>
  <c r="T30" i="11" s="1"/>
  <c r="V30" i="11" s="1"/>
  <c r="X30" i="11" s="1"/>
  <c r="Z30" i="11" s="1"/>
  <c r="AB30" i="11" s="1"/>
  <c r="AD30" i="11" s="1"/>
  <c r="AF30" i="11" s="1"/>
  <c r="AH30" i="11" s="1"/>
  <c r="C30" i="11"/>
  <c r="E30" i="11" s="1"/>
  <c r="G30" i="11" s="1"/>
  <c r="I30" i="11" s="1"/>
  <c r="K30" i="11" s="1"/>
  <c r="M30" i="11" s="1"/>
  <c r="O30" i="11" s="1"/>
  <c r="Q30" i="11" s="1"/>
  <c r="S30" i="11" s="1"/>
  <c r="U30" i="11" s="1"/>
  <c r="W30" i="11" s="1"/>
  <c r="Y30" i="11" s="1"/>
  <c r="AA30" i="11" s="1"/>
  <c r="AC30" i="11" s="1"/>
  <c r="AE30" i="11" s="1"/>
  <c r="AG30" i="11" s="1"/>
  <c r="C42" i="4"/>
  <c r="E42" i="4" s="1"/>
  <c r="G42" i="4" s="1"/>
  <c r="I42" i="4" s="1"/>
  <c r="K42" i="4" s="1"/>
  <c r="M42" i="4" s="1"/>
  <c r="O42" i="4" s="1"/>
  <c r="Q42" i="4" s="1"/>
  <c r="S42" i="4" s="1"/>
  <c r="U42" i="4" s="1"/>
  <c r="W42" i="4" s="1"/>
  <c r="Y42" i="4" s="1"/>
  <c r="AA42" i="4" s="1"/>
  <c r="AC42" i="4" s="1"/>
  <c r="AE42" i="4" s="1"/>
  <c r="AG42" i="4" s="1"/>
  <c r="AA3" i="5"/>
  <c r="BC3" i="5"/>
  <c r="O14" i="5"/>
  <c r="AJ14" i="5" s="1"/>
  <c r="C6" i="5"/>
  <c r="D166" i="8"/>
  <c r="AB166" i="8"/>
  <c r="BG15" i="23"/>
  <c r="L11" i="10"/>
  <c r="D12" i="10"/>
  <c r="D2" i="10"/>
  <c r="AH141" i="8"/>
  <c r="AL141" i="8"/>
  <c r="AA141" i="8"/>
  <c r="AM141" i="8"/>
  <c r="AE141" i="8"/>
  <c r="AO141" i="8"/>
  <c r="AP141" i="8"/>
  <c r="AK141" i="8"/>
  <c r="AI141" i="8"/>
  <c r="AD141" i="8"/>
  <c r="AB141" i="8"/>
  <c r="AF141" i="8"/>
  <c r="AJ141" i="8"/>
  <c r="AN141" i="8"/>
  <c r="AG141" i="8"/>
  <c r="AC141" i="8"/>
  <c r="C11" i="15"/>
  <c r="C11" i="14" s="1"/>
  <c r="J6" i="19"/>
  <c r="K6" i="19"/>
  <c r="J10" i="19"/>
  <c r="K10" i="19"/>
  <c r="D15" i="15"/>
  <c r="D15" i="14" s="1"/>
  <c r="O48" i="19" s="1"/>
  <c r="AI72" i="23" s="1"/>
  <c r="J14" i="19"/>
  <c r="K14" i="19"/>
  <c r="N15" i="15"/>
  <c r="N15" i="14" s="1"/>
  <c r="O58" i="19" s="1"/>
  <c r="AI82" i="23" s="1"/>
  <c r="J2" i="19"/>
  <c r="K2" i="19"/>
  <c r="M11" i="15"/>
  <c r="M11" i="14" s="1"/>
  <c r="Q11" i="15"/>
  <c r="Q11" i="14" s="1"/>
  <c r="K61" i="19" s="1"/>
  <c r="L11" i="15"/>
  <c r="L11" i="14" s="1"/>
  <c r="J15" i="15"/>
  <c r="J15" i="14" s="1"/>
  <c r="O54" i="19" s="1"/>
  <c r="AI78" i="23" s="1"/>
  <c r="F15" i="15"/>
  <c r="F15" i="14" s="1"/>
  <c r="O50" i="19" s="1"/>
  <c r="AI74" i="23" s="1"/>
  <c r="J8" i="19"/>
  <c r="K8" i="19"/>
  <c r="J9" i="19"/>
  <c r="K9" i="19"/>
  <c r="F11" i="15"/>
  <c r="F11" i="14" s="1"/>
  <c r="K50" i="19" s="1"/>
  <c r="AE74" i="23" s="1"/>
  <c r="Q15" i="15"/>
  <c r="Q15" i="14" s="1"/>
  <c r="O61" i="19" s="1"/>
  <c r="E11" i="15"/>
  <c r="E11" i="14" s="1"/>
  <c r="K49" i="19" s="1"/>
  <c r="AE73" i="23" s="1"/>
  <c r="K12" i="19"/>
  <c r="J12" i="19"/>
  <c r="J13" i="19"/>
  <c r="K13" i="19"/>
  <c r="N11" i="15"/>
  <c r="N11" i="14" s="1"/>
  <c r="K58" i="19" s="1"/>
  <c r="AE82" i="23" s="1"/>
  <c r="J11" i="15"/>
  <c r="J11" i="14" s="1"/>
  <c r="K54" i="19" s="1"/>
  <c r="AE78" i="23" s="1"/>
  <c r="M15" i="15"/>
  <c r="M15" i="14" s="1"/>
  <c r="O57" i="19" s="1"/>
  <c r="AI81" i="23" s="1"/>
  <c r="I15" i="15"/>
  <c r="I15" i="14" s="1"/>
  <c r="O53" i="19" s="1"/>
  <c r="AI77" i="23" s="1"/>
  <c r="K7" i="19"/>
  <c r="J7" i="19"/>
  <c r="K4" i="19"/>
  <c r="J4" i="19"/>
  <c r="G11" i="15"/>
  <c r="G11" i="14" s="1"/>
  <c r="E15" i="15"/>
  <c r="E15" i="14" s="1"/>
  <c r="P15" i="15"/>
  <c r="P15" i="14" s="1"/>
  <c r="K11" i="19"/>
  <c r="J11" i="19"/>
  <c r="J5" i="19"/>
  <c r="K5" i="19"/>
  <c r="O11" i="15"/>
  <c r="O11" i="14" s="1"/>
  <c r="K47" i="19"/>
  <c r="L15" i="15"/>
  <c r="L15" i="14" s="1"/>
  <c r="H15" i="15"/>
  <c r="H15" i="14" s="1"/>
  <c r="K15" i="19"/>
  <c r="J15" i="19"/>
  <c r="H11" i="15"/>
  <c r="H11" i="14" s="1"/>
  <c r="K52" i="19" s="1"/>
  <c r="AE76" i="23" s="1"/>
  <c r="K11" i="15"/>
  <c r="K11" i="14" s="1"/>
  <c r="K55" i="19" s="1"/>
  <c r="AE79" i="23" s="1"/>
  <c r="O15" i="15"/>
  <c r="O15" i="14" s="1"/>
  <c r="O59" i="19" s="1"/>
  <c r="AI83" i="23" s="1"/>
  <c r="P11" i="15"/>
  <c r="P11" i="14" s="1"/>
  <c r="K60" i="19" s="1"/>
  <c r="AE84" i="23" s="1"/>
  <c r="K15" i="15"/>
  <c r="K15" i="14" s="1"/>
  <c r="O55" i="19" s="1"/>
  <c r="AI79" i="23" s="1"/>
  <c r="G15" i="15"/>
  <c r="G15" i="14" s="1"/>
  <c r="O51" i="19" s="1"/>
  <c r="AI75" i="23" s="1"/>
  <c r="J25" i="22"/>
  <c r="N25" i="22" s="1"/>
  <c r="D17" i="15" s="1"/>
  <c r="D17" i="14" s="1"/>
  <c r="Q48" i="19" s="1"/>
  <c r="R21" i="22"/>
  <c r="H13" i="15" s="1"/>
  <c r="H13" i="14" s="1"/>
  <c r="Z21" i="22"/>
  <c r="P13" i="15" s="1"/>
  <c r="P13" i="14" s="1"/>
  <c r="S21" i="22"/>
  <c r="I13" i="15" s="1"/>
  <c r="I13" i="14" s="1"/>
  <c r="AA21" i="22"/>
  <c r="Q13" i="15" s="1"/>
  <c r="Q13" i="14" s="1"/>
  <c r="T21" i="22"/>
  <c r="J13" i="15" s="1"/>
  <c r="J13" i="14" s="1"/>
  <c r="M21" i="22"/>
  <c r="C13" i="15" s="1"/>
  <c r="C13" i="14" s="1"/>
  <c r="M47" i="19" s="1"/>
  <c r="U21" i="22"/>
  <c r="K13" i="15" s="1"/>
  <c r="K13" i="14" s="1"/>
  <c r="N21" i="22"/>
  <c r="D13" i="15" s="1"/>
  <c r="D13" i="14" s="1"/>
  <c r="V21" i="22"/>
  <c r="L13" i="15" s="1"/>
  <c r="L13" i="14" s="1"/>
  <c r="O21" i="22"/>
  <c r="E13" i="15" s="1"/>
  <c r="E13" i="14" s="1"/>
  <c r="W21" i="22"/>
  <c r="M13" i="15" s="1"/>
  <c r="M13" i="14" s="1"/>
  <c r="P21" i="22"/>
  <c r="F13" i="15" s="1"/>
  <c r="F13" i="14" s="1"/>
  <c r="X21" i="22"/>
  <c r="N13" i="15" s="1"/>
  <c r="N13" i="14" s="1"/>
  <c r="Q21" i="22"/>
  <c r="G13" i="15" s="1"/>
  <c r="G13" i="14" s="1"/>
  <c r="Y21" i="22"/>
  <c r="O13" i="15" s="1"/>
  <c r="O13" i="14" s="1"/>
  <c r="S22" i="22"/>
  <c r="I12" i="15" s="1"/>
  <c r="I12" i="14" s="1"/>
  <c r="AA22" i="22"/>
  <c r="Q12" i="15" s="1"/>
  <c r="Q12" i="14" s="1"/>
  <c r="T22" i="22"/>
  <c r="J12" i="15" s="1"/>
  <c r="J12" i="14" s="1"/>
  <c r="L54" i="19" s="1"/>
  <c r="M22" i="22"/>
  <c r="C12" i="15" s="1"/>
  <c r="C12" i="14" s="1"/>
  <c r="L47" i="19" s="1"/>
  <c r="U22" i="22"/>
  <c r="K12" i="15" s="1"/>
  <c r="K12" i="14" s="1"/>
  <c r="N22" i="22"/>
  <c r="D12" i="15" s="1"/>
  <c r="D12" i="14" s="1"/>
  <c r="V22" i="22"/>
  <c r="L12" i="15" s="1"/>
  <c r="L12" i="14" s="1"/>
  <c r="O22" i="22"/>
  <c r="E12" i="15" s="1"/>
  <c r="E12" i="14" s="1"/>
  <c r="W22" i="22"/>
  <c r="M12" i="15" s="1"/>
  <c r="M12" i="14" s="1"/>
  <c r="P22" i="22"/>
  <c r="F12" i="15" s="1"/>
  <c r="F12" i="14" s="1"/>
  <c r="X22" i="22"/>
  <c r="N12" i="15" s="1"/>
  <c r="N12" i="14" s="1"/>
  <c r="L58" i="19" s="1"/>
  <c r="Q22" i="22"/>
  <c r="G12" i="15" s="1"/>
  <c r="G12" i="14" s="1"/>
  <c r="Y22" i="22"/>
  <c r="O12" i="15" s="1"/>
  <c r="O12" i="14" s="1"/>
  <c r="R22" i="22"/>
  <c r="H12" i="15" s="1"/>
  <c r="H12" i="14" s="1"/>
  <c r="Z22" i="22"/>
  <c r="P12" i="15" s="1"/>
  <c r="P12" i="14" s="1"/>
  <c r="M24" i="22"/>
  <c r="C16" i="15" s="1"/>
  <c r="C16" i="14" s="1"/>
  <c r="U24" i="22"/>
  <c r="K16" i="15" s="1"/>
  <c r="K16" i="14" s="1"/>
  <c r="N24" i="22"/>
  <c r="D16" i="15" s="1"/>
  <c r="D16" i="14" s="1"/>
  <c r="V24" i="22"/>
  <c r="L16" i="15" s="1"/>
  <c r="L16" i="14" s="1"/>
  <c r="P56" i="19" s="1"/>
  <c r="J27" i="22"/>
  <c r="O24" i="22"/>
  <c r="E16" i="15" s="1"/>
  <c r="E16" i="14" s="1"/>
  <c r="W24" i="22"/>
  <c r="M16" i="15" s="1"/>
  <c r="M16" i="14" s="1"/>
  <c r="P24" i="22"/>
  <c r="F16" i="15" s="1"/>
  <c r="F16" i="14" s="1"/>
  <c r="X24" i="22"/>
  <c r="N16" i="15" s="1"/>
  <c r="N16" i="14" s="1"/>
  <c r="Q24" i="22"/>
  <c r="G16" i="15" s="1"/>
  <c r="G16" i="14" s="1"/>
  <c r="Y24" i="22"/>
  <c r="O16" i="15" s="1"/>
  <c r="O16" i="14" s="1"/>
  <c r="R24" i="22"/>
  <c r="H16" i="15" s="1"/>
  <c r="H16" i="14" s="1"/>
  <c r="P52" i="19" s="1"/>
  <c r="Z24" i="22"/>
  <c r="P16" i="15" s="1"/>
  <c r="P16" i="14" s="1"/>
  <c r="P60" i="19" s="1"/>
  <c r="S24" i="22"/>
  <c r="I16" i="15" s="1"/>
  <c r="I16" i="14" s="1"/>
  <c r="AA24" i="22"/>
  <c r="Q16" i="15" s="1"/>
  <c r="Q16" i="14" s="1"/>
  <c r="T24" i="22"/>
  <c r="J16" i="15" s="1"/>
  <c r="J16" i="14" s="1"/>
  <c r="Q20" i="22"/>
  <c r="Y20" i="22"/>
  <c r="R20" i="22"/>
  <c r="Z20" i="22"/>
  <c r="S20" i="22"/>
  <c r="AA20" i="22"/>
  <c r="T20" i="22"/>
  <c r="M20" i="22"/>
  <c r="U20" i="22"/>
  <c r="N20" i="22"/>
  <c r="V20" i="22"/>
  <c r="O20" i="22"/>
  <c r="W20" i="22"/>
  <c r="P20" i="22"/>
  <c r="X20" i="22"/>
  <c r="T23" i="22"/>
  <c r="J14" i="15" s="1"/>
  <c r="J14" i="14" s="1"/>
  <c r="M23" i="22"/>
  <c r="C14" i="15" s="1"/>
  <c r="C14" i="14" s="1"/>
  <c r="U23" i="22"/>
  <c r="K14" i="15" s="1"/>
  <c r="K14" i="14" s="1"/>
  <c r="N23" i="22"/>
  <c r="D14" i="15" s="1"/>
  <c r="D14" i="14" s="1"/>
  <c r="V23" i="22"/>
  <c r="L14" i="15" s="1"/>
  <c r="L14" i="14" s="1"/>
  <c r="O23" i="22"/>
  <c r="E14" i="15" s="1"/>
  <c r="E14" i="14" s="1"/>
  <c r="N49" i="19" s="1"/>
  <c r="W23" i="22"/>
  <c r="M14" i="15" s="1"/>
  <c r="M14" i="14" s="1"/>
  <c r="P23" i="22"/>
  <c r="F14" i="15" s="1"/>
  <c r="F14" i="14" s="1"/>
  <c r="X23" i="22"/>
  <c r="N14" i="15" s="1"/>
  <c r="N14" i="14" s="1"/>
  <c r="Q23" i="22"/>
  <c r="G14" i="15" s="1"/>
  <c r="G14" i="14" s="1"/>
  <c r="Y23" i="22"/>
  <c r="O14" i="15" s="1"/>
  <c r="O14" i="14" s="1"/>
  <c r="R23" i="22"/>
  <c r="H14" i="15" s="1"/>
  <c r="H14" i="14" s="1"/>
  <c r="Z23" i="22"/>
  <c r="P14" i="15" s="1"/>
  <c r="P14" i="14" s="1"/>
  <c r="S23" i="22"/>
  <c r="I14" i="15" s="1"/>
  <c r="I14" i="14" s="1"/>
  <c r="N53" i="19" s="1"/>
  <c r="AA23" i="22"/>
  <c r="Q14" i="15" s="1"/>
  <c r="Q14" i="14" s="1"/>
  <c r="N61" i="19" s="1"/>
  <c r="N10" i="22"/>
  <c r="V10" i="22"/>
  <c r="O10" i="22"/>
  <c r="W10" i="22"/>
  <c r="P10" i="22"/>
  <c r="X10" i="22"/>
  <c r="Q10" i="22"/>
  <c r="Y10" i="22"/>
  <c r="R10" i="22"/>
  <c r="Z10" i="22"/>
  <c r="S10" i="22"/>
  <c r="AA10" i="22"/>
  <c r="T10" i="22"/>
  <c r="M10" i="22"/>
  <c r="U10" i="22"/>
  <c r="P4" i="15"/>
  <c r="P4" i="14" s="1"/>
  <c r="L4" i="15"/>
  <c r="L4" i="14" s="1"/>
  <c r="D56" i="19" s="1"/>
  <c r="H4" i="15"/>
  <c r="H4" i="14" s="1"/>
  <c r="D52" i="19" s="1"/>
  <c r="D4" i="15"/>
  <c r="D4" i="14" s="1"/>
  <c r="D48" i="19" s="1"/>
  <c r="O4" i="15"/>
  <c r="O4" i="14" s="1"/>
  <c r="K4" i="15"/>
  <c r="K4" i="14" s="1"/>
  <c r="D55" i="19" s="1"/>
  <c r="G4" i="15"/>
  <c r="G4" i="14" s="1"/>
  <c r="D51" i="19" s="1"/>
  <c r="P12" i="22"/>
  <c r="X12" i="22"/>
  <c r="Q12" i="22"/>
  <c r="Y12" i="22"/>
  <c r="R12" i="22"/>
  <c r="Z12" i="22"/>
  <c r="S12" i="22"/>
  <c r="AA12" i="22"/>
  <c r="T12" i="22"/>
  <c r="M12" i="22"/>
  <c r="U12" i="22"/>
  <c r="N12" i="22"/>
  <c r="V12" i="22"/>
  <c r="O12" i="22"/>
  <c r="W12" i="22"/>
  <c r="C4" i="15"/>
  <c r="C4" i="14" s="1"/>
  <c r="D47" i="19" s="1"/>
  <c r="N4" i="15"/>
  <c r="N4" i="14" s="1"/>
  <c r="D58" i="19" s="1"/>
  <c r="Q13" i="22"/>
  <c r="Y13" i="22"/>
  <c r="R13" i="22"/>
  <c r="Z13" i="22"/>
  <c r="S13" i="22"/>
  <c r="AA13" i="22"/>
  <c r="T13" i="22"/>
  <c r="M13" i="22"/>
  <c r="U13" i="22"/>
  <c r="N13" i="22"/>
  <c r="V13" i="22"/>
  <c r="O13" i="22"/>
  <c r="W13" i="22"/>
  <c r="P13" i="22"/>
  <c r="X13" i="22"/>
  <c r="J4" i="15"/>
  <c r="J4" i="14" s="1"/>
  <c r="D54" i="19" s="1"/>
  <c r="F4" i="15"/>
  <c r="F4" i="14" s="1"/>
  <c r="D50" i="19" s="1"/>
  <c r="Q8" i="22"/>
  <c r="Y8" i="22"/>
  <c r="J15" i="22"/>
  <c r="R8" i="22"/>
  <c r="Z8" i="22"/>
  <c r="S8" i="22"/>
  <c r="AA8" i="22"/>
  <c r="T8" i="22"/>
  <c r="M8" i="22"/>
  <c r="U8" i="22"/>
  <c r="N8" i="22"/>
  <c r="V8" i="22"/>
  <c r="J14" i="22"/>
  <c r="O8" i="22"/>
  <c r="W8" i="22"/>
  <c r="P8" i="22"/>
  <c r="X8" i="22"/>
  <c r="Q4" i="15"/>
  <c r="Q4" i="14" s="1"/>
  <c r="D61" i="19" s="1"/>
  <c r="M4" i="15"/>
  <c r="M4" i="14" s="1"/>
  <c r="D57" i="19" s="1"/>
  <c r="M9" i="22"/>
  <c r="U9" i="22"/>
  <c r="N9" i="22"/>
  <c r="V9" i="22"/>
  <c r="O9" i="22"/>
  <c r="W9" i="22"/>
  <c r="P9" i="22"/>
  <c r="X9" i="22"/>
  <c r="Q9" i="22"/>
  <c r="Y9" i="22"/>
  <c r="R9" i="22"/>
  <c r="Z9" i="22"/>
  <c r="S9" i="22"/>
  <c r="AA9" i="22"/>
  <c r="T9" i="22"/>
  <c r="I4" i="15"/>
  <c r="I4" i="14" s="1"/>
  <c r="D53" i="19" s="1"/>
  <c r="E4" i="15"/>
  <c r="E4" i="14" s="1"/>
  <c r="D49" i="19" s="1"/>
  <c r="X16" i="21" a="1"/>
  <c r="X16" i="21" s="1"/>
  <c r="X23" i="21" a="1"/>
  <c r="X23" i="21" s="1"/>
  <c r="X15" i="21" a="1"/>
  <c r="X15" i="21" s="1"/>
  <c r="X22" i="21" a="1"/>
  <c r="X22" i="21" s="1"/>
  <c r="X14" i="21" a="1"/>
  <c r="X14" i="21" s="1"/>
  <c r="X29" i="21"/>
  <c r="X21" i="21" a="1"/>
  <c r="X21" i="21" s="1"/>
  <c r="X13" i="21" a="1"/>
  <c r="X13" i="21" s="1"/>
  <c r="X20" i="21" a="1"/>
  <c r="X20" i="21" s="1"/>
  <c r="X12" i="21" a="1"/>
  <c r="X12" i="21" s="1"/>
  <c r="X19" i="21" a="1"/>
  <c r="X19" i="21" s="1"/>
  <c r="X11" i="21" a="1"/>
  <c r="X11" i="21" s="1"/>
  <c r="X17" i="21" a="1"/>
  <c r="X17" i="21" s="1"/>
  <c r="X10" i="21" a="1"/>
  <c r="X10" i="21" s="1"/>
  <c r="X18" i="21" a="1"/>
  <c r="X18" i="21" s="1"/>
  <c r="X24" i="21" a="1"/>
  <c r="X24" i="21" s="1"/>
  <c r="V12" i="21" a="1"/>
  <c r="V12" i="21" s="1"/>
  <c r="V20" i="21" a="1"/>
  <c r="V20" i="21" s="1"/>
  <c r="V13" i="21" a="1"/>
  <c r="V13" i="21" s="1"/>
  <c r="V21" i="21" a="1"/>
  <c r="V21" i="21" s="1"/>
  <c r="V14" i="21" a="1"/>
  <c r="V14" i="21" s="1"/>
  <c r="V22" i="21" a="1"/>
  <c r="V22" i="21" s="1"/>
  <c r="V15" i="21" a="1"/>
  <c r="V15" i="21" s="1"/>
  <c r="V23" i="21" a="1"/>
  <c r="V23" i="21" s="1"/>
  <c r="V16" i="21" a="1"/>
  <c r="V16" i="21" s="1"/>
  <c r="V24" i="21" a="1"/>
  <c r="V24" i="21" s="1"/>
  <c r="V29" i="21"/>
  <c r="V17" i="21" a="1"/>
  <c r="V17" i="21" s="1"/>
  <c r="V10" i="21" a="1"/>
  <c r="V10" i="21" s="1"/>
  <c r="V18" i="21" a="1"/>
  <c r="V18" i="21" s="1"/>
  <c r="V11" i="21" a="1"/>
  <c r="V11" i="21" s="1"/>
  <c r="V19" i="21" a="1"/>
  <c r="V19" i="21" s="1"/>
  <c r="O5" i="9"/>
  <c r="Y7" i="9"/>
  <c r="O13" i="9"/>
  <c r="C3" i="9"/>
  <c r="AF9" i="9"/>
  <c r="AG3" i="9"/>
  <c r="U6" i="9"/>
  <c r="Q11" i="9"/>
  <c r="Q17" i="9"/>
  <c r="AA5" i="9"/>
  <c r="I9" i="9"/>
  <c r="AA13" i="9"/>
  <c r="N3" i="9"/>
  <c r="S5" i="9"/>
  <c r="J9" i="9"/>
  <c r="AB13" i="9"/>
  <c r="O3" i="9"/>
  <c r="K11" i="9"/>
  <c r="K17" i="9"/>
  <c r="X7" i="9"/>
  <c r="X15" i="9"/>
  <c r="AD11" i="9"/>
  <c r="N5" i="9"/>
  <c r="W7" i="9"/>
  <c r="W11" i="9"/>
  <c r="W15" i="9"/>
  <c r="AC3" i="9"/>
  <c r="G12" i="9"/>
  <c r="AE12" i="9"/>
  <c r="AC12" i="9"/>
  <c r="AA14" i="9"/>
  <c r="Y4" i="9"/>
  <c r="V4" i="9"/>
  <c r="T4" i="9"/>
  <c r="S8" i="9"/>
  <c r="AG8" i="9"/>
  <c r="AD8" i="9"/>
  <c r="AF8" i="9"/>
  <c r="G5" i="9"/>
  <c r="Y14" i="9"/>
  <c r="V14" i="9"/>
  <c r="T14" i="9"/>
  <c r="AA8" i="9"/>
  <c r="O10" i="9"/>
  <c r="M10" i="9"/>
  <c r="K10" i="9"/>
  <c r="C15" i="9"/>
  <c r="J16" i="9"/>
  <c r="W16" i="9"/>
  <c r="U16" i="9"/>
  <c r="X16" i="9"/>
  <c r="B6" i="9"/>
  <c r="O9" i="9"/>
  <c r="F15" i="9"/>
  <c r="U3" i="9"/>
  <c r="P9" i="9"/>
  <c r="Q3" i="9"/>
  <c r="G7" i="9"/>
  <c r="Q13" i="9"/>
  <c r="M3" i="9"/>
  <c r="M6" i="9"/>
  <c r="AA9" i="9"/>
  <c r="R15" i="9"/>
  <c r="AF3" i="9"/>
  <c r="N6" i="9"/>
  <c r="AB9" i="9"/>
  <c r="S15" i="9"/>
  <c r="B3" i="9"/>
  <c r="AC11" i="9"/>
  <c r="AC17" i="9"/>
  <c r="H7" i="9"/>
  <c r="H15" i="9"/>
  <c r="U15" i="9"/>
  <c r="AG5" i="9"/>
  <c r="E9" i="9"/>
  <c r="E13" i="9"/>
  <c r="E17" i="9"/>
  <c r="R14" i="9"/>
  <c r="O12" i="9"/>
  <c r="M12" i="9"/>
  <c r="K12" i="9"/>
  <c r="S4" i="9"/>
  <c r="F4" i="9"/>
  <c r="D4" i="9"/>
  <c r="B4" i="9"/>
  <c r="Z8" i="9"/>
  <c r="N8" i="9"/>
  <c r="L8" i="9"/>
  <c r="P8" i="9"/>
  <c r="AB14" i="9"/>
  <c r="F14" i="9"/>
  <c r="D14" i="9"/>
  <c r="B14" i="9"/>
  <c r="S10" i="9"/>
  <c r="AG10" i="9"/>
  <c r="AD10" i="9"/>
  <c r="AF10" i="9"/>
  <c r="C11" i="9"/>
  <c r="Q16" i="9"/>
  <c r="E16" i="9"/>
  <c r="C16" i="9"/>
  <c r="H16" i="9"/>
  <c r="K6" i="9"/>
  <c r="Y9" i="9"/>
  <c r="O15" i="9"/>
  <c r="AD3" i="9"/>
  <c r="H9" i="9"/>
  <c r="I3" i="9"/>
  <c r="Q7" i="9"/>
  <c r="Z13" i="9"/>
  <c r="V3" i="9"/>
  <c r="V6" i="9"/>
  <c r="I11" i="9"/>
  <c r="AA15" i="9"/>
  <c r="AF6" i="9"/>
  <c r="W6" i="9"/>
  <c r="J11" i="9"/>
  <c r="AB15" i="9"/>
  <c r="B7" i="9"/>
  <c r="B15" i="9"/>
  <c r="AF17" i="9"/>
  <c r="AF11" i="9"/>
  <c r="L7" i="9"/>
  <c r="AD15" i="9"/>
  <c r="J6" i="9"/>
  <c r="N9" i="9"/>
  <c r="N13" i="9"/>
  <c r="N17" i="9"/>
  <c r="AB12" i="9"/>
  <c r="F12" i="9"/>
  <c r="D12" i="9"/>
  <c r="B12" i="9"/>
  <c r="J4" i="9"/>
  <c r="AG4" i="9"/>
  <c r="AD4" i="9"/>
  <c r="AF4" i="9"/>
  <c r="Q8" i="9"/>
  <c r="E8" i="9"/>
  <c r="C8" i="9"/>
  <c r="H8" i="9"/>
  <c r="S14" i="9"/>
  <c r="AG14" i="9"/>
  <c r="AD14" i="9"/>
  <c r="AF14" i="9"/>
  <c r="J10" i="9"/>
  <c r="W10" i="9"/>
  <c r="U10" i="9"/>
  <c r="X10" i="9"/>
  <c r="R16" i="9"/>
  <c r="G16" i="9"/>
  <c r="AE16" i="9"/>
  <c r="AC16" i="9"/>
  <c r="T6" i="9"/>
  <c r="F11" i="9"/>
  <c r="Y15" i="9"/>
  <c r="AF5" i="9"/>
  <c r="AF13" i="9"/>
  <c r="Q5" i="9"/>
  <c r="Z7" i="9"/>
  <c r="G15" i="9"/>
  <c r="AE3" i="9"/>
  <c r="AE6" i="9"/>
  <c r="R11" i="9"/>
  <c r="I17" i="9"/>
  <c r="X6" i="9"/>
  <c r="AG6" i="9"/>
  <c r="S11" i="9"/>
  <c r="J17" i="9"/>
  <c r="K7" i="9"/>
  <c r="K15" i="9"/>
  <c r="X17" i="9"/>
  <c r="X11" i="9"/>
  <c r="U7" i="9"/>
  <c r="L17" i="9"/>
  <c r="S6" i="9"/>
  <c r="W9" i="9"/>
  <c r="W13" i="9"/>
  <c r="W17" i="9"/>
  <c r="S12" i="9"/>
  <c r="AG12" i="9"/>
  <c r="AD12" i="9"/>
  <c r="AF12" i="9"/>
  <c r="Z4" i="9"/>
  <c r="W4" i="9"/>
  <c r="U4" i="9"/>
  <c r="X4" i="9"/>
  <c r="G8" i="9"/>
  <c r="AE8" i="9"/>
  <c r="AC8" i="9"/>
  <c r="D3" i="9"/>
  <c r="J14" i="9"/>
  <c r="W14" i="9"/>
  <c r="U14" i="9"/>
  <c r="X14" i="9"/>
  <c r="Z10" i="9"/>
  <c r="N10" i="9"/>
  <c r="L10" i="9"/>
  <c r="P10" i="9"/>
  <c r="C17" i="9"/>
  <c r="Y16" i="9"/>
  <c r="V16" i="9"/>
  <c r="T16" i="9"/>
  <c r="R12" i="9"/>
  <c r="Q9" i="9"/>
  <c r="Q15" i="9"/>
  <c r="I7" i="9"/>
  <c r="AA11" i="9"/>
  <c r="R17" i="9"/>
  <c r="P6" i="9"/>
  <c r="J7" i="9"/>
  <c r="AB11" i="9"/>
  <c r="S17" i="9"/>
  <c r="T7" i="9"/>
  <c r="T15" i="9"/>
  <c r="P17" i="9"/>
  <c r="P11" i="9"/>
  <c r="AD7" i="9"/>
  <c r="U17" i="9"/>
  <c r="AB6" i="9"/>
  <c r="AG9" i="9"/>
  <c r="AG13" i="9"/>
  <c r="AG17" i="9"/>
  <c r="J12" i="9"/>
  <c r="W12" i="9"/>
  <c r="U12" i="9"/>
  <c r="X12" i="9"/>
  <c r="Q4" i="9"/>
  <c r="N4" i="9"/>
  <c r="L4" i="9"/>
  <c r="P4" i="9"/>
  <c r="Y8" i="9"/>
  <c r="V8" i="9"/>
  <c r="T8" i="9"/>
  <c r="AA12" i="9"/>
  <c r="Z14" i="9"/>
  <c r="N14" i="9"/>
  <c r="L14" i="9"/>
  <c r="P14" i="9"/>
  <c r="Q10" i="9"/>
  <c r="E10" i="9"/>
  <c r="C10" i="9"/>
  <c r="H10" i="9"/>
  <c r="C7" i="9"/>
  <c r="O16" i="9"/>
  <c r="M16" i="9"/>
  <c r="K16" i="9"/>
  <c r="I4" i="9"/>
  <c r="F7" i="9"/>
  <c r="Y11" i="9"/>
  <c r="O17" i="9"/>
  <c r="P5" i="9"/>
  <c r="P13" i="9"/>
  <c r="C6" i="9"/>
  <c r="Z9" i="9"/>
  <c r="Z15" i="9"/>
  <c r="I5" i="9"/>
  <c r="R7" i="9"/>
  <c r="I13" i="9"/>
  <c r="AA17" i="9"/>
  <c r="H6" i="9"/>
  <c r="S7" i="9"/>
  <c r="J13" i="9"/>
  <c r="AB17" i="9"/>
  <c r="AC7" i="9"/>
  <c r="AC15" i="9"/>
  <c r="H17" i="9"/>
  <c r="H11" i="9"/>
  <c r="L11" i="9"/>
  <c r="AD17" i="9"/>
  <c r="E7" i="9"/>
  <c r="E11" i="9"/>
  <c r="E15" i="9"/>
  <c r="K3" i="9"/>
  <c r="Z12" i="9"/>
  <c r="N12" i="9"/>
  <c r="L12" i="9"/>
  <c r="P12" i="9"/>
  <c r="G4" i="9"/>
  <c r="E4" i="9"/>
  <c r="C4" i="9"/>
  <c r="H4" i="9"/>
  <c r="O8" i="9"/>
  <c r="M8" i="9"/>
  <c r="K8" i="9"/>
  <c r="G13" i="9"/>
  <c r="Q14" i="9"/>
  <c r="E14" i="9"/>
  <c r="C14" i="9"/>
  <c r="H14" i="9"/>
  <c r="G10" i="9"/>
  <c r="AE10" i="9"/>
  <c r="AC10" i="9"/>
  <c r="R4" i="9"/>
  <c r="AB16" i="9"/>
  <c r="F16" i="9"/>
  <c r="D16" i="9"/>
  <c r="B16" i="9"/>
  <c r="B5" i="9"/>
  <c r="K5" i="9"/>
  <c r="T5" i="9"/>
  <c r="AC5" i="9"/>
  <c r="F6" i="9"/>
  <c r="O6" i="9"/>
  <c r="Y6" i="9"/>
  <c r="B9" i="9"/>
  <c r="K9" i="9"/>
  <c r="T9" i="9"/>
  <c r="AC9" i="9"/>
  <c r="B13" i="9"/>
  <c r="K13" i="9"/>
  <c r="T13" i="9"/>
  <c r="AC13" i="9"/>
  <c r="G3" i="9"/>
  <c r="P3" i="9"/>
  <c r="Z3" i="9"/>
  <c r="C5" i="9"/>
  <c r="L5" i="9"/>
  <c r="U5" i="9"/>
  <c r="AD5" i="9"/>
  <c r="G6" i="9"/>
  <c r="Q6" i="9"/>
  <c r="Z6" i="9"/>
  <c r="C9" i="9"/>
  <c r="L9" i="9"/>
  <c r="U9" i="9"/>
  <c r="AD9" i="9"/>
  <c r="C13" i="9"/>
  <c r="L13" i="9"/>
  <c r="U13" i="9"/>
  <c r="AD13" i="9"/>
  <c r="H3" i="9"/>
  <c r="R3" i="9"/>
  <c r="AA3" i="9"/>
  <c r="M5" i="9"/>
  <c r="V7" i="9"/>
  <c r="AE9" i="9"/>
  <c r="AA16" i="9"/>
  <c r="V5" i="9"/>
  <c r="AE7" i="9"/>
  <c r="I10" i="9"/>
  <c r="D17" i="9"/>
  <c r="AE5" i="9"/>
  <c r="R10" i="9"/>
  <c r="D15" i="9"/>
  <c r="M17" i="9"/>
  <c r="I6" i="9"/>
  <c r="R8" i="9"/>
  <c r="AA10" i="9"/>
  <c r="D13" i="9"/>
  <c r="M15" i="9"/>
  <c r="V17" i="9"/>
  <c r="R6" i="9"/>
  <c r="D11" i="9"/>
  <c r="M13" i="9"/>
  <c r="V15" i="9"/>
  <c r="AE17" i="9"/>
  <c r="AA6" i="9"/>
  <c r="D9" i="9"/>
  <c r="M11" i="9"/>
  <c r="V13" i="9"/>
  <c r="AE15" i="9"/>
  <c r="J3" i="9"/>
  <c r="AA4" i="9"/>
  <c r="D7" i="9"/>
  <c r="M9" i="9"/>
  <c r="V11" i="9"/>
  <c r="AE13" i="9"/>
  <c r="I16" i="9"/>
  <c r="S3" i="9"/>
  <c r="D5" i="9"/>
  <c r="M7" i="9"/>
  <c r="V9" i="9"/>
  <c r="AE11" i="9"/>
  <c r="AB3" i="9"/>
  <c r="AE4" i="9"/>
  <c r="AC4" i="9"/>
  <c r="AB8" i="9"/>
  <c r="F8" i="9"/>
  <c r="D8" i="9"/>
  <c r="B8" i="9"/>
  <c r="G14" i="9"/>
  <c r="AE14" i="9"/>
  <c r="AC14" i="9"/>
  <c r="Y10" i="9"/>
  <c r="V10" i="9"/>
  <c r="T10" i="9"/>
  <c r="E6" i="9"/>
  <c r="S16" i="9"/>
  <c r="AG16" i="9"/>
  <c r="AD16" i="9"/>
  <c r="AF16" i="9"/>
  <c r="I14" i="9"/>
  <c r="F12" i="16"/>
  <c r="F4" i="16"/>
  <c r="F26" i="16"/>
  <c r="F17" i="16"/>
  <c r="F42" i="16"/>
  <c r="F7" i="16"/>
  <c r="F24" i="16"/>
  <c r="F5" i="16"/>
  <c r="F41" i="16"/>
  <c r="F11" i="16"/>
  <c r="F19" i="16"/>
  <c r="F8" i="16"/>
  <c r="F37" i="16"/>
  <c r="F36" i="16"/>
  <c r="F31" i="16"/>
  <c r="F44" i="16"/>
  <c r="F2" i="16"/>
  <c r="F33" i="16"/>
  <c r="F34" i="16"/>
  <c r="F45" i="16"/>
  <c r="F9" i="16"/>
  <c r="F29" i="16"/>
  <c r="F32" i="16"/>
  <c r="F30" i="16"/>
  <c r="F3" i="16"/>
  <c r="F16" i="16"/>
  <c r="F14" i="16"/>
  <c r="F40" i="16"/>
  <c r="F25" i="16"/>
  <c r="F15" i="16"/>
  <c r="F43" i="16"/>
  <c r="F39" i="16"/>
  <c r="F6" i="16"/>
  <c r="F21" i="16"/>
  <c r="F35" i="16"/>
  <c r="F38" i="16"/>
  <c r="F23" i="16"/>
  <c r="F28" i="16"/>
  <c r="F27" i="16"/>
  <c r="F22" i="16"/>
  <c r="F18" i="16"/>
  <c r="F13" i="16"/>
  <c r="F20" i="16"/>
  <c r="F10" i="16"/>
  <c r="C27" i="1"/>
  <c r="G2" i="16"/>
  <c r="G27" i="16"/>
  <c r="G5" i="16"/>
  <c r="G12" i="16"/>
  <c r="G33" i="16"/>
  <c r="G6" i="16"/>
  <c r="C43" i="1"/>
  <c r="C41" i="1"/>
  <c r="G3" i="16"/>
  <c r="C34" i="1"/>
  <c r="G32" i="16"/>
  <c r="G29" i="16"/>
  <c r="C4" i="1"/>
  <c r="G44" i="16"/>
  <c r="C11" i="1"/>
  <c r="C33" i="1"/>
  <c r="C39" i="1"/>
  <c r="C18" i="1"/>
  <c r="C14" i="1"/>
  <c r="C22" i="1"/>
  <c r="C12" i="1"/>
  <c r="G39" i="16"/>
  <c r="G30" i="16"/>
  <c r="C3" i="1"/>
  <c r="C16" i="1"/>
  <c r="C6" i="1"/>
  <c r="G22" i="16"/>
  <c r="G4" i="16"/>
  <c r="G11" i="16"/>
  <c r="C19" i="1"/>
  <c r="C2" i="1"/>
  <c r="C5" i="1"/>
  <c r="C20" i="1"/>
  <c r="G41" i="16"/>
  <c r="C30" i="1"/>
  <c r="G20" i="16"/>
  <c r="C37" i="1"/>
  <c r="C44" i="1"/>
  <c r="C40" i="1"/>
  <c r="G31" i="16"/>
  <c r="G34" i="16"/>
  <c r="G21" i="16"/>
  <c r="G17" i="16"/>
  <c r="G40" i="16"/>
  <c r="G19" i="16"/>
  <c r="C45" i="1"/>
  <c r="C42" i="1"/>
  <c r="G37" i="16"/>
  <c r="G9" i="16"/>
  <c r="C25" i="1"/>
  <c r="G38" i="16"/>
  <c r="C10" i="1"/>
  <c r="C36" i="1"/>
  <c r="C29" i="1"/>
  <c r="G23" i="16"/>
  <c r="C7" i="1"/>
  <c r="C15" i="1"/>
  <c r="C24" i="1"/>
  <c r="C28" i="1"/>
  <c r="G16" i="16"/>
  <c r="G18" i="16"/>
  <c r="G26" i="16"/>
  <c r="G14" i="16"/>
  <c r="G13" i="16"/>
  <c r="C8" i="1"/>
  <c r="G35" i="16"/>
  <c r="T25" i="22" l="1"/>
  <c r="J17" i="15" s="1"/>
  <c r="J17" i="14" s="1"/>
  <c r="AA25" i="22"/>
  <c r="Q17" i="15" s="1"/>
  <c r="Q17" i="14" s="1"/>
  <c r="R25" i="22"/>
  <c r="H17" i="15" s="1"/>
  <c r="H17" i="14" s="1"/>
  <c r="F24" i="11"/>
  <c r="H24" i="11" s="1"/>
  <c r="J24" i="11" s="1"/>
  <c r="L24" i="11" s="1"/>
  <c r="N24" i="11" s="1"/>
  <c r="P24" i="11" s="1"/>
  <c r="R24" i="11" s="1"/>
  <c r="T24" i="11" s="1"/>
  <c r="V24" i="11" s="1"/>
  <c r="X24" i="11" s="1"/>
  <c r="Z24" i="11" s="1"/>
  <c r="AB24" i="11" s="1"/>
  <c r="AD24" i="11" s="1"/>
  <c r="AF24" i="11" s="1"/>
  <c r="AH24" i="11" s="1"/>
  <c r="AY8" i="5"/>
  <c r="W8" i="5"/>
  <c r="D49" i="4"/>
  <c r="F49" i="4" s="1"/>
  <c r="H49" i="4" s="1"/>
  <c r="J49" i="4" s="1"/>
  <c r="L49" i="4" s="1"/>
  <c r="N49" i="4" s="1"/>
  <c r="P49" i="4" s="1"/>
  <c r="R49" i="4" s="1"/>
  <c r="T49" i="4" s="1"/>
  <c r="V49" i="4" s="1"/>
  <c r="X49" i="4" s="1"/>
  <c r="Z49" i="4" s="1"/>
  <c r="AB49" i="4" s="1"/>
  <c r="AD49" i="4" s="1"/>
  <c r="AF49" i="4" s="1"/>
  <c r="AH49" i="4" s="1"/>
  <c r="C49" i="4"/>
  <c r="E49" i="4" s="1"/>
  <c r="G49" i="4" s="1"/>
  <c r="I49" i="4" s="1"/>
  <c r="K49" i="4" s="1"/>
  <c r="M49" i="4" s="1"/>
  <c r="O49" i="4" s="1"/>
  <c r="Q49" i="4" s="1"/>
  <c r="S49" i="4" s="1"/>
  <c r="U49" i="4" s="1"/>
  <c r="W49" i="4" s="1"/>
  <c r="Y49" i="4" s="1"/>
  <c r="AA49" i="4" s="1"/>
  <c r="AC49" i="4" s="1"/>
  <c r="AE49" i="4" s="1"/>
  <c r="AG49" i="4" s="1"/>
  <c r="B63" i="4"/>
  <c r="B49" i="11"/>
  <c r="E163" i="8"/>
  <c r="AC163" i="8"/>
  <c r="L166" i="7"/>
  <c r="L1" i="11"/>
  <c r="N1" i="4"/>
  <c r="E164" i="8"/>
  <c r="AC164" i="8"/>
  <c r="M176" i="7"/>
  <c r="M174" i="7"/>
  <c r="B174" i="7"/>
  <c r="M164" i="7"/>
  <c r="F175" i="7"/>
  <c r="M167" i="7"/>
  <c r="M172" i="7"/>
  <c r="F168" i="7"/>
  <c r="M173" i="7"/>
  <c r="F169" i="7"/>
  <c r="M175" i="7"/>
  <c r="F173" i="7"/>
  <c r="F164" i="7"/>
  <c r="M168" i="7"/>
  <c r="F167" i="7"/>
  <c r="M169" i="7"/>
  <c r="F172" i="7"/>
  <c r="F165" i="7"/>
  <c r="M165" i="7"/>
  <c r="E172" i="8"/>
  <c r="AC172" i="8"/>
  <c r="AF3" i="5"/>
  <c r="BH3" i="5"/>
  <c r="E170" i="8"/>
  <c r="AC170" i="8"/>
  <c r="N170" i="7"/>
  <c r="J170" i="7"/>
  <c r="B75" i="4"/>
  <c r="B61" i="11"/>
  <c r="E162" i="7"/>
  <c r="D8" i="4"/>
  <c r="F8" i="4" s="1"/>
  <c r="H8" i="4" s="1"/>
  <c r="J8" i="4" s="1"/>
  <c r="L8" i="4" s="1"/>
  <c r="N8" i="4" s="1"/>
  <c r="P8" i="4" s="1"/>
  <c r="R8" i="4" s="1"/>
  <c r="T8" i="4" s="1"/>
  <c r="V8" i="4" s="1"/>
  <c r="X8" i="4" s="1"/>
  <c r="Z8" i="4" s="1"/>
  <c r="AB8" i="4" s="1"/>
  <c r="AD8" i="4" s="1"/>
  <c r="AF8" i="4" s="1"/>
  <c r="AH8" i="4" s="1"/>
  <c r="D21" i="11"/>
  <c r="F21" i="11" s="1"/>
  <c r="H21" i="11" s="1"/>
  <c r="J21" i="11" s="1"/>
  <c r="L21" i="11" s="1"/>
  <c r="N21" i="11" s="1"/>
  <c r="P21" i="11" s="1"/>
  <c r="R21" i="11" s="1"/>
  <c r="T21" i="11" s="1"/>
  <c r="V21" i="11" s="1"/>
  <c r="X21" i="11" s="1"/>
  <c r="Z21" i="11" s="1"/>
  <c r="AB21" i="11" s="1"/>
  <c r="AD21" i="11" s="1"/>
  <c r="AF21" i="11" s="1"/>
  <c r="AH21" i="11" s="1"/>
  <c r="D26" i="4"/>
  <c r="F26" i="4" s="1"/>
  <c r="H26" i="4" s="1"/>
  <c r="J26" i="4" s="1"/>
  <c r="L26" i="4" s="1"/>
  <c r="N26" i="4" s="1"/>
  <c r="P26" i="4" s="1"/>
  <c r="R26" i="4" s="1"/>
  <c r="T26" i="4" s="1"/>
  <c r="V26" i="4" s="1"/>
  <c r="X26" i="4" s="1"/>
  <c r="Z26" i="4" s="1"/>
  <c r="AB26" i="4" s="1"/>
  <c r="AD26" i="4" s="1"/>
  <c r="AF26" i="4" s="1"/>
  <c r="AH26" i="4" s="1"/>
  <c r="Y25" i="22"/>
  <c r="O17" i="15" s="1"/>
  <c r="O17" i="14" s="1"/>
  <c r="G163" i="7"/>
  <c r="H171" i="7"/>
  <c r="D35" i="11"/>
  <c r="F35" i="11" s="1"/>
  <c r="H35" i="11" s="1"/>
  <c r="J35" i="11" s="1"/>
  <c r="L35" i="11" s="1"/>
  <c r="N35" i="11" s="1"/>
  <c r="P35" i="11" s="1"/>
  <c r="R35" i="11" s="1"/>
  <c r="T35" i="11" s="1"/>
  <c r="V35" i="11" s="1"/>
  <c r="X35" i="11" s="1"/>
  <c r="Z35" i="11" s="1"/>
  <c r="AB35" i="11" s="1"/>
  <c r="AD35" i="11" s="1"/>
  <c r="AF35" i="11" s="1"/>
  <c r="AH35" i="11" s="1"/>
  <c r="C35" i="11"/>
  <c r="E35" i="11" s="1"/>
  <c r="G35" i="11" s="1"/>
  <c r="I35" i="11" s="1"/>
  <c r="K35" i="11" s="1"/>
  <c r="M35" i="11" s="1"/>
  <c r="O35" i="11" s="1"/>
  <c r="Q35" i="11" s="1"/>
  <c r="S35" i="11" s="1"/>
  <c r="U35" i="11" s="1"/>
  <c r="W35" i="11" s="1"/>
  <c r="Y35" i="11" s="1"/>
  <c r="AA35" i="11" s="1"/>
  <c r="AC35" i="11" s="1"/>
  <c r="AE35" i="11" s="1"/>
  <c r="AG35" i="11" s="1"/>
  <c r="M166" i="7"/>
  <c r="B166" i="7"/>
  <c r="B64" i="11"/>
  <c r="B78" i="4"/>
  <c r="D28" i="11"/>
  <c r="F28" i="11" s="1"/>
  <c r="H28" i="11" s="1"/>
  <c r="J28" i="11" s="1"/>
  <c r="L28" i="11" s="1"/>
  <c r="N28" i="11" s="1"/>
  <c r="P28" i="11" s="1"/>
  <c r="R28" i="11" s="1"/>
  <c r="T28" i="11" s="1"/>
  <c r="V28" i="11" s="1"/>
  <c r="X28" i="11" s="1"/>
  <c r="Z28" i="11" s="1"/>
  <c r="AB28" i="11" s="1"/>
  <c r="AD28" i="11" s="1"/>
  <c r="AF28" i="11" s="1"/>
  <c r="AH28" i="11" s="1"/>
  <c r="Z7" i="5"/>
  <c r="BB7" i="5"/>
  <c r="G176" i="7"/>
  <c r="C176" i="7"/>
  <c r="G174" i="7"/>
  <c r="O174" i="7"/>
  <c r="B70" i="11"/>
  <c r="B84" i="4"/>
  <c r="D169" i="7"/>
  <c r="K164" i="7"/>
  <c r="K168" i="7"/>
  <c r="D167" i="7"/>
  <c r="K165" i="7"/>
  <c r="D164" i="7"/>
  <c r="K172" i="7"/>
  <c r="D173" i="7"/>
  <c r="K169" i="7"/>
  <c r="D172" i="7"/>
  <c r="K167" i="7"/>
  <c r="D175" i="7"/>
  <c r="D165" i="7"/>
  <c r="K175" i="7"/>
  <c r="D168" i="7"/>
  <c r="K173" i="7"/>
  <c r="D12" i="4"/>
  <c r="F12" i="4" s="1"/>
  <c r="H12" i="4" s="1"/>
  <c r="J12" i="4" s="1"/>
  <c r="L12" i="4" s="1"/>
  <c r="N12" i="4" s="1"/>
  <c r="P12" i="4" s="1"/>
  <c r="R12" i="4" s="1"/>
  <c r="T12" i="4" s="1"/>
  <c r="V12" i="4" s="1"/>
  <c r="X12" i="4" s="1"/>
  <c r="Z12" i="4" s="1"/>
  <c r="AB12" i="4" s="1"/>
  <c r="AD12" i="4" s="1"/>
  <c r="AF12" i="4" s="1"/>
  <c r="AH12" i="4" s="1"/>
  <c r="C17" i="4"/>
  <c r="E17" i="4" s="1"/>
  <c r="G17" i="4" s="1"/>
  <c r="I17" i="4" s="1"/>
  <c r="K17" i="4" s="1"/>
  <c r="M17" i="4" s="1"/>
  <c r="O17" i="4" s="1"/>
  <c r="Q17" i="4" s="1"/>
  <c r="S17" i="4" s="1"/>
  <c r="U17" i="4" s="1"/>
  <c r="W17" i="4" s="1"/>
  <c r="Y17" i="4" s="1"/>
  <c r="AA17" i="4" s="1"/>
  <c r="AC17" i="4" s="1"/>
  <c r="AE17" i="4" s="1"/>
  <c r="AG17" i="4" s="1"/>
  <c r="A55" i="4"/>
  <c r="A41" i="11"/>
  <c r="C41" i="4"/>
  <c r="E41" i="4" s="1"/>
  <c r="G41" i="4" s="1"/>
  <c r="I41" i="4" s="1"/>
  <c r="K41" i="4" s="1"/>
  <c r="M41" i="4" s="1"/>
  <c r="O41" i="4" s="1"/>
  <c r="Q41" i="4" s="1"/>
  <c r="S41" i="4" s="1"/>
  <c r="U41" i="4" s="1"/>
  <c r="W41" i="4" s="1"/>
  <c r="Y41" i="4" s="1"/>
  <c r="AA41" i="4" s="1"/>
  <c r="AC41" i="4" s="1"/>
  <c r="AE41" i="4" s="1"/>
  <c r="AG41" i="4" s="1"/>
  <c r="D41" i="4"/>
  <c r="F41" i="4" s="1"/>
  <c r="H41" i="4" s="1"/>
  <c r="J41" i="4" s="1"/>
  <c r="L41" i="4" s="1"/>
  <c r="N41" i="4" s="1"/>
  <c r="P41" i="4" s="1"/>
  <c r="R41" i="4" s="1"/>
  <c r="T41" i="4" s="1"/>
  <c r="V41" i="4" s="1"/>
  <c r="X41" i="4" s="1"/>
  <c r="Z41" i="4" s="1"/>
  <c r="AB41" i="4" s="1"/>
  <c r="AD41" i="4" s="1"/>
  <c r="AF41" i="4" s="1"/>
  <c r="AH41" i="4" s="1"/>
  <c r="B46" i="11"/>
  <c r="B60" i="4"/>
  <c r="D30" i="4"/>
  <c r="F30" i="4" s="1"/>
  <c r="H30" i="4" s="1"/>
  <c r="J30" i="4" s="1"/>
  <c r="L30" i="4" s="1"/>
  <c r="N30" i="4" s="1"/>
  <c r="P30" i="4" s="1"/>
  <c r="R30" i="4" s="1"/>
  <c r="T30" i="4" s="1"/>
  <c r="V30" i="4" s="1"/>
  <c r="X30" i="4" s="1"/>
  <c r="Z30" i="4" s="1"/>
  <c r="AB30" i="4" s="1"/>
  <c r="AD30" i="4" s="1"/>
  <c r="AF30" i="4" s="1"/>
  <c r="AH30" i="4" s="1"/>
  <c r="H170" i="7"/>
  <c r="D170" i="7"/>
  <c r="C5" i="4"/>
  <c r="E5" i="4" s="1"/>
  <c r="G5" i="4" s="1"/>
  <c r="I5" i="4" s="1"/>
  <c r="K5" i="4" s="1"/>
  <c r="M5" i="4" s="1"/>
  <c r="O5" i="4" s="1"/>
  <c r="Q5" i="4" s="1"/>
  <c r="S5" i="4" s="1"/>
  <c r="U5" i="4" s="1"/>
  <c r="W5" i="4" s="1"/>
  <c r="Y5" i="4" s="1"/>
  <c r="AA5" i="4" s="1"/>
  <c r="AC5" i="4" s="1"/>
  <c r="AE5" i="4" s="1"/>
  <c r="AG5" i="4" s="1"/>
  <c r="C20" i="4"/>
  <c r="E20" i="4" s="1"/>
  <c r="G20" i="4" s="1"/>
  <c r="I20" i="4" s="1"/>
  <c r="K20" i="4" s="1"/>
  <c r="M20" i="4" s="1"/>
  <c r="O20" i="4" s="1"/>
  <c r="Q20" i="4" s="1"/>
  <c r="S20" i="4" s="1"/>
  <c r="U20" i="4" s="1"/>
  <c r="W20" i="4" s="1"/>
  <c r="Y20" i="4" s="1"/>
  <c r="AA20" i="4" s="1"/>
  <c r="AC20" i="4" s="1"/>
  <c r="AE20" i="4" s="1"/>
  <c r="AG20" i="4" s="1"/>
  <c r="C4" i="4"/>
  <c r="E4" i="4" s="1"/>
  <c r="G4" i="4" s="1"/>
  <c r="I4" i="4" s="1"/>
  <c r="K4" i="4" s="1"/>
  <c r="M4" i="4" s="1"/>
  <c r="O4" i="4" s="1"/>
  <c r="Q4" i="4" s="1"/>
  <c r="S4" i="4" s="1"/>
  <c r="U4" i="4" s="1"/>
  <c r="W4" i="4" s="1"/>
  <c r="Y4" i="4" s="1"/>
  <c r="AA4" i="4" s="1"/>
  <c r="AC4" i="4" s="1"/>
  <c r="AE4" i="4" s="1"/>
  <c r="AG4" i="4" s="1"/>
  <c r="C19" i="4"/>
  <c r="E19" i="4" s="1"/>
  <c r="G19" i="4" s="1"/>
  <c r="I19" i="4" s="1"/>
  <c r="K19" i="4" s="1"/>
  <c r="M19" i="4" s="1"/>
  <c r="O19" i="4" s="1"/>
  <c r="Q19" i="4" s="1"/>
  <c r="S19" i="4" s="1"/>
  <c r="U19" i="4" s="1"/>
  <c r="W19" i="4" s="1"/>
  <c r="Y19" i="4" s="1"/>
  <c r="AA19" i="4" s="1"/>
  <c r="AC19" i="4" s="1"/>
  <c r="AE19" i="4" s="1"/>
  <c r="AG19" i="4" s="1"/>
  <c r="C6" i="4"/>
  <c r="E6" i="4" s="1"/>
  <c r="G6" i="4" s="1"/>
  <c r="I6" i="4" s="1"/>
  <c r="K6" i="4" s="1"/>
  <c r="M6" i="4" s="1"/>
  <c r="O6" i="4" s="1"/>
  <c r="Q6" i="4" s="1"/>
  <c r="S6" i="4" s="1"/>
  <c r="U6" i="4" s="1"/>
  <c r="W6" i="4" s="1"/>
  <c r="Y6" i="4" s="1"/>
  <c r="AA6" i="4" s="1"/>
  <c r="AC6" i="4" s="1"/>
  <c r="AE6" i="4" s="1"/>
  <c r="AG6" i="4" s="1"/>
  <c r="C27" i="4"/>
  <c r="E27" i="4" s="1"/>
  <c r="G27" i="4" s="1"/>
  <c r="I27" i="4" s="1"/>
  <c r="K27" i="4" s="1"/>
  <c r="M27" i="4" s="1"/>
  <c r="O27" i="4" s="1"/>
  <c r="Q27" i="4" s="1"/>
  <c r="S27" i="4" s="1"/>
  <c r="U27" i="4" s="1"/>
  <c r="W27" i="4" s="1"/>
  <c r="Y27" i="4" s="1"/>
  <c r="AA27" i="4" s="1"/>
  <c r="AC27" i="4" s="1"/>
  <c r="AE27" i="4" s="1"/>
  <c r="AG27" i="4" s="1"/>
  <c r="I1" i="11"/>
  <c r="K1" i="4"/>
  <c r="N162" i="7"/>
  <c r="C34" i="4"/>
  <c r="E34" i="4" s="1"/>
  <c r="G34" i="4" s="1"/>
  <c r="I34" i="4" s="1"/>
  <c r="K34" i="4" s="1"/>
  <c r="M34" i="4" s="1"/>
  <c r="O34" i="4" s="1"/>
  <c r="Q34" i="4" s="1"/>
  <c r="S34" i="4" s="1"/>
  <c r="U34" i="4" s="1"/>
  <c r="W34" i="4" s="1"/>
  <c r="Y34" i="4" s="1"/>
  <c r="AA34" i="4" s="1"/>
  <c r="AC34" i="4" s="1"/>
  <c r="AE34" i="4" s="1"/>
  <c r="AG34" i="4" s="1"/>
  <c r="Q25" i="22"/>
  <c r="G17" i="15" s="1"/>
  <c r="G17" i="14" s="1"/>
  <c r="B83" i="4"/>
  <c r="B69" i="11"/>
  <c r="J163" i="7"/>
  <c r="S163" i="7" s="1"/>
  <c r="C142" i="7" s="1"/>
  <c r="L163" i="7"/>
  <c r="I171" i="7"/>
  <c r="M171" i="7"/>
  <c r="AC9" i="5"/>
  <c r="BE9" i="5"/>
  <c r="D42" i="4"/>
  <c r="F42" i="4" s="1"/>
  <c r="H42" i="4" s="1"/>
  <c r="J42" i="4" s="1"/>
  <c r="L42" i="4" s="1"/>
  <c r="N42" i="4" s="1"/>
  <c r="P42" i="4" s="1"/>
  <c r="R42" i="4" s="1"/>
  <c r="T42" i="4" s="1"/>
  <c r="V42" i="4" s="1"/>
  <c r="X42" i="4" s="1"/>
  <c r="Z42" i="4" s="1"/>
  <c r="AB42" i="4" s="1"/>
  <c r="AD42" i="4" s="1"/>
  <c r="AF42" i="4" s="1"/>
  <c r="AH42" i="4" s="1"/>
  <c r="G166" i="7"/>
  <c r="O166" i="7"/>
  <c r="D19" i="4"/>
  <c r="F19" i="4" s="1"/>
  <c r="H19" i="4" s="1"/>
  <c r="J19" i="4" s="1"/>
  <c r="L19" i="4" s="1"/>
  <c r="N19" i="4" s="1"/>
  <c r="P19" i="4" s="1"/>
  <c r="R19" i="4" s="1"/>
  <c r="T19" i="4" s="1"/>
  <c r="V19" i="4" s="1"/>
  <c r="X19" i="4" s="1"/>
  <c r="Z19" i="4" s="1"/>
  <c r="AB19" i="4" s="1"/>
  <c r="AD19" i="4" s="1"/>
  <c r="AF19" i="4" s="1"/>
  <c r="AH19" i="4" s="1"/>
  <c r="AB173" i="8"/>
  <c r="B67" i="4"/>
  <c r="B53" i="11"/>
  <c r="L176" i="7"/>
  <c r="B176" i="7"/>
  <c r="K174" i="7"/>
  <c r="N174" i="7"/>
  <c r="I172" i="7"/>
  <c r="I167" i="7"/>
  <c r="B175" i="7"/>
  <c r="I173" i="7"/>
  <c r="B169" i="7"/>
  <c r="B165" i="7"/>
  <c r="I175" i="7"/>
  <c r="B168" i="7"/>
  <c r="B164" i="7"/>
  <c r="I165" i="7"/>
  <c r="I168" i="7"/>
  <c r="I169" i="7"/>
  <c r="B173" i="7"/>
  <c r="I164" i="7"/>
  <c r="B172" i="7"/>
  <c r="B167" i="7"/>
  <c r="D29" i="11"/>
  <c r="F29" i="11" s="1"/>
  <c r="H29" i="11" s="1"/>
  <c r="J29" i="11" s="1"/>
  <c r="L29" i="11" s="1"/>
  <c r="N29" i="11" s="1"/>
  <c r="P29" i="11" s="1"/>
  <c r="R29" i="11" s="1"/>
  <c r="T29" i="11" s="1"/>
  <c r="V29" i="11" s="1"/>
  <c r="X29" i="11" s="1"/>
  <c r="Z29" i="11" s="1"/>
  <c r="AB29" i="11" s="1"/>
  <c r="AD29" i="11" s="1"/>
  <c r="AF29" i="11" s="1"/>
  <c r="AH29" i="11" s="1"/>
  <c r="C29" i="11"/>
  <c r="E29" i="11" s="1"/>
  <c r="G29" i="11" s="1"/>
  <c r="I29" i="11" s="1"/>
  <c r="K29" i="11" s="1"/>
  <c r="M29" i="11" s="1"/>
  <c r="O29" i="11" s="1"/>
  <c r="Q29" i="11" s="1"/>
  <c r="S29" i="11" s="1"/>
  <c r="U29" i="11" s="1"/>
  <c r="W29" i="11" s="1"/>
  <c r="Y29" i="11" s="1"/>
  <c r="AA29" i="11" s="1"/>
  <c r="AC29" i="11" s="1"/>
  <c r="AE29" i="11" s="1"/>
  <c r="AG29" i="11" s="1"/>
  <c r="P30" i="10" a="1"/>
  <c r="P30" i="10" s="1"/>
  <c r="L30" i="10" a="1"/>
  <c r="L30" i="10" s="1"/>
  <c r="H30" i="10" a="1"/>
  <c r="H30" i="10" s="1"/>
  <c r="G30" i="10" a="1"/>
  <c r="G30" i="10" s="1"/>
  <c r="R30" i="10" a="1"/>
  <c r="R30" i="10" s="1"/>
  <c r="I30" i="10" a="1"/>
  <c r="I30" i="10" s="1"/>
  <c r="K30" i="10" a="1"/>
  <c r="K30" i="10" s="1"/>
  <c r="M30" i="10" a="1"/>
  <c r="M30" i="10" s="1"/>
  <c r="N30" i="10" a="1"/>
  <c r="N30" i="10" s="1"/>
  <c r="F30" i="10" a="1"/>
  <c r="F30" i="10" s="1"/>
  <c r="Q30" i="10" a="1"/>
  <c r="Q30" i="10" s="1"/>
  <c r="O30" i="10" a="1"/>
  <c r="O30" i="10" s="1"/>
  <c r="J30" i="10" a="1"/>
  <c r="J30" i="10" s="1"/>
  <c r="D30" i="10" a="1"/>
  <c r="D30" i="10" s="1"/>
  <c r="E30" i="10" a="1"/>
  <c r="E30" i="10" s="1"/>
  <c r="C31" i="10"/>
  <c r="E171" i="8"/>
  <c r="AC171" i="8"/>
  <c r="D27" i="11"/>
  <c r="C27" i="11"/>
  <c r="E27" i="11" s="1"/>
  <c r="G27" i="11" s="1"/>
  <c r="I27" i="11" s="1"/>
  <c r="K27" i="11" s="1"/>
  <c r="M27" i="11" s="1"/>
  <c r="O27" i="11" s="1"/>
  <c r="Q27" i="11" s="1"/>
  <c r="S27" i="11" s="1"/>
  <c r="U27" i="11" s="1"/>
  <c r="W27" i="11" s="1"/>
  <c r="Y27" i="11" s="1"/>
  <c r="AA27" i="11" s="1"/>
  <c r="AC27" i="11" s="1"/>
  <c r="AE27" i="11" s="1"/>
  <c r="AG27" i="11" s="1"/>
  <c r="A63" i="4"/>
  <c r="A49" i="11"/>
  <c r="A54" i="4"/>
  <c r="C40" i="4"/>
  <c r="E40" i="4" s="1"/>
  <c r="G40" i="4" s="1"/>
  <c r="I40" i="4" s="1"/>
  <c r="K40" i="4" s="1"/>
  <c r="M40" i="4" s="1"/>
  <c r="O40" i="4" s="1"/>
  <c r="Q40" i="4" s="1"/>
  <c r="S40" i="4" s="1"/>
  <c r="U40" i="4" s="1"/>
  <c r="W40" i="4" s="1"/>
  <c r="Y40" i="4" s="1"/>
  <c r="AA40" i="4" s="1"/>
  <c r="AC40" i="4" s="1"/>
  <c r="AE40" i="4" s="1"/>
  <c r="AG40" i="4" s="1"/>
  <c r="A40" i="11"/>
  <c r="D40" i="4"/>
  <c r="F40" i="4" s="1"/>
  <c r="H40" i="4" s="1"/>
  <c r="J40" i="4" s="1"/>
  <c r="L40" i="4" s="1"/>
  <c r="N40" i="4" s="1"/>
  <c r="P40" i="4" s="1"/>
  <c r="R40" i="4" s="1"/>
  <c r="T40" i="4" s="1"/>
  <c r="V40" i="4" s="1"/>
  <c r="X40" i="4" s="1"/>
  <c r="Z40" i="4" s="1"/>
  <c r="AB40" i="4" s="1"/>
  <c r="AD40" i="4" s="1"/>
  <c r="AF40" i="4" s="1"/>
  <c r="AH40" i="4" s="1"/>
  <c r="M170" i="7"/>
  <c r="D26" i="11"/>
  <c r="F26" i="11" s="1"/>
  <c r="H26" i="11" s="1"/>
  <c r="J26" i="11" s="1"/>
  <c r="L26" i="11" s="1"/>
  <c r="N26" i="11" s="1"/>
  <c r="P26" i="11" s="1"/>
  <c r="R26" i="11" s="1"/>
  <c r="T26" i="11" s="1"/>
  <c r="V26" i="11" s="1"/>
  <c r="X26" i="11" s="1"/>
  <c r="Z26" i="11" s="1"/>
  <c r="AB26" i="11" s="1"/>
  <c r="AD26" i="11" s="1"/>
  <c r="AF26" i="11" s="1"/>
  <c r="AH26" i="11" s="1"/>
  <c r="H162" i="7"/>
  <c r="D162" i="7"/>
  <c r="C14" i="4"/>
  <c r="E14" i="4" s="1"/>
  <c r="G14" i="4" s="1"/>
  <c r="I14" i="4" s="1"/>
  <c r="K14" i="4" s="1"/>
  <c r="M14" i="4" s="1"/>
  <c r="O14" i="4" s="1"/>
  <c r="Q14" i="4" s="1"/>
  <c r="S14" i="4" s="1"/>
  <c r="U14" i="4" s="1"/>
  <c r="W14" i="4" s="1"/>
  <c r="Y14" i="4" s="1"/>
  <c r="AA14" i="4" s="1"/>
  <c r="AC14" i="4" s="1"/>
  <c r="AE14" i="4" s="1"/>
  <c r="AG14" i="4" s="1"/>
  <c r="C10" i="11"/>
  <c r="E10" i="11" s="1"/>
  <c r="G10" i="11" s="1"/>
  <c r="I10" i="11" s="1"/>
  <c r="K10" i="11" s="1"/>
  <c r="M10" i="11" s="1"/>
  <c r="O10" i="11" s="1"/>
  <c r="Q10" i="11" s="1"/>
  <c r="S10" i="11" s="1"/>
  <c r="U10" i="11" s="1"/>
  <c r="W10" i="11" s="1"/>
  <c r="Y10" i="11" s="1"/>
  <c r="AA10" i="11" s="1"/>
  <c r="AC10" i="11" s="1"/>
  <c r="AE10" i="11" s="1"/>
  <c r="AG10" i="11" s="1"/>
  <c r="X25" i="22"/>
  <c r="N17" i="15" s="1"/>
  <c r="N17" i="14" s="1"/>
  <c r="D163" i="7"/>
  <c r="F163" i="7"/>
  <c r="E167" i="8"/>
  <c r="AC167" i="8"/>
  <c r="D25" i="4"/>
  <c r="F25" i="4" s="1"/>
  <c r="H25" i="4" s="1"/>
  <c r="J25" i="4" s="1"/>
  <c r="L25" i="4" s="1"/>
  <c r="N25" i="4" s="1"/>
  <c r="P25" i="4" s="1"/>
  <c r="R25" i="4" s="1"/>
  <c r="T25" i="4" s="1"/>
  <c r="V25" i="4" s="1"/>
  <c r="X25" i="4" s="1"/>
  <c r="Z25" i="4" s="1"/>
  <c r="AB25" i="4" s="1"/>
  <c r="AD25" i="4" s="1"/>
  <c r="AF25" i="4" s="1"/>
  <c r="AH25" i="4" s="1"/>
  <c r="C171" i="7"/>
  <c r="G171" i="7"/>
  <c r="D35" i="4"/>
  <c r="F35" i="4" s="1"/>
  <c r="H35" i="4" s="1"/>
  <c r="J35" i="4" s="1"/>
  <c r="L35" i="4" s="1"/>
  <c r="N35" i="4" s="1"/>
  <c r="P35" i="4" s="1"/>
  <c r="R35" i="4" s="1"/>
  <c r="T35" i="4" s="1"/>
  <c r="V35" i="4" s="1"/>
  <c r="X35" i="4" s="1"/>
  <c r="Z35" i="4" s="1"/>
  <c r="AB35" i="4" s="1"/>
  <c r="AD35" i="4" s="1"/>
  <c r="AF35" i="4" s="1"/>
  <c r="AH35" i="4" s="1"/>
  <c r="AG11" i="5"/>
  <c r="BI11" i="5"/>
  <c r="AC6" i="5"/>
  <c r="BE6" i="5"/>
  <c r="K166" i="7"/>
  <c r="N166" i="7"/>
  <c r="C25" i="11"/>
  <c r="E25" i="11" s="1"/>
  <c r="G25" i="11" s="1"/>
  <c r="I25" i="11" s="1"/>
  <c r="K25" i="11" s="1"/>
  <c r="M25" i="11" s="1"/>
  <c r="O25" i="11" s="1"/>
  <c r="Q25" i="11" s="1"/>
  <c r="S25" i="11" s="1"/>
  <c r="U25" i="11" s="1"/>
  <c r="W25" i="11" s="1"/>
  <c r="Y25" i="11" s="1"/>
  <c r="AA25" i="11" s="1"/>
  <c r="AC25" i="11" s="1"/>
  <c r="AE25" i="11" s="1"/>
  <c r="AG25" i="11" s="1"/>
  <c r="D25" i="11"/>
  <c r="F25" i="11" s="1"/>
  <c r="H25" i="11" s="1"/>
  <c r="J25" i="11" s="1"/>
  <c r="L25" i="11" s="1"/>
  <c r="N25" i="11" s="1"/>
  <c r="P25" i="11" s="1"/>
  <c r="R25" i="11" s="1"/>
  <c r="T25" i="11" s="1"/>
  <c r="V25" i="11" s="1"/>
  <c r="X25" i="11" s="1"/>
  <c r="Z25" i="11" s="1"/>
  <c r="AB25" i="11" s="1"/>
  <c r="AD25" i="11" s="1"/>
  <c r="AF25" i="11" s="1"/>
  <c r="AH25" i="11" s="1"/>
  <c r="E162" i="8"/>
  <c r="AC162" i="8"/>
  <c r="F176" i="7"/>
  <c r="A32" i="11"/>
  <c r="D32" i="11" s="1"/>
  <c r="A46" i="4"/>
  <c r="C46" i="4" s="1"/>
  <c r="E46" i="4" s="1"/>
  <c r="G46" i="4" s="1"/>
  <c r="I46" i="4" s="1"/>
  <c r="K46" i="4" s="1"/>
  <c r="M46" i="4" s="1"/>
  <c r="O46" i="4" s="1"/>
  <c r="Q46" i="4" s="1"/>
  <c r="S46" i="4" s="1"/>
  <c r="U46" i="4" s="1"/>
  <c r="W46" i="4" s="1"/>
  <c r="Y46" i="4" s="1"/>
  <c r="AA46" i="4" s="1"/>
  <c r="AC46" i="4" s="1"/>
  <c r="AE46" i="4" s="1"/>
  <c r="AG46" i="4" s="1"/>
  <c r="E174" i="7"/>
  <c r="D3" i="11"/>
  <c r="F3" i="11" s="1"/>
  <c r="H3" i="11" s="1"/>
  <c r="J3" i="11" s="1"/>
  <c r="L3" i="11" s="1"/>
  <c r="N3" i="11" s="1"/>
  <c r="P3" i="11" s="1"/>
  <c r="R3" i="11" s="1"/>
  <c r="T3" i="11" s="1"/>
  <c r="V3" i="11" s="1"/>
  <c r="X3" i="11" s="1"/>
  <c r="Z3" i="11" s="1"/>
  <c r="AB3" i="11" s="1"/>
  <c r="AD3" i="11" s="1"/>
  <c r="AF3" i="11" s="1"/>
  <c r="AH3" i="11" s="1"/>
  <c r="D17" i="11"/>
  <c r="F17" i="11" s="1"/>
  <c r="H17" i="11" s="1"/>
  <c r="J17" i="11" s="1"/>
  <c r="L17" i="11" s="1"/>
  <c r="N17" i="11" s="1"/>
  <c r="P17" i="11" s="1"/>
  <c r="R17" i="11" s="1"/>
  <c r="T17" i="11" s="1"/>
  <c r="V17" i="11" s="1"/>
  <c r="X17" i="11" s="1"/>
  <c r="Z17" i="11" s="1"/>
  <c r="AB17" i="11" s="1"/>
  <c r="AD17" i="11" s="1"/>
  <c r="AF17" i="11" s="1"/>
  <c r="AH17" i="11" s="1"/>
  <c r="A70" i="4"/>
  <c r="A56" i="11"/>
  <c r="D56" i="11" s="1"/>
  <c r="F56" i="11" s="1"/>
  <c r="H56" i="11" s="1"/>
  <c r="J56" i="11" s="1"/>
  <c r="L56" i="11" s="1"/>
  <c r="N56" i="11" s="1"/>
  <c r="P56" i="11" s="1"/>
  <c r="R56" i="11" s="1"/>
  <c r="T56" i="11" s="1"/>
  <c r="V56" i="11" s="1"/>
  <c r="X56" i="11" s="1"/>
  <c r="Z56" i="11" s="1"/>
  <c r="AB56" i="11" s="1"/>
  <c r="AD56" i="11" s="1"/>
  <c r="AF56" i="11" s="1"/>
  <c r="AH56" i="11" s="1"/>
  <c r="E168" i="8"/>
  <c r="AC168" i="8"/>
  <c r="D56" i="4"/>
  <c r="F56" i="4" s="1"/>
  <c r="H56" i="4" s="1"/>
  <c r="J56" i="4" s="1"/>
  <c r="L56" i="4" s="1"/>
  <c r="N56" i="4" s="1"/>
  <c r="P56" i="4" s="1"/>
  <c r="R56" i="4" s="1"/>
  <c r="T56" i="4" s="1"/>
  <c r="V56" i="4" s="1"/>
  <c r="X56" i="4" s="1"/>
  <c r="Z56" i="4" s="1"/>
  <c r="AB56" i="4" s="1"/>
  <c r="AD56" i="4" s="1"/>
  <c r="AF56" i="4" s="1"/>
  <c r="AH56" i="4" s="1"/>
  <c r="C57" i="4"/>
  <c r="E57" i="4" s="1"/>
  <c r="G57" i="4" s="1"/>
  <c r="I57" i="4" s="1"/>
  <c r="K57" i="4" s="1"/>
  <c r="M57" i="4" s="1"/>
  <c r="O57" i="4" s="1"/>
  <c r="Q57" i="4" s="1"/>
  <c r="S57" i="4" s="1"/>
  <c r="U57" i="4" s="1"/>
  <c r="W57" i="4" s="1"/>
  <c r="Y57" i="4" s="1"/>
  <c r="AA57" i="4" s="1"/>
  <c r="AC57" i="4" s="1"/>
  <c r="AE57" i="4" s="1"/>
  <c r="AG57" i="4" s="1"/>
  <c r="B71" i="4"/>
  <c r="B57" i="11"/>
  <c r="C173" i="7"/>
  <c r="J169" i="7"/>
  <c r="J164" i="7"/>
  <c r="J167" i="7"/>
  <c r="C175" i="7"/>
  <c r="J172" i="7"/>
  <c r="J173" i="7"/>
  <c r="C165" i="7"/>
  <c r="C168" i="7"/>
  <c r="C164" i="7"/>
  <c r="J175" i="7"/>
  <c r="C172" i="7"/>
  <c r="J168" i="7"/>
  <c r="C167" i="7"/>
  <c r="C169" i="7"/>
  <c r="J165" i="7"/>
  <c r="A43" i="11"/>
  <c r="D43" i="11" s="1"/>
  <c r="A57" i="4"/>
  <c r="D57" i="4" s="1"/>
  <c r="F57" i="4" s="1"/>
  <c r="H57" i="4" s="1"/>
  <c r="J57" i="4" s="1"/>
  <c r="L57" i="4" s="1"/>
  <c r="N57" i="4" s="1"/>
  <c r="P57" i="4" s="1"/>
  <c r="R57" i="4" s="1"/>
  <c r="T57" i="4" s="1"/>
  <c r="V57" i="4" s="1"/>
  <c r="X57" i="4" s="1"/>
  <c r="Z57" i="4" s="1"/>
  <c r="AB57" i="4" s="1"/>
  <c r="AD57" i="4" s="1"/>
  <c r="AF57" i="4" s="1"/>
  <c r="AH57" i="4" s="1"/>
  <c r="B79" i="4"/>
  <c r="B65" i="11"/>
  <c r="C22" i="4"/>
  <c r="E22" i="4" s="1"/>
  <c r="G22" i="4" s="1"/>
  <c r="I22" i="4" s="1"/>
  <c r="K22" i="4" s="1"/>
  <c r="M22" i="4" s="1"/>
  <c r="O22" i="4" s="1"/>
  <c r="Q22" i="4" s="1"/>
  <c r="S22" i="4" s="1"/>
  <c r="U22" i="4" s="1"/>
  <c r="W22" i="4" s="1"/>
  <c r="Y22" i="4" s="1"/>
  <c r="AA22" i="4" s="1"/>
  <c r="AC22" i="4" s="1"/>
  <c r="AE22" i="4" s="1"/>
  <c r="AG22" i="4" s="1"/>
  <c r="C32" i="11"/>
  <c r="E32" i="11" s="1"/>
  <c r="G32" i="11" s="1"/>
  <c r="I32" i="11" s="1"/>
  <c r="K32" i="11" s="1"/>
  <c r="M32" i="11" s="1"/>
  <c r="O32" i="11" s="1"/>
  <c r="Q32" i="11" s="1"/>
  <c r="S32" i="11" s="1"/>
  <c r="U32" i="11" s="1"/>
  <c r="W32" i="11" s="1"/>
  <c r="Y32" i="11" s="1"/>
  <c r="AA32" i="11" s="1"/>
  <c r="AC32" i="11" s="1"/>
  <c r="AE32" i="11" s="1"/>
  <c r="AG32" i="11" s="1"/>
  <c r="G170" i="7"/>
  <c r="D45" i="4"/>
  <c r="F45" i="4" s="1"/>
  <c r="H45" i="4" s="1"/>
  <c r="J45" i="4" s="1"/>
  <c r="L45" i="4" s="1"/>
  <c r="N45" i="4" s="1"/>
  <c r="P45" i="4" s="1"/>
  <c r="R45" i="4" s="1"/>
  <c r="T45" i="4" s="1"/>
  <c r="V45" i="4" s="1"/>
  <c r="X45" i="4" s="1"/>
  <c r="Z45" i="4" s="1"/>
  <c r="AB45" i="4" s="1"/>
  <c r="AD45" i="4" s="1"/>
  <c r="AF45" i="4" s="1"/>
  <c r="AH45" i="4" s="1"/>
  <c r="B59" i="4"/>
  <c r="C45" i="4"/>
  <c r="E45" i="4" s="1"/>
  <c r="G45" i="4" s="1"/>
  <c r="I45" i="4" s="1"/>
  <c r="K45" i="4" s="1"/>
  <c r="M45" i="4" s="1"/>
  <c r="O45" i="4" s="1"/>
  <c r="Q45" i="4" s="1"/>
  <c r="S45" i="4" s="1"/>
  <c r="U45" i="4" s="1"/>
  <c r="W45" i="4" s="1"/>
  <c r="Y45" i="4" s="1"/>
  <c r="AA45" i="4" s="1"/>
  <c r="AC45" i="4" s="1"/>
  <c r="AE45" i="4" s="1"/>
  <c r="AG45" i="4" s="1"/>
  <c r="B45" i="11"/>
  <c r="M162" i="7"/>
  <c r="N29" i="5" a="1"/>
  <c r="N29" i="5" s="1"/>
  <c r="D29" i="5" a="1"/>
  <c r="D29" i="5" s="1"/>
  <c r="G29" i="5" a="1"/>
  <c r="G29" i="5" s="1"/>
  <c r="I29" i="5" a="1"/>
  <c r="I29" i="5" s="1"/>
  <c r="Q29" i="5" a="1"/>
  <c r="Q29" i="5" s="1"/>
  <c r="L29" i="5" a="1"/>
  <c r="L29" i="5" s="1"/>
  <c r="O29" i="5" a="1"/>
  <c r="O29" i="5" s="1"/>
  <c r="J29" i="5" a="1"/>
  <c r="J29" i="5" s="1"/>
  <c r="M29" i="5" a="1"/>
  <c r="M29" i="5" s="1"/>
  <c r="K29" i="5" a="1"/>
  <c r="K29" i="5" s="1"/>
  <c r="F29" i="5" a="1"/>
  <c r="F29" i="5" s="1"/>
  <c r="P29" i="5" a="1"/>
  <c r="P29" i="5" s="1"/>
  <c r="E29" i="5" a="1"/>
  <c r="E29" i="5" s="1"/>
  <c r="R29" i="5" a="1"/>
  <c r="R29" i="5" s="1"/>
  <c r="H29" i="5" a="1"/>
  <c r="H29" i="5" s="1"/>
  <c r="C30" i="5"/>
  <c r="C29" i="4"/>
  <c r="E29" i="4" s="1"/>
  <c r="G29" i="4" s="1"/>
  <c r="I29" i="4" s="1"/>
  <c r="K29" i="4" s="1"/>
  <c r="M29" i="4" s="1"/>
  <c r="O29" i="4" s="1"/>
  <c r="Q29" i="4" s="1"/>
  <c r="S29" i="4" s="1"/>
  <c r="U29" i="4" s="1"/>
  <c r="W29" i="4" s="1"/>
  <c r="Y29" i="4" s="1"/>
  <c r="AA29" i="4" s="1"/>
  <c r="AC29" i="4" s="1"/>
  <c r="AE29" i="4" s="1"/>
  <c r="AG29" i="4" s="1"/>
  <c r="D4" i="11"/>
  <c r="F4" i="11" s="1"/>
  <c r="H4" i="11" s="1"/>
  <c r="J4" i="11" s="1"/>
  <c r="L4" i="11" s="1"/>
  <c r="N4" i="11" s="1"/>
  <c r="P4" i="11" s="1"/>
  <c r="R4" i="11" s="1"/>
  <c r="T4" i="11" s="1"/>
  <c r="V4" i="11" s="1"/>
  <c r="X4" i="11" s="1"/>
  <c r="Z4" i="11" s="1"/>
  <c r="AB4" i="11" s="1"/>
  <c r="AD4" i="11" s="1"/>
  <c r="AF4" i="11" s="1"/>
  <c r="AH4" i="11" s="1"/>
  <c r="U25" i="22"/>
  <c r="K17" i="15" s="1"/>
  <c r="K17" i="14" s="1"/>
  <c r="P25" i="22"/>
  <c r="F17" i="15" s="1"/>
  <c r="F17" i="14" s="1"/>
  <c r="K163" i="7"/>
  <c r="N2" i="11"/>
  <c r="P2" i="4"/>
  <c r="J171" i="7"/>
  <c r="L171" i="7"/>
  <c r="D36" i="4"/>
  <c r="F36" i="4" s="1"/>
  <c r="H36" i="4" s="1"/>
  <c r="J36" i="4" s="1"/>
  <c r="L36" i="4" s="1"/>
  <c r="N36" i="4" s="1"/>
  <c r="P36" i="4" s="1"/>
  <c r="R36" i="4" s="1"/>
  <c r="T36" i="4" s="1"/>
  <c r="V36" i="4" s="1"/>
  <c r="X36" i="4" s="1"/>
  <c r="Z36" i="4" s="1"/>
  <c r="AB36" i="4" s="1"/>
  <c r="AD36" i="4" s="1"/>
  <c r="AF36" i="4" s="1"/>
  <c r="AH36" i="4" s="1"/>
  <c r="D34" i="4"/>
  <c r="F34" i="4" s="1"/>
  <c r="H34" i="4" s="1"/>
  <c r="J34" i="4" s="1"/>
  <c r="L34" i="4" s="1"/>
  <c r="N34" i="4" s="1"/>
  <c r="P34" i="4" s="1"/>
  <c r="R34" i="4" s="1"/>
  <c r="T34" i="4" s="1"/>
  <c r="V34" i="4" s="1"/>
  <c r="X34" i="4" s="1"/>
  <c r="Z34" i="4" s="1"/>
  <c r="AB34" i="4" s="1"/>
  <c r="AD34" i="4" s="1"/>
  <c r="AF34" i="4" s="1"/>
  <c r="AH34" i="4" s="1"/>
  <c r="D18" i="4"/>
  <c r="F18" i="4" s="1"/>
  <c r="H18" i="4" s="1"/>
  <c r="J18" i="4" s="1"/>
  <c r="L18" i="4" s="1"/>
  <c r="N18" i="4" s="1"/>
  <c r="P18" i="4" s="1"/>
  <c r="R18" i="4" s="1"/>
  <c r="T18" i="4" s="1"/>
  <c r="V18" i="4" s="1"/>
  <c r="X18" i="4" s="1"/>
  <c r="Z18" i="4" s="1"/>
  <c r="AB18" i="4" s="1"/>
  <c r="AD18" i="4" s="1"/>
  <c r="AF18" i="4" s="1"/>
  <c r="AH18" i="4" s="1"/>
  <c r="D4" i="4"/>
  <c r="F4" i="4" s="1"/>
  <c r="H4" i="4" s="1"/>
  <c r="J4" i="4" s="1"/>
  <c r="L4" i="4" s="1"/>
  <c r="N4" i="4" s="1"/>
  <c r="P4" i="4" s="1"/>
  <c r="R4" i="4" s="1"/>
  <c r="T4" i="4" s="1"/>
  <c r="V4" i="4" s="1"/>
  <c r="X4" i="4" s="1"/>
  <c r="Z4" i="4" s="1"/>
  <c r="AB4" i="4" s="1"/>
  <c r="AD4" i="4" s="1"/>
  <c r="AF4" i="4" s="1"/>
  <c r="AH4" i="4" s="1"/>
  <c r="D21" i="4"/>
  <c r="F21" i="4" s="1"/>
  <c r="H21" i="4" s="1"/>
  <c r="J21" i="4" s="1"/>
  <c r="L21" i="4" s="1"/>
  <c r="N21" i="4" s="1"/>
  <c r="P21" i="4" s="1"/>
  <c r="R21" i="4" s="1"/>
  <c r="T21" i="4" s="1"/>
  <c r="V21" i="4" s="1"/>
  <c r="X21" i="4" s="1"/>
  <c r="Z21" i="4" s="1"/>
  <c r="AB21" i="4" s="1"/>
  <c r="AD21" i="4" s="1"/>
  <c r="AF21" i="4" s="1"/>
  <c r="AH21" i="4" s="1"/>
  <c r="D44" i="4"/>
  <c r="F44" i="4" s="1"/>
  <c r="H44" i="4" s="1"/>
  <c r="J44" i="4" s="1"/>
  <c r="L44" i="4" s="1"/>
  <c r="N44" i="4" s="1"/>
  <c r="P44" i="4" s="1"/>
  <c r="R44" i="4" s="1"/>
  <c r="T44" i="4" s="1"/>
  <c r="V44" i="4" s="1"/>
  <c r="X44" i="4" s="1"/>
  <c r="Z44" i="4" s="1"/>
  <c r="AB44" i="4" s="1"/>
  <c r="AD44" i="4" s="1"/>
  <c r="AF44" i="4" s="1"/>
  <c r="AH44" i="4" s="1"/>
  <c r="D27" i="4"/>
  <c r="F27" i="4" s="1"/>
  <c r="H27" i="4" s="1"/>
  <c r="J27" i="4" s="1"/>
  <c r="L27" i="4" s="1"/>
  <c r="N27" i="4" s="1"/>
  <c r="P27" i="4" s="1"/>
  <c r="R27" i="4" s="1"/>
  <c r="T27" i="4" s="1"/>
  <c r="V27" i="4" s="1"/>
  <c r="X27" i="4" s="1"/>
  <c r="Z27" i="4" s="1"/>
  <c r="AB27" i="4" s="1"/>
  <c r="AD27" i="4" s="1"/>
  <c r="AF27" i="4" s="1"/>
  <c r="AH27" i="4" s="1"/>
  <c r="D17" i="4"/>
  <c r="F17" i="4" s="1"/>
  <c r="H17" i="4" s="1"/>
  <c r="J17" i="4" s="1"/>
  <c r="L17" i="4" s="1"/>
  <c r="N17" i="4" s="1"/>
  <c r="P17" i="4" s="1"/>
  <c r="R17" i="4" s="1"/>
  <c r="T17" i="4" s="1"/>
  <c r="V17" i="4" s="1"/>
  <c r="X17" i="4" s="1"/>
  <c r="Z17" i="4" s="1"/>
  <c r="AB17" i="4" s="1"/>
  <c r="AD17" i="4" s="1"/>
  <c r="AF17" i="4" s="1"/>
  <c r="AH17" i="4" s="1"/>
  <c r="D7" i="4"/>
  <c r="F7" i="4" s="1"/>
  <c r="H7" i="4" s="1"/>
  <c r="J7" i="4" s="1"/>
  <c r="L7" i="4" s="1"/>
  <c r="N7" i="4" s="1"/>
  <c r="P7" i="4" s="1"/>
  <c r="R7" i="4" s="1"/>
  <c r="T7" i="4" s="1"/>
  <c r="V7" i="4" s="1"/>
  <c r="X7" i="4" s="1"/>
  <c r="Z7" i="4" s="1"/>
  <c r="AB7" i="4" s="1"/>
  <c r="AD7" i="4" s="1"/>
  <c r="AF7" i="4" s="1"/>
  <c r="AH7" i="4" s="1"/>
  <c r="D20" i="4"/>
  <c r="F20" i="4" s="1"/>
  <c r="H20" i="4" s="1"/>
  <c r="J20" i="4" s="1"/>
  <c r="L20" i="4" s="1"/>
  <c r="N20" i="4" s="1"/>
  <c r="P20" i="4" s="1"/>
  <c r="R20" i="4" s="1"/>
  <c r="T20" i="4" s="1"/>
  <c r="V20" i="4" s="1"/>
  <c r="X20" i="4" s="1"/>
  <c r="Z20" i="4" s="1"/>
  <c r="AB20" i="4" s="1"/>
  <c r="AD20" i="4" s="1"/>
  <c r="AF20" i="4" s="1"/>
  <c r="AH20" i="4" s="1"/>
  <c r="D3" i="4"/>
  <c r="F3" i="4" s="1"/>
  <c r="H3" i="4" s="1"/>
  <c r="J3" i="4" s="1"/>
  <c r="L3" i="4" s="1"/>
  <c r="N3" i="4" s="1"/>
  <c r="P3" i="4" s="1"/>
  <c r="R3" i="4" s="1"/>
  <c r="T3" i="4" s="1"/>
  <c r="V3" i="4" s="1"/>
  <c r="X3" i="4" s="1"/>
  <c r="Z3" i="4" s="1"/>
  <c r="AB3" i="4" s="1"/>
  <c r="AD3" i="4" s="1"/>
  <c r="AF3" i="4" s="1"/>
  <c r="AH3" i="4" s="1"/>
  <c r="D16" i="4"/>
  <c r="F16" i="4" s="1"/>
  <c r="H16" i="4" s="1"/>
  <c r="J16" i="4" s="1"/>
  <c r="L16" i="4" s="1"/>
  <c r="N16" i="4" s="1"/>
  <c r="P16" i="4" s="1"/>
  <c r="R16" i="4" s="1"/>
  <c r="T16" i="4" s="1"/>
  <c r="V16" i="4" s="1"/>
  <c r="X16" i="4" s="1"/>
  <c r="Z16" i="4" s="1"/>
  <c r="AB16" i="4" s="1"/>
  <c r="AD16" i="4" s="1"/>
  <c r="AF16" i="4" s="1"/>
  <c r="AH16" i="4" s="1"/>
  <c r="D36" i="11"/>
  <c r="F36" i="11" s="1"/>
  <c r="H36" i="11" s="1"/>
  <c r="J36" i="11" s="1"/>
  <c r="L36" i="11" s="1"/>
  <c r="N36" i="11" s="1"/>
  <c r="P36" i="11" s="1"/>
  <c r="R36" i="11" s="1"/>
  <c r="T36" i="11" s="1"/>
  <c r="V36" i="11" s="1"/>
  <c r="X36" i="11" s="1"/>
  <c r="Z36" i="11" s="1"/>
  <c r="AB36" i="11" s="1"/>
  <c r="AD36" i="11" s="1"/>
  <c r="AF36" i="11" s="1"/>
  <c r="AH36" i="11" s="1"/>
  <c r="E166" i="7"/>
  <c r="H166" i="7"/>
  <c r="A39" i="11"/>
  <c r="A53" i="4"/>
  <c r="D42" i="11"/>
  <c r="F42" i="11" s="1"/>
  <c r="H42" i="11" s="1"/>
  <c r="J42" i="11" s="1"/>
  <c r="L42" i="11" s="1"/>
  <c r="N42" i="11" s="1"/>
  <c r="P42" i="11" s="1"/>
  <c r="R42" i="11" s="1"/>
  <c r="T42" i="11" s="1"/>
  <c r="V42" i="11" s="1"/>
  <c r="X42" i="11" s="1"/>
  <c r="Z42" i="11" s="1"/>
  <c r="AB42" i="11" s="1"/>
  <c r="AD42" i="11" s="1"/>
  <c r="AF42" i="11" s="1"/>
  <c r="AH42" i="11" s="1"/>
  <c r="D50" i="4"/>
  <c r="F50" i="4" s="1"/>
  <c r="H50" i="4" s="1"/>
  <c r="J50" i="4" s="1"/>
  <c r="L50" i="4" s="1"/>
  <c r="N50" i="4" s="1"/>
  <c r="P50" i="4" s="1"/>
  <c r="R50" i="4" s="1"/>
  <c r="T50" i="4" s="1"/>
  <c r="V50" i="4" s="1"/>
  <c r="X50" i="4" s="1"/>
  <c r="Z50" i="4" s="1"/>
  <c r="AB50" i="4" s="1"/>
  <c r="AD50" i="4" s="1"/>
  <c r="AF50" i="4" s="1"/>
  <c r="AH50" i="4" s="1"/>
  <c r="C39" i="4"/>
  <c r="E39" i="4" s="1"/>
  <c r="G39" i="4" s="1"/>
  <c r="I39" i="4" s="1"/>
  <c r="K39" i="4" s="1"/>
  <c r="M39" i="4" s="1"/>
  <c r="O39" i="4" s="1"/>
  <c r="Q39" i="4" s="1"/>
  <c r="S39" i="4" s="1"/>
  <c r="U39" i="4" s="1"/>
  <c r="W39" i="4" s="1"/>
  <c r="Y39" i="4" s="1"/>
  <c r="AA39" i="4" s="1"/>
  <c r="AC39" i="4" s="1"/>
  <c r="AE39" i="4" s="1"/>
  <c r="AG39" i="4" s="1"/>
  <c r="K176" i="7"/>
  <c r="W6" i="5"/>
  <c r="AY6" i="5"/>
  <c r="H169" i="7"/>
  <c r="O175" i="7"/>
  <c r="H164" i="7"/>
  <c r="O165" i="7"/>
  <c r="H175" i="7"/>
  <c r="O169" i="7"/>
  <c r="O164" i="7"/>
  <c r="H172" i="7"/>
  <c r="H173" i="7"/>
  <c r="O172" i="7"/>
  <c r="O167" i="7"/>
  <c r="H168" i="7"/>
  <c r="H167" i="7"/>
  <c r="H165" i="7"/>
  <c r="O168" i="7"/>
  <c r="O173" i="7"/>
  <c r="B52" i="11"/>
  <c r="B66" i="4"/>
  <c r="D32" i="4"/>
  <c r="F32" i="4" s="1"/>
  <c r="H32" i="4" s="1"/>
  <c r="J32" i="4" s="1"/>
  <c r="L32" i="4" s="1"/>
  <c r="N32" i="4" s="1"/>
  <c r="P32" i="4" s="1"/>
  <c r="R32" i="4" s="1"/>
  <c r="T32" i="4" s="1"/>
  <c r="V32" i="4" s="1"/>
  <c r="X32" i="4" s="1"/>
  <c r="Z32" i="4" s="1"/>
  <c r="AB32" i="4" s="1"/>
  <c r="AD32" i="4" s="1"/>
  <c r="AF32" i="4" s="1"/>
  <c r="AH32" i="4" s="1"/>
  <c r="B170" i="7"/>
  <c r="L170" i="7"/>
  <c r="D14" i="4"/>
  <c r="F14" i="4" s="1"/>
  <c r="H14" i="4" s="1"/>
  <c r="J14" i="4" s="1"/>
  <c r="L14" i="4" s="1"/>
  <c r="N14" i="4" s="1"/>
  <c r="P14" i="4" s="1"/>
  <c r="R14" i="4" s="1"/>
  <c r="T14" i="4" s="1"/>
  <c r="V14" i="4" s="1"/>
  <c r="X14" i="4" s="1"/>
  <c r="Z14" i="4" s="1"/>
  <c r="AB14" i="4" s="1"/>
  <c r="AD14" i="4" s="1"/>
  <c r="AF14" i="4" s="1"/>
  <c r="AH14" i="4" s="1"/>
  <c r="Y12" i="5"/>
  <c r="BA12" i="5"/>
  <c r="AA9" i="5"/>
  <c r="BC9" i="5"/>
  <c r="D31" i="11"/>
  <c r="F31" i="11" s="1"/>
  <c r="H31" i="11" s="1"/>
  <c r="J31" i="11" s="1"/>
  <c r="L31" i="11" s="1"/>
  <c r="N31" i="11" s="1"/>
  <c r="P31" i="11" s="1"/>
  <c r="R31" i="11" s="1"/>
  <c r="T31" i="11" s="1"/>
  <c r="V31" i="11" s="1"/>
  <c r="X31" i="11" s="1"/>
  <c r="Z31" i="11" s="1"/>
  <c r="AB31" i="11" s="1"/>
  <c r="AD31" i="11" s="1"/>
  <c r="AF31" i="11" s="1"/>
  <c r="AH31" i="11" s="1"/>
  <c r="C31" i="11"/>
  <c r="E31" i="11" s="1"/>
  <c r="G31" i="11" s="1"/>
  <c r="I31" i="11" s="1"/>
  <c r="K31" i="11" s="1"/>
  <c r="M31" i="11" s="1"/>
  <c r="O31" i="11" s="1"/>
  <c r="Q31" i="11" s="1"/>
  <c r="S31" i="11" s="1"/>
  <c r="U31" i="11" s="1"/>
  <c r="W31" i="11" s="1"/>
  <c r="Y31" i="11" s="1"/>
  <c r="AA31" i="11" s="1"/>
  <c r="AC31" i="11" s="1"/>
  <c r="AE31" i="11" s="1"/>
  <c r="AG31" i="11" s="1"/>
  <c r="A87" i="4"/>
  <c r="A87" i="11" s="1"/>
  <c r="A73" i="11"/>
  <c r="D9" i="11"/>
  <c r="M25" i="22"/>
  <c r="C17" i="15" s="1"/>
  <c r="C17" i="14" s="1"/>
  <c r="V25" i="22"/>
  <c r="L17" i="15" s="1"/>
  <c r="L17" i="14" s="1"/>
  <c r="X6" i="5"/>
  <c r="AZ6" i="5"/>
  <c r="E163" i="7"/>
  <c r="R163" i="7" s="1"/>
  <c r="B142" i="7" s="1"/>
  <c r="AD8" i="5"/>
  <c r="BF8" i="5"/>
  <c r="F171" i="7"/>
  <c r="I2" i="11"/>
  <c r="K2" i="4"/>
  <c r="A51" i="4"/>
  <c r="A37" i="11"/>
  <c r="D37" i="4"/>
  <c r="F37" i="4" s="1"/>
  <c r="H37" i="4" s="1"/>
  <c r="J37" i="4" s="1"/>
  <c r="L37" i="4" s="1"/>
  <c r="N37" i="4" s="1"/>
  <c r="P37" i="4" s="1"/>
  <c r="R37" i="4" s="1"/>
  <c r="T37" i="4" s="1"/>
  <c r="V37" i="4" s="1"/>
  <c r="X37" i="4" s="1"/>
  <c r="Z37" i="4" s="1"/>
  <c r="AB37" i="4" s="1"/>
  <c r="AD37" i="4" s="1"/>
  <c r="AF37" i="4" s="1"/>
  <c r="AH37" i="4" s="1"/>
  <c r="C37" i="4"/>
  <c r="E37" i="4" s="1"/>
  <c r="G37" i="4" s="1"/>
  <c r="I37" i="4" s="1"/>
  <c r="K37" i="4" s="1"/>
  <c r="M37" i="4" s="1"/>
  <c r="O37" i="4" s="1"/>
  <c r="Q37" i="4" s="1"/>
  <c r="S37" i="4" s="1"/>
  <c r="U37" i="4" s="1"/>
  <c r="W37" i="4" s="1"/>
  <c r="Y37" i="4" s="1"/>
  <c r="AA37" i="4" s="1"/>
  <c r="AC37" i="4" s="1"/>
  <c r="AE37" i="4" s="1"/>
  <c r="AG37" i="4" s="1"/>
  <c r="J166" i="7"/>
  <c r="B62" i="11"/>
  <c r="B76" i="4"/>
  <c r="D39" i="4"/>
  <c r="F39" i="4" s="1"/>
  <c r="H39" i="4" s="1"/>
  <c r="J39" i="4" s="1"/>
  <c r="L39" i="4" s="1"/>
  <c r="N39" i="4" s="1"/>
  <c r="P39" i="4" s="1"/>
  <c r="R39" i="4" s="1"/>
  <c r="T39" i="4" s="1"/>
  <c r="V39" i="4" s="1"/>
  <c r="X39" i="4" s="1"/>
  <c r="Z39" i="4" s="1"/>
  <c r="AB39" i="4" s="1"/>
  <c r="AD39" i="4" s="1"/>
  <c r="AF39" i="4" s="1"/>
  <c r="AH39" i="4" s="1"/>
  <c r="H176" i="7"/>
  <c r="E176" i="7"/>
  <c r="D174" i="7"/>
  <c r="E169" i="8"/>
  <c r="AC169" i="8"/>
  <c r="D43" i="4"/>
  <c r="F43" i="4" s="1"/>
  <c r="H43" i="4" s="1"/>
  <c r="J43" i="4" s="1"/>
  <c r="L43" i="4" s="1"/>
  <c r="N43" i="4" s="1"/>
  <c r="P43" i="4" s="1"/>
  <c r="R43" i="4" s="1"/>
  <c r="T43" i="4" s="1"/>
  <c r="V43" i="4" s="1"/>
  <c r="X43" i="4" s="1"/>
  <c r="Z43" i="4" s="1"/>
  <c r="AB43" i="4" s="1"/>
  <c r="AD43" i="4" s="1"/>
  <c r="AF43" i="4" s="1"/>
  <c r="AH43" i="4" s="1"/>
  <c r="N168" i="7"/>
  <c r="N167" i="7"/>
  <c r="N165" i="7"/>
  <c r="N169" i="7"/>
  <c r="G172" i="7"/>
  <c r="N164" i="7"/>
  <c r="G167" i="7"/>
  <c r="G173" i="7"/>
  <c r="N175" i="7"/>
  <c r="N172" i="7"/>
  <c r="G168" i="7"/>
  <c r="G165" i="7"/>
  <c r="G175" i="7"/>
  <c r="N173" i="7"/>
  <c r="G164" i="7"/>
  <c r="G169" i="7"/>
  <c r="D6" i="11"/>
  <c r="F6" i="11" s="1"/>
  <c r="H6" i="11" s="1"/>
  <c r="J6" i="11" s="1"/>
  <c r="L6" i="11" s="1"/>
  <c r="N6" i="11" s="1"/>
  <c r="P6" i="11" s="1"/>
  <c r="R6" i="11" s="1"/>
  <c r="T6" i="11" s="1"/>
  <c r="V6" i="11" s="1"/>
  <c r="X6" i="11" s="1"/>
  <c r="Z6" i="11" s="1"/>
  <c r="AB6" i="11" s="1"/>
  <c r="AD6" i="11" s="1"/>
  <c r="AF6" i="11" s="1"/>
  <c r="AH6" i="11" s="1"/>
  <c r="A47" i="4"/>
  <c r="A33" i="11"/>
  <c r="D33" i="4"/>
  <c r="F33" i="4" s="1"/>
  <c r="H33" i="4" s="1"/>
  <c r="J33" i="4" s="1"/>
  <c r="L33" i="4" s="1"/>
  <c r="N33" i="4" s="1"/>
  <c r="P33" i="4" s="1"/>
  <c r="R33" i="4" s="1"/>
  <c r="T33" i="4" s="1"/>
  <c r="V33" i="4" s="1"/>
  <c r="X33" i="4" s="1"/>
  <c r="Z33" i="4" s="1"/>
  <c r="AB33" i="4" s="1"/>
  <c r="AD33" i="4" s="1"/>
  <c r="AF33" i="4" s="1"/>
  <c r="AH33" i="4" s="1"/>
  <c r="C33" i="4"/>
  <c r="E33" i="4" s="1"/>
  <c r="G33" i="4" s="1"/>
  <c r="I33" i="4" s="1"/>
  <c r="K33" i="4" s="1"/>
  <c r="M33" i="4" s="1"/>
  <c r="O33" i="4" s="1"/>
  <c r="Q33" i="4" s="1"/>
  <c r="S33" i="4" s="1"/>
  <c r="U33" i="4" s="1"/>
  <c r="W33" i="4" s="1"/>
  <c r="Y33" i="4" s="1"/>
  <c r="AA33" i="4" s="1"/>
  <c r="AC33" i="4" s="1"/>
  <c r="AE33" i="4" s="1"/>
  <c r="AG33" i="4" s="1"/>
  <c r="I170" i="7"/>
  <c r="F170" i="7"/>
  <c r="BC8" i="5"/>
  <c r="AA8" i="5"/>
  <c r="A48" i="11"/>
  <c r="A62" i="4"/>
  <c r="C31" i="4"/>
  <c r="E31" i="4" s="1"/>
  <c r="G31" i="4" s="1"/>
  <c r="I31" i="4" s="1"/>
  <c r="K31" i="4" s="1"/>
  <c r="M31" i="4" s="1"/>
  <c r="O31" i="4" s="1"/>
  <c r="Q31" i="4" s="1"/>
  <c r="S31" i="4" s="1"/>
  <c r="U31" i="4" s="1"/>
  <c r="W31" i="4" s="1"/>
  <c r="Y31" i="4" s="1"/>
  <c r="AA31" i="4" s="1"/>
  <c r="AC31" i="4" s="1"/>
  <c r="AE31" i="4" s="1"/>
  <c r="AG31" i="4" s="1"/>
  <c r="I162" i="7"/>
  <c r="S162" i="7" s="1"/>
  <c r="C141" i="7" s="1"/>
  <c r="C3" i="11"/>
  <c r="E3" i="11" s="1"/>
  <c r="G3" i="11" s="1"/>
  <c r="I3" i="11" s="1"/>
  <c r="K3" i="11" s="1"/>
  <c r="M3" i="11" s="1"/>
  <c r="O3" i="11" s="1"/>
  <c r="Q3" i="11" s="1"/>
  <c r="S3" i="11" s="1"/>
  <c r="U3" i="11" s="1"/>
  <c r="W3" i="11" s="1"/>
  <c r="Y3" i="11" s="1"/>
  <c r="AA3" i="11" s="1"/>
  <c r="AC3" i="11" s="1"/>
  <c r="AE3" i="11" s="1"/>
  <c r="AG3" i="11" s="1"/>
  <c r="C17" i="11"/>
  <c r="E17" i="11" s="1"/>
  <c r="G17" i="11" s="1"/>
  <c r="I17" i="11" s="1"/>
  <c r="K17" i="11" s="1"/>
  <c r="M17" i="11" s="1"/>
  <c r="O17" i="11" s="1"/>
  <c r="Q17" i="11" s="1"/>
  <c r="S17" i="11" s="1"/>
  <c r="U17" i="11" s="1"/>
  <c r="W17" i="11" s="1"/>
  <c r="Y17" i="11" s="1"/>
  <c r="AA17" i="11" s="1"/>
  <c r="AC17" i="11" s="1"/>
  <c r="AE17" i="11" s="1"/>
  <c r="AG17" i="11" s="1"/>
  <c r="C15" i="11"/>
  <c r="E15" i="11" s="1"/>
  <c r="G15" i="11" s="1"/>
  <c r="I15" i="11" s="1"/>
  <c r="K15" i="11" s="1"/>
  <c r="M15" i="11" s="1"/>
  <c r="O15" i="11" s="1"/>
  <c r="Q15" i="11" s="1"/>
  <c r="S15" i="11" s="1"/>
  <c r="U15" i="11" s="1"/>
  <c r="W15" i="11" s="1"/>
  <c r="Y15" i="11" s="1"/>
  <c r="AA15" i="11" s="1"/>
  <c r="AC15" i="11" s="1"/>
  <c r="AE15" i="11" s="1"/>
  <c r="AG15" i="11" s="1"/>
  <c r="C13" i="4"/>
  <c r="E13" i="4" s="1"/>
  <c r="G13" i="4" s="1"/>
  <c r="I13" i="4" s="1"/>
  <c r="K13" i="4" s="1"/>
  <c r="M13" i="4" s="1"/>
  <c r="O13" i="4" s="1"/>
  <c r="Q13" i="4" s="1"/>
  <c r="S13" i="4" s="1"/>
  <c r="U13" i="4" s="1"/>
  <c r="W13" i="4" s="1"/>
  <c r="Y13" i="4" s="1"/>
  <c r="AA13" i="4" s="1"/>
  <c r="AC13" i="4" s="1"/>
  <c r="AE13" i="4" s="1"/>
  <c r="AG13" i="4" s="1"/>
  <c r="E165" i="8"/>
  <c r="AC165" i="8"/>
  <c r="C23" i="11"/>
  <c r="E23" i="11" s="1"/>
  <c r="G23" i="11" s="1"/>
  <c r="I23" i="11" s="1"/>
  <c r="K23" i="11" s="1"/>
  <c r="M23" i="11" s="1"/>
  <c r="O23" i="11" s="1"/>
  <c r="Q23" i="11" s="1"/>
  <c r="S23" i="11" s="1"/>
  <c r="U23" i="11" s="1"/>
  <c r="W23" i="11" s="1"/>
  <c r="Y23" i="11" s="1"/>
  <c r="AA23" i="11" s="1"/>
  <c r="AC23" i="11" s="1"/>
  <c r="AE23" i="11" s="1"/>
  <c r="AG23" i="11" s="1"/>
  <c r="D23" i="11"/>
  <c r="F23" i="11" s="1"/>
  <c r="H23" i="11" s="1"/>
  <c r="J23" i="11" s="1"/>
  <c r="L23" i="11" s="1"/>
  <c r="N23" i="11" s="1"/>
  <c r="P23" i="11" s="1"/>
  <c r="R23" i="11" s="1"/>
  <c r="T23" i="11" s="1"/>
  <c r="V23" i="11" s="1"/>
  <c r="X23" i="11" s="1"/>
  <c r="Z23" i="11" s="1"/>
  <c r="AB23" i="11" s="1"/>
  <c r="AD23" i="11" s="1"/>
  <c r="AF23" i="11" s="1"/>
  <c r="AH23" i="11" s="1"/>
  <c r="N176" i="7"/>
  <c r="J176" i="7"/>
  <c r="S176" i="7" s="1"/>
  <c r="C155" i="7" s="1"/>
  <c r="F174" i="7"/>
  <c r="S174" i="7"/>
  <c r="C153" i="7" s="1"/>
  <c r="W4" i="5"/>
  <c r="AY4" i="5"/>
  <c r="D6" i="4"/>
  <c r="F6" i="4" s="1"/>
  <c r="H6" i="4" s="1"/>
  <c r="J6" i="4" s="1"/>
  <c r="L6" i="4" s="1"/>
  <c r="N6" i="4" s="1"/>
  <c r="P6" i="4" s="1"/>
  <c r="R6" i="4" s="1"/>
  <c r="T6" i="4" s="1"/>
  <c r="V6" i="4" s="1"/>
  <c r="X6" i="4" s="1"/>
  <c r="Z6" i="4" s="1"/>
  <c r="AB6" i="4" s="1"/>
  <c r="AD6" i="4" s="1"/>
  <c r="AF6" i="4" s="1"/>
  <c r="AH6" i="4" s="1"/>
  <c r="L172" i="7"/>
  <c r="E168" i="7"/>
  <c r="L165" i="7"/>
  <c r="E172" i="7"/>
  <c r="L175" i="7"/>
  <c r="E169" i="7"/>
  <c r="E165" i="7"/>
  <c r="E167" i="7"/>
  <c r="L168" i="7"/>
  <c r="L169" i="7"/>
  <c r="L173" i="7"/>
  <c r="E164" i="7"/>
  <c r="E173" i="7"/>
  <c r="L164" i="7"/>
  <c r="L167" i="7"/>
  <c r="E175" i="7"/>
  <c r="AE2" i="5"/>
  <c r="BG2" i="5"/>
  <c r="D38" i="4"/>
  <c r="F38" i="4" s="1"/>
  <c r="H38" i="4" s="1"/>
  <c r="J38" i="4" s="1"/>
  <c r="L38" i="4" s="1"/>
  <c r="N38" i="4" s="1"/>
  <c r="P38" i="4" s="1"/>
  <c r="R38" i="4" s="1"/>
  <c r="T38" i="4" s="1"/>
  <c r="V38" i="4" s="1"/>
  <c r="X38" i="4" s="1"/>
  <c r="Z38" i="4" s="1"/>
  <c r="AB38" i="4" s="1"/>
  <c r="AD38" i="4" s="1"/>
  <c r="AF38" i="4" s="1"/>
  <c r="AH38" i="4" s="1"/>
  <c r="D19" i="11"/>
  <c r="C19" i="11"/>
  <c r="E19" i="11" s="1"/>
  <c r="G19" i="11" s="1"/>
  <c r="I19" i="11" s="1"/>
  <c r="K19" i="11" s="1"/>
  <c r="M19" i="11" s="1"/>
  <c r="O19" i="11" s="1"/>
  <c r="Q19" i="11" s="1"/>
  <c r="S19" i="11" s="1"/>
  <c r="U19" i="11" s="1"/>
  <c r="W19" i="11" s="1"/>
  <c r="Y19" i="11" s="1"/>
  <c r="AA19" i="11" s="1"/>
  <c r="AC19" i="11" s="1"/>
  <c r="AE19" i="11" s="1"/>
  <c r="AG19" i="11" s="1"/>
  <c r="C170" i="7"/>
  <c r="K170" i="7"/>
  <c r="C24" i="4"/>
  <c r="E24" i="4" s="1"/>
  <c r="G24" i="4" s="1"/>
  <c r="I24" i="4" s="1"/>
  <c r="K24" i="4" s="1"/>
  <c r="M24" i="4" s="1"/>
  <c r="O24" i="4" s="1"/>
  <c r="Q24" i="4" s="1"/>
  <c r="S24" i="4" s="1"/>
  <c r="U24" i="4" s="1"/>
  <c r="W24" i="4" s="1"/>
  <c r="Y24" i="4" s="1"/>
  <c r="AA24" i="4" s="1"/>
  <c r="AC24" i="4" s="1"/>
  <c r="AE24" i="4" s="1"/>
  <c r="AG24" i="4" s="1"/>
  <c r="D31" i="4"/>
  <c r="F31" i="4" s="1"/>
  <c r="H31" i="4" s="1"/>
  <c r="J31" i="4" s="1"/>
  <c r="L31" i="4" s="1"/>
  <c r="N31" i="4" s="1"/>
  <c r="P31" i="4" s="1"/>
  <c r="R31" i="4" s="1"/>
  <c r="T31" i="4" s="1"/>
  <c r="V31" i="4" s="1"/>
  <c r="X31" i="4" s="1"/>
  <c r="Z31" i="4" s="1"/>
  <c r="AB31" i="4" s="1"/>
  <c r="AD31" i="4" s="1"/>
  <c r="AF31" i="4" s="1"/>
  <c r="AH31" i="4" s="1"/>
  <c r="C162" i="7"/>
  <c r="R162" i="7" s="1"/>
  <c r="B141" i="7" s="1"/>
  <c r="F162" i="7"/>
  <c r="C10" i="4"/>
  <c r="E10" i="4" s="1"/>
  <c r="G10" i="4" s="1"/>
  <c r="I10" i="4" s="1"/>
  <c r="K10" i="4" s="1"/>
  <c r="M10" i="4" s="1"/>
  <c r="O10" i="4" s="1"/>
  <c r="Q10" i="4" s="1"/>
  <c r="S10" i="4" s="1"/>
  <c r="U10" i="4" s="1"/>
  <c r="W10" i="4" s="1"/>
  <c r="Y10" i="4" s="1"/>
  <c r="AA10" i="4" s="1"/>
  <c r="AC10" i="4" s="1"/>
  <c r="AE10" i="4" s="1"/>
  <c r="AG10" i="4" s="1"/>
  <c r="D9" i="4"/>
  <c r="F9" i="4" s="1"/>
  <c r="H9" i="4" s="1"/>
  <c r="J9" i="4" s="1"/>
  <c r="L9" i="4" s="1"/>
  <c r="N9" i="4" s="1"/>
  <c r="P9" i="4" s="1"/>
  <c r="R9" i="4" s="1"/>
  <c r="T9" i="4" s="1"/>
  <c r="V9" i="4" s="1"/>
  <c r="X9" i="4" s="1"/>
  <c r="Z9" i="4" s="1"/>
  <c r="AB9" i="4" s="1"/>
  <c r="AD9" i="4" s="1"/>
  <c r="AF9" i="4" s="1"/>
  <c r="AH9" i="4" s="1"/>
  <c r="E166" i="8"/>
  <c r="AC166" i="8"/>
  <c r="E171" i="7"/>
  <c r="R171" i="7" s="1"/>
  <c r="B150" i="7" s="1"/>
  <c r="S166" i="7"/>
  <c r="C145" i="7" s="1"/>
  <c r="D48" i="11"/>
  <c r="F48" i="11" s="1"/>
  <c r="H48" i="11" s="1"/>
  <c r="J48" i="11" s="1"/>
  <c r="L48" i="11" s="1"/>
  <c r="N48" i="11" s="1"/>
  <c r="P48" i="11" s="1"/>
  <c r="R48" i="11" s="1"/>
  <c r="T48" i="11" s="1"/>
  <c r="V48" i="11" s="1"/>
  <c r="X48" i="11" s="1"/>
  <c r="Z48" i="11" s="1"/>
  <c r="AB48" i="11" s="1"/>
  <c r="AD48" i="11" s="1"/>
  <c r="AF48" i="11" s="1"/>
  <c r="AH48" i="11" s="1"/>
  <c r="C48" i="11"/>
  <c r="E48" i="11" s="1"/>
  <c r="G48" i="11" s="1"/>
  <c r="I48" i="11" s="1"/>
  <c r="K48" i="11" s="1"/>
  <c r="M48" i="11" s="1"/>
  <c r="O48" i="11" s="1"/>
  <c r="Q48" i="11" s="1"/>
  <c r="S48" i="11" s="1"/>
  <c r="U48" i="11" s="1"/>
  <c r="W48" i="11" s="1"/>
  <c r="Y48" i="11" s="1"/>
  <c r="AA48" i="11" s="1"/>
  <c r="AC48" i="11" s="1"/>
  <c r="AE48" i="11" s="1"/>
  <c r="AG48" i="11" s="1"/>
  <c r="O176" i="7"/>
  <c r="D176" i="7"/>
  <c r="B96" i="11"/>
  <c r="D13" i="4"/>
  <c r="F13" i="4" s="1"/>
  <c r="H13" i="4" s="1"/>
  <c r="J13" i="4" s="1"/>
  <c r="L13" i="4" s="1"/>
  <c r="N13" i="4" s="1"/>
  <c r="P13" i="4" s="1"/>
  <c r="R13" i="4" s="1"/>
  <c r="T13" i="4" s="1"/>
  <c r="V13" i="4" s="1"/>
  <c r="X13" i="4" s="1"/>
  <c r="Z13" i="4" s="1"/>
  <c r="AB13" i="4" s="1"/>
  <c r="AD13" i="4" s="1"/>
  <c r="AF13" i="4" s="1"/>
  <c r="AH13" i="4" s="1"/>
  <c r="A72" i="4"/>
  <c r="A58" i="11"/>
  <c r="D58" i="4"/>
  <c r="F58" i="4" s="1"/>
  <c r="H58" i="4" s="1"/>
  <c r="J58" i="4" s="1"/>
  <c r="L58" i="4" s="1"/>
  <c r="N58" i="4" s="1"/>
  <c r="P58" i="4" s="1"/>
  <c r="R58" i="4" s="1"/>
  <c r="T58" i="4" s="1"/>
  <c r="V58" i="4" s="1"/>
  <c r="X58" i="4" s="1"/>
  <c r="Z58" i="4" s="1"/>
  <c r="AB58" i="4" s="1"/>
  <c r="AD58" i="4" s="1"/>
  <c r="AF58" i="4" s="1"/>
  <c r="AH58" i="4" s="1"/>
  <c r="C58" i="4"/>
  <c r="E58" i="4" s="1"/>
  <c r="G58" i="4" s="1"/>
  <c r="I58" i="4" s="1"/>
  <c r="K58" i="4" s="1"/>
  <c r="M58" i="4" s="1"/>
  <c r="O58" i="4" s="1"/>
  <c r="Q58" i="4" s="1"/>
  <c r="S58" i="4" s="1"/>
  <c r="U58" i="4" s="1"/>
  <c r="W58" i="4" s="1"/>
  <c r="Y58" i="4" s="1"/>
  <c r="AA58" i="4" s="1"/>
  <c r="AC58" i="4" s="1"/>
  <c r="AE58" i="4" s="1"/>
  <c r="AG58" i="4" s="1"/>
  <c r="A38" i="11"/>
  <c r="A52" i="4"/>
  <c r="D52" i="4" s="1"/>
  <c r="F52" i="4" s="1"/>
  <c r="H52" i="4" s="1"/>
  <c r="J52" i="4" s="1"/>
  <c r="L52" i="4" s="1"/>
  <c r="N52" i="4" s="1"/>
  <c r="P52" i="4" s="1"/>
  <c r="R52" i="4" s="1"/>
  <c r="T52" i="4" s="1"/>
  <c r="V52" i="4" s="1"/>
  <c r="X52" i="4" s="1"/>
  <c r="Z52" i="4" s="1"/>
  <c r="AB52" i="4" s="1"/>
  <c r="AD52" i="4" s="1"/>
  <c r="AF52" i="4" s="1"/>
  <c r="AH52" i="4" s="1"/>
  <c r="A50" i="11"/>
  <c r="A64" i="4"/>
  <c r="C64" i="4" s="1"/>
  <c r="E64" i="4" s="1"/>
  <c r="G64" i="4" s="1"/>
  <c r="I64" i="4" s="1"/>
  <c r="K64" i="4" s="1"/>
  <c r="M64" i="4" s="1"/>
  <c r="O64" i="4" s="1"/>
  <c r="Q64" i="4" s="1"/>
  <c r="S64" i="4" s="1"/>
  <c r="U64" i="4" s="1"/>
  <c r="W64" i="4" s="1"/>
  <c r="Y64" i="4" s="1"/>
  <c r="AA64" i="4" s="1"/>
  <c r="AC64" i="4" s="1"/>
  <c r="AE64" i="4" s="1"/>
  <c r="AG64" i="4" s="1"/>
  <c r="D22" i="4"/>
  <c r="F22" i="4" s="1"/>
  <c r="H22" i="4" s="1"/>
  <c r="J22" i="4" s="1"/>
  <c r="L22" i="4" s="1"/>
  <c r="N22" i="4" s="1"/>
  <c r="P22" i="4" s="1"/>
  <c r="R22" i="4" s="1"/>
  <c r="T22" i="4" s="1"/>
  <c r="V22" i="4" s="1"/>
  <c r="X22" i="4" s="1"/>
  <c r="Z22" i="4" s="1"/>
  <c r="AB22" i="4" s="1"/>
  <c r="AD22" i="4" s="1"/>
  <c r="AF22" i="4" s="1"/>
  <c r="AH22" i="4" s="1"/>
  <c r="O170" i="7"/>
  <c r="E170" i="7"/>
  <c r="B86" i="11"/>
  <c r="B100" i="4"/>
  <c r="D5" i="4"/>
  <c r="F5" i="4" s="1"/>
  <c r="H5" i="4" s="1"/>
  <c r="J5" i="4" s="1"/>
  <c r="L5" i="4" s="1"/>
  <c r="N5" i="4" s="1"/>
  <c r="P5" i="4" s="1"/>
  <c r="R5" i="4" s="1"/>
  <c r="T5" i="4" s="1"/>
  <c r="V5" i="4" s="1"/>
  <c r="X5" i="4" s="1"/>
  <c r="Z5" i="4" s="1"/>
  <c r="AB5" i="4" s="1"/>
  <c r="AD5" i="4" s="1"/>
  <c r="AF5" i="4" s="1"/>
  <c r="AH5" i="4" s="1"/>
  <c r="O162" i="7"/>
  <c r="K162" i="7"/>
  <c r="D11" i="4"/>
  <c r="F11" i="4" s="1"/>
  <c r="H11" i="4" s="1"/>
  <c r="J11" i="4" s="1"/>
  <c r="L11" i="4" s="1"/>
  <c r="N11" i="4" s="1"/>
  <c r="P11" i="4" s="1"/>
  <c r="R11" i="4" s="1"/>
  <c r="T11" i="4" s="1"/>
  <c r="V11" i="4" s="1"/>
  <c r="X11" i="4" s="1"/>
  <c r="Z11" i="4" s="1"/>
  <c r="AB11" i="4" s="1"/>
  <c r="AD11" i="4" s="1"/>
  <c r="AF11" i="4" s="1"/>
  <c r="AH11" i="4" s="1"/>
  <c r="C44" i="4"/>
  <c r="E44" i="4" s="1"/>
  <c r="G44" i="4" s="1"/>
  <c r="I44" i="4" s="1"/>
  <c r="K44" i="4" s="1"/>
  <c r="M44" i="4" s="1"/>
  <c r="O44" i="4" s="1"/>
  <c r="Q44" i="4" s="1"/>
  <c r="S44" i="4" s="1"/>
  <c r="U44" i="4" s="1"/>
  <c r="W44" i="4" s="1"/>
  <c r="Y44" i="4" s="1"/>
  <c r="AA44" i="4" s="1"/>
  <c r="AC44" i="4" s="1"/>
  <c r="AE44" i="4" s="1"/>
  <c r="AG44" i="4" s="1"/>
  <c r="D16" i="11"/>
  <c r="F16" i="11" s="1"/>
  <c r="H16" i="11" s="1"/>
  <c r="J16" i="11" s="1"/>
  <c r="L16" i="11" s="1"/>
  <c r="N16" i="11" s="1"/>
  <c r="P16" i="11" s="1"/>
  <c r="R16" i="11" s="1"/>
  <c r="T16" i="11" s="1"/>
  <c r="V16" i="11" s="1"/>
  <c r="X16" i="11" s="1"/>
  <c r="Z16" i="11" s="1"/>
  <c r="AB16" i="11" s="1"/>
  <c r="AD16" i="11" s="1"/>
  <c r="AF16" i="11" s="1"/>
  <c r="AH16" i="11" s="1"/>
  <c r="D60" i="19"/>
  <c r="D84" i="23" s="1"/>
  <c r="Z84" i="23" s="1"/>
  <c r="AE71" i="23"/>
  <c r="N55" i="19"/>
  <c r="AH79" i="23" s="1"/>
  <c r="L57" i="19"/>
  <c r="AF81" i="23" s="1"/>
  <c r="N50" i="19"/>
  <c r="AH74" i="23" s="1"/>
  <c r="P61" i="19"/>
  <c r="P57" i="19"/>
  <c r="AJ81" i="23" s="1"/>
  <c r="L52" i="19"/>
  <c r="AF76" i="23" s="1"/>
  <c r="L48" i="19"/>
  <c r="AF72" i="23" s="1"/>
  <c r="M58" i="19"/>
  <c r="AG82" i="23" s="1"/>
  <c r="M54" i="19"/>
  <c r="AG78" i="23" s="1"/>
  <c r="Q61" i="19"/>
  <c r="O52" i="19"/>
  <c r="AI76" i="23" s="1"/>
  <c r="N57" i="19"/>
  <c r="AH81" i="23" s="1"/>
  <c r="P49" i="19"/>
  <c r="AJ73" i="23" s="1"/>
  <c r="M50" i="19"/>
  <c r="AG74" i="23" s="1"/>
  <c r="Q52" i="19"/>
  <c r="AK76" i="23" s="1"/>
  <c r="O56" i="19"/>
  <c r="AI80" i="23" s="1"/>
  <c r="L51" i="19"/>
  <c r="AF75" i="23" s="1"/>
  <c r="M57" i="19"/>
  <c r="AG81" i="23" s="1"/>
  <c r="M53" i="19"/>
  <c r="AG77" i="23" s="1"/>
  <c r="Q59" i="19"/>
  <c r="AK83" i="23" s="1"/>
  <c r="O49" i="19"/>
  <c r="L59" i="19"/>
  <c r="AF83" i="23" s="1"/>
  <c r="M61" i="19"/>
  <c r="O60" i="19"/>
  <c r="AI84" i="23" s="1"/>
  <c r="D59" i="19"/>
  <c r="D83" i="23" s="1"/>
  <c r="Z83" i="23" s="1"/>
  <c r="N60" i="19"/>
  <c r="AH84" i="23" s="1"/>
  <c r="N56" i="19"/>
  <c r="AH80" i="23" s="1"/>
  <c r="M49" i="19"/>
  <c r="AG73" i="23" s="1"/>
  <c r="M60" i="19"/>
  <c r="AG84" i="23" s="1"/>
  <c r="Q51" i="19"/>
  <c r="AK75" i="23" s="1"/>
  <c r="K51" i="19"/>
  <c r="K56" i="19"/>
  <c r="AE80" i="23" s="1"/>
  <c r="P53" i="19"/>
  <c r="AJ77" i="23" s="1"/>
  <c r="L55" i="19"/>
  <c r="AF79" i="23" s="1"/>
  <c r="N52" i="19"/>
  <c r="AH76" i="23" s="1"/>
  <c r="AH72" i="23"/>
  <c r="N48" i="19"/>
  <c r="P59" i="19"/>
  <c r="P48" i="19"/>
  <c r="AJ72" i="23" s="1"/>
  <c r="L50" i="19"/>
  <c r="AF74" i="23" s="1"/>
  <c r="L61" i="19"/>
  <c r="M56" i="19"/>
  <c r="AG80" i="23" s="1"/>
  <c r="M52" i="19"/>
  <c r="AG76" i="23" s="1"/>
  <c r="Q58" i="19"/>
  <c r="AK82" i="23" s="1"/>
  <c r="K59" i="19"/>
  <c r="AE83" i="23" s="1"/>
  <c r="K57" i="19"/>
  <c r="AE81" i="23" s="1"/>
  <c r="N59" i="19"/>
  <c r="AH83" i="23" s="1"/>
  <c r="P51" i="19"/>
  <c r="AJ75" i="23" s="1"/>
  <c r="P55" i="19"/>
  <c r="AJ79" i="23" s="1"/>
  <c r="L53" i="19"/>
  <c r="AF77" i="23" s="1"/>
  <c r="M48" i="19"/>
  <c r="AG72" i="23" s="1"/>
  <c r="Q55" i="19"/>
  <c r="AK79" i="23" s="1"/>
  <c r="Q50" i="19"/>
  <c r="AK74" i="23" s="1"/>
  <c r="N51" i="19"/>
  <c r="AH75" i="23" s="1"/>
  <c r="N47" i="19"/>
  <c r="P58" i="19"/>
  <c r="AJ82" i="23" s="1"/>
  <c r="P47" i="19"/>
  <c r="L49" i="19"/>
  <c r="AF73" i="23" s="1"/>
  <c r="M59" i="19"/>
  <c r="AG83" i="23" s="1"/>
  <c r="M55" i="19"/>
  <c r="AG79" i="23" s="1"/>
  <c r="Q47" i="19"/>
  <c r="Q56" i="19"/>
  <c r="AK80" i="23" s="1"/>
  <c r="N58" i="19"/>
  <c r="AH82" i="23" s="1"/>
  <c r="N54" i="19"/>
  <c r="AH78" i="23" s="1"/>
  <c r="P54" i="19"/>
  <c r="AJ78" i="23" s="1"/>
  <c r="P50" i="19"/>
  <c r="AJ74" i="23" s="1"/>
  <c r="L60" i="19"/>
  <c r="AF84" i="23" s="1"/>
  <c r="L56" i="19"/>
  <c r="AF80" i="23" s="1"/>
  <c r="M51" i="19"/>
  <c r="AG75" i="23" s="1"/>
  <c r="Q54" i="19"/>
  <c r="AK78" i="23" s="1"/>
  <c r="AK72" i="23"/>
  <c r="S25" i="22"/>
  <c r="I17" i="15" s="1"/>
  <c r="I17" i="14" s="1"/>
  <c r="Q53" i="19" s="1"/>
  <c r="W25" i="22"/>
  <c r="M17" i="15" s="1"/>
  <c r="M17" i="14" s="1"/>
  <c r="Q57" i="19" s="1"/>
  <c r="Z25" i="22"/>
  <c r="P17" i="15" s="1"/>
  <c r="P17" i="14" s="1"/>
  <c r="Q60" i="19" s="1"/>
  <c r="O25" i="22"/>
  <c r="E17" i="15" s="1"/>
  <c r="E17" i="14" s="1"/>
  <c r="Q49" i="19" s="1"/>
  <c r="J26" i="22"/>
  <c r="Z26" i="22" s="1"/>
  <c r="P18" i="15" s="1"/>
  <c r="P18" i="14" s="1"/>
  <c r="R60" i="19" s="1"/>
  <c r="D82" i="23"/>
  <c r="Z82" i="23" s="1"/>
  <c r="AH77" i="23"/>
  <c r="AH73" i="23"/>
  <c r="AJ84" i="23"/>
  <c r="P27" i="22"/>
  <c r="F19" i="15" s="1"/>
  <c r="F19" i="14" s="1"/>
  <c r="S50" i="19" s="1"/>
  <c r="X27" i="22"/>
  <c r="N19" i="15" s="1"/>
  <c r="N19" i="14" s="1"/>
  <c r="S58" i="19" s="1"/>
  <c r="Q27" i="22"/>
  <c r="G19" i="15" s="1"/>
  <c r="G19" i="14" s="1"/>
  <c r="S51" i="19" s="1"/>
  <c r="Y27" i="22"/>
  <c r="O19" i="15" s="1"/>
  <c r="O19" i="14" s="1"/>
  <c r="S59" i="19" s="1"/>
  <c r="R27" i="22"/>
  <c r="H19" i="15" s="1"/>
  <c r="H19" i="14" s="1"/>
  <c r="S52" i="19" s="1"/>
  <c r="Z27" i="22"/>
  <c r="P19" i="15" s="1"/>
  <c r="P19" i="14" s="1"/>
  <c r="S60" i="19" s="1"/>
  <c r="S27" i="22"/>
  <c r="I19" i="15" s="1"/>
  <c r="I19" i="14" s="1"/>
  <c r="S53" i="19" s="1"/>
  <c r="AA27" i="22"/>
  <c r="Q19" i="15" s="1"/>
  <c r="Q19" i="14" s="1"/>
  <c r="S61" i="19" s="1"/>
  <c r="T27" i="22"/>
  <c r="J19" i="15" s="1"/>
  <c r="J19" i="14" s="1"/>
  <c r="S54" i="19" s="1"/>
  <c r="M27" i="22"/>
  <c r="C19" i="15" s="1"/>
  <c r="C19" i="14" s="1"/>
  <c r="S47" i="19" s="1"/>
  <c r="U27" i="22"/>
  <c r="K19" i="15" s="1"/>
  <c r="K19" i="14" s="1"/>
  <c r="S55" i="19" s="1"/>
  <c r="N27" i="22"/>
  <c r="D19" i="15" s="1"/>
  <c r="D19" i="14" s="1"/>
  <c r="S48" i="19" s="1"/>
  <c r="V27" i="22"/>
  <c r="L19" i="15" s="1"/>
  <c r="L19" i="14" s="1"/>
  <c r="S56" i="19" s="1"/>
  <c r="O27" i="22"/>
  <c r="E19" i="15" s="1"/>
  <c r="E19" i="14" s="1"/>
  <c r="S49" i="19" s="1"/>
  <c r="W27" i="22"/>
  <c r="M19" i="15" s="1"/>
  <c r="M19" i="14" s="1"/>
  <c r="S57" i="19" s="1"/>
  <c r="AJ76" i="23"/>
  <c r="AJ80" i="23"/>
  <c r="AF82" i="23"/>
  <c r="AF78" i="23"/>
  <c r="W26" i="22"/>
  <c r="M18" i="15" s="1"/>
  <c r="M18" i="14" s="1"/>
  <c r="R57" i="19" s="1"/>
  <c r="Y26" i="22"/>
  <c r="O18" i="15" s="1"/>
  <c r="O18" i="14" s="1"/>
  <c r="R59" i="19" s="1"/>
  <c r="R26" i="22"/>
  <c r="H18" i="15" s="1"/>
  <c r="H18" i="14" s="1"/>
  <c r="R52" i="19" s="1"/>
  <c r="AA26" i="22"/>
  <c r="Q18" i="15" s="1"/>
  <c r="Q18" i="14" s="1"/>
  <c r="R61" i="19" s="1"/>
  <c r="N26" i="22"/>
  <c r="D18" i="15" s="1"/>
  <c r="D18" i="14" s="1"/>
  <c r="R48" i="19" s="1"/>
  <c r="V26" i="22"/>
  <c r="L18" i="15" s="1"/>
  <c r="L18" i="14" s="1"/>
  <c r="R56" i="19" s="1"/>
  <c r="D73" i="23"/>
  <c r="Z73" i="23" s="1"/>
  <c r="D71" i="23"/>
  <c r="D75" i="23"/>
  <c r="Z75" i="23" s="1"/>
  <c r="D77" i="23"/>
  <c r="Z77" i="23" s="1"/>
  <c r="D79" i="23"/>
  <c r="Z79" i="23" s="1"/>
  <c r="D85" i="23"/>
  <c r="D72" i="23"/>
  <c r="Z72" i="23" s="1"/>
  <c r="D74" i="23"/>
  <c r="Z74" i="23" s="1"/>
  <c r="D76" i="23"/>
  <c r="Z76" i="23" s="1"/>
  <c r="D80" i="23"/>
  <c r="Z80" i="23" s="1"/>
  <c r="D78" i="23"/>
  <c r="Z78" i="23" s="1"/>
  <c r="N6" i="15"/>
  <c r="N6" i="14" s="1"/>
  <c r="F58" i="19" s="1"/>
  <c r="D81" i="23"/>
  <c r="Z81" i="23" s="1"/>
  <c r="R14" i="22"/>
  <c r="Z14" i="22"/>
  <c r="S14" i="22"/>
  <c r="AA14" i="22"/>
  <c r="T14" i="22"/>
  <c r="M14" i="22"/>
  <c r="U14" i="22"/>
  <c r="N14" i="22"/>
  <c r="V14" i="22"/>
  <c r="O14" i="22"/>
  <c r="W14" i="22"/>
  <c r="P14" i="22"/>
  <c r="X14" i="22"/>
  <c r="J17" i="22"/>
  <c r="Q14" i="22"/>
  <c r="Y14" i="22"/>
  <c r="P2" i="15"/>
  <c r="P2" i="14" s="1"/>
  <c r="B60" i="19" s="1"/>
  <c r="C5" i="15"/>
  <c r="C5" i="14" s="1"/>
  <c r="E47" i="19" s="1"/>
  <c r="K3" i="15"/>
  <c r="K3" i="14" s="1"/>
  <c r="C55" i="19" s="1"/>
  <c r="G3" i="15"/>
  <c r="G3" i="14" s="1"/>
  <c r="C51" i="19" s="1"/>
  <c r="J6" i="15"/>
  <c r="J6" i="14" s="1"/>
  <c r="F54" i="19" s="1"/>
  <c r="F6" i="15"/>
  <c r="F6" i="14" s="1"/>
  <c r="F50" i="19" s="1"/>
  <c r="L2" i="15"/>
  <c r="L2" i="14" s="1"/>
  <c r="B56" i="19" s="1"/>
  <c r="H2" i="15"/>
  <c r="H2" i="14" s="1"/>
  <c r="B52" i="19" s="1"/>
  <c r="N5" i="15"/>
  <c r="N5" i="14" s="1"/>
  <c r="E58" i="19" s="1"/>
  <c r="J5" i="15"/>
  <c r="J5" i="14" s="1"/>
  <c r="E54" i="19" s="1"/>
  <c r="C3" i="15"/>
  <c r="C3" i="14" s="1"/>
  <c r="C47" i="19" s="1"/>
  <c r="N3" i="15"/>
  <c r="N3" i="14" s="1"/>
  <c r="C58" i="19" s="1"/>
  <c r="Q6" i="15"/>
  <c r="Q6" i="14" s="1"/>
  <c r="F61" i="19" s="1"/>
  <c r="M6" i="15"/>
  <c r="M6" i="14" s="1"/>
  <c r="F57" i="19" s="1"/>
  <c r="D2" i="15"/>
  <c r="D2" i="14" s="1"/>
  <c r="B48" i="19" s="1"/>
  <c r="S15" i="22"/>
  <c r="AA15" i="22"/>
  <c r="T15" i="22"/>
  <c r="M15" i="22"/>
  <c r="U15" i="22"/>
  <c r="N15" i="22"/>
  <c r="V15" i="22"/>
  <c r="J16" i="22"/>
  <c r="O15" i="22"/>
  <c r="W15" i="22"/>
  <c r="P15" i="22"/>
  <c r="X15" i="22"/>
  <c r="Q15" i="22"/>
  <c r="Y15" i="22"/>
  <c r="R15" i="22"/>
  <c r="Z15" i="22"/>
  <c r="F5" i="15"/>
  <c r="F5" i="14" s="1"/>
  <c r="E50" i="19" s="1"/>
  <c r="Q5" i="15"/>
  <c r="Q5" i="14" s="1"/>
  <c r="E61" i="19" s="1"/>
  <c r="J3" i="15"/>
  <c r="J3" i="14" s="1"/>
  <c r="C54" i="19" s="1"/>
  <c r="F3" i="15"/>
  <c r="F3" i="14" s="1"/>
  <c r="C50" i="19" s="1"/>
  <c r="I6" i="15"/>
  <c r="I6" i="14" s="1"/>
  <c r="F53" i="19" s="1"/>
  <c r="E6" i="15"/>
  <c r="E6" i="14" s="1"/>
  <c r="F49" i="19" s="1"/>
  <c r="K2" i="15"/>
  <c r="K2" i="14" s="1"/>
  <c r="B55" i="19" s="1"/>
  <c r="O2" i="15"/>
  <c r="O2" i="14" s="1"/>
  <c r="B59" i="19" s="1"/>
  <c r="M5" i="15"/>
  <c r="M5" i="14" s="1"/>
  <c r="E57" i="19" s="1"/>
  <c r="I5" i="15"/>
  <c r="I5" i="14" s="1"/>
  <c r="E53" i="19" s="1"/>
  <c r="Q3" i="15"/>
  <c r="Q3" i="14" s="1"/>
  <c r="C61" i="19" s="1"/>
  <c r="P6" i="15"/>
  <c r="P6" i="14" s="1"/>
  <c r="F60" i="19" s="1"/>
  <c r="L6" i="15"/>
  <c r="L6" i="14" s="1"/>
  <c r="F56" i="19" s="1"/>
  <c r="N2" i="15"/>
  <c r="N2" i="14" s="1"/>
  <c r="B58" i="19" s="1"/>
  <c r="C2" i="15"/>
  <c r="C2" i="14" s="1"/>
  <c r="B47" i="19" s="1"/>
  <c r="G2" i="15"/>
  <c r="G2" i="14" s="1"/>
  <c r="B51" i="19" s="1"/>
  <c r="E5" i="15"/>
  <c r="E5" i="14" s="1"/>
  <c r="E49" i="19" s="1"/>
  <c r="P5" i="15"/>
  <c r="P5" i="14" s="1"/>
  <c r="E60" i="19" s="1"/>
  <c r="M3" i="15"/>
  <c r="M3" i="14" s="1"/>
  <c r="C57" i="19" s="1"/>
  <c r="I3" i="15"/>
  <c r="I3" i="14" s="1"/>
  <c r="C53" i="19" s="1"/>
  <c r="H6" i="15"/>
  <c r="H6" i="14" s="1"/>
  <c r="F52" i="19" s="1"/>
  <c r="D6" i="15"/>
  <c r="D6" i="14" s="1"/>
  <c r="F48" i="19" s="1"/>
  <c r="F2" i="15"/>
  <c r="F2" i="14" s="1"/>
  <c r="B50" i="19" s="1"/>
  <c r="J2" i="15"/>
  <c r="J2" i="14" s="1"/>
  <c r="B54" i="19" s="1"/>
  <c r="L5" i="15"/>
  <c r="L5" i="14" s="1"/>
  <c r="E56" i="19" s="1"/>
  <c r="H5" i="15"/>
  <c r="H5" i="14" s="1"/>
  <c r="E52" i="19" s="1"/>
  <c r="E3" i="15"/>
  <c r="E3" i="14" s="1"/>
  <c r="C49" i="19" s="1"/>
  <c r="P3" i="15"/>
  <c r="P3" i="14" s="1"/>
  <c r="C60" i="19" s="1"/>
  <c r="O6" i="15"/>
  <c r="O6" i="14" s="1"/>
  <c r="F59" i="19" s="1"/>
  <c r="K6" i="15"/>
  <c r="K6" i="14" s="1"/>
  <c r="F55" i="19" s="1"/>
  <c r="M2" i="15"/>
  <c r="M2" i="14" s="1"/>
  <c r="B57" i="19" s="1"/>
  <c r="Q2" i="15"/>
  <c r="Q2" i="14" s="1"/>
  <c r="B61" i="19" s="1"/>
  <c r="D5" i="15"/>
  <c r="D5" i="14" s="1"/>
  <c r="E48" i="19" s="1"/>
  <c r="O5" i="15"/>
  <c r="O5" i="14" s="1"/>
  <c r="E59" i="19" s="1"/>
  <c r="L3" i="15"/>
  <c r="L3" i="14" s="1"/>
  <c r="C56" i="19" s="1"/>
  <c r="H3" i="15"/>
  <c r="H3" i="14" s="1"/>
  <c r="C52" i="19" s="1"/>
  <c r="G6" i="15"/>
  <c r="G6" i="14" s="1"/>
  <c r="F51" i="19" s="1"/>
  <c r="C6" i="15"/>
  <c r="C6" i="14" s="1"/>
  <c r="F47" i="19" s="1"/>
  <c r="E2" i="15"/>
  <c r="E2" i="14" s="1"/>
  <c r="B49" i="19" s="1"/>
  <c r="I2" i="15"/>
  <c r="I2" i="14" s="1"/>
  <c r="B53" i="19" s="1"/>
  <c r="K5" i="15"/>
  <c r="K5" i="14" s="1"/>
  <c r="E55" i="19" s="1"/>
  <c r="G5" i="15"/>
  <c r="G5" i="14" s="1"/>
  <c r="E51" i="19" s="1"/>
  <c r="D3" i="15"/>
  <c r="D3" i="14" s="1"/>
  <c r="C48" i="19" s="1"/>
  <c r="O3" i="15"/>
  <c r="O3" i="14" s="1"/>
  <c r="C59" i="19" s="1"/>
  <c r="V26" i="21"/>
  <c r="G15" i="16"/>
  <c r="G42" i="16"/>
  <c r="C38" i="1"/>
  <c r="C21" i="1"/>
  <c r="C32" i="1"/>
  <c r="G7" i="16"/>
  <c r="C9" i="1"/>
  <c r="C17" i="1"/>
  <c r="C23" i="1"/>
  <c r="C31" i="1"/>
  <c r="G25" i="16"/>
  <c r="C35" i="1"/>
  <c r="G36" i="16"/>
  <c r="G24" i="16"/>
  <c r="C13" i="1"/>
  <c r="G28" i="16"/>
  <c r="G10" i="16"/>
  <c r="C26" i="1"/>
  <c r="G8" i="16"/>
  <c r="G43" i="16"/>
  <c r="G45" i="16"/>
  <c r="F43" i="11" l="1"/>
  <c r="H43" i="11" s="1"/>
  <c r="J43" i="11" s="1"/>
  <c r="L43" i="11" s="1"/>
  <c r="N43" i="11" s="1"/>
  <c r="P43" i="11" s="1"/>
  <c r="R43" i="11" s="1"/>
  <c r="T43" i="11" s="1"/>
  <c r="V43" i="11" s="1"/>
  <c r="X43" i="11" s="1"/>
  <c r="Z43" i="11" s="1"/>
  <c r="AB43" i="11" s="1"/>
  <c r="AD43" i="11" s="1"/>
  <c r="AF43" i="11" s="1"/>
  <c r="AH43" i="11" s="1"/>
  <c r="F32" i="11"/>
  <c r="H32" i="11" s="1"/>
  <c r="J32" i="11" s="1"/>
  <c r="L32" i="11" s="1"/>
  <c r="N32" i="11" s="1"/>
  <c r="P32" i="11" s="1"/>
  <c r="R32" i="11" s="1"/>
  <c r="T32" i="11" s="1"/>
  <c r="V32" i="11" s="1"/>
  <c r="X32" i="11" s="1"/>
  <c r="Z32" i="11" s="1"/>
  <c r="AB32" i="11" s="1"/>
  <c r="AD32" i="11" s="1"/>
  <c r="AF32" i="11" s="1"/>
  <c r="AH32" i="11" s="1"/>
  <c r="U26" i="22"/>
  <c r="K18" i="15" s="1"/>
  <c r="K18" i="14" s="1"/>
  <c r="R55" i="19" s="1"/>
  <c r="Q26" i="22"/>
  <c r="G18" i="15" s="1"/>
  <c r="G18" i="14" s="1"/>
  <c r="R51" i="19" s="1"/>
  <c r="A76" i="4"/>
  <c r="A62" i="11"/>
  <c r="C33" i="11"/>
  <c r="E33" i="11" s="1"/>
  <c r="G33" i="11" s="1"/>
  <c r="I33" i="11" s="1"/>
  <c r="K33" i="11" s="1"/>
  <c r="M33" i="11" s="1"/>
  <c r="O33" i="11" s="1"/>
  <c r="Q33" i="11" s="1"/>
  <c r="S33" i="11" s="1"/>
  <c r="U33" i="11" s="1"/>
  <c r="W33" i="11" s="1"/>
  <c r="Y33" i="11" s="1"/>
  <c r="AA33" i="11" s="1"/>
  <c r="AC33" i="11" s="1"/>
  <c r="AE33" i="11" s="1"/>
  <c r="AG33" i="11" s="1"/>
  <c r="D33" i="11"/>
  <c r="F33" i="11" s="1"/>
  <c r="H33" i="11" s="1"/>
  <c r="J33" i="11" s="1"/>
  <c r="L33" i="11" s="1"/>
  <c r="N33" i="11" s="1"/>
  <c r="P33" i="11" s="1"/>
  <c r="R33" i="11" s="1"/>
  <c r="T33" i="11" s="1"/>
  <c r="V33" i="11" s="1"/>
  <c r="X33" i="11" s="1"/>
  <c r="Z33" i="11" s="1"/>
  <c r="AB33" i="11" s="1"/>
  <c r="AD33" i="11" s="1"/>
  <c r="AF33" i="11" s="1"/>
  <c r="AH33" i="11" s="1"/>
  <c r="C38" i="11"/>
  <c r="E38" i="11" s="1"/>
  <c r="G38" i="11" s="1"/>
  <c r="I38" i="11" s="1"/>
  <c r="K38" i="11" s="1"/>
  <c r="M38" i="11" s="1"/>
  <c r="O38" i="11" s="1"/>
  <c r="Q38" i="11" s="1"/>
  <c r="S38" i="11" s="1"/>
  <c r="U38" i="11" s="1"/>
  <c r="W38" i="11" s="1"/>
  <c r="Y38" i="11" s="1"/>
  <c r="AA38" i="11" s="1"/>
  <c r="AC38" i="11" s="1"/>
  <c r="AE38" i="11" s="1"/>
  <c r="AG38" i="11" s="1"/>
  <c r="D62" i="4"/>
  <c r="F62" i="4" s="1"/>
  <c r="H62" i="4" s="1"/>
  <c r="J62" i="4" s="1"/>
  <c r="L62" i="4" s="1"/>
  <c r="N62" i="4" s="1"/>
  <c r="P62" i="4" s="1"/>
  <c r="R62" i="4" s="1"/>
  <c r="T62" i="4" s="1"/>
  <c r="V62" i="4" s="1"/>
  <c r="X62" i="4" s="1"/>
  <c r="Z62" i="4" s="1"/>
  <c r="AB62" i="4" s="1"/>
  <c r="AD62" i="4" s="1"/>
  <c r="AF62" i="4" s="1"/>
  <c r="AH62" i="4" s="1"/>
  <c r="D37" i="11"/>
  <c r="F37" i="11" s="1"/>
  <c r="H37" i="11" s="1"/>
  <c r="J37" i="11" s="1"/>
  <c r="L37" i="11" s="1"/>
  <c r="N37" i="11" s="1"/>
  <c r="P37" i="11" s="1"/>
  <c r="R37" i="11" s="1"/>
  <c r="T37" i="11" s="1"/>
  <c r="V37" i="11" s="1"/>
  <c r="X37" i="11" s="1"/>
  <c r="Z37" i="11" s="1"/>
  <c r="AB37" i="11" s="1"/>
  <c r="AD37" i="11" s="1"/>
  <c r="AF37" i="11" s="1"/>
  <c r="AH37" i="11" s="1"/>
  <c r="C37" i="11"/>
  <c r="P2" i="11"/>
  <c r="R2" i="4"/>
  <c r="E30" i="5" a="1"/>
  <c r="E30" i="5" s="1"/>
  <c r="K30" i="5" a="1"/>
  <c r="K30" i="5" s="1"/>
  <c r="N30" i="5" a="1"/>
  <c r="N30" i="5" s="1"/>
  <c r="D30" i="5" a="1"/>
  <c r="D30" i="5" s="1"/>
  <c r="G30" i="5" a="1"/>
  <c r="G30" i="5" s="1"/>
  <c r="I30" i="5" a="1"/>
  <c r="I30" i="5" s="1"/>
  <c r="L30" i="5" a="1"/>
  <c r="L30" i="5" s="1"/>
  <c r="O30" i="5" a="1"/>
  <c r="O30" i="5" s="1"/>
  <c r="F30" i="5" a="1"/>
  <c r="F30" i="5" s="1"/>
  <c r="H30" i="5" a="1"/>
  <c r="H30" i="5" s="1"/>
  <c r="P30" i="5" a="1"/>
  <c r="P30" i="5" s="1"/>
  <c r="Q30" i="5" a="1"/>
  <c r="Q30" i="5" s="1"/>
  <c r="M30" i="5" a="1"/>
  <c r="M30" i="5" s="1"/>
  <c r="J30" i="5" a="1"/>
  <c r="J30" i="5" s="1"/>
  <c r="R30" i="5" a="1"/>
  <c r="R30" i="5" s="1"/>
  <c r="C31" i="5"/>
  <c r="O31" i="10" a="1"/>
  <c r="O31" i="10" s="1"/>
  <c r="K31" i="10" a="1"/>
  <c r="K31" i="10" s="1"/>
  <c r="G31" i="10" a="1"/>
  <c r="G31" i="10" s="1"/>
  <c r="P31" i="10" a="1"/>
  <c r="P31" i="10" s="1"/>
  <c r="F31" i="10" a="1"/>
  <c r="F31" i="10" s="1"/>
  <c r="Q31" i="10" a="1"/>
  <c r="Q31" i="10" s="1"/>
  <c r="I31" i="10" a="1"/>
  <c r="I31" i="10" s="1"/>
  <c r="J31" i="10" a="1"/>
  <c r="J31" i="10" s="1"/>
  <c r="L31" i="10" a="1"/>
  <c r="L31" i="10" s="1"/>
  <c r="N31" i="10" a="1"/>
  <c r="N31" i="10" s="1"/>
  <c r="H31" i="10" a="1"/>
  <c r="H31" i="10" s="1"/>
  <c r="M31" i="10" a="1"/>
  <c r="M31" i="10" s="1"/>
  <c r="R31" i="10" a="1"/>
  <c r="R31" i="10" s="1"/>
  <c r="C32" i="10"/>
  <c r="D31" i="10" a="1"/>
  <c r="D31" i="10" s="1"/>
  <c r="E31" i="10" a="1"/>
  <c r="E31" i="10" s="1"/>
  <c r="S164" i="7"/>
  <c r="C143" i="7" s="1"/>
  <c r="R165" i="7"/>
  <c r="B144" i="7" s="1"/>
  <c r="B97" i="4"/>
  <c r="B83" i="11"/>
  <c r="F170" i="8"/>
  <c r="AD170" i="8"/>
  <c r="R174" i="7"/>
  <c r="B153" i="7" s="1"/>
  <c r="D63" i="4"/>
  <c r="F63" i="4" s="1"/>
  <c r="H63" i="4" s="1"/>
  <c r="J63" i="4" s="1"/>
  <c r="L63" i="4" s="1"/>
  <c r="N63" i="4" s="1"/>
  <c r="P63" i="4" s="1"/>
  <c r="R63" i="4" s="1"/>
  <c r="T63" i="4" s="1"/>
  <c r="V63" i="4" s="1"/>
  <c r="X63" i="4" s="1"/>
  <c r="Z63" i="4" s="1"/>
  <c r="AB63" i="4" s="1"/>
  <c r="AD63" i="4" s="1"/>
  <c r="AF63" i="4" s="1"/>
  <c r="AH63" i="4" s="1"/>
  <c r="C63" i="4"/>
  <c r="E63" i="4" s="1"/>
  <c r="G63" i="4" s="1"/>
  <c r="I63" i="4" s="1"/>
  <c r="K63" i="4" s="1"/>
  <c r="M63" i="4" s="1"/>
  <c r="O63" i="4" s="1"/>
  <c r="Q63" i="4" s="1"/>
  <c r="S63" i="4" s="1"/>
  <c r="U63" i="4" s="1"/>
  <c r="W63" i="4" s="1"/>
  <c r="Y63" i="4" s="1"/>
  <c r="AA63" i="4" s="1"/>
  <c r="AC63" i="4" s="1"/>
  <c r="AE63" i="4" s="1"/>
  <c r="AG63" i="4" s="1"/>
  <c r="B63" i="11"/>
  <c r="B77" i="4"/>
  <c r="M26" i="22"/>
  <c r="C18" i="15" s="1"/>
  <c r="C18" i="14" s="1"/>
  <c r="R47" i="19" s="1"/>
  <c r="X26" i="22"/>
  <c r="N18" i="15" s="1"/>
  <c r="N18" i="14" s="1"/>
  <c r="R58" i="19" s="1"/>
  <c r="A61" i="4"/>
  <c r="A47" i="11"/>
  <c r="D47" i="4"/>
  <c r="F47" i="4" s="1"/>
  <c r="H47" i="4" s="1"/>
  <c r="J47" i="4" s="1"/>
  <c r="L47" i="4" s="1"/>
  <c r="N47" i="4" s="1"/>
  <c r="P47" i="4" s="1"/>
  <c r="R47" i="4" s="1"/>
  <c r="T47" i="4" s="1"/>
  <c r="V47" i="4" s="1"/>
  <c r="X47" i="4" s="1"/>
  <c r="Z47" i="4" s="1"/>
  <c r="AB47" i="4" s="1"/>
  <c r="AD47" i="4" s="1"/>
  <c r="AF47" i="4" s="1"/>
  <c r="AH47" i="4" s="1"/>
  <c r="C47" i="4"/>
  <c r="E47" i="4" s="1"/>
  <c r="G47" i="4" s="1"/>
  <c r="I47" i="4" s="1"/>
  <c r="K47" i="4" s="1"/>
  <c r="M47" i="4" s="1"/>
  <c r="O47" i="4" s="1"/>
  <c r="Q47" i="4" s="1"/>
  <c r="S47" i="4" s="1"/>
  <c r="U47" i="4" s="1"/>
  <c r="W47" i="4" s="1"/>
  <c r="Y47" i="4" s="1"/>
  <c r="AA47" i="4" s="1"/>
  <c r="AC47" i="4" s="1"/>
  <c r="AE47" i="4" s="1"/>
  <c r="AG47" i="4" s="1"/>
  <c r="D38" i="11"/>
  <c r="F38" i="11" s="1"/>
  <c r="H38" i="11" s="1"/>
  <c r="J38" i="11" s="1"/>
  <c r="L38" i="11" s="1"/>
  <c r="N38" i="11" s="1"/>
  <c r="P38" i="11" s="1"/>
  <c r="R38" i="11" s="1"/>
  <c r="T38" i="11" s="1"/>
  <c r="V38" i="11" s="1"/>
  <c r="X38" i="11" s="1"/>
  <c r="Z38" i="11" s="1"/>
  <c r="AB38" i="11" s="1"/>
  <c r="AD38" i="11" s="1"/>
  <c r="AF38" i="11" s="1"/>
  <c r="AH38" i="11" s="1"/>
  <c r="F169" i="8"/>
  <c r="AD169" i="8"/>
  <c r="A51" i="11"/>
  <c r="A65" i="4"/>
  <c r="D51" i="4"/>
  <c r="F51" i="4" s="1"/>
  <c r="H51" i="4" s="1"/>
  <c r="J51" i="4" s="1"/>
  <c r="L51" i="4" s="1"/>
  <c r="N51" i="4" s="1"/>
  <c r="P51" i="4" s="1"/>
  <c r="R51" i="4" s="1"/>
  <c r="T51" i="4" s="1"/>
  <c r="V51" i="4" s="1"/>
  <c r="X51" i="4" s="1"/>
  <c r="Z51" i="4" s="1"/>
  <c r="AB51" i="4" s="1"/>
  <c r="AD51" i="4" s="1"/>
  <c r="AF51" i="4" s="1"/>
  <c r="AH51" i="4" s="1"/>
  <c r="C51" i="4"/>
  <c r="E51" i="4" s="1"/>
  <c r="G51" i="4" s="1"/>
  <c r="I51" i="4" s="1"/>
  <c r="K51" i="4" s="1"/>
  <c r="M51" i="4" s="1"/>
  <c r="O51" i="4" s="1"/>
  <c r="Q51" i="4" s="1"/>
  <c r="S51" i="4" s="1"/>
  <c r="U51" i="4" s="1"/>
  <c r="W51" i="4" s="1"/>
  <c r="Y51" i="4" s="1"/>
  <c r="AA51" i="4" s="1"/>
  <c r="AC51" i="4" s="1"/>
  <c r="AE51" i="4" s="1"/>
  <c r="AG51" i="4" s="1"/>
  <c r="C52" i="4"/>
  <c r="E52" i="4" s="1"/>
  <c r="G52" i="4" s="1"/>
  <c r="I52" i="4" s="1"/>
  <c r="K52" i="4" s="1"/>
  <c r="M52" i="4" s="1"/>
  <c r="O52" i="4" s="1"/>
  <c r="Q52" i="4" s="1"/>
  <c r="S52" i="4" s="1"/>
  <c r="U52" i="4" s="1"/>
  <c r="W52" i="4" s="1"/>
  <c r="Y52" i="4" s="1"/>
  <c r="AA52" i="4" s="1"/>
  <c r="AC52" i="4" s="1"/>
  <c r="AE52" i="4" s="1"/>
  <c r="AG52" i="4" s="1"/>
  <c r="A67" i="4"/>
  <c r="A53" i="11"/>
  <c r="A70" i="11"/>
  <c r="A84" i="4"/>
  <c r="C84" i="4" s="1"/>
  <c r="E84" i="4" s="1"/>
  <c r="G84" i="4" s="1"/>
  <c r="I84" i="4" s="1"/>
  <c r="K84" i="4" s="1"/>
  <c r="M84" i="4" s="1"/>
  <c r="O84" i="4" s="1"/>
  <c r="Q84" i="4" s="1"/>
  <c r="S84" i="4" s="1"/>
  <c r="U84" i="4" s="1"/>
  <c r="W84" i="4" s="1"/>
  <c r="Y84" i="4" s="1"/>
  <c r="AA84" i="4" s="1"/>
  <c r="AC84" i="4" s="1"/>
  <c r="AE84" i="4" s="1"/>
  <c r="AG84" i="4" s="1"/>
  <c r="D40" i="11"/>
  <c r="F40" i="11" s="1"/>
  <c r="H40" i="11" s="1"/>
  <c r="J40" i="11" s="1"/>
  <c r="L40" i="11" s="1"/>
  <c r="N40" i="11" s="1"/>
  <c r="P40" i="11" s="1"/>
  <c r="R40" i="11" s="1"/>
  <c r="T40" i="11" s="1"/>
  <c r="V40" i="11" s="1"/>
  <c r="X40" i="11" s="1"/>
  <c r="Z40" i="11" s="1"/>
  <c r="AB40" i="11" s="1"/>
  <c r="AD40" i="11" s="1"/>
  <c r="AF40" i="11" s="1"/>
  <c r="AH40" i="11" s="1"/>
  <c r="C40" i="11"/>
  <c r="E40" i="11" s="1"/>
  <c r="G40" i="11" s="1"/>
  <c r="I40" i="11" s="1"/>
  <c r="K40" i="11" s="1"/>
  <c r="M40" i="11" s="1"/>
  <c r="O40" i="11" s="1"/>
  <c r="Q40" i="11" s="1"/>
  <c r="S40" i="11" s="1"/>
  <c r="U40" i="11" s="1"/>
  <c r="W40" i="11" s="1"/>
  <c r="Y40" i="11" s="1"/>
  <c r="AA40" i="11" s="1"/>
  <c r="AC40" i="11" s="1"/>
  <c r="AE40" i="11" s="1"/>
  <c r="AG40" i="11" s="1"/>
  <c r="F27" i="11"/>
  <c r="H27" i="11" s="1"/>
  <c r="J27" i="11" s="1"/>
  <c r="L27" i="11" s="1"/>
  <c r="N27" i="11" s="1"/>
  <c r="P27" i="11" s="1"/>
  <c r="R27" i="11" s="1"/>
  <c r="T27" i="11" s="1"/>
  <c r="V27" i="11" s="1"/>
  <c r="X27" i="11" s="1"/>
  <c r="Z27" i="11" s="1"/>
  <c r="AB27" i="11" s="1"/>
  <c r="AD27" i="11" s="1"/>
  <c r="AF27" i="11" s="1"/>
  <c r="AH27" i="11" s="1"/>
  <c r="R173" i="7"/>
  <c r="B152" i="7" s="1"/>
  <c r="R169" i="7"/>
  <c r="B148" i="7" s="1"/>
  <c r="K1" i="11"/>
  <c r="M1" i="4"/>
  <c r="T26" i="22"/>
  <c r="J18" i="15" s="1"/>
  <c r="J18" i="14" s="1"/>
  <c r="R54" i="19" s="1"/>
  <c r="P26" i="22"/>
  <c r="F18" i="15" s="1"/>
  <c r="F18" i="14" s="1"/>
  <c r="R50" i="19" s="1"/>
  <c r="A64" i="11"/>
  <c r="A78" i="4"/>
  <c r="K2" i="11"/>
  <c r="M2" i="4"/>
  <c r="D45" i="11"/>
  <c r="C45" i="11"/>
  <c r="C39" i="11"/>
  <c r="E39" i="11" s="1"/>
  <c r="G39" i="11" s="1"/>
  <c r="I39" i="11" s="1"/>
  <c r="K39" i="11" s="1"/>
  <c r="M39" i="11" s="1"/>
  <c r="O39" i="11" s="1"/>
  <c r="Q39" i="11" s="1"/>
  <c r="S39" i="11" s="1"/>
  <c r="U39" i="11" s="1"/>
  <c r="W39" i="11" s="1"/>
  <c r="Y39" i="11" s="1"/>
  <c r="AA39" i="11" s="1"/>
  <c r="AC39" i="11" s="1"/>
  <c r="AE39" i="11" s="1"/>
  <c r="AG39" i="11" s="1"/>
  <c r="S169" i="7"/>
  <c r="C148" i="7" s="1"/>
  <c r="S173" i="7"/>
  <c r="C152" i="7" s="1"/>
  <c r="C56" i="11"/>
  <c r="D41" i="11"/>
  <c r="C41" i="11"/>
  <c r="D84" i="4"/>
  <c r="F84" i="4" s="1"/>
  <c r="H84" i="4" s="1"/>
  <c r="J84" i="4" s="1"/>
  <c r="L84" i="4" s="1"/>
  <c r="N84" i="4" s="1"/>
  <c r="P84" i="4" s="1"/>
  <c r="R84" i="4" s="1"/>
  <c r="T84" i="4" s="1"/>
  <c r="V84" i="4" s="1"/>
  <c r="X84" i="4" s="1"/>
  <c r="Z84" i="4" s="1"/>
  <c r="AB84" i="4" s="1"/>
  <c r="AD84" i="4" s="1"/>
  <c r="AF84" i="4" s="1"/>
  <c r="AH84" i="4" s="1"/>
  <c r="B98" i="4"/>
  <c r="B84" i="11"/>
  <c r="B92" i="4"/>
  <c r="B78" i="11"/>
  <c r="C78" i="4"/>
  <c r="E78" i="4" s="1"/>
  <c r="G78" i="4" s="1"/>
  <c r="I78" i="4" s="1"/>
  <c r="K78" i="4" s="1"/>
  <c r="M78" i="4" s="1"/>
  <c r="O78" i="4" s="1"/>
  <c r="Q78" i="4" s="1"/>
  <c r="S78" i="4" s="1"/>
  <c r="U78" i="4" s="1"/>
  <c r="W78" i="4" s="1"/>
  <c r="Y78" i="4" s="1"/>
  <c r="AA78" i="4" s="1"/>
  <c r="AC78" i="4" s="1"/>
  <c r="AE78" i="4" s="1"/>
  <c r="AG78" i="4" s="1"/>
  <c r="D39" i="11"/>
  <c r="F39" i="11" s="1"/>
  <c r="H39" i="11" s="1"/>
  <c r="J39" i="11" s="1"/>
  <c r="L39" i="11" s="1"/>
  <c r="N39" i="11" s="1"/>
  <c r="P39" i="11" s="1"/>
  <c r="R39" i="11" s="1"/>
  <c r="T39" i="11" s="1"/>
  <c r="V39" i="11" s="1"/>
  <c r="X39" i="11" s="1"/>
  <c r="Z39" i="11" s="1"/>
  <c r="AB39" i="11" s="1"/>
  <c r="AD39" i="11" s="1"/>
  <c r="AF39" i="11" s="1"/>
  <c r="AH39" i="11" s="1"/>
  <c r="A54" i="11"/>
  <c r="A68" i="4"/>
  <c r="D54" i="4"/>
  <c r="F54" i="4" s="1"/>
  <c r="H54" i="4" s="1"/>
  <c r="J54" i="4" s="1"/>
  <c r="L54" i="4" s="1"/>
  <c r="N54" i="4" s="1"/>
  <c r="P54" i="4" s="1"/>
  <c r="R54" i="4" s="1"/>
  <c r="T54" i="4" s="1"/>
  <c r="V54" i="4" s="1"/>
  <c r="X54" i="4" s="1"/>
  <c r="Z54" i="4" s="1"/>
  <c r="AB54" i="4" s="1"/>
  <c r="AD54" i="4" s="1"/>
  <c r="AF54" i="4" s="1"/>
  <c r="AH54" i="4" s="1"/>
  <c r="C54" i="4"/>
  <c r="E54" i="4" s="1"/>
  <c r="G54" i="4" s="1"/>
  <c r="I54" i="4" s="1"/>
  <c r="K54" i="4" s="1"/>
  <c r="M54" i="4" s="1"/>
  <c r="O54" i="4" s="1"/>
  <c r="Q54" i="4" s="1"/>
  <c r="S54" i="4" s="1"/>
  <c r="U54" i="4" s="1"/>
  <c r="W54" i="4" s="1"/>
  <c r="Y54" i="4" s="1"/>
  <c r="AA54" i="4" s="1"/>
  <c r="AC54" i="4" s="1"/>
  <c r="AE54" i="4" s="1"/>
  <c r="AG54" i="4" s="1"/>
  <c r="S168" i="7"/>
  <c r="C147" i="7" s="1"/>
  <c r="R175" i="7"/>
  <c r="B154" i="7" s="1"/>
  <c r="D53" i="11"/>
  <c r="F53" i="11" s="1"/>
  <c r="H53" i="11" s="1"/>
  <c r="J53" i="11" s="1"/>
  <c r="L53" i="11" s="1"/>
  <c r="N53" i="11" s="1"/>
  <c r="P53" i="11" s="1"/>
  <c r="R53" i="11" s="1"/>
  <c r="T53" i="11" s="1"/>
  <c r="V53" i="11" s="1"/>
  <c r="X53" i="11" s="1"/>
  <c r="Z53" i="11" s="1"/>
  <c r="AB53" i="11" s="1"/>
  <c r="AD53" i="11" s="1"/>
  <c r="AF53" i="11" s="1"/>
  <c r="AH53" i="11" s="1"/>
  <c r="C53" i="11"/>
  <c r="E53" i="11" s="1"/>
  <c r="G53" i="11" s="1"/>
  <c r="I53" i="11" s="1"/>
  <c r="K53" i="11" s="1"/>
  <c r="M53" i="11" s="1"/>
  <c r="O53" i="11" s="1"/>
  <c r="Q53" i="11" s="1"/>
  <c r="S53" i="11" s="1"/>
  <c r="U53" i="11" s="1"/>
  <c r="W53" i="11" s="1"/>
  <c r="Y53" i="11" s="1"/>
  <c r="AA53" i="11" s="1"/>
  <c r="AC53" i="11" s="1"/>
  <c r="AE53" i="11" s="1"/>
  <c r="AG53" i="11" s="1"/>
  <c r="S171" i="7"/>
  <c r="C150" i="7" s="1"/>
  <c r="A55" i="11"/>
  <c r="A69" i="4"/>
  <c r="D55" i="4"/>
  <c r="F55" i="4" s="1"/>
  <c r="H55" i="4" s="1"/>
  <c r="J55" i="4" s="1"/>
  <c r="L55" i="4" s="1"/>
  <c r="N55" i="4" s="1"/>
  <c r="P55" i="4" s="1"/>
  <c r="R55" i="4" s="1"/>
  <c r="T55" i="4" s="1"/>
  <c r="V55" i="4" s="1"/>
  <c r="X55" i="4" s="1"/>
  <c r="Z55" i="4" s="1"/>
  <c r="AB55" i="4" s="1"/>
  <c r="AD55" i="4" s="1"/>
  <c r="AF55" i="4" s="1"/>
  <c r="AH55" i="4" s="1"/>
  <c r="C55" i="4"/>
  <c r="E55" i="4" s="1"/>
  <c r="G55" i="4" s="1"/>
  <c r="I55" i="4" s="1"/>
  <c r="K55" i="4" s="1"/>
  <c r="M55" i="4" s="1"/>
  <c r="O55" i="4" s="1"/>
  <c r="Q55" i="4" s="1"/>
  <c r="S55" i="4" s="1"/>
  <c r="U55" i="4" s="1"/>
  <c r="W55" i="4" s="1"/>
  <c r="Y55" i="4" s="1"/>
  <c r="AA55" i="4" s="1"/>
  <c r="AC55" i="4" s="1"/>
  <c r="AE55" i="4" s="1"/>
  <c r="AG55" i="4" s="1"/>
  <c r="C70" i="4"/>
  <c r="E70" i="4" s="1"/>
  <c r="G70" i="4" s="1"/>
  <c r="I70" i="4" s="1"/>
  <c r="K70" i="4" s="1"/>
  <c r="M70" i="4" s="1"/>
  <c r="O70" i="4" s="1"/>
  <c r="Q70" i="4" s="1"/>
  <c r="S70" i="4" s="1"/>
  <c r="U70" i="4" s="1"/>
  <c r="W70" i="4" s="1"/>
  <c r="Y70" i="4" s="1"/>
  <c r="AA70" i="4" s="1"/>
  <c r="AC70" i="4" s="1"/>
  <c r="AE70" i="4" s="1"/>
  <c r="AG70" i="4" s="1"/>
  <c r="D64" i="11"/>
  <c r="F64" i="11" s="1"/>
  <c r="H64" i="11" s="1"/>
  <c r="J64" i="11" s="1"/>
  <c r="L64" i="11" s="1"/>
  <c r="N64" i="11" s="1"/>
  <c r="P64" i="11" s="1"/>
  <c r="R64" i="11" s="1"/>
  <c r="T64" i="11" s="1"/>
  <c r="V64" i="11" s="1"/>
  <c r="X64" i="11" s="1"/>
  <c r="Z64" i="11" s="1"/>
  <c r="AB64" i="11" s="1"/>
  <c r="AD64" i="11" s="1"/>
  <c r="AF64" i="11" s="1"/>
  <c r="AH64" i="11" s="1"/>
  <c r="C64" i="11"/>
  <c r="E64" i="11" s="1"/>
  <c r="G64" i="11" s="1"/>
  <c r="I64" i="11" s="1"/>
  <c r="K64" i="11" s="1"/>
  <c r="M64" i="11" s="1"/>
  <c r="O64" i="11" s="1"/>
  <c r="Q64" i="11" s="1"/>
  <c r="S64" i="11" s="1"/>
  <c r="U64" i="11" s="1"/>
  <c r="W64" i="11" s="1"/>
  <c r="Y64" i="11" s="1"/>
  <c r="AA64" i="11" s="1"/>
  <c r="AC64" i="11" s="1"/>
  <c r="AE64" i="11" s="1"/>
  <c r="AG64" i="11" s="1"/>
  <c r="B100" i="11"/>
  <c r="F165" i="8"/>
  <c r="AD165" i="8"/>
  <c r="D59" i="4"/>
  <c r="F59" i="4" s="1"/>
  <c r="H59" i="4" s="1"/>
  <c r="J59" i="4" s="1"/>
  <c r="L59" i="4" s="1"/>
  <c r="N59" i="4" s="1"/>
  <c r="P59" i="4" s="1"/>
  <c r="R59" i="4" s="1"/>
  <c r="T59" i="4" s="1"/>
  <c r="V59" i="4" s="1"/>
  <c r="X59" i="4" s="1"/>
  <c r="Z59" i="4" s="1"/>
  <c r="AB59" i="4" s="1"/>
  <c r="AD59" i="4" s="1"/>
  <c r="AF59" i="4" s="1"/>
  <c r="AH59" i="4" s="1"/>
  <c r="C59" i="4"/>
  <c r="E59" i="4" s="1"/>
  <c r="G59" i="4" s="1"/>
  <c r="I59" i="4" s="1"/>
  <c r="K59" i="4" s="1"/>
  <c r="M59" i="4" s="1"/>
  <c r="O59" i="4" s="1"/>
  <c r="Q59" i="4" s="1"/>
  <c r="S59" i="4" s="1"/>
  <c r="U59" i="4" s="1"/>
  <c r="W59" i="4" s="1"/>
  <c r="Y59" i="4" s="1"/>
  <c r="AA59" i="4" s="1"/>
  <c r="AC59" i="4" s="1"/>
  <c r="AE59" i="4" s="1"/>
  <c r="AG59" i="4" s="1"/>
  <c r="B59" i="11"/>
  <c r="B73" i="4"/>
  <c r="A71" i="4"/>
  <c r="A57" i="11"/>
  <c r="D50" i="11"/>
  <c r="F50" i="11" s="1"/>
  <c r="H50" i="11" s="1"/>
  <c r="J50" i="11" s="1"/>
  <c r="L50" i="11" s="1"/>
  <c r="N50" i="11" s="1"/>
  <c r="P50" i="11" s="1"/>
  <c r="R50" i="11" s="1"/>
  <c r="T50" i="11" s="1"/>
  <c r="V50" i="11" s="1"/>
  <c r="X50" i="11" s="1"/>
  <c r="Z50" i="11" s="1"/>
  <c r="AB50" i="11" s="1"/>
  <c r="AD50" i="11" s="1"/>
  <c r="AF50" i="11" s="1"/>
  <c r="AH50" i="11" s="1"/>
  <c r="S165" i="7"/>
  <c r="C144" i="7" s="1"/>
  <c r="S167" i="7"/>
  <c r="C146" i="7" s="1"/>
  <c r="C53" i="4"/>
  <c r="E53" i="4" s="1"/>
  <c r="G53" i="4" s="1"/>
  <c r="I53" i="4" s="1"/>
  <c r="K53" i="4" s="1"/>
  <c r="M53" i="4" s="1"/>
  <c r="O53" i="4" s="1"/>
  <c r="Q53" i="4" s="1"/>
  <c r="S53" i="4" s="1"/>
  <c r="U53" i="4" s="1"/>
  <c r="W53" i="4" s="1"/>
  <c r="Y53" i="4" s="1"/>
  <c r="AA53" i="4" s="1"/>
  <c r="AC53" i="4" s="1"/>
  <c r="AE53" i="4" s="1"/>
  <c r="AG53" i="4" s="1"/>
  <c r="D70" i="11"/>
  <c r="F70" i="11" s="1"/>
  <c r="H70" i="11" s="1"/>
  <c r="J70" i="11" s="1"/>
  <c r="L70" i="11" s="1"/>
  <c r="N70" i="11" s="1"/>
  <c r="P70" i="11" s="1"/>
  <c r="R70" i="11" s="1"/>
  <c r="T70" i="11" s="1"/>
  <c r="V70" i="11" s="1"/>
  <c r="X70" i="11" s="1"/>
  <c r="Z70" i="11" s="1"/>
  <c r="AB70" i="11" s="1"/>
  <c r="AD70" i="11" s="1"/>
  <c r="AF70" i="11" s="1"/>
  <c r="AH70" i="11" s="1"/>
  <c r="C70" i="11"/>
  <c r="E70" i="11" s="1"/>
  <c r="G70" i="11" s="1"/>
  <c r="I70" i="11" s="1"/>
  <c r="K70" i="11" s="1"/>
  <c r="M70" i="11" s="1"/>
  <c r="O70" i="11" s="1"/>
  <c r="Q70" i="11" s="1"/>
  <c r="S70" i="11" s="1"/>
  <c r="U70" i="11" s="1"/>
  <c r="W70" i="11" s="1"/>
  <c r="Y70" i="11" s="1"/>
  <c r="AA70" i="11" s="1"/>
  <c r="AC70" i="11" s="1"/>
  <c r="AE70" i="11" s="1"/>
  <c r="AG70" i="11" s="1"/>
  <c r="D64" i="4"/>
  <c r="F64" i="4" s="1"/>
  <c r="H64" i="4" s="1"/>
  <c r="J64" i="4" s="1"/>
  <c r="L64" i="4" s="1"/>
  <c r="N64" i="4" s="1"/>
  <c r="P64" i="4" s="1"/>
  <c r="R64" i="4" s="1"/>
  <c r="T64" i="4" s="1"/>
  <c r="V64" i="4" s="1"/>
  <c r="X64" i="4" s="1"/>
  <c r="Z64" i="4" s="1"/>
  <c r="AB64" i="4" s="1"/>
  <c r="AD64" i="4" s="1"/>
  <c r="AF64" i="4" s="1"/>
  <c r="AH64" i="4" s="1"/>
  <c r="F172" i="8"/>
  <c r="AD172" i="8"/>
  <c r="S26" i="22"/>
  <c r="I18" i="15" s="1"/>
  <c r="I18" i="14" s="1"/>
  <c r="R53" i="19" s="1"/>
  <c r="O26" i="22"/>
  <c r="E18" i="15" s="1"/>
  <c r="E18" i="14" s="1"/>
  <c r="R49" i="19" s="1"/>
  <c r="A52" i="11"/>
  <c r="A66" i="4"/>
  <c r="C66" i="4" s="1"/>
  <c r="E66" i="4" s="1"/>
  <c r="G66" i="4" s="1"/>
  <c r="I66" i="4" s="1"/>
  <c r="K66" i="4" s="1"/>
  <c r="M66" i="4" s="1"/>
  <c r="O66" i="4" s="1"/>
  <c r="Q66" i="4" s="1"/>
  <c r="S66" i="4" s="1"/>
  <c r="U66" i="4" s="1"/>
  <c r="W66" i="4" s="1"/>
  <c r="Y66" i="4" s="1"/>
  <c r="AA66" i="4" s="1"/>
  <c r="AC66" i="4" s="1"/>
  <c r="AE66" i="4" s="1"/>
  <c r="AG66" i="4" s="1"/>
  <c r="C58" i="11"/>
  <c r="D58" i="11"/>
  <c r="F58" i="11" s="1"/>
  <c r="H58" i="11" s="1"/>
  <c r="J58" i="11" s="1"/>
  <c r="L58" i="11" s="1"/>
  <c r="N58" i="11" s="1"/>
  <c r="P58" i="11" s="1"/>
  <c r="R58" i="11" s="1"/>
  <c r="T58" i="11" s="1"/>
  <c r="V58" i="11" s="1"/>
  <c r="X58" i="11" s="1"/>
  <c r="Z58" i="11" s="1"/>
  <c r="AB58" i="11" s="1"/>
  <c r="AD58" i="11" s="1"/>
  <c r="AF58" i="11" s="1"/>
  <c r="AH58" i="11" s="1"/>
  <c r="S170" i="7"/>
  <c r="C149" i="7" s="1"/>
  <c r="C62" i="4"/>
  <c r="E62" i="4" s="1"/>
  <c r="G62" i="4" s="1"/>
  <c r="I62" i="4" s="1"/>
  <c r="K62" i="4" s="1"/>
  <c r="M62" i="4" s="1"/>
  <c r="O62" i="4" s="1"/>
  <c r="Q62" i="4" s="1"/>
  <c r="S62" i="4" s="1"/>
  <c r="U62" i="4" s="1"/>
  <c r="W62" i="4" s="1"/>
  <c r="Y62" i="4" s="1"/>
  <c r="AA62" i="4" s="1"/>
  <c r="AC62" i="4" s="1"/>
  <c r="AE62" i="4" s="1"/>
  <c r="AG62" i="4" s="1"/>
  <c r="A60" i="4"/>
  <c r="A46" i="11"/>
  <c r="C50" i="11"/>
  <c r="E50" i="11" s="1"/>
  <c r="G50" i="11" s="1"/>
  <c r="I50" i="11" s="1"/>
  <c r="K50" i="11" s="1"/>
  <c r="M50" i="11" s="1"/>
  <c r="O50" i="11" s="1"/>
  <c r="Q50" i="11" s="1"/>
  <c r="S50" i="11" s="1"/>
  <c r="U50" i="11" s="1"/>
  <c r="W50" i="11" s="1"/>
  <c r="Y50" i="11" s="1"/>
  <c r="AA50" i="11" s="1"/>
  <c r="AC50" i="11" s="1"/>
  <c r="AE50" i="11" s="1"/>
  <c r="AG50" i="11" s="1"/>
  <c r="F167" i="8"/>
  <c r="AD167" i="8"/>
  <c r="A63" i="11"/>
  <c r="A77" i="4"/>
  <c r="R164" i="7"/>
  <c r="B143" i="7" s="1"/>
  <c r="S172" i="7"/>
  <c r="C151" i="7" s="1"/>
  <c r="D67" i="4"/>
  <c r="F67" i="4" s="1"/>
  <c r="H67" i="4" s="1"/>
  <c r="J67" i="4" s="1"/>
  <c r="L67" i="4" s="1"/>
  <c r="N67" i="4" s="1"/>
  <c r="P67" i="4" s="1"/>
  <c r="R67" i="4" s="1"/>
  <c r="T67" i="4" s="1"/>
  <c r="V67" i="4" s="1"/>
  <c r="X67" i="4" s="1"/>
  <c r="Z67" i="4" s="1"/>
  <c r="AB67" i="4" s="1"/>
  <c r="AD67" i="4" s="1"/>
  <c r="AF67" i="4" s="1"/>
  <c r="AH67" i="4" s="1"/>
  <c r="C67" i="4"/>
  <c r="E67" i="4" s="1"/>
  <c r="G67" i="4" s="1"/>
  <c r="I67" i="4" s="1"/>
  <c r="K67" i="4" s="1"/>
  <c r="M67" i="4" s="1"/>
  <c r="O67" i="4" s="1"/>
  <c r="Q67" i="4" s="1"/>
  <c r="S67" i="4" s="1"/>
  <c r="U67" i="4" s="1"/>
  <c r="W67" i="4" s="1"/>
  <c r="Y67" i="4" s="1"/>
  <c r="AA67" i="4" s="1"/>
  <c r="AC67" i="4" s="1"/>
  <c r="AE67" i="4" s="1"/>
  <c r="AG67" i="4" s="1"/>
  <c r="B67" i="11"/>
  <c r="B81" i="4"/>
  <c r="D60" i="4"/>
  <c r="F60" i="4" s="1"/>
  <c r="H60" i="4" s="1"/>
  <c r="J60" i="4" s="1"/>
  <c r="L60" i="4" s="1"/>
  <c r="N60" i="4" s="1"/>
  <c r="P60" i="4" s="1"/>
  <c r="R60" i="4" s="1"/>
  <c r="T60" i="4" s="1"/>
  <c r="V60" i="4" s="1"/>
  <c r="X60" i="4" s="1"/>
  <c r="Z60" i="4" s="1"/>
  <c r="AB60" i="4" s="1"/>
  <c r="AD60" i="4" s="1"/>
  <c r="AF60" i="4" s="1"/>
  <c r="AH60" i="4" s="1"/>
  <c r="C60" i="4"/>
  <c r="E60" i="4" s="1"/>
  <c r="G60" i="4" s="1"/>
  <c r="I60" i="4" s="1"/>
  <c r="K60" i="4" s="1"/>
  <c r="M60" i="4" s="1"/>
  <c r="O60" i="4" s="1"/>
  <c r="Q60" i="4" s="1"/>
  <c r="S60" i="4" s="1"/>
  <c r="U60" i="4" s="1"/>
  <c r="W60" i="4" s="1"/>
  <c r="Y60" i="4" s="1"/>
  <c r="AA60" i="4" s="1"/>
  <c r="AC60" i="4" s="1"/>
  <c r="AE60" i="4" s="1"/>
  <c r="AG60" i="4" s="1"/>
  <c r="B60" i="11"/>
  <c r="B74" i="4"/>
  <c r="D70" i="4"/>
  <c r="F70" i="4" s="1"/>
  <c r="H70" i="4" s="1"/>
  <c r="J70" i="4" s="1"/>
  <c r="L70" i="4" s="1"/>
  <c r="N70" i="4" s="1"/>
  <c r="P70" i="4" s="1"/>
  <c r="R70" i="4" s="1"/>
  <c r="T70" i="4" s="1"/>
  <c r="V70" i="4" s="1"/>
  <c r="X70" i="4" s="1"/>
  <c r="Z70" i="4" s="1"/>
  <c r="AB70" i="4" s="1"/>
  <c r="AD70" i="4" s="1"/>
  <c r="AF70" i="4" s="1"/>
  <c r="AH70" i="4" s="1"/>
  <c r="R166" i="7"/>
  <c r="B145" i="7" s="1"/>
  <c r="B89" i="4"/>
  <c r="B75" i="11"/>
  <c r="F164" i="8"/>
  <c r="AD164" i="8"/>
  <c r="A86" i="4"/>
  <c r="A72" i="11"/>
  <c r="D72" i="4"/>
  <c r="F72" i="4" s="1"/>
  <c r="H72" i="4" s="1"/>
  <c r="J72" i="4" s="1"/>
  <c r="L72" i="4" s="1"/>
  <c r="N72" i="4" s="1"/>
  <c r="P72" i="4" s="1"/>
  <c r="R72" i="4" s="1"/>
  <c r="T72" i="4" s="1"/>
  <c r="V72" i="4" s="1"/>
  <c r="X72" i="4" s="1"/>
  <c r="Z72" i="4" s="1"/>
  <c r="AB72" i="4" s="1"/>
  <c r="AD72" i="4" s="1"/>
  <c r="AF72" i="4" s="1"/>
  <c r="AH72" i="4" s="1"/>
  <c r="C72" i="4"/>
  <c r="E72" i="4" s="1"/>
  <c r="G72" i="4" s="1"/>
  <c r="I72" i="4" s="1"/>
  <c r="K72" i="4" s="1"/>
  <c r="M72" i="4" s="1"/>
  <c r="O72" i="4" s="1"/>
  <c r="Q72" i="4" s="1"/>
  <c r="S72" i="4" s="1"/>
  <c r="U72" i="4" s="1"/>
  <c r="W72" i="4" s="1"/>
  <c r="Y72" i="4" s="1"/>
  <c r="AA72" i="4" s="1"/>
  <c r="AC72" i="4" s="1"/>
  <c r="AE72" i="4" s="1"/>
  <c r="AG72" i="4" s="1"/>
  <c r="F166" i="8"/>
  <c r="AD166" i="8"/>
  <c r="F19" i="11"/>
  <c r="H19" i="11" s="1"/>
  <c r="J19" i="11" s="1"/>
  <c r="L19" i="11" s="1"/>
  <c r="N19" i="11" s="1"/>
  <c r="P19" i="11" s="1"/>
  <c r="R19" i="11" s="1"/>
  <c r="T19" i="11" s="1"/>
  <c r="V19" i="11" s="1"/>
  <c r="X19" i="11" s="1"/>
  <c r="Z19" i="11" s="1"/>
  <c r="AB19" i="11" s="1"/>
  <c r="AD19" i="11" s="1"/>
  <c r="AF19" i="11" s="1"/>
  <c r="AH19" i="11" s="1"/>
  <c r="D76" i="4"/>
  <c r="F76" i="4" s="1"/>
  <c r="H76" i="4" s="1"/>
  <c r="J76" i="4" s="1"/>
  <c r="L76" i="4" s="1"/>
  <c r="N76" i="4" s="1"/>
  <c r="P76" i="4" s="1"/>
  <c r="R76" i="4" s="1"/>
  <c r="T76" i="4" s="1"/>
  <c r="V76" i="4" s="1"/>
  <c r="X76" i="4" s="1"/>
  <c r="Z76" i="4" s="1"/>
  <c r="AB76" i="4" s="1"/>
  <c r="AD76" i="4" s="1"/>
  <c r="AF76" i="4" s="1"/>
  <c r="AH76" i="4" s="1"/>
  <c r="B90" i="4"/>
  <c r="C76" i="4"/>
  <c r="E76" i="4" s="1"/>
  <c r="G76" i="4" s="1"/>
  <c r="I76" i="4" s="1"/>
  <c r="K76" i="4" s="1"/>
  <c r="M76" i="4" s="1"/>
  <c r="O76" i="4" s="1"/>
  <c r="Q76" i="4" s="1"/>
  <c r="S76" i="4" s="1"/>
  <c r="U76" i="4" s="1"/>
  <c r="W76" i="4" s="1"/>
  <c r="Y76" i="4" s="1"/>
  <c r="AA76" i="4" s="1"/>
  <c r="AC76" i="4" s="1"/>
  <c r="AE76" i="4" s="1"/>
  <c r="AG76" i="4" s="1"/>
  <c r="B76" i="11"/>
  <c r="F9" i="11"/>
  <c r="H9" i="11" s="1"/>
  <c r="J9" i="11" s="1"/>
  <c r="L9" i="11" s="1"/>
  <c r="N9" i="11" s="1"/>
  <c r="P9" i="11" s="1"/>
  <c r="R9" i="11" s="1"/>
  <c r="T9" i="11" s="1"/>
  <c r="V9" i="11" s="1"/>
  <c r="X9" i="11" s="1"/>
  <c r="Z9" i="11" s="1"/>
  <c r="AB9" i="11" s="1"/>
  <c r="AD9" i="11" s="1"/>
  <c r="AF9" i="11" s="1"/>
  <c r="AH9" i="11" s="1"/>
  <c r="R170" i="7"/>
  <c r="B149" i="7" s="1"/>
  <c r="B16" i="5"/>
  <c r="W16" i="5" s="1"/>
  <c r="B93" i="4"/>
  <c r="B79" i="11"/>
  <c r="C57" i="11"/>
  <c r="E57" i="11" s="1"/>
  <c r="G57" i="11" s="1"/>
  <c r="I57" i="11" s="1"/>
  <c r="K57" i="11" s="1"/>
  <c r="M57" i="11" s="1"/>
  <c r="O57" i="11" s="1"/>
  <c r="Q57" i="11" s="1"/>
  <c r="S57" i="11" s="1"/>
  <c r="U57" i="11" s="1"/>
  <c r="W57" i="11" s="1"/>
  <c r="Y57" i="11" s="1"/>
  <c r="AA57" i="11" s="1"/>
  <c r="AC57" i="11" s="1"/>
  <c r="AE57" i="11" s="1"/>
  <c r="AG57" i="11" s="1"/>
  <c r="F168" i="8"/>
  <c r="AD168" i="8"/>
  <c r="AC173" i="8"/>
  <c r="R167" i="7"/>
  <c r="B146" i="7" s="1"/>
  <c r="R168" i="7"/>
  <c r="B147" i="7" s="1"/>
  <c r="C43" i="11"/>
  <c r="R176" i="7"/>
  <c r="B155" i="7" s="1"/>
  <c r="D53" i="4"/>
  <c r="F53" i="4" s="1"/>
  <c r="H53" i="4" s="1"/>
  <c r="J53" i="4" s="1"/>
  <c r="L53" i="4" s="1"/>
  <c r="N53" i="4" s="1"/>
  <c r="P53" i="4" s="1"/>
  <c r="R53" i="4" s="1"/>
  <c r="T53" i="4" s="1"/>
  <c r="V53" i="4" s="1"/>
  <c r="X53" i="4" s="1"/>
  <c r="Z53" i="4" s="1"/>
  <c r="AB53" i="4" s="1"/>
  <c r="AD53" i="4" s="1"/>
  <c r="AF53" i="4" s="1"/>
  <c r="AH53" i="4" s="1"/>
  <c r="N1" i="11"/>
  <c r="P1" i="4"/>
  <c r="F163" i="8"/>
  <c r="AD163" i="8"/>
  <c r="D62" i="11"/>
  <c r="F62" i="11" s="1"/>
  <c r="H62" i="11" s="1"/>
  <c r="J62" i="11" s="1"/>
  <c r="L62" i="11" s="1"/>
  <c r="N62" i="11" s="1"/>
  <c r="P62" i="11" s="1"/>
  <c r="R62" i="11" s="1"/>
  <c r="T62" i="11" s="1"/>
  <c r="V62" i="11" s="1"/>
  <c r="X62" i="11" s="1"/>
  <c r="Z62" i="11" s="1"/>
  <c r="AB62" i="11" s="1"/>
  <c r="AD62" i="11" s="1"/>
  <c r="AF62" i="11" s="1"/>
  <c r="AH62" i="11" s="1"/>
  <c r="C62" i="11"/>
  <c r="E62" i="11" s="1"/>
  <c r="G62" i="11" s="1"/>
  <c r="I62" i="11" s="1"/>
  <c r="K62" i="11" s="1"/>
  <c r="M62" i="11" s="1"/>
  <c r="O62" i="11" s="1"/>
  <c r="Q62" i="11" s="1"/>
  <c r="S62" i="11" s="1"/>
  <c r="U62" i="11" s="1"/>
  <c r="W62" i="11" s="1"/>
  <c r="Y62" i="11" s="1"/>
  <c r="AA62" i="11" s="1"/>
  <c r="AC62" i="11" s="1"/>
  <c r="AE62" i="11" s="1"/>
  <c r="AG62" i="11" s="1"/>
  <c r="D66" i="4"/>
  <c r="F66" i="4" s="1"/>
  <c r="H66" i="4" s="1"/>
  <c r="J66" i="4" s="1"/>
  <c r="L66" i="4" s="1"/>
  <c r="N66" i="4" s="1"/>
  <c r="P66" i="4" s="1"/>
  <c r="R66" i="4" s="1"/>
  <c r="T66" i="4" s="1"/>
  <c r="V66" i="4" s="1"/>
  <c r="X66" i="4" s="1"/>
  <c r="Z66" i="4" s="1"/>
  <c r="AB66" i="4" s="1"/>
  <c r="AD66" i="4" s="1"/>
  <c r="AF66" i="4" s="1"/>
  <c r="AH66" i="4" s="1"/>
  <c r="B66" i="11"/>
  <c r="B80" i="4"/>
  <c r="D71" i="4"/>
  <c r="F71" i="4" s="1"/>
  <c r="H71" i="4" s="1"/>
  <c r="J71" i="4" s="1"/>
  <c r="L71" i="4" s="1"/>
  <c r="N71" i="4" s="1"/>
  <c r="P71" i="4" s="1"/>
  <c r="R71" i="4" s="1"/>
  <c r="T71" i="4" s="1"/>
  <c r="V71" i="4" s="1"/>
  <c r="X71" i="4" s="1"/>
  <c r="Z71" i="4" s="1"/>
  <c r="AB71" i="4" s="1"/>
  <c r="AD71" i="4" s="1"/>
  <c r="AF71" i="4" s="1"/>
  <c r="AH71" i="4" s="1"/>
  <c r="C71" i="4"/>
  <c r="E71" i="4" s="1"/>
  <c r="G71" i="4" s="1"/>
  <c r="I71" i="4" s="1"/>
  <c r="K71" i="4" s="1"/>
  <c r="M71" i="4" s="1"/>
  <c r="O71" i="4" s="1"/>
  <c r="Q71" i="4" s="1"/>
  <c r="S71" i="4" s="1"/>
  <c r="U71" i="4" s="1"/>
  <c r="W71" i="4" s="1"/>
  <c r="Y71" i="4" s="1"/>
  <c r="AA71" i="4" s="1"/>
  <c r="AC71" i="4" s="1"/>
  <c r="AE71" i="4" s="1"/>
  <c r="AG71" i="4" s="1"/>
  <c r="B71" i="11"/>
  <c r="B85" i="4"/>
  <c r="F162" i="8"/>
  <c r="AD162" i="8"/>
  <c r="AD173" i="8" s="1"/>
  <c r="F171" i="8"/>
  <c r="AD171" i="8"/>
  <c r="R172" i="7"/>
  <c r="B151" i="7" s="1"/>
  <c r="S175" i="7"/>
  <c r="C154" i="7" s="1"/>
  <c r="D46" i="4"/>
  <c r="F46" i="4" s="1"/>
  <c r="H46" i="4" s="1"/>
  <c r="J46" i="4" s="1"/>
  <c r="L46" i="4" s="1"/>
  <c r="N46" i="4" s="1"/>
  <c r="P46" i="4" s="1"/>
  <c r="R46" i="4" s="1"/>
  <c r="T46" i="4" s="1"/>
  <c r="V46" i="4" s="1"/>
  <c r="X46" i="4" s="1"/>
  <c r="Z46" i="4" s="1"/>
  <c r="AB46" i="4" s="1"/>
  <c r="AD46" i="4" s="1"/>
  <c r="AF46" i="4" s="1"/>
  <c r="AH46" i="4" s="1"/>
  <c r="C49" i="11"/>
  <c r="D49" i="11"/>
  <c r="AK71" i="23"/>
  <c r="L86" i="23"/>
  <c r="AH71" i="23"/>
  <c r="AI73" i="23"/>
  <c r="M86" i="23"/>
  <c r="AE75" i="23"/>
  <c r="I86" i="23"/>
  <c r="D86" i="23"/>
  <c r="K86" i="23"/>
  <c r="AG71" i="23"/>
  <c r="N86" i="23"/>
  <c r="J86" i="23"/>
  <c r="AF71" i="23"/>
  <c r="AK73" i="23"/>
  <c r="AK84" i="23"/>
  <c r="AK81" i="23"/>
  <c r="AK77" i="23"/>
  <c r="E72" i="23"/>
  <c r="AA72" i="23" s="1"/>
  <c r="E80" i="23"/>
  <c r="AA80" i="23" s="1"/>
  <c r="F81" i="23"/>
  <c r="AB81" i="23" s="1"/>
  <c r="C76" i="23"/>
  <c r="Y76" i="23" s="1"/>
  <c r="C75" i="23"/>
  <c r="Y75" i="23" s="1"/>
  <c r="F82" i="23"/>
  <c r="AB82" i="23" s="1"/>
  <c r="C83" i="23"/>
  <c r="Y83" i="23" s="1"/>
  <c r="B73" i="23"/>
  <c r="F71" i="23"/>
  <c r="B74" i="23"/>
  <c r="F73" i="23"/>
  <c r="AB73" i="23" s="1"/>
  <c r="C84" i="23"/>
  <c r="Y84" i="23" s="1"/>
  <c r="E71" i="23"/>
  <c r="B82" i="23"/>
  <c r="B81" i="23"/>
  <c r="F74" i="23"/>
  <c r="AB74" i="23" s="1"/>
  <c r="E79" i="23"/>
  <c r="AA79" i="23" s="1"/>
  <c r="E78" i="23"/>
  <c r="AA78" i="23" s="1"/>
  <c r="B77" i="23"/>
  <c r="B85" i="23"/>
  <c r="B78" i="23"/>
  <c r="C77" i="23"/>
  <c r="Y77" i="23" s="1"/>
  <c r="B75" i="23"/>
  <c r="F84" i="23"/>
  <c r="AB84" i="23" s="1"/>
  <c r="B83" i="23"/>
  <c r="C74" i="23"/>
  <c r="Y74" i="23" s="1"/>
  <c r="P8" i="15"/>
  <c r="P8" i="14" s="1"/>
  <c r="H60" i="19" s="1"/>
  <c r="T16" i="22"/>
  <c r="M16" i="22"/>
  <c r="U16" i="22"/>
  <c r="N16" i="22"/>
  <c r="V16" i="22"/>
  <c r="O16" i="22"/>
  <c r="W16" i="22"/>
  <c r="P16" i="22"/>
  <c r="X16" i="22"/>
  <c r="Q16" i="22"/>
  <c r="Y16" i="22"/>
  <c r="R16" i="22"/>
  <c r="Z16" i="22"/>
  <c r="S16" i="22"/>
  <c r="AA16" i="22"/>
  <c r="B72" i="23"/>
  <c r="C71" i="23"/>
  <c r="B80" i="23"/>
  <c r="C79" i="23"/>
  <c r="Y79" i="23" s="1"/>
  <c r="M17" i="22"/>
  <c r="U17" i="22"/>
  <c r="N17" i="22"/>
  <c r="V17" i="22"/>
  <c r="O17" i="22"/>
  <c r="W17" i="22"/>
  <c r="P17" i="22"/>
  <c r="X17" i="22"/>
  <c r="Q17" i="22"/>
  <c r="Y17" i="22"/>
  <c r="R17" i="22"/>
  <c r="Z17" i="22"/>
  <c r="S17" i="22"/>
  <c r="AA17" i="22"/>
  <c r="T17" i="22"/>
  <c r="C7" i="15"/>
  <c r="C7" i="14" s="1"/>
  <c r="G47" i="19" s="1"/>
  <c r="H8" i="15"/>
  <c r="H8" i="14" s="1"/>
  <c r="H52" i="19" s="1"/>
  <c r="L8" i="15"/>
  <c r="L8" i="14" s="1"/>
  <c r="H56" i="19" s="1"/>
  <c r="N7" i="15"/>
  <c r="N7" i="14" s="1"/>
  <c r="G58" i="19" s="1"/>
  <c r="J7" i="15"/>
  <c r="J7" i="14" s="1"/>
  <c r="G54" i="19" s="1"/>
  <c r="C72" i="23"/>
  <c r="Y72" i="23" s="1"/>
  <c r="C80" i="23"/>
  <c r="Y80" i="23" s="1"/>
  <c r="C73" i="23"/>
  <c r="Y73" i="23" s="1"/>
  <c r="C81" i="23"/>
  <c r="Y81" i="23" s="1"/>
  <c r="B71" i="23"/>
  <c r="C85" i="23"/>
  <c r="B79" i="23"/>
  <c r="C78" i="23"/>
  <c r="Y78" i="23" s="1"/>
  <c r="O8" i="15"/>
  <c r="O8" i="14" s="1"/>
  <c r="H59" i="19" s="1"/>
  <c r="D8" i="15"/>
  <c r="D8" i="14" s="1"/>
  <c r="H48" i="19" s="1"/>
  <c r="F7" i="15"/>
  <c r="F7" i="14" s="1"/>
  <c r="G50" i="19" s="1"/>
  <c r="Q7" i="15"/>
  <c r="Q7" i="14" s="1"/>
  <c r="G61" i="19" s="1"/>
  <c r="G8" i="15"/>
  <c r="G8" i="14" s="1"/>
  <c r="H51" i="19" s="1"/>
  <c r="K8" i="15"/>
  <c r="K8" i="14" s="1"/>
  <c r="H55" i="19" s="1"/>
  <c r="M7" i="15"/>
  <c r="M7" i="14" s="1"/>
  <c r="G57" i="19" s="1"/>
  <c r="I7" i="15"/>
  <c r="I7" i="14" s="1"/>
  <c r="G53" i="19" s="1"/>
  <c r="E75" i="23"/>
  <c r="AA75" i="23" s="1"/>
  <c r="E83" i="23"/>
  <c r="AA83" i="23" s="1"/>
  <c r="F79" i="23"/>
  <c r="AB79" i="23" s="1"/>
  <c r="E76" i="23"/>
  <c r="AA76" i="23" s="1"/>
  <c r="F72" i="23"/>
  <c r="AB72" i="23" s="1"/>
  <c r="E84" i="23"/>
  <c r="AA84" i="23" s="1"/>
  <c r="E77" i="23"/>
  <c r="AA77" i="23" s="1"/>
  <c r="E85" i="23"/>
  <c r="N8" i="15"/>
  <c r="N8" i="14" s="1"/>
  <c r="H58" i="19" s="1"/>
  <c r="C8" i="15"/>
  <c r="C8" i="14" s="1"/>
  <c r="H47" i="19" s="1"/>
  <c r="F85" i="23"/>
  <c r="E82" i="23"/>
  <c r="AA82" i="23" s="1"/>
  <c r="F78" i="23"/>
  <c r="AB78" i="23" s="1"/>
  <c r="B84" i="23"/>
  <c r="E7" i="15"/>
  <c r="E7" i="14" s="1"/>
  <c r="G49" i="19" s="1"/>
  <c r="P7" i="15"/>
  <c r="P7" i="14" s="1"/>
  <c r="G60" i="19" s="1"/>
  <c r="F8" i="15"/>
  <c r="F8" i="14" s="1"/>
  <c r="H50" i="19" s="1"/>
  <c r="J8" i="15"/>
  <c r="J8" i="14" s="1"/>
  <c r="H54" i="19" s="1"/>
  <c r="L7" i="15"/>
  <c r="L7" i="14" s="1"/>
  <c r="G56" i="19" s="1"/>
  <c r="H7" i="15"/>
  <c r="H7" i="14" s="1"/>
  <c r="G52" i="19" s="1"/>
  <c r="F75" i="23"/>
  <c r="AB75" i="23" s="1"/>
  <c r="F83" i="23"/>
  <c r="AB83" i="23" s="1"/>
  <c r="F76" i="23"/>
  <c r="AB76" i="23" s="1"/>
  <c r="E73" i="23"/>
  <c r="AA73" i="23" s="1"/>
  <c r="F80" i="23"/>
  <c r="AB80" i="23" s="1"/>
  <c r="E81" i="23"/>
  <c r="AA81" i="23" s="1"/>
  <c r="F77" i="23"/>
  <c r="AB77" i="23" s="1"/>
  <c r="E74" i="23"/>
  <c r="AA74" i="23" s="1"/>
  <c r="M8" i="15"/>
  <c r="M8" i="14" s="1"/>
  <c r="H57" i="19" s="1"/>
  <c r="Q8" i="15"/>
  <c r="Q8" i="14" s="1"/>
  <c r="H61" i="19" s="1"/>
  <c r="C82" i="23"/>
  <c r="Y82" i="23" s="1"/>
  <c r="B76" i="23"/>
  <c r="O7" i="15"/>
  <c r="O7" i="14" s="1"/>
  <c r="G59" i="19" s="1"/>
  <c r="D7" i="15"/>
  <c r="D7" i="14" s="1"/>
  <c r="G48" i="19" s="1"/>
  <c r="E8" i="15"/>
  <c r="E8" i="14" s="1"/>
  <c r="H49" i="19" s="1"/>
  <c r="I8" i="15"/>
  <c r="I8" i="14" s="1"/>
  <c r="H53" i="19" s="1"/>
  <c r="G7" i="15"/>
  <c r="G7" i="14" s="1"/>
  <c r="G51" i="19" s="1"/>
  <c r="K7" i="15"/>
  <c r="K7" i="14" s="1"/>
  <c r="G55" i="19" s="1"/>
  <c r="B2" i="10" l="1"/>
  <c r="E49" i="11"/>
  <c r="G49" i="11" s="1"/>
  <c r="I49" i="11" s="1"/>
  <c r="K49" i="11" s="1"/>
  <c r="M49" i="11" s="1"/>
  <c r="O49" i="11" s="1"/>
  <c r="Q49" i="11" s="1"/>
  <c r="S49" i="11" s="1"/>
  <c r="U49" i="11" s="1"/>
  <c r="W49" i="11" s="1"/>
  <c r="Y49" i="11" s="1"/>
  <c r="AA49" i="11" s="1"/>
  <c r="AC49" i="11" s="1"/>
  <c r="AE49" i="11" s="1"/>
  <c r="AG49" i="11" s="1"/>
  <c r="D92" i="4"/>
  <c r="F92" i="4" s="1"/>
  <c r="H92" i="4" s="1"/>
  <c r="J92" i="4" s="1"/>
  <c r="L92" i="4" s="1"/>
  <c r="N92" i="4" s="1"/>
  <c r="P92" i="4" s="1"/>
  <c r="R92" i="4" s="1"/>
  <c r="T92" i="4" s="1"/>
  <c r="V92" i="4" s="1"/>
  <c r="X92" i="4" s="1"/>
  <c r="Z92" i="4" s="1"/>
  <c r="AB92" i="4" s="1"/>
  <c r="AD92" i="4" s="1"/>
  <c r="AF92" i="4" s="1"/>
  <c r="AH92" i="4" s="1"/>
  <c r="B92" i="11"/>
  <c r="M1" i="11"/>
  <c r="O1" i="4"/>
  <c r="G172" i="8"/>
  <c r="AE172" i="8"/>
  <c r="F41" i="11"/>
  <c r="H41" i="11" s="1"/>
  <c r="J41" i="11" s="1"/>
  <c r="L41" i="11" s="1"/>
  <c r="N41" i="11" s="1"/>
  <c r="P41" i="11" s="1"/>
  <c r="R41" i="11" s="1"/>
  <c r="T41" i="11" s="1"/>
  <c r="V41" i="11" s="1"/>
  <c r="X41" i="11" s="1"/>
  <c r="Z41" i="11" s="1"/>
  <c r="AB41" i="11" s="1"/>
  <c r="AD41" i="11" s="1"/>
  <c r="AF41" i="11" s="1"/>
  <c r="AH41" i="11" s="1"/>
  <c r="D51" i="11"/>
  <c r="F51" i="11" s="1"/>
  <c r="H51" i="11" s="1"/>
  <c r="J51" i="11" s="1"/>
  <c r="L51" i="11" s="1"/>
  <c r="N51" i="11" s="1"/>
  <c r="P51" i="11" s="1"/>
  <c r="R51" i="11" s="1"/>
  <c r="T51" i="11" s="1"/>
  <c r="V51" i="11" s="1"/>
  <c r="X51" i="11" s="1"/>
  <c r="Z51" i="11" s="1"/>
  <c r="AB51" i="11" s="1"/>
  <c r="AD51" i="11" s="1"/>
  <c r="AF51" i="11" s="1"/>
  <c r="AH51" i="11" s="1"/>
  <c r="C51" i="11"/>
  <c r="H16" i="10"/>
  <c r="A86" i="11"/>
  <c r="A100" i="4"/>
  <c r="D86" i="4"/>
  <c r="F86" i="4" s="1"/>
  <c r="H86" i="4" s="1"/>
  <c r="J86" i="4" s="1"/>
  <c r="L86" i="4" s="1"/>
  <c r="N86" i="4" s="1"/>
  <c r="P86" i="4" s="1"/>
  <c r="R86" i="4" s="1"/>
  <c r="T86" i="4" s="1"/>
  <c r="V86" i="4" s="1"/>
  <c r="X86" i="4" s="1"/>
  <c r="Z86" i="4" s="1"/>
  <c r="AB86" i="4" s="1"/>
  <c r="AD86" i="4" s="1"/>
  <c r="AF86" i="4" s="1"/>
  <c r="AH86" i="4" s="1"/>
  <c r="C86" i="4"/>
  <c r="E86" i="4" s="1"/>
  <c r="G86" i="4" s="1"/>
  <c r="I86" i="4" s="1"/>
  <c r="K86" i="4" s="1"/>
  <c r="M86" i="4" s="1"/>
  <c r="O86" i="4" s="1"/>
  <c r="Q86" i="4" s="1"/>
  <c r="S86" i="4" s="1"/>
  <c r="U86" i="4" s="1"/>
  <c r="W86" i="4" s="1"/>
  <c r="Y86" i="4" s="1"/>
  <c r="AA86" i="4" s="1"/>
  <c r="AC86" i="4" s="1"/>
  <c r="AE86" i="4" s="1"/>
  <c r="AG86" i="4" s="1"/>
  <c r="G167" i="8"/>
  <c r="AE167" i="8"/>
  <c r="A91" i="4"/>
  <c r="A91" i="11" s="1"/>
  <c r="A77" i="11"/>
  <c r="G168" i="8"/>
  <c r="AE168" i="8"/>
  <c r="C90" i="4"/>
  <c r="E90" i="4" s="1"/>
  <c r="G90" i="4" s="1"/>
  <c r="I90" i="4" s="1"/>
  <c r="K90" i="4" s="1"/>
  <c r="M90" i="4" s="1"/>
  <c r="O90" i="4" s="1"/>
  <c r="Q90" i="4" s="1"/>
  <c r="S90" i="4" s="1"/>
  <c r="U90" i="4" s="1"/>
  <c r="W90" i="4" s="1"/>
  <c r="Y90" i="4" s="1"/>
  <c r="AA90" i="4" s="1"/>
  <c r="AC90" i="4" s="1"/>
  <c r="AE90" i="4" s="1"/>
  <c r="AG90" i="4" s="1"/>
  <c r="B90" i="11"/>
  <c r="H8" i="10"/>
  <c r="B98" i="11"/>
  <c r="M2" i="11"/>
  <c r="O2" i="4"/>
  <c r="A92" i="4"/>
  <c r="A92" i="11" s="1"/>
  <c r="A78" i="11"/>
  <c r="D78" i="11" s="1"/>
  <c r="F78" i="11" s="1"/>
  <c r="H78" i="11" s="1"/>
  <c r="J78" i="11" s="1"/>
  <c r="L78" i="11" s="1"/>
  <c r="N78" i="11" s="1"/>
  <c r="P78" i="11" s="1"/>
  <c r="R78" i="11" s="1"/>
  <c r="T78" i="11" s="1"/>
  <c r="V78" i="11" s="1"/>
  <c r="X78" i="11" s="1"/>
  <c r="Z78" i="11" s="1"/>
  <c r="AB78" i="11" s="1"/>
  <c r="AD78" i="11" s="1"/>
  <c r="AF78" i="11" s="1"/>
  <c r="AH78" i="11" s="1"/>
  <c r="B74" i="11"/>
  <c r="B88" i="4"/>
  <c r="C74" i="4"/>
  <c r="E74" i="4" s="1"/>
  <c r="G74" i="4" s="1"/>
  <c r="I74" i="4" s="1"/>
  <c r="K74" i="4" s="1"/>
  <c r="M74" i="4" s="1"/>
  <c r="O74" i="4" s="1"/>
  <c r="Q74" i="4" s="1"/>
  <c r="S74" i="4" s="1"/>
  <c r="U74" i="4" s="1"/>
  <c r="W74" i="4" s="1"/>
  <c r="Y74" i="4" s="1"/>
  <c r="AA74" i="4" s="1"/>
  <c r="AC74" i="4" s="1"/>
  <c r="AE74" i="4" s="1"/>
  <c r="AG74" i="4" s="1"/>
  <c r="G165" i="8"/>
  <c r="AE165" i="8"/>
  <c r="D63" i="11"/>
  <c r="F63" i="11" s="1"/>
  <c r="H63" i="11" s="1"/>
  <c r="J63" i="11" s="1"/>
  <c r="L63" i="11" s="1"/>
  <c r="N63" i="11" s="1"/>
  <c r="P63" i="11" s="1"/>
  <c r="R63" i="11" s="1"/>
  <c r="T63" i="11" s="1"/>
  <c r="V63" i="11" s="1"/>
  <c r="X63" i="11" s="1"/>
  <c r="Z63" i="11" s="1"/>
  <c r="AB63" i="11" s="1"/>
  <c r="AD63" i="11" s="1"/>
  <c r="AF63" i="11" s="1"/>
  <c r="AH63" i="11" s="1"/>
  <c r="C63" i="11"/>
  <c r="E63" i="11" s="1"/>
  <c r="G63" i="11" s="1"/>
  <c r="I63" i="11" s="1"/>
  <c r="K63" i="11" s="1"/>
  <c r="M63" i="11" s="1"/>
  <c r="O63" i="11" s="1"/>
  <c r="Q63" i="11" s="1"/>
  <c r="S63" i="11" s="1"/>
  <c r="U63" i="11" s="1"/>
  <c r="W63" i="11" s="1"/>
  <c r="Y63" i="11" s="1"/>
  <c r="AA63" i="11" s="1"/>
  <c r="AC63" i="11" s="1"/>
  <c r="AE63" i="11" s="1"/>
  <c r="AG63" i="11" s="1"/>
  <c r="D46" i="11"/>
  <c r="F46" i="11" s="1"/>
  <c r="H46" i="11" s="1"/>
  <c r="J46" i="11" s="1"/>
  <c r="L46" i="11" s="1"/>
  <c r="N46" i="11" s="1"/>
  <c r="P46" i="11" s="1"/>
  <c r="R46" i="11" s="1"/>
  <c r="T46" i="11" s="1"/>
  <c r="V46" i="11" s="1"/>
  <c r="X46" i="11" s="1"/>
  <c r="Z46" i="11" s="1"/>
  <c r="AB46" i="11" s="1"/>
  <c r="AD46" i="11" s="1"/>
  <c r="AF46" i="11" s="1"/>
  <c r="AH46" i="11" s="1"/>
  <c r="G171" i="8"/>
  <c r="AE171" i="8"/>
  <c r="D57" i="11"/>
  <c r="C72" i="11"/>
  <c r="E72" i="11" s="1"/>
  <c r="G72" i="11" s="1"/>
  <c r="I72" i="11" s="1"/>
  <c r="K72" i="11" s="1"/>
  <c r="M72" i="11" s="1"/>
  <c r="O72" i="11" s="1"/>
  <c r="Q72" i="11" s="1"/>
  <c r="S72" i="11" s="1"/>
  <c r="U72" i="11" s="1"/>
  <c r="W72" i="11" s="1"/>
  <c r="Y72" i="11" s="1"/>
  <c r="AA72" i="11" s="1"/>
  <c r="AC72" i="11" s="1"/>
  <c r="AE72" i="11" s="1"/>
  <c r="AG72" i="11" s="1"/>
  <c r="D72" i="11"/>
  <c r="F72" i="11" s="1"/>
  <c r="H72" i="11" s="1"/>
  <c r="J72" i="11" s="1"/>
  <c r="L72" i="11" s="1"/>
  <c r="N72" i="11" s="1"/>
  <c r="P72" i="11" s="1"/>
  <c r="R72" i="11" s="1"/>
  <c r="T72" i="11" s="1"/>
  <c r="V72" i="11" s="1"/>
  <c r="X72" i="11" s="1"/>
  <c r="Z72" i="11" s="1"/>
  <c r="AB72" i="11" s="1"/>
  <c r="AD72" i="11" s="1"/>
  <c r="AF72" i="11" s="1"/>
  <c r="AH72" i="11" s="1"/>
  <c r="B95" i="4"/>
  <c r="B81" i="11"/>
  <c r="A71" i="11"/>
  <c r="A85" i="4"/>
  <c r="A83" i="4"/>
  <c r="A69" i="11"/>
  <c r="C69" i="4"/>
  <c r="E69" i="4" s="1"/>
  <c r="G69" i="4" s="1"/>
  <c r="I69" i="4" s="1"/>
  <c r="K69" i="4" s="1"/>
  <c r="M69" i="4" s="1"/>
  <c r="O69" i="4" s="1"/>
  <c r="Q69" i="4" s="1"/>
  <c r="S69" i="4" s="1"/>
  <c r="U69" i="4" s="1"/>
  <c r="W69" i="4" s="1"/>
  <c r="Y69" i="4" s="1"/>
  <c r="AA69" i="4" s="1"/>
  <c r="AC69" i="4" s="1"/>
  <c r="AE69" i="4" s="1"/>
  <c r="AG69" i="4" s="1"/>
  <c r="D69" i="4"/>
  <c r="F69" i="4" s="1"/>
  <c r="H69" i="4" s="1"/>
  <c r="J69" i="4" s="1"/>
  <c r="L69" i="4" s="1"/>
  <c r="N69" i="4" s="1"/>
  <c r="P69" i="4" s="1"/>
  <c r="R69" i="4" s="1"/>
  <c r="T69" i="4" s="1"/>
  <c r="V69" i="4" s="1"/>
  <c r="X69" i="4" s="1"/>
  <c r="Z69" i="4" s="1"/>
  <c r="AB69" i="4" s="1"/>
  <c r="AD69" i="4" s="1"/>
  <c r="AF69" i="4" s="1"/>
  <c r="AH69" i="4" s="1"/>
  <c r="G169" i="8"/>
  <c r="AE169" i="8"/>
  <c r="G170" i="8"/>
  <c r="AE170" i="8"/>
  <c r="B97" i="11"/>
  <c r="F32" i="10" a="1"/>
  <c r="F32" i="10" s="1"/>
  <c r="R32" i="10" a="1"/>
  <c r="R32" i="10" s="1"/>
  <c r="P8" i="10" s="1"/>
  <c r="N32" i="10" a="1"/>
  <c r="N32" i="10" s="1"/>
  <c r="J32" i="10" a="1"/>
  <c r="J32" i="10" s="1"/>
  <c r="H5" i="10" s="1"/>
  <c r="M32" i="10" a="1"/>
  <c r="M32" i="10" s="1"/>
  <c r="K6" i="10" s="1"/>
  <c r="O32" i="10" a="1"/>
  <c r="O32" i="10" s="1"/>
  <c r="G32" i="10" a="1"/>
  <c r="G32" i="10" s="1"/>
  <c r="E14" i="10" s="1"/>
  <c r="Q32" i="10" a="1"/>
  <c r="Q32" i="10" s="1"/>
  <c r="O5" i="10" s="1"/>
  <c r="H32" i="10" a="1"/>
  <c r="H32" i="10" s="1"/>
  <c r="I32" i="10" a="1"/>
  <c r="I32" i="10" s="1"/>
  <c r="L32" i="10" a="1"/>
  <c r="L32" i="10" s="1"/>
  <c r="J12" i="10" s="1"/>
  <c r="K32" i="10" a="1"/>
  <c r="K32" i="10" s="1"/>
  <c r="P32" i="10" a="1"/>
  <c r="P32" i="10" s="1"/>
  <c r="D32" i="10" a="1"/>
  <c r="D32" i="10" s="1"/>
  <c r="E32" i="10" a="1"/>
  <c r="E32" i="10" s="1"/>
  <c r="C8" i="10" s="1"/>
  <c r="O3" i="10"/>
  <c r="O16" i="10"/>
  <c r="O4" i="10"/>
  <c r="O6" i="10"/>
  <c r="O7" i="10"/>
  <c r="O2" i="10"/>
  <c r="O8" i="10"/>
  <c r="O11" i="10"/>
  <c r="O15" i="10"/>
  <c r="O9" i="10"/>
  <c r="O13" i="10"/>
  <c r="O12" i="10"/>
  <c r="H4" i="10"/>
  <c r="D16" i="10"/>
  <c r="D15" i="10"/>
  <c r="D55" i="11"/>
  <c r="F55" i="11" s="1"/>
  <c r="H55" i="11" s="1"/>
  <c r="J55" i="11" s="1"/>
  <c r="L55" i="11" s="1"/>
  <c r="N55" i="11" s="1"/>
  <c r="P55" i="11" s="1"/>
  <c r="R55" i="11" s="1"/>
  <c r="T55" i="11" s="1"/>
  <c r="V55" i="11" s="1"/>
  <c r="X55" i="11" s="1"/>
  <c r="Z55" i="11" s="1"/>
  <c r="AB55" i="11" s="1"/>
  <c r="AD55" i="11" s="1"/>
  <c r="AF55" i="11" s="1"/>
  <c r="AH55" i="11" s="1"/>
  <c r="C55" i="11"/>
  <c r="E55" i="11" s="1"/>
  <c r="G55" i="11" s="1"/>
  <c r="I55" i="11" s="1"/>
  <c r="K55" i="11" s="1"/>
  <c r="M55" i="11" s="1"/>
  <c r="O55" i="11" s="1"/>
  <c r="Q55" i="11" s="1"/>
  <c r="S55" i="11" s="1"/>
  <c r="U55" i="11" s="1"/>
  <c r="W55" i="11" s="1"/>
  <c r="Y55" i="11" s="1"/>
  <c r="AA55" i="11" s="1"/>
  <c r="AC55" i="11" s="1"/>
  <c r="AE55" i="11" s="1"/>
  <c r="AG55" i="11" s="1"/>
  <c r="E56" i="11"/>
  <c r="G56" i="11" s="1"/>
  <c r="I56" i="11" s="1"/>
  <c r="K56" i="11" s="1"/>
  <c r="M56" i="11" s="1"/>
  <c r="O56" i="11" s="1"/>
  <c r="Q56" i="11" s="1"/>
  <c r="S56" i="11" s="1"/>
  <c r="U56" i="11" s="1"/>
  <c r="W56" i="11" s="1"/>
  <c r="Y56" i="11" s="1"/>
  <c r="AA56" i="11" s="1"/>
  <c r="AC56" i="11" s="1"/>
  <c r="AE56" i="11" s="1"/>
  <c r="AG56" i="11" s="1"/>
  <c r="A84" i="11"/>
  <c r="D84" i="11" s="1"/>
  <c r="F84" i="11" s="1"/>
  <c r="H84" i="11" s="1"/>
  <c r="J84" i="11" s="1"/>
  <c r="L84" i="11" s="1"/>
  <c r="N84" i="11" s="1"/>
  <c r="P84" i="11" s="1"/>
  <c r="R84" i="11" s="1"/>
  <c r="T84" i="11" s="1"/>
  <c r="V84" i="11" s="1"/>
  <c r="X84" i="11" s="1"/>
  <c r="Z84" i="11" s="1"/>
  <c r="AB84" i="11" s="1"/>
  <c r="AD84" i="11" s="1"/>
  <c r="AF84" i="11" s="1"/>
  <c r="AH84" i="11" s="1"/>
  <c r="A98" i="4"/>
  <c r="A98" i="11" s="1"/>
  <c r="F49" i="11"/>
  <c r="H49" i="11" s="1"/>
  <c r="J49" i="11" s="1"/>
  <c r="L49" i="11" s="1"/>
  <c r="N49" i="11" s="1"/>
  <c r="P49" i="11" s="1"/>
  <c r="R49" i="11" s="1"/>
  <c r="T49" i="11" s="1"/>
  <c r="V49" i="11" s="1"/>
  <c r="X49" i="11" s="1"/>
  <c r="Z49" i="11" s="1"/>
  <c r="AB49" i="11" s="1"/>
  <c r="AD49" i="11" s="1"/>
  <c r="AF49" i="11" s="1"/>
  <c r="AH49" i="11" s="1"/>
  <c r="B89" i="11"/>
  <c r="H10" i="10"/>
  <c r="B14" i="10"/>
  <c r="D77" i="4"/>
  <c r="F77" i="4" s="1"/>
  <c r="H77" i="4" s="1"/>
  <c r="J77" i="4" s="1"/>
  <c r="L77" i="4" s="1"/>
  <c r="N77" i="4" s="1"/>
  <c r="P77" i="4" s="1"/>
  <c r="R77" i="4" s="1"/>
  <c r="T77" i="4" s="1"/>
  <c r="V77" i="4" s="1"/>
  <c r="X77" i="4" s="1"/>
  <c r="Z77" i="4" s="1"/>
  <c r="AB77" i="4" s="1"/>
  <c r="AD77" i="4" s="1"/>
  <c r="AF77" i="4" s="1"/>
  <c r="AH77" i="4" s="1"/>
  <c r="C77" i="4"/>
  <c r="E77" i="4" s="1"/>
  <c r="G77" i="4" s="1"/>
  <c r="I77" i="4" s="1"/>
  <c r="K77" i="4" s="1"/>
  <c r="M77" i="4" s="1"/>
  <c r="O77" i="4" s="1"/>
  <c r="Q77" i="4" s="1"/>
  <c r="S77" i="4" s="1"/>
  <c r="U77" i="4" s="1"/>
  <c r="W77" i="4" s="1"/>
  <c r="Y77" i="4" s="1"/>
  <c r="AA77" i="4" s="1"/>
  <c r="AC77" i="4" s="1"/>
  <c r="AE77" i="4" s="1"/>
  <c r="AG77" i="4" s="1"/>
  <c r="B77" i="11"/>
  <c r="B91" i="4"/>
  <c r="K8" i="10"/>
  <c r="K16" i="10"/>
  <c r="N13" i="10"/>
  <c r="C52" i="11"/>
  <c r="E52" i="11" s="1"/>
  <c r="G52" i="11" s="1"/>
  <c r="I52" i="11" s="1"/>
  <c r="K52" i="11" s="1"/>
  <c r="M52" i="11" s="1"/>
  <c r="O52" i="11" s="1"/>
  <c r="Q52" i="11" s="1"/>
  <c r="S52" i="11" s="1"/>
  <c r="U52" i="11" s="1"/>
  <c r="W52" i="11" s="1"/>
  <c r="Y52" i="11" s="1"/>
  <c r="AA52" i="11" s="1"/>
  <c r="AC52" i="11" s="1"/>
  <c r="AE52" i="11" s="1"/>
  <c r="AG52" i="11" s="1"/>
  <c r="D52" i="11"/>
  <c r="A76" i="11"/>
  <c r="A90" i="4"/>
  <c r="A90" i="11" s="1"/>
  <c r="B94" i="4"/>
  <c r="B80" i="11"/>
  <c r="C80" i="4"/>
  <c r="E80" i="4" s="1"/>
  <c r="G80" i="4" s="1"/>
  <c r="I80" i="4" s="1"/>
  <c r="K80" i="4" s="1"/>
  <c r="M80" i="4" s="1"/>
  <c r="O80" i="4" s="1"/>
  <c r="Q80" i="4" s="1"/>
  <c r="S80" i="4" s="1"/>
  <c r="U80" i="4" s="1"/>
  <c r="W80" i="4" s="1"/>
  <c r="Y80" i="4" s="1"/>
  <c r="AA80" i="4" s="1"/>
  <c r="AC80" i="4" s="1"/>
  <c r="AE80" i="4" s="1"/>
  <c r="AG80" i="4" s="1"/>
  <c r="F4" i="10"/>
  <c r="F16" i="10"/>
  <c r="F15" i="10"/>
  <c r="F13" i="10"/>
  <c r="E13" i="10"/>
  <c r="G162" i="8"/>
  <c r="AE162" i="8"/>
  <c r="G163" i="8"/>
  <c r="AE163" i="8"/>
  <c r="D4" i="10"/>
  <c r="A60" i="11"/>
  <c r="A74" i="4"/>
  <c r="D74" i="4" s="1"/>
  <c r="F74" i="4" s="1"/>
  <c r="H74" i="4" s="1"/>
  <c r="J74" i="4" s="1"/>
  <c r="L74" i="4" s="1"/>
  <c r="N74" i="4" s="1"/>
  <c r="P74" i="4" s="1"/>
  <c r="R74" i="4" s="1"/>
  <c r="T74" i="4" s="1"/>
  <c r="V74" i="4" s="1"/>
  <c r="X74" i="4" s="1"/>
  <c r="Z74" i="4" s="1"/>
  <c r="AB74" i="4" s="1"/>
  <c r="AD74" i="4" s="1"/>
  <c r="AF74" i="4" s="1"/>
  <c r="AH74" i="4" s="1"/>
  <c r="E58" i="11"/>
  <c r="G58" i="11" s="1"/>
  <c r="I58" i="11" s="1"/>
  <c r="K58" i="11" s="1"/>
  <c r="M58" i="11" s="1"/>
  <c r="O58" i="11" s="1"/>
  <c r="Q58" i="11" s="1"/>
  <c r="S58" i="11" s="1"/>
  <c r="U58" i="11" s="1"/>
  <c r="W58" i="11" s="1"/>
  <c r="Y58" i="11" s="1"/>
  <c r="AA58" i="11" s="1"/>
  <c r="AC58" i="11" s="1"/>
  <c r="AE58" i="11" s="1"/>
  <c r="AG58" i="11" s="1"/>
  <c r="E11" i="10"/>
  <c r="D73" i="4"/>
  <c r="F73" i="4" s="1"/>
  <c r="H73" i="4" s="1"/>
  <c r="J73" i="4" s="1"/>
  <c r="L73" i="4" s="1"/>
  <c r="N73" i="4" s="1"/>
  <c r="P73" i="4" s="1"/>
  <c r="R73" i="4" s="1"/>
  <c r="T73" i="4" s="1"/>
  <c r="V73" i="4" s="1"/>
  <c r="X73" i="4" s="1"/>
  <c r="Z73" i="4" s="1"/>
  <c r="AB73" i="4" s="1"/>
  <c r="AD73" i="4" s="1"/>
  <c r="AF73" i="4" s="1"/>
  <c r="AH73" i="4" s="1"/>
  <c r="C73" i="4"/>
  <c r="E73" i="4" s="1"/>
  <c r="G73" i="4" s="1"/>
  <c r="I73" i="4" s="1"/>
  <c r="K73" i="4" s="1"/>
  <c r="M73" i="4" s="1"/>
  <c r="O73" i="4" s="1"/>
  <c r="Q73" i="4" s="1"/>
  <c r="S73" i="4" s="1"/>
  <c r="U73" i="4" s="1"/>
  <c r="W73" i="4" s="1"/>
  <c r="Y73" i="4" s="1"/>
  <c r="AA73" i="4" s="1"/>
  <c r="AC73" i="4" s="1"/>
  <c r="AE73" i="4" s="1"/>
  <c r="AG73" i="4" s="1"/>
  <c r="B87" i="4"/>
  <c r="B73" i="11"/>
  <c r="H3" i="10"/>
  <c r="A68" i="11"/>
  <c r="A82" i="4"/>
  <c r="D68" i="4"/>
  <c r="F68" i="4" s="1"/>
  <c r="H68" i="4" s="1"/>
  <c r="J68" i="4" s="1"/>
  <c r="L68" i="4" s="1"/>
  <c r="N68" i="4" s="1"/>
  <c r="P68" i="4" s="1"/>
  <c r="R68" i="4" s="1"/>
  <c r="T68" i="4" s="1"/>
  <c r="V68" i="4" s="1"/>
  <c r="X68" i="4" s="1"/>
  <c r="Z68" i="4" s="1"/>
  <c r="AB68" i="4" s="1"/>
  <c r="AD68" i="4" s="1"/>
  <c r="AF68" i="4" s="1"/>
  <c r="AH68" i="4" s="1"/>
  <c r="C68" i="4"/>
  <c r="E68" i="4" s="1"/>
  <c r="G68" i="4" s="1"/>
  <c r="I68" i="4" s="1"/>
  <c r="K68" i="4" s="1"/>
  <c r="M68" i="4" s="1"/>
  <c r="O68" i="4" s="1"/>
  <c r="Q68" i="4" s="1"/>
  <c r="S68" i="4" s="1"/>
  <c r="U68" i="4" s="1"/>
  <c r="W68" i="4" s="1"/>
  <c r="Y68" i="4" s="1"/>
  <c r="AA68" i="4" s="1"/>
  <c r="AC68" i="4" s="1"/>
  <c r="AE68" i="4" s="1"/>
  <c r="AG68" i="4" s="1"/>
  <c r="D78" i="4"/>
  <c r="F78" i="4" s="1"/>
  <c r="H78" i="4" s="1"/>
  <c r="J78" i="4" s="1"/>
  <c r="L78" i="4" s="1"/>
  <c r="N78" i="4" s="1"/>
  <c r="P78" i="4" s="1"/>
  <c r="R78" i="4" s="1"/>
  <c r="T78" i="4" s="1"/>
  <c r="V78" i="4" s="1"/>
  <c r="X78" i="4" s="1"/>
  <c r="Z78" i="4" s="1"/>
  <c r="AB78" i="4" s="1"/>
  <c r="AD78" i="4" s="1"/>
  <c r="AF78" i="4" s="1"/>
  <c r="AH78" i="4" s="1"/>
  <c r="F45" i="11"/>
  <c r="H45" i="11" s="1"/>
  <c r="J45" i="11" s="1"/>
  <c r="L45" i="11" s="1"/>
  <c r="N45" i="11" s="1"/>
  <c r="P45" i="11" s="1"/>
  <c r="R45" i="11" s="1"/>
  <c r="T45" i="11" s="1"/>
  <c r="V45" i="11" s="1"/>
  <c r="X45" i="11" s="1"/>
  <c r="Z45" i="11" s="1"/>
  <c r="AB45" i="11" s="1"/>
  <c r="AD45" i="11" s="1"/>
  <c r="AF45" i="11" s="1"/>
  <c r="AH45" i="11" s="1"/>
  <c r="D47" i="11"/>
  <c r="F47" i="11" s="1"/>
  <c r="H47" i="11" s="1"/>
  <c r="J47" i="11" s="1"/>
  <c r="L47" i="11" s="1"/>
  <c r="N47" i="11" s="1"/>
  <c r="P47" i="11" s="1"/>
  <c r="R47" i="11" s="1"/>
  <c r="T47" i="11" s="1"/>
  <c r="V47" i="11" s="1"/>
  <c r="X47" i="11" s="1"/>
  <c r="Z47" i="11" s="1"/>
  <c r="AB47" i="11" s="1"/>
  <c r="AD47" i="11" s="1"/>
  <c r="AF47" i="11" s="1"/>
  <c r="AH47" i="11" s="1"/>
  <c r="C47" i="11"/>
  <c r="K2" i="10"/>
  <c r="L15" i="10"/>
  <c r="L13" i="10"/>
  <c r="L16" i="10"/>
  <c r="L14" i="10"/>
  <c r="I9" i="10"/>
  <c r="I15" i="10"/>
  <c r="I4" i="10"/>
  <c r="I13" i="10"/>
  <c r="I12" i="10"/>
  <c r="I16" i="10"/>
  <c r="I7" i="10"/>
  <c r="I3" i="10"/>
  <c r="I11" i="10"/>
  <c r="D31" i="5" a="1"/>
  <c r="D31" i="5" s="1"/>
  <c r="E31" i="5" a="1"/>
  <c r="E31" i="5" s="1"/>
  <c r="F31" i="5" a="1"/>
  <c r="F31" i="5" s="1"/>
  <c r="K31" i="5" a="1"/>
  <c r="K31" i="5" s="1"/>
  <c r="N31" i="5" a="1"/>
  <c r="N31" i="5" s="1"/>
  <c r="G31" i="5" a="1"/>
  <c r="G31" i="5" s="1"/>
  <c r="I31" i="5" a="1"/>
  <c r="I31" i="5" s="1"/>
  <c r="Q31" i="5" a="1"/>
  <c r="Q31" i="5" s="1"/>
  <c r="L31" i="5" a="1"/>
  <c r="L31" i="5" s="1"/>
  <c r="O31" i="5" a="1"/>
  <c r="O31" i="5" s="1"/>
  <c r="M31" i="5" a="1"/>
  <c r="M31" i="5" s="1"/>
  <c r="H31" i="5" a="1"/>
  <c r="H31" i="5" s="1"/>
  <c r="P31" i="5" a="1"/>
  <c r="P31" i="5" s="1"/>
  <c r="J31" i="5" a="1"/>
  <c r="J31" i="5" s="1"/>
  <c r="R31" i="5" a="1"/>
  <c r="R31" i="5" s="1"/>
  <c r="C32" i="5"/>
  <c r="R2" i="11"/>
  <c r="T2" i="4"/>
  <c r="E37" i="11"/>
  <c r="G37" i="11" s="1"/>
  <c r="I37" i="11" s="1"/>
  <c r="K37" i="11" s="1"/>
  <c r="M37" i="11" s="1"/>
  <c r="O37" i="11" s="1"/>
  <c r="Q37" i="11" s="1"/>
  <c r="S37" i="11" s="1"/>
  <c r="U37" i="11" s="1"/>
  <c r="W37" i="11" s="1"/>
  <c r="Y37" i="11" s="1"/>
  <c r="AA37" i="11" s="1"/>
  <c r="AC37" i="11" s="1"/>
  <c r="AE37" i="11" s="1"/>
  <c r="AG37" i="11" s="1"/>
  <c r="B93" i="11"/>
  <c r="E45" i="11"/>
  <c r="G45" i="11" s="1"/>
  <c r="I45" i="11" s="1"/>
  <c r="K45" i="11" s="1"/>
  <c r="M45" i="11" s="1"/>
  <c r="O45" i="11" s="1"/>
  <c r="Q45" i="11" s="1"/>
  <c r="S45" i="11" s="1"/>
  <c r="U45" i="11" s="1"/>
  <c r="W45" i="11" s="1"/>
  <c r="Y45" i="11" s="1"/>
  <c r="AA45" i="11" s="1"/>
  <c r="AC45" i="11" s="1"/>
  <c r="AE45" i="11" s="1"/>
  <c r="AG45" i="11" s="1"/>
  <c r="D85" i="4"/>
  <c r="F85" i="4" s="1"/>
  <c r="H85" i="4" s="1"/>
  <c r="J85" i="4" s="1"/>
  <c r="L85" i="4" s="1"/>
  <c r="N85" i="4" s="1"/>
  <c r="P85" i="4" s="1"/>
  <c r="R85" i="4" s="1"/>
  <c r="T85" i="4" s="1"/>
  <c r="V85" i="4" s="1"/>
  <c r="X85" i="4" s="1"/>
  <c r="Z85" i="4" s="1"/>
  <c r="AB85" i="4" s="1"/>
  <c r="AD85" i="4" s="1"/>
  <c r="AF85" i="4" s="1"/>
  <c r="AH85" i="4" s="1"/>
  <c r="B99" i="4"/>
  <c r="C85" i="4"/>
  <c r="E85" i="4" s="1"/>
  <c r="G85" i="4" s="1"/>
  <c r="I85" i="4" s="1"/>
  <c r="K85" i="4" s="1"/>
  <c r="M85" i="4" s="1"/>
  <c r="O85" i="4" s="1"/>
  <c r="Q85" i="4" s="1"/>
  <c r="S85" i="4" s="1"/>
  <c r="U85" i="4" s="1"/>
  <c r="W85" i="4" s="1"/>
  <c r="Y85" i="4" s="1"/>
  <c r="AA85" i="4" s="1"/>
  <c r="AC85" i="4" s="1"/>
  <c r="AE85" i="4" s="1"/>
  <c r="AG85" i="4" s="1"/>
  <c r="B85" i="11"/>
  <c r="P1" i="11"/>
  <c r="R1" i="4"/>
  <c r="C46" i="11"/>
  <c r="E46" i="11" s="1"/>
  <c r="G46" i="11" s="1"/>
  <c r="I46" i="11" s="1"/>
  <c r="K46" i="11" s="1"/>
  <c r="M46" i="11" s="1"/>
  <c r="O46" i="11" s="1"/>
  <c r="Q46" i="11" s="1"/>
  <c r="S46" i="11" s="1"/>
  <c r="U46" i="11" s="1"/>
  <c r="W46" i="11" s="1"/>
  <c r="Y46" i="11" s="1"/>
  <c r="AA46" i="11" s="1"/>
  <c r="AC46" i="11" s="1"/>
  <c r="AE46" i="11" s="1"/>
  <c r="AG46" i="11" s="1"/>
  <c r="E43" i="11"/>
  <c r="G43" i="11" s="1"/>
  <c r="I43" i="11" s="1"/>
  <c r="K43" i="11" s="1"/>
  <c r="M43" i="11" s="1"/>
  <c r="O43" i="11" s="1"/>
  <c r="Q43" i="11" s="1"/>
  <c r="S43" i="11" s="1"/>
  <c r="U43" i="11" s="1"/>
  <c r="W43" i="11" s="1"/>
  <c r="Y43" i="11" s="1"/>
  <c r="AA43" i="11" s="1"/>
  <c r="AC43" i="11" s="1"/>
  <c r="AE43" i="11" s="1"/>
  <c r="AG43" i="11" s="1"/>
  <c r="D76" i="11"/>
  <c r="F76" i="11" s="1"/>
  <c r="H76" i="11" s="1"/>
  <c r="J76" i="11" s="1"/>
  <c r="L76" i="11" s="1"/>
  <c r="N76" i="11" s="1"/>
  <c r="P76" i="11" s="1"/>
  <c r="R76" i="11" s="1"/>
  <c r="T76" i="11" s="1"/>
  <c r="V76" i="11" s="1"/>
  <c r="X76" i="11" s="1"/>
  <c r="Z76" i="11" s="1"/>
  <c r="AB76" i="11" s="1"/>
  <c r="AD76" i="11" s="1"/>
  <c r="AF76" i="11" s="1"/>
  <c r="AH76" i="11" s="1"/>
  <c r="G166" i="8"/>
  <c r="AE166" i="8"/>
  <c r="G164" i="8"/>
  <c r="AE164" i="8"/>
  <c r="A80" i="4"/>
  <c r="A66" i="11"/>
  <c r="E12" i="10"/>
  <c r="D59" i="11"/>
  <c r="F59" i="11" s="1"/>
  <c r="H59" i="11" s="1"/>
  <c r="J59" i="11" s="1"/>
  <c r="L59" i="11" s="1"/>
  <c r="N59" i="11" s="1"/>
  <c r="P59" i="11" s="1"/>
  <c r="R59" i="11" s="1"/>
  <c r="T59" i="11" s="1"/>
  <c r="V59" i="11" s="1"/>
  <c r="X59" i="11" s="1"/>
  <c r="Z59" i="11" s="1"/>
  <c r="AB59" i="11" s="1"/>
  <c r="AD59" i="11" s="1"/>
  <c r="AF59" i="11" s="1"/>
  <c r="AH59" i="11" s="1"/>
  <c r="C59" i="11"/>
  <c r="E59" i="11" s="1"/>
  <c r="G59" i="11" s="1"/>
  <c r="I59" i="11" s="1"/>
  <c r="K59" i="11" s="1"/>
  <c r="M59" i="11" s="1"/>
  <c r="O59" i="11" s="1"/>
  <c r="Q59" i="11" s="1"/>
  <c r="S59" i="11" s="1"/>
  <c r="U59" i="11" s="1"/>
  <c r="W59" i="11" s="1"/>
  <c r="Y59" i="11" s="1"/>
  <c r="AA59" i="11" s="1"/>
  <c r="AC59" i="11" s="1"/>
  <c r="AE59" i="11" s="1"/>
  <c r="AG59" i="11" s="1"/>
  <c r="D54" i="11"/>
  <c r="F54" i="11" s="1"/>
  <c r="H54" i="11" s="1"/>
  <c r="J54" i="11" s="1"/>
  <c r="L54" i="11" s="1"/>
  <c r="N54" i="11" s="1"/>
  <c r="P54" i="11" s="1"/>
  <c r="R54" i="11" s="1"/>
  <c r="T54" i="11" s="1"/>
  <c r="V54" i="11" s="1"/>
  <c r="X54" i="11" s="1"/>
  <c r="Z54" i="11" s="1"/>
  <c r="AB54" i="11" s="1"/>
  <c r="AD54" i="11" s="1"/>
  <c r="AF54" i="11" s="1"/>
  <c r="AH54" i="11" s="1"/>
  <c r="C54" i="11"/>
  <c r="E54" i="11" s="1"/>
  <c r="G54" i="11" s="1"/>
  <c r="I54" i="11" s="1"/>
  <c r="K54" i="11" s="1"/>
  <c r="M54" i="11" s="1"/>
  <c r="O54" i="11" s="1"/>
  <c r="Q54" i="11" s="1"/>
  <c r="S54" i="11" s="1"/>
  <c r="U54" i="11" s="1"/>
  <c r="W54" i="11" s="1"/>
  <c r="Y54" i="11" s="1"/>
  <c r="AA54" i="11" s="1"/>
  <c r="AC54" i="11" s="1"/>
  <c r="AE54" i="11" s="1"/>
  <c r="AG54" i="11" s="1"/>
  <c r="E41" i="11"/>
  <c r="G41" i="11" s="1"/>
  <c r="I41" i="11" s="1"/>
  <c r="K41" i="11" s="1"/>
  <c r="M41" i="11" s="1"/>
  <c r="O41" i="11" s="1"/>
  <c r="Q41" i="11" s="1"/>
  <c r="S41" i="11" s="1"/>
  <c r="U41" i="11" s="1"/>
  <c r="W41" i="11" s="1"/>
  <c r="Y41" i="11" s="1"/>
  <c r="AA41" i="11" s="1"/>
  <c r="AC41" i="11" s="1"/>
  <c r="AE41" i="11" s="1"/>
  <c r="AG41" i="11" s="1"/>
  <c r="C4" i="10"/>
  <c r="A67" i="11"/>
  <c r="A81" i="4"/>
  <c r="A79" i="4"/>
  <c r="A65" i="11"/>
  <c r="C65" i="4"/>
  <c r="E65" i="4" s="1"/>
  <c r="G65" i="4" s="1"/>
  <c r="I65" i="4" s="1"/>
  <c r="K65" i="4" s="1"/>
  <c r="M65" i="4" s="1"/>
  <c r="O65" i="4" s="1"/>
  <c r="Q65" i="4" s="1"/>
  <c r="S65" i="4" s="1"/>
  <c r="U65" i="4" s="1"/>
  <c r="W65" i="4" s="1"/>
  <c r="Y65" i="4" s="1"/>
  <c r="AA65" i="4" s="1"/>
  <c r="AC65" i="4" s="1"/>
  <c r="AE65" i="4" s="1"/>
  <c r="AG65" i="4" s="1"/>
  <c r="D65" i="4"/>
  <c r="F65" i="4" s="1"/>
  <c r="H65" i="4" s="1"/>
  <c r="J65" i="4" s="1"/>
  <c r="L65" i="4" s="1"/>
  <c r="N65" i="4" s="1"/>
  <c r="P65" i="4" s="1"/>
  <c r="R65" i="4" s="1"/>
  <c r="T65" i="4" s="1"/>
  <c r="V65" i="4" s="1"/>
  <c r="X65" i="4" s="1"/>
  <c r="Z65" i="4" s="1"/>
  <c r="AB65" i="4" s="1"/>
  <c r="AD65" i="4" s="1"/>
  <c r="AF65" i="4" s="1"/>
  <c r="AH65" i="4" s="1"/>
  <c r="A75" i="4"/>
  <c r="A61" i="11"/>
  <c r="D61" i="4"/>
  <c r="F61" i="4" s="1"/>
  <c r="H61" i="4" s="1"/>
  <c r="J61" i="4" s="1"/>
  <c r="L61" i="4" s="1"/>
  <c r="N61" i="4" s="1"/>
  <c r="P61" i="4" s="1"/>
  <c r="R61" i="4" s="1"/>
  <c r="T61" i="4" s="1"/>
  <c r="V61" i="4" s="1"/>
  <c r="X61" i="4" s="1"/>
  <c r="Z61" i="4" s="1"/>
  <c r="AB61" i="4" s="1"/>
  <c r="AD61" i="4" s="1"/>
  <c r="AF61" i="4" s="1"/>
  <c r="AH61" i="4" s="1"/>
  <c r="C61" i="4"/>
  <c r="E61" i="4" s="1"/>
  <c r="G61" i="4" s="1"/>
  <c r="I61" i="4" s="1"/>
  <c r="K61" i="4" s="1"/>
  <c r="M61" i="4" s="1"/>
  <c r="O61" i="4" s="1"/>
  <c r="Q61" i="4" s="1"/>
  <c r="S61" i="4" s="1"/>
  <c r="U61" i="4" s="1"/>
  <c r="W61" i="4" s="1"/>
  <c r="Y61" i="4" s="1"/>
  <c r="AA61" i="4" s="1"/>
  <c r="AC61" i="4" s="1"/>
  <c r="AE61" i="4" s="1"/>
  <c r="AG61" i="4" s="1"/>
  <c r="J14" i="10"/>
  <c r="J16" i="10"/>
  <c r="M3" i="10"/>
  <c r="M12" i="10"/>
  <c r="M15" i="10"/>
  <c r="M16" i="10"/>
  <c r="M13" i="10"/>
  <c r="M6" i="10"/>
  <c r="M14" i="10"/>
  <c r="N6" i="10"/>
  <c r="M8" i="10"/>
  <c r="X79" i="23"/>
  <c r="X80" i="23"/>
  <c r="E86" i="23"/>
  <c r="C86" i="23"/>
  <c r="X78" i="23"/>
  <c r="X72" i="23"/>
  <c r="X77" i="23"/>
  <c r="X83" i="23"/>
  <c r="F86" i="23"/>
  <c r="X76" i="23"/>
  <c r="X74" i="23"/>
  <c r="X84" i="23"/>
  <c r="X73" i="23"/>
  <c r="B86" i="23"/>
  <c r="X75" i="23"/>
  <c r="X81" i="23"/>
  <c r="O86" i="23"/>
  <c r="X82" i="23"/>
  <c r="H82" i="23"/>
  <c r="AD82" i="23" s="1"/>
  <c r="G79" i="23"/>
  <c r="AC79" i="23" s="1"/>
  <c r="G73" i="23"/>
  <c r="AC73" i="23" s="1"/>
  <c r="G74" i="23"/>
  <c r="AC74" i="23" s="1"/>
  <c r="G80" i="23"/>
  <c r="AC80" i="23" s="1"/>
  <c r="H81" i="23"/>
  <c r="AD81" i="23" s="1"/>
  <c r="H71" i="23"/>
  <c r="H72" i="23"/>
  <c r="AD72" i="23" s="1"/>
  <c r="G77" i="23"/>
  <c r="AC77" i="23" s="1"/>
  <c r="G71" i="23"/>
  <c r="H83" i="23"/>
  <c r="AD83" i="23" s="1"/>
  <c r="G81" i="23"/>
  <c r="AC81" i="23" s="1"/>
  <c r="H74" i="23"/>
  <c r="AD74" i="23" s="1"/>
  <c r="H79" i="23"/>
  <c r="AD79" i="23" s="1"/>
  <c r="H73" i="23"/>
  <c r="AD73" i="23" s="1"/>
  <c r="H75" i="23"/>
  <c r="AD75" i="23" s="1"/>
  <c r="G72" i="23"/>
  <c r="AC72" i="23" s="1"/>
  <c r="G85" i="23"/>
  <c r="G83" i="23"/>
  <c r="AC83" i="23" s="1"/>
  <c r="H76" i="23"/>
  <c r="AD76" i="23" s="1"/>
  <c r="H10" i="15"/>
  <c r="H10" i="14" s="1"/>
  <c r="J52" i="19" s="1"/>
  <c r="D10" i="15"/>
  <c r="D10" i="14" s="1"/>
  <c r="J48" i="19" s="1"/>
  <c r="G9" i="15"/>
  <c r="G9" i="14" s="1"/>
  <c r="I51" i="19" s="1"/>
  <c r="C9" i="15"/>
  <c r="C9" i="14" s="1"/>
  <c r="I47" i="19" s="1"/>
  <c r="H77" i="23"/>
  <c r="AD77" i="23" s="1"/>
  <c r="G75" i="23"/>
  <c r="AC75" i="23" s="1"/>
  <c r="O10" i="15"/>
  <c r="O10" i="14" s="1"/>
  <c r="J59" i="19" s="1"/>
  <c r="K10" i="15"/>
  <c r="K10" i="14" s="1"/>
  <c r="J55" i="19" s="1"/>
  <c r="N9" i="15"/>
  <c r="N9" i="14" s="1"/>
  <c r="I58" i="19" s="1"/>
  <c r="J9" i="15"/>
  <c r="J9" i="14" s="1"/>
  <c r="I54" i="19" s="1"/>
  <c r="G84" i="23"/>
  <c r="AC84" i="23" s="1"/>
  <c r="G78" i="23"/>
  <c r="AC78" i="23" s="1"/>
  <c r="G10" i="15"/>
  <c r="G10" i="14" s="1"/>
  <c r="J51" i="19" s="1"/>
  <c r="C10" i="15"/>
  <c r="C10" i="14" s="1"/>
  <c r="J47" i="19" s="1"/>
  <c r="F9" i="15"/>
  <c r="F9" i="14" s="1"/>
  <c r="I50" i="19" s="1"/>
  <c r="H84" i="23"/>
  <c r="AD84" i="23" s="1"/>
  <c r="N10" i="15"/>
  <c r="N10" i="14" s="1"/>
  <c r="J58" i="19" s="1"/>
  <c r="Q9" i="15"/>
  <c r="Q9" i="14" s="1"/>
  <c r="I61" i="19" s="1"/>
  <c r="M9" i="15"/>
  <c r="M9" i="14" s="1"/>
  <c r="I57" i="19" s="1"/>
  <c r="G82" i="23"/>
  <c r="AC82" i="23" s="1"/>
  <c r="J10" i="15"/>
  <c r="J10" i="14" s="1"/>
  <c r="J54" i="19" s="1"/>
  <c r="F10" i="15"/>
  <c r="F10" i="14" s="1"/>
  <c r="J50" i="19" s="1"/>
  <c r="I9" i="15"/>
  <c r="I9" i="14" s="1"/>
  <c r="I53" i="19" s="1"/>
  <c r="E9" i="15"/>
  <c r="E9" i="14" s="1"/>
  <c r="I49" i="19" s="1"/>
  <c r="G76" i="23"/>
  <c r="AC76" i="23" s="1"/>
  <c r="Q10" i="15"/>
  <c r="Q10" i="14" s="1"/>
  <c r="J61" i="19" s="1"/>
  <c r="M10" i="15"/>
  <c r="M10" i="14" s="1"/>
  <c r="J57" i="19" s="1"/>
  <c r="P9" i="15"/>
  <c r="P9" i="14" s="1"/>
  <c r="I60" i="19" s="1"/>
  <c r="L9" i="15"/>
  <c r="L9" i="14" s="1"/>
  <c r="I56" i="19" s="1"/>
  <c r="H85" i="23"/>
  <c r="H78" i="23"/>
  <c r="AD78" i="23" s="1"/>
  <c r="H80" i="23"/>
  <c r="AD80" i="23" s="1"/>
  <c r="I10" i="15"/>
  <c r="I10" i="14" s="1"/>
  <c r="J53" i="19" s="1"/>
  <c r="E10" i="15"/>
  <c r="E10" i="14" s="1"/>
  <c r="J49" i="19" s="1"/>
  <c r="H9" i="15"/>
  <c r="H9" i="14" s="1"/>
  <c r="I52" i="19" s="1"/>
  <c r="D9" i="15"/>
  <c r="D9" i="14" s="1"/>
  <c r="I48" i="19" s="1"/>
  <c r="P10" i="15"/>
  <c r="P10" i="14" s="1"/>
  <c r="J60" i="19" s="1"/>
  <c r="L10" i="15"/>
  <c r="L10" i="14" s="1"/>
  <c r="J56" i="19" s="1"/>
  <c r="O9" i="15"/>
  <c r="O9" i="14" s="1"/>
  <c r="I59" i="19" s="1"/>
  <c r="K9" i="15"/>
  <c r="K9" i="14" s="1"/>
  <c r="I55" i="19" s="1"/>
  <c r="T2" i="11" l="1"/>
  <c r="V2" i="4"/>
  <c r="G12" i="10"/>
  <c r="G11" i="10"/>
  <c r="G6" i="10"/>
  <c r="P4" i="10"/>
  <c r="P3" i="10"/>
  <c r="D65" i="11"/>
  <c r="F65" i="11" s="1"/>
  <c r="H65" i="11" s="1"/>
  <c r="J65" i="11" s="1"/>
  <c r="L65" i="11" s="1"/>
  <c r="N65" i="11" s="1"/>
  <c r="P65" i="11" s="1"/>
  <c r="R65" i="11" s="1"/>
  <c r="T65" i="11" s="1"/>
  <c r="V65" i="11" s="1"/>
  <c r="X65" i="11" s="1"/>
  <c r="Z65" i="11" s="1"/>
  <c r="AB65" i="11" s="1"/>
  <c r="AD65" i="11" s="1"/>
  <c r="AF65" i="11" s="1"/>
  <c r="AH65" i="11" s="1"/>
  <c r="C65" i="11"/>
  <c r="E65" i="11" s="1"/>
  <c r="G65" i="11" s="1"/>
  <c r="I65" i="11" s="1"/>
  <c r="K65" i="11" s="1"/>
  <c r="M65" i="11" s="1"/>
  <c r="O65" i="11" s="1"/>
  <c r="Q65" i="11" s="1"/>
  <c r="S65" i="11" s="1"/>
  <c r="U65" i="11" s="1"/>
  <c r="W65" i="11" s="1"/>
  <c r="Y65" i="11" s="1"/>
  <c r="AA65" i="11" s="1"/>
  <c r="AC65" i="11" s="1"/>
  <c r="AE65" i="11" s="1"/>
  <c r="AG65" i="11" s="1"/>
  <c r="H166" i="8"/>
  <c r="AF166" i="8"/>
  <c r="E47" i="11"/>
  <c r="G47" i="11" s="1"/>
  <c r="I47" i="11" s="1"/>
  <c r="K47" i="11" s="1"/>
  <c r="M47" i="11" s="1"/>
  <c r="O47" i="11" s="1"/>
  <c r="Q47" i="11" s="1"/>
  <c r="S47" i="11" s="1"/>
  <c r="U47" i="11" s="1"/>
  <c r="W47" i="11" s="1"/>
  <c r="Y47" i="11" s="1"/>
  <c r="AA47" i="11" s="1"/>
  <c r="AC47" i="11" s="1"/>
  <c r="AE47" i="11" s="1"/>
  <c r="AG47" i="11" s="1"/>
  <c r="C5" i="10"/>
  <c r="E9" i="10"/>
  <c r="C60" i="11"/>
  <c r="E60" i="11" s="1"/>
  <c r="G60" i="11" s="1"/>
  <c r="I60" i="11" s="1"/>
  <c r="K60" i="11" s="1"/>
  <c r="M60" i="11" s="1"/>
  <c r="O60" i="11" s="1"/>
  <c r="Q60" i="11" s="1"/>
  <c r="S60" i="11" s="1"/>
  <c r="U60" i="11" s="1"/>
  <c r="W60" i="11" s="1"/>
  <c r="Y60" i="11" s="1"/>
  <c r="AA60" i="11" s="1"/>
  <c r="AC60" i="11" s="1"/>
  <c r="AE60" i="11" s="1"/>
  <c r="AG60" i="11" s="1"/>
  <c r="H162" i="8"/>
  <c r="AF162" i="8"/>
  <c r="P5" i="10"/>
  <c r="P7" i="10"/>
  <c r="F14" i="10"/>
  <c r="F10" i="10"/>
  <c r="F5" i="10"/>
  <c r="D8" i="10"/>
  <c r="D11" i="10"/>
  <c r="D6" i="10"/>
  <c r="D9" i="10"/>
  <c r="D13" i="10"/>
  <c r="D14" i="10"/>
  <c r="D7" i="10"/>
  <c r="D10" i="10"/>
  <c r="F57" i="11"/>
  <c r="H57" i="11" s="1"/>
  <c r="J57" i="11" s="1"/>
  <c r="L57" i="11" s="1"/>
  <c r="N57" i="11" s="1"/>
  <c r="P57" i="11" s="1"/>
  <c r="R57" i="11" s="1"/>
  <c r="T57" i="11" s="1"/>
  <c r="V57" i="11" s="1"/>
  <c r="X57" i="11" s="1"/>
  <c r="Z57" i="11" s="1"/>
  <c r="AB57" i="11" s="1"/>
  <c r="AD57" i="11" s="1"/>
  <c r="AF57" i="11" s="1"/>
  <c r="AH57" i="11" s="1"/>
  <c r="B88" i="11"/>
  <c r="G7" i="10"/>
  <c r="D90" i="4"/>
  <c r="F90" i="4" s="1"/>
  <c r="H90" i="4" s="1"/>
  <c r="J90" i="4" s="1"/>
  <c r="L90" i="4" s="1"/>
  <c r="N90" i="4" s="1"/>
  <c r="P90" i="4" s="1"/>
  <c r="R90" i="4" s="1"/>
  <c r="T90" i="4" s="1"/>
  <c r="V90" i="4" s="1"/>
  <c r="X90" i="4" s="1"/>
  <c r="Z90" i="4" s="1"/>
  <c r="AB90" i="4" s="1"/>
  <c r="AD90" i="4" s="1"/>
  <c r="AF90" i="4" s="1"/>
  <c r="AH90" i="4" s="1"/>
  <c r="A100" i="11"/>
  <c r="D100" i="4"/>
  <c r="F100" i="4" s="1"/>
  <c r="H100" i="4" s="1"/>
  <c r="J100" i="4" s="1"/>
  <c r="L100" i="4" s="1"/>
  <c r="N100" i="4" s="1"/>
  <c r="P100" i="4" s="1"/>
  <c r="R100" i="4" s="1"/>
  <c r="T100" i="4" s="1"/>
  <c r="V100" i="4" s="1"/>
  <c r="X100" i="4" s="1"/>
  <c r="Z100" i="4" s="1"/>
  <c r="AB100" i="4" s="1"/>
  <c r="AD100" i="4" s="1"/>
  <c r="AF100" i="4" s="1"/>
  <c r="AH100" i="4" s="1"/>
  <c r="C100" i="4"/>
  <c r="E100" i="4" s="1"/>
  <c r="G100" i="4" s="1"/>
  <c r="I100" i="4" s="1"/>
  <c r="K100" i="4" s="1"/>
  <c r="M100" i="4" s="1"/>
  <c r="O100" i="4" s="1"/>
  <c r="Q100" i="4" s="1"/>
  <c r="S100" i="4" s="1"/>
  <c r="U100" i="4" s="1"/>
  <c r="W100" i="4" s="1"/>
  <c r="Y100" i="4" s="1"/>
  <c r="AA100" i="4" s="1"/>
  <c r="AC100" i="4" s="1"/>
  <c r="AE100" i="4" s="1"/>
  <c r="AG100" i="4" s="1"/>
  <c r="C15" i="10"/>
  <c r="E51" i="11"/>
  <c r="G51" i="11" s="1"/>
  <c r="I51" i="11" s="1"/>
  <c r="K51" i="11" s="1"/>
  <c r="M51" i="11" s="1"/>
  <c r="O51" i="11" s="1"/>
  <c r="Q51" i="11" s="1"/>
  <c r="S51" i="11" s="1"/>
  <c r="U51" i="11" s="1"/>
  <c r="W51" i="11" s="1"/>
  <c r="Y51" i="11" s="1"/>
  <c r="AA51" i="11" s="1"/>
  <c r="AC51" i="11" s="1"/>
  <c r="AE51" i="11" s="1"/>
  <c r="AG51" i="11" s="1"/>
  <c r="AE173" i="8"/>
  <c r="H169" i="8"/>
  <c r="AF169" i="8"/>
  <c r="G2" i="10"/>
  <c r="A79" i="11"/>
  <c r="A93" i="4"/>
  <c r="D79" i="4"/>
  <c r="F79" i="4" s="1"/>
  <c r="H79" i="4" s="1"/>
  <c r="J79" i="4" s="1"/>
  <c r="L79" i="4" s="1"/>
  <c r="N79" i="4" s="1"/>
  <c r="P79" i="4" s="1"/>
  <c r="R79" i="4" s="1"/>
  <c r="T79" i="4" s="1"/>
  <c r="V79" i="4" s="1"/>
  <c r="X79" i="4" s="1"/>
  <c r="Z79" i="4" s="1"/>
  <c r="AB79" i="4" s="1"/>
  <c r="AD79" i="4" s="1"/>
  <c r="AF79" i="4" s="1"/>
  <c r="AH79" i="4" s="1"/>
  <c r="C79" i="4"/>
  <c r="E79" i="4" s="1"/>
  <c r="G79" i="4" s="1"/>
  <c r="I79" i="4" s="1"/>
  <c r="K79" i="4" s="1"/>
  <c r="M79" i="4" s="1"/>
  <c r="O79" i="4" s="1"/>
  <c r="Q79" i="4" s="1"/>
  <c r="S79" i="4" s="1"/>
  <c r="U79" i="4" s="1"/>
  <c r="W79" i="4" s="1"/>
  <c r="Y79" i="4" s="1"/>
  <c r="AA79" i="4" s="1"/>
  <c r="AC79" i="4" s="1"/>
  <c r="AE79" i="4" s="1"/>
  <c r="AG79" i="4" s="1"/>
  <c r="A80" i="11"/>
  <c r="AK169" i="7" s="1"/>
  <c r="AK150" i="7" s="1"/>
  <c r="A94" i="4"/>
  <c r="A94" i="11" s="1"/>
  <c r="C76" i="11"/>
  <c r="E76" i="11" s="1"/>
  <c r="G76" i="11" s="1"/>
  <c r="I76" i="11" s="1"/>
  <c r="K76" i="11" s="1"/>
  <c r="M76" i="11" s="1"/>
  <c r="O76" i="11" s="1"/>
  <c r="Q76" i="11" s="1"/>
  <c r="S76" i="11" s="1"/>
  <c r="U76" i="11" s="1"/>
  <c r="W76" i="11" s="1"/>
  <c r="Y76" i="11" s="1"/>
  <c r="AA76" i="11" s="1"/>
  <c r="AC76" i="11" s="1"/>
  <c r="AE76" i="11" s="1"/>
  <c r="AG76" i="11" s="1"/>
  <c r="D32" i="5" a="1"/>
  <c r="D32" i="5" s="1"/>
  <c r="M32" i="5" a="1"/>
  <c r="M32" i="5" s="1"/>
  <c r="F32" i="5" a="1"/>
  <c r="F32" i="5" s="1"/>
  <c r="P32" i="5" a="1"/>
  <c r="P32" i="5" s="1"/>
  <c r="K32" i="5" a="1"/>
  <c r="K32" i="5" s="1"/>
  <c r="N32" i="5" a="1"/>
  <c r="N32" i="5" s="1"/>
  <c r="G32" i="5" a="1"/>
  <c r="G32" i="5" s="1"/>
  <c r="I32" i="5" a="1"/>
  <c r="I32" i="5" s="1"/>
  <c r="L32" i="5" a="1"/>
  <c r="L32" i="5" s="1"/>
  <c r="E32" i="5" a="1"/>
  <c r="E32" i="5" s="1"/>
  <c r="H32" i="5" a="1"/>
  <c r="H32" i="5" s="1"/>
  <c r="Q32" i="5" a="1"/>
  <c r="Q32" i="5" s="1"/>
  <c r="O32" i="5" a="1"/>
  <c r="O32" i="5" s="1"/>
  <c r="R32" i="5" a="1"/>
  <c r="R32" i="5" s="1"/>
  <c r="J32" i="5" a="1"/>
  <c r="J32" i="5" s="1"/>
  <c r="C33" i="5"/>
  <c r="D60" i="11"/>
  <c r="AJ167" i="7"/>
  <c r="AJ148" i="7" s="1"/>
  <c r="P14" i="10"/>
  <c r="A99" i="4"/>
  <c r="A99" i="11" s="1"/>
  <c r="A85" i="11"/>
  <c r="AE174" i="7" s="1"/>
  <c r="AE155" i="7" s="1"/>
  <c r="F11" i="10"/>
  <c r="G8" i="10"/>
  <c r="O2" i="11"/>
  <c r="Q2" i="4"/>
  <c r="D86" i="11"/>
  <c r="F86" i="11" s="1"/>
  <c r="H86" i="11" s="1"/>
  <c r="J86" i="11" s="1"/>
  <c r="L86" i="11" s="1"/>
  <c r="N86" i="11" s="1"/>
  <c r="P86" i="11" s="1"/>
  <c r="R86" i="11" s="1"/>
  <c r="T86" i="11" s="1"/>
  <c r="V86" i="11" s="1"/>
  <c r="X86" i="11" s="1"/>
  <c r="Z86" i="11" s="1"/>
  <c r="AB86" i="11" s="1"/>
  <c r="AD86" i="11" s="1"/>
  <c r="AF86" i="11" s="1"/>
  <c r="AH86" i="11" s="1"/>
  <c r="C86" i="11"/>
  <c r="E86" i="11" s="1"/>
  <c r="G86" i="11" s="1"/>
  <c r="I86" i="11" s="1"/>
  <c r="K86" i="11" s="1"/>
  <c r="M86" i="11" s="1"/>
  <c r="O86" i="11" s="1"/>
  <c r="Q86" i="11" s="1"/>
  <c r="S86" i="11" s="1"/>
  <c r="U86" i="11" s="1"/>
  <c r="W86" i="11" s="1"/>
  <c r="Y86" i="11" s="1"/>
  <c r="AA86" i="11" s="1"/>
  <c r="AC86" i="11" s="1"/>
  <c r="AE86" i="11" s="1"/>
  <c r="AG86" i="11" s="1"/>
  <c r="H172" i="8"/>
  <c r="AF172" i="8"/>
  <c r="P15" i="10"/>
  <c r="C13" i="10"/>
  <c r="C3" i="10"/>
  <c r="C16" i="10"/>
  <c r="C7" i="10"/>
  <c r="C14" i="10"/>
  <c r="C10" i="10"/>
  <c r="E10" i="10"/>
  <c r="E6" i="10"/>
  <c r="C2" i="10"/>
  <c r="H171" i="8"/>
  <c r="AF171" i="8"/>
  <c r="G14" i="10"/>
  <c r="G10" i="10"/>
  <c r="H168" i="8"/>
  <c r="AF168" i="8"/>
  <c r="A95" i="4"/>
  <c r="A95" i="11" s="1"/>
  <c r="A81" i="11"/>
  <c r="AD170" i="7" s="1"/>
  <c r="AD151" i="7" s="1"/>
  <c r="B99" i="11"/>
  <c r="AH167" i="7" s="1"/>
  <c r="AH148" i="7" s="1"/>
  <c r="AJ163" i="7"/>
  <c r="AJ144" i="7" s="1"/>
  <c r="C9" i="10"/>
  <c r="C73" i="11"/>
  <c r="D73" i="11"/>
  <c r="F73" i="11" s="1"/>
  <c r="H73" i="11" s="1"/>
  <c r="J73" i="11" s="1"/>
  <c r="L73" i="11" s="1"/>
  <c r="N73" i="11" s="1"/>
  <c r="P73" i="11" s="1"/>
  <c r="R73" i="11" s="1"/>
  <c r="T73" i="11" s="1"/>
  <c r="V73" i="11" s="1"/>
  <c r="X73" i="11" s="1"/>
  <c r="Z73" i="11" s="1"/>
  <c r="AB73" i="11" s="1"/>
  <c r="AD73" i="11" s="1"/>
  <c r="AF73" i="11" s="1"/>
  <c r="AH73" i="11" s="1"/>
  <c r="E15" i="10"/>
  <c r="D80" i="11"/>
  <c r="F80" i="11" s="1"/>
  <c r="H80" i="11" s="1"/>
  <c r="J80" i="11" s="1"/>
  <c r="L80" i="11" s="1"/>
  <c r="N80" i="11" s="1"/>
  <c r="P80" i="11" s="1"/>
  <c r="R80" i="11" s="1"/>
  <c r="T80" i="11" s="1"/>
  <c r="V80" i="11" s="1"/>
  <c r="X80" i="11" s="1"/>
  <c r="Z80" i="11" s="1"/>
  <c r="AB80" i="11" s="1"/>
  <c r="AD80" i="11" s="1"/>
  <c r="AF80" i="11" s="1"/>
  <c r="AH80" i="11" s="1"/>
  <c r="C80" i="11"/>
  <c r="E80" i="11" s="1"/>
  <c r="G80" i="11" s="1"/>
  <c r="I80" i="11" s="1"/>
  <c r="K80" i="11" s="1"/>
  <c r="M80" i="11" s="1"/>
  <c r="O80" i="11" s="1"/>
  <c r="Q80" i="11" s="1"/>
  <c r="S80" i="11" s="1"/>
  <c r="U80" i="11" s="1"/>
  <c r="W80" i="11" s="1"/>
  <c r="Y80" i="11" s="1"/>
  <c r="AA80" i="11" s="1"/>
  <c r="AC80" i="11" s="1"/>
  <c r="AE80" i="11" s="1"/>
  <c r="AG80" i="11" s="1"/>
  <c r="F52" i="11"/>
  <c r="H52" i="11" s="1"/>
  <c r="J52" i="11" s="1"/>
  <c r="L52" i="11" s="1"/>
  <c r="N52" i="11" s="1"/>
  <c r="P52" i="11" s="1"/>
  <c r="R52" i="11" s="1"/>
  <c r="T52" i="11" s="1"/>
  <c r="V52" i="11" s="1"/>
  <c r="X52" i="11" s="1"/>
  <c r="Z52" i="11" s="1"/>
  <c r="AB52" i="11" s="1"/>
  <c r="AD52" i="11" s="1"/>
  <c r="AF52" i="11" s="1"/>
  <c r="AH52" i="11" s="1"/>
  <c r="P9" i="10"/>
  <c r="B5" i="10"/>
  <c r="B15" i="10"/>
  <c r="B9" i="10"/>
  <c r="B11" i="10"/>
  <c r="B7" i="10"/>
  <c r="B12" i="10"/>
  <c r="B3" i="10"/>
  <c r="M11" i="10"/>
  <c r="M9" i="10"/>
  <c r="M5" i="10"/>
  <c r="E3" i="10"/>
  <c r="B95" i="11"/>
  <c r="C95" i="4"/>
  <c r="E95" i="4" s="1"/>
  <c r="G95" i="4" s="1"/>
  <c r="I95" i="4" s="1"/>
  <c r="K95" i="4" s="1"/>
  <c r="M95" i="4" s="1"/>
  <c r="O95" i="4" s="1"/>
  <c r="Q95" i="4" s="1"/>
  <c r="S95" i="4" s="1"/>
  <c r="U95" i="4" s="1"/>
  <c r="W95" i="4" s="1"/>
  <c r="Y95" i="4" s="1"/>
  <c r="AA95" i="4" s="1"/>
  <c r="AC95" i="4" s="1"/>
  <c r="AE95" i="4" s="1"/>
  <c r="AG95" i="4" s="1"/>
  <c r="AM165" i="7"/>
  <c r="AM146" i="7" s="1"/>
  <c r="G3" i="10"/>
  <c r="G15" i="10"/>
  <c r="F12" i="10"/>
  <c r="H167" i="8"/>
  <c r="AF167" i="8"/>
  <c r="O1" i="11"/>
  <c r="Q1" i="4"/>
  <c r="D3" i="10"/>
  <c r="M4" i="10"/>
  <c r="P83" i="23"/>
  <c r="C61" i="11"/>
  <c r="E61" i="11" s="1"/>
  <c r="G61" i="11" s="1"/>
  <c r="I61" i="11" s="1"/>
  <c r="K61" i="11" s="1"/>
  <c r="M61" i="11" s="1"/>
  <c r="O61" i="11" s="1"/>
  <c r="Q61" i="11" s="1"/>
  <c r="S61" i="11" s="1"/>
  <c r="U61" i="11" s="1"/>
  <c r="W61" i="11" s="1"/>
  <c r="Y61" i="11" s="1"/>
  <c r="AA61" i="11" s="1"/>
  <c r="AC61" i="11" s="1"/>
  <c r="AE61" i="11" s="1"/>
  <c r="AG61" i="11" s="1"/>
  <c r="D61" i="11"/>
  <c r="F61" i="11" s="1"/>
  <c r="H61" i="11" s="1"/>
  <c r="J61" i="11" s="1"/>
  <c r="L61" i="11" s="1"/>
  <c r="N61" i="11" s="1"/>
  <c r="P61" i="11" s="1"/>
  <c r="R61" i="11" s="1"/>
  <c r="T61" i="11" s="1"/>
  <c r="V61" i="11" s="1"/>
  <c r="X61" i="11" s="1"/>
  <c r="Z61" i="11" s="1"/>
  <c r="AB61" i="11" s="1"/>
  <c r="AD61" i="11" s="1"/>
  <c r="AF61" i="11" s="1"/>
  <c r="AH61" i="11" s="1"/>
  <c r="AC163" i="7"/>
  <c r="AC144" i="7" s="1"/>
  <c r="D87" i="4"/>
  <c r="F87" i="4" s="1"/>
  <c r="H87" i="4" s="1"/>
  <c r="J87" i="4" s="1"/>
  <c r="L87" i="4" s="1"/>
  <c r="N87" i="4" s="1"/>
  <c r="P87" i="4" s="1"/>
  <c r="R87" i="4" s="1"/>
  <c r="T87" i="4" s="1"/>
  <c r="V87" i="4" s="1"/>
  <c r="X87" i="4" s="1"/>
  <c r="Z87" i="4" s="1"/>
  <c r="AB87" i="4" s="1"/>
  <c r="AD87" i="4" s="1"/>
  <c r="AF87" i="4" s="1"/>
  <c r="AH87" i="4" s="1"/>
  <c r="B87" i="11"/>
  <c r="AC165" i="7" s="1"/>
  <c r="AC146" i="7" s="1"/>
  <c r="C87" i="4"/>
  <c r="E87" i="4" s="1"/>
  <c r="G87" i="4" s="1"/>
  <c r="I87" i="4" s="1"/>
  <c r="K87" i="4" s="1"/>
  <c r="M87" i="4" s="1"/>
  <c r="O87" i="4" s="1"/>
  <c r="Q87" i="4" s="1"/>
  <c r="S87" i="4" s="1"/>
  <c r="U87" i="4" s="1"/>
  <c r="W87" i="4" s="1"/>
  <c r="Y87" i="4" s="1"/>
  <c r="AA87" i="4" s="1"/>
  <c r="AC87" i="4" s="1"/>
  <c r="AE87" i="4" s="1"/>
  <c r="AG87" i="4" s="1"/>
  <c r="H163" i="8"/>
  <c r="AF163" i="8"/>
  <c r="E16" i="10"/>
  <c r="D94" i="4"/>
  <c r="F94" i="4" s="1"/>
  <c r="H94" i="4" s="1"/>
  <c r="J94" i="4" s="1"/>
  <c r="L94" i="4" s="1"/>
  <c r="N94" i="4" s="1"/>
  <c r="P94" i="4" s="1"/>
  <c r="R94" i="4" s="1"/>
  <c r="T94" i="4" s="1"/>
  <c r="V94" i="4" s="1"/>
  <c r="X94" i="4" s="1"/>
  <c r="Z94" i="4" s="1"/>
  <c r="AB94" i="4" s="1"/>
  <c r="AD94" i="4" s="1"/>
  <c r="AF94" i="4" s="1"/>
  <c r="AH94" i="4" s="1"/>
  <c r="C94" i="4"/>
  <c r="E94" i="4" s="1"/>
  <c r="G94" i="4" s="1"/>
  <c r="I94" i="4" s="1"/>
  <c r="K94" i="4" s="1"/>
  <c r="M94" i="4" s="1"/>
  <c r="O94" i="4" s="1"/>
  <c r="Q94" i="4" s="1"/>
  <c r="S94" i="4" s="1"/>
  <c r="U94" i="4" s="1"/>
  <c r="W94" i="4" s="1"/>
  <c r="Y94" i="4" s="1"/>
  <c r="AA94" i="4" s="1"/>
  <c r="AC94" i="4" s="1"/>
  <c r="AE94" i="4" s="1"/>
  <c r="AG94" i="4" s="1"/>
  <c r="B94" i="11"/>
  <c r="AI167" i="7" s="1"/>
  <c r="AI148" i="7" s="1"/>
  <c r="D91" i="4"/>
  <c r="F91" i="4" s="1"/>
  <c r="H91" i="4" s="1"/>
  <c r="J91" i="4" s="1"/>
  <c r="L91" i="4" s="1"/>
  <c r="N91" i="4" s="1"/>
  <c r="P91" i="4" s="1"/>
  <c r="R91" i="4" s="1"/>
  <c r="T91" i="4" s="1"/>
  <c r="V91" i="4" s="1"/>
  <c r="X91" i="4" s="1"/>
  <c r="Z91" i="4" s="1"/>
  <c r="AB91" i="4" s="1"/>
  <c r="AD91" i="4" s="1"/>
  <c r="AF91" i="4" s="1"/>
  <c r="AH91" i="4" s="1"/>
  <c r="C91" i="4"/>
  <c r="E91" i="4" s="1"/>
  <c r="G91" i="4" s="1"/>
  <c r="I91" i="4" s="1"/>
  <c r="K91" i="4" s="1"/>
  <c r="M91" i="4" s="1"/>
  <c r="O91" i="4" s="1"/>
  <c r="Q91" i="4" s="1"/>
  <c r="S91" i="4" s="1"/>
  <c r="U91" i="4" s="1"/>
  <c r="W91" i="4" s="1"/>
  <c r="Y91" i="4" s="1"/>
  <c r="AA91" i="4" s="1"/>
  <c r="AC91" i="4" s="1"/>
  <c r="AE91" i="4" s="1"/>
  <c r="AG91" i="4" s="1"/>
  <c r="B91" i="11"/>
  <c r="AN176" i="7"/>
  <c r="AN157" i="7" s="1"/>
  <c r="P6" i="10"/>
  <c r="P12" i="10"/>
  <c r="AF176" i="7"/>
  <c r="AF157" i="7" s="1"/>
  <c r="N5" i="10"/>
  <c r="N10" i="10"/>
  <c r="N14" i="10"/>
  <c r="N16" i="10"/>
  <c r="N3" i="10"/>
  <c r="N4" i="10"/>
  <c r="N2" i="10"/>
  <c r="N7" i="10"/>
  <c r="N11" i="10"/>
  <c r="N12" i="10"/>
  <c r="K10" i="10"/>
  <c r="K5" i="10"/>
  <c r="K7" i="10"/>
  <c r="K11" i="10"/>
  <c r="K13" i="10"/>
  <c r="K15" i="10"/>
  <c r="K4" i="10"/>
  <c r="K14" i="10"/>
  <c r="K9" i="10"/>
  <c r="AK173" i="7"/>
  <c r="AK154" i="7" s="1"/>
  <c r="C81" i="4"/>
  <c r="E81" i="4" s="1"/>
  <c r="G81" i="4" s="1"/>
  <c r="I81" i="4" s="1"/>
  <c r="K81" i="4" s="1"/>
  <c r="M81" i="4" s="1"/>
  <c r="O81" i="4" s="1"/>
  <c r="Q81" i="4" s="1"/>
  <c r="S81" i="4" s="1"/>
  <c r="U81" i="4" s="1"/>
  <c r="W81" i="4" s="1"/>
  <c r="Y81" i="4" s="1"/>
  <c r="AA81" i="4" s="1"/>
  <c r="AC81" i="4" s="1"/>
  <c r="AE81" i="4" s="1"/>
  <c r="AG81" i="4" s="1"/>
  <c r="G4" i="10"/>
  <c r="C98" i="11"/>
  <c r="E98" i="11" s="1"/>
  <c r="G98" i="11" s="1"/>
  <c r="I98" i="11" s="1"/>
  <c r="K98" i="11" s="1"/>
  <c r="M98" i="11" s="1"/>
  <c r="O98" i="11" s="1"/>
  <c r="Q98" i="11" s="1"/>
  <c r="S98" i="11" s="1"/>
  <c r="U98" i="11" s="1"/>
  <c r="W98" i="11" s="1"/>
  <c r="Y98" i="11" s="1"/>
  <c r="AA98" i="11" s="1"/>
  <c r="AC98" i="11" s="1"/>
  <c r="AE98" i="11" s="1"/>
  <c r="AG98" i="11" s="1"/>
  <c r="D98" i="11"/>
  <c r="F98" i="11" s="1"/>
  <c r="H98" i="11" s="1"/>
  <c r="J98" i="11" s="1"/>
  <c r="L98" i="11" s="1"/>
  <c r="N98" i="11" s="1"/>
  <c r="P98" i="11" s="1"/>
  <c r="R98" i="11" s="1"/>
  <c r="T98" i="11" s="1"/>
  <c r="V98" i="11" s="1"/>
  <c r="X98" i="11" s="1"/>
  <c r="Z98" i="11" s="1"/>
  <c r="AB98" i="11" s="1"/>
  <c r="AD98" i="11" s="1"/>
  <c r="AF98" i="11" s="1"/>
  <c r="AH98" i="11" s="1"/>
  <c r="AK175" i="7"/>
  <c r="AK156" i="7" s="1"/>
  <c r="C84" i="11"/>
  <c r="C71" i="11"/>
  <c r="E71" i="11" s="1"/>
  <c r="G71" i="11" s="1"/>
  <c r="I71" i="11" s="1"/>
  <c r="K71" i="11" s="1"/>
  <c r="M71" i="11" s="1"/>
  <c r="O71" i="11" s="1"/>
  <c r="Q71" i="11" s="1"/>
  <c r="S71" i="11" s="1"/>
  <c r="U71" i="11" s="1"/>
  <c r="W71" i="11" s="1"/>
  <c r="Y71" i="11" s="1"/>
  <c r="AA71" i="11" s="1"/>
  <c r="AC71" i="11" s="1"/>
  <c r="AE71" i="11" s="1"/>
  <c r="AG71" i="11" s="1"/>
  <c r="C67" i="11"/>
  <c r="E67" i="11" s="1"/>
  <c r="G67" i="11" s="1"/>
  <c r="I67" i="11" s="1"/>
  <c r="K67" i="11" s="1"/>
  <c r="M67" i="11" s="1"/>
  <c r="O67" i="11" s="1"/>
  <c r="Q67" i="11" s="1"/>
  <c r="S67" i="11" s="1"/>
  <c r="U67" i="11" s="1"/>
  <c r="W67" i="11" s="1"/>
  <c r="Y67" i="11" s="1"/>
  <c r="AA67" i="11" s="1"/>
  <c r="AC67" i="11" s="1"/>
  <c r="AE67" i="11" s="1"/>
  <c r="AG67" i="11" s="1"/>
  <c r="E2" i="10"/>
  <c r="AK163" i="7"/>
  <c r="AK144" i="7" s="1"/>
  <c r="A75" i="11"/>
  <c r="A89" i="4"/>
  <c r="C75" i="4"/>
  <c r="E75" i="4" s="1"/>
  <c r="G75" i="4" s="1"/>
  <c r="I75" i="4" s="1"/>
  <c r="K75" i="4" s="1"/>
  <c r="M75" i="4" s="1"/>
  <c r="O75" i="4" s="1"/>
  <c r="Q75" i="4" s="1"/>
  <c r="S75" i="4" s="1"/>
  <c r="U75" i="4" s="1"/>
  <c r="W75" i="4" s="1"/>
  <c r="Y75" i="4" s="1"/>
  <c r="AA75" i="4" s="1"/>
  <c r="AC75" i="4" s="1"/>
  <c r="AE75" i="4" s="1"/>
  <c r="AG75" i="4" s="1"/>
  <c r="D75" i="4"/>
  <c r="F75" i="4" s="1"/>
  <c r="H75" i="4" s="1"/>
  <c r="J75" i="4" s="1"/>
  <c r="L75" i="4" s="1"/>
  <c r="N75" i="4" s="1"/>
  <c r="P75" i="4" s="1"/>
  <c r="R75" i="4" s="1"/>
  <c r="T75" i="4" s="1"/>
  <c r="V75" i="4" s="1"/>
  <c r="X75" i="4" s="1"/>
  <c r="Z75" i="4" s="1"/>
  <c r="AB75" i="4" s="1"/>
  <c r="AD75" i="4" s="1"/>
  <c r="AF75" i="4" s="1"/>
  <c r="AH75" i="4" s="1"/>
  <c r="AI163" i="7"/>
  <c r="AI144" i="7" s="1"/>
  <c r="AO176" i="7"/>
  <c r="AO157" i="7" s="1"/>
  <c r="A82" i="11"/>
  <c r="A96" i="4"/>
  <c r="C82" i="4"/>
  <c r="E82" i="4" s="1"/>
  <c r="G82" i="4" s="1"/>
  <c r="I82" i="4" s="1"/>
  <c r="K82" i="4" s="1"/>
  <c r="M82" i="4" s="1"/>
  <c r="O82" i="4" s="1"/>
  <c r="Q82" i="4" s="1"/>
  <c r="S82" i="4" s="1"/>
  <c r="U82" i="4" s="1"/>
  <c r="W82" i="4" s="1"/>
  <c r="Y82" i="4" s="1"/>
  <c r="AA82" i="4" s="1"/>
  <c r="AC82" i="4" s="1"/>
  <c r="AE82" i="4" s="1"/>
  <c r="AG82" i="4" s="1"/>
  <c r="D82" i="4"/>
  <c r="F82" i="4" s="1"/>
  <c r="H82" i="4" s="1"/>
  <c r="J82" i="4" s="1"/>
  <c r="L82" i="4" s="1"/>
  <c r="N82" i="4" s="1"/>
  <c r="P82" i="4" s="1"/>
  <c r="R82" i="4" s="1"/>
  <c r="T82" i="4" s="1"/>
  <c r="V82" i="4" s="1"/>
  <c r="X82" i="4" s="1"/>
  <c r="Z82" i="4" s="1"/>
  <c r="AB82" i="4" s="1"/>
  <c r="AD82" i="4" s="1"/>
  <c r="AF82" i="4" s="1"/>
  <c r="AH82" i="4" s="1"/>
  <c r="D66" i="11"/>
  <c r="D80" i="4"/>
  <c r="F80" i="4" s="1"/>
  <c r="H80" i="4" s="1"/>
  <c r="J80" i="4" s="1"/>
  <c r="L80" i="4" s="1"/>
  <c r="N80" i="4" s="1"/>
  <c r="P80" i="4" s="1"/>
  <c r="R80" i="4" s="1"/>
  <c r="T80" i="4" s="1"/>
  <c r="V80" i="4" s="1"/>
  <c r="X80" i="4" s="1"/>
  <c r="Z80" i="4" s="1"/>
  <c r="AB80" i="4" s="1"/>
  <c r="AD80" i="4" s="1"/>
  <c r="AF80" i="4" s="1"/>
  <c r="AH80" i="4" s="1"/>
  <c r="D77" i="11"/>
  <c r="C77" i="11"/>
  <c r="C78" i="11"/>
  <c r="E78" i="11" s="1"/>
  <c r="G78" i="11" s="1"/>
  <c r="I78" i="11" s="1"/>
  <c r="K78" i="11" s="1"/>
  <c r="M78" i="11" s="1"/>
  <c r="O78" i="11" s="1"/>
  <c r="Q78" i="11" s="1"/>
  <c r="S78" i="11" s="1"/>
  <c r="U78" i="11" s="1"/>
  <c r="W78" i="11" s="1"/>
  <c r="Y78" i="11" s="1"/>
  <c r="AA78" i="11" s="1"/>
  <c r="AC78" i="11" s="1"/>
  <c r="AE78" i="11" s="1"/>
  <c r="AG78" i="11" s="1"/>
  <c r="AI165" i="7"/>
  <c r="AI146" i="7" s="1"/>
  <c r="P13" i="10"/>
  <c r="P10" i="10"/>
  <c r="I10" i="10"/>
  <c r="I2" i="10"/>
  <c r="I5" i="10"/>
  <c r="H11" i="10"/>
  <c r="H7" i="10"/>
  <c r="H12" i="10"/>
  <c r="H13" i="10"/>
  <c r="H170" i="8"/>
  <c r="AF170" i="8"/>
  <c r="C69" i="11"/>
  <c r="D69" i="11"/>
  <c r="F69" i="11" s="1"/>
  <c r="H69" i="11" s="1"/>
  <c r="J69" i="11" s="1"/>
  <c r="L69" i="11" s="1"/>
  <c r="N69" i="11" s="1"/>
  <c r="P69" i="11" s="1"/>
  <c r="R69" i="11" s="1"/>
  <c r="T69" i="11" s="1"/>
  <c r="V69" i="11" s="1"/>
  <c r="X69" i="11" s="1"/>
  <c r="Z69" i="11" s="1"/>
  <c r="AB69" i="11" s="1"/>
  <c r="AD69" i="11" s="1"/>
  <c r="AF69" i="11" s="1"/>
  <c r="AH69" i="11" s="1"/>
  <c r="D81" i="4"/>
  <c r="F81" i="4" s="1"/>
  <c r="H81" i="4" s="1"/>
  <c r="J81" i="4" s="1"/>
  <c r="L81" i="4" s="1"/>
  <c r="N81" i="4" s="1"/>
  <c r="P81" i="4" s="1"/>
  <c r="R81" i="4" s="1"/>
  <c r="T81" i="4" s="1"/>
  <c r="V81" i="4" s="1"/>
  <c r="X81" i="4" s="1"/>
  <c r="Z81" i="4" s="1"/>
  <c r="AB81" i="4" s="1"/>
  <c r="AD81" i="4" s="1"/>
  <c r="AF81" i="4" s="1"/>
  <c r="AH81" i="4" s="1"/>
  <c r="E5" i="10"/>
  <c r="H165" i="8"/>
  <c r="AF165" i="8"/>
  <c r="G9" i="10"/>
  <c r="C12" i="10"/>
  <c r="C98" i="4"/>
  <c r="E98" i="4" s="1"/>
  <c r="G98" i="4" s="1"/>
  <c r="I98" i="4" s="1"/>
  <c r="K98" i="4" s="1"/>
  <c r="M98" i="4" s="1"/>
  <c r="O98" i="4" s="1"/>
  <c r="Q98" i="4" s="1"/>
  <c r="S98" i="4" s="1"/>
  <c r="U98" i="4" s="1"/>
  <c r="W98" i="4" s="1"/>
  <c r="Y98" i="4" s="1"/>
  <c r="AA98" i="4" s="1"/>
  <c r="AC98" i="4" s="1"/>
  <c r="AE98" i="4" s="1"/>
  <c r="AG98" i="4" s="1"/>
  <c r="D71" i="11"/>
  <c r="F71" i="11" s="1"/>
  <c r="H71" i="11" s="1"/>
  <c r="J71" i="11" s="1"/>
  <c r="L71" i="11" s="1"/>
  <c r="N71" i="11" s="1"/>
  <c r="P71" i="11" s="1"/>
  <c r="R71" i="11" s="1"/>
  <c r="T71" i="11" s="1"/>
  <c r="V71" i="11" s="1"/>
  <c r="X71" i="11" s="1"/>
  <c r="Z71" i="11" s="1"/>
  <c r="AB71" i="11" s="1"/>
  <c r="AD71" i="11" s="1"/>
  <c r="AF71" i="11" s="1"/>
  <c r="AH71" i="11" s="1"/>
  <c r="D67" i="11"/>
  <c r="F67" i="11" s="1"/>
  <c r="H67" i="11" s="1"/>
  <c r="J67" i="11" s="1"/>
  <c r="L67" i="11" s="1"/>
  <c r="N67" i="11" s="1"/>
  <c r="P67" i="11" s="1"/>
  <c r="R67" i="11" s="1"/>
  <c r="T67" i="11" s="1"/>
  <c r="V67" i="11" s="1"/>
  <c r="X67" i="11" s="1"/>
  <c r="Z67" i="11" s="1"/>
  <c r="AB67" i="11" s="1"/>
  <c r="AD67" i="11" s="1"/>
  <c r="AF67" i="11" s="1"/>
  <c r="AH67" i="11" s="1"/>
  <c r="D92" i="11"/>
  <c r="F92" i="11" s="1"/>
  <c r="H92" i="11" s="1"/>
  <c r="J92" i="11" s="1"/>
  <c r="L92" i="11" s="1"/>
  <c r="N92" i="11" s="1"/>
  <c r="P92" i="11" s="1"/>
  <c r="R92" i="11" s="1"/>
  <c r="T92" i="11" s="1"/>
  <c r="V92" i="11" s="1"/>
  <c r="X92" i="11" s="1"/>
  <c r="Z92" i="11" s="1"/>
  <c r="AB92" i="11" s="1"/>
  <c r="AD92" i="11" s="1"/>
  <c r="AF92" i="11" s="1"/>
  <c r="AH92" i="11" s="1"/>
  <c r="C92" i="11"/>
  <c r="E92" i="11" s="1"/>
  <c r="G92" i="11" s="1"/>
  <c r="I92" i="11" s="1"/>
  <c r="K92" i="11" s="1"/>
  <c r="M92" i="11" s="1"/>
  <c r="O92" i="11" s="1"/>
  <c r="Q92" i="11" s="1"/>
  <c r="S92" i="11" s="1"/>
  <c r="U92" i="11" s="1"/>
  <c r="W92" i="11" s="1"/>
  <c r="Y92" i="11" s="1"/>
  <c r="AA92" i="11" s="1"/>
  <c r="AC92" i="11" s="1"/>
  <c r="AE92" i="11" s="1"/>
  <c r="AG92" i="11" s="1"/>
  <c r="F6" i="10"/>
  <c r="AD167" i="7"/>
  <c r="AD148" i="7" s="1"/>
  <c r="H164" i="8"/>
  <c r="AF164" i="8"/>
  <c r="R1" i="11"/>
  <c r="T1" i="4"/>
  <c r="AE162" i="7"/>
  <c r="AE143" i="7" s="1"/>
  <c r="C68" i="11"/>
  <c r="E68" i="11" s="1"/>
  <c r="G68" i="11" s="1"/>
  <c r="I68" i="11" s="1"/>
  <c r="K68" i="11" s="1"/>
  <c r="M68" i="11" s="1"/>
  <c r="O68" i="11" s="1"/>
  <c r="Q68" i="11" s="1"/>
  <c r="S68" i="11" s="1"/>
  <c r="U68" i="11" s="1"/>
  <c r="W68" i="11" s="1"/>
  <c r="Y68" i="11" s="1"/>
  <c r="AA68" i="11" s="1"/>
  <c r="AC68" i="11" s="1"/>
  <c r="AE68" i="11" s="1"/>
  <c r="AG68" i="11" s="1"/>
  <c r="D68" i="11"/>
  <c r="F68" i="11" s="1"/>
  <c r="H68" i="11" s="1"/>
  <c r="J68" i="11" s="1"/>
  <c r="L68" i="11" s="1"/>
  <c r="N68" i="11" s="1"/>
  <c r="P68" i="11" s="1"/>
  <c r="R68" i="11" s="1"/>
  <c r="T68" i="11" s="1"/>
  <c r="V68" i="11" s="1"/>
  <c r="X68" i="11" s="1"/>
  <c r="Z68" i="11" s="1"/>
  <c r="AB68" i="11" s="1"/>
  <c r="AD68" i="11" s="1"/>
  <c r="AF68" i="11" s="1"/>
  <c r="AH68" i="11" s="1"/>
  <c r="A88" i="4"/>
  <c r="A88" i="11" s="1"/>
  <c r="A74" i="11"/>
  <c r="AB163" i="7" s="1"/>
  <c r="AB144" i="7" s="1"/>
  <c r="C66" i="11"/>
  <c r="E66" i="11" s="1"/>
  <c r="G66" i="11" s="1"/>
  <c r="I66" i="11" s="1"/>
  <c r="K66" i="11" s="1"/>
  <c r="M66" i="11" s="1"/>
  <c r="O66" i="11" s="1"/>
  <c r="Q66" i="11" s="1"/>
  <c r="S66" i="11" s="1"/>
  <c r="U66" i="11" s="1"/>
  <c r="W66" i="11" s="1"/>
  <c r="Y66" i="11" s="1"/>
  <c r="AA66" i="11" s="1"/>
  <c r="AC66" i="11" s="1"/>
  <c r="AE66" i="11" s="1"/>
  <c r="AG66" i="11" s="1"/>
  <c r="P16" i="10"/>
  <c r="P11" i="10"/>
  <c r="J7" i="10"/>
  <c r="J4" i="10"/>
  <c r="J8" i="10"/>
  <c r="J9" i="10"/>
  <c r="J3" i="10"/>
  <c r="J5" i="10"/>
  <c r="J6" i="10"/>
  <c r="J11" i="10"/>
  <c r="J10" i="10"/>
  <c r="L3" i="10"/>
  <c r="L10" i="10"/>
  <c r="L6" i="10"/>
  <c r="L12" i="10"/>
  <c r="L7" i="10"/>
  <c r="L2" i="10"/>
  <c r="L8" i="10"/>
  <c r="L9" i="10"/>
  <c r="L5" i="10"/>
  <c r="AM175" i="7"/>
  <c r="AM156" i="7" s="1"/>
  <c r="A83" i="11"/>
  <c r="A97" i="4"/>
  <c r="D83" i="4"/>
  <c r="F83" i="4" s="1"/>
  <c r="H83" i="4" s="1"/>
  <c r="J83" i="4" s="1"/>
  <c r="L83" i="4" s="1"/>
  <c r="N83" i="4" s="1"/>
  <c r="P83" i="4" s="1"/>
  <c r="R83" i="4" s="1"/>
  <c r="T83" i="4" s="1"/>
  <c r="V83" i="4" s="1"/>
  <c r="X83" i="4" s="1"/>
  <c r="Z83" i="4" s="1"/>
  <c r="AB83" i="4" s="1"/>
  <c r="AD83" i="4" s="1"/>
  <c r="AF83" i="4" s="1"/>
  <c r="AH83" i="4" s="1"/>
  <c r="C83" i="4"/>
  <c r="E83" i="4" s="1"/>
  <c r="G83" i="4" s="1"/>
  <c r="I83" i="4" s="1"/>
  <c r="K83" i="4" s="1"/>
  <c r="M83" i="4" s="1"/>
  <c r="O83" i="4" s="1"/>
  <c r="Q83" i="4" s="1"/>
  <c r="S83" i="4" s="1"/>
  <c r="U83" i="4" s="1"/>
  <c r="W83" i="4" s="1"/>
  <c r="Y83" i="4" s="1"/>
  <c r="AA83" i="4" s="1"/>
  <c r="AC83" i="4" s="1"/>
  <c r="AE83" i="4" s="1"/>
  <c r="AG83" i="4" s="1"/>
  <c r="F7" i="10"/>
  <c r="G16" i="10"/>
  <c r="D98" i="4"/>
  <c r="F98" i="4" s="1"/>
  <c r="H98" i="4" s="1"/>
  <c r="J98" i="4" s="1"/>
  <c r="L98" i="4" s="1"/>
  <c r="N98" i="4" s="1"/>
  <c r="P98" i="4" s="1"/>
  <c r="R98" i="4" s="1"/>
  <c r="T98" i="4" s="1"/>
  <c r="V98" i="4" s="1"/>
  <c r="X98" i="4" s="1"/>
  <c r="Z98" i="4" s="1"/>
  <c r="AB98" i="4" s="1"/>
  <c r="AD98" i="4" s="1"/>
  <c r="AF98" i="4" s="1"/>
  <c r="AH98" i="4" s="1"/>
  <c r="E8" i="10"/>
  <c r="C90" i="11"/>
  <c r="E90" i="11" s="1"/>
  <c r="G90" i="11" s="1"/>
  <c r="I90" i="11" s="1"/>
  <c r="K90" i="11" s="1"/>
  <c r="M90" i="11" s="1"/>
  <c r="O90" i="11" s="1"/>
  <c r="Q90" i="11" s="1"/>
  <c r="S90" i="11" s="1"/>
  <c r="U90" i="11" s="1"/>
  <c r="W90" i="11" s="1"/>
  <c r="Y90" i="11" s="1"/>
  <c r="AA90" i="11" s="1"/>
  <c r="AC90" i="11" s="1"/>
  <c r="AE90" i="11" s="1"/>
  <c r="AG90" i="11" s="1"/>
  <c r="D90" i="11"/>
  <c r="F90" i="11" s="1"/>
  <c r="H90" i="11" s="1"/>
  <c r="J90" i="11" s="1"/>
  <c r="L90" i="11" s="1"/>
  <c r="N90" i="11" s="1"/>
  <c r="P90" i="11" s="1"/>
  <c r="R90" i="11" s="1"/>
  <c r="T90" i="11" s="1"/>
  <c r="V90" i="11" s="1"/>
  <c r="X90" i="11" s="1"/>
  <c r="Z90" i="11" s="1"/>
  <c r="AB90" i="11" s="1"/>
  <c r="AD90" i="11" s="1"/>
  <c r="AF90" i="11" s="1"/>
  <c r="AH90" i="11" s="1"/>
  <c r="H15" i="10"/>
  <c r="C92" i="4"/>
  <c r="E92" i="4" s="1"/>
  <c r="G92" i="4" s="1"/>
  <c r="I92" i="4" s="1"/>
  <c r="K92" i="4" s="1"/>
  <c r="M92" i="4" s="1"/>
  <c r="O92" i="4" s="1"/>
  <c r="Q92" i="4" s="1"/>
  <c r="S92" i="4" s="1"/>
  <c r="U92" i="4" s="1"/>
  <c r="W92" i="4" s="1"/>
  <c r="Y92" i="4" s="1"/>
  <c r="AA92" i="4" s="1"/>
  <c r="AC92" i="4" s="1"/>
  <c r="AE92" i="4" s="1"/>
  <c r="AG92" i="4" s="1"/>
  <c r="AB170" i="7"/>
  <c r="AB151" i="7" s="1"/>
  <c r="P71" i="23"/>
  <c r="B122" i="7" s="1"/>
  <c r="P73" i="23"/>
  <c r="B124" i="7" s="1"/>
  <c r="AJ83" i="23"/>
  <c r="B134" i="7"/>
  <c r="H86" i="23"/>
  <c r="P82" i="23"/>
  <c r="B133" i="7" s="1"/>
  <c r="P72" i="23"/>
  <c r="P76" i="23"/>
  <c r="B127" i="7" s="1"/>
  <c r="P81" i="23"/>
  <c r="B132" i="7" s="1"/>
  <c r="P78" i="23"/>
  <c r="B129" i="7" s="1"/>
  <c r="G86" i="23"/>
  <c r="P75" i="23"/>
  <c r="B126" i="7" s="1"/>
  <c r="P84" i="23"/>
  <c r="B135" i="7" s="1"/>
  <c r="P80" i="23"/>
  <c r="B131" i="7" s="1"/>
  <c r="P85" i="23"/>
  <c r="P74" i="23"/>
  <c r="B125" i="7" s="1"/>
  <c r="P77" i="23"/>
  <c r="B128" i="7" s="1"/>
  <c r="P79" i="23"/>
  <c r="B130" i="7" s="1"/>
  <c r="AC168" i="7" l="1"/>
  <c r="AC149" i="7" s="1"/>
  <c r="AE176" i="7"/>
  <c r="AE157" i="7" s="1"/>
  <c r="D79" i="11"/>
  <c r="F79" i="11" s="1"/>
  <c r="H79" i="11" s="1"/>
  <c r="J79" i="11" s="1"/>
  <c r="L79" i="11" s="1"/>
  <c r="N79" i="11" s="1"/>
  <c r="P79" i="11" s="1"/>
  <c r="R79" i="11" s="1"/>
  <c r="T79" i="11" s="1"/>
  <c r="V79" i="11" s="1"/>
  <c r="X79" i="11" s="1"/>
  <c r="Z79" i="11" s="1"/>
  <c r="AB79" i="11" s="1"/>
  <c r="AD79" i="11" s="1"/>
  <c r="AF79" i="11" s="1"/>
  <c r="AH79" i="11" s="1"/>
  <c r="C79" i="11"/>
  <c r="E79" i="11" s="1"/>
  <c r="G79" i="11" s="1"/>
  <c r="I79" i="11" s="1"/>
  <c r="K79" i="11" s="1"/>
  <c r="M79" i="11" s="1"/>
  <c r="O79" i="11" s="1"/>
  <c r="Q79" i="11" s="1"/>
  <c r="S79" i="11" s="1"/>
  <c r="U79" i="11" s="1"/>
  <c r="W79" i="11" s="1"/>
  <c r="Y79" i="11" s="1"/>
  <c r="AA79" i="11" s="1"/>
  <c r="AC79" i="11" s="1"/>
  <c r="AE79" i="11" s="1"/>
  <c r="AG79" i="11" s="1"/>
  <c r="AL170" i="7"/>
  <c r="AL151" i="7" s="1"/>
  <c r="AM169" i="7"/>
  <c r="AM150" i="7" s="1"/>
  <c r="I164" i="8"/>
  <c r="AG164" i="8"/>
  <c r="F77" i="11"/>
  <c r="H77" i="11" s="1"/>
  <c r="J77" i="11" s="1"/>
  <c r="L77" i="11" s="1"/>
  <c r="N77" i="11" s="1"/>
  <c r="P77" i="11" s="1"/>
  <c r="R77" i="11" s="1"/>
  <c r="T77" i="11" s="1"/>
  <c r="V77" i="11" s="1"/>
  <c r="X77" i="11" s="1"/>
  <c r="Z77" i="11" s="1"/>
  <c r="AB77" i="11" s="1"/>
  <c r="AD77" i="11" s="1"/>
  <c r="AF77" i="11" s="1"/>
  <c r="AH77" i="11" s="1"/>
  <c r="AG166" i="7"/>
  <c r="AG147" i="7" s="1"/>
  <c r="AD163" i="7"/>
  <c r="AD144" i="7" s="1"/>
  <c r="AB174" i="7"/>
  <c r="AB155" i="7" s="1"/>
  <c r="Q1" i="11"/>
  <c r="S1" i="4"/>
  <c r="AH176" i="7"/>
  <c r="AH157" i="7" s="1"/>
  <c r="I171" i="8"/>
  <c r="AG171" i="8"/>
  <c r="AJ170" i="7"/>
  <c r="AJ151" i="7" s="1"/>
  <c r="F60" i="11"/>
  <c r="H60" i="11" s="1"/>
  <c r="J60" i="11" s="1"/>
  <c r="L60" i="11" s="1"/>
  <c r="N60" i="11" s="1"/>
  <c r="P60" i="11" s="1"/>
  <c r="R60" i="11" s="1"/>
  <c r="T60" i="11" s="1"/>
  <c r="V60" i="11" s="1"/>
  <c r="X60" i="11" s="1"/>
  <c r="Z60" i="11" s="1"/>
  <c r="AB60" i="11" s="1"/>
  <c r="AD60" i="11" s="1"/>
  <c r="AF60" i="11" s="1"/>
  <c r="AH60" i="11" s="1"/>
  <c r="AF163" i="7"/>
  <c r="AF144" i="7" s="1"/>
  <c r="AF173" i="7"/>
  <c r="AF154" i="7" s="1"/>
  <c r="AN165" i="7"/>
  <c r="AN146" i="7" s="1"/>
  <c r="AG167" i="7"/>
  <c r="AG148" i="7" s="1"/>
  <c r="AD173" i="7"/>
  <c r="AD154" i="7" s="1"/>
  <c r="AD174" i="7"/>
  <c r="AD155" i="7" s="1"/>
  <c r="AL174" i="7"/>
  <c r="AL155" i="7" s="1"/>
  <c r="AE163" i="7"/>
  <c r="AE144" i="7" s="1"/>
  <c r="AF174" i="7"/>
  <c r="AF155" i="7" s="1"/>
  <c r="AF170" i="7"/>
  <c r="AF151" i="7" s="1"/>
  <c r="AI170" i="7"/>
  <c r="AI151" i="7" s="1"/>
  <c r="AK171" i="7"/>
  <c r="AK152" i="7" s="1"/>
  <c r="D95" i="11"/>
  <c r="F95" i="11" s="1"/>
  <c r="H95" i="11" s="1"/>
  <c r="J95" i="11" s="1"/>
  <c r="L95" i="11" s="1"/>
  <c r="N95" i="11" s="1"/>
  <c r="P95" i="11" s="1"/>
  <c r="R95" i="11" s="1"/>
  <c r="T95" i="11" s="1"/>
  <c r="V95" i="11" s="1"/>
  <c r="X95" i="11" s="1"/>
  <c r="Z95" i="11" s="1"/>
  <c r="AB95" i="11" s="1"/>
  <c r="AD95" i="11" s="1"/>
  <c r="AF95" i="11" s="1"/>
  <c r="AH95" i="11" s="1"/>
  <c r="C95" i="11"/>
  <c r="AH173" i="7"/>
  <c r="AH154" i="7" s="1"/>
  <c r="AC170" i="7"/>
  <c r="AC151" i="7" s="1"/>
  <c r="D81" i="11"/>
  <c r="F81" i="11" s="1"/>
  <c r="H81" i="11" s="1"/>
  <c r="J81" i="11" s="1"/>
  <c r="L81" i="11" s="1"/>
  <c r="N81" i="11" s="1"/>
  <c r="P81" i="11" s="1"/>
  <c r="R81" i="11" s="1"/>
  <c r="T81" i="11" s="1"/>
  <c r="V81" i="11" s="1"/>
  <c r="X81" i="11" s="1"/>
  <c r="Z81" i="11" s="1"/>
  <c r="AB81" i="11" s="1"/>
  <c r="AD81" i="11" s="1"/>
  <c r="AF81" i="11" s="1"/>
  <c r="AH81" i="11" s="1"/>
  <c r="AJ175" i="7"/>
  <c r="AJ156" i="7" s="1"/>
  <c r="AN175" i="7"/>
  <c r="AN156" i="7" s="1"/>
  <c r="AF165" i="7"/>
  <c r="AF146" i="7" s="1"/>
  <c r="C100" i="11"/>
  <c r="AJ169" i="7"/>
  <c r="AJ150" i="7" s="1"/>
  <c r="AG168" i="7"/>
  <c r="AG149" i="7" s="1"/>
  <c r="D100" i="11"/>
  <c r="AG164" i="7" s="1"/>
  <c r="AG145" i="7" s="1"/>
  <c r="C88" i="4"/>
  <c r="E88" i="4" s="1"/>
  <c r="G88" i="4" s="1"/>
  <c r="I88" i="4" s="1"/>
  <c r="K88" i="4" s="1"/>
  <c r="M88" i="4" s="1"/>
  <c r="O88" i="4" s="1"/>
  <c r="Q88" i="4" s="1"/>
  <c r="S88" i="4" s="1"/>
  <c r="U88" i="4" s="1"/>
  <c r="W88" i="4" s="1"/>
  <c r="Y88" i="4" s="1"/>
  <c r="AA88" i="4" s="1"/>
  <c r="AC88" i="4" s="1"/>
  <c r="AE88" i="4" s="1"/>
  <c r="AG88" i="4" s="1"/>
  <c r="AB172" i="7"/>
  <c r="AB153" i="7" s="1"/>
  <c r="AB164" i="7"/>
  <c r="AB145" i="7" s="1"/>
  <c r="A97" i="11"/>
  <c r="AD172" i="7" s="1"/>
  <c r="AD153" i="7" s="1"/>
  <c r="D97" i="4"/>
  <c r="F97" i="4" s="1"/>
  <c r="H97" i="4" s="1"/>
  <c r="J97" i="4" s="1"/>
  <c r="L97" i="4" s="1"/>
  <c r="N97" i="4" s="1"/>
  <c r="P97" i="4" s="1"/>
  <c r="R97" i="4" s="1"/>
  <c r="T97" i="4" s="1"/>
  <c r="V97" i="4" s="1"/>
  <c r="X97" i="4" s="1"/>
  <c r="Z97" i="4" s="1"/>
  <c r="AB97" i="4" s="1"/>
  <c r="AD97" i="4" s="1"/>
  <c r="AF97" i="4" s="1"/>
  <c r="AH97" i="4" s="1"/>
  <c r="C97" i="4"/>
  <c r="E97" i="4" s="1"/>
  <c r="G97" i="4" s="1"/>
  <c r="I97" i="4" s="1"/>
  <c r="K97" i="4" s="1"/>
  <c r="M97" i="4" s="1"/>
  <c r="O97" i="4" s="1"/>
  <c r="Q97" i="4" s="1"/>
  <c r="S97" i="4" s="1"/>
  <c r="U97" i="4" s="1"/>
  <c r="W97" i="4" s="1"/>
  <c r="Y97" i="4" s="1"/>
  <c r="AA97" i="4" s="1"/>
  <c r="AC97" i="4" s="1"/>
  <c r="AE97" i="4" s="1"/>
  <c r="AG97" i="4" s="1"/>
  <c r="AJ172" i="7"/>
  <c r="AJ153" i="7" s="1"/>
  <c r="AD175" i="7"/>
  <c r="AD156" i="7" s="1"/>
  <c r="F66" i="11"/>
  <c r="H66" i="11" s="1"/>
  <c r="J66" i="11" s="1"/>
  <c r="L66" i="11" s="1"/>
  <c r="N66" i="11" s="1"/>
  <c r="P66" i="11" s="1"/>
  <c r="R66" i="11" s="1"/>
  <c r="T66" i="11" s="1"/>
  <c r="V66" i="11" s="1"/>
  <c r="X66" i="11" s="1"/>
  <c r="Z66" i="11" s="1"/>
  <c r="AB66" i="11" s="1"/>
  <c r="AD66" i="11" s="1"/>
  <c r="AF66" i="11" s="1"/>
  <c r="AH66" i="11" s="1"/>
  <c r="AF169" i="7"/>
  <c r="AF150" i="7" s="1"/>
  <c r="AH165" i="7"/>
  <c r="AH146" i="7" s="1"/>
  <c r="D91" i="11"/>
  <c r="F91" i="11" s="1"/>
  <c r="H91" i="11" s="1"/>
  <c r="J91" i="11" s="1"/>
  <c r="L91" i="11" s="1"/>
  <c r="N91" i="11" s="1"/>
  <c r="P91" i="11" s="1"/>
  <c r="R91" i="11" s="1"/>
  <c r="T91" i="11" s="1"/>
  <c r="V91" i="11" s="1"/>
  <c r="X91" i="11" s="1"/>
  <c r="Z91" i="11" s="1"/>
  <c r="AB91" i="11" s="1"/>
  <c r="AD91" i="11" s="1"/>
  <c r="AF91" i="11" s="1"/>
  <c r="AH91" i="11" s="1"/>
  <c r="C91" i="11"/>
  <c r="E91" i="11" s="1"/>
  <c r="G91" i="11" s="1"/>
  <c r="I91" i="11" s="1"/>
  <c r="K91" i="11" s="1"/>
  <c r="M91" i="11" s="1"/>
  <c r="O91" i="11" s="1"/>
  <c r="Q91" i="11" s="1"/>
  <c r="S91" i="11" s="1"/>
  <c r="U91" i="11" s="1"/>
  <c r="W91" i="11" s="1"/>
  <c r="Y91" i="11" s="1"/>
  <c r="AA91" i="11" s="1"/>
  <c r="AC91" i="11" s="1"/>
  <c r="AE91" i="11" s="1"/>
  <c r="AG91" i="11" s="1"/>
  <c r="AI169" i="7"/>
  <c r="AI150" i="7" s="1"/>
  <c r="D95" i="4"/>
  <c r="F95" i="4" s="1"/>
  <c r="H95" i="4" s="1"/>
  <c r="J95" i="4" s="1"/>
  <c r="L95" i="4" s="1"/>
  <c r="N95" i="4" s="1"/>
  <c r="P95" i="4" s="1"/>
  <c r="R95" i="4" s="1"/>
  <c r="T95" i="4" s="1"/>
  <c r="V95" i="4" s="1"/>
  <c r="X95" i="4" s="1"/>
  <c r="Z95" i="4" s="1"/>
  <c r="AB95" i="4" s="1"/>
  <c r="AD95" i="4" s="1"/>
  <c r="AF95" i="4" s="1"/>
  <c r="AH95" i="4" s="1"/>
  <c r="AE165" i="7"/>
  <c r="AE146" i="7" s="1"/>
  <c r="D99" i="11"/>
  <c r="F99" i="11" s="1"/>
  <c r="H99" i="11" s="1"/>
  <c r="J99" i="11" s="1"/>
  <c r="L99" i="11" s="1"/>
  <c r="N99" i="11" s="1"/>
  <c r="P99" i="11" s="1"/>
  <c r="R99" i="11" s="1"/>
  <c r="T99" i="11" s="1"/>
  <c r="V99" i="11" s="1"/>
  <c r="X99" i="11" s="1"/>
  <c r="Z99" i="11" s="1"/>
  <c r="AB99" i="11" s="1"/>
  <c r="AD99" i="11" s="1"/>
  <c r="AF99" i="11" s="1"/>
  <c r="AH99" i="11" s="1"/>
  <c r="C99" i="11"/>
  <c r="E99" i="11" s="1"/>
  <c r="G99" i="11" s="1"/>
  <c r="I99" i="11" s="1"/>
  <c r="K99" i="11" s="1"/>
  <c r="M99" i="11" s="1"/>
  <c r="O99" i="11" s="1"/>
  <c r="Q99" i="11" s="1"/>
  <c r="S99" i="11" s="1"/>
  <c r="U99" i="11" s="1"/>
  <c r="W99" i="11" s="1"/>
  <c r="Y99" i="11" s="1"/>
  <c r="AA99" i="11" s="1"/>
  <c r="AC99" i="11" s="1"/>
  <c r="AE99" i="11" s="1"/>
  <c r="AG99" i="11" s="1"/>
  <c r="AK167" i="7"/>
  <c r="AK148" i="7" s="1"/>
  <c r="AM173" i="7"/>
  <c r="AM154" i="7" s="1"/>
  <c r="AI175" i="7"/>
  <c r="AI156" i="7" s="1"/>
  <c r="AL167" i="7"/>
  <c r="AL148" i="7" s="1"/>
  <c r="AG173" i="7"/>
  <c r="AG154" i="7" s="1"/>
  <c r="AF167" i="7"/>
  <c r="AF148" i="7" s="1"/>
  <c r="AO165" i="7"/>
  <c r="AO146" i="7" s="1"/>
  <c r="AJ173" i="7"/>
  <c r="AJ154" i="7" s="1"/>
  <c r="C81" i="11"/>
  <c r="E81" i="11" s="1"/>
  <c r="G81" i="11" s="1"/>
  <c r="I81" i="11" s="1"/>
  <c r="K81" i="11" s="1"/>
  <c r="M81" i="11" s="1"/>
  <c r="O81" i="11" s="1"/>
  <c r="Q81" i="11" s="1"/>
  <c r="S81" i="11" s="1"/>
  <c r="U81" i="11" s="1"/>
  <c r="W81" i="11" s="1"/>
  <c r="Y81" i="11" s="1"/>
  <c r="AA81" i="11" s="1"/>
  <c r="AC81" i="11" s="1"/>
  <c r="AE81" i="11" s="1"/>
  <c r="AG81" i="11" s="1"/>
  <c r="AD162" i="7"/>
  <c r="AD143" i="7" s="1"/>
  <c r="AB169" i="7"/>
  <c r="AB150" i="7" s="1"/>
  <c r="E33" i="5" a="1"/>
  <c r="E33" i="5" s="1"/>
  <c r="M33" i="5" a="1"/>
  <c r="M33" i="5" s="1"/>
  <c r="F33" i="5" a="1"/>
  <c r="F33" i="5" s="1"/>
  <c r="D33" i="5" a="1"/>
  <c r="D33" i="5" s="1"/>
  <c r="K33" i="5" a="1"/>
  <c r="K33" i="5" s="1"/>
  <c r="N33" i="5" a="1"/>
  <c r="N33" i="5" s="1"/>
  <c r="G33" i="5" a="1"/>
  <c r="G33" i="5" s="1"/>
  <c r="I33" i="5" a="1"/>
  <c r="I33" i="5" s="1"/>
  <c r="O33" i="5" a="1"/>
  <c r="O33" i="5" s="1"/>
  <c r="J33" i="5" a="1"/>
  <c r="J33" i="5" s="1"/>
  <c r="R33" i="5" a="1"/>
  <c r="R33" i="5" s="1"/>
  <c r="H33" i="5" a="1"/>
  <c r="H33" i="5" s="1"/>
  <c r="P33" i="5" a="1"/>
  <c r="P33" i="5" s="1"/>
  <c r="Q33" i="5" a="1"/>
  <c r="Q33" i="5" s="1"/>
  <c r="L33" i="5" a="1"/>
  <c r="L33" i="5" s="1"/>
  <c r="C34" i="5"/>
  <c r="AL163" i="7"/>
  <c r="AL144" i="7" s="1"/>
  <c r="AM162" i="7"/>
  <c r="AM143" i="7" s="1"/>
  <c r="D88" i="11"/>
  <c r="F88" i="11" s="1"/>
  <c r="H88" i="11" s="1"/>
  <c r="J88" i="11" s="1"/>
  <c r="L88" i="11" s="1"/>
  <c r="N88" i="11" s="1"/>
  <c r="P88" i="11" s="1"/>
  <c r="R88" i="11" s="1"/>
  <c r="T88" i="11" s="1"/>
  <c r="V88" i="11" s="1"/>
  <c r="X88" i="11" s="1"/>
  <c r="Z88" i="11" s="1"/>
  <c r="AB88" i="11" s="1"/>
  <c r="AD88" i="11" s="1"/>
  <c r="AF88" i="11" s="1"/>
  <c r="AH88" i="11" s="1"/>
  <c r="C88" i="11"/>
  <c r="E88" i="11" s="1"/>
  <c r="G88" i="11" s="1"/>
  <c r="I88" i="11" s="1"/>
  <c r="K88" i="11" s="1"/>
  <c r="M88" i="11" s="1"/>
  <c r="O88" i="11" s="1"/>
  <c r="Q88" i="11" s="1"/>
  <c r="S88" i="11" s="1"/>
  <c r="U88" i="11" s="1"/>
  <c r="W88" i="11" s="1"/>
  <c r="Y88" i="11" s="1"/>
  <c r="AA88" i="11" s="1"/>
  <c r="AC88" i="11" s="1"/>
  <c r="AE88" i="11" s="1"/>
  <c r="AG88" i="11" s="1"/>
  <c r="AL169" i="7"/>
  <c r="AL150" i="7" s="1"/>
  <c r="AE166" i="7"/>
  <c r="AE147" i="7" s="1"/>
  <c r="AL164" i="7"/>
  <c r="AL145" i="7" s="1"/>
  <c r="AM163" i="7"/>
  <c r="AM144" i="7" s="1"/>
  <c r="V2" i="11"/>
  <c r="X2" i="4"/>
  <c r="I172" i="8"/>
  <c r="AG172" i="8"/>
  <c r="AN172" i="7"/>
  <c r="AN153" i="7" s="1"/>
  <c r="D83" i="11"/>
  <c r="F83" i="11" s="1"/>
  <c r="H83" i="11" s="1"/>
  <c r="J83" i="11" s="1"/>
  <c r="L83" i="11" s="1"/>
  <c r="N83" i="11" s="1"/>
  <c r="P83" i="11" s="1"/>
  <c r="R83" i="11" s="1"/>
  <c r="T83" i="11" s="1"/>
  <c r="V83" i="11" s="1"/>
  <c r="X83" i="11" s="1"/>
  <c r="Z83" i="11" s="1"/>
  <c r="AB83" i="11" s="1"/>
  <c r="AD83" i="11" s="1"/>
  <c r="AF83" i="11" s="1"/>
  <c r="AH83" i="11" s="1"/>
  <c r="C83" i="11"/>
  <c r="E83" i="11" s="1"/>
  <c r="G83" i="11" s="1"/>
  <c r="I83" i="11" s="1"/>
  <c r="K83" i="11" s="1"/>
  <c r="M83" i="11" s="1"/>
  <c r="O83" i="11" s="1"/>
  <c r="Q83" i="11" s="1"/>
  <c r="S83" i="11" s="1"/>
  <c r="U83" i="11" s="1"/>
  <c r="W83" i="11" s="1"/>
  <c r="Y83" i="11" s="1"/>
  <c r="AA83" i="11" s="1"/>
  <c r="AC83" i="11" s="1"/>
  <c r="AE83" i="11" s="1"/>
  <c r="AG83" i="11" s="1"/>
  <c r="AK172" i="7"/>
  <c r="AK153" i="7" s="1"/>
  <c r="AC172" i="7"/>
  <c r="AC153" i="7" s="1"/>
  <c r="AO173" i="7"/>
  <c r="AO154" i="7" s="1"/>
  <c r="I163" i="8"/>
  <c r="AG163" i="8"/>
  <c r="AB175" i="7"/>
  <c r="AB156" i="7" s="1"/>
  <c r="AO167" i="7"/>
  <c r="AO148" i="7" s="1"/>
  <c r="C99" i="4"/>
  <c r="E99" i="4" s="1"/>
  <c r="G99" i="4" s="1"/>
  <c r="I99" i="4" s="1"/>
  <c r="K99" i="4" s="1"/>
  <c r="M99" i="4" s="1"/>
  <c r="O99" i="4" s="1"/>
  <c r="Q99" i="4" s="1"/>
  <c r="S99" i="4" s="1"/>
  <c r="U99" i="4" s="1"/>
  <c r="W99" i="4" s="1"/>
  <c r="Y99" i="4" s="1"/>
  <c r="AA99" i="4" s="1"/>
  <c r="AC99" i="4" s="1"/>
  <c r="AE99" i="4" s="1"/>
  <c r="AG99" i="4" s="1"/>
  <c r="I168" i="8"/>
  <c r="AG168" i="8"/>
  <c r="D74" i="11"/>
  <c r="F74" i="11" s="1"/>
  <c r="H74" i="11" s="1"/>
  <c r="J74" i="11" s="1"/>
  <c r="L74" i="11" s="1"/>
  <c r="N74" i="11" s="1"/>
  <c r="P74" i="11" s="1"/>
  <c r="R74" i="11" s="1"/>
  <c r="T74" i="11" s="1"/>
  <c r="V74" i="11" s="1"/>
  <c r="X74" i="11" s="1"/>
  <c r="Z74" i="11" s="1"/>
  <c r="AB74" i="11" s="1"/>
  <c r="AD74" i="11" s="1"/>
  <c r="AF74" i="11" s="1"/>
  <c r="AH74" i="11" s="1"/>
  <c r="AM170" i="7"/>
  <c r="AM151" i="7" s="1"/>
  <c r="AC173" i="7"/>
  <c r="AC154" i="7" s="1"/>
  <c r="D88" i="4"/>
  <c r="F88" i="4" s="1"/>
  <c r="H88" i="4" s="1"/>
  <c r="J88" i="4" s="1"/>
  <c r="L88" i="4" s="1"/>
  <c r="N88" i="4" s="1"/>
  <c r="P88" i="4" s="1"/>
  <c r="R88" i="4" s="1"/>
  <c r="T88" i="4" s="1"/>
  <c r="V88" i="4" s="1"/>
  <c r="X88" i="4" s="1"/>
  <c r="Z88" i="4" s="1"/>
  <c r="AB88" i="4" s="1"/>
  <c r="AD88" i="4" s="1"/>
  <c r="AF88" i="4" s="1"/>
  <c r="AH88" i="4" s="1"/>
  <c r="AG165" i="7"/>
  <c r="AG146" i="7" s="1"/>
  <c r="C85" i="11"/>
  <c r="I165" i="8"/>
  <c r="AG165" i="8"/>
  <c r="I170" i="8"/>
  <c r="AG170" i="8"/>
  <c r="C82" i="11"/>
  <c r="E82" i="11" s="1"/>
  <c r="G82" i="11" s="1"/>
  <c r="I82" i="11" s="1"/>
  <c r="K82" i="11" s="1"/>
  <c r="M82" i="11" s="1"/>
  <c r="O82" i="11" s="1"/>
  <c r="Q82" i="11" s="1"/>
  <c r="S82" i="11" s="1"/>
  <c r="U82" i="11" s="1"/>
  <c r="W82" i="11" s="1"/>
  <c r="Y82" i="11" s="1"/>
  <c r="AA82" i="11" s="1"/>
  <c r="AC82" i="11" s="1"/>
  <c r="AE82" i="11" s="1"/>
  <c r="AG82" i="11" s="1"/>
  <c r="D82" i="11"/>
  <c r="F82" i="11" s="1"/>
  <c r="H82" i="11" s="1"/>
  <c r="J82" i="11" s="1"/>
  <c r="L82" i="11" s="1"/>
  <c r="N82" i="11" s="1"/>
  <c r="P82" i="11" s="1"/>
  <c r="R82" i="11" s="1"/>
  <c r="T82" i="11" s="1"/>
  <c r="V82" i="11" s="1"/>
  <c r="X82" i="11" s="1"/>
  <c r="Z82" i="11" s="1"/>
  <c r="AB82" i="11" s="1"/>
  <c r="AD82" i="11" s="1"/>
  <c r="AF82" i="11" s="1"/>
  <c r="AH82" i="11" s="1"/>
  <c r="AA71" i="23"/>
  <c r="T1" i="11"/>
  <c r="V1" i="4"/>
  <c r="AE172" i="7"/>
  <c r="AE153" i="7" s="1"/>
  <c r="E69" i="11"/>
  <c r="G69" i="11" s="1"/>
  <c r="I69" i="11" s="1"/>
  <c r="K69" i="11" s="1"/>
  <c r="M69" i="11" s="1"/>
  <c r="O69" i="11" s="1"/>
  <c r="Q69" i="11" s="1"/>
  <c r="S69" i="11" s="1"/>
  <c r="U69" i="11" s="1"/>
  <c r="W69" i="11" s="1"/>
  <c r="Y69" i="11" s="1"/>
  <c r="AA69" i="11" s="1"/>
  <c r="AC69" i="11" s="1"/>
  <c r="AE69" i="11" s="1"/>
  <c r="AG69" i="11" s="1"/>
  <c r="AM172" i="7"/>
  <c r="AM153" i="7" s="1"/>
  <c r="AK165" i="7"/>
  <c r="AK146" i="7" s="1"/>
  <c r="AK176" i="7"/>
  <c r="AK157" i="7" s="1"/>
  <c r="AI173" i="7"/>
  <c r="AI154" i="7" s="1"/>
  <c r="AM167" i="7"/>
  <c r="AM148" i="7" s="1"/>
  <c r="AI174" i="7"/>
  <c r="AI155" i="7" s="1"/>
  <c r="AN167" i="7"/>
  <c r="AN148" i="7" s="1"/>
  <c r="D99" i="4"/>
  <c r="F99" i="4" s="1"/>
  <c r="H99" i="4" s="1"/>
  <c r="J99" i="4" s="1"/>
  <c r="L99" i="4" s="1"/>
  <c r="N99" i="4" s="1"/>
  <c r="P99" i="4" s="1"/>
  <c r="R99" i="4" s="1"/>
  <c r="T99" i="4" s="1"/>
  <c r="V99" i="4" s="1"/>
  <c r="X99" i="4" s="1"/>
  <c r="Z99" i="4" s="1"/>
  <c r="AB99" i="4" s="1"/>
  <c r="AD99" i="4" s="1"/>
  <c r="AF99" i="4" s="1"/>
  <c r="AH99" i="4" s="1"/>
  <c r="AC174" i="7"/>
  <c r="AC155" i="7" s="1"/>
  <c r="C74" i="11"/>
  <c r="AG162" i="7"/>
  <c r="AG143" i="7" s="1"/>
  <c r="I169" i="8"/>
  <c r="AG169" i="8"/>
  <c r="AL168" i="7"/>
  <c r="AL149" i="7" s="1"/>
  <c r="AF173" i="8"/>
  <c r="D85" i="11"/>
  <c r="F85" i="11" s="1"/>
  <c r="H85" i="11" s="1"/>
  <c r="J85" i="11" s="1"/>
  <c r="L85" i="11" s="1"/>
  <c r="N85" i="11" s="1"/>
  <c r="P85" i="11" s="1"/>
  <c r="R85" i="11" s="1"/>
  <c r="T85" i="11" s="1"/>
  <c r="V85" i="11" s="1"/>
  <c r="X85" i="11" s="1"/>
  <c r="Z85" i="11" s="1"/>
  <c r="AB85" i="11" s="1"/>
  <c r="AD85" i="11" s="1"/>
  <c r="AF85" i="11" s="1"/>
  <c r="AH85" i="11" s="1"/>
  <c r="AD168" i="7"/>
  <c r="AD149" i="7" s="1"/>
  <c r="AM174" i="7"/>
  <c r="AM155" i="7" s="1"/>
  <c r="Q2" i="11"/>
  <c r="S2" i="4"/>
  <c r="AK164" i="7"/>
  <c r="AK145" i="7" s="1"/>
  <c r="A89" i="11"/>
  <c r="D89" i="4"/>
  <c r="F89" i="4" s="1"/>
  <c r="H89" i="4" s="1"/>
  <c r="J89" i="4" s="1"/>
  <c r="L89" i="4" s="1"/>
  <c r="N89" i="4" s="1"/>
  <c r="P89" i="4" s="1"/>
  <c r="R89" i="4" s="1"/>
  <c r="T89" i="4" s="1"/>
  <c r="V89" i="4" s="1"/>
  <c r="X89" i="4" s="1"/>
  <c r="Z89" i="4" s="1"/>
  <c r="AB89" i="4" s="1"/>
  <c r="AD89" i="4" s="1"/>
  <c r="AF89" i="4" s="1"/>
  <c r="AH89" i="4" s="1"/>
  <c r="C89" i="4"/>
  <c r="E89" i="4" s="1"/>
  <c r="G89" i="4" s="1"/>
  <c r="I89" i="4" s="1"/>
  <c r="K89" i="4" s="1"/>
  <c r="M89" i="4" s="1"/>
  <c r="O89" i="4" s="1"/>
  <c r="Q89" i="4" s="1"/>
  <c r="S89" i="4" s="1"/>
  <c r="U89" i="4" s="1"/>
  <c r="W89" i="4" s="1"/>
  <c r="Y89" i="4" s="1"/>
  <c r="AA89" i="4" s="1"/>
  <c r="AC89" i="4" s="1"/>
  <c r="AE89" i="4" s="1"/>
  <c r="AG89" i="4" s="1"/>
  <c r="I167" i="8"/>
  <c r="AG167" i="8"/>
  <c r="AG170" i="7"/>
  <c r="AG151" i="7" s="1"/>
  <c r="AN170" i="7"/>
  <c r="AN151" i="7" s="1"/>
  <c r="AL166" i="7"/>
  <c r="AL147" i="7" s="1"/>
  <c r="AH174" i="7"/>
  <c r="AH155" i="7" s="1"/>
  <c r="AC169" i="7"/>
  <c r="AC150" i="7" s="1"/>
  <c r="AJ174" i="7"/>
  <c r="AJ155" i="7" s="1"/>
  <c r="I162" i="8"/>
  <c r="AG162" i="8"/>
  <c r="AG173" i="8" s="1"/>
  <c r="AJ162" i="7"/>
  <c r="AJ143" i="7" s="1"/>
  <c r="E77" i="11"/>
  <c r="G77" i="11" s="1"/>
  <c r="I77" i="11" s="1"/>
  <c r="K77" i="11" s="1"/>
  <c r="M77" i="11" s="1"/>
  <c r="O77" i="11" s="1"/>
  <c r="Q77" i="11" s="1"/>
  <c r="S77" i="11" s="1"/>
  <c r="U77" i="11" s="1"/>
  <c r="W77" i="11" s="1"/>
  <c r="Y77" i="11" s="1"/>
  <c r="AA77" i="11" s="1"/>
  <c r="AC77" i="11" s="1"/>
  <c r="AE77" i="11" s="1"/>
  <c r="AG77" i="11" s="1"/>
  <c r="AN166" i="7"/>
  <c r="AN147" i="7" s="1"/>
  <c r="A96" i="11"/>
  <c r="D96" i="4"/>
  <c r="F96" i="4" s="1"/>
  <c r="H96" i="4" s="1"/>
  <c r="J96" i="4" s="1"/>
  <c r="L96" i="4" s="1"/>
  <c r="N96" i="4" s="1"/>
  <c r="P96" i="4" s="1"/>
  <c r="R96" i="4" s="1"/>
  <c r="T96" i="4" s="1"/>
  <c r="V96" i="4" s="1"/>
  <c r="X96" i="4" s="1"/>
  <c r="Z96" i="4" s="1"/>
  <c r="AB96" i="4" s="1"/>
  <c r="AD96" i="4" s="1"/>
  <c r="AF96" i="4" s="1"/>
  <c r="AH96" i="4" s="1"/>
  <c r="C96" i="4"/>
  <c r="E96" i="4" s="1"/>
  <c r="G96" i="4" s="1"/>
  <c r="I96" i="4" s="1"/>
  <c r="K96" i="4" s="1"/>
  <c r="M96" i="4" s="1"/>
  <c r="O96" i="4" s="1"/>
  <c r="Q96" i="4" s="1"/>
  <c r="S96" i="4" s="1"/>
  <c r="U96" i="4" s="1"/>
  <c r="W96" i="4" s="1"/>
  <c r="Y96" i="4" s="1"/>
  <c r="AA96" i="4" s="1"/>
  <c r="AC96" i="4" s="1"/>
  <c r="AE96" i="4" s="1"/>
  <c r="AG96" i="4" s="1"/>
  <c r="AE164" i="7"/>
  <c r="AE145" i="7" s="1"/>
  <c r="D75" i="11"/>
  <c r="F75" i="11" s="1"/>
  <c r="H75" i="11" s="1"/>
  <c r="J75" i="11" s="1"/>
  <c r="L75" i="11" s="1"/>
  <c r="N75" i="11" s="1"/>
  <c r="P75" i="11" s="1"/>
  <c r="R75" i="11" s="1"/>
  <c r="T75" i="11" s="1"/>
  <c r="V75" i="11" s="1"/>
  <c r="X75" i="11" s="1"/>
  <c r="Z75" i="11" s="1"/>
  <c r="AB75" i="11" s="1"/>
  <c r="AD75" i="11" s="1"/>
  <c r="AF75" i="11" s="1"/>
  <c r="AH75" i="11" s="1"/>
  <c r="C75" i="11"/>
  <c r="E75" i="11" s="1"/>
  <c r="G75" i="11" s="1"/>
  <c r="I75" i="11" s="1"/>
  <c r="K75" i="11" s="1"/>
  <c r="M75" i="11" s="1"/>
  <c r="O75" i="11" s="1"/>
  <c r="Q75" i="11" s="1"/>
  <c r="S75" i="11" s="1"/>
  <c r="U75" i="11" s="1"/>
  <c r="W75" i="11" s="1"/>
  <c r="Y75" i="11" s="1"/>
  <c r="AA75" i="11" s="1"/>
  <c r="AC75" i="11" s="1"/>
  <c r="AE75" i="11" s="1"/>
  <c r="AG75" i="11" s="1"/>
  <c r="AD164" i="7"/>
  <c r="AD145" i="7" s="1"/>
  <c r="E84" i="11"/>
  <c r="G84" i="11" s="1"/>
  <c r="I84" i="11" s="1"/>
  <c r="K84" i="11" s="1"/>
  <c r="M84" i="11" s="1"/>
  <c r="O84" i="11" s="1"/>
  <c r="Q84" i="11" s="1"/>
  <c r="S84" i="11" s="1"/>
  <c r="U84" i="11" s="1"/>
  <c r="W84" i="11" s="1"/>
  <c r="Y84" i="11" s="1"/>
  <c r="AA84" i="11" s="1"/>
  <c r="AC84" i="11" s="1"/>
  <c r="AE84" i="11" s="1"/>
  <c r="AG84" i="11" s="1"/>
  <c r="AN173" i="7"/>
  <c r="AN154" i="7" s="1"/>
  <c r="D94" i="11"/>
  <c r="F94" i="11" s="1"/>
  <c r="H94" i="11" s="1"/>
  <c r="J94" i="11" s="1"/>
  <c r="L94" i="11" s="1"/>
  <c r="N94" i="11" s="1"/>
  <c r="P94" i="11" s="1"/>
  <c r="R94" i="11" s="1"/>
  <c r="T94" i="11" s="1"/>
  <c r="V94" i="11" s="1"/>
  <c r="X94" i="11" s="1"/>
  <c r="Z94" i="11" s="1"/>
  <c r="AB94" i="11" s="1"/>
  <c r="AD94" i="11" s="1"/>
  <c r="AF94" i="11" s="1"/>
  <c r="AH94" i="11" s="1"/>
  <c r="C94" i="11"/>
  <c r="E94" i="11" s="1"/>
  <c r="G94" i="11" s="1"/>
  <c r="I94" i="11" s="1"/>
  <c r="K94" i="11" s="1"/>
  <c r="M94" i="11" s="1"/>
  <c r="O94" i="11" s="1"/>
  <c r="Q94" i="11" s="1"/>
  <c r="S94" i="11" s="1"/>
  <c r="U94" i="11" s="1"/>
  <c r="W94" i="11" s="1"/>
  <c r="Y94" i="11" s="1"/>
  <c r="AA94" i="11" s="1"/>
  <c r="AC94" i="11" s="1"/>
  <c r="AE94" i="11" s="1"/>
  <c r="AG94" i="11" s="1"/>
  <c r="D87" i="11"/>
  <c r="F87" i="11" s="1"/>
  <c r="H87" i="11" s="1"/>
  <c r="J87" i="11" s="1"/>
  <c r="L87" i="11" s="1"/>
  <c r="N87" i="11" s="1"/>
  <c r="P87" i="11" s="1"/>
  <c r="R87" i="11" s="1"/>
  <c r="T87" i="11" s="1"/>
  <c r="V87" i="11" s="1"/>
  <c r="X87" i="11" s="1"/>
  <c r="Z87" i="11" s="1"/>
  <c r="AB87" i="11" s="1"/>
  <c r="AD87" i="11" s="1"/>
  <c r="AF87" i="11" s="1"/>
  <c r="AH87" i="11" s="1"/>
  <c r="C87" i="11"/>
  <c r="E87" i="11" s="1"/>
  <c r="G87" i="11" s="1"/>
  <c r="I87" i="11" s="1"/>
  <c r="K87" i="11" s="1"/>
  <c r="M87" i="11" s="1"/>
  <c r="O87" i="11" s="1"/>
  <c r="Q87" i="11" s="1"/>
  <c r="S87" i="11" s="1"/>
  <c r="U87" i="11" s="1"/>
  <c r="W87" i="11" s="1"/>
  <c r="Y87" i="11" s="1"/>
  <c r="AA87" i="11" s="1"/>
  <c r="AC87" i="11" s="1"/>
  <c r="AE87" i="11" s="1"/>
  <c r="AG87" i="11" s="1"/>
  <c r="AL162" i="7"/>
  <c r="AL143" i="7" s="1"/>
  <c r="AE175" i="7"/>
  <c r="AE156" i="7" s="1"/>
  <c r="AH166" i="7"/>
  <c r="AH147" i="7" s="1"/>
  <c r="AF166" i="7"/>
  <c r="AF147" i="7" s="1"/>
  <c r="AM166" i="7"/>
  <c r="AM147" i="7" s="1"/>
  <c r="AK166" i="7"/>
  <c r="AK147" i="7" s="1"/>
  <c r="AB166" i="7"/>
  <c r="AB147" i="7" s="1"/>
  <c r="AF162" i="7"/>
  <c r="AF143" i="7" s="1"/>
  <c r="AC175" i="7"/>
  <c r="AC156" i="7" s="1"/>
  <c r="AI162" i="7"/>
  <c r="AI143" i="7" s="1"/>
  <c r="AB165" i="7"/>
  <c r="AB146" i="7" s="1"/>
  <c r="AG176" i="7"/>
  <c r="AG157" i="7" s="1"/>
  <c r="AD176" i="7"/>
  <c r="AD157" i="7" s="1"/>
  <c r="AC162" i="7"/>
  <c r="AC143" i="7" s="1"/>
  <c r="AB162" i="7"/>
  <c r="AB143" i="7" s="1"/>
  <c r="AJ176" i="7"/>
  <c r="AJ157" i="7" s="1"/>
  <c r="AF175" i="7"/>
  <c r="AF156" i="7" s="1"/>
  <c r="AL165" i="7"/>
  <c r="AL146" i="7" s="1"/>
  <c r="AE173" i="7"/>
  <c r="AE154" i="7" s="1"/>
  <c r="AO175" i="7"/>
  <c r="AO156" i="7" s="1"/>
  <c r="AB176" i="7"/>
  <c r="AB157" i="7" s="1"/>
  <c r="AC166" i="7"/>
  <c r="AC147" i="7" s="1"/>
  <c r="AD165" i="7"/>
  <c r="AD146" i="7" s="1"/>
  <c r="AI176" i="7"/>
  <c r="AI157" i="7" s="1"/>
  <c r="AI166" i="7"/>
  <c r="AI147" i="7" s="1"/>
  <c r="AL175" i="7"/>
  <c r="AL156" i="7" s="1"/>
  <c r="AD166" i="7"/>
  <c r="AD147" i="7" s="1"/>
  <c r="AE167" i="7"/>
  <c r="AE148" i="7" s="1"/>
  <c r="AM176" i="7"/>
  <c r="AM157" i="7" s="1"/>
  <c r="AK162" i="7"/>
  <c r="AK143" i="7" s="1"/>
  <c r="AO166" i="7"/>
  <c r="AO147" i="7" s="1"/>
  <c r="AB173" i="7"/>
  <c r="AB154" i="7" s="1"/>
  <c r="AO162" i="7"/>
  <c r="AO143" i="7" s="1"/>
  <c r="AL173" i="7"/>
  <c r="AL154" i="7" s="1"/>
  <c r="AB167" i="7"/>
  <c r="AB148" i="7" s="1"/>
  <c r="AC176" i="7"/>
  <c r="AC157" i="7" s="1"/>
  <c r="AJ166" i="7"/>
  <c r="AJ147" i="7" s="1"/>
  <c r="AI164" i="7"/>
  <c r="AI145" i="7" s="1"/>
  <c r="AL176" i="7"/>
  <c r="AL157" i="7" s="1"/>
  <c r="AE169" i="7"/>
  <c r="AE150" i="7" s="1"/>
  <c r="E73" i="11"/>
  <c r="G73" i="11" s="1"/>
  <c r="I73" i="11" s="1"/>
  <c r="K73" i="11" s="1"/>
  <c r="M73" i="11" s="1"/>
  <c r="O73" i="11" s="1"/>
  <c r="Q73" i="11" s="1"/>
  <c r="S73" i="11" s="1"/>
  <c r="U73" i="11" s="1"/>
  <c r="W73" i="11" s="1"/>
  <c r="Y73" i="11" s="1"/>
  <c r="AA73" i="11" s="1"/>
  <c r="AC73" i="11" s="1"/>
  <c r="AE73" i="11" s="1"/>
  <c r="AG73" i="11" s="1"/>
  <c r="AN162" i="7"/>
  <c r="AN143" i="7" s="1"/>
  <c r="AK170" i="7"/>
  <c r="AK151" i="7" s="1"/>
  <c r="AK174" i="7"/>
  <c r="AK155" i="7" s="1"/>
  <c r="AG174" i="7"/>
  <c r="AG155" i="7" s="1"/>
  <c r="AJ165" i="7"/>
  <c r="AJ146" i="7" s="1"/>
  <c r="AD169" i="7"/>
  <c r="AD150" i="7" s="1"/>
  <c r="A93" i="11"/>
  <c r="AN168" i="7" s="1"/>
  <c r="AN149" i="7" s="1"/>
  <c r="D93" i="4"/>
  <c r="F93" i="4" s="1"/>
  <c r="H93" i="4" s="1"/>
  <c r="J93" i="4" s="1"/>
  <c r="L93" i="4" s="1"/>
  <c r="N93" i="4" s="1"/>
  <c r="P93" i="4" s="1"/>
  <c r="R93" i="4" s="1"/>
  <c r="T93" i="4" s="1"/>
  <c r="V93" i="4" s="1"/>
  <c r="X93" i="4" s="1"/>
  <c r="Z93" i="4" s="1"/>
  <c r="AB93" i="4" s="1"/>
  <c r="AD93" i="4" s="1"/>
  <c r="AF93" i="4" s="1"/>
  <c r="AH93" i="4" s="1"/>
  <c r="C93" i="4"/>
  <c r="E93" i="4" s="1"/>
  <c r="G93" i="4" s="1"/>
  <c r="I93" i="4" s="1"/>
  <c r="K93" i="4" s="1"/>
  <c r="M93" i="4" s="1"/>
  <c r="O93" i="4" s="1"/>
  <c r="Q93" i="4" s="1"/>
  <c r="S93" i="4" s="1"/>
  <c r="U93" i="4" s="1"/>
  <c r="W93" i="4" s="1"/>
  <c r="Y93" i="4" s="1"/>
  <c r="AA93" i="4" s="1"/>
  <c r="AC93" i="4" s="1"/>
  <c r="AE93" i="4" s="1"/>
  <c r="AG93" i="4" s="1"/>
  <c r="I166" i="8"/>
  <c r="AG166" i="8"/>
  <c r="AI168" i="7"/>
  <c r="AI149" i="7" s="1"/>
  <c r="AC167" i="7"/>
  <c r="AC148" i="7" s="1"/>
  <c r="AE170" i="7"/>
  <c r="AE151" i="7" s="1"/>
  <c r="AO163" i="7"/>
  <c r="AO144" i="7" s="1"/>
  <c r="Y71" i="23"/>
  <c r="Z71" i="23"/>
  <c r="AB71" i="23"/>
  <c r="AC85" i="23"/>
  <c r="X71" i="23"/>
  <c r="AJ71" i="23"/>
  <c r="AD71" i="23"/>
  <c r="P86" i="23"/>
  <c r="B123" i="7"/>
  <c r="AC71" i="23"/>
  <c r="AI85" i="23"/>
  <c r="AE85" i="23"/>
  <c r="AF85" i="23"/>
  <c r="AG85" i="23"/>
  <c r="Z85" i="23"/>
  <c r="AJ85" i="23"/>
  <c r="AH85" i="23"/>
  <c r="AK85" i="23"/>
  <c r="X85" i="23"/>
  <c r="AB85" i="23"/>
  <c r="Y85" i="23"/>
  <c r="AA85" i="23"/>
  <c r="AD85" i="23"/>
  <c r="C2" i="7" l="1" a="1"/>
  <c r="J11" i="7" s="1"/>
  <c r="X2" i="11"/>
  <c r="Z2" i="4"/>
  <c r="AH162" i="7"/>
  <c r="AH143" i="7" s="1"/>
  <c r="J162" i="8"/>
  <c r="AH162" i="8"/>
  <c r="AB171" i="7"/>
  <c r="AB152" i="7" s="1"/>
  <c r="AO169" i="7"/>
  <c r="AO150" i="7" s="1"/>
  <c r="AH169" i="7"/>
  <c r="AH150" i="7" s="1"/>
  <c r="AG163" i="7"/>
  <c r="AG144" i="7" s="1"/>
  <c r="J165" i="8"/>
  <c r="AH165" i="8"/>
  <c r="O34" i="5" a="1"/>
  <c r="O34" i="5" s="1"/>
  <c r="E34" i="5" a="1"/>
  <c r="E34" i="5" s="1"/>
  <c r="M34" i="5" a="1"/>
  <c r="M34" i="5" s="1"/>
  <c r="F34" i="5" a="1"/>
  <c r="F34" i="5" s="1"/>
  <c r="P34" i="5" a="1"/>
  <c r="P34" i="5" s="1"/>
  <c r="D34" i="5" a="1"/>
  <c r="D34" i="5" s="1"/>
  <c r="K34" i="5" a="1"/>
  <c r="K34" i="5" s="1"/>
  <c r="N34" i="5" a="1"/>
  <c r="N34" i="5" s="1"/>
  <c r="L34" i="5" a="1"/>
  <c r="L34" i="5" s="1"/>
  <c r="G34" i="5" a="1"/>
  <c r="G34" i="5" s="1"/>
  <c r="I34" i="5" a="1"/>
  <c r="I34" i="5" s="1"/>
  <c r="J34" i="5" a="1"/>
  <c r="J34" i="5" s="1"/>
  <c r="R34" i="5" a="1"/>
  <c r="R34" i="5" s="1"/>
  <c r="H34" i="5" a="1"/>
  <c r="H34" i="5" s="1"/>
  <c r="Q34" i="5" a="1"/>
  <c r="Q34" i="5" s="1"/>
  <c r="C35" i="5"/>
  <c r="AO174" i="7"/>
  <c r="AO155" i="7" s="1"/>
  <c r="AI172" i="7"/>
  <c r="AI153" i="7" s="1"/>
  <c r="AM171" i="7"/>
  <c r="AM152" i="7" s="1"/>
  <c r="S2" i="11"/>
  <c r="U2" i="4"/>
  <c r="J169" i="8"/>
  <c r="AH169" i="8"/>
  <c r="AL171" i="7"/>
  <c r="AL152" i="7" s="1"/>
  <c r="AI171" i="7"/>
  <c r="AI152" i="7" s="1"/>
  <c r="E100" i="11"/>
  <c r="G100" i="11" s="1"/>
  <c r="I100" i="11" s="1"/>
  <c r="K100" i="11" s="1"/>
  <c r="M100" i="11" s="1"/>
  <c r="O100" i="11" s="1"/>
  <c r="Q100" i="11" s="1"/>
  <c r="S100" i="11" s="1"/>
  <c r="U100" i="11" s="1"/>
  <c r="W100" i="11" s="1"/>
  <c r="Y100" i="11" s="1"/>
  <c r="AA100" i="11" s="1"/>
  <c r="AC100" i="11" s="1"/>
  <c r="AE100" i="11" s="1"/>
  <c r="AG100" i="11" s="1"/>
  <c r="AL172" i="7"/>
  <c r="AL153" i="7" s="1"/>
  <c r="AN169" i="7"/>
  <c r="AN150" i="7" s="1"/>
  <c r="AH175" i="7"/>
  <c r="AH156" i="7" s="1"/>
  <c r="S1" i="11"/>
  <c r="U1" i="4"/>
  <c r="J170" i="8"/>
  <c r="AH170" i="8"/>
  <c r="AH168" i="7"/>
  <c r="AH149" i="7" s="1"/>
  <c r="AE168" i="7"/>
  <c r="AE149" i="7" s="1"/>
  <c r="AK168" i="7"/>
  <c r="AK149" i="7" s="1"/>
  <c r="D93" i="11"/>
  <c r="F93" i="11" s="1"/>
  <c r="H93" i="11" s="1"/>
  <c r="J93" i="11" s="1"/>
  <c r="L93" i="11" s="1"/>
  <c r="N93" i="11" s="1"/>
  <c r="P93" i="11" s="1"/>
  <c r="R93" i="11" s="1"/>
  <c r="T93" i="11" s="1"/>
  <c r="V93" i="11" s="1"/>
  <c r="X93" i="11" s="1"/>
  <c r="Z93" i="11" s="1"/>
  <c r="AB93" i="11" s="1"/>
  <c r="AD93" i="11" s="1"/>
  <c r="AF93" i="11" s="1"/>
  <c r="AH93" i="11" s="1"/>
  <c r="C93" i="11"/>
  <c r="E93" i="11" s="1"/>
  <c r="G93" i="11" s="1"/>
  <c r="I93" i="11" s="1"/>
  <c r="K93" i="11" s="1"/>
  <c r="M93" i="11" s="1"/>
  <c r="O93" i="11" s="1"/>
  <c r="Q93" i="11" s="1"/>
  <c r="S93" i="11" s="1"/>
  <c r="U93" i="11" s="1"/>
  <c r="W93" i="11" s="1"/>
  <c r="Y93" i="11" s="1"/>
  <c r="AA93" i="11" s="1"/>
  <c r="AC93" i="11" s="1"/>
  <c r="AE93" i="11" s="1"/>
  <c r="AG93" i="11" s="1"/>
  <c r="AJ168" i="7"/>
  <c r="AJ149" i="7" s="1"/>
  <c r="J167" i="8"/>
  <c r="AH167" i="8"/>
  <c r="AM168" i="7"/>
  <c r="AM149" i="7" s="1"/>
  <c r="AB168" i="7"/>
  <c r="AB149" i="7" s="1"/>
  <c r="AN164" i="7"/>
  <c r="AN145" i="7" s="1"/>
  <c r="J164" i="8"/>
  <c r="AH164" i="8"/>
  <c r="C96" i="11"/>
  <c r="E96" i="11" s="1"/>
  <c r="G96" i="11" s="1"/>
  <c r="I96" i="11" s="1"/>
  <c r="K96" i="11" s="1"/>
  <c r="M96" i="11" s="1"/>
  <c r="O96" i="11" s="1"/>
  <c r="Q96" i="11" s="1"/>
  <c r="S96" i="11" s="1"/>
  <c r="U96" i="11" s="1"/>
  <c r="W96" i="11" s="1"/>
  <c r="Y96" i="11" s="1"/>
  <c r="AA96" i="11" s="1"/>
  <c r="AC96" i="11" s="1"/>
  <c r="AE96" i="11" s="1"/>
  <c r="AG96" i="11" s="1"/>
  <c r="D96" i="11"/>
  <c r="F96" i="11" s="1"/>
  <c r="H96" i="11" s="1"/>
  <c r="J96" i="11" s="1"/>
  <c r="L96" i="11" s="1"/>
  <c r="N96" i="11" s="1"/>
  <c r="P96" i="11" s="1"/>
  <c r="R96" i="11" s="1"/>
  <c r="T96" i="11" s="1"/>
  <c r="V96" i="11" s="1"/>
  <c r="X96" i="11" s="1"/>
  <c r="Z96" i="11" s="1"/>
  <c r="AB96" i="11" s="1"/>
  <c r="AD96" i="11" s="1"/>
  <c r="AF96" i="11" s="1"/>
  <c r="AH96" i="11" s="1"/>
  <c r="V1" i="11"/>
  <c r="X1" i="4"/>
  <c r="J163" i="8"/>
  <c r="AH163" i="8"/>
  <c r="AF168" i="7"/>
  <c r="AF149" i="7" s="1"/>
  <c r="AH163" i="7"/>
  <c r="AH144" i="7" s="1"/>
  <c r="AO168" i="7"/>
  <c r="AO149" i="7" s="1"/>
  <c r="AC171" i="7"/>
  <c r="AC152" i="7" s="1"/>
  <c r="AD171" i="7"/>
  <c r="AD152" i="7" s="1"/>
  <c r="E85" i="11"/>
  <c r="G85" i="11" s="1"/>
  <c r="I85" i="11" s="1"/>
  <c r="K85" i="11" s="1"/>
  <c r="M85" i="11" s="1"/>
  <c r="O85" i="11" s="1"/>
  <c r="Q85" i="11" s="1"/>
  <c r="S85" i="11" s="1"/>
  <c r="U85" i="11" s="1"/>
  <c r="W85" i="11" s="1"/>
  <c r="Y85" i="11" s="1"/>
  <c r="AA85" i="11" s="1"/>
  <c r="AC85" i="11" s="1"/>
  <c r="AE85" i="11" s="1"/>
  <c r="AG85" i="11" s="1"/>
  <c r="AN174" i="7"/>
  <c r="AN155" i="7" s="1"/>
  <c r="J168" i="8"/>
  <c r="AH168" i="8"/>
  <c r="E95" i="11"/>
  <c r="G95" i="11" s="1"/>
  <c r="I95" i="11" s="1"/>
  <c r="K95" i="11" s="1"/>
  <c r="M95" i="11" s="1"/>
  <c r="O95" i="11" s="1"/>
  <c r="Q95" i="11" s="1"/>
  <c r="S95" i="11" s="1"/>
  <c r="U95" i="11" s="1"/>
  <c r="W95" i="11" s="1"/>
  <c r="Y95" i="11" s="1"/>
  <c r="AA95" i="11" s="1"/>
  <c r="AC95" i="11" s="1"/>
  <c r="AE95" i="11" s="1"/>
  <c r="AG95" i="11" s="1"/>
  <c r="AO170" i="7"/>
  <c r="AO151" i="7" s="1"/>
  <c r="AE171" i="7"/>
  <c r="AE152" i="7" s="1"/>
  <c r="J166" i="8"/>
  <c r="AH166" i="8"/>
  <c r="AG171" i="7"/>
  <c r="AG152" i="7" s="1"/>
  <c r="C89" i="11"/>
  <c r="E89" i="11" s="1"/>
  <c r="G89" i="11" s="1"/>
  <c r="I89" i="11" s="1"/>
  <c r="K89" i="11" s="1"/>
  <c r="M89" i="11" s="1"/>
  <c r="O89" i="11" s="1"/>
  <c r="Q89" i="11" s="1"/>
  <c r="S89" i="11" s="1"/>
  <c r="U89" i="11" s="1"/>
  <c r="W89" i="11" s="1"/>
  <c r="Y89" i="11" s="1"/>
  <c r="AA89" i="11" s="1"/>
  <c r="AC89" i="11" s="1"/>
  <c r="AE89" i="11" s="1"/>
  <c r="AG89" i="11" s="1"/>
  <c r="AC164" i="7"/>
  <c r="AC145" i="7" s="1"/>
  <c r="D89" i="11"/>
  <c r="F89" i="11" s="1"/>
  <c r="H89" i="11" s="1"/>
  <c r="J89" i="11" s="1"/>
  <c r="L89" i="11" s="1"/>
  <c r="N89" i="11" s="1"/>
  <c r="P89" i="11" s="1"/>
  <c r="R89" i="11" s="1"/>
  <c r="T89" i="11" s="1"/>
  <c r="V89" i="11" s="1"/>
  <c r="X89" i="11" s="1"/>
  <c r="Z89" i="11" s="1"/>
  <c r="AB89" i="11" s="1"/>
  <c r="AD89" i="11" s="1"/>
  <c r="AF89" i="11" s="1"/>
  <c r="AH89" i="11" s="1"/>
  <c r="AM164" i="7"/>
  <c r="AM145" i="7" s="1"/>
  <c r="AF164" i="7"/>
  <c r="AF145" i="7" s="1"/>
  <c r="E74" i="11"/>
  <c r="G74" i="11" s="1"/>
  <c r="I74" i="11" s="1"/>
  <c r="K74" i="11" s="1"/>
  <c r="M74" i="11" s="1"/>
  <c r="O74" i="11" s="1"/>
  <c r="Q74" i="11" s="1"/>
  <c r="S74" i="11" s="1"/>
  <c r="U74" i="11" s="1"/>
  <c r="W74" i="11" s="1"/>
  <c r="Y74" i="11" s="1"/>
  <c r="AA74" i="11" s="1"/>
  <c r="AC74" i="11" s="1"/>
  <c r="AE74" i="11" s="1"/>
  <c r="AG74" i="11" s="1"/>
  <c r="AN163" i="7"/>
  <c r="AN144" i="7" s="1"/>
  <c r="AJ171" i="7"/>
  <c r="AJ152" i="7" s="1"/>
  <c r="J172" i="8"/>
  <c r="AH172" i="8"/>
  <c r="AJ164" i="7"/>
  <c r="AJ145" i="7" s="1"/>
  <c r="C97" i="11"/>
  <c r="D97" i="11"/>
  <c r="AH171" i="7" s="1"/>
  <c r="AH152" i="7" s="1"/>
  <c r="F100" i="11"/>
  <c r="H100" i="11" s="1"/>
  <c r="J100" i="11" s="1"/>
  <c r="L100" i="11" s="1"/>
  <c r="N100" i="11" s="1"/>
  <c r="P100" i="11" s="1"/>
  <c r="R100" i="11" s="1"/>
  <c r="T100" i="11" s="1"/>
  <c r="V100" i="11" s="1"/>
  <c r="X100" i="11" s="1"/>
  <c r="Z100" i="11" s="1"/>
  <c r="AB100" i="11" s="1"/>
  <c r="AD100" i="11" s="1"/>
  <c r="AF100" i="11" s="1"/>
  <c r="AH100" i="11" s="1"/>
  <c r="AG175" i="7"/>
  <c r="AG156" i="7" s="1"/>
  <c r="AG169" i="7"/>
  <c r="AG150" i="7" s="1"/>
  <c r="AH170" i="7"/>
  <c r="AH151" i="7" s="1"/>
  <c r="AF172" i="7"/>
  <c r="AF153" i="7" s="1"/>
  <c r="AF171" i="7"/>
  <c r="AF152" i="7" s="1"/>
  <c r="J171" i="8"/>
  <c r="AH171" i="8"/>
  <c r="AN171" i="7"/>
  <c r="AN152" i="7" s="1"/>
  <c r="N3" i="7" l="1"/>
  <c r="F7" i="7"/>
  <c r="P3" i="7"/>
  <c r="J12" i="7"/>
  <c r="N12" i="7"/>
  <c r="P7" i="7"/>
  <c r="O4" i="7"/>
  <c r="C8" i="7"/>
  <c r="D5" i="7"/>
  <c r="G11" i="7"/>
  <c r="Q3" i="7"/>
  <c r="F4" i="7"/>
  <c r="P5" i="7"/>
  <c r="K5" i="7"/>
  <c r="P2" i="7"/>
  <c r="P12" i="7"/>
  <c r="N10" i="7"/>
  <c r="D15" i="7"/>
  <c r="P15" i="7"/>
  <c r="O14" i="7"/>
  <c r="G4" i="7"/>
  <c r="J13" i="7"/>
  <c r="K11" i="7"/>
  <c r="P6" i="7"/>
  <c r="C6" i="7"/>
  <c r="K3" i="7"/>
  <c r="J14" i="7"/>
  <c r="Q13" i="7"/>
  <c r="M15" i="7"/>
  <c r="H12" i="7"/>
  <c r="E7" i="7"/>
  <c r="H14" i="7"/>
  <c r="D2" i="7"/>
  <c r="D6" i="7"/>
  <c r="M3" i="7"/>
  <c r="M4" i="7"/>
  <c r="E14" i="7"/>
  <c r="Q8" i="7"/>
  <c r="Q6" i="7"/>
  <c r="M11" i="7"/>
  <c r="O11" i="7"/>
  <c r="M2" i="7"/>
  <c r="I15" i="7"/>
  <c r="C13" i="7"/>
  <c r="J15" i="7"/>
  <c r="D7" i="7"/>
  <c r="F11" i="7"/>
  <c r="H2" i="7"/>
  <c r="L13" i="7"/>
  <c r="K2" i="7"/>
  <c r="E13" i="7"/>
  <c r="Q9" i="7"/>
  <c r="F10" i="7"/>
  <c r="I10" i="7"/>
  <c r="Q4" i="7"/>
  <c r="N5" i="7"/>
  <c r="M8" i="7"/>
  <c r="Q10" i="7"/>
  <c r="L10" i="7"/>
  <c r="G15" i="7"/>
  <c r="L14" i="7"/>
  <c r="G9" i="7"/>
  <c r="D12" i="7"/>
  <c r="G7" i="7"/>
  <c r="F12" i="7"/>
  <c r="D10" i="7"/>
  <c r="N4" i="7"/>
  <c r="G3" i="7"/>
  <c r="N8" i="7"/>
  <c r="F5" i="7"/>
  <c r="M10" i="7"/>
  <c r="I12" i="7"/>
  <c r="G8" i="7"/>
  <c r="F3" i="7"/>
  <c r="D4" i="7"/>
  <c r="M14" i="7"/>
  <c r="H13" i="7"/>
  <c r="O6" i="7"/>
  <c r="N9" i="7"/>
  <c r="G5" i="7"/>
  <c r="P9" i="7"/>
  <c r="G13" i="7"/>
  <c r="J2" i="7"/>
  <c r="O15" i="7"/>
  <c r="G14" i="7"/>
  <c r="H9" i="7"/>
  <c r="I13" i="7"/>
  <c r="I2" i="7"/>
  <c r="K13" i="7"/>
  <c r="P4" i="7"/>
  <c r="G2" i="7"/>
  <c r="E15" i="7"/>
  <c r="J9" i="7"/>
  <c r="I14" i="7"/>
  <c r="I8" i="7"/>
  <c r="G12" i="7"/>
  <c r="E8" i="7"/>
  <c r="Q2" i="7"/>
  <c r="P13" i="7"/>
  <c r="I9" i="7"/>
  <c r="K9" i="7"/>
  <c r="C3" i="7"/>
  <c r="L12" i="7"/>
  <c r="F13" i="7"/>
  <c r="I11" i="7"/>
  <c r="J5" i="7"/>
  <c r="O8" i="7"/>
  <c r="M13" i="7"/>
  <c r="D8" i="7"/>
  <c r="C7" i="7"/>
  <c r="L15" i="7"/>
  <c r="N6" i="7"/>
  <c r="D3" i="7"/>
  <c r="M9" i="7"/>
  <c r="H15" i="7"/>
  <c r="P10" i="7"/>
  <c r="J6" i="7"/>
  <c r="O10" i="7"/>
  <c r="L11" i="7"/>
  <c r="L9" i="7"/>
  <c r="O2" i="7"/>
  <c r="E4" i="7"/>
  <c r="C2" i="7"/>
  <c r="F9" i="7"/>
  <c r="P11" i="7"/>
  <c r="D14" i="7"/>
  <c r="E2" i="7"/>
  <c r="Q11" i="7"/>
  <c r="H6" i="7"/>
  <c r="H10" i="7"/>
  <c r="L5" i="7"/>
  <c r="L8" i="7"/>
  <c r="J10" i="7"/>
  <c r="K10" i="7"/>
  <c r="O7" i="7"/>
  <c r="N7" i="7"/>
  <c r="K4" i="7"/>
  <c r="E9" i="7"/>
  <c r="H3" i="7"/>
  <c r="I7" i="7"/>
  <c r="O12" i="7"/>
  <c r="D11" i="7"/>
  <c r="K14" i="7"/>
  <c r="O5" i="7"/>
  <c r="E10" i="7"/>
  <c r="M5" i="7"/>
  <c r="G6" i="7"/>
  <c r="O13" i="7"/>
  <c r="F14" i="7"/>
  <c r="D9" i="7"/>
  <c r="C11" i="7"/>
  <c r="N14" i="7"/>
  <c r="K15" i="7"/>
  <c r="F8" i="7"/>
  <c r="J8" i="7"/>
  <c r="L3" i="7"/>
  <c r="E5" i="7"/>
  <c r="H8" i="7"/>
  <c r="C4" i="7"/>
  <c r="N13" i="7"/>
  <c r="O3" i="7"/>
  <c r="C5" i="7"/>
  <c r="F6" i="7"/>
  <c r="N11" i="7"/>
  <c r="Q7" i="7"/>
  <c r="I5" i="7"/>
  <c r="N15" i="7"/>
  <c r="L6" i="7"/>
  <c r="J4" i="7"/>
  <c r="L4" i="7"/>
  <c r="I6" i="7"/>
  <c r="J3" i="7"/>
  <c r="C12" i="7"/>
  <c r="C14" i="7"/>
  <c r="C10" i="7"/>
  <c r="O9" i="7"/>
  <c r="F15" i="7"/>
  <c r="P14" i="7"/>
  <c r="Q5" i="7"/>
  <c r="E6" i="7"/>
  <c r="E12" i="7"/>
  <c r="M7" i="7"/>
  <c r="K7" i="7"/>
  <c r="M6" i="7"/>
  <c r="C15" i="7"/>
  <c r="I3" i="7"/>
  <c r="E3" i="7"/>
  <c r="N2" i="7"/>
  <c r="H11" i="7"/>
  <c r="M12" i="7"/>
  <c r="L2" i="7"/>
  <c r="Q14" i="7"/>
  <c r="G10" i="7"/>
  <c r="H4" i="7"/>
  <c r="F2" i="7"/>
  <c r="K6" i="7"/>
  <c r="H7" i="7"/>
  <c r="K12" i="7"/>
  <c r="H5" i="7"/>
  <c r="Q15" i="7"/>
  <c r="C9" i="7"/>
  <c r="D13" i="7"/>
  <c r="Q12" i="7"/>
  <c r="P8" i="7"/>
  <c r="I4" i="7"/>
  <c r="K8" i="7"/>
  <c r="J7" i="7"/>
  <c r="E11" i="7"/>
  <c r="L7" i="7"/>
  <c r="K165" i="8"/>
  <c r="AI165" i="8"/>
  <c r="K171" i="8"/>
  <c r="AI171" i="8"/>
  <c r="K168" i="8"/>
  <c r="AI168" i="8"/>
  <c r="AO164" i="7"/>
  <c r="AO145" i="7" s="1"/>
  <c r="F97" i="11"/>
  <c r="H97" i="11" s="1"/>
  <c r="J97" i="11" s="1"/>
  <c r="L97" i="11" s="1"/>
  <c r="N97" i="11" s="1"/>
  <c r="P97" i="11" s="1"/>
  <c r="R97" i="11" s="1"/>
  <c r="T97" i="11" s="1"/>
  <c r="V97" i="11" s="1"/>
  <c r="X97" i="11" s="1"/>
  <c r="Z97" i="11" s="1"/>
  <c r="AB97" i="11" s="1"/>
  <c r="AD97" i="11" s="1"/>
  <c r="AF97" i="11" s="1"/>
  <c r="AH97" i="11" s="1"/>
  <c r="AG172" i="7"/>
  <c r="AG153" i="7" s="1"/>
  <c r="AH172" i="7"/>
  <c r="AH153" i="7" s="1"/>
  <c r="E97" i="11"/>
  <c r="G97" i="11" s="1"/>
  <c r="I97" i="11" s="1"/>
  <c r="K97" i="11" s="1"/>
  <c r="M97" i="11" s="1"/>
  <c r="O97" i="11" s="1"/>
  <c r="Q97" i="11" s="1"/>
  <c r="S97" i="11" s="1"/>
  <c r="U97" i="11" s="1"/>
  <c r="W97" i="11" s="1"/>
  <c r="Y97" i="11" s="1"/>
  <c r="AA97" i="11" s="1"/>
  <c r="AC97" i="11" s="1"/>
  <c r="AE97" i="11" s="1"/>
  <c r="AG97" i="11" s="1"/>
  <c r="AO172" i="7"/>
  <c r="AO153" i="7" s="1"/>
  <c r="K166" i="8"/>
  <c r="AI166" i="8"/>
  <c r="K164" i="8"/>
  <c r="AI164" i="8"/>
  <c r="K167" i="8"/>
  <c r="AI167" i="8"/>
  <c r="AH173" i="8"/>
  <c r="K162" i="8"/>
  <c r="AI162" i="8"/>
  <c r="K163" i="8"/>
  <c r="AI163" i="8"/>
  <c r="K170" i="8"/>
  <c r="AI170" i="8"/>
  <c r="X1" i="11"/>
  <c r="Z1" i="4"/>
  <c r="U1" i="11"/>
  <c r="W1" i="4"/>
  <c r="K169" i="8"/>
  <c r="AI169" i="8"/>
  <c r="Z2" i="11"/>
  <c r="AB2" i="4"/>
  <c r="AO171" i="7"/>
  <c r="AO152" i="7" s="1"/>
  <c r="U2" i="11"/>
  <c r="W2" i="4"/>
  <c r="D35" i="5" a="1"/>
  <c r="D35" i="5" s="1"/>
  <c r="L35" i="5" a="1"/>
  <c r="L35" i="5" s="1"/>
  <c r="O35" i="5" a="1"/>
  <c r="O35" i="5" s="1"/>
  <c r="E35" i="5" a="1"/>
  <c r="E35" i="5" s="1"/>
  <c r="M35" i="5" a="1"/>
  <c r="M35" i="5" s="1"/>
  <c r="F35" i="5" a="1"/>
  <c r="F35" i="5" s="1"/>
  <c r="K35" i="5" a="1"/>
  <c r="K35" i="5" s="1"/>
  <c r="G35" i="5" a="1"/>
  <c r="G35" i="5" s="1"/>
  <c r="I35" i="5" a="1"/>
  <c r="I35" i="5" s="1"/>
  <c r="J35" i="5" a="1"/>
  <c r="J35" i="5" s="1"/>
  <c r="R35" i="5" a="1"/>
  <c r="R35" i="5" s="1"/>
  <c r="N35" i="5" a="1"/>
  <c r="N35" i="5" s="1"/>
  <c r="P35" i="5" a="1"/>
  <c r="P35" i="5" s="1"/>
  <c r="H35" i="5" a="1"/>
  <c r="H35" i="5" s="1"/>
  <c r="C36" i="5"/>
  <c r="Q35" i="5" a="1"/>
  <c r="Q35" i="5" s="1"/>
  <c r="K172" i="8"/>
  <c r="AI172" i="8"/>
  <c r="AH164" i="7"/>
  <c r="AH145" i="7" s="1"/>
  <c r="L169" i="8" l="1"/>
  <c r="AJ169" i="8"/>
  <c r="L166" i="8"/>
  <c r="AJ166" i="8"/>
  <c r="W1" i="11"/>
  <c r="Y1" i="4"/>
  <c r="L168" i="8"/>
  <c r="AJ168" i="8"/>
  <c r="L167" i="8"/>
  <c r="AJ167" i="8"/>
  <c r="L171" i="8"/>
  <c r="AJ171" i="8"/>
  <c r="Z1" i="11"/>
  <c r="AB1" i="4"/>
  <c r="L163" i="8"/>
  <c r="AJ163" i="8"/>
  <c r="L170" i="8"/>
  <c r="AJ170" i="8"/>
  <c r="AB2" i="11"/>
  <c r="AD2" i="4"/>
  <c r="AI173" i="8"/>
  <c r="L164" i="8"/>
  <c r="AJ164" i="8"/>
  <c r="L165" i="8"/>
  <c r="AJ165" i="8"/>
  <c r="L172" i="8"/>
  <c r="AJ172" i="8"/>
  <c r="G36" i="5" a="1"/>
  <c r="G36" i="5" s="1"/>
  <c r="I36" i="5" a="1"/>
  <c r="I36" i="5" s="1"/>
  <c r="L36" i="5" a="1"/>
  <c r="L36" i="5" s="1"/>
  <c r="E36" i="5" a="1"/>
  <c r="E36" i="5" s="1"/>
  <c r="M36" i="5" a="1"/>
  <c r="M36" i="5" s="1"/>
  <c r="D36" i="5" a="1"/>
  <c r="D36" i="5" s="1"/>
  <c r="F36" i="5" a="1"/>
  <c r="F36" i="5" s="1"/>
  <c r="N36" i="5" a="1"/>
  <c r="N36" i="5" s="1"/>
  <c r="K36" i="5" a="1"/>
  <c r="K36" i="5" s="1"/>
  <c r="O36" i="5" a="1"/>
  <c r="O36" i="5" s="1"/>
  <c r="J36" i="5" a="1"/>
  <c r="J36" i="5" s="1"/>
  <c r="R36" i="5" a="1"/>
  <c r="R36" i="5" s="1"/>
  <c r="P36" i="5" a="1"/>
  <c r="P36" i="5" s="1"/>
  <c r="Q36" i="5" a="1"/>
  <c r="Q36" i="5" s="1"/>
  <c r="H36" i="5" a="1"/>
  <c r="H36" i="5" s="1"/>
  <c r="C37" i="5"/>
  <c r="W2" i="11"/>
  <c r="Y2" i="4"/>
  <c r="L162" i="8"/>
  <c r="AJ162" i="8"/>
  <c r="M165" i="8" l="1"/>
  <c r="AK165" i="8"/>
  <c r="M163" i="8"/>
  <c r="AK163" i="8"/>
  <c r="M167" i="8"/>
  <c r="AK167" i="8"/>
  <c r="N37" i="5" a="1"/>
  <c r="N37" i="5" s="1"/>
  <c r="G37" i="5" a="1"/>
  <c r="G37" i="5" s="1"/>
  <c r="I37" i="5" a="1"/>
  <c r="I37" i="5" s="1"/>
  <c r="L37" i="5" a="1"/>
  <c r="L37" i="5" s="1"/>
  <c r="O37" i="5" a="1"/>
  <c r="O37" i="5" s="1"/>
  <c r="E37" i="5" a="1"/>
  <c r="E37" i="5" s="1"/>
  <c r="M37" i="5" a="1"/>
  <c r="M37" i="5" s="1"/>
  <c r="K37" i="5" a="1"/>
  <c r="K37" i="5" s="1"/>
  <c r="Q37" i="5" a="1"/>
  <c r="Q37" i="5" s="1"/>
  <c r="F37" i="5" a="1"/>
  <c r="F37" i="5" s="1"/>
  <c r="J37" i="5" a="1"/>
  <c r="J37" i="5" s="1"/>
  <c r="R37" i="5" a="1"/>
  <c r="R37" i="5" s="1"/>
  <c r="D37" i="5" a="1"/>
  <c r="D37" i="5" s="1"/>
  <c r="P37" i="5" a="1"/>
  <c r="P37" i="5" s="1"/>
  <c r="H37" i="5" a="1"/>
  <c r="H37" i="5" s="1"/>
  <c r="C38" i="5"/>
  <c r="M164" i="8"/>
  <c r="AK164" i="8"/>
  <c r="AB1" i="11"/>
  <c r="AD1" i="4"/>
  <c r="M171" i="8"/>
  <c r="AK171" i="8"/>
  <c r="AJ173" i="8"/>
  <c r="M172" i="8"/>
  <c r="AK172" i="8"/>
  <c r="M168" i="8"/>
  <c r="AK168" i="8"/>
  <c r="M166" i="8"/>
  <c r="AK166" i="8"/>
  <c r="M162" i="8"/>
  <c r="AK162" i="8"/>
  <c r="AD2" i="11"/>
  <c r="AF2" i="4"/>
  <c r="M170" i="8"/>
  <c r="AK170" i="8"/>
  <c r="Y1" i="11"/>
  <c r="AA1" i="4"/>
  <c r="Y2" i="11"/>
  <c r="AA2" i="4"/>
  <c r="M169" i="8"/>
  <c r="AK169" i="8"/>
  <c r="AF2" i="11" l="1"/>
  <c r="AH2" i="4"/>
  <c r="AH2" i="11" s="1"/>
  <c r="N164" i="8"/>
  <c r="AL164" i="8"/>
  <c r="N169" i="8"/>
  <c r="AL169" i="8"/>
  <c r="N172" i="8"/>
  <c r="AL172" i="8"/>
  <c r="K38" i="5" a="1"/>
  <c r="K38" i="5" s="1"/>
  <c r="N38" i="5" a="1"/>
  <c r="N38" i="5" s="1"/>
  <c r="G38" i="5" a="1"/>
  <c r="G38" i="5" s="1"/>
  <c r="I38" i="5" a="1"/>
  <c r="I38" i="5" s="1"/>
  <c r="L38" i="5" a="1"/>
  <c r="L38" i="5" s="1"/>
  <c r="O38" i="5" a="1"/>
  <c r="O38" i="5" s="1"/>
  <c r="E38" i="5" a="1"/>
  <c r="E38" i="5" s="1"/>
  <c r="D38" i="5" a="1"/>
  <c r="D38" i="5" s="1"/>
  <c r="F38" i="5" a="1"/>
  <c r="F38" i="5" s="1"/>
  <c r="P38" i="5" a="1"/>
  <c r="P38" i="5" s="1"/>
  <c r="H38" i="5" a="1"/>
  <c r="H38" i="5" s="1"/>
  <c r="Q38" i="5" a="1"/>
  <c r="Q38" i="5" s="1"/>
  <c r="M38" i="5" a="1"/>
  <c r="M38" i="5" s="1"/>
  <c r="J38" i="5" a="1"/>
  <c r="J38" i="5" s="1"/>
  <c r="R38" i="5" a="1"/>
  <c r="R38" i="5" s="1"/>
  <c r="C39" i="5"/>
  <c r="AA2" i="11"/>
  <c r="AC2" i="4"/>
  <c r="N167" i="8"/>
  <c r="AL167" i="8"/>
  <c r="N170" i="8"/>
  <c r="AL170" i="8"/>
  <c r="AK173" i="8"/>
  <c r="N162" i="8"/>
  <c r="AL162" i="8"/>
  <c r="AL173" i="8" s="1"/>
  <c r="N163" i="8"/>
  <c r="AL163" i="8"/>
  <c r="N168" i="8"/>
  <c r="AL168" i="8"/>
  <c r="AA1" i="11"/>
  <c r="AC1" i="4"/>
  <c r="N171" i="8"/>
  <c r="AL171" i="8"/>
  <c r="N166" i="8"/>
  <c r="AL166" i="8"/>
  <c r="AD1" i="11"/>
  <c r="AF1" i="4"/>
  <c r="N165" i="8"/>
  <c r="AL165" i="8"/>
  <c r="O172" i="8" l="1"/>
  <c r="AM172" i="8"/>
  <c r="AC1" i="11"/>
  <c r="AE1" i="4"/>
  <c r="O165" i="8"/>
  <c r="AM165" i="8"/>
  <c r="O171" i="8"/>
  <c r="AM171" i="8"/>
  <c r="O169" i="8"/>
  <c r="AM169" i="8"/>
  <c r="O162" i="8"/>
  <c r="AM162" i="8"/>
  <c r="AF1" i="11"/>
  <c r="AH1" i="4"/>
  <c r="AH1" i="11" s="1"/>
  <c r="O170" i="8"/>
  <c r="AM170" i="8"/>
  <c r="O168" i="8"/>
  <c r="AM168" i="8"/>
  <c r="D39" i="5" a="1"/>
  <c r="D39" i="5" s="1"/>
  <c r="E39" i="5" a="1"/>
  <c r="E39" i="5" s="1"/>
  <c r="F39" i="5" a="1"/>
  <c r="F39" i="5" s="1"/>
  <c r="K39" i="5" a="1"/>
  <c r="K39" i="5" s="1"/>
  <c r="N39" i="5" a="1"/>
  <c r="N39" i="5" s="1"/>
  <c r="G39" i="5" a="1"/>
  <c r="G39" i="5" s="1"/>
  <c r="I39" i="5" a="1"/>
  <c r="I39" i="5" s="1"/>
  <c r="Q39" i="5" a="1"/>
  <c r="Q39" i="5" s="1"/>
  <c r="L39" i="5" a="1"/>
  <c r="L39" i="5" s="1"/>
  <c r="O39" i="5" a="1"/>
  <c r="O39" i="5" s="1"/>
  <c r="M39" i="5" a="1"/>
  <c r="M39" i="5" s="1"/>
  <c r="P39" i="5" a="1"/>
  <c r="P39" i="5" s="1"/>
  <c r="H39" i="5" a="1"/>
  <c r="H39" i="5" s="1"/>
  <c r="J39" i="5" a="1"/>
  <c r="J39" i="5" s="1"/>
  <c r="R39" i="5" a="1"/>
  <c r="R39" i="5" s="1"/>
  <c r="C40" i="5"/>
  <c r="O167" i="8"/>
  <c r="AM167" i="8"/>
  <c r="O164" i="8"/>
  <c r="AM164" i="8"/>
  <c r="O166" i="8"/>
  <c r="AM166" i="8"/>
  <c r="O163" i="8"/>
  <c r="AM163" i="8"/>
  <c r="AC2" i="11"/>
  <c r="AE2" i="4"/>
  <c r="P170" i="8" l="1"/>
  <c r="AN170" i="8"/>
  <c r="P171" i="8"/>
  <c r="AN171" i="8"/>
  <c r="P165" i="8"/>
  <c r="AN165" i="8"/>
  <c r="P166" i="8"/>
  <c r="AN166" i="8"/>
  <c r="P164" i="8"/>
  <c r="AN164" i="8"/>
  <c r="AE2" i="11"/>
  <c r="AG2" i="4"/>
  <c r="AG2" i="11" s="1"/>
  <c r="AM173" i="8"/>
  <c r="AE1" i="11"/>
  <c r="AG1" i="4"/>
  <c r="AG1" i="11" s="1"/>
  <c r="P167" i="8"/>
  <c r="AN167" i="8"/>
  <c r="P162" i="8"/>
  <c r="AN162" i="8"/>
  <c r="P163" i="8"/>
  <c r="AN163" i="8"/>
  <c r="D40" i="5" a="1"/>
  <c r="D40" i="5" s="1"/>
  <c r="M40" i="5" a="1"/>
  <c r="M40" i="5" s="1"/>
  <c r="F40" i="5" a="1"/>
  <c r="F40" i="5" s="1"/>
  <c r="P40" i="5" a="1"/>
  <c r="P40" i="5" s="1"/>
  <c r="K40" i="5" a="1"/>
  <c r="K40" i="5" s="1"/>
  <c r="N40" i="5" a="1"/>
  <c r="N40" i="5" s="1"/>
  <c r="G40" i="5" a="1"/>
  <c r="G40" i="5" s="1"/>
  <c r="I40" i="5" a="1"/>
  <c r="I40" i="5" s="1"/>
  <c r="L40" i="5" a="1"/>
  <c r="L40" i="5" s="1"/>
  <c r="O40" i="5" a="1"/>
  <c r="O40" i="5" s="1"/>
  <c r="Q40" i="5" a="1"/>
  <c r="Q40" i="5" s="1"/>
  <c r="H40" i="5" a="1"/>
  <c r="H40" i="5" s="1"/>
  <c r="E40" i="5" a="1"/>
  <c r="E40" i="5" s="1"/>
  <c r="R40" i="5" a="1"/>
  <c r="R40" i="5" s="1"/>
  <c r="J40" i="5" a="1"/>
  <c r="J40" i="5" s="1"/>
  <c r="C41" i="5"/>
  <c r="P168" i="8"/>
  <c r="AN168" i="8"/>
  <c r="P169" i="8"/>
  <c r="AN169" i="8"/>
  <c r="P172" i="8"/>
  <c r="AN172" i="8"/>
  <c r="Q167" i="8" l="1"/>
  <c r="AP167" i="8" s="1"/>
  <c r="AO167" i="8"/>
  <c r="Q166" i="8"/>
  <c r="AP166" i="8" s="1"/>
  <c r="AO166" i="8"/>
  <c r="Q168" i="8"/>
  <c r="AP168" i="8" s="1"/>
  <c r="AO168" i="8"/>
  <c r="D41" i="5" a="1"/>
  <c r="D41" i="5" s="1"/>
  <c r="M41" i="5" a="1"/>
  <c r="M41" i="5" s="1"/>
  <c r="F41" i="5" a="1"/>
  <c r="F41" i="5" s="1"/>
  <c r="K41" i="5" a="1"/>
  <c r="K41" i="5" s="1"/>
  <c r="N41" i="5" a="1"/>
  <c r="N41" i="5" s="1"/>
  <c r="G41" i="5" a="1"/>
  <c r="G41" i="5" s="1"/>
  <c r="I41" i="5" a="1"/>
  <c r="I41" i="5" s="1"/>
  <c r="E41" i="5" a="1"/>
  <c r="E41" i="5" s="1"/>
  <c r="L41" i="5" a="1"/>
  <c r="L41" i="5" s="1"/>
  <c r="J41" i="5" a="1"/>
  <c r="J41" i="5" s="1"/>
  <c r="R41" i="5" a="1"/>
  <c r="R41" i="5" s="1"/>
  <c r="O41" i="5" a="1"/>
  <c r="O41" i="5" s="1"/>
  <c r="P41" i="5" a="1"/>
  <c r="P41" i="5" s="1"/>
  <c r="Q41" i="5" a="1"/>
  <c r="Q41" i="5" s="1"/>
  <c r="H41" i="5" a="1"/>
  <c r="H41" i="5" s="1"/>
  <c r="C42" i="5"/>
  <c r="Q165" i="8"/>
  <c r="AP165" i="8" s="1"/>
  <c r="AO165" i="8"/>
  <c r="Q163" i="8"/>
  <c r="AP163" i="8" s="1"/>
  <c r="AO163" i="8"/>
  <c r="AN173" i="8"/>
  <c r="Q171" i="8"/>
  <c r="AP171" i="8" s="1"/>
  <c r="AO171" i="8"/>
  <c r="Q169" i="8"/>
  <c r="AP169" i="8" s="1"/>
  <c r="AO169" i="8"/>
  <c r="Q172" i="8"/>
  <c r="AP172" i="8" s="1"/>
  <c r="AO172" i="8"/>
  <c r="Q162" i="8"/>
  <c r="AP162" i="8" s="1"/>
  <c r="AO162" i="8"/>
  <c r="AO173" i="8" s="1"/>
  <c r="Q164" i="8"/>
  <c r="AP164" i="8" s="1"/>
  <c r="AO164" i="8"/>
  <c r="Q170" i="8"/>
  <c r="AP170" i="8" s="1"/>
  <c r="AO170" i="8"/>
  <c r="E42" i="5" l="1" a="1"/>
  <c r="E42" i="5" s="1"/>
  <c r="D42" i="5" a="1"/>
  <c r="D42" i="5" s="1"/>
  <c r="M42" i="5" a="1"/>
  <c r="M42" i="5" s="1"/>
  <c r="F42" i="5" a="1"/>
  <c r="F42" i="5" s="1"/>
  <c r="P42" i="5" a="1"/>
  <c r="P42" i="5" s="1"/>
  <c r="K42" i="5" a="1"/>
  <c r="K42" i="5" s="1"/>
  <c r="N42" i="5" a="1"/>
  <c r="N42" i="5" s="1"/>
  <c r="L42" i="5" a="1"/>
  <c r="L42" i="5" s="1"/>
  <c r="G42" i="5" a="1"/>
  <c r="G42" i="5" s="1"/>
  <c r="I42" i="5" a="1"/>
  <c r="I42" i="5" s="1"/>
  <c r="J42" i="5" a="1"/>
  <c r="J42" i="5" s="1"/>
  <c r="R42" i="5" a="1"/>
  <c r="R42" i="5" s="1"/>
  <c r="O42" i="5" a="1"/>
  <c r="O42" i="5" s="1"/>
  <c r="Q42" i="5" a="1"/>
  <c r="Q42" i="5" s="1"/>
  <c r="H42" i="5" a="1"/>
  <c r="H42" i="5" s="1"/>
  <c r="C43" i="5"/>
  <c r="AP173" i="8"/>
  <c r="D43" i="5" l="1" a="1"/>
  <c r="D43" i="5" s="1"/>
  <c r="L43" i="5" a="1"/>
  <c r="L43" i="5" s="1"/>
  <c r="E43" i="5" a="1"/>
  <c r="E43" i="5" s="1"/>
  <c r="O43" i="5" a="1"/>
  <c r="O43" i="5" s="1"/>
  <c r="M43" i="5" a="1"/>
  <c r="M43" i="5" s="1"/>
  <c r="F43" i="5" a="1"/>
  <c r="F43" i="5" s="1"/>
  <c r="K43" i="5" a="1"/>
  <c r="K43" i="5" s="1"/>
  <c r="G43" i="5" a="1"/>
  <c r="G43" i="5" s="1"/>
  <c r="I43" i="5" a="1"/>
  <c r="I43" i="5" s="1"/>
  <c r="J43" i="5" a="1"/>
  <c r="J43" i="5" s="1"/>
  <c r="R43" i="5" a="1"/>
  <c r="R43" i="5" s="1"/>
  <c r="P43" i="5" a="1"/>
  <c r="P43" i="5" s="1"/>
  <c r="N43" i="5" a="1"/>
  <c r="N43" i="5" s="1"/>
  <c r="Q43" i="5" a="1"/>
  <c r="Q43" i="5" s="1"/>
  <c r="H43" i="5" a="1"/>
  <c r="H43" i="5" s="1"/>
  <c r="C44" i="5"/>
  <c r="G44" i="5" l="1" a="1"/>
  <c r="G44" i="5" s="1"/>
  <c r="I44" i="5" a="1"/>
  <c r="I44" i="5" s="1"/>
  <c r="L44" i="5" a="1"/>
  <c r="L44" i="5" s="1"/>
  <c r="D44" i="5" a="1"/>
  <c r="D44" i="5" s="1"/>
  <c r="E44" i="5" a="1"/>
  <c r="E44" i="5" s="1"/>
  <c r="M44" i="5" a="1"/>
  <c r="M44" i="5" s="1"/>
  <c r="F44" i="5" a="1"/>
  <c r="F44" i="5" s="1"/>
  <c r="N44" i="5" a="1"/>
  <c r="N44" i="5" s="1"/>
  <c r="K44" i="5" a="1"/>
  <c r="K44" i="5" s="1"/>
  <c r="J44" i="5" a="1"/>
  <c r="J44" i="5" s="1"/>
  <c r="R44" i="5" a="1"/>
  <c r="R44" i="5" s="1"/>
  <c r="O44" i="5" a="1"/>
  <c r="O44" i="5" s="1"/>
  <c r="P44" i="5" a="1"/>
  <c r="P44" i="5" s="1"/>
  <c r="Q44" i="5" a="1"/>
  <c r="Q44" i="5" s="1"/>
  <c r="H44" i="5" a="1"/>
  <c r="H44" i="5" s="1"/>
  <c r="F14" i="5" l="1"/>
  <c r="AA14" i="5" s="1"/>
  <c r="F16" i="5"/>
  <c r="AA16" i="5" s="1"/>
  <c r="F4" i="5"/>
  <c r="F5" i="5"/>
  <c r="F12" i="5"/>
  <c r="F15" i="5"/>
  <c r="AA15" i="5" s="1"/>
  <c r="F13" i="5"/>
  <c r="AA13" i="5" s="1"/>
  <c r="F11" i="5"/>
  <c r="F10" i="5"/>
  <c r="F7" i="5"/>
  <c r="F6" i="5"/>
  <c r="O7" i="5"/>
  <c r="AJ7" i="5" s="1"/>
  <c r="O16" i="5"/>
  <c r="AJ16" i="5" s="1"/>
  <c r="O6" i="5"/>
  <c r="AJ6" i="5" s="1"/>
  <c r="O11" i="5"/>
  <c r="AJ11" i="5" s="1"/>
  <c r="O8" i="5"/>
  <c r="AJ8" i="5" s="1"/>
  <c r="O3" i="5"/>
  <c r="AJ3" i="5" s="1"/>
  <c r="O12" i="5"/>
  <c r="AJ12" i="5" s="1"/>
  <c r="O9" i="5"/>
  <c r="AJ9" i="5" s="1"/>
  <c r="O15" i="5"/>
  <c r="AJ15" i="5" s="1"/>
  <c r="O2" i="5"/>
  <c r="AJ2" i="5" s="1"/>
  <c r="O5" i="5"/>
  <c r="AJ5" i="5" s="1"/>
  <c r="O4" i="5"/>
  <c r="AJ4" i="5" s="1"/>
  <c r="O13" i="5"/>
  <c r="AJ13" i="5" s="1"/>
  <c r="K2" i="5"/>
  <c r="K15" i="5"/>
  <c r="AF15" i="5" s="1"/>
  <c r="K8" i="5"/>
  <c r="K5" i="5"/>
  <c r="K14" i="5"/>
  <c r="AF14" i="5" s="1"/>
  <c r="K4" i="5"/>
  <c r="K6" i="5"/>
  <c r="K9" i="5"/>
  <c r="K10" i="5"/>
  <c r="K7" i="5"/>
  <c r="K13" i="5"/>
  <c r="AF13" i="5" s="1"/>
  <c r="K16" i="5"/>
  <c r="AF16" i="5" s="1"/>
  <c r="K11" i="5"/>
  <c r="L2" i="5"/>
  <c r="L16" i="5"/>
  <c r="AG16" i="5" s="1"/>
  <c r="L13" i="5"/>
  <c r="AG13" i="5" s="1"/>
  <c r="L6" i="5"/>
  <c r="L15" i="5"/>
  <c r="AG15" i="5" s="1"/>
  <c r="L12" i="5"/>
  <c r="L7" i="5"/>
  <c r="L8" i="5"/>
  <c r="L14" i="5"/>
  <c r="AG14" i="5" s="1"/>
  <c r="L9" i="5"/>
  <c r="L5" i="5"/>
  <c r="L10" i="5"/>
  <c r="L3" i="5"/>
  <c r="N2" i="5"/>
  <c r="AI2" i="5" s="1"/>
  <c r="N14" i="5"/>
  <c r="AI14" i="5" s="1"/>
  <c r="N13" i="5"/>
  <c r="AI13" i="5" s="1"/>
  <c r="N3" i="5"/>
  <c r="AI3" i="5" s="1"/>
  <c r="N5" i="5"/>
  <c r="AI5" i="5" s="1"/>
  <c r="N16" i="5"/>
  <c r="AI16" i="5" s="1"/>
  <c r="N6" i="5"/>
  <c r="AI6" i="5" s="1"/>
  <c r="N12" i="5"/>
  <c r="AI12" i="5" s="1"/>
  <c r="N10" i="5"/>
  <c r="AI10" i="5" s="1"/>
  <c r="N7" i="5"/>
  <c r="AI7" i="5" s="1"/>
  <c r="N4" i="5"/>
  <c r="AI4" i="5" s="1"/>
  <c r="N11" i="5"/>
  <c r="AI11" i="5" s="1"/>
  <c r="C13" i="5"/>
  <c r="X13" i="5" s="1"/>
  <c r="C12" i="5"/>
  <c r="C3" i="5"/>
  <c r="C14" i="5"/>
  <c r="X14" i="5" s="1"/>
  <c r="C2" i="5"/>
  <c r="C15" i="5"/>
  <c r="X15" i="5" s="1"/>
  <c r="C10" i="5"/>
  <c r="C8" i="5"/>
  <c r="C7" i="5"/>
  <c r="C9" i="5"/>
  <c r="C16" i="5"/>
  <c r="X16" i="5" s="1"/>
  <c r="C4" i="5"/>
  <c r="C5" i="5"/>
  <c r="M5" i="5"/>
  <c r="AH5" i="5" s="1"/>
  <c r="M9" i="5"/>
  <c r="AH9" i="5" s="1"/>
  <c r="M6" i="5"/>
  <c r="AH6" i="5" s="1"/>
  <c r="M8" i="5"/>
  <c r="AH8" i="5" s="1"/>
  <c r="M15" i="5"/>
  <c r="AH15" i="5" s="1"/>
  <c r="M11" i="5"/>
  <c r="AH11" i="5" s="1"/>
  <c r="M3" i="5"/>
  <c r="AH3" i="5" s="1"/>
  <c r="M13" i="5"/>
  <c r="AH13" i="5" s="1"/>
  <c r="M16" i="5"/>
  <c r="AH16" i="5" s="1"/>
  <c r="M12" i="5"/>
  <c r="AH12" i="5" s="1"/>
  <c r="M4" i="5"/>
  <c r="AH4" i="5" s="1"/>
  <c r="M14" i="5"/>
  <c r="AH14" i="5" s="1"/>
  <c r="B9" i="5"/>
  <c r="B12" i="5"/>
  <c r="B5" i="5"/>
  <c r="B2" i="5"/>
  <c r="B7" i="5"/>
  <c r="B15" i="5"/>
  <c r="W15" i="5" s="1"/>
  <c r="B11" i="5"/>
  <c r="B14" i="5"/>
  <c r="W14" i="5" s="1"/>
  <c r="B3" i="5"/>
  <c r="P4" i="5"/>
  <c r="AK4" i="5" s="1"/>
  <c r="P8" i="5"/>
  <c r="AK8" i="5" s="1"/>
  <c r="P3" i="5"/>
  <c r="AK3" i="5" s="1"/>
  <c r="P12" i="5"/>
  <c r="AK12" i="5" s="1"/>
  <c r="P6" i="5"/>
  <c r="AK6" i="5" s="1"/>
  <c r="P11" i="5"/>
  <c r="AK11" i="5" s="1"/>
  <c r="P7" i="5"/>
  <c r="AK7" i="5" s="1"/>
  <c r="P16" i="5"/>
  <c r="AK16" i="5" s="1"/>
  <c r="P14" i="5"/>
  <c r="AK14" i="5" s="1"/>
  <c r="P15" i="5"/>
  <c r="AK15" i="5" s="1"/>
  <c r="P13" i="5"/>
  <c r="AK13" i="5" s="1"/>
  <c r="P10" i="5"/>
  <c r="AK10" i="5" s="1"/>
  <c r="P5" i="5"/>
  <c r="AK5" i="5" s="1"/>
  <c r="P9" i="5"/>
  <c r="AK9" i="5" s="1"/>
  <c r="J4" i="5"/>
  <c r="J5" i="5"/>
  <c r="J8" i="5"/>
  <c r="J6" i="5"/>
  <c r="J9" i="5"/>
  <c r="J3" i="5"/>
  <c r="J12" i="5"/>
  <c r="J16" i="5"/>
  <c r="AE16" i="5" s="1"/>
  <c r="J11" i="5"/>
  <c r="J7" i="5"/>
  <c r="J14" i="5"/>
  <c r="AE14" i="5" s="1"/>
  <c r="J10" i="5"/>
  <c r="D9" i="5"/>
  <c r="D7" i="5"/>
  <c r="D8" i="5"/>
  <c r="D16" i="5"/>
  <c r="Y16" i="5" s="1"/>
  <c r="D11" i="5"/>
  <c r="D6" i="5"/>
  <c r="D14" i="5"/>
  <c r="Y14" i="5" s="1"/>
  <c r="D13" i="5"/>
  <c r="Y13" i="5" s="1"/>
  <c r="D4" i="5"/>
  <c r="D3" i="5"/>
  <c r="D10" i="5"/>
  <c r="D15" i="5"/>
  <c r="Y15" i="5" s="1"/>
  <c r="H5" i="5"/>
  <c r="H12" i="5"/>
  <c r="H3" i="5"/>
  <c r="H4" i="5"/>
  <c r="H13" i="5"/>
  <c r="AC13" i="5" s="1"/>
  <c r="H10" i="5"/>
  <c r="H11" i="5"/>
  <c r="H7" i="5"/>
  <c r="H16" i="5"/>
  <c r="AC16" i="5" s="1"/>
  <c r="H8" i="5"/>
  <c r="H15" i="5"/>
  <c r="AC15" i="5" s="1"/>
  <c r="G2" i="5"/>
  <c r="G7" i="5"/>
  <c r="G16" i="5"/>
  <c r="AB16" i="5" s="1"/>
  <c r="G4" i="5"/>
  <c r="G10" i="5"/>
  <c r="G9" i="5"/>
  <c r="G11" i="5"/>
  <c r="G8" i="5"/>
  <c r="G12" i="5"/>
  <c r="G15" i="5"/>
  <c r="AB15" i="5" s="1"/>
  <c r="G14" i="5"/>
  <c r="AB14" i="5" s="1"/>
  <c r="G3" i="5"/>
  <c r="G6" i="5"/>
  <c r="I2" i="5"/>
  <c r="I5" i="5"/>
  <c r="I7" i="5"/>
  <c r="I12" i="5"/>
  <c r="I15" i="5"/>
  <c r="AD15" i="5" s="1"/>
  <c r="I16" i="5"/>
  <c r="AD16" i="5" s="1"/>
  <c r="I4" i="5"/>
  <c r="I11" i="5"/>
  <c r="I9" i="5"/>
  <c r="I10" i="5"/>
  <c r="I13" i="5"/>
  <c r="AD13" i="5" s="1"/>
  <c r="I3" i="5"/>
  <c r="E2" i="5"/>
  <c r="E11" i="5"/>
  <c r="E3" i="5"/>
  <c r="E8" i="5"/>
  <c r="E14" i="5"/>
  <c r="Z14" i="5" s="1"/>
  <c r="E5" i="5"/>
  <c r="E13" i="5"/>
  <c r="Z13" i="5" s="1"/>
  <c r="E15" i="5"/>
  <c r="Z15" i="5" s="1"/>
  <c r="E10" i="5"/>
  <c r="E9" i="5"/>
  <c r="E6" i="5"/>
  <c r="E12" i="5"/>
  <c r="E16" i="5"/>
  <c r="Z16" i="5" s="1"/>
  <c r="Z6" i="5" l="1"/>
  <c r="BB6" i="5"/>
  <c r="AB4" i="5"/>
  <c r="BD4" i="5"/>
  <c r="BG12" i="5"/>
  <c r="AE12" i="5"/>
  <c r="AG8" i="5"/>
  <c r="BI8" i="5"/>
  <c r="AA12" i="5"/>
  <c r="BC12" i="5"/>
  <c r="Z5" i="5"/>
  <c r="BB5" i="5"/>
  <c r="BF5" i="5"/>
  <c r="AD5" i="5"/>
  <c r="AC12" i="5"/>
  <c r="BE12" i="5"/>
  <c r="AE7" i="5"/>
  <c r="BG7" i="5"/>
  <c r="W9" i="5"/>
  <c r="AY9" i="5"/>
  <c r="AZ9" i="5"/>
  <c r="X9" i="5"/>
  <c r="X12" i="5"/>
  <c r="AZ12" i="5"/>
  <c r="AF9" i="5"/>
  <c r="BH9" i="5"/>
  <c r="BF9" i="5"/>
  <c r="AD9" i="5"/>
  <c r="AD2" i="5"/>
  <c r="BF2" i="5"/>
  <c r="AB9" i="5"/>
  <c r="BD9" i="5"/>
  <c r="BE5" i="5"/>
  <c r="AC5" i="5"/>
  <c r="Y11" i="5"/>
  <c r="BA11" i="5"/>
  <c r="BG11" i="5"/>
  <c r="AE11" i="5"/>
  <c r="AE4" i="5"/>
  <c r="BG4" i="5"/>
  <c r="AZ7" i="5"/>
  <c r="X7" i="5"/>
  <c r="BI9" i="5"/>
  <c r="AG9" i="5"/>
  <c r="BH6" i="5"/>
  <c r="AF6" i="5"/>
  <c r="Z3" i="5"/>
  <c r="BB3" i="5"/>
  <c r="Y10" i="5"/>
  <c r="BA10" i="5"/>
  <c r="AF11" i="5"/>
  <c r="BH11" i="5"/>
  <c r="Z9" i="5"/>
  <c r="BB9" i="5"/>
  <c r="AD10" i="5"/>
  <c r="BF10" i="5"/>
  <c r="AB11" i="5"/>
  <c r="BD11" i="5"/>
  <c r="AC8" i="5"/>
  <c r="BE8" i="5"/>
  <c r="Y6" i="5"/>
  <c r="BA6" i="5"/>
  <c r="AE5" i="5"/>
  <c r="BG5" i="5"/>
  <c r="AY3" i="5"/>
  <c r="W3" i="5"/>
  <c r="BI5" i="5"/>
  <c r="AG5" i="5"/>
  <c r="AA11" i="5"/>
  <c r="BC11" i="5"/>
  <c r="Z12" i="5"/>
  <c r="BB12" i="5"/>
  <c r="Z8" i="5"/>
  <c r="BB8" i="5"/>
  <c r="BF11" i="5"/>
  <c r="AD11" i="5"/>
  <c r="AB6" i="5"/>
  <c r="BD6" i="5"/>
  <c r="BD10" i="5"/>
  <c r="AB10" i="5"/>
  <c r="AC7" i="5"/>
  <c r="BE7" i="5"/>
  <c r="W11" i="5"/>
  <c r="AY11" i="5"/>
  <c r="X8" i="5"/>
  <c r="AZ8" i="5"/>
  <c r="BI2" i="5"/>
  <c r="AG2" i="5"/>
  <c r="BH4" i="5"/>
  <c r="AF4" i="5"/>
  <c r="AD4" i="5"/>
  <c r="BF4" i="5"/>
  <c r="Y8" i="5"/>
  <c r="BA8" i="5"/>
  <c r="BA7" i="5"/>
  <c r="Y7" i="5"/>
  <c r="AF5" i="5"/>
  <c r="BH5" i="5"/>
  <c r="AA5" i="5"/>
  <c r="BC5" i="5"/>
  <c r="Z10" i="5"/>
  <c r="BB10" i="5"/>
  <c r="Z2" i="5"/>
  <c r="BB2" i="5"/>
  <c r="AB7" i="5"/>
  <c r="BD7" i="5"/>
  <c r="Y4" i="5"/>
  <c r="BA4" i="5"/>
  <c r="BA9" i="5"/>
  <c r="Y9" i="5"/>
  <c r="AE9" i="5"/>
  <c r="BG9" i="5"/>
  <c r="W2" i="5"/>
  <c r="A21" i="5"/>
  <c r="AY2" i="5"/>
  <c r="X5" i="5"/>
  <c r="AZ5" i="5"/>
  <c r="X2" i="5"/>
  <c r="AZ2" i="5"/>
  <c r="BI12" i="5"/>
  <c r="AG12" i="5"/>
  <c r="AF8" i="5"/>
  <c r="BH8" i="5"/>
  <c r="AA6" i="5"/>
  <c r="BC6" i="5"/>
  <c r="BC4" i="5"/>
  <c r="AA4" i="5"/>
  <c r="AB3" i="5"/>
  <c r="BD3" i="5"/>
  <c r="X10" i="5"/>
  <c r="AZ10" i="5"/>
  <c r="Z11" i="5"/>
  <c r="BB11" i="5"/>
  <c r="Y3" i="5"/>
  <c r="BA3" i="5"/>
  <c r="BG3" i="5"/>
  <c r="AE3" i="5"/>
  <c r="AY7" i="5"/>
  <c r="W7" i="5"/>
  <c r="BI7" i="5"/>
  <c r="AG7" i="5"/>
  <c r="AD12" i="5"/>
  <c r="BF12" i="5"/>
  <c r="BD12" i="5"/>
  <c r="AB12" i="5"/>
  <c r="AB2" i="5"/>
  <c r="BD2" i="5"/>
  <c r="AC4" i="5"/>
  <c r="BE4" i="5"/>
  <c r="AE10" i="5"/>
  <c r="BG10" i="5"/>
  <c r="BG6" i="5"/>
  <c r="AE6" i="5"/>
  <c r="W5" i="5"/>
  <c r="AY5" i="5"/>
  <c r="AZ4" i="5"/>
  <c r="X4" i="5"/>
  <c r="AG3" i="5"/>
  <c r="BI3" i="5"/>
  <c r="AF7" i="5"/>
  <c r="BH7" i="5"/>
  <c r="AA7" i="5"/>
  <c r="BC7" i="5"/>
  <c r="BE11" i="5"/>
  <c r="AC11" i="5"/>
  <c r="BE10" i="5"/>
  <c r="AC10" i="5"/>
  <c r="BF3" i="5"/>
  <c r="AD3" i="5"/>
  <c r="AD7" i="5"/>
  <c r="BF7" i="5"/>
  <c r="BD8" i="5"/>
  <c r="AB8" i="5"/>
  <c r="AC3" i="5"/>
  <c r="BE3" i="5"/>
  <c r="AE8" i="5"/>
  <c r="BG8" i="5"/>
  <c r="AY12" i="5"/>
  <c r="W12" i="5"/>
  <c r="X3" i="5"/>
  <c r="AZ3" i="5"/>
  <c r="AG10" i="5"/>
  <c r="BI10" i="5"/>
  <c r="BI6" i="5"/>
  <c r="AG6" i="5"/>
  <c r="AF10" i="5"/>
  <c r="BH10" i="5"/>
  <c r="AF2" i="5"/>
  <c r="BH2" i="5"/>
  <c r="BC10" i="5"/>
  <c r="AA10" i="5"/>
</calcChain>
</file>

<file path=xl/sharedStrings.xml><?xml version="1.0" encoding="utf-8"?>
<sst xmlns="http://schemas.openxmlformats.org/spreadsheetml/2006/main" count="1663" uniqueCount="222">
  <si>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</si>
  <si>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</si>
  <si>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</si>
  <si>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</si>
  <si>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</si>
  <si>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</si>
  <si>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</si>
  <si>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</si>
  <si>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</si>
  <si>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</si>
  <si>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</si>
  <si>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</si>
  <si>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</si>
  <si>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</si>
  <si>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</si>
  <si>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</si>
  <si>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</si>
  <si>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</si>
  <si>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</si>
  <si>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</si>
  <si>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</si>
  <si>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</si>
  <si>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</si>
  <si>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</si>
  <si>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</si>
  <si>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</si>
  <si>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Food</t>
  </si>
  <si>
    <t>rdim</t>
  </si>
  <si>
    <t>cdim</t>
  </si>
  <si>
    <t>par</t>
  </si>
  <si>
    <t>CYF</t>
  </si>
  <si>
    <t>DiscFact</t>
  </si>
  <si>
    <t>C_convert</t>
  </si>
  <si>
    <t>C_chg</t>
  </si>
  <si>
    <t>pr_Hide</t>
  </si>
  <si>
    <t>Yld_H</t>
  </si>
  <si>
    <t>k</t>
  </si>
  <si>
    <t>kappa</t>
  </si>
  <si>
    <t>C_Cow</t>
  </si>
  <si>
    <t>CowtranYr1</t>
  </si>
  <si>
    <t>InitCow</t>
  </si>
  <si>
    <t>Herdsize</t>
  </si>
  <si>
    <t>CowDeath</t>
  </si>
  <si>
    <t>Start</t>
  </si>
  <si>
    <t>End</t>
  </si>
  <si>
    <t>TotArea</t>
  </si>
  <si>
    <t>Area_init</t>
  </si>
  <si>
    <t>Eline</t>
  </si>
  <si>
    <t>Cap_Road</t>
  </si>
  <si>
    <t>CF_Road_data</t>
  </si>
  <si>
    <t>Year</t>
  </si>
  <si>
    <t>Season</t>
  </si>
  <si>
    <t>Node</t>
  </si>
  <si>
    <t>FoodItem</t>
  </si>
  <si>
    <t>Crop</t>
  </si>
  <si>
    <t>Road</t>
  </si>
  <si>
    <t>aFAO</t>
  </si>
  <si>
    <t>C_prod</t>
  </si>
  <si>
    <t>DemInt</t>
  </si>
  <si>
    <t>DemSlope</t>
  </si>
  <si>
    <t>MilkYield</t>
  </si>
  <si>
    <t>BeefYield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</si>
  <si>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</si>
  <si>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</si>
  <si>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</si>
  <si>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</si>
  <si>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</si>
  <si>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</si>
  <si>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</si>
  <si>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</si>
  <si>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</si>
  <si>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</si>
  <si>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</si>
  <si>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</si>
  <si>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</si>
  <si>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</si>
  <si>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</si>
  <si>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Population in million</t>
  </si>
  <si>
    <t>qWInit</t>
  </si>
  <si>
    <t>DemCrossElas</t>
  </si>
  <si>
    <t xml:space="preserve"> </t>
  </si>
  <si>
    <t>Base_Elec_Dem1</t>
  </si>
  <si>
    <t>Produce</t>
  </si>
  <si>
    <t>Ethiopia</t>
  </si>
  <si>
    <t>Consumption</t>
  </si>
  <si>
    <t>Price</t>
  </si>
  <si>
    <t>Elasticity</t>
  </si>
  <si>
    <t>Total Produce</t>
  </si>
  <si>
    <t>Production</t>
  </si>
  <si>
    <t>Profit Margin</t>
  </si>
  <si>
    <t>DemElas</t>
  </si>
  <si>
    <t>Cell Info</t>
  </si>
  <si>
    <t>Sheet</t>
  </si>
  <si>
    <t>Cell</t>
  </si>
  <si>
    <t>Name Start</t>
  </si>
  <si>
    <t>Name End</t>
  </si>
  <si>
    <t>Price of hide obtained after cattle slaughter</t>
  </si>
  <si>
    <t>Amount of hide obtained when slaughtering a cattle</t>
  </si>
  <si>
    <t>Fertility rate of cattle</t>
  </si>
  <si>
    <t>Mortality rate of cattle</t>
  </si>
  <si>
    <t>Cost of raising cattle</t>
  </si>
  <si>
    <t>Cost of transporting cattle</t>
  </si>
  <si>
    <t>Number of cattle in the herd in the starting year</t>
  </si>
  <si>
    <t>The minimum herd size to be maintained</t>
  </si>
  <si>
    <t>Minimum fraction of cattle to be slaughtered each year</t>
  </si>
  <si>
    <t>Quantity of beef obtained by slaughtering unit cattle</t>
  </si>
  <si>
    <t>Quantity of milk obtained from unit cattle</t>
  </si>
  <si>
    <t>Cost of producing crops</t>
  </si>
  <si>
    <t>Cost of converting non-arable land to arable land</t>
  </si>
  <si>
    <t>Cost of changing crop patterns</t>
  </si>
  <si>
    <t>Total area available in the region</t>
  </si>
  <si>
    <t>Cropping pattern in the initial year</t>
  </si>
  <si>
    <t>Crop Yield Factor (FAO's parameter)</t>
  </si>
  <si>
    <t>Discount Factor - for time value of money</t>
  </si>
  <si>
    <t>Presence of electricity lines</t>
  </si>
  <si>
    <t>Presence of Roads</t>
  </si>
  <si>
    <t>Cost of transportation of food</t>
  </si>
  <si>
    <t>Road capacity</t>
  </si>
  <si>
    <t>Set of years</t>
  </si>
  <si>
    <t>Set of seasons</t>
  </si>
  <si>
    <t>Set of nodes</t>
  </si>
  <si>
    <t>Set of Food items</t>
  </si>
  <si>
    <t>Subset of food items which are agricultural crops (Excluding animal products)</t>
  </si>
  <si>
    <t>Intercept of the demand curve</t>
  </si>
  <si>
    <t>Slope of the demand curve</t>
  </si>
  <si>
    <t>Basic demand for electricity</t>
  </si>
  <si>
    <t>Capacity of Electricity production</t>
  </si>
  <si>
    <t>Linear cost of electricity production</t>
  </si>
  <si>
    <t>Quadratic cost of electricity production</t>
  </si>
  <si>
    <t>Quantity available in Storage warehouses in the beginning</t>
  </si>
  <si>
    <t>Cross elasticity of demand</t>
  </si>
  <si>
    <t>Self Elasticity of demand (For calibration)</t>
  </si>
  <si>
    <t>Target consumption (For calibration)</t>
  </si>
  <si>
    <t>Zones</t>
  </si>
  <si>
    <t>A1</t>
  </si>
  <si>
    <t>H2</t>
  </si>
  <si>
    <t>H3</t>
  </si>
  <si>
    <t>H4</t>
  </si>
  <si>
    <t>H5</t>
  </si>
  <si>
    <t>M1</t>
  </si>
  <si>
    <t>M3</t>
  </si>
  <si>
    <t>M5</t>
  </si>
  <si>
    <t>SA1</t>
  </si>
  <si>
    <t>SA3</t>
  </si>
  <si>
    <t>SH1</t>
  </si>
  <si>
    <t>SH3</t>
  </si>
  <si>
    <t>SM2</t>
  </si>
  <si>
    <t>External</t>
  </si>
  <si>
    <t>SM2N</t>
  </si>
  <si>
    <t>Phi</t>
  </si>
  <si>
    <t>Psi</t>
  </si>
  <si>
    <t>Adapt</t>
  </si>
  <si>
    <t>Conversion factors to convert admin reg data to adapt zone</t>
  </si>
  <si>
    <t>Conversion factors to convert adapt zonal data to admin node</t>
  </si>
  <si>
    <t>Adaptation zones</t>
  </si>
  <si>
    <t>=SUMIFS(aFAO!$C:$C,aFAO!$A:$A,$B32,aFAO!$B:$B,C$31)</t>
  </si>
  <si>
    <t>Adama</t>
  </si>
  <si>
    <t>Semera</t>
  </si>
  <si>
    <t>BahirDar</t>
  </si>
  <si>
    <t>Asosa</t>
  </si>
  <si>
    <t>Harar</t>
  </si>
  <si>
    <t>Jijiga</t>
  </si>
  <si>
    <t>Awasa</t>
  </si>
  <si>
    <t>Mekelle</t>
  </si>
  <si>
    <t>Gondar</t>
  </si>
  <si>
    <t>Jimma</t>
  </si>
  <si>
    <t>Werder</t>
  </si>
  <si>
    <t>Goba</t>
  </si>
  <si>
    <t>Addis Ababa</t>
  </si>
  <si>
    <t>Benshangul-Gumaz</t>
  </si>
  <si>
    <t>Dire Dawa</t>
  </si>
  <si>
    <t>Nodes details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</si>
  <si>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</si>
  <si>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</si>
  <si>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</si>
  <si>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</si>
  <si>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</si>
  <si>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</si>
  <si>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</si>
  <si>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</si>
  <si>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</si>
  <si>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</si>
  <si>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</si>
  <si>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</si>
  <si>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Wheat</t>
  </si>
  <si>
    <t>Barley</t>
  </si>
  <si>
    <t>Price of Crops - Year 2014 - USD per MT at Addis Ababa</t>
  </si>
  <si>
    <t>Source: C:\Users\ssrir\GDrive\Work\Sauleh\INFEWS_Share\Literature\Crop Production\USDA_EthiopiaGrain&amp;FeedAnnualRepor_2015_highlighted.pdf</t>
  </si>
  <si>
    <t>Urban</t>
  </si>
  <si>
    <t>Rural</t>
  </si>
  <si>
    <t>National</t>
  </si>
  <si>
    <t>Percentage</t>
  </si>
  <si>
    <t>GrainType</t>
  </si>
  <si>
    <t>Pg 5</t>
  </si>
  <si>
    <t>Pg 3</t>
  </si>
  <si>
    <t>Per Capita Calorie Supply from the Five Main Grains</t>
  </si>
  <si>
    <t>Source: C:\Users\ssrir\GDrive\Work\Sauleh\INFEWS_Share\Literature\Prices\CSA_Retail Price_AUGUST 2015.doc</t>
  </si>
  <si>
    <t>Adap zone</t>
  </si>
  <si>
    <t>Population</t>
  </si>
  <si>
    <t>Total</t>
  </si>
  <si>
    <t>and Barley</t>
  </si>
  <si>
    <t>Area</t>
  </si>
  <si>
    <t>Yield</t>
  </si>
  <si>
    <t>a</t>
  </si>
  <si>
    <t>CashCrop</t>
  </si>
  <si>
    <t>Price = DemInt - DemSlope * Consumption</t>
  </si>
  <si>
    <t>Production in Admin region</t>
  </si>
  <si>
    <t>Kremt avg</t>
  </si>
  <si>
    <t>Belg Avg</t>
  </si>
  <si>
    <t>% produced</t>
  </si>
  <si>
    <t>Produc_Admin</t>
  </si>
  <si>
    <t>Target production (For initialization)</t>
  </si>
  <si>
    <t>Target production by admin region (For initialization)</t>
  </si>
  <si>
    <t>Target price (For initialization)</t>
  </si>
  <si>
    <t>Demand Slope = -Elas * Quantity Consumed / Price</t>
  </si>
  <si>
    <t>Intercept = Price + Slope* Consumption quantity</t>
  </si>
  <si>
    <t>=$J8*(1.0666666666666 -IFERROR( INDEX(TargetProduction!$AE$3:$AM$17,MATCH(M$7,TargetProduction!$AD$3:$AD$17,0),MATCH($L8,TargetProduction!$AE$2:$AM$2,0)),0))</t>
  </si>
  <si>
    <t>.</t>
  </si>
  <si>
    <t>Cost per Area</t>
  </si>
  <si>
    <t>Uncorrected</t>
  </si>
  <si>
    <t>Corrected</t>
  </si>
  <si>
    <t>Profitability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</si>
</sst>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;[Red]0.00;&quot;-&quot;"/>
    <numFmt numFmtId="165" formatCode="0;[Red]0;&quot;-&quot;"/>
    <numFmt numFmtId="166" formatCode="#.0000;[Red]\-#.0000;&quot;-&quot;"/>
    <numFmt numFmtId="167" formatCode="0.00;[Red]\-0.00;&quot;-&quot;"/>
    <numFmt numFmtId="168" formatCode="#.00;[Red]\-#.00;&quot;-&quot;"/>
    <numFmt numFmtId="169" formatCode="#,##0.0"/>
    <numFmt numFmtId="170" formatCode="0.0000%"/>
    <numFmt numFmtId="171" formatCode="#.000000;[Red]\-#.000000;&quot;-&quot;"/>
    <numFmt numFmtId="172" formatCode="#,##0.000000"/>
  </numFmts>
  <fonts count="1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0" borderId="0"/>
    <xf numFmtId="0" fontId="7" fillId="3" borderId="0" applyNumberFormat="0" applyBorder="0" applyAlignment="0" applyProtection="0"/>
    <xf numFmtId="0" fontId="8" fillId="4" borderId="0" applyNumberFormat="0" applyBorder="0" applyAlignment="0" applyProtection="0"/>
  </cellStyleXfs>
  <cellXfs count="51">
    <xf numFmtId="0" fontId="0" fillId="0" borderId="0" xfId="0"/>
    <xf numFmtId="0" fontId="3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2" fillId="2" borderId="1" xfId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3" fillId="0" borderId="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4" fontId="1" fillId="0" borderId="0" xfId="2" applyNumberFormat="1"/>
    <xf numFmtId="164" fontId="0" fillId="0" borderId="0" xfId="0" quotePrefix="1" applyNumberFormat="1" applyBorder="1"/>
    <xf numFmtId="165" fontId="0" fillId="0" borderId="0" xfId="0" quotePrefix="1" applyNumberFormat="1" applyBorder="1"/>
    <xf numFmtId="0" fontId="7" fillId="3" borderId="2" xfId="3" applyBorder="1"/>
    <xf numFmtId="10" fontId="8" fillId="4" borderId="0" xfId="4" applyNumberFormat="1"/>
    <xf numFmtId="4" fontId="3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0" xfId="0" quotePrefix="1"/>
    <xf numFmtId="11" fontId="0" fillId="0" borderId="0" xfId="0" applyNumberFormat="1"/>
    <xf numFmtId="0" fontId="9" fillId="0" borderId="0" xfId="0" applyFont="1"/>
    <xf numFmtId="9" fontId="0" fillId="0" borderId="0" xfId="0" applyNumberFormat="1"/>
    <xf numFmtId="3" fontId="0" fillId="0" borderId="14" xfId="0" applyNumberFormat="1" applyBorder="1"/>
    <xf numFmtId="9" fontId="0" fillId="0" borderId="14" xfId="0" applyNumberFormat="1" applyBorder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164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0" fillId="5" borderId="0" xfId="0" applyNumberFormat="1" applyFill="1"/>
    <xf numFmtId="4" fontId="0" fillId="5" borderId="0" xfId="0" applyNumberFormat="1" applyFill="1"/>
    <xf numFmtId="3" fontId="0" fillId="0" borderId="0" xfId="0" applyNumberFormat="1" applyFill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</cellXfs>
  <cellStyles count="5">
    <cellStyle name="Accent2" xfId="4" builtinId="33"/>
    <cellStyle name="Good" xfId="3" builtinId="26"/>
    <cellStyle name="Input" xfId="1" builtinId="20"/>
    <cellStyle name="Normal" xfId="0" builtinId="0"/>
    <cellStyle name="Normal 2" xfId="2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45"/>
  <sheetViews>
    <sheetView tabSelected="1" zoomScale="85" zoomScaleNormal="85" workbookViewId="0">
      <selection activeCell="C43" sqref="A43:XFD43"/>
    </sheetView>
  </sheetViews>
  <sheetFormatPr defaultColWidth="11" defaultRowHeight="15.75"/>
  <cols>
    <col min="2" max="2" width="15.625" bestFit="1" customWidth="1"/>
    <col min="3" max="3" width="21.625" bestFit="1" customWidth="1"/>
  </cols>
  <sheetData>
    <row r="1" spans="1:5">
      <c r="D1" t="s">
        <v>27</v>
      </c>
      <c r="E1" t="s">
        <v>28</v>
      </c>
    </row>
    <row r="2" spans="1:5">
      <c r="A2" t="s">
        <v>29</v>
      </c>
      <c r="B2" t="s">
        <v>56</v>
      </c>
      <c r="C2" t="str">
        <f ca="1">ADDRESS(ROW(INDIRECT(Explained!C2)),COLUMN(INDIRECT(Explained!C2)),4,1,Explained!F2)</f>
        <v>aFAO!A1</v>
      </c>
      <c r="D2">
        <v>2</v>
      </c>
      <c r="E2">
        <v>2</v>
      </c>
    </row>
    <row r="3" spans="1:5">
      <c r="A3" t="s">
        <v>29</v>
      </c>
      <c r="B3" t="s">
        <v>34</v>
      </c>
      <c r="C3" t="str">
        <f ca="1">ADDRESS(ROW(INDIRECT(Explained!C3)),COLUMN(INDIRECT(Explained!C3)),4,1,Explained!F3)</f>
        <v>Cattle!A2</v>
      </c>
      <c r="D3">
        <v>1</v>
      </c>
      <c r="E3">
        <v>0</v>
      </c>
    </row>
    <row r="4" spans="1:5">
      <c r="A4" t="s">
        <v>29</v>
      </c>
      <c r="B4" t="s">
        <v>35</v>
      </c>
      <c r="C4" t="str">
        <f ca="1">ADDRESS(ROW(INDIRECT(Explained!C4)),COLUMN(INDIRECT(Explained!C4)),4,1,Explained!F4)</f>
        <v>Cattle!A22</v>
      </c>
      <c r="D4">
        <v>1</v>
      </c>
      <c r="E4">
        <v>0</v>
      </c>
    </row>
    <row r="5" spans="1:5">
      <c r="A5" t="s">
        <v>29</v>
      </c>
      <c r="B5" t="s">
        <v>36</v>
      </c>
      <c r="C5" t="str">
        <f ca="1">ADDRESS(ROW(INDIRECT(Explained!C5)),COLUMN(INDIRECT(Explained!C5)),4,1,Explained!F5)</f>
        <v>Cattle!A42</v>
      </c>
      <c r="D5">
        <v>1</v>
      </c>
      <c r="E5">
        <v>0</v>
      </c>
    </row>
    <row r="6" spans="1:5">
      <c r="A6" t="s">
        <v>29</v>
      </c>
      <c r="B6" t="s">
        <v>37</v>
      </c>
      <c r="C6" t="str">
        <f ca="1">ADDRESS(ROW(INDIRECT(Explained!C6)),COLUMN(INDIRECT(Explained!C6)),4,1,Explained!F6)</f>
        <v>Cattle!A62</v>
      </c>
      <c r="D6">
        <v>1</v>
      </c>
      <c r="E6">
        <v>0</v>
      </c>
    </row>
    <row r="7" spans="1:5">
      <c r="A7" t="s">
        <v>29</v>
      </c>
      <c r="B7" t="s">
        <v>38</v>
      </c>
      <c r="C7" t="str">
        <f ca="1">ADDRESS(ROW(INDIRECT(Explained!C7)),COLUMN(INDIRECT(Explained!C7)),4,1,Explained!F7)</f>
        <v>Cattle!A82</v>
      </c>
      <c r="D7">
        <v>1</v>
      </c>
      <c r="E7">
        <v>0</v>
      </c>
    </row>
    <row r="8" spans="1:5">
      <c r="A8" t="s">
        <v>29</v>
      </c>
      <c r="B8" t="s">
        <v>39</v>
      </c>
      <c r="C8" t="str">
        <f ca="1">ADDRESS(ROW(INDIRECT(Explained!C8)),COLUMN(INDIRECT(Explained!C8)),4,1,Explained!F8)</f>
        <v>Cattle!A101</v>
      </c>
      <c r="D8">
        <v>1</v>
      </c>
      <c r="E8">
        <v>1</v>
      </c>
    </row>
    <row r="9" spans="1:5">
      <c r="A9" t="s">
        <v>29</v>
      </c>
      <c r="B9" t="s">
        <v>40</v>
      </c>
      <c r="C9" t="str">
        <f ca="1">ADDRESS(ROW(INDIRECT(Explained!C9)),COLUMN(INDIRECT(Explained!C9)),4,1,Explained!F9)</f>
        <v>Cattle!A121</v>
      </c>
      <c r="D9">
        <v>1</v>
      </c>
      <c r="E9">
        <v>0</v>
      </c>
    </row>
    <row r="10" spans="1:5">
      <c r="A10" t="s">
        <v>29</v>
      </c>
      <c r="B10" t="s">
        <v>41</v>
      </c>
      <c r="C10" t="str">
        <f ca="1">ADDRESS(ROW(INDIRECT(Explained!C10)),COLUMN(INDIRECT(Explained!C10)),4,1,Explained!F10)</f>
        <v>Cattle!F121</v>
      </c>
      <c r="D10">
        <v>1</v>
      </c>
      <c r="E10">
        <v>0</v>
      </c>
    </row>
    <row r="11" spans="1:5">
      <c r="A11" t="s">
        <v>29</v>
      </c>
      <c r="B11" t="s">
        <v>42</v>
      </c>
      <c r="C11" t="str">
        <f ca="1">ADDRESS(ROW(INDIRECT(Explained!C11)),COLUMN(INDIRECT(Explained!C11)),4,1,Explained!F11)</f>
        <v>Cattle!K121</v>
      </c>
      <c r="D11">
        <v>1</v>
      </c>
      <c r="E11">
        <v>0</v>
      </c>
    </row>
    <row r="12" spans="1:5">
      <c r="A12" t="s">
        <v>29</v>
      </c>
      <c r="B12" t="s">
        <v>61</v>
      </c>
      <c r="C12" t="str">
        <f ca="1">ADDRESS(ROW(INDIRECT(Explained!C12)),COLUMN(INDIRECT(Explained!C12)),4,1,Explained!F12)</f>
        <v>Cattle!A141</v>
      </c>
      <c r="D12">
        <v>1</v>
      </c>
      <c r="E12">
        <v>1</v>
      </c>
    </row>
    <row r="13" spans="1:5">
      <c r="A13" t="s">
        <v>29</v>
      </c>
      <c r="B13" t="s">
        <v>60</v>
      </c>
      <c r="C13" t="str">
        <f ca="1">ADDRESS(ROW(INDIRECT(Explained!C13)),COLUMN(INDIRECT(Explained!C13)),4,1,Explained!F13)</f>
        <v>Cattle!A161</v>
      </c>
      <c r="D13">
        <v>1</v>
      </c>
      <c r="E13">
        <v>1</v>
      </c>
    </row>
    <row r="14" spans="1:5">
      <c r="A14" t="s">
        <v>29</v>
      </c>
      <c r="B14" t="s">
        <v>57</v>
      </c>
      <c r="C14" t="str">
        <f ca="1">ADDRESS(ROW(INDIRECT(Explained!C14)),COLUMN(INDIRECT(Explained!C14)),4,1,Explained!F14)</f>
        <v>Crop!A1</v>
      </c>
      <c r="D14">
        <v>2</v>
      </c>
      <c r="E14">
        <v>1</v>
      </c>
    </row>
    <row r="15" spans="1:5">
      <c r="A15" t="s">
        <v>29</v>
      </c>
      <c r="B15" t="s">
        <v>32</v>
      </c>
      <c r="C15" t="str">
        <f ca="1">ADDRESS(ROW(INDIRECT(Explained!C15)),COLUMN(INDIRECT(Explained!C15)),4,1,Explained!F15)</f>
        <v>Crop!A102</v>
      </c>
      <c r="D15">
        <v>1</v>
      </c>
      <c r="E15">
        <v>0</v>
      </c>
    </row>
    <row r="16" spans="1:5">
      <c r="A16" t="s">
        <v>29</v>
      </c>
      <c r="B16" t="s">
        <v>33</v>
      </c>
      <c r="C16" t="str">
        <f ca="1">ADDRESS(ROW(INDIRECT(Explained!C16)),COLUMN(INDIRECT(Explained!C16)),4,1,Explained!F16)</f>
        <v>Crop!A122</v>
      </c>
      <c r="D16">
        <v>1</v>
      </c>
      <c r="E16">
        <v>0</v>
      </c>
    </row>
    <row r="17" spans="1:5">
      <c r="A17" t="s">
        <v>29</v>
      </c>
      <c r="B17" t="s">
        <v>45</v>
      </c>
      <c r="C17" t="str">
        <f ca="1">ADDRESS(ROW(INDIRECT(Explained!C17)),COLUMN(INDIRECT(Explained!C17)),4,1,Explained!F17)</f>
        <v>Crop!A140</v>
      </c>
      <c r="D17">
        <v>1</v>
      </c>
      <c r="E17">
        <v>1</v>
      </c>
    </row>
    <row r="18" spans="1:5">
      <c r="A18" t="s">
        <v>29</v>
      </c>
      <c r="B18" t="s">
        <v>46</v>
      </c>
      <c r="C18" t="str">
        <f ca="1">ADDRESS(ROW(INDIRECT(Explained!C18)),COLUMN(INDIRECT(Explained!C18)),4,1,Explained!F18)</f>
        <v>Crop!A160</v>
      </c>
      <c r="D18">
        <v>1</v>
      </c>
      <c r="E18">
        <v>2</v>
      </c>
    </row>
    <row r="19" spans="1:5">
      <c r="A19" t="s">
        <v>29</v>
      </c>
      <c r="B19" t="s">
        <v>30</v>
      </c>
      <c r="C19" t="str">
        <f ca="1">ADDRESS(ROW(INDIRECT(Explained!C19)),COLUMN(INDIRECT(Explained!C19)),4,1,Explained!F19)</f>
        <v>CYF!A1</v>
      </c>
      <c r="D19">
        <v>2</v>
      </c>
      <c r="E19">
        <v>2</v>
      </c>
    </row>
    <row r="20" spans="1:5">
      <c r="A20" t="s">
        <v>29</v>
      </c>
      <c r="B20" t="s">
        <v>31</v>
      </c>
      <c r="C20" t="str">
        <f ca="1">ADDRESS(ROW(INDIRECT(Explained!C20)),COLUMN(INDIRECT(Explained!C20)),4,1,Explained!F20)</f>
        <v>DiscFact!A1</v>
      </c>
      <c r="D20">
        <v>1</v>
      </c>
      <c r="E20">
        <v>0</v>
      </c>
    </row>
    <row r="21" spans="1:5">
      <c r="A21" t="s">
        <v>25</v>
      </c>
      <c r="B21" t="s">
        <v>47</v>
      </c>
      <c r="C21" t="str">
        <f ca="1">ADDRESS(ROW(INDIRECT(Explained!C21)),COLUMN(INDIRECT(Explained!C21)),4,1,Explained!F21)</f>
        <v>ElecLine!A1</v>
      </c>
      <c r="D21">
        <v>1</v>
      </c>
      <c r="E21">
        <v>1</v>
      </c>
    </row>
    <row r="22" spans="1:5">
      <c r="A22" t="s">
        <v>25</v>
      </c>
      <c r="B22" t="s">
        <v>55</v>
      </c>
      <c r="C22" t="str">
        <f ca="1">ADDRESS(ROW(INDIRECT(Explained!C22)),COLUMN(INDIRECT(Explained!C22)),4,1,Explained!F22)</f>
        <v>Roads!A1</v>
      </c>
      <c r="D22">
        <v>1</v>
      </c>
      <c r="E22">
        <v>1</v>
      </c>
    </row>
    <row r="23" spans="1:5">
      <c r="A23" t="s">
        <v>29</v>
      </c>
      <c r="B23" t="s">
        <v>49</v>
      </c>
      <c r="C23" t="str">
        <f ca="1">ADDRESS(ROW(INDIRECT(Explained!C23)),COLUMN(INDIRECT(Explained!C23)),4,1,Explained!F23)</f>
        <v>Roads!V1</v>
      </c>
      <c r="D23">
        <v>1</v>
      </c>
      <c r="E23">
        <v>1</v>
      </c>
    </row>
    <row r="24" spans="1:5">
      <c r="A24" t="s">
        <v>29</v>
      </c>
      <c r="B24" t="s">
        <v>48</v>
      </c>
      <c r="C24" t="str">
        <f ca="1">ADDRESS(ROW(INDIRECT(Explained!C24)),COLUMN(INDIRECT(Explained!C24)),4,1,Explained!F24)</f>
        <v>Roads!AX1</v>
      </c>
      <c r="D24">
        <v>1</v>
      </c>
      <c r="E24">
        <v>1</v>
      </c>
    </row>
    <row r="25" spans="1:5">
      <c r="A25" t="s">
        <v>25</v>
      </c>
      <c r="B25" t="s">
        <v>50</v>
      </c>
      <c r="C25" t="str">
        <f ca="1">ADDRESS(ROW(INDIRECT(Explained!C25)),COLUMN(INDIRECT(Explained!C25)),4,1,Explained!F25)</f>
        <v>sets!B3</v>
      </c>
      <c r="D25">
        <v>1</v>
      </c>
      <c r="E25">
        <v>0</v>
      </c>
    </row>
    <row r="26" spans="1:5">
      <c r="A26" t="s">
        <v>25</v>
      </c>
      <c r="B26" t="s">
        <v>51</v>
      </c>
      <c r="C26" t="str">
        <f ca="1">ADDRESS(ROW(INDIRECT(Explained!C26)),COLUMN(INDIRECT(Explained!C26)),4,1,Explained!F26)</f>
        <v>sets!D3</v>
      </c>
      <c r="D26">
        <v>1</v>
      </c>
      <c r="E26">
        <v>0</v>
      </c>
    </row>
    <row r="27" spans="1:5">
      <c r="A27" t="s">
        <v>25</v>
      </c>
      <c r="B27" t="s">
        <v>52</v>
      </c>
      <c r="C27" t="str">
        <f ca="1">ADDRESS(ROW(INDIRECT(Explained!C27)),COLUMN(INDIRECT(Explained!C27)),4,1,Explained!F27)</f>
        <v>sets!F3</v>
      </c>
      <c r="D27">
        <v>1</v>
      </c>
      <c r="E27">
        <v>0</v>
      </c>
    </row>
    <row r="28" spans="1:5">
      <c r="A28" t="s">
        <v>25</v>
      </c>
      <c r="B28" t="s">
        <v>53</v>
      </c>
      <c r="C28" t="str">
        <f ca="1">ADDRESS(ROW(INDIRECT(Explained!C28)),COLUMN(INDIRECT(Explained!C28)),4,1,Explained!F28)</f>
        <v>sets!H3</v>
      </c>
      <c r="D28">
        <v>1</v>
      </c>
      <c r="E28">
        <v>0</v>
      </c>
    </row>
    <row r="29" spans="1:5">
      <c r="A29" t="s">
        <v>25</v>
      </c>
      <c r="B29" t="s">
        <v>54</v>
      </c>
      <c r="C29" t="str">
        <f ca="1">ADDRESS(ROW(INDIRECT(Explained!C29)),COLUMN(INDIRECT(Explained!C29)),4,1,Explained!F29)</f>
        <v>sets!J3</v>
      </c>
      <c r="D29">
        <v>1</v>
      </c>
      <c r="E29">
        <v>0</v>
      </c>
    </row>
    <row r="30" spans="1:5">
      <c r="A30" t="s">
        <v>29</v>
      </c>
      <c r="B30" t="s">
        <v>58</v>
      </c>
      <c r="C30" t="str">
        <f ca="1">ADDRESS(ROW(INDIRECT(Explained!C30)),COLUMN(INDIRECT(Explained!C30)),4,1,Explained!F30)</f>
        <v>DemInt!A1</v>
      </c>
      <c r="D30">
        <v>2</v>
      </c>
      <c r="E30">
        <v>1</v>
      </c>
    </row>
    <row r="31" spans="1:5">
      <c r="A31" t="s">
        <v>29</v>
      </c>
      <c r="B31" t="s">
        <v>59</v>
      </c>
      <c r="C31" t="str">
        <f ca="1">ADDRESS(ROW(INDIRECT(Explained!C31)),COLUMN(INDIRECT(Explained!C31)),4,1,Explained!F31)</f>
        <v>DemSlope!A1</v>
      </c>
      <c r="D31">
        <v>2</v>
      </c>
      <c r="E31">
        <v>1</v>
      </c>
    </row>
    <row r="32" spans="1:5">
      <c r="A32" t="s">
        <v>29</v>
      </c>
      <c r="B32" t="s">
        <v>81</v>
      </c>
      <c r="C32" t="str">
        <f ca="1">ADDRESS(ROW(INDIRECT(Explained!C32)),COLUMN(INDIRECT(Explained!C32)),4,1,Explained!F32)</f>
        <v>Elec!A1</v>
      </c>
      <c r="D32">
        <v>1</v>
      </c>
      <c r="E32">
        <v>2</v>
      </c>
    </row>
    <row r="33" spans="1:5">
      <c r="A33" t="s">
        <v>29</v>
      </c>
      <c r="B33" t="s">
        <v>76</v>
      </c>
      <c r="C33" t="str">
        <f ca="1">ADDRESS(ROW(INDIRECT(Explained!C33)),COLUMN(INDIRECT(Explained!C33)),4,1,Explained!F33)</f>
        <v>Elec!A41</v>
      </c>
      <c r="D33">
        <v>1</v>
      </c>
      <c r="E33">
        <v>0</v>
      </c>
    </row>
    <row r="34" spans="1:5">
      <c r="A34" t="s">
        <v>29</v>
      </c>
      <c r="B34" t="s">
        <v>74</v>
      </c>
      <c r="C34" t="str">
        <f ca="1">ADDRESS(ROW(INDIRECT(Explained!C34)),COLUMN(INDIRECT(Explained!C34)),4,1,Explained!F34)</f>
        <v>Elec!F41</v>
      </c>
      <c r="D34">
        <v>1</v>
      </c>
      <c r="E34">
        <v>0</v>
      </c>
    </row>
    <row r="35" spans="1:5">
      <c r="A35" t="s">
        <v>29</v>
      </c>
      <c r="B35" t="s">
        <v>75</v>
      </c>
      <c r="C35" t="str">
        <f ca="1">ADDRESS(ROW(INDIRECT(Explained!C35)),COLUMN(INDIRECT(Explained!C35)),4,1,Explained!F35)</f>
        <v>Elec!K41</v>
      </c>
      <c r="D35">
        <v>1</v>
      </c>
      <c r="E35">
        <v>0</v>
      </c>
    </row>
    <row r="36" spans="1:5">
      <c r="A36" t="s">
        <v>29</v>
      </c>
      <c r="B36" t="s">
        <v>78</v>
      </c>
      <c r="C36" t="str">
        <f ca="1">ADDRESS(ROW(INDIRECT(Explained!C36)),COLUMN(INDIRECT(Explained!C36)),4,1,Explained!F36)</f>
        <v>Crop!A182</v>
      </c>
      <c r="D36">
        <v>1</v>
      </c>
      <c r="E36">
        <v>1</v>
      </c>
    </row>
    <row r="37" spans="1:5">
      <c r="A37" t="s">
        <v>29</v>
      </c>
      <c r="B37" t="s">
        <v>79</v>
      </c>
      <c r="C37" t="str">
        <f ca="1">ADDRESS(ROW(INDIRECT(Explained!C37)),COLUMN(INDIRECT(Explained!C37)),4,1,Explained!F37)</f>
        <v>DemElas!A1</v>
      </c>
      <c r="D37">
        <v>1</v>
      </c>
      <c r="E37">
        <v>1</v>
      </c>
    </row>
    <row r="38" spans="1:5">
      <c r="A38" t="s">
        <v>29</v>
      </c>
      <c r="B38" t="s">
        <v>84</v>
      </c>
      <c r="C38" t="str">
        <f ca="1">ADDRESS(ROW(INDIRECT(Explained!C38)),COLUMN(INDIRECT(Explained!C38)),4,1,Explained!F38)</f>
        <v>TargetConsumption!B1</v>
      </c>
      <c r="D38">
        <v>1</v>
      </c>
      <c r="E38">
        <v>1</v>
      </c>
    </row>
    <row r="39" spans="1:5">
      <c r="A39" t="s">
        <v>29</v>
      </c>
      <c r="B39" t="s">
        <v>90</v>
      </c>
      <c r="C39" t="str">
        <f ca="1">ADDRESS(ROW(INDIRECT(Explained!C39)),COLUMN(INDIRECT(Explained!C39)),4,1,Explained!F39)</f>
        <v>DemElas!A21</v>
      </c>
      <c r="D39">
        <v>1</v>
      </c>
      <c r="E39">
        <v>0</v>
      </c>
    </row>
    <row r="40" spans="1:5">
      <c r="A40" t="s">
        <v>29</v>
      </c>
      <c r="B40" t="s">
        <v>149</v>
      </c>
      <c r="C40" t="str">
        <f ca="1">ADDRESS(ROW(INDIRECT(Explained!C40)),COLUMN(INDIRECT(Explained!C40)),4,1,Explained!F40)</f>
        <v>ConvFactor!A2</v>
      </c>
      <c r="D40">
        <v>1</v>
      </c>
      <c r="E40">
        <v>1</v>
      </c>
    </row>
    <row r="41" spans="1:5">
      <c r="A41" t="s">
        <v>29</v>
      </c>
      <c r="B41" t="s">
        <v>150</v>
      </c>
      <c r="C41" t="str">
        <f ca="1">ADDRESS(ROW(INDIRECT(Explained!C41)),COLUMN(INDIRECT(Explained!C41)),4,1,Explained!F41)</f>
        <v>ConvFactor!A28</v>
      </c>
      <c r="D41">
        <v>1</v>
      </c>
      <c r="E41">
        <v>1</v>
      </c>
    </row>
    <row r="42" spans="1:5">
      <c r="A42" t="s">
        <v>25</v>
      </c>
      <c r="B42" t="s">
        <v>151</v>
      </c>
      <c r="C42" t="str">
        <f ca="1">ADDRESS(ROW(INDIRECT(Explained!C42)),COLUMN(INDIRECT(Explained!C42)),4,1,Explained!F42)</f>
        <v>sets!N3</v>
      </c>
      <c r="D42">
        <v>1</v>
      </c>
      <c r="E42">
        <v>0</v>
      </c>
    </row>
    <row r="43" spans="1:5">
      <c r="A43" t="s">
        <v>29</v>
      </c>
      <c r="B43" t="s">
        <v>88</v>
      </c>
      <c r="C43" t="str">
        <f ca="1">ADDRESS(ROW(INDIRECT(Explained!C43)),COLUMN(INDIRECT(Explained!C43)),4,1,Explained!F43)</f>
        <v>TargetProduction!W2</v>
      </c>
      <c r="D43">
        <v>1</v>
      </c>
      <c r="E43">
        <v>2</v>
      </c>
    </row>
    <row r="44" spans="1:5">
      <c r="A44" t="s">
        <v>29</v>
      </c>
      <c r="B44" t="s">
        <v>210</v>
      </c>
      <c r="C44" t="str">
        <f ca="1">ADDRESS(ROW(INDIRECT(Explained!C44)),COLUMN(INDIRECT(Explained!C44)),4,1,Explained!F44)</f>
        <v>TargetProduction!W24</v>
      </c>
      <c r="D44">
        <v>1</v>
      </c>
      <c r="E44">
        <v>2</v>
      </c>
    </row>
    <row r="45" spans="1:5">
      <c r="A45" t="s">
        <v>29</v>
      </c>
      <c r="B45" t="s">
        <v>85</v>
      </c>
      <c r="C45" t="str">
        <f ca="1">ADDRESS(ROW(INDIRECT(Explained!C45)),COLUMN(INDIRECT(Explained!C45)),4,1,Explained!F45)</f>
        <v>TargetConsumption!A45</v>
      </c>
      <c r="D45">
        <v>1</v>
      </c>
      <c r="E45">
        <v>2</v>
      </c>
    </row>
  </sheetData>
  <autoFilter ref="A1:E29" xr:uid="{00000000-0009-0000-0000-000000000000}">
    <sortState ref="A2:E28">
      <sortCondition ref="C1:C28"/>
    </sortState>
  </autoFilter>
  <pageMargins left="0.75" right="0.75" top="1" bottom="1" header="0.3" footer="0.3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R62"/>
  <sheetViews>
    <sheetView topLeftCell="B1" zoomScale="85" zoomScaleNormal="85" workbookViewId="0">
      <selection activeCell="B43" sqref="A43:XFD43"/>
    </sheetView>
  </sheetViews>
  <sheetFormatPr defaultRowHeight="15.75"/>
  <cols>
    <col min="1" max="1" width="3.75" hidden="1" customWidth="1"/>
    <col min="2" max="2" width="15.625" bestFit="1" customWidth="1"/>
    <col min="3" max="3" width="36.75" bestFit="1" customWidth="1"/>
    <col min="4" max="5" width="10.625" customWidth="1"/>
    <col min="6" max="6" width="22.75" customWidth="1"/>
    <col min="7" max="7" width="21.625" bestFit="1" customWidth="1"/>
    <col min="8" max="9" width="2" hidden="1" customWidth="1"/>
    <col min="16" max="16" width="22.625" bestFit="1" customWidth="1"/>
    <col min="17" max="17" width="94" customWidth="1"/>
    <col min="18" max="18" width="73.125" customWidth="1"/>
  </cols>
  <sheetData>
    <row r="1" spans="1:18" s="9" customFormat="1">
      <c r="A1" s="9" t="str">
        <f>IF(index!A1="","",index!A1)</f>
        <v/>
      </c>
      <c r="B1" s="16" t="s">
        <v>68</v>
      </c>
      <c r="C1" s="1" t="s">
        <v>91</v>
      </c>
      <c r="D1" s="1" t="s">
        <v>94</v>
      </c>
      <c r="E1" s="1" t="s">
        <v>95</v>
      </c>
      <c r="F1" s="1" t="s">
        <v>92</v>
      </c>
      <c r="G1" s="1" t="s">
        <v>93</v>
      </c>
      <c r="J1" s="48" t="s">
        <v>64</v>
      </c>
      <c r="K1" s="49"/>
      <c r="L1" s="49"/>
      <c r="M1" s="49"/>
      <c r="N1" s="49"/>
      <c r="O1" s="50"/>
      <c r="P1" s="16" t="s">
        <v>65</v>
      </c>
      <c r="Q1" s="17" t="s">
        <v>66</v>
      </c>
      <c r="R1" s="16" t="s">
        <v>69</v>
      </c>
    </row>
    <row r="2" spans="1:18">
      <c r="A2" t="str">
        <f>IF(index!A2="","",index!A2)</f>
        <v>par</v>
      </c>
      <c r="B2" s="10" t="str">
        <f>IF(index!B2="","",index!B2)</f>
        <v>aFAO</v>
      </c>
      <c r="C2" t="str">
        <f ca="1">CELL("address",aFAO!A1)</f>
        <v>[DataXL2.xlsm]aFAO!$A$1</v>
      </c>
      <c r="D2">
        <f t="shared" ref="D2:D42" ca="1" si="0">FIND("]",C2)+1</f>
        <v>15</v>
      </c>
      <c r="E2">
        <f t="shared" ref="E2:E39" ca="1" si="1">FIND("!",C2)+1</f>
        <v>20</v>
      </c>
      <c r="F2" t="str">
        <f t="shared" ref="F2:F39" ca="1" si="2">MID(C2,D2,E2-D2-1)</f>
        <v>aFAO</v>
      </c>
      <c r="G2" t="str">
        <f t="shared" ref="G2:G39" ca="1" si="3">ADDRESS(ROW(INDIRECT(C2)),COLUMN(INDIRECT(C2)),4,1,F2)</f>
        <v>aFAO!A1</v>
      </c>
      <c r="H2">
        <f>IF(index!D2="","",index!D2)</f>
        <v>2</v>
      </c>
      <c r="I2">
        <f>IF(index!E2="","",index!E2)</f>
        <v>2</v>
      </c>
      <c r="J2" s="18" t="str">
        <f>IF(index!F2="","",index!F2)</f>
        <v/>
      </c>
      <c r="K2" s="19" t="s">
        <v>54</v>
      </c>
      <c r="L2" s="19"/>
      <c r="M2" s="19" t="s">
        <v>52</v>
      </c>
      <c r="N2" s="19" t="s">
        <v>63</v>
      </c>
      <c r="O2" s="20"/>
      <c r="P2" s="14"/>
      <c r="Q2" s="12" t="s">
        <v>62</v>
      </c>
      <c r="R2" s="14"/>
    </row>
    <row r="3" spans="1:18">
      <c r="A3" t="str">
        <f>IF(index!A3="","",index!A3)</f>
        <v>par</v>
      </c>
      <c r="B3" s="11" t="str">
        <f>IF(index!B3="","",index!B3)</f>
        <v>pr_Hide</v>
      </c>
      <c r="C3" t="str">
        <f ca="1">CELL("address", Cattle!A2)</f>
        <v>[DataXL2.xlsm]Cattle!$A$2</v>
      </c>
      <c r="D3">
        <f t="shared" ca="1" si="0"/>
        <v>15</v>
      </c>
      <c r="E3">
        <f t="shared" ca="1" si="1"/>
        <v>22</v>
      </c>
      <c r="F3" t="str">
        <f t="shared" ca="1" si="2"/>
        <v>Cattle</v>
      </c>
      <c r="G3" t="str">
        <f t="shared" ca="1" si="3"/>
        <v>Cattle!A2</v>
      </c>
      <c r="H3">
        <f>IF(index!D3="","",index!D3)</f>
        <v>1</v>
      </c>
      <c r="I3">
        <f>IF(index!E3="","",index!E3)</f>
        <v>0</v>
      </c>
      <c r="J3" s="18" t="str">
        <f>IF(index!F3="","",index!F3)</f>
        <v/>
      </c>
      <c r="K3" s="19"/>
      <c r="L3" s="19"/>
      <c r="M3" s="19" t="s">
        <v>52</v>
      </c>
      <c r="N3" s="19"/>
      <c r="O3" s="20"/>
      <c r="P3" s="14"/>
      <c r="Q3" s="12" t="s">
        <v>96</v>
      </c>
      <c r="R3" s="14"/>
    </row>
    <row r="4" spans="1:18">
      <c r="A4" t="str">
        <f>IF(index!A4="","",index!A4)</f>
        <v>par</v>
      </c>
      <c r="B4" s="11" t="str">
        <f>IF(index!B4="","",index!B4)</f>
        <v>Yld_H</v>
      </c>
      <c r="C4" t="str">
        <f ca="1">CELL("address", Cattle!A22)</f>
        <v>[DataXL2.xlsm]Cattle!$A$22</v>
      </c>
      <c r="D4">
        <f t="shared" ca="1" si="0"/>
        <v>15</v>
      </c>
      <c r="E4">
        <f t="shared" ca="1" si="1"/>
        <v>22</v>
      </c>
      <c r="F4" t="str">
        <f t="shared" ca="1" si="2"/>
        <v>Cattle</v>
      </c>
      <c r="G4" t="str">
        <f t="shared" ca="1" si="3"/>
        <v>Cattle!A22</v>
      </c>
      <c r="H4">
        <f>IF(index!D4="","",index!D4)</f>
        <v>1</v>
      </c>
      <c r="I4">
        <f>IF(index!E4="","",index!E4)</f>
        <v>0</v>
      </c>
      <c r="J4" s="18" t="str">
        <f>IF(index!F4="","",index!F4)</f>
        <v/>
      </c>
      <c r="K4" s="19"/>
      <c r="L4" s="19"/>
      <c r="M4" s="19" t="s">
        <v>52</v>
      </c>
      <c r="N4" s="19"/>
      <c r="O4" s="20"/>
      <c r="P4" s="14"/>
      <c r="Q4" s="12" t="s">
        <v>97</v>
      </c>
      <c r="R4" s="14"/>
    </row>
    <row r="5" spans="1:18">
      <c r="A5" t="str">
        <f>IF(index!A5="","",index!A5)</f>
        <v>par</v>
      </c>
      <c r="B5" s="11" t="str">
        <f>IF(index!B5="","",index!B5)</f>
        <v>k</v>
      </c>
      <c r="C5" t="str">
        <f ca="1">CELL("address", Cattle!A42)</f>
        <v>[DataXL2.xlsm]Cattle!$A$42</v>
      </c>
      <c r="D5">
        <f t="shared" ca="1" si="0"/>
        <v>15</v>
      </c>
      <c r="E5">
        <f t="shared" ca="1" si="1"/>
        <v>22</v>
      </c>
      <c r="F5" t="str">
        <f t="shared" ca="1" si="2"/>
        <v>Cattle</v>
      </c>
      <c r="G5" t="str">
        <f t="shared" ca="1" si="3"/>
        <v>Cattle!A42</v>
      </c>
      <c r="H5">
        <f>IF(index!D5="","",index!D5)</f>
        <v>1</v>
      </c>
      <c r="I5">
        <f>IF(index!E5="","",index!E5)</f>
        <v>0</v>
      </c>
      <c r="J5" s="18" t="str">
        <f>IF(index!F5="","",index!F5)</f>
        <v/>
      </c>
      <c r="K5" s="19"/>
      <c r="L5" s="19"/>
      <c r="M5" s="19" t="s">
        <v>52</v>
      </c>
      <c r="N5" s="19"/>
      <c r="O5" s="20"/>
      <c r="P5" s="14"/>
      <c r="Q5" s="12" t="s">
        <v>98</v>
      </c>
      <c r="R5" s="14"/>
    </row>
    <row r="6" spans="1:18">
      <c r="A6" t="str">
        <f>IF(index!A6="","",index!A6)</f>
        <v>par</v>
      </c>
      <c r="B6" s="11" t="str">
        <f>IF(index!B6="","",index!B6)</f>
        <v>kappa</v>
      </c>
      <c r="C6" t="str">
        <f ca="1">CELL("address", Cattle!A62)</f>
        <v>[DataXL2.xlsm]Cattle!$A$62</v>
      </c>
      <c r="D6">
        <f t="shared" ca="1" si="0"/>
        <v>15</v>
      </c>
      <c r="E6">
        <f t="shared" ca="1" si="1"/>
        <v>22</v>
      </c>
      <c r="F6" t="str">
        <f t="shared" ca="1" si="2"/>
        <v>Cattle</v>
      </c>
      <c r="G6" t="str">
        <f t="shared" ca="1" si="3"/>
        <v>Cattle!A62</v>
      </c>
      <c r="H6">
        <f>IF(index!D6="","",index!D6)</f>
        <v>1</v>
      </c>
      <c r="I6">
        <f>IF(index!E6="","",index!E6)</f>
        <v>0</v>
      </c>
      <c r="J6" s="18" t="str">
        <f>IF(index!F6="","",index!F6)</f>
        <v/>
      </c>
      <c r="K6" s="19"/>
      <c r="L6" s="19"/>
      <c r="M6" s="19" t="s">
        <v>52</v>
      </c>
      <c r="N6" s="19"/>
      <c r="O6" s="20"/>
      <c r="P6" s="14"/>
      <c r="Q6" s="12" t="s">
        <v>99</v>
      </c>
      <c r="R6" s="14"/>
    </row>
    <row r="7" spans="1:18">
      <c r="A7" t="str">
        <f>IF(index!A7="","",index!A7)</f>
        <v>par</v>
      </c>
      <c r="B7" s="11" t="str">
        <f>IF(index!B7="","",index!B7)</f>
        <v>C_Cow</v>
      </c>
      <c r="C7" t="str">
        <f ca="1">CELL("address", Cattle!A82)</f>
        <v>[DataXL2.xlsm]Cattle!$A$82</v>
      </c>
      <c r="D7">
        <f t="shared" ca="1" si="0"/>
        <v>15</v>
      </c>
      <c r="E7">
        <f t="shared" ca="1" si="1"/>
        <v>22</v>
      </c>
      <c r="F7" t="str">
        <f t="shared" ca="1" si="2"/>
        <v>Cattle</v>
      </c>
      <c r="G7" t="str">
        <f t="shared" ca="1" si="3"/>
        <v>Cattle!A82</v>
      </c>
      <c r="H7">
        <f>IF(index!D7="","",index!D7)</f>
        <v>1</v>
      </c>
      <c r="I7">
        <f>IF(index!E7="","",index!E7)</f>
        <v>0</v>
      </c>
      <c r="J7" s="18" t="str">
        <f>IF(index!F7="","",index!F7)</f>
        <v/>
      </c>
      <c r="K7" s="19"/>
      <c r="L7" s="19"/>
      <c r="M7" s="19" t="s">
        <v>52</v>
      </c>
      <c r="N7" s="19"/>
      <c r="O7" s="20"/>
      <c r="P7" s="14"/>
      <c r="Q7" s="12" t="s">
        <v>100</v>
      </c>
      <c r="R7" s="14"/>
    </row>
    <row r="8" spans="1:18">
      <c r="A8" t="str">
        <f>IF(index!A8="","",index!A8)</f>
        <v>par</v>
      </c>
      <c r="B8" s="11" t="str">
        <f>IF(index!B8="","",index!B8)</f>
        <v>CowtranYr1</v>
      </c>
      <c r="C8" t="str">
        <f ca="1">CELL("address", Cattle!A101)</f>
        <v>[DataXL2.xlsm]Cattle!$A$101</v>
      </c>
      <c r="D8">
        <f t="shared" ca="1" si="0"/>
        <v>15</v>
      </c>
      <c r="E8">
        <f t="shared" ca="1" si="1"/>
        <v>22</v>
      </c>
      <c r="F8" t="str">
        <f t="shared" ca="1" si="2"/>
        <v>Cattle</v>
      </c>
      <c r="G8" t="str">
        <f t="shared" ca="1" si="3"/>
        <v>Cattle!A101</v>
      </c>
      <c r="H8">
        <f>IF(index!D8="","",index!D8)</f>
        <v>1</v>
      </c>
      <c r="I8">
        <f>IF(index!E8="","",index!E8)</f>
        <v>1</v>
      </c>
      <c r="J8" s="18" t="str">
        <f>IF(index!F8="","",index!F8)</f>
        <v/>
      </c>
      <c r="K8" s="19"/>
      <c r="L8" s="19" t="s">
        <v>52</v>
      </c>
      <c r="M8" s="19" t="s">
        <v>52</v>
      </c>
      <c r="N8" s="19"/>
      <c r="O8" s="20"/>
      <c r="P8" s="14"/>
      <c r="Q8" s="12" t="s">
        <v>101</v>
      </c>
      <c r="R8" s="14"/>
    </row>
    <row r="9" spans="1:18">
      <c r="A9" t="str">
        <f>IF(index!A9="","",index!A9)</f>
        <v>par</v>
      </c>
      <c r="B9" s="11" t="str">
        <f>IF(index!B9="","",index!B9)</f>
        <v>InitCow</v>
      </c>
      <c r="C9" t="str">
        <f ca="1">CELL("address", Cattle!A121)</f>
        <v>[DataXL2.xlsm]Cattle!$A$121</v>
      </c>
      <c r="D9">
        <f t="shared" ca="1" si="0"/>
        <v>15</v>
      </c>
      <c r="E9">
        <f t="shared" ca="1" si="1"/>
        <v>22</v>
      </c>
      <c r="F9" t="str">
        <f t="shared" ca="1" si="2"/>
        <v>Cattle</v>
      </c>
      <c r="G9" t="str">
        <f t="shared" ca="1" si="3"/>
        <v>Cattle!A121</v>
      </c>
      <c r="H9">
        <f>IF(index!D9="","",index!D9)</f>
        <v>1</v>
      </c>
      <c r="I9">
        <f>IF(index!E9="","",index!E9)</f>
        <v>0</v>
      </c>
      <c r="J9" s="18" t="str">
        <f>IF(index!F9="","",index!F9)</f>
        <v/>
      </c>
      <c r="K9" s="19"/>
      <c r="L9" s="19"/>
      <c r="M9" s="19" t="s">
        <v>52</v>
      </c>
      <c r="N9" s="19"/>
      <c r="O9" s="20"/>
      <c r="P9" s="14"/>
      <c r="Q9" s="12" t="s">
        <v>102</v>
      </c>
      <c r="R9" s="14"/>
    </row>
    <row r="10" spans="1:18">
      <c r="A10" t="str">
        <f>IF(index!A10="","",index!A10)</f>
        <v>par</v>
      </c>
      <c r="B10" s="11" t="str">
        <f>IF(index!B10="","",index!B10)</f>
        <v>Herdsize</v>
      </c>
      <c r="C10" t="str">
        <f ca="1">CELL("address", Cattle!F121)</f>
        <v>[DataXL2.xlsm]Cattle!$F$121</v>
      </c>
      <c r="D10">
        <f t="shared" ca="1" si="0"/>
        <v>15</v>
      </c>
      <c r="E10">
        <f t="shared" ca="1" si="1"/>
        <v>22</v>
      </c>
      <c r="F10" t="str">
        <f t="shared" ca="1" si="2"/>
        <v>Cattle</v>
      </c>
      <c r="G10" t="str">
        <f t="shared" ca="1" si="3"/>
        <v>Cattle!F121</v>
      </c>
      <c r="H10">
        <f>IF(index!D10="","",index!D10)</f>
        <v>1</v>
      </c>
      <c r="I10">
        <f>IF(index!E10="","",index!E10)</f>
        <v>0</v>
      </c>
      <c r="J10" s="18" t="str">
        <f>IF(index!F10="","",index!F10)</f>
        <v/>
      </c>
      <c r="K10" s="19"/>
      <c r="L10" s="19"/>
      <c r="M10" s="19" t="s">
        <v>52</v>
      </c>
      <c r="N10" s="19"/>
      <c r="O10" s="20"/>
      <c r="P10" s="14"/>
      <c r="Q10" s="12" t="s">
        <v>103</v>
      </c>
      <c r="R10" s="14"/>
    </row>
    <row r="11" spans="1:18">
      <c r="A11" t="str">
        <f>IF(index!A11="","",index!A11)</f>
        <v>par</v>
      </c>
      <c r="B11" s="11" t="str">
        <f>IF(index!B11="","",index!B11)</f>
        <v>CowDeath</v>
      </c>
      <c r="C11" t="str">
        <f ca="1">CELL("address", Cattle!K121)</f>
        <v>[DataXL2.xlsm]Cattle!$K$121</v>
      </c>
      <c r="D11">
        <f t="shared" ca="1" si="0"/>
        <v>15</v>
      </c>
      <c r="E11">
        <f t="shared" ca="1" si="1"/>
        <v>22</v>
      </c>
      <c r="F11" t="str">
        <f t="shared" ca="1" si="2"/>
        <v>Cattle</v>
      </c>
      <c r="G11" t="str">
        <f t="shared" ca="1" si="3"/>
        <v>Cattle!K121</v>
      </c>
      <c r="H11">
        <f>IF(index!D11="","",index!D11)</f>
        <v>1</v>
      </c>
      <c r="I11">
        <f>IF(index!E11="","",index!E11)</f>
        <v>0</v>
      </c>
      <c r="J11" s="18" t="str">
        <f>IF(index!F11="","",index!F11)</f>
        <v/>
      </c>
      <c r="K11" s="19"/>
      <c r="L11" s="19"/>
      <c r="M11" s="19" t="s">
        <v>52</v>
      </c>
      <c r="N11" s="19"/>
      <c r="O11" s="20"/>
      <c r="P11" s="14"/>
      <c r="Q11" s="12" t="s">
        <v>104</v>
      </c>
      <c r="R11" s="14"/>
    </row>
    <row r="12" spans="1:18">
      <c r="A12" t="str">
        <f>IF(index!A12="","",index!A12)</f>
        <v>par</v>
      </c>
      <c r="B12" s="11" t="str">
        <f>IF(index!B12="","",index!B12)</f>
        <v>BeefYield</v>
      </c>
      <c r="C12" t="str">
        <f ca="1">CELL("address", Cattle!A141)</f>
        <v>[DataXL2.xlsm]Cattle!$A$141</v>
      </c>
      <c r="D12">
        <f t="shared" ca="1" si="0"/>
        <v>15</v>
      </c>
      <c r="E12">
        <f t="shared" ca="1" si="1"/>
        <v>22</v>
      </c>
      <c r="F12" t="str">
        <f t="shared" ca="1" si="2"/>
        <v>Cattle</v>
      </c>
      <c r="G12" t="str">
        <f t="shared" ca="1" si="3"/>
        <v>Cattle!A141</v>
      </c>
      <c r="H12">
        <f>IF(index!D12="","",index!D12)</f>
        <v>1</v>
      </c>
      <c r="I12">
        <f>IF(index!E12="","",index!E12)</f>
        <v>1</v>
      </c>
      <c r="J12" s="18" t="str">
        <f>IF(index!F12="","",index!F12)</f>
        <v/>
      </c>
      <c r="K12" s="19"/>
      <c r="L12" s="19"/>
      <c r="M12" s="19" t="s">
        <v>52</v>
      </c>
      <c r="N12" s="19"/>
      <c r="O12" s="20" t="s">
        <v>50</v>
      </c>
      <c r="P12" s="14"/>
      <c r="Q12" s="12" t="s">
        <v>105</v>
      </c>
      <c r="R12" s="14"/>
    </row>
    <row r="13" spans="1:18">
      <c r="A13" t="str">
        <f>IF(index!A13="","",index!A13)</f>
        <v>par</v>
      </c>
      <c r="B13" s="11" t="str">
        <f>IF(index!B13="","",index!B13)</f>
        <v>MilkYield</v>
      </c>
      <c r="C13" t="str">
        <f ca="1">CELL("address", Cattle!A161)</f>
        <v>[DataXL2.xlsm]Cattle!$A$161</v>
      </c>
      <c r="D13">
        <f t="shared" ca="1" si="0"/>
        <v>15</v>
      </c>
      <c r="E13">
        <f t="shared" ca="1" si="1"/>
        <v>22</v>
      </c>
      <c r="F13" t="str">
        <f t="shared" ca="1" si="2"/>
        <v>Cattle</v>
      </c>
      <c r="G13" t="str">
        <f t="shared" ca="1" si="3"/>
        <v>Cattle!A161</v>
      </c>
      <c r="H13">
        <f>IF(index!D13="","",index!D13)</f>
        <v>1</v>
      </c>
      <c r="I13">
        <f>IF(index!E13="","",index!E13)</f>
        <v>1</v>
      </c>
      <c r="J13" s="18" t="str">
        <f>IF(index!F13="","",index!F13)</f>
        <v/>
      </c>
      <c r="K13" s="19"/>
      <c r="L13" s="19"/>
      <c r="M13" s="19" t="s">
        <v>52</v>
      </c>
      <c r="N13" s="19"/>
      <c r="O13" s="20" t="s">
        <v>50</v>
      </c>
      <c r="P13" s="14"/>
      <c r="Q13" s="12" t="s">
        <v>106</v>
      </c>
      <c r="R13" s="14"/>
    </row>
    <row r="14" spans="1:18">
      <c r="A14" t="str">
        <f>IF(index!A14="","",index!A14)</f>
        <v>par</v>
      </c>
      <c r="B14" s="11" t="str">
        <f>IF(index!B14="","",index!B14)</f>
        <v>C_prod</v>
      </c>
      <c r="C14" t="str">
        <f ca="1">CELL("address", Crop!A1)</f>
        <v>[DataXL2.xlsm]Crop!$A$1</v>
      </c>
      <c r="D14">
        <f t="shared" ca="1" si="0"/>
        <v>15</v>
      </c>
      <c r="E14">
        <f t="shared" ca="1" si="1"/>
        <v>20</v>
      </c>
      <c r="F14" t="str">
        <f t="shared" ca="1" si="2"/>
        <v>Crop</v>
      </c>
      <c r="G14" t="str">
        <f t="shared" ca="1" si="3"/>
        <v>Crop!A1</v>
      </c>
      <c r="H14">
        <f>IF(index!D14="","",index!D14)</f>
        <v>2</v>
      </c>
      <c r="I14">
        <f>IF(index!E14="","",index!E14)</f>
        <v>1</v>
      </c>
      <c r="J14" s="18" t="str">
        <f>IF(index!F14="","",index!F14)</f>
        <v/>
      </c>
      <c r="K14" s="19" t="s">
        <v>54</v>
      </c>
      <c r="L14" s="19"/>
      <c r="M14" s="19" t="s">
        <v>52</v>
      </c>
      <c r="N14" s="19" t="s">
        <v>63</v>
      </c>
      <c r="O14" s="20" t="s">
        <v>50</v>
      </c>
      <c r="P14" s="14"/>
      <c r="Q14" s="12" t="s">
        <v>107</v>
      </c>
      <c r="R14" s="14"/>
    </row>
    <row r="15" spans="1:18">
      <c r="A15" t="str">
        <f>IF(index!A15="","",index!A15)</f>
        <v>par</v>
      </c>
      <c r="B15" s="11" t="str">
        <f>IF(index!B15="","",index!B15)</f>
        <v>C_convert</v>
      </c>
      <c r="C15" t="str">
        <f ca="1">CELL("address", Crop!A102)</f>
        <v>[DataXL2.xlsm]Crop!$A$102</v>
      </c>
      <c r="D15">
        <f t="shared" ca="1" si="0"/>
        <v>15</v>
      </c>
      <c r="E15">
        <f t="shared" ca="1" si="1"/>
        <v>20</v>
      </c>
      <c r="F15" t="str">
        <f t="shared" ca="1" si="2"/>
        <v>Crop</v>
      </c>
      <c r="G15" t="str">
        <f t="shared" ca="1" si="3"/>
        <v>Crop!A102</v>
      </c>
      <c r="H15">
        <f>IF(index!D15="","",index!D15)</f>
        <v>1</v>
      </c>
      <c r="I15">
        <f>IF(index!E15="","",index!E15)</f>
        <v>0</v>
      </c>
      <c r="J15" s="18" t="str">
        <f>IF(index!F15="","",index!F15)</f>
        <v/>
      </c>
      <c r="K15" s="19"/>
      <c r="L15" s="19"/>
      <c r="M15" s="19" t="s">
        <v>52</v>
      </c>
      <c r="N15" s="19"/>
      <c r="O15" s="20" t="s">
        <v>50</v>
      </c>
      <c r="P15" s="14"/>
      <c r="Q15" s="12" t="s">
        <v>108</v>
      </c>
      <c r="R15" s="14"/>
    </row>
    <row r="16" spans="1:18">
      <c r="A16" t="str">
        <f>IF(index!A16="","",index!A16)</f>
        <v>par</v>
      </c>
      <c r="B16" s="11" t="str">
        <f>IF(index!B16="","",index!B16)</f>
        <v>C_chg</v>
      </c>
      <c r="C16" t="str">
        <f ca="1">CELL("address", Crop!A122)</f>
        <v>[DataXL2.xlsm]Crop!$A$122</v>
      </c>
      <c r="D16">
        <f t="shared" ca="1" si="0"/>
        <v>15</v>
      </c>
      <c r="E16">
        <f t="shared" ca="1" si="1"/>
        <v>20</v>
      </c>
      <c r="F16" t="str">
        <f t="shared" ca="1" si="2"/>
        <v>Crop</v>
      </c>
      <c r="G16" t="str">
        <f t="shared" ca="1" si="3"/>
        <v>Crop!A122</v>
      </c>
      <c r="H16">
        <f>IF(index!D16="","",index!D16)</f>
        <v>1</v>
      </c>
      <c r="I16">
        <f>IF(index!E16="","",index!E16)</f>
        <v>0</v>
      </c>
      <c r="J16" s="18" t="str">
        <f>IF(index!F16="","",index!F16)</f>
        <v/>
      </c>
      <c r="K16" s="19"/>
      <c r="L16" s="19"/>
      <c r="M16" s="19" t="s">
        <v>52</v>
      </c>
      <c r="N16" s="19"/>
      <c r="O16" s="20" t="s">
        <v>50</v>
      </c>
      <c r="P16" s="14"/>
      <c r="Q16" s="12" t="s">
        <v>109</v>
      </c>
      <c r="R16" s="14"/>
    </row>
    <row r="17" spans="1:18">
      <c r="A17" t="str">
        <f>IF(index!A17="","",index!A17)</f>
        <v>par</v>
      </c>
      <c r="B17" s="11" t="str">
        <f>IF(index!B17="","",index!B17)</f>
        <v>TotArea</v>
      </c>
      <c r="C17" t="str">
        <f ca="1">CELL("address", Crop!A140)</f>
        <v>[DataXL2.xlsm]Crop!$A$140</v>
      </c>
      <c r="D17">
        <f t="shared" ca="1" si="0"/>
        <v>15</v>
      </c>
      <c r="E17">
        <f t="shared" ca="1" si="1"/>
        <v>20</v>
      </c>
      <c r="F17" t="str">
        <f t="shared" ca="1" si="2"/>
        <v>Crop</v>
      </c>
      <c r="G17" t="str">
        <f t="shared" ca="1" si="3"/>
        <v>Crop!A140</v>
      </c>
      <c r="H17">
        <f>IF(index!D17="","",index!D17)</f>
        <v>1</v>
      </c>
      <c r="I17">
        <f>IF(index!E17="","",index!E17)</f>
        <v>1</v>
      </c>
      <c r="J17" s="18" t="str">
        <f>IF(index!F17="","",index!F17)</f>
        <v/>
      </c>
      <c r="K17" s="19"/>
      <c r="L17" s="19"/>
      <c r="M17" s="19" t="s">
        <v>52</v>
      </c>
      <c r="N17" s="19"/>
      <c r="O17" s="20"/>
      <c r="P17" s="14" t="s">
        <v>67</v>
      </c>
      <c r="Q17" s="12" t="s">
        <v>110</v>
      </c>
      <c r="R17" s="14" t="s">
        <v>70</v>
      </c>
    </row>
    <row r="18" spans="1:18">
      <c r="A18" t="str">
        <f>IF(index!A18="","",index!A18)</f>
        <v>par</v>
      </c>
      <c r="B18" s="11" t="str">
        <f>IF(index!B18="","",index!B18)</f>
        <v>Area_init</v>
      </c>
      <c r="C18" t="str">
        <f ca="1">CELL("address", Crop!A160)</f>
        <v>[DataXL2.xlsm]Crop!$A$160</v>
      </c>
      <c r="D18">
        <f t="shared" ca="1" si="0"/>
        <v>15</v>
      </c>
      <c r="E18">
        <f t="shared" ca="1" si="1"/>
        <v>20</v>
      </c>
      <c r="F18" t="str">
        <f t="shared" ca="1" si="2"/>
        <v>Crop</v>
      </c>
      <c r="G18" t="str">
        <f t="shared" ca="1" si="3"/>
        <v>Crop!A160</v>
      </c>
      <c r="H18">
        <f>IF(index!D18="","",index!D18)</f>
        <v>1</v>
      </c>
      <c r="I18">
        <f>IF(index!E18="","",index!E18)</f>
        <v>2</v>
      </c>
      <c r="J18" s="18" t="str">
        <f>IF(index!F18="","",index!F18)</f>
        <v/>
      </c>
      <c r="K18" s="19" t="s">
        <v>54</v>
      </c>
      <c r="L18" s="19"/>
      <c r="M18" s="19" t="s">
        <v>52</v>
      </c>
      <c r="N18" s="19" t="s">
        <v>63</v>
      </c>
      <c r="O18" s="20"/>
      <c r="P18" s="14" t="s">
        <v>67</v>
      </c>
      <c r="Q18" s="12" t="s">
        <v>111</v>
      </c>
      <c r="R18" s="14" t="s">
        <v>70</v>
      </c>
    </row>
    <row r="19" spans="1:18">
      <c r="A19" t="str">
        <f>IF(index!A19="","",index!A19)</f>
        <v>par</v>
      </c>
      <c r="B19" s="11" t="str">
        <f>IF(index!B19="","",index!B19)</f>
        <v>CYF</v>
      </c>
      <c r="C19" t="str">
        <f ca="1">CELL("address", CYF!A1)</f>
        <v>[DataXL2.xlsm]CYF!$A$1</v>
      </c>
      <c r="D19">
        <f t="shared" ca="1" si="0"/>
        <v>15</v>
      </c>
      <c r="E19">
        <f t="shared" ca="1" si="1"/>
        <v>19</v>
      </c>
      <c r="F19" t="str">
        <f t="shared" ca="1" si="2"/>
        <v>CYF</v>
      </c>
      <c r="G19" t="str">
        <f t="shared" ca="1" si="3"/>
        <v>CYF!A1</v>
      </c>
      <c r="H19">
        <f>IF(index!D19="","",index!D19)</f>
        <v>2</v>
      </c>
      <c r="I19">
        <f>IF(index!E19="","",index!E19)</f>
        <v>2</v>
      </c>
      <c r="J19" s="18" t="str">
        <f>IF(index!F19="","",index!F19)</f>
        <v/>
      </c>
      <c r="K19" s="19" t="s">
        <v>54</v>
      </c>
      <c r="L19" s="19"/>
      <c r="M19" s="19" t="s">
        <v>52</v>
      </c>
      <c r="N19" s="19" t="s">
        <v>63</v>
      </c>
      <c r="O19" s="20" t="s">
        <v>50</v>
      </c>
      <c r="P19" s="14"/>
      <c r="Q19" s="12" t="s">
        <v>112</v>
      </c>
      <c r="R19" s="14"/>
    </row>
    <row r="20" spans="1:18">
      <c r="A20" t="str">
        <f>IF(index!A20="","",index!A20)</f>
        <v>par</v>
      </c>
      <c r="B20" s="11" t="str">
        <f>IF(index!B20="","",index!B20)</f>
        <v>DiscFact</v>
      </c>
      <c r="C20" t="str">
        <f ca="1">CELL("address", DiscFact!A1)</f>
        <v>[DataXL2.xlsm]DiscFact!$A$1</v>
      </c>
      <c r="D20">
        <f t="shared" ca="1" si="0"/>
        <v>15</v>
      </c>
      <c r="E20">
        <f t="shared" ca="1" si="1"/>
        <v>24</v>
      </c>
      <c r="F20" t="str">
        <f t="shared" ca="1" si="2"/>
        <v>DiscFact</v>
      </c>
      <c r="G20" t="str">
        <f t="shared" ca="1" si="3"/>
        <v>DiscFact!A1</v>
      </c>
      <c r="H20">
        <f>IF(index!D20="","",index!D20)</f>
        <v>1</v>
      </c>
      <c r="I20">
        <f>IF(index!E20="","",index!E20)</f>
        <v>0</v>
      </c>
      <c r="J20" s="18" t="str">
        <f>IF(index!F20="","",index!F20)</f>
        <v/>
      </c>
      <c r="K20" s="19"/>
      <c r="L20" s="19"/>
      <c r="M20" s="19"/>
      <c r="N20" s="19"/>
      <c r="O20" s="20" t="s">
        <v>50</v>
      </c>
      <c r="P20" s="14"/>
      <c r="Q20" s="12" t="s">
        <v>113</v>
      </c>
      <c r="R20" s="14"/>
    </row>
    <row r="21" spans="1:18">
      <c r="A21" t="str">
        <f>IF(index!A21="","",index!A21)</f>
        <v>set</v>
      </c>
      <c r="B21" s="11" t="str">
        <f>IF(index!B21="","",index!B21)</f>
        <v>Eline</v>
      </c>
      <c r="C21" t="str">
        <f ca="1">CELL("address", ElecLine!A1)</f>
        <v>[DataXL2.xlsm]ElecLine!$A$1</v>
      </c>
      <c r="D21">
        <f t="shared" ca="1" si="0"/>
        <v>15</v>
      </c>
      <c r="E21">
        <f t="shared" ca="1" si="1"/>
        <v>24</v>
      </c>
      <c r="F21" t="str">
        <f t="shared" ca="1" si="2"/>
        <v>ElecLine</v>
      </c>
      <c r="G21" t="str">
        <f t="shared" ca="1" si="3"/>
        <v>ElecLine!A1</v>
      </c>
      <c r="H21">
        <f>IF(index!D21="","",index!D21)</f>
        <v>1</v>
      </c>
      <c r="I21">
        <f>IF(index!E21="","",index!E21)</f>
        <v>1</v>
      </c>
      <c r="J21" s="18" t="str">
        <f>IF(index!F21="","",index!F21)</f>
        <v/>
      </c>
      <c r="K21" s="19"/>
      <c r="L21" s="19" t="s">
        <v>52</v>
      </c>
      <c r="M21" s="19" t="s">
        <v>52</v>
      </c>
      <c r="N21" s="19"/>
      <c r="O21" s="20"/>
      <c r="P21" s="14"/>
      <c r="Q21" s="12" t="s">
        <v>114</v>
      </c>
      <c r="R21" s="14"/>
    </row>
    <row r="22" spans="1:18">
      <c r="A22" t="str">
        <f>IF(index!A22="","",index!A22)</f>
        <v>set</v>
      </c>
      <c r="B22" s="11" t="str">
        <f>IF(index!B22="","",index!B22)</f>
        <v>Road</v>
      </c>
      <c r="C22" t="str">
        <f ca="1">CELL("address", Roads!A1)</f>
        <v>[DataXL2.xlsm]Roads!$A$1</v>
      </c>
      <c r="D22">
        <f t="shared" ca="1" si="0"/>
        <v>15</v>
      </c>
      <c r="E22">
        <f t="shared" ca="1" si="1"/>
        <v>21</v>
      </c>
      <c r="F22" t="str">
        <f t="shared" ca="1" si="2"/>
        <v>Roads</v>
      </c>
      <c r="G22" t="str">
        <f t="shared" ca="1" si="3"/>
        <v>Roads!A1</v>
      </c>
      <c r="H22">
        <f>IF(index!D22="","",index!D22)</f>
        <v>1</v>
      </c>
      <c r="I22">
        <f>IF(index!E22="","",index!E22)</f>
        <v>1</v>
      </c>
      <c r="J22" s="18" t="str">
        <f>IF(index!F22="","",index!F22)</f>
        <v/>
      </c>
      <c r="K22" s="19"/>
      <c r="L22" s="19" t="s">
        <v>52</v>
      </c>
      <c r="M22" s="19" t="s">
        <v>52</v>
      </c>
      <c r="N22" s="19"/>
      <c r="O22" s="20"/>
      <c r="P22" s="14" t="s">
        <v>71</v>
      </c>
      <c r="Q22" s="12" t="s">
        <v>115</v>
      </c>
      <c r="R22" s="14" t="s">
        <v>72</v>
      </c>
    </row>
    <row r="23" spans="1:18">
      <c r="A23" t="str">
        <f>IF(index!A23="","",index!A23)</f>
        <v>par</v>
      </c>
      <c r="B23" s="11" t="str">
        <f>IF(index!B23="","",index!B23)</f>
        <v>CF_Road_data</v>
      </c>
      <c r="C23" t="str">
        <f ca="1">CELL("address", Roads!V1)</f>
        <v>[DataXL2.xlsm]Roads!$V$1</v>
      </c>
      <c r="D23">
        <f t="shared" ca="1" si="0"/>
        <v>15</v>
      </c>
      <c r="E23">
        <f t="shared" ca="1" si="1"/>
        <v>21</v>
      </c>
      <c r="F23" t="str">
        <f t="shared" ca="1" si="2"/>
        <v>Roads</v>
      </c>
      <c r="G23" t="str">
        <f t="shared" ca="1" si="3"/>
        <v>Roads!V1</v>
      </c>
      <c r="H23">
        <f>IF(index!D23="","",index!D23)</f>
        <v>1</v>
      </c>
      <c r="I23">
        <f>IF(index!E23="","",index!E23)</f>
        <v>1</v>
      </c>
      <c r="J23" s="18" t="str">
        <f>IF(index!F23="","",index!F23)</f>
        <v/>
      </c>
      <c r="K23" s="19"/>
      <c r="L23" s="19" t="s">
        <v>52</v>
      </c>
      <c r="M23" s="19" t="s">
        <v>52</v>
      </c>
      <c r="N23" s="19"/>
      <c r="O23" s="20"/>
      <c r="P23" s="14"/>
      <c r="Q23" s="12" t="s">
        <v>116</v>
      </c>
      <c r="R23" s="14"/>
    </row>
    <row r="24" spans="1:18">
      <c r="A24" t="str">
        <f>IF(index!A24="","",index!A24)</f>
        <v>par</v>
      </c>
      <c r="B24" s="11" t="str">
        <f>IF(index!B24="","",index!B24)</f>
        <v>Cap_Road</v>
      </c>
      <c r="C24" t="str">
        <f ca="1">CELL("address", Roads!AX1)</f>
        <v>[DataXL2.xlsm]Roads!$AX$1</v>
      </c>
      <c r="D24">
        <f t="shared" ca="1" si="0"/>
        <v>15</v>
      </c>
      <c r="E24">
        <f t="shared" ca="1" si="1"/>
        <v>21</v>
      </c>
      <c r="F24" t="str">
        <f t="shared" ca="1" si="2"/>
        <v>Roads</v>
      </c>
      <c r="G24" t="str">
        <f t="shared" ca="1" si="3"/>
        <v>Roads!AX1</v>
      </c>
      <c r="H24">
        <f>IF(index!D24="","",index!D24)</f>
        <v>1</v>
      </c>
      <c r="I24">
        <f>IF(index!E24="","",index!E24)</f>
        <v>1</v>
      </c>
      <c r="J24" s="18" t="str">
        <f>IF(index!F24="","",index!F24)</f>
        <v/>
      </c>
      <c r="K24" s="19"/>
      <c r="L24" s="19" t="s">
        <v>52</v>
      </c>
      <c r="M24" s="19" t="s">
        <v>52</v>
      </c>
      <c r="N24" s="19"/>
      <c r="O24" s="20"/>
      <c r="P24" s="14"/>
      <c r="Q24" s="12" t="s">
        <v>117</v>
      </c>
      <c r="R24" s="14"/>
    </row>
    <row r="25" spans="1:18">
      <c r="A25" t="str">
        <f>IF(index!A25="","",index!A25)</f>
        <v>set</v>
      </c>
      <c r="B25" s="11" t="str">
        <f>IF(index!B25="","",index!B25)</f>
        <v>Year</v>
      </c>
      <c r="C25" t="str">
        <f ca="1">CELL("address", sets!B3)</f>
        <v>[DataXL2.xlsm]sets!$B$3</v>
      </c>
      <c r="D25">
        <f t="shared" ca="1" si="0"/>
        <v>15</v>
      </c>
      <c r="E25">
        <f t="shared" ca="1" si="1"/>
        <v>20</v>
      </c>
      <c r="F25" t="str">
        <f t="shared" ca="1" si="2"/>
        <v>sets</v>
      </c>
      <c r="G25" t="str">
        <f t="shared" ca="1" si="3"/>
        <v>sets!B3</v>
      </c>
      <c r="H25">
        <f>IF(index!D25="","",index!D25)</f>
        <v>1</v>
      </c>
      <c r="I25">
        <f>IF(index!E25="","",index!E25)</f>
        <v>0</v>
      </c>
      <c r="J25" s="18" t="str">
        <f>IF(index!F25="","",index!F25)</f>
        <v/>
      </c>
      <c r="K25" s="19"/>
      <c r="L25" s="19"/>
      <c r="M25" s="19"/>
      <c r="N25" s="19"/>
      <c r="O25" s="20"/>
      <c r="P25" s="14" t="s">
        <v>71</v>
      </c>
      <c r="Q25" s="12" t="s">
        <v>118</v>
      </c>
      <c r="R25" s="14" t="s">
        <v>72</v>
      </c>
    </row>
    <row r="26" spans="1:18">
      <c r="A26" t="str">
        <f>IF(index!A26="","",index!A26)</f>
        <v>set</v>
      </c>
      <c r="B26" s="11" t="str">
        <f>IF(index!B26="","",index!B26)</f>
        <v>Season</v>
      </c>
      <c r="C26" t="str">
        <f ca="1">CELL("address", sets!D3)</f>
        <v>[DataXL2.xlsm]sets!$D$3</v>
      </c>
      <c r="D26">
        <f t="shared" ca="1" si="0"/>
        <v>15</v>
      </c>
      <c r="E26">
        <f t="shared" ca="1" si="1"/>
        <v>20</v>
      </c>
      <c r="F26" t="str">
        <f t="shared" ca="1" si="2"/>
        <v>sets</v>
      </c>
      <c r="G26" t="str">
        <f t="shared" ca="1" si="3"/>
        <v>sets!D3</v>
      </c>
      <c r="H26">
        <f>IF(index!D26="","",index!D26)</f>
        <v>1</v>
      </c>
      <c r="I26">
        <f>IF(index!E26="","",index!E26)</f>
        <v>0</v>
      </c>
      <c r="J26" s="18" t="str">
        <f>IF(index!F26="","",index!F26)</f>
        <v/>
      </c>
      <c r="K26" s="19"/>
      <c r="L26" s="19"/>
      <c r="M26" s="19"/>
      <c r="N26" s="19"/>
      <c r="O26" s="20"/>
      <c r="P26" s="14"/>
      <c r="Q26" s="12" t="s">
        <v>119</v>
      </c>
      <c r="R26" s="14"/>
    </row>
    <row r="27" spans="1:18">
      <c r="A27" t="str">
        <f>IF(index!A27="","",index!A27)</f>
        <v>set</v>
      </c>
      <c r="B27" s="11" t="str">
        <f>IF(index!B27="","",index!B27)</f>
        <v>Node</v>
      </c>
      <c r="C27" t="str">
        <f ca="1">CELL("address", sets!F3)</f>
        <v>[DataXL2.xlsm]sets!$F$3</v>
      </c>
      <c r="D27">
        <f t="shared" ca="1" si="0"/>
        <v>15</v>
      </c>
      <c r="E27">
        <f t="shared" ca="1" si="1"/>
        <v>20</v>
      </c>
      <c r="F27" t="str">
        <f t="shared" ca="1" si="2"/>
        <v>sets</v>
      </c>
      <c r="G27" t="str">
        <f t="shared" ca="1" si="3"/>
        <v>sets!F3</v>
      </c>
      <c r="H27">
        <f>IF(index!D27="","",index!D27)</f>
        <v>1</v>
      </c>
      <c r="I27">
        <f>IF(index!E27="","",index!E27)</f>
        <v>0</v>
      </c>
      <c r="J27" s="18" t="str">
        <f>IF(index!F27="","",index!F27)</f>
        <v/>
      </c>
      <c r="K27" s="19"/>
      <c r="L27" s="19"/>
      <c r="M27" s="19"/>
      <c r="N27" s="19"/>
      <c r="O27" s="20"/>
      <c r="P27" s="14"/>
      <c r="Q27" s="12" t="s">
        <v>120</v>
      </c>
      <c r="R27" s="14"/>
    </row>
    <row r="28" spans="1:18">
      <c r="A28" t="str">
        <f>IF(index!A28="","",index!A28)</f>
        <v>set</v>
      </c>
      <c r="B28" s="11" t="str">
        <f>IF(index!B28="","",index!B28)</f>
        <v>FoodItem</v>
      </c>
      <c r="C28" t="str">
        <f ca="1">CELL("address", sets!H3)</f>
        <v>[DataXL2.xlsm]sets!$H$3</v>
      </c>
      <c r="D28">
        <f t="shared" ca="1" si="0"/>
        <v>15</v>
      </c>
      <c r="E28">
        <f t="shared" ca="1" si="1"/>
        <v>20</v>
      </c>
      <c r="F28" t="str">
        <f t="shared" ca="1" si="2"/>
        <v>sets</v>
      </c>
      <c r="G28" t="str">
        <f t="shared" ca="1" si="3"/>
        <v>sets!H3</v>
      </c>
      <c r="H28">
        <f>IF(index!D28="","",index!D28)</f>
        <v>1</v>
      </c>
      <c r="I28">
        <f>IF(index!E28="","",index!E28)</f>
        <v>0</v>
      </c>
      <c r="J28" s="18" t="str">
        <f>IF(index!F28="","",index!F28)</f>
        <v/>
      </c>
      <c r="K28" s="19"/>
      <c r="L28" s="19"/>
      <c r="M28" s="19"/>
      <c r="N28" s="19"/>
      <c r="O28" s="20"/>
      <c r="P28" s="14"/>
      <c r="Q28" s="12" t="s">
        <v>121</v>
      </c>
      <c r="R28" s="14"/>
    </row>
    <row r="29" spans="1:18">
      <c r="A29" t="str">
        <f>IF(index!A29="","",index!A29)</f>
        <v>set</v>
      </c>
      <c r="B29" s="11" t="str">
        <f>IF(index!B29="","",index!B29)</f>
        <v>Crop</v>
      </c>
      <c r="C29" t="str">
        <f ca="1">CELL("address", sets!J3)</f>
        <v>[DataXL2.xlsm]sets!$J$3</v>
      </c>
      <c r="D29">
        <f t="shared" ca="1" si="0"/>
        <v>15</v>
      </c>
      <c r="E29">
        <f t="shared" ca="1" si="1"/>
        <v>20</v>
      </c>
      <c r="F29" t="str">
        <f t="shared" ca="1" si="2"/>
        <v>sets</v>
      </c>
      <c r="G29" t="str">
        <f t="shared" ca="1" si="3"/>
        <v>sets!J3</v>
      </c>
      <c r="H29">
        <f>IF(index!D29="","",index!D29)</f>
        <v>1</v>
      </c>
      <c r="I29">
        <f>IF(index!E29="","",index!E29)</f>
        <v>0</v>
      </c>
      <c r="J29" s="18" t="str">
        <f>IF(index!F29="","",index!F29)</f>
        <v/>
      </c>
      <c r="K29" s="19"/>
      <c r="L29" s="19"/>
      <c r="M29" s="19"/>
      <c r="N29" s="19"/>
      <c r="O29" s="20"/>
      <c r="P29" s="14"/>
      <c r="Q29" s="12" t="s">
        <v>122</v>
      </c>
      <c r="R29" s="14"/>
    </row>
    <row r="30" spans="1:18">
      <c r="A30" t="str">
        <f>IF(index!A30="","",index!A30)</f>
        <v>par</v>
      </c>
      <c r="B30" s="11" t="str">
        <f>IF(index!B30="","",index!B30)</f>
        <v>DemInt</v>
      </c>
      <c r="C30" t="str">
        <f ca="1">CELL("address", DemInt!A1)</f>
        <v>[DataXL2.xlsm]DemInt!$A$1</v>
      </c>
      <c r="D30">
        <f t="shared" ca="1" si="0"/>
        <v>15</v>
      </c>
      <c r="E30">
        <f t="shared" ca="1" si="1"/>
        <v>22</v>
      </c>
      <c r="F30" t="str">
        <f t="shared" ca="1" si="2"/>
        <v>DemInt</v>
      </c>
      <c r="G30" t="str">
        <f t="shared" ca="1" si="3"/>
        <v>DemInt!A1</v>
      </c>
      <c r="H30">
        <f>IF(index!D30="","",index!D30)</f>
        <v>2</v>
      </c>
      <c r="I30">
        <f>IF(index!E30="","",index!E30)</f>
        <v>1</v>
      </c>
      <c r="J30" s="18" t="str">
        <f>IF(index!F30="","",index!F30)</f>
        <v/>
      </c>
      <c r="K30" s="19" t="s">
        <v>53</v>
      </c>
      <c r="L30" s="19"/>
      <c r="M30" s="19" t="s">
        <v>52</v>
      </c>
      <c r="N30" s="19" t="s">
        <v>63</v>
      </c>
      <c r="O30" s="20" t="s">
        <v>50</v>
      </c>
      <c r="P30" s="14"/>
      <c r="Q30" s="12" t="s">
        <v>123</v>
      </c>
      <c r="R30" s="14"/>
    </row>
    <row r="31" spans="1:18">
      <c r="A31" t="str">
        <f>IF(index!A31="","",index!A31)</f>
        <v>par</v>
      </c>
      <c r="B31" s="11" t="str">
        <f>IF(index!B31="","",index!B31)</f>
        <v>DemSlope</v>
      </c>
      <c r="C31" t="str">
        <f ca="1">CELL("address", DemSlope!A1)</f>
        <v>[DataXL2.xlsm]DemSlope!$A$1</v>
      </c>
      <c r="D31">
        <f t="shared" ca="1" si="0"/>
        <v>15</v>
      </c>
      <c r="E31">
        <f t="shared" ca="1" si="1"/>
        <v>24</v>
      </c>
      <c r="F31" t="str">
        <f t="shared" ca="1" si="2"/>
        <v>DemSlope</v>
      </c>
      <c r="G31" t="str">
        <f t="shared" ca="1" si="3"/>
        <v>DemSlope!A1</v>
      </c>
      <c r="H31">
        <f>IF(index!D31="","",index!D31)</f>
        <v>2</v>
      </c>
      <c r="I31">
        <f>IF(index!E31="","",index!E31)</f>
        <v>1</v>
      </c>
      <c r="J31" s="18" t="str">
        <f>IF(index!F31="","",index!F31)</f>
        <v/>
      </c>
      <c r="K31" s="19" t="s">
        <v>53</v>
      </c>
      <c r="L31" s="19"/>
      <c r="M31" s="19" t="s">
        <v>52</v>
      </c>
      <c r="N31" s="19" t="s">
        <v>63</v>
      </c>
      <c r="O31" s="20" t="s">
        <v>50</v>
      </c>
      <c r="P31" s="14"/>
      <c r="Q31" s="12" t="s">
        <v>124</v>
      </c>
      <c r="R31" s="14"/>
    </row>
    <row r="32" spans="1:18">
      <c r="A32" t="str">
        <f>IF(index!A32="","",index!A32)</f>
        <v>par</v>
      </c>
      <c r="B32" s="11" t="str">
        <f>IF(index!B32="","",index!B32)</f>
        <v>Base_Elec_Dem1</v>
      </c>
      <c r="C32" t="str">
        <f ca="1">CELL("address", Elec!A1)</f>
        <v>[DataXL2.xlsm]Elec!$A$1</v>
      </c>
      <c r="D32">
        <f t="shared" ca="1" si="0"/>
        <v>15</v>
      </c>
      <c r="E32">
        <f t="shared" ca="1" si="1"/>
        <v>20</v>
      </c>
      <c r="F32" t="str">
        <f t="shared" ca="1" si="2"/>
        <v>Elec</v>
      </c>
      <c r="G32" t="str">
        <f t="shared" ca="1" si="3"/>
        <v>Elec!A1</v>
      </c>
      <c r="H32">
        <f>IF(index!D32="","",index!D32)</f>
        <v>1</v>
      </c>
      <c r="I32">
        <f>IF(index!E32="","",index!E32)</f>
        <v>2</v>
      </c>
      <c r="J32" s="18" t="str">
        <f>IF(index!F32="","",index!F32)</f>
        <v/>
      </c>
      <c r="K32" s="19"/>
      <c r="L32" s="19"/>
      <c r="M32" s="19" t="s">
        <v>52</v>
      </c>
      <c r="N32" s="19" t="s">
        <v>63</v>
      </c>
      <c r="O32" s="20" t="s">
        <v>50</v>
      </c>
      <c r="P32" s="14"/>
      <c r="Q32" s="12" t="s">
        <v>125</v>
      </c>
      <c r="R32" s="14"/>
    </row>
    <row r="33" spans="1:18">
      <c r="A33" t="str">
        <f>IF(index!A33="","",index!A33)</f>
        <v>par</v>
      </c>
      <c r="B33" s="11" t="str">
        <f>IF(index!B33="","",index!B33)</f>
        <v>Cap_Elec1</v>
      </c>
      <c r="C33" t="str">
        <f ca="1">CELL("address", Elec!A41)</f>
        <v>[DataXL2.xlsm]Elec!$A$41</v>
      </c>
      <c r="D33">
        <f t="shared" ca="1" si="0"/>
        <v>15</v>
      </c>
      <c r="E33">
        <f t="shared" ca="1" si="1"/>
        <v>20</v>
      </c>
      <c r="F33" t="str">
        <f t="shared" ca="1" si="2"/>
        <v>Elec</v>
      </c>
      <c r="G33" t="str">
        <f t="shared" ca="1" si="3"/>
        <v>Elec!A41</v>
      </c>
      <c r="H33">
        <f>IF(index!D33="","",index!D33)</f>
        <v>1</v>
      </c>
      <c r="I33">
        <f>IF(index!E33="","",index!E33)</f>
        <v>0</v>
      </c>
      <c r="J33" s="18" t="str">
        <f>IF(index!F33="","",index!F33)</f>
        <v/>
      </c>
      <c r="K33" s="19"/>
      <c r="L33" s="19"/>
      <c r="M33" s="19" t="s">
        <v>52</v>
      </c>
      <c r="N33" s="19"/>
      <c r="O33" s="20"/>
      <c r="P33" s="14"/>
      <c r="Q33" s="12" t="s">
        <v>126</v>
      </c>
      <c r="R33" s="14"/>
    </row>
    <row r="34" spans="1:18">
      <c r="A34" t="str">
        <f>IF(index!A34="","",index!A34)</f>
        <v>par</v>
      </c>
      <c r="B34" s="11" t="str">
        <f>IF(index!B34="","",index!B34)</f>
        <v>C_Elec_L1</v>
      </c>
      <c r="C34" t="str">
        <f ca="1">CELL("address", Elec!F41)</f>
        <v>[DataXL2.xlsm]Elec!$F$41</v>
      </c>
      <c r="D34">
        <f t="shared" ca="1" si="0"/>
        <v>15</v>
      </c>
      <c r="E34">
        <f t="shared" ca="1" si="1"/>
        <v>20</v>
      </c>
      <c r="F34" t="str">
        <f t="shared" ca="1" si="2"/>
        <v>Elec</v>
      </c>
      <c r="G34" t="str">
        <f t="shared" ca="1" si="3"/>
        <v>Elec!F41</v>
      </c>
      <c r="H34">
        <f>IF(index!D34="","",index!D34)</f>
        <v>1</v>
      </c>
      <c r="I34">
        <f>IF(index!E34="","",index!E34)</f>
        <v>0</v>
      </c>
      <c r="J34" s="18" t="str">
        <f>IF(index!F34="","",index!F34)</f>
        <v/>
      </c>
      <c r="K34" s="19"/>
      <c r="L34" s="19"/>
      <c r="M34" s="19" t="s">
        <v>52</v>
      </c>
      <c r="N34" s="19"/>
      <c r="O34" s="20"/>
      <c r="P34" s="14"/>
      <c r="Q34" s="12" t="s">
        <v>127</v>
      </c>
      <c r="R34" s="14"/>
    </row>
    <row r="35" spans="1:18">
      <c r="A35" t="str">
        <f>IF(index!A35="","",index!A35)</f>
        <v>par</v>
      </c>
      <c r="B35" s="11" t="str">
        <f>IF(index!B35="","",index!B35)</f>
        <v>C_Elec_Q1</v>
      </c>
      <c r="C35" t="str">
        <f ca="1">CELL("address", Elec!K41)</f>
        <v>[DataXL2.xlsm]Elec!$K$41</v>
      </c>
      <c r="D35">
        <f t="shared" ca="1" si="0"/>
        <v>15</v>
      </c>
      <c r="E35">
        <f t="shared" ca="1" si="1"/>
        <v>20</v>
      </c>
      <c r="F35" t="str">
        <f t="shared" ca="1" si="2"/>
        <v>Elec</v>
      </c>
      <c r="G35" t="str">
        <f t="shared" ca="1" si="3"/>
        <v>Elec!K41</v>
      </c>
      <c r="H35">
        <f>IF(index!D35="","",index!D35)</f>
        <v>1</v>
      </c>
      <c r="I35">
        <f>IF(index!E35="","",index!E35)</f>
        <v>0</v>
      </c>
      <c r="J35" s="18" t="str">
        <f>IF(index!F35="","",index!F35)</f>
        <v/>
      </c>
      <c r="K35" s="19"/>
      <c r="L35" s="19"/>
      <c r="M35" s="19" t="s">
        <v>52</v>
      </c>
      <c r="N35" s="19"/>
      <c r="O35" s="20"/>
      <c r="P35" s="14"/>
      <c r="Q35" s="12" t="s">
        <v>128</v>
      </c>
      <c r="R35" s="14"/>
    </row>
    <row r="36" spans="1:18">
      <c r="A36" t="str">
        <f>IF(index!A36="","",index!A36)</f>
        <v>par</v>
      </c>
      <c r="B36" s="11" t="str">
        <f>IF(index!B36="","",index!B36)</f>
        <v>qWInit</v>
      </c>
      <c r="C36" t="str">
        <f ca="1">CELL("address", Crop!A182)</f>
        <v>[DataXL2.xlsm]Crop!$A$182</v>
      </c>
      <c r="D36">
        <f t="shared" ca="1" si="0"/>
        <v>15</v>
      </c>
      <c r="E36">
        <f t="shared" ca="1" si="1"/>
        <v>20</v>
      </c>
      <c r="F36" t="str">
        <f t="shared" ca="1" si="2"/>
        <v>Crop</v>
      </c>
      <c r="G36" t="str">
        <f t="shared" ca="1" si="3"/>
        <v>Crop!A182</v>
      </c>
      <c r="H36">
        <f>IF(index!D36="","",index!D36)</f>
        <v>1</v>
      </c>
      <c r="I36">
        <f>IF(index!E36="","",index!E36)</f>
        <v>1</v>
      </c>
      <c r="J36" s="18" t="s">
        <v>53</v>
      </c>
      <c r="K36" s="19"/>
      <c r="L36" s="19"/>
      <c r="M36" s="19" t="s">
        <v>52</v>
      </c>
      <c r="N36" s="19"/>
      <c r="O36" s="20"/>
      <c r="P36" s="14"/>
      <c r="Q36" s="12" t="s">
        <v>129</v>
      </c>
      <c r="R36" s="14"/>
    </row>
    <row r="37" spans="1:18">
      <c r="A37" t="str">
        <f>IF(index!A37="","",index!A37)</f>
        <v>par</v>
      </c>
      <c r="B37" s="11" t="str">
        <f>IF(index!B37="","",index!B37)</f>
        <v>DemCrossElas</v>
      </c>
      <c r="C37" t="str">
        <f ca="1">CELL("address", DemElas!A1)</f>
        <v>[DataXL2.xlsm]DemElas!$A$1</v>
      </c>
      <c r="D37">
        <f t="shared" ca="1" si="0"/>
        <v>15</v>
      </c>
      <c r="E37">
        <f t="shared" ca="1" si="1"/>
        <v>23</v>
      </c>
      <c r="F37" t="str">
        <f t="shared" ca="1" si="2"/>
        <v>DemElas</v>
      </c>
      <c r="G37" t="str">
        <f t="shared" ca="1" si="3"/>
        <v>DemElas!A1</v>
      </c>
      <c r="H37">
        <f>IF(index!D37="","",index!D37)</f>
        <v>1</v>
      </c>
      <c r="I37">
        <f>IF(index!E37="","",index!E37)</f>
        <v>1</v>
      </c>
      <c r="J37" s="18" t="s">
        <v>53</v>
      </c>
      <c r="K37" s="19" t="s">
        <v>53</v>
      </c>
      <c r="L37" s="19"/>
      <c r="M37" s="19" t="s">
        <v>52</v>
      </c>
      <c r="N37" s="19" t="s">
        <v>63</v>
      </c>
      <c r="O37" s="20" t="s">
        <v>50</v>
      </c>
      <c r="P37" s="14"/>
      <c r="Q37" s="12" t="s">
        <v>130</v>
      </c>
      <c r="R37" s="14"/>
    </row>
    <row r="38" spans="1:18">
      <c r="A38" t="str">
        <f>IF(index!A38="","",index!A38)</f>
        <v>par</v>
      </c>
      <c r="B38" s="11" t="str">
        <f>IF(index!B38="","",index!B38)</f>
        <v>Consumption</v>
      </c>
      <c r="C38" t="str">
        <f ca="1">CELL("address", TargetConsumption!B1)</f>
        <v>[DataXL2.xlsm]TargetConsumption!$B$1</v>
      </c>
      <c r="D38">
        <f t="shared" ca="1" si="0"/>
        <v>15</v>
      </c>
      <c r="E38">
        <f t="shared" ca="1" si="1"/>
        <v>33</v>
      </c>
      <c r="F38" t="str">
        <f t="shared" ca="1" si="2"/>
        <v>TargetConsumption</v>
      </c>
      <c r="G38" t="str">
        <f t="shared" ca="1" si="3"/>
        <v>TargetConsumption!B1</v>
      </c>
      <c r="H38">
        <f>IF(index!D38="","",index!D38)</f>
        <v>1</v>
      </c>
      <c r="I38">
        <f>IF(index!E38="","",index!E38)</f>
        <v>1</v>
      </c>
      <c r="J38" s="18" t="str">
        <f>IF(index!F38="","",index!F38)</f>
        <v/>
      </c>
      <c r="K38" s="19" t="s">
        <v>53</v>
      </c>
      <c r="L38" s="19"/>
      <c r="M38" s="19" t="s">
        <v>151</v>
      </c>
      <c r="N38" s="19" t="s">
        <v>63</v>
      </c>
      <c r="O38" s="20"/>
      <c r="P38" s="14"/>
      <c r="Q38" s="12" t="s">
        <v>132</v>
      </c>
      <c r="R38" s="14"/>
    </row>
    <row r="39" spans="1:18">
      <c r="A39" t="str">
        <f>IF(index!A39="","",index!A39)</f>
        <v>par</v>
      </c>
      <c r="B39" s="11" t="str">
        <f>IF(index!B39="","",index!B39)</f>
        <v>DemElas</v>
      </c>
      <c r="C39" t="str">
        <f ca="1">CELL("address", DemElas!A21)</f>
        <v>[DataXL2.xlsm]DemElas!$A$21</v>
      </c>
      <c r="D39">
        <f t="shared" ca="1" si="0"/>
        <v>15</v>
      </c>
      <c r="E39">
        <f t="shared" ca="1" si="1"/>
        <v>23</v>
      </c>
      <c r="F39" t="str">
        <f t="shared" ca="1" si="2"/>
        <v>DemElas</v>
      </c>
      <c r="G39" t="str">
        <f t="shared" ca="1" si="3"/>
        <v>DemElas!A21</v>
      </c>
      <c r="H39">
        <f>IF(index!D39="","",index!D39)</f>
        <v>1</v>
      </c>
      <c r="I39">
        <f>IF(index!E39="","",index!E39)</f>
        <v>0</v>
      </c>
      <c r="J39" s="18" t="str">
        <f>IF(index!F39="","",index!F39)</f>
        <v/>
      </c>
      <c r="K39" s="19" t="s">
        <v>53</v>
      </c>
      <c r="L39" s="19"/>
      <c r="M39" s="19" t="s">
        <v>52</v>
      </c>
      <c r="N39" s="19" t="s">
        <v>63</v>
      </c>
      <c r="O39" s="20" t="s">
        <v>50</v>
      </c>
      <c r="P39" s="14"/>
      <c r="Q39" s="12" t="s">
        <v>131</v>
      </c>
      <c r="R39" s="14"/>
    </row>
    <row r="40" spans="1:18">
      <c r="A40" t="str">
        <f>IF(index!A40="","",index!A40)</f>
        <v>par</v>
      </c>
      <c r="B40" s="11" t="str">
        <f>IF(index!B40="","",index!B40)</f>
        <v>Phi</v>
      </c>
      <c r="C40" t="str">
        <f ca="1">CELL("address", ConvFactor!A2)</f>
        <v>[DataXL2.xlsm]ConvFactor!$A$2</v>
      </c>
      <c r="D40">
        <f t="shared" ca="1" si="0"/>
        <v>15</v>
      </c>
      <c r="E40">
        <f t="shared" ref="E40:E41" ca="1" si="4">FIND("!",C40)+1</f>
        <v>26</v>
      </c>
      <c r="F40" t="str">
        <f t="shared" ref="F40:F41" ca="1" si="5">MID(C40,D40,E40-D40-1)</f>
        <v>ConvFactor</v>
      </c>
      <c r="G40" t="str">
        <f t="shared" ref="G40:G41" ca="1" si="6">ADDRESS(ROW(INDIRECT(C40)),COLUMN(INDIRECT(C40)),4,1,F40)</f>
        <v>ConvFactor!A2</v>
      </c>
      <c r="H40">
        <f>IF(index!D40="","",index!D40)</f>
        <v>1</v>
      </c>
      <c r="I40">
        <f>IF(index!E40="","",index!E40)</f>
        <v>1</v>
      </c>
      <c r="J40" s="18" t="str">
        <f>IF(index!F40="","",index!F40)</f>
        <v/>
      </c>
      <c r="K40" s="19"/>
      <c r="L40" s="19" t="s">
        <v>151</v>
      </c>
      <c r="M40" s="19" t="s">
        <v>52</v>
      </c>
      <c r="N40" s="19"/>
      <c r="O40" s="20"/>
      <c r="P40" s="14"/>
      <c r="Q40" s="12" t="s">
        <v>152</v>
      </c>
      <c r="R40" s="14"/>
    </row>
    <row r="41" spans="1:18">
      <c r="B41" s="11" t="str">
        <f>IF(index!B41="","",index!B41)</f>
        <v>Psi</v>
      </c>
      <c r="C41" t="str">
        <f ca="1">CELL("address", ConvFactor!A28)</f>
        <v>[DataXL2.xlsm]ConvFactor!$A$28</v>
      </c>
      <c r="D41">
        <f t="shared" ca="1" si="0"/>
        <v>15</v>
      </c>
      <c r="E41">
        <f t="shared" ca="1" si="4"/>
        <v>26</v>
      </c>
      <c r="F41" t="str">
        <f t="shared" ca="1" si="5"/>
        <v>ConvFactor</v>
      </c>
      <c r="G41" t="str">
        <f t="shared" ca="1" si="6"/>
        <v>ConvFactor!A28</v>
      </c>
      <c r="J41" s="18"/>
      <c r="K41" s="19"/>
      <c r="L41" s="19" t="s">
        <v>52</v>
      </c>
      <c r="M41" s="19" t="s">
        <v>151</v>
      </c>
      <c r="N41" s="19"/>
      <c r="O41" s="20"/>
      <c r="P41" s="14"/>
      <c r="Q41" s="12" t="s">
        <v>153</v>
      </c>
      <c r="R41" s="14"/>
    </row>
    <row r="42" spans="1:18">
      <c r="A42" t="str">
        <f>IF(index!A42="","",index!A42)</f>
        <v>set</v>
      </c>
      <c r="B42" s="11" t="str">
        <f>IF(index!B42="","",index!B42)</f>
        <v>Adapt</v>
      </c>
      <c r="C42" t="str">
        <f ca="1">CELL("address", sets!N3)</f>
        <v>[DataXL2.xlsm]sets!$N$3</v>
      </c>
      <c r="D42">
        <f t="shared" ca="1" si="0"/>
        <v>15</v>
      </c>
      <c r="E42">
        <f t="shared" ref="E42" ca="1" si="7">FIND("!",C42)+1</f>
        <v>20</v>
      </c>
      <c r="F42" t="str">
        <f t="shared" ref="F42" ca="1" si="8">MID(C42,D42,E42-D42-1)</f>
        <v>sets</v>
      </c>
      <c r="G42" t="str">
        <f t="shared" ref="G42" ca="1" si="9">ADDRESS(ROW(INDIRECT(C42)),COLUMN(INDIRECT(C42)),4,1,F42)</f>
        <v>sets!N3</v>
      </c>
      <c r="H42">
        <f>IF(index!D42="","",index!D42)</f>
        <v>1</v>
      </c>
      <c r="I42">
        <f>IF(index!E42="","",index!E42)</f>
        <v>0</v>
      </c>
      <c r="J42" s="18" t="str">
        <f>IF(index!F42="","",index!F42)</f>
        <v/>
      </c>
      <c r="K42" s="19"/>
      <c r="L42" s="19"/>
      <c r="M42" s="19"/>
      <c r="N42" s="19"/>
      <c r="O42" s="20"/>
      <c r="P42" s="14"/>
      <c r="Q42" s="12" t="s">
        <v>154</v>
      </c>
      <c r="R42" s="14"/>
    </row>
    <row r="43" spans="1:18">
      <c r="A43" t="str">
        <f>IF(index!A43="","",index!A43)</f>
        <v>par</v>
      </c>
      <c r="B43" s="11" t="str">
        <f>IF(index!B43="","",index!B43)</f>
        <v>Production</v>
      </c>
      <c r="C43" t="str">
        <f ca="1">CELL("address",TargetProduction!W2)</f>
        <v>[DataXL2.xlsm]TargetProduction!$W$2</v>
      </c>
      <c r="D43">
        <f t="shared" ref="D43" ca="1" si="10">FIND("]",C43)+1</f>
        <v>15</v>
      </c>
      <c r="E43">
        <f t="shared" ref="E43" ca="1" si="11">FIND("!",C43)+1</f>
        <v>32</v>
      </c>
      <c r="F43" t="str">
        <f t="shared" ref="F43" ca="1" si="12">MID(C43,D43,E43-D43-1)</f>
        <v>TargetProduction</v>
      </c>
      <c r="G43" t="str">
        <f t="shared" ref="G43" ca="1" si="13">ADDRESS(ROW(INDIRECT(C43)),COLUMN(INDIRECT(C43)),4,1,F43)</f>
        <v>TargetProduction!W2</v>
      </c>
      <c r="H43">
        <f>IF(index!D43="","",index!D43)</f>
        <v>1</v>
      </c>
      <c r="I43">
        <f>IF(index!E43="","",index!E43)</f>
        <v>2</v>
      </c>
      <c r="J43" s="18" t="str">
        <f>IF(index!F43="","",index!F43)</f>
        <v/>
      </c>
      <c r="K43" s="19" t="s">
        <v>53</v>
      </c>
      <c r="L43" s="19"/>
      <c r="M43" s="19" t="s">
        <v>151</v>
      </c>
      <c r="N43" s="19" t="s">
        <v>63</v>
      </c>
      <c r="O43" s="20"/>
      <c r="P43" s="14"/>
      <c r="Q43" s="12" t="s">
        <v>211</v>
      </c>
      <c r="R43" s="14"/>
    </row>
    <row r="44" spans="1:18">
      <c r="A44" t="str">
        <f>IF(index!A44="","",index!A44)</f>
        <v>par</v>
      </c>
      <c r="B44" s="11" t="str">
        <f>IF(index!B44="","",index!B44)</f>
        <v>Produc_Admin</v>
      </c>
      <c r="C44" t="str">
        <f ca="1">CELL("address",TargetProduction!W24)</f>
        <v>[DataXL2.xlsm]TargetProduction!$W$24</v>
      </c>
      <c r="D44">
        <f t="shared" ref="D44:D45" ca="1" si="14">FIND("]",C44)+1</f>
        <v>15</v>
      </c>
      <c r="E44">
        <f t="shared" ref="E44:E45" ca="1" si="15">FIND("!",C44)+1</f>
        <v>32</v>
      </c>
      <c r="F44" t="str">
        <f t="shared" ref="F44:F45" ca="1" si="16">MID(C44,D44,E44-D44-1)</f>
        <v>TargetProduction</v>
      </c>
      <c r="G44" t="str">
        <f t="shared" ref="G44:G45" ca="1" si="17">ADDRESS(ROW(INDIRECT(C44)),COLUMN(INDIRECT(C44)),4,1,F44)</f>
        <v>TargetProduction!W24</v>
      </c>
      <c r="H44">
        <f>IF(index!D44="","",index!D44)</f>
        <v>1</v>
      </c>
      <c r="I44">
        <f>IF(index!E44="","",index!E44)</f>
        <v>2</v>
      </c>
      <c r="J44" s="18" t="str">
        <f>IF(index!F44="","",index!F44)</f>
        <v/>
      </c>
      <c r="K44" s="19" t="s">
        <v>53</v>
      </c>
      <c r="L44" s="19"/>
      <c r="M44" s="19" t="s">
        <v>52</v>
      </c>
      <c r="N44" s="19" t="s">
        <v>63</v>
      </c>
      <c r="O44" s="20"/>
      <c r="P44" s="14"/>
      <c r="Q44" s="12" t="s">
        <v>212</v>
      </c>
      <c r="R44" s="14"/>
    </row>
    <row r="45" spans="1:18">
      <c r="A45" t="str">
        <f>IF(index!A45="","",index!A45)</f>
        <v>par</v>
      </c>
      <c r="B45" s="11" t="str">
        <f>IF(index!B45="","",index!B45)</f>
        <v>Price</v>
      </c>
      <c r="C45" t="str">
        <f ca="1">CELL("address",TargetConsumption!A45)</f>
        <v>[DataXL2.xlsm]TargetConsumption!$A$45</v>
      </c>
      <c r="D45">
        <f t="shared" ca="1" si="14"/>
        <v>15</v>
      </c>
      <c r="E45">
        <f t="shared" ca="1" si="15"/>
        <v>33</v>
      </c>
      <c r="F45" t="str">
        <f t="shared" ca="1" si="16"/>
        <v>TargetConsumption</v>
      </c>
      <c r="G45" t="str">
        <f t="shared" ca="1" si="17"/>
        <v>TargetConsumption!A45</v>
      </c>
      <c r="H45">
        <f>IF(index!D45="","",index!D45)</f>
        <v>1</v>
      </c>
      <c r="I45">
        <f>IF(index!E45="","",index!E45)</f>
        <v>2</v>
      </c>
      <c r="J45" s="18" t="str">
        <f>IF(index!F45="","",index!F45)</f>
        <v/>
      </c>
      <c r="K45" s="19" t="s">
        <v>53</v>
      </c>
      <c r="L45" s="19"/>
      <c r="M45" s="19" t="s">
        <v>151</v>
      </c>
      <c r="N45" s="19" t="s">
        <v>63</v>
      </c>
      <c r="O45" s="20"/>
      <c r="P45" s="14"/>
      <c r="Q45" s="12" t="s">
        <v>213</v>
      </c>
      <c r="R45" s="14"/>
    </row>
    <row r="46" spans="1:18">
      <c r="B46" s="11"/>
      <c r="J46" s="18"/>
      <c r="K46" s="19"/>
      <c r="L46" s="19"/>
      <c r="M46" s="19"/>
      <c r="N46" s="19"/>
      <c r="O46" s="20"/>
      <c r="P46" s="14"/>
      <c r="Q46" s="12"/>
      <c r="R46" s="14"/>
    </row>
    <row r="47" spans="1:18">
      <c r="A47" t="str">
        <f>IF(index!A47="","",index!A47)</f>
        <v/>
      </c>
      <c r="B47" s="11" t="str">
        <f>IF(index!B47="","",index!B47)</f>
        <v/>
      </c>
      <c r="J47" s="18"/>
      <c r="K47" s="19"/>
      <c r="L47" s="19"/>
      <c r="M47" s="19"/>
      <c r="N47" s="19"/>
      <c r="O47" s="20"/>
      <c r="P47" s="14"/>
      <c r="Q47" s="12"/>
      <c r="R47" s="14"/>
    </row>
    <row r="48" spans="1:18">
      <c r="B48" s="11" t="str">
        <f>IF(index!B48="","",index!B48)</f>
        <v/>
      </c>
      <c r="J48" s="18"/>
      <c r="K48" s="19"/>
      <c r="L48" s="19"/>
      <c r="M48" s="19"/>
      <c r="N48" s="19"/>
      <c r="O48" s="20"/>
      <c r="P48" s="14"/>
      <c r="Q48" s="12"/>
      <c r="R48" s="14"/>
    </row>
    <row r="49" spans="2:18">
      <c r="B49" s="11" t="str">
        <f>IF(index!B49="","",index!B49)</f>
        <v/>
      </c>
      <c r="J49" s="18"/>
      <c r="K49" s="19"/>
      <c r="L49" s="19"/>
      <c r="M49" s="19"/>
      <c r="N49" s="19"/>
      <c r="O49" s="20"/>
      <c r="P49" s="14"/>
      <c r="Q49" s="12"/>
      <c r="R49" s="14"/>
    </row>
    <row r="50" spans="2:18">
      <c r="B50" s="11" t="str">
        <f>IF(index!B50="","",index!B50)</f>
        <v/>
      </c>
      <c r="J50" s="18"/>
      <c r="K50" s="19"/>
      <c r="L50" s="19"/>
      <c r="M50" s="19"/>
      <c r="N50" s="19"/>
      <c r="O50" s="20"/>
      <c r="P50" s="14"/>
      <c r="Q50" s="12"/>
      <c r="R50" s="14"/>
    </row>
    <row r="51" spans="2:18">
      <c r="B51" s="11" t="str">
        <f>IF(index!B51="","",index!B51)</f>
        <v/>
      </c>
      <c r="J51" s="18"/>
      <c r="K51" s="19"/>
      <c r="L51" s="19"/>
      <c r="M51" s="19"/>
      <c r="N51" s="19"/>
      <c r="O51" s="20"/>
      <c r="P51" s="14"/>
      <c r="Q51" s="12"/>
      <c r="R51" s="14"/>
    </row>
    <row r="52" spans="2:18">
      <c r="B52" s="11" t="str">
        <f>IF(index!B52="","",index!B52)</f>
        <v/>
      </c>
      <c r="J52" s="18"/>
      <c r="K52" s="19"/>
      <c r="L52" s="19"/>
      <c r="M52" s="19"/>
      <c r="N52" s="19"/>
      <c r="O52" s="20"/>
      <c r="P52" s="14"/>
      <c r="Q52" s="12"/>
      <c r="R52" s="14"/>
    </row>
    <row r="53" spans="2:18">
      <c r="B53" s="11" t="str">
        <f>IF(index!B53="","",index!B53)</f>
        <v/>
      </c>
      <c r="J53" s="18"/>
      <c r="K53" s="19"/>
      <c r="L53" s="19"/>
      <c r="M53" s="19"/>
      <c r="N53" s="19"/>
      <c r="O53" s="20"/>
      <c r="P53" s="14"/>
      <c r="Q53" s="12"/>
      <c r="R53" s="14"/>
    </row>
    <row r="54" spans="2:18">
      <c r="B54" s="11" t="str">
        <f>IF(index!B54="","",index!B54)</f>
        <v/>
      </c>
      <c r="J54" s="18"/>
      <c r="K54" s="19"/>
      <c r="L54" s="19"/>
      <c r="M54" s="19"/>
      <c r="N54" s="19"/>
      <c r="O54" s="20"/>
      <c r="P54" s="14"/>
      <c r="Q54" s="12"/>
      <c r="R54" s="14"/>
    </row>
    <row r="55" spans="2:18">
      <c r="B55" s="11" t="str">
        <f>IF(index!B55="","",index!B55)</f>
        <v/>
      </c>
      <c r="J55" s="18"/>
      <c r="K55" s="19"/>
      <c r="L55" s="19"/>
      <c r="M55" s="19"/>
      <c r="N55" s="19"/>
      <c r="O55" s="20"/>
      <c r="P55" s="14"/>
      <c r="Q55" s="12"/>
      <c r="R55" s="14"/>
    </row>
    <row r="56" spans="2:18">
      <c r="B56" s="11" t="str">
        <f>IF(index!B56="","",index!B56)</f>
        <v/>
      </c>
      <c r="J56" s="18"/>
      <c r="K56" s="19"/>
      <c r="L56" s="19"/>
      <c r="M56" s="19"/>
      <c r="N56" s="19"/>
      <c r="O56" s="20"/>
      <c r="P56" s="14"/>
      <c r="Q56" s="12"/>
      <c r="R56" s="14"/>
    </row>
    <row r="57" spans="2:18">
      <c r="B57" s="11" t="str">
        <f>IF(index!B57="","",index!B57)</f>
        <v/>
      </c>
      <c r="J57" s="18"/>
      <c r="K57" s="19"/>
      <c r="L57" s="19"/>
      <c r="M57" s="19"/>
      <c r="N57" s="19"/>
      <c r="O57" s="20"/>
      <c r="P57" s="14"/>
      <c r="Q57" s="12"/>
      <c r="R57" s="14"/>
    </row>
    <row r="58" spans="2:18">
      <c r="B58" s="11" t="str">
        <f>IF(index!B58="","",index!B58)</f>
        <v/>
      </c>
      <c r="J58" s="18"/>
      <c r="K58" s="19"/>
      <c r="L58" s="19"/>
      <c r="M58" s="19"/>
      <c r="N58" s="19"/>
      <c r="O58" s="20"/>
      <c r="P58" s="14"/>
      <c r="Q58" s="12"/>
      <c r="R58" s="14"/>
    </row>
    <row r="59" spans="2:18">
      <c r="B59" s="11" t="str">
        <f>IF(index!B59="","",index!B59)</f>
        <v/>
      </c>
      <c r="J59" s="18"/>
      <c r="K59" s="19"/>
      <c r="L59" s="19"/>
      <c r="M59" s="19"/>
      <c r="N59" s="19"/>
      <c r="O59" s="20"/>
      <c r="P59" s="14"/>
      <c r="Q59" s="12"/>
      <c r="R59" s="14"/>
    </row>
    <row r="60" spans="2:18">
      <c r="B60" s="11" t="str">
        <f>IF(index!B60="","",index!B60)</f>
        <v/>
      </c>
      <c r="J60" s="18"/>
      <c r="K60" s="19"/>
      <c r="L60" s="19"/>
      <c r="M60" s="19"/>
      <c r="N60" s="19"/>
      <c r="O60" s="20"/>
      <c r="P60" s="14"/>
      <c r="Q60" s="12"/>
      <c r="R60" s="14"/>
    </row>
    <row r="61" spans="2:18">
      <c r="B61" s="11" t="str">
        <f>IF(index!B61="","",index!B61)</f>
        <v/>
      </c>
      <c r="J61" s="18"/>
      <c r="K61" s="19"/>
      <c r="L61" s="19"/>
      <c r="M61" s="19"/>
      <c r="N61" s="19"/>
      <c r="O61" s="20"/>
      <c r="P61" s="14"/>
      <c r="Q61" s="12"/>
      <c r="R61" s="14"/>
    </row>
    <row r="62" spans="2:18">
      <c r="J62" s="21"/>
      <c r="K62" s="22"/>
      <c r="L62" s="22"/>
      <c r="M62" s="22"/>
      <c r="N62" s="22"/>
      <c r="O62" s="23"/>
      <c r="P62" s="15"/>
      <c r="Q62" s="13"/>
      <c r="R62" s="15"/>
    </row>
  </sheetData>
  <autoFilter ref="A1:R61" xr:uid="{5E485562-7248-4958-856E-BCF8C1A3EAF9}">
    <filterColumn colId="9" showButton="0"/>
    <filterColumn colId="10" showButton="0"/>
    <filterColumn colId="11" showButton="0"/>
    <filterColumn colId="12" showButton="0"/>
    <filterColumn colId="13" showButton="0"/>
  </autoFilter>
  <mergeCells count="1">
    <mergeCell ref="J1:O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18"/>
  <sheetViews>
    <sheetView zoomScale="85" zoomScaleNormal="85" workbookViewId="0">
      <selection activeCell="N3" sqref="N3:N16"/>
    </sheetView>
  </sheetViews>
  <sheetFormatPr defaultColWidth="11" defaultRowHeight="15.75"/>
  <cols>
    <col min="20" max="20" width="17.25" bestFit="1" customWidth="1"/>
  </cols>
  <sheetData>
    <row r="1" spans="1:23">
      <c r="A1" t="s">
        <v>80</v>
      </c>
    </row>
    <row r="2" spans="1:23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  <c r="N2" s="1" t="s">
        <v>133</v>
      </c>
      <c r="T2" s="1" t="s">
        <v>171</v>
      </c>
    </row>
    <row r="3" spans="1:23">
      <c r="B3">
        <v>2015</v>
      </c>
      <c r="D3" t="s">
        <v>3</v>
      </c>
      <c r="F3" t="s">
        <v>5</v>
      </c>
      <c r="H3" t="s">
        <v>16</v>
      </c>
      <c r="J3" t="str">
        <f>H3</f>
        <v>Teff</v>
      </c>
      <c r="N3" t="s">
        <v>134</v>
      </c>
      <c r="V3" s="2"/>
      <c r="W3" s="2"/>
    </row>
    <row r="4" spans="1:23">
      <c r="B4">
        <f>B3+1</f>
        <v>2016</v>
      </c>
      <c r="D4" t="s">
        <v>2</v>
      </c>
      <c r="F4" t="s">
        <v>157</v>
      </c>
      <c r="H4" t="s">
        <v>20</v>
      </c>
      <c r="J4" t="str">
        <f t="shared" ref="J4:J9" si="0">H4</f>
        <v>Sorghum</v>
      </c>
      <c r="L4" t="s">
        <v>200</v>
      </c>
      <c r="N4" t="s">
        <v>135</v>
      </c>
      <c r="S4">
        <f t="shared" ref="S4:S17" si="1">COUNTIF($T$3:$T$17,T4)</f>
        <v>1</v>
      </c>
      <c r="T4" t="s">
        <v>168</v>
      </c>
      <c r="U4" t="s">
        <v>5</v>
      </c>
      <c r="V4" s="2"/>
      <c r="W4" s="2"/>
    </row>
    <row r="5" spans="1:23">
      <c r="B5">
        <f t="shared" ref="B5:B18" si="2">B4+1</f>
        <v>2017</v>
      </c>
      <c r="F5" t="s">
        <v>158</v>
      </c>
      <c r="H5" t="s">
        <v>17</v>
      </c>
      <c r="J5" t="str">
        <f t="shared" si="0"/>
        <v>Maize</v>
      </c>
      <c r="N5" t="s">
        <v>136</v>
      </c>
      <c r="S5">
        <f t="shared" si="1"/>
        <v>1</v>
      </c>
      <c r="T5" t="s">
        <v>6</v>
      </c>
      <c r="U5" t="s">
        <v>157</v>
      </c>
      <c r="V5" s="2"/>
      <c r="W5" s="2"/>
    </row>
    <row r="6" spans="1:23">
      <c r="B6">
        <f t="shared" si="2"/>
        <v>2018</v>
      </c>
      <c r="F6" t="s">
        <v>159</v>
      </c>
      <c r="H6" t="s">
        <v>24</v>
      </c>
      <c r="J6" t="str">
        <f t="shared" si="0"/>
        <v>Lentils</v>
      </c>
      <c r="N6" t="s">
        <v>137</v>
      </c>
      <c r="S6">
        <f t="shared" si="1"/>
        <v>2</v>
      </c>
      <c r="T6" t="s">
        <v>7</v>
      </c>
      <c r="U6" t="s">
        <v>158</v>
      </c>
      <c r="V6" s="2"/>
      <c r="W6" s="2"/>
    </row>
    <row r="7" spans="1:23">
      <c r="B7">
        <f t="shared" si="2"/>
        <v>2019</v>
      </c>
      <c r="F7" t="s">
        <v>9</v>
      </c>
      <c r="H7" t="s">
        <v>184</v>
      </c>
      <c r="J7" t="str">
        <f t="shared" si="0"/>
        <v>Wheat</v>
      </c>
      <c r="N7" t="s">
        <v>138</v>
      </c>
      <c r="S7">
        <f t="shared" si="1"/>
        <v>1</v>
      </c>
      <c r="T7" t="s">
        <v>169</v>
      </c>
      <c r="U7" t="s">
        <v>159</v>
      </c>
      <c r="V7" s="2"/>
      <c r="W7" s="2"/>
    </row>
    <row r="8" spans="1:23">
      <c r="B8">
        <f t="shared" si="2"/>
        <v>2020</v>
      </c>
      <c r="F8" t="s">
        <v>10</v>
      </c>
      <c r="H8" t="s">
        <v>21</v>
      </c>
      <c r="J8" t="str">
        <f t="shared" si="0"/>
        <v>Vegetables</v>
      </c>
      <c r="N8" t="s">
        <v>139</v>
      </c>
      <c r="S8">
        <f t="shared" si="1"/>
        <v>1</v>
      </c>
      <c r="T8" t="s">
        <v>170</v>
      </c>
      <c r="U8" t="s">
        <v>9</v>
      </c>
      <c r="V8" s="2"/>
      <c r="W8" s="2"/>
    </row>
    <row r="9" spans="1:23">
      <c r="B9">
        <f t="shared" si="2"/>
        <v>2021</v>
      </c>
      <c r="F9" t="s">
        <v>160</v>
      </c>
      <c r="H9" t="s">
        <v>204</v>
      </c>
      <c r="J9" t="str">
        <f t="shared" si="0"/>
        <v>CashCrop</v>
      </c>
      <c r="N9" t="s">
        <v>140</v>
      </c>
      <c r="S9">
        <f t="shared" si="1"/>
        <v>1</v>
      </c>
      <c r="T9" t="s">
        <v>10</v>
      </c>
      <c r="U9" t="s">
        <v>10</v>
      </c>
      <c r="V9" s="2"/>
      <c r="W9" s="2"/>
    </row>
    <row r="10" spans="1:23">
      <c r="B10">
        <f t="shared" si="2"/>
        <v>2022</v>
      </c>
      <c r="F10" t="s">
        <v>161</v>
      </c>
      <c r="H10" t="s">
        <v>22</v>
      </c>
      <c r="N10" t="s">
        <v>141</v>
      </c>
      <c r="S10">
        <f t="shared" si="1"/>
        <v>1</v>
      </c>
      <c r="T10" t="s">
        <v>11</v>
      </c>
      <c r="U10" t="s">
        <v>160</v>
      </c>
      <c r="V10" s="2"/>
      <c r="W10" s="2"/>
    </row>
    <row r="11" spans="1:23">
      <c r="B11">
        <f t="shared" si="2"/>
        <v>2023</v>
      </c>
      <c r="F11" t="s">
        <v>162</v>
      </c>
      <c r="H11" t="s">
        <v>23</v>
      </c>
      <c r="N11" t="s">
        <v>142</v>
      </c>
      <c r="S11">
        <f t="shared" si="1"/>
        <v>2</v>
      </c>
      <c r="T11" t="s">
        <v>13</v>
      </c>
      <c r="U11" t="s">
        <v>161</v>
      </c>
      <c r="V11" s="2"/>
      <c r="W11" s="2"/>
    </row>
    <row r="12" spans="1:23">
      <c r="B12">
        <f t="shared" si="2"/>
        <v>2024</v>
      </c>
      <c r="F12" t="s">
        <v>163</v>
      </c>
      <c r="N12" t="s">
        <v>143</v>
      </c>
      <c r="S12">
        <f t="shared" si="1"/>
        <v>1</v>
      </c>
      <c r="T12" t="s">
        <v>19</v>
      </c>
      <c r="U12" t="s">
        <v>162</v>
      </c>
      <c r="V12" s="2"/>
      <c r="W12" s="2"/>
    </row>
    <row r="13" spans="1:23">
      <c r="B13">
        <f t="shared" si="2"/>
        <v>2025</v>
      </c>
      <c r="F13" t="s">
        <v>164</v>
      </c>
      <c r="N13" t="s">
        <v>144</v>
      </c>
      <c r="S13">
        <f t="shared" si="1"/>
        <v>1</v>
      </c>
      <c r="T13" t="s">
        <v>14</v>
      </c>
      <c r="U13" t="s">
        <v>163</v>
      </c>
      <c r="V13" s="2"/>
      <c r="W13" s="2"/>
    </row>
    <row r="14" spans="1:23">
      <c r="B14">
        <f t="shared" si="2"/>
        <v>2026</v>
      </c>
      <c r="F14" t="s">
        <v>165</v>
      </c>
      <c r="N14" t="s">
        <v>145</v>
      </c>
      <c r="S14">
        <f t="shared" si="1"/>
        <v>2</v>
      </c>
      <c r="T14" t="s">
        <v>7</v>
      </c>
      <c r="U14" t="s">
        <v>164</v>
      </c>
      <c r="V14" s="2"/>
      <c r="W14" s="2"/>
    </row>
    <row r="15" spans="1:23">
      <c r="B15">
        <f t="shared" si="2"/>
        <v>2027</v>
      </c>
      <c r="F15" t="s">
        <v>166</v>
      </c>
      <c r="N15" t="s">
        <v>146</v>
      </c>
      <c r="S15">
        <f t="shared" si="1"/>
        <v>2</v>
      </c>
      <c r="T15" t="s">
        <v>12</v>
      </c>
      <c r="U15" t="s">
        <v>165</v>
      </c>
      <c r="V15" s="2"/>
      <c r="W15" s="2"/>
    </row>
    <row r="16" spans="1:23">
      <c r="B16">
        <f t="shared" si="2"/>
        <v>2028</v>
      </c>
      <c r="F16" t="s">
        <v>167</v>
      </c>
      <c r="N16" t="s">
        <v>148</v>
      </c>
      <c r="S16">
        <f t="shared" si="1"/>
        <v>2</v>
      </c>
      <c r="T16" t="s">
        <v>13</v>
      </c>
      <c r="U16" t="s">
        <v>166</v>
      </c>
      <c r="V16" s="2"/>
      <c r="W16" s="2"/>
    </row>
    <row r="17" spans="2:23">
      <c r="B17">
        <f t="shared" si="2"/>
        <v>2029</v>
      </c>
      <c r="F17" t="s">
        <v>147</v>
      </c>
      <c r="N17" t="s">
        <v>147</v>
      </c>
      <c r="S17">
        <f t="shared" si="1"/>
        <v>2</v>
      </c>
      <c r="T17" t="s">
        <v>12</v>
      </c>
      <c r="U17" t="s">
        <v>167</v>
      </c>
      <c r="V17" s="2"/>
      <c r="W17" s="2"/>
    </row>
    <row r="18" spans="2:23">
      <c r="B18">
        <f t="shared" si="2"/>
        <v>2030</v>
      </c>
    </row>
  </sheetData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W82"/>
  <sheetViews>
    <sheetView zoomScale="85" zoomScaleNormal="85" workbookViewId="0">
      <selection activeCell="H40" sqref="H40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v>1</v>
      </c>
    </row>
    <row r="3" spans="1:2">
      <c r="A3">
        <v>2017</v>
      </c>
      <c r="B3" s="2">
        <v>1</v>
      </c>
    </row>
    <row r="4" spans="1:2">
      <c r="A4">
        <v>2018</v>
      </c>
      <c r="B4" s="2">
        <v>1</v>
      </c>
    </row>
    <row r="5" spans="1:2">
      <c r="A5">
        <v>2019</v>
      </c>
      <c r="B5" s="2">
        <v>1</v>
      </c>
    </row>
    <row r="6" spans="1:2">
      <c r="A6">
        <v>2020</v>
      </c>
      <c r="B6" s="2">
        <v>1</v>
      </c>
    </row>
    <row r="7" spans="1:2">
      <c r="A7">
        <v>2021</v>
      </c>
      <c r="B7" s="2">
        <v>1</v>
      </c>
    </row>
    <row r="8" spans="1:2">
      <c r="A8">
        <v>2022</v>
      </c>
      <c r="B8" s="2">
        <v>1</v>
      </c>
    </row>
    <row r="9" spans="1:2">
      <c r="A9">
        <v>2023</v>
      </c>
      <c r="B9" s="2">
        <v>1</v>
      </c>
    </row>
    <row r="10" spans="1:2">
      <c r="A10">
        <v>2024</v>
      </c>
      <c r="B10" s="2">
        <v>1</v>
      </c>
    </row>
    <row r="11" spans="1:2">
      <c r="A11">
        <v>2025</v>
      </c>
      <c r="B11" s="2">
        <v>1</v>
      </c>
    </row>
    <row r="12" spans="1:2">
      <c r="A12">
        <v>2026</v>
      </c>
      <c r="B12" s="2">
        <v>1</v>
      </c>
    </row>
    <row r="13" spans="1:2">
      <c r="A13">
        <v>2027</v>
      </c>
      <c r="B13" s="2">
        <v>1</v>
      </c>
    </row>
    <row r="14" spans="1:2">
      <c r="A14">
        <v>2028</v>
      </c>
      <c r="B14" s="2">
        <v>1</v>
      </c>
    </row>
    <row r="15" spans="1:2">
      <c r="A15">
        <v>2029</v>
      </c>
      <c r="B15" s="2">
        <v>1</v>
      </c>
    </row>
    <row r="16" spans="1:2">
      <c r="A16">
        <v>2030</v>
      </c>
      <c r="B16" s="2">
        <v>1</v>
      </c>
    </row>
    <row r="17" spans="23:23">
      <c r="W17" s="24"/>
    </row>
    <row r="18" spans="23:23">
      <c r="W18" s="24"/>
    </row>
    <row r="19" spans="23:23">
      <c r="W19" s="24"/>
    </row>
    <row r="20" spans="23:23">
      <c r="W20" s="24"/>
    </row>
    <row r="21" spans="23:23">
      <c r="W21" s="24"/>
    </row>
    <row r="22" spans="23:23">
      <c r="W22" s="24"/>
    </row>
    <row r="23" spans="23:23">
      <c r="W23" s="24"/>
    </row>
    <row r="24" spans="23:23">
      <c r="W24" s="24"/>
    </row>
    <row r="25" spans="23:23">
      <c r="W25" s="24"/>
    </row>
    <row r="26" spans="23:23">
      <c r="W26" s="24"/>
    </row>
    <row r="27" spans="23:23">
      <c r="W27" s="24"/>
    </row>
    <row r="28" spans="23:23">
      <c r="W28" s="24"/>
    </row>
    <row r="29" spans="23:23">
      <c r="W29" s="24"/>
    </row>
    <row r="30" spans="23:23">
      <c r="W30" s="24"/>
    </row>
    <row r="31" spans="23:23">
      <c r="W31" s="24"/>
    </row>
    <row r="32" spans="23:23">
      <c r="W32" s="24"/>
    </row>
    <row r="33" spans="23:23">
      <c r="W33" s="24"/>
    </row>
    <row r="34" spans="23:23">
      <c r="W34" s="24"/>
    </row>
    <row r="35" spans="23:23">
      <c r="W35" s="24"/>
    </row>
    <row r="36" spans="23:23">
      <c r="W36" s="24"/>
    </row>
    <row r="37" spans="23:23">
      <c r="W37" s="24"/>
    </row>
    <row r="38" spans="23:23">
      <c r="W38" s="24"/>
    </row>
    <row r="39" spans="23:23">
      <c r="W39" s="24"/>
    </row>
    <row r="40" spans="23:23">
      <c r="W40" s="24"/>
    </row>
    <row r="41" spans="23:23">
      <c r="W41" s="24"/>
    </row>
    <row r="42" spans="23:23">
      <c r="W42" s="24"/>
    </row>
    <row r="43" spans="23:23">
      <c r="W43" s="24"/>
    </row>
    <row r="44" spans="23:23">
      <c r="W44" s="24"/>
    </row>
    <row r="45" spans="23:23">
      <c r="W45" s="24"/>
    </row>
    <row r="46" spans="23:23">
      <c r="W46" s="24"/>
    </row>
    <row r="47" spans="23:23">
      <c r="W47" s="24"/>
    </row>
    <row r="48" spans="23:23">
      <c r="W48" s="24"/>
    </row>
    <row r="49" spans="23:23">
      <c r="W49" s="24"/>
    </row>
    <row r="50" spans="23:23">
      <c r="W50" s="24"/>
    </row>
    <row r="51" spans="23:23">
      <c r="W51" s="24"/>
    </row>
    <row r="52" spans="23:23">
      <c r="W52" s="24"/>
    </row>
    <row r="53" spans="23:23">
      <c r="W53" s="24"/>
    </row>
    <row r="54" spans="23:23">
      <c r="W54" s="24"/>
    </row>
    <row r="55" spans="23:23">
      <c r="W55" s="24"/>
    </row>
    <row r="56" spans="23:23">
      <c r="W56" s="24"/>
    </row>
    <row r="57" spans="23:23">
      <c r="W57" s="24"/>
    </row>
    <row r="58" spans="23:23">
      <c r="W58" s="24"/>
    </row>
    <row r="59" spans="23:23">
      <c r="W59" s="24"/>
    </row>
    <row r="60" spans="23:23">
      <c r="W60" s="24"/>
    </row>
    <row r="61" spans="23:23">
      <c r="W61" s="24"/>
    </row>
    <row r="62" spans="23:23">
      <c r="W62" s="24"/>
    </row>
    <row r="63" spans="23:23">
      <c r="W63" s="24"/>
    </row>
    <row r="64" spans="23:23">
      <c r="W64" s="24"/>
    </row>
    <row r="65" spans="23:23">
      <c r="W65" s="24"/>
    </row>
    <row r="66" spans="23:23">
      <c r="W66" s="24"/>
    </row>
    <row r="67" spans="23:23">
      <c r="W67" s="24"/>
    </row>
    <row r="68" spans="23:23">
      <c r="W68" s="24"/>
    </row>
    <row r="69" spans="23:23">
      <c r="W69" s="24"/>
    </row>
    <row r="70" spans="23:23">
      <c r="W70" s="24"/>
    </row>
    <row r="71" spans="23:23">
      <c r="W71" s="24"/>
    </row>
    <row r="72" spans="23:23">
      <c r="W72" s="24"/>
    </row>
    <row r="73" spans="23:23">
      <c r="W73" s="24"/>
    </row>
    <row r="74" spans="23:23">
      <c r="W74" s="24"/>
    </row>
    <row r="75" spans="23:23">
      <c r="W75" s="24"/>
    </row>
    <row r="76" spans="23:23">
      <c r="W76" s="24"/>
    </row>
    <row r="77" spans="23:23">
      <c r="W77" s="24"/>
    </row>
    <row r="78" spans="23:23">
      <c r="W78" s="24"/>
    </row>
    <row r="79" spans="23:23">
      <c r="W79" s="24"/>
    </row>
    <row r="80" spans="23:23">
      <c r="W80" s="24"/>
    </row>
    <row r="81" spans="23:23">
      <c r="W81" s="24"/>
    </row>
    <row r="82" spans="23:23">
      <c r="W82" s="24"/>
    </row>
  </sheetData>
  <pageMargins left="0.75" right="0.75" top="1" bottom="1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O196"/>
  <sheetViews>
    <sheetView zoomScale="85" zoomScaleNormal="85" workbookViewId="0">
      <selection activeCell="D9" sqref="D9"/>
    </sheetView>
  </sheetViews>
  <sheetFormatPr defaultColWidth="8.875" defaultRowHeight="15.75"/>
  <cols>
    <col min="1" max="1" width="10.625" bestFit="1" customWidth="1"/>
    <col min="2" max="2" width="10.5" bestFit="1" customWidth="1"/>
    <col min="3" max="3" width="10.75" bestFit="1" customWidth="1"/>
    <col min="6" max="7" width="10.25" bestFit="1" customWidth="1"/>
    <col min="18" max="18" width="10.375" bestFit="1" customWidth="1"/>
    <col min="27" max="27" width="12.5" bestFit="1" customWidth="1"/>
  </cols>
  <sheetData>
    <row r="1" spans="1:18">
      <c r="C1" t="str">
        <f t="array" ref="C1:Q1">TRANSPOSE(Adapt)</f>
        <v>A1</v>
      </c>
      <c r="D1" t="str">
        <v>H2</v>
      </c>
      <c r="E1" t="str">
        <v>H3</v>
      </c>
      <c r="F1" t="str">
        <v>H4</v>
      </c>
      <c r="G1" t="str">
        <v>H5</v>
      </c>
      <c r="H1" t="str">
        <v>M1</v>
      </c>
      <c r="I1" t="str">
        <v>M3</v>
      </c>
      <c r="J1" t="str">
        <v>M5</v>
      </c>
      <c r="K1" t="str">
        <v>SA1</v>
      </c>
      <c r="L1" t="str">
        <v>SA3</v>
      </c>
      <c r="M1" t="str">
        <v>SH1</v>
      </c>
      <c r="N1" t="str">
        <v>SH3</v>
      </c>
      <c r="O1" t="str">
        <v>SM2</v>
      </c>
      <c r="P1" t="str">
        <v>SM2N</v>
      </c>
      <c r="Q1" t="str">
        <v>External</v>
      </c>
    </row>
    <row r="2" spans="1:18">
      <c r="A2" s="2" t="s">
        <v>3</v>
      </c>
      <c r="B2" s="2" t="str">
        <f t="array" ref="B2:B8">Food</f>
        <v>Teff</v>
      </c>
      <c r="C2" s="3">
        <f t="array" ref="C2:Q15">TRANSPOSE(TargetProduction!X71:AK85)</f>
        <v>9010.7903227524766</v>
      </c>
      <c r="D2" s="3">
        <v>6506.4789495977675</v>
      </c>
      <c r="E2" s="3">
        <v>7405.7951749943113</v>
      </c>
      <c r="F2" s="3">
        <v>7533.9810003246448</v>
      </c>
      <c r="G2" s="3">
        <v>7158.0410073215508</v>
      </c>
      <c r="H2" s="3">
        <v>8089.5698079347876</v>
      </c>
      <c r="I2" s="3">
        <v>9010.7903227524766</v>
      </c>
      <c r="J2" s="3">
        <v>8729.7593552789967</v>
      </c>
      <c r="K2" s="3">
        <v>7133.5175769777943</v>
      </c>
      <c r="L2" s="3">
        <v>7143.6895780904188</v>
      </c>
      <c r="M2" s="3">
        <v>7620.0117723918684</v>
      </c>
      <c r="N2" s="3">
        <v>8041.6075948010648</v>
      </c>
      <c r="O2" s="3">
        <v>6788.1167873635468</v>
      </c>
      <c r="P2" s="3">
        <v>6814.0064843930613</v>
      </c>
      <c r="Q2" s="3">
        <v>9010.7903227524766</v>
      </c>
      <c r="R2" s="2"/>
    </row>
    <row r="3" spans="1:18">
      <c r="A3" s="2" t="s">
        <v>3</v>
      </c>
      <c r="B3" s="2" t="str">
        <v>Sorghum</v>
      </c>
      <c r="C3" s="3">
        <v>12258.227119871519</v>
      </c>
      <c r="D3" s="3">
        <v>8226.7571860111111</v>
      </c>
      <c r="E3" s="3">
        <v>9758.4979621255861</v>
      </c>
      <c r="F3" s="3">
        <v>10464.649648848166</v>
      </c>
      <c r="G3" s="3">
        <v>9362.9518430819717</v>
      </c>
      <c r="H3" s="3">
        <v>9653.2616637855608</v>
      </c>
      <c r="I3" s="3">
        <v>9094.175168666985</v>
      </c>
      <c r="J3" s="3">
        <v>8378.3432441035111</v>
      </c>
      <c r="K3" s="3">
        <v>12258.227119871519</v>
      </c>
      <c r="L3" s="3">
        <v>8256.7924762441617</v>
      </c>
      <c r="M3" s="3">
        <v>10338.33864115673</v>
      </c>
      <c r="N3" s="3">
        <v>9629.2547899988022</v>
      </c>
      <c r="O3" s="3">
        <v>9244.7790175870796</v>
      </c>
      <c r="P3" s="3">
        <v>9117.6462205158841</v>
      </c>
      <c r="Q3" s="3">
        <v>12258.227119871519</v>
      </c>
      <c r="R3" s="2"/>
    </row>
    <row r="4" spans="1:18">
      <c r="A4" s="2" t="s">
        <v>3</v>
      </c>
      <c r="B4" s="2" t="str">
        <v>Maize</v>
      </c>
      <c r="C4" s="3">
        <v>9794.7032631161201</v>
      </c>
      <c r="D4" s="3">
        <v>6966.7710685973352</v>
      </c>
      <c r="E4" s="3">
        <v>8608.7121596779652</v>
      </c>
      <c r="F4" s="3">
        <v>9058.6701235153705</v>
      </c>
      <c r="G4" s="3">
        <v>8453.7824648627557</v>
      </c>
      <c r="H4" s="3">
        <v>8880.4487966133365</v>
      </c>
      <c r="I4" s="3">
        <v>9055.8115276474964</v>
      </c>
      <c r="J4" s="3">
        <v>8343.1988764904527</v>
      </c>
      <c r="K4" s="3">
        <v>6772.2911822799097</v>
      </c>
      <c r="L4" s="3">
        <v>7091.9884183961958</v>
      </c>
      <c r="M4" s="3">
        <v>9794.7032631161201</v>
      </c>
      <c r="N4" s="3">
        <v>9512.0783069493737</v>
      </c>
      <c r="O4" s="3">
        <v>6773.9607911251196</v>
      </c>
      <c r="P4" s="3">
        <v>6598.7508818400029</v>
      </c>
      <c r="Q4" s="3">
        <v>9794.7032631161201</v>
      </c>
      <c r="R4" s="2"/>
    </row>
    <row r="5" spans="1:18">
      <c r="A5" s="2" t="s">
        <v>3</v>
      </c>
      <c r="B5" s="2" t="str">
        <v>Lentils</v>
      </c>
      <c r="C5" s="3">
        <v>8691.3486705336472</v>
      </c>
      <c r="D5" s="3">
        <v>6804.8895145227289</v>
      </c>
      <c r="E5" s="3">
        <v>7405.7909443162062</v>
      </c>
      <c r="F5" s="3">
        <v>8691.3486705336472</v>
      </c>
      <c r="G5" s="3">
        <v>7662.5981299006889</v>
      </c>
      <c r="H5" s="3">
        <v>7891.1269493608634</v>
      </c>
      <c r="I5" s="3">
        <v>7925.3113120444805</v>
      </c>
      <c r="J5" s="3">
        <v>7643.8409684380003</v>
      </c>
      <c r="K5" s="3">
        <v>6661.7347867440722</v>
      </c>
      <c r="L5" s="3">
        <v>7104.6156200247733</v>
      </c>
      <c r="M5" s="3">
        <v>7335.7206453069421</v>
      </c>
      <c r="N5" s="3">
        <v>7701.9975394243238</v>
      </c>
      <c r="O5" s="3">
        <v>7560.9620119521196</v>
      </c>
      <c r="P5" s="3">
        <v>6536.7810577684277</v>
      </c>
      <c r="Q5" s="3">
        <v>8691.3486705336472</v>
      </c>
      <c r="R5" s="2"/>
    </row>
    <row r="6" spans="1:18">
      <c r="A6" s="2" t="s">
        <v>3</v>
      </c>
      <c r="B6" s="2" t="str">
        <v>Wheat</v>
      </c>
      <c r="C6" s="3">
        <v>11886.861706801106</v>
      </c>
      <c r="D6" s="3">
        <v>9404.7284081310572</v>
      </c>
      <c r="E6" s="3">
        <v>10906.546911758116</v>
      </c>
      <c r="F6" s="3">
        <v>11886.861706801106</v>
      </c>
      <c r="G6" s="3">
        <v>10726.193160230752</v>
      </c>
      <c r="H6" s="3">
        <v>9450.5664300369153</v>
      </c>
      <c r="I6" s="3">
        <v>8861.3582705388817</v>
      </c>
      <c r="J6" s="3">
        <v>8346.365802385435</v>
      </c>
      <c r="K6" s="3">
        <v>9862.7773935932255</v>
      </c>
      <c r="L6" s="3">
        <v>8270.9007146188196</v>
      </c>
      <c r="M6" s="3">
        <v>9603.9702403638821</v>
      </c>
      <c r="N6" s="3">
        <v>9956.4216325762445</v>
      </c>
      <c r="O6" s="3">
        <v>9872.4767911561485</v>
      </c>
      <c r="P6" s="3">
        <v>7261.0876483510247</v>
      </c>
      <c r="Q6" s="3">
        <v>11886.861706801106</v>
      </c>
      <c r="R6" s="2"/>
    </row>
    <row r="7" spans="1:18">
      <c r="A7" s="2" t="s">
        <v>3</v>
      </c>
      <c r="B7" s="2" t="str">
        <v>Vegetables</v>
      </c>
      <c r="C7" s="3">
        <v>54205.682383781721</v>
      </c>
      <c r="D7" s="3">
        <v>44626.711248976804</v>
      </c>
      <c r="E7" s="3">
        <v>28500.53815195473</v>
      </c>
      <c r="F7" s="3">
        <v>23200.420730646791</v>
      </c>
      <c r="G7" s="3">
        <v>19807.641835582581</v>
      </c>
      <c r="H7" s="3">
        <v>21542.955625646489</v>
      </c>
      <c r="I7" s="3">
        <v>23029.76829850252</v>
      </c>
      <c r="J7" s="3">
        <v>25167.739116180877</v>
      </c>
      <c r="K7" s="3">
        <v>31442.8549067157</v>
      </c>
      <c r="L7" s="3">
        <v>23309.265274534962</v>
      </c>
      <c r="M7" s="3">
        <v>40315.474355234619</v>
      </c>
      <c r="N7" s="3">
        <v>33595.345180908749</v>
      </c>
      <c r="O7" s="3">
        <v>54205.682383781721</v>
      </c>
      <c r="P7" s="3">
        <v>14449.80147933075</v>
      </c>
      <c r="Q7" s="3">
        <v>54205.682383781721</v>
      </c>
      <c r="R7" s="2"/>
    </row>
    <row r="8" spans="1:18">
      <c r="A8" s="2" t="s">
        <v>3</v>
      </c>
      <c r="B8" s="2" t="str">
        <v>CashCrop</v>
      </c>
      <c r="C8" s="3">
        <v>5024.1851071863675</v>
      </c>
      <c r="D8" s="3">
        <v>4566.1339200944931</v>
      </c>
      <c r="E8" s="3">
        <v>4860.9076465094486</v>
      </c>
      <c r="F8" s="3">
        <v>4702.4337978486483</v>
      </c>
      <c r="G8" s="3">
        <v>4424.0716867090387</v>
      </c>
      <c r="H8" s="3">
        <v>4217.7237664601598</v>
      </c>
      <c r="I8" s="3">
        <v>5024.1851071863675</v>
      </c>
      <c r="J8" s="3">
        <v>4595.437154158567</v>
      </c>
      <c r="K8" s="3">
        <v>3111.9862730493414</v>
      </c>
      <c r="L8" s="3">
        <v>3964.1906831782449</v>
      </c>
      <c r="M8" s="3">
        <v>3826.9729453184045</v>
      </c>
      <c r="N8" s="3">
        <v>4063.7813613207159</v>
      </c>
      <c r="O8" s="3">
        <v>4159.0563254235431</v>
      </c>
      <c r="P8" s="3">
        <v>3857.7443897073372</v>
      </c>
      <c r="Q8" s="3">
        <v>5024.1851071863675</v>
      </c>
      <c r="R8" s="2"/>
    </row>
    <row r="9" spans="1:18">
      <c r="A9" s="2" t="s">
        <v>2</v>
      </c>
      <c r="B9" s="2" t="str">
        <f>B2</f>
        <v>Teff</v>
      </c>
      <c r="C9" s="47">
        <v>4776.8749477998454</v>
      </c>
      <c r="D9" s="47">
        <v>6506.4789495977675</v>
      </c>
      <c r="E9" s="47">
        <v>7405.7951749943113</v>
      </c>
      <c r="F9" s="47">
        <v>7533.9810003246448</v>
      </c>
      <c r="G9" s="47">
        <v>7158.0410073215508</v>
      </c>
      <c r="H9" s="47">
        <v>8089.5698079347876</v>
      </c>
      <c r="I9" s="47">
        <v>9010.7903227524766</v>
      </c>
      <c r="J9" s="47">
        <v>8729.7593552789967</v>
      </c>
      <c r="K9" s="47">
        <v>7133.5175769777943</v>
      </c>
      <c r="L9" s="47">
        <v>7143.6895780904188</v>
      </c>
      <c r="M9" s="47">
        <v>7620.0117723918684</v>
      </c>
      <c r="N9" s="47">
        <v>8041.6075948010648</v>
      </c>
      <c r="O9" s="47">
        <v>6788.1167873635468</v>
      </c>
      <c r="P9" s="47">
        <v>6814.0064843930613</v>
      </c>
      <c r="Q9" s="47">
        <v>9010.7903227524766</v>
      </c>
      <c r="R9" s="2"/>
    </row>
    <row r="10" spans="1:18">
      <c r="A10" s="2" t="s">
        <v>2</v>
      </c>
      <c r="B10" s="2" t="str">
        <f t="shared" ref="B10:B15" si="0">B3</f>
        <v>Sorghum</v>
      </c>
      <c r="C10" s="47">
        <v>3846.2603854442782</v>
      </c>
      <c r="D10" s="47">
        <v>8226.7571860111111</v>
      </c>
      <c r="E10" s="47">
        <v>9758.4979621255861</v>
      </c>
      <c r="F10" s="47">
        <v>10464.649648848166</v>
      </c>
      <c r="G10" s="47">
        <v>9362.9518430819717</v>
      </c>
      <c r="H10" s="47">
        <v>9653.2616637855608</v>
      </c>
      <c r="I10" s="47">
        <v>9094.175168666985</v>
      </c>
      <c r="J10" s="47">
        <v>8378.3432441035111</v>
      </c>
      <c r="K10" s="47">
        <v>12258.227119871519</v>
      </c>
      <c r="L10" s="47">
        <v>8256.7924762441617</v>
      </c>
      <c r="M10" s="47">
        <v>10338.33864115673</v>
      </c>
      <c r="N10" s="47">
        <v>9629.2547899988022</v>
      </c>
      <c r="O10" s="47">
        <v>9244.7790175870796</v>
      </c>
      <c r="P10" s="47">
        <v>9117.6462205158841</v>
      </c>
      <c r="Q10" s="47">
        <v>12258.227119871519</v>
      </c>
      <c r="R10" s="2"/>
    </row>
    <row r="11" spans="1:18">
      <c r="A11" s="2" t="s">
        <v>2</v>
      </c>
      <c r="B11" s="2" t="str">
        <f t="shared" si="0"/>
        <v>Maize</v>
      </c>
      <c r="C11" s="47">
        <v>3822.0907878750072</v>
      </c>
      <c r="D11" s="47">
        <v>6966.7710685973352</v>
      </c>
      <c r="E11" s="47">
        <v>8608.7121596779652</v>
      </c>
      <c r="F11" s="47">
        <v>9058.6701235153705</v>
      </c>
      <c r="G11" s="47">
        <v>8453.7824648627557</v>
      </c>
      <c r="H11" s="47">
        <v>8880.4487966133365</v>
      </c>
      <c r="I11" s="47">
        <v>9055.8115276474964</v>
      </c>
      <c r="J11" s="47">
        <v>8343.1988764904527</v>
      </c>
      <c r="K11" s="47">
        <v>6772.2911822799097</v>
      </c>
      <c r="L11" s="47">
        <v>7091.9884183961958</v>
      </c>
      <c r="M11" s="47">
        <v>9794.7032631161201</v>
      </c>
      <c r="N11" s="47">
        <v>9512.0783069493737</v>
      </c>
      <c r="O11" s="47">
        <v>6773.9607911251196</v>
      </c>
      <c r="P11" s="47">
        <v>6598.7508818400029</v>
      </c>
      <c r="Q11" s="47">
        <v>9794.7032631161201</v>
      </c>
      <c r="R11" s="2"/>
    </row>
    <row r="12" spans="1:18">
      <c r="A12" s="2" t="s">
        <v>2</v>
      </c>
      <c r="B12" s="2" t="str">
        <f t="shared" si="0"/>
        <v>Lentils</v>
      </c>
      <c r="C12" s="47">
        <v>4335.3888382097139</v>
      </c>
      <c r="D12" s="47">
        <v>6804.8895145227289</v>
      </c>
      <c r="E12" s="47">
        <v>7405.7909443162062</v>
      </c>
      <c r="F12" s="47">
        <v>8691.3486705336472</v>
      </c>
      <c r="G12" s="47">
        <v>7662.5981299006889</v>
      </c>
      <c r="H12" s="47">
        <v>7891.1269493608634</v>
      </c>
      <c r="I12" s="47">
        <v>7925.3113120444805</v>
      </c>
      <c r="J12" s="47">
        <v>7643.8409684380003</v>
      </c>
      <c r="K12" s="47">
        <v>6661.7347867440722</v>
      </c>
      <c r="L12" s="47">
        <v>7104.6156200247733</v>
      </c>
      <c r="M12" s="47">
        <v>7335.7206453069421</v>
      </c>
      <c r="N12" s="47">
        <v>7701.9975394243238</v>
      </c>
      <c r="O12" s="47">
        <v>7560.9620119521196</v>
      </c>
      <c r="P12" s="47">
        <v>6536.7810577684277</v>
      </c>
      <c r="Q12" s="47">
        <v>8691.3486705336472</v>
      </c>
      <c r="R12" s="2"/>
    </row>
    <row r="13" spans="1:18">
      <c r="A13" s="2" t="s">
        <v>2</v>
      </c>
      <c r="B13" s="2" t="str">
        <f t="shared" si="0"/>
        <v>Wheat</v>
      </c>
      <c r="C13" s="47">
        <v>3462.3676017180042</v>
      </c>
      <c r="D13" s="47">
        <v>9404.7284081310572</v>
      </c>
      <c r="E13" s="47">
        <v>10906.546911758116</v>
      </c>
      <c r="F13" s="47">
        <v>11886.861706801106</v>
      </c>
      <c r="G13" s="47">
        <v>10726.193160230752</v>
      </c>
      <c r="H13" s="47">
        <v>9450.5664300369153</v>
      </c>
      <c r="I13" s="47">
        <v>8861.3582705388817</v>
      </c>
      <c r="J13" s="47">
        <v>8346.365802385435</v>
      </c>
      <c r="K13" s="47">
        <v>9862.7773935932255</v>
      </c>
      <c r="L13" s="47">
        <v>8270.9007146188196</v>
      </c>
      <c r="M13" s="47">
        <v>9603.9702403638821</v>
      </c>
      <c r="N13" s="47">
        <v>9956.4216325762445</v>
      </c>
      <c r="O13" s="47">
        <v>9872.4767911561485</v>
      </c>
      <c r="P13" s="47">
        <v>7261.0876483510247</v>
      </c>
      <c r="Q13" s="47">
        <v>11886.861706801106</v>
      </c>
      <c r="R13" s="2"/>
    </row>
    <row r="14" spans="1:18">
      <c r="A14" s="2" t="s">
        <v>2</v>
      </c>
      <c r="B14" s="2" t="str">
        <f t="shared" si="0"/>
        <v>Vegetables</v>
      </c>
      <c r="C14" s="47">
        <v>54205.682383781721</v>
      </c>
      <c r="D14" s="47">
        <v>44626.711248976804</v>
      </c>
      <c r="E14" s="47">
        <v>31765.983777129553</v>
      </c>
      <c r="F14" s="47">
        <v>23200.420730646791</v>
      </c>
      <c r="G14" s="47">
        <v>19807.641835582581</v>
      </c>
      <c r="H14" s="47">
        <v>21542.955625646489</v>
      </c>
      <c r="I14" s="47">
        <v>23029.76829850252</v>
      </c>
      <c r="J14" s="47">
        <v>25167.739116180877</v>
      </c>
      <c r="K14" s="47">
        <v>31442.8549067157</v>
      </c>
      <c r="L14" s="47">
        <v>23309.265274534962</v>
      </c>
      <c r="M14" s="47">
        <v>40315.474355234619</v>
      </c>
      <c r="N14" s="47">
        <v>33595.345180908749</v>
      </c>
      <c r="O14" s="47">
        <v>54205.682383781721</v>
      </c>
      <c r="P14" s="47">
        <v>19412.527390175008</v>
      </c>
      <c r="Q14" s="47">
        <v>54205.682383781721</v>
      </c>
    </row>
    <row r="15" spans="1:18">
      <c r="A15" s="2" t="s">
        <v>2</v>
      </c>
      <c r="B15" s="2" t="str">
        <f t="shared" si="0"/>
        <v>CashCrop</v>
      </c>
      <c r="C15" s="47">
        <v>844.60389337643903</v>
      </c>
      <c r="D15" s="47">
        <v>4566.1339200944931</v>
      </c>
      <c r="E15" s="47">
        <v>4860.9076465094486</v>
      </c>
      <c r="F15" s="47">
        <v>4702.4337978486483</v>
      </c>
      <c r="G15" s="47">
        <v>4424.0716867090387</v>
      </c>
      <c r="H15" s="47">
        <v>4217.7237664601598</v>
      </c>
      <c r="I15" s="47">
        <v>5024.1851071863675</v>
      </c>
      <c r="J15" s="47">
        <v>6116.2946404122022</v>
      </c>
      <c r="K15" s="47">
        <v>3111.9862730493414</v>
      </c>
      <c r="L15" s="47">
        <v>5187.9241367828736</v>
      </c>
      <c r="M15" s="47">
        <v>3826.9729453184045</v>
      </c>
      <c r="N15" s="47">
        <v>4063.7813613207159</v>
      </c>
      <c r="O15" s="47">
        <v>4159.0563254235431</v>
      </c>
      <c r="P15" s="47">
        <v>6116.2946404122049</v>
      </c>
      <c r="Q15" s="47">
        <v>6116.2946404122049</v>
      </c>
    </row>
    <row r="16" spans="1:18">
      <c r="B16" s="2"/>
    </row>
    <row r="18" spans="1:25">
      <c r="C18" s="3"/>
    </row>
    <row r="31" spans="1:25">
      <c r="C31" t="str">
        <f t="array" ref="C31:Q31">TRANSPOSE(Adapt)</f>
        <v>A1</v>
      </c>
      <c r="D31" t="str">
        <v>H2</v>
      </c>
      <c r="E31" t="str">
        <v>H3</v>
      </c>
      <c r="F31" t="str">
        <v>H4</v>
      </c>
      <c r="G31" t="str">
        <v>H5</v>
      </c>
      <c r="H31" t="str">
        <v>M1</v>
      </c>
      <c r="I31" t="str">
        <v>M3</v>
      </c>
      <c r="J31" t="str">
        <v>M5</v>
      </c>
      <c r="K31" t="str">
        <v>SA1</v>
      </c>
      <c r="L31" t="str">
        <v>SA3</v>
      </c>
      <c r="M31" t="str">
        <v>SH1</v>
      </c>
      <c r="N31" t="str">
        <v>SH3</v>
      </c>
      <c r="O31" t="str">
        <v>SM2</v>
      </c>
      <c r="P31" t="str">
        <v>SM2N</v>
      </c>
      <c r="Q31" t="str">
        <v>External</v>
      </c>
    </row>
    <row r="32" spans="1:25">
      <c r="A32" s="2" t="s">
        <v>3</v>
      </c>
      <c r="B32" s="2" t="str">
        <f t="array" ref="B32:B38">Food</f>
        <v>Teff</v>
      </c>
      <c r="C32" s="31">
        <v>0.5</v>
      </c>
      <c r="D32" s="31">
        <v>0.5</v>
      </c>
      <c r="E32" s="31">
        <v>0.5</v>
      </c>
      <c r="F32" s="31">
        <v>0.5</v>
      </c>
      <c r="G32" s="31">
        <v>0.5</v>
      </c>
      <c r="H32" s="31">
        <v>0.5</v>
      </c>
      <c r="I32" s="31">
        <v>0.5</v>
      </c>
      <c r="J32" s="31">
        <v>0.5</v>
      </c>
      <c r="K32" s="31">
        <v>0.5</v>
      </c>
      <c r="L32" s="31">
        <v>0.5</v>
      </c>
      <c r="M32" s="31">
        <v>0.5</v>
      </c>
      <c r="N32" s="31">
        <v>0.5</v>
      </c>
      <c r="O32" s="2">
        <v>0.5</v>
      </c>
      <c r="P32" s="2">
        <v>0.5</v>
      </c>
      <c r="Q32" s="2">
        <v>0.5</v>
      </c>
      <c r="R32" s="2"/>
      <c r="Y32" s="32" t="s">
        <v>155</v>
      </c>
    </row>
    <row r="33" spans="1:18">
      <c r="A33" s="2" t="s">
        <v>3</v>
      </c>
      <c r="B33" s="2" t="str">
        <v>Sorghum</v>
      </c>
      <c r="C33" s="31">
        <v>0.5</v>
      </c>
      <c r="D33" s="31">
        <v>0.5</v>
      </c>
      <c r="E33" s="31">
        <v>0.5</v>
      </c>
      <c r="F33" s="31">
        <v>0.5</v>
      </c>
      <c r="G33" s="31">
        <v>0.5</v>
      </c>
      <c r="H33" s="31">
        <v>0.5</v>
      </c>
      <c r="I33" s="31">
        <v>0.5</v>
      </c>
      <c r="J33" s="31">
        <v>0.5</v>
      </c>
      <c r="K33" s="31">
        <v>0.5</v>
      </c>
      <c r="L33" s="31">
        <v>0.5</v>
      </c>
      <c r="M33" s="31">
        <v>0.5</v>
      </c>
      <c r="N33" s="31">
        <v>0.5</v>
      </c>
      <c r="O33" s="2">
        <v>0.5</v>
      </c>
      <c r="P33" s="2">
        <v>0.5</v>
      </c>
      <c r="Q33" s="2">
        <v>0.5</v>
      </c>
      <c r="R33" s="2"/>
    </row>
    <row r="34" spans="1:18">
      <c r="A34" s="2" t="s">
        <v>3</v>
      </c>
      <c r="B34" s="2" t="str">
        <v>Maize</v>
      </c>
      <c r="C34" s="31">
        <v>0.5</v>
      </c>
      <c r="D34" s="31">
        <v>0.5</v>
      </c>
      <c r="E34" s="31">
        <v>0.5</v>
      </c>
      <c r="F34" s="31">
        <v>0.5</v>
      </c>
      <c r="G34" s="31">
        <v>0.5</v>
      </c>
      <c r="H34" s="31">
        <v>0.5</v>
      </c>
      <c r="I34" s="31">
        <v>0.5</v>
      </c>
      <c r="J34" s="31">
        <v>0.5</v>
      </c>
      <c r="K34" s="31">
        <v>0.5</v>
      </c>
      <c r="L34" s="31">
        <v>0.5</v>
      </c>
      <c r="M34" s="31">
        <v>0.5</v>
      </c>
      <c r="N34" s="31">
        <v>0.5</v>
      </c>
      <c r="O34" s="2">
        <v>0.5</v>
      </c>
      <c r="P34" s="2">
        <v>0.5</v>
      </c>
      <c r="Q34" s="2">
        <v>0.5</v>
      </c>
      <c r="R34" s="2"/>
    </row>
    <row r="35" spans="1:18">
      <c r="A35" s="2" t="s">
        <v>3</v>
      </c>
      <c r="B35" s="2" t="str">
        <v>Lentils</v>
      </c>
      <c r="C35" s="31">
        <v>0.5</v>
      </c>
      <c r="D35" s="31">
        <v>0.5</v>
      </c>
      <c r="E35" s="31">
        <v>0.5</v>
      </c>
      <c r="F35" s="31">
        <v>0.5</v>
      </c>
      <c r="G35" s="31">
        <v>0.5</v>
      </c>
      <c r="H35" s="31">
        <v>0.5</v>
      </c>
      <c r="I35" s="31">
        <v>0.5</v>
      </c>
      <c r="J35" s="31">
        <v>0.5</v>
      </c>
      <c r="K35" s="31">
        <v>0.5</v>
      </c>
      <c r="L35" s="31">
        <v>0.5</v>
      </c>
      <c r="M35" s="31">
        <v>0.5</v>
      </c>
      <c r="N35" s="31">
        <v>0.5</v>
      </c>
      <c r="O35" s="2">
        <v>0.5</v>
      </c>
      <c r="P35" s="2">
        <v>0.5</v>
      </c>
      <c r="Q35" s="2">
        <v>0.5</v>
      </c>
      <c r="R35" s="2"/>
    </row>
    <row r="36" spans="1:18">
      <c r="A36" s="2" t="s">
        <v>3</v>
      </c>
      <c r="B36" s="2" t="str">
        <v>Wheat</v>
      </c>
      <c r="C36" s="31">
        <v>0.5</v>
      </c>
      <c r="D36" s="31">
        <v>0.5</v>
      </c>
      <c r="E36" s="31">
        <v>0.5</v>
      </c>
      <c r="F36" s="31">
        <v>0.5</v>
      </c>
      <c r="G36" s="31">
        <v>0.5</v>
      </c>
      <c r="H36" s="31">
        <v>0.5</v>
      </c>
      <c r="I36" s="31">
        <v>0.5</v>
      </c>
      <c r="J36" s="31">
        <v>0.5</v>
      </c>
      <c r="K36" s="31">
        <v>0.5</v>
      </c>
      <c r="L36" s="31">
        <v>0.5</v>
      </c>
      <c r="M36" s="31">
        <v>0.5</v>
      </c>
      <c r="N36" s="31">
        <v>0.5</v>
      </c>
      <c r="O36" s="2">
        <v>0.5</v>
      </c>
      <c r="P36" s="2">
        <v>0.5</v>
      </c>
      <c r="Q36" s="2">
        <v>0.5</v>
      </c>
      <c r="R36" s="2"/>
    </row>
    <row r="37" spans="1:18">
      <c r="A37" s="2" t="s">
        <v>3</v>
      </c>
      <c r="B37" s="2" t="str">
        <v>Vegetables</v>
      </c>
      <c r="C37" s="31">
        <v>0.5</v>
      </c>
      <c r="D37" s="31">
        <v>0.5</v>
      </c>
      <c r="E37" s="31">
        <v>0.5</v>
      </c>
      <c r="F37" s="31">
        <v>0.5</v>
      </c>
      <c r="G37" s="31">
        <v>0.5</v>
      </c>
      <c r="H37" s="31">
        <v>0.5</v>
      </c>
      <c r="I37" s="31">
        <v>0.5</v>
      </c>
      <c r="J37" s="31">
        <v>0.5</v>
      </c>
      <c r="K37" s="31">
        <v>0.5</v>
      </c>
      <c r="L37" s="31">
        <v>0.5</v>
      </c>
      <c r="M37" s="31">
        <v>0.5</v>
      </c>
      <c r="N37" s="31">
        <v>0.5</v>
      </c>
      <c r="O37" s="2">
        <v>0.5</v>
      </c>
      <c r="P37" s="2">
        <v>0.5</v>
      </c>
      <c r="Q37" s="2">
        <v>0.5</v>
      </c>
      <c r="R37" s="2"/>
    </row>
    <row r="38" spans="1:18">
      <c r="A38" s="2" t="s">
        <v>3</v>
      </c>
      <c r="B38" s="2" t="str">
        <v>CashCrop</v>
      </c>
      <c r="C38" s="31">
        <v>0.5</v>
      </c>
      <c r="D38" s="31">
        <v>0.5</v>
      </c>
      <c r="E38" s="31">
        <v>0.5</v>
      </c>
      <c r="F38" s="31">
        <v>0.5</v>
      </c>
      <c r="G38" s="31">
        <v>0.5</v>
      </c>
      <c r="H38" s="31">
        <v>0.5</v>
      </c>
      <c r="I38" s="31">
        <v>0.5</v>
      </c>
      <c r="J38" s="31">
        <v>0.5</v>
      </c>
      <c r="K38" s="31">
        <v>0.5</v>
      </c>
      <c r="L38" s="31">
        <v>0.5</v>
      </c>
      <c r="M38" s="31">
        <v>0.5</v>
      </c>
      <c r="N38" s="31">
        <v>0.5</v>
      </c>
      <c r="O38" s="2">
        <v>0.5</v>
      </c>
      <c r="P38" s="2">
        <v>0.5</v>
      </c>
      <c r="Q38" s="2">
        <v>0.5</v>
      </c>
      <c r="R38" s="2"/>
    </row>
    <row r="39" spans="1:18">
      <c r="A39" s="2" t="s">
        <v>2</v>
      </c>
      <c r="B39" s="2" t="str">
        <f>B32</f>
        <v>Teff</v>
      </c>
      <c r="C39" s="31">
        <v>0.2</v>
      </c>
      <c r="D39" s="31">
        <v>0.2</v>
      </c>
      <c r="E39" s="31">
        <v>0.2</v>
      </c>
      <c r="F39" s="31">
        <v>0.2</v>
      </c>
      <c r="G39" s="31">
        <v>0.2</v>
      </c>
      <c r="H39" s="31">
        <v>0.2</v>
      </c>
      <c r="I39" s="31">
        <v>0.2</v>
      </c>
      <c r="J39" s="31">
        <v>0.2</v>
      </c>
      <c r="K39" s="31">
        <v>0.2</v>
      </c>
      <c r="L39" s="31">
        <v>0.2</v>
      </c>
      <c r="M39" s="31">
        <v>0.2</v>
      </c>
      <c r="N39" s="31">
        <v>0.2</v>
      </c>
      <c r="O39" s="2">
        <v>0.2</v>
      </c>
      <c r="P39" s="2">
        <v>0.2</v>
      </c>
      <c r="Q39" s="2">
        <v>0.2</v>
      </c>
      <c r="R39" s="2"/>
    </row>
    <row r="40" spans="1:18">
      <c r="A40" s="2" t="s">
        <v>2</v>
      </c>
      <c r="B40" s="2" t="str">
        <f t="shared" ref="B40:B45" si="1">B33</f>
        <v>Sorghum</v>
      </c>
      <c r="C40" s="31">
        <v>0.2</v>
      </c>
      <c r="D40" s="31">
        <v>0.2</v>
      </c>
      <c r="E40" s="31">
        <v>0.2</v>
      </c>
      <c r="F40" s="31">
        <v>0.2</v>
      </c>
      <c r="G40" s="31">
        <v>0.2</v>
      </c>
      <c r="H40" s="31">
        <v>0.2</v>
      </c>
      <c r="I40" s="31">
        <v>0.2</v>
      </c>
      <c r="J40" s="31">
        <v>0.2</v>
      </c>
      <c r="K40" s="31">
        <v>0.2</v>
      </c>
      <c r="L40" s="31">
        <v>0.2</v>
      </c>
      <c r="M40" s="31">
        <v>0.2</v>
      </c>
      <c r="N40" s="31">
        <v>0.2</v>
      </c>
      <c r="O40" s="2">
        <v>0.2</v>
      </c>
      <c r="P40" s="2">
        <v>0.2</v>
      </c>
      <c r="Q40" s="2">
        <v>0.2</v>
      </c>
      <c r="R40" s="2"/>
    </row>
    <row r="41" spans="1:18">
      <c r="A41" s="2" t="s">
        <v>2</v>
      </c>
      <c r="B41" s="2" t="str">
        <f t="shared" si="1"/>
        <v>Maize</v>
      </c>
      <c r="C41" s="31">
        <v>0.2</v>
      </c>
      <c r="D41" s="31">
        <v>0.2</v>
      </c>
      <c r="E41" s="31">
        <v>0.2</v>
      </c>
      <c r="F41" s="31">
        <v>0.2</v>
      </c>
      <c r="G41" s="31">
        <v>0.2</v>
      </c>
      <c r="H41" s="31">
        <v>0.2</v>
      </c>
      <c r="I41" s="31">
        <v>0.2</v>
      </c>
      <c r="J41" s="31">
        <v>0.2</v>
      </c>
      <c r="K41" s="31">
        <v>0.2</v>
      </c>
      <c r="L41" s="31">
        <v>0.2</v>
      </c>
      <c r="M41" s="31">
        <v>0.2</v>
      </c>
      <c r="N41" s="31">
        <v>0.2</v>
      </c>
      <c r="O41" s="2">
        <v>0.2</v>
      </c>
      <c r="P41" s="2">
        <v>0.2</v>
      </c>
      <c r="Q41" s="2">
        <v>0.2</v>
      </c>
      <c r="R41" s="2"/>
    </row>
    <row r="42" spans="1:18">
      <c r="A42" s="2" t="s">
        <v>2</v>
      </c>
      <c r="B42" s="2" t="str">
        <f t="shared" si="1"/>
        <v>Lentils</v>
      </c>
      <c r="C42" s="31">
        <v>0.2</v>
      </c>
      <c r="D42" s="31">
        <v>0.2</v>
      </c>
      <c r="E42" s="31">
        <v>0.2</v>
      </c>
      <c r="F42" s="31">
        <v>0.2</v>
      </c>
      <c r="G42" s="31">
        <v>0.2</v>
      </c>
      <c r="H42" s="31">
        <v>0.2</v>
      </c>
      <c r="I42" s="31">
        <v>0.2</v>
      </c>
      <c r="J42" s="31">
        <v>0.2</v>
      </c>
      <c r="K42" s="31">
        <v>0.2</v>
      </c>
      <c r="L42" s="31">
        <v>0.2</v>
      </c>
      <c r="M42" s="31">
        <v>0.2</v>
      </c>
      <c r="N42" s="31">
        <v>0.2</v>
      </c>
      <c r="O42" s="2">
        <v>0.2</v>
      </c>
      <c r="P42" s="2">
        <v>0.2</v>
      </c>
      <c r="Q42" s="2">
        <v>0.2</v>
      </c>
      <c r="R42" s="2"/>
    </row>
    <row r="43" spans="1:18">
      <c r="A43" s="2" t="s">
        <v>2</v>
      </c>
      <c r="B43" s="2" t="str">
        <f t="shared" si="1"/>
        <v>Wheat</v>
      </c>
      <c r="C43" s="31">
        <v>0.2</v>
      </c>
      <c r="D43" s="31">
        <v>0.2</v>
      </c>
      <c r="E43" s="31">
        <v>0.2</v>
      </c>
      <c r="F43" s="31">
        <v>0.2</v>
      </c>
      <c r="G43" s="31">
        <v>0.2</v>
      </c>
      <c r="H43" s="31">
        <v>0.2</v>
      </c>
      <c r="I43" s="31">
        <v>0.2</v>
      </c>
      <c r="J43" s="31">
        <v>0.2</v>
      </c>
      <c r="K43" s="31">
        <v>0.2</v>
      </c>
      <c r="L43" s="31">
        <v>0.2</v>
      </c>
      <c r="M43" s="31">
        <v>0.2</v>
      </c>
      <c r="N43" s="31">
        <v>0.2</v>
      </c>
      <c r="O43" s="2">
        <v>0.2</v>
      </c>
      <c r="P43" s="2">
        <v>0.2</v>
      </c>
      <c r="Q43" s="2">
        <v>0.2</v>
      </c>
      <c r="R43" s="2"/>
    </row>
    <row r="44" spans="1:18">
      <c r="A44" s="2" t="s">
        <v>2</v>
      </c>
      <c r="B44" s="2" t="str">
        <f t="shared" si="1"/>
        <v>Vegetables</v>
      </c>
      <c r="C44" s="31">
        <v>0.2</v>
      </c>
      <c r="D44" s="31">
        <v>0.2</v>
      </c>
      <c r="E44" s="31">
        <v>0.2</v>
      </c>
      <c r="F44" s="31">
        <v>0.2</v>
      </c>
      <c r="G44" s="31">
        <v>0.2</v>
      </c>
      <c r="H44" s="31">
        <v>0.2</v>
      </c>
      <c r="I44" s="31">
        <v>0.2</v>
      </c>
      <c r="J44" s="31">
        <v>0.2</v>
      </c>
      <c r="K44" s="31">
        <v>0.2</v>
      </c>
      <c r="L44" s="31">
        <v>0.2</v>
      </c>
      <c r="M44" s="31">
        <v>0.2</v>
      </c>
      <c r="N44" s="31">
        <v>0.2</v>
      </c>
      <c r="O44" s="2">
        <v>0.2</v>
      </c>
      <c r="P44" s="2">
        <v>0.2</v>
      </c>
      <c r="Q44" s="2">
        <v>0.2</v>
      </c>
    </row>
    <row r="45" spans="1:18">
      <c r="A45" s="2" t="s">
        <v>2</v>
      </c>
      <c r="B45" s="2" t="str">
        <f t="shared" si="1"/>
        <v>CashCrop</v>
      </c>
      <c r="C45" s="31">
        <v>0.2</v>
      </c>
      <c r="D45" s="31">
        <v>0.2</v>
      </c>
      <c r="E45" s="31">
        <v>0.2</v>
      </c>
      <c r="F45" s="31">
        <v>0.2</v>
      </c>
      <c r="G45" s="31">
        <v>0.2</v>
      </c>
      <c r="H45" s="31">
        <v>0.2</v>
      </c>
      <c r="I45" s="31">
        <v>0.2</v>
      </c>
      <c r="J45" s="31">
        <v>0.2</v>
      </c>
      <c r="K45" s="31">
        <v>0.2</v>
      </c>
      <c r="L45" s="31">
        <v>0.2</v>
      </c>
      <c r="M45" s="31">
        <v>0.2</v>
      </c>
      <c r="N45" s="31">
        <v>0.2</v>
      </c>
      <c r="O45" s="2">
        <v>0.2</v>
      </c>
      <c r="P45" s="2">
        <v>0.2</v>
      </c>
      <c r="Q45" s="2">
        <v>0.2</v>
      </c>
    </row>
    <row r="102" spans="1:2">
      <c r="A102" t="str">
        <f t="array" ref="A102:A116">Adapt</f>
        <v>A1</v>
      </c>
      <c r="B102">
        <v>0</v>
      </c>
    </row>
    <row r="103" spans="1:2">
      <c r="A103" t="str">
        <v>H2</v>
      </c>
      <c r="B103">
        <v>0</v>
      </c>
    </row>
    <row r="104" spans="1:2">
      <c r="A104" t="str">
        <v>H3</v>
      </c>
      <c r="B104">
        <v>0</v>
      </c>
    </row>
    <row r="105" spans="1:2">
      <c r="A105" t="str">
        <v>H4</v>
      </c>
      <c r="B105">
        <v>0</v>
      </c>
    </row>
    <row r="106" spans="1:2">
      <c r="A106" t="str">
        <v>H5</v>
      </c>
      <c r="B106">
        <v>0</v>
      </c>
    </row>
    <row r="107" spans="1:2">
      <c r="A107" t="str">
        <v>M1</v>
      </c>
      <c r="B107">
        <v>0</v>
      </c>
    </row>
    <row r="108" spans="1:2">
      <c r="A108" t="str">
        <v>M3</v>
      </c>
      <c r="B108">
        <v>0</v>
      </c>
    </row>
    <row r="109" spans="1:2">
      <c r="A109" t="str">
        <v>M5</v>
      </c>
      <c r="B109">
        <v>0</v>
      </c>
    </row>
    <row r="110" spans="1:2">
      <c r="A110" t="str">
        <v>SA1</v>
      </c>
      <c r="B110">
        <v>0</v>
      </c>
    </row>
    <row r="111" spans="1:2">
      <c r="A111" t="str">
        <v>SA3</v>
      </c>
      <c r="B111">
        <v>0</v>
      </c>
    </row>
    <row r="112" spans="1:2">
      <c r="A112" t="str">
        <v>SH1</v>
      </c>
      <c r="B112">
        <v>0</v>
      </c>
    </row>
    <row r="113" spans="1:2">
      <c r="A113" t="str">
        <v>SH3</v>
      </c>
      <c r="B113">
        <v>0</v>
      </c>
    </row>
    <row r="114" spans="1:2">
      <c r="A114" t="str">
        <v>SM2</v>
      </c>
      <c r="B114">
        <v>0</v>
      </c>
    </row>
    <row r="115" spans="1:2">
      <c r="A115" t="str">
        <v>SM2N</v>
      </c>
      <c r="B115">
        <v>0</v>
      </c>
    </row>
    <row r="116" spans="1:2">
      <c r="A116" t="str">
        <v>External</v>
      </c>
      <c r="B116">
        <v>0</v>
      </c>
    </row>
    <row r="122" spans="1:2">
      <c r="A122" t="str">
        <f t="array" ref="A122:A136">Adapt</f>
        <v>A1</v>
      </c>
      <c r="B122" s="3">
        <f>TargetProduction!P71*2</f>
        <v>13648.214136570989</v>
      </c>
    </row>
    <row r="123" spans="1:2">
      <c r="A123" t="str">
        <v>H2</v>
      </c>
      <c r="B123" s="3">
        <f>TargetProduction!P72*2</f>
        <v>127504.88928279089</v>
      </c>
    </row>
    <row r="124" spans="1:2">
      <c r="A124" t="str">
        <v>H3</v>
      </c>
      <c r="B124" s="3">
        <f>TargetProduction!P73*2</f>
        <v>90759.953648941591</v>
      </c>
    </row>
    <row r="125" spans="1:2">
      <c r="A125" t="str">
        <v>H4</v>
      </c>
      <c r="B125" s="3">
        <f>TargetProduction!P74*2</f>
        <v>66286.916373276545</v>
      </c>
    </row>
    <row r="126" spans="1:2">
      <c r="A126" t="str">
        <v>H5</v>
      </c>
      <c r="B126" s="3">
        <f>TargetProduction!P75*2</f>
        <v>56593.262387378811</v>
      </c>
    </row>
    <row r="127" spans="1:2">
      <c r="A127" t="str">
        <v>M1</v>
      </c>
      <c r="B127" s="3">
        <f>TargetProduction!P76*2</f>
        <v>61551.301787561402</v>
      </c>
    </row>
    <row r="128" spans="1:2">
      <c r="A128" t="str">
        <v>M3</v>
      </c>
      <c r="B128" s="3">
        <f>TargetProduction!P77*2</f>
        <v>65799.337995721493</v>
      </c>
    </row>
    <row r="129" spans="1:41">
      <c r="A129" t="str">
        <v>M5</v>
      </c>
      <c r="B129" s="3">
        <f>TargetProduction!P78*2</f>
        <v>71907.826046231086</v>
      </c>
    </row>
    <row r="130" spans="1:41">
      <c r="A130" t="str">
        <v>SA1</v>
      </c>
      <c r="B130" s="3">
        <f>TargetProduction!P79*2</f>
        <v>89836.728304902004</v>
      </c>
    </row>
    <row r="131" spans="1:41">
      <c r="A131" t="str">
        <v>SA3</v>
      </c>
      <c r="B131" s="3">
        <f>TargetProduction!P80*2</f>
        <v>66597.900784385609</v>
      </c>
    </row>
    <row r="132" spans="1:41">
      <c r="A132" t="str">
        <v>SH1</v>
      </c>
      <c r="B132" s="3">
        <f>TargetProduction!P81*2</f>
        <v>115187.06958638463</v>
      </c>
    </row>
    <row r="133" spans="1:41">
      <c r="A133" t="str">
        <v>SH3</v>
      </c>
      <c r="B133" s="3">
        <f>TargetProduction!P82*2</f>
        <v>95986.700516882149</v>
      </c>
    </row>
    <row r="134" spans="1:41">
      <c r="A134" t="str">
        <v>SM2</v>
      </c>
      <c r="B134" s="3">
        <f>TargetProduction!P83*2</f>
        <v>154873.37823937635</v>
      </c>
    </row>
    <row r="135" spans="1:41">
      <c r="A135" t="str">
        <v>SM2N</v>
      </c>
      <c r="B135" s="3">
        <f>TargetProduction!P84*2</f>
        <v>55464.3639719286</v>
      </c>
    </row>
    <row r="136" spans="1:41">
      <c r="A136" t="str">
        <v>External</v>
      </c>
      <c r="B136" s="33">
        <v>100000</v>
      </c>
    </row>
    <row r="137" spans="1:41">
      <c r="B137" s="33"/>
    </row>
    <row r="140" spans="1:41">
      <c r="B140" t="s">
        <v>2</v>
      </c>
      <c r="C140" t="s">
        <v>3</v>
      </c>
    </row>
    <row r="141" spans="1:41">
      <c r="A141" t="str">
        <f t="array" ref="A141:A155">Adapt</f>
        <v>A1</v>
      </c>
      <c r="B141" s="3">
        <f>R162</f>
        <v>45.951008000955916</v>
      </c>
      <c r="C141" s="3">
        <f>S162</f>
        <v>0</v>
      </c>
      <c r="R141" s="39"/>
      <c r="AB141" t="s">
        <v>2</v>
      </c>
      <c r="AC141" t="s">
        <v>2</v>
      </c>
      <c r="AD141" t="s">
        <v>2</v>
      </c>
      <c r="AE141" t="s">
        <v>2</v>
      </c>
      <c r="AF141" t="s">
        <v>2</v>
      </c>
      <c r="AG141" t="s">
        <v>2</v>
      </c>
      <c r="AH141" t="s">
        <v>2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  <c r="AN141" t="s">
        <v>3</v>
      </c>
      <c r="AO141" t="s">
        <v>3</v>
      </c>
    </row>
    <row r="142" spans="1:41">
      <c r="A142" t="str">
        <v>H2</v>
      </c>
      <c r="B142" s="3">
        <f t="shared" ref="B142:C155" si="2">R163</f>
        <v>254.93215994362083</v>
      </c>
      <c r="C142" s="3">
        <f t="shared" si="2"/>
        <v>261.00962818376775</v>
      </c>
      <c r="R142" s="39"/>
      <c r="AB142" t="str">
        <f t="array" ref="AB142:AH142">TRANSPOSE(Crops)</f>
        <v>Teff</v>
      </c>
      <c r="AC142" t="str">
        <v>Sorghum</v>
      </c>
      <c r="AD142" t="str">
        <v>Maize</v>
      </c>
      <c r="AE142" t="str">
        <v>Lentils</v>
      </c>
      <c r="AF142" t="str">
        <v>Wheat</v>
      </c>
      <c r="AG142" t="str">
        <v>Vegetables</v>
      </c>
      <c r="AH142" t="str">
        <v>CashCrop</v>
      </c>
      <c r="AI142" t="str">
        <f t="array" ref="AI142:AO142">TRANSPOSE(Crops)</f>
        <v>Teff</v>
      </c>
      <c r="AJ142" t="str">
        <v>Sorghum</v>
      </c>
      <c r="AK142" t="str">
        <v>Maize</v>
      </c>
      <c r="AL142" t="str">
        <v>Lentils</v>
      </c>
      <c r="AM142" t="str">
        <v>Wheat</v>
      </c>
      <c r="AN142" t="str">
        <v>Vegetables</v>
      </c>
      <c r="AO142" t="str">
        <v>CashCrop</v>
      </c>
    </row>
    <row r="143" spans="1:41">
      <c r="A143" t="str">
        <v>H3</v>
      </c>
      <c r="B143" s="3">
        <f t="shared" si="2"/>
        <v>145.53496558497829</v>
      </c>
      <c r="C143" s="3">
        <f t="shared" si="2"/>
        <v>572.18387114073721</v>
      </c>
      <c r="R143" s="39"/>
      <c r="AA143" t="str">
        <f>A141</f>
        <v>A1</v>
      </c>
      <c r="AB143" s="26">
        <f>AB162*B162*0.2</f>
        <v>3.1113429811317275</v>
      </c>
      <c r="AC143" s="26">
        <f t="shared" ref="AC143:AH143" si="3">AC162*C162*0.2</f>
        <v>10.410358560358183</v>
      </c>
      <c r="AD143" s="26">
        <f t="shared" si="3"/>
        <v>198.00235295894993</v>
      </c>
      <c r="AE143" s="26">
        <f t="shared" si="3"/>
        <v>14.144576321845205</v>
      </c>
      <c r="AF143" s="26">
        <f t="shared" si="3"/>
        <v>6.1834921536745888</v>
      </c>
      <c r="AG143" s="26">
        <f t="shared" si="3"/>
        <v>0</v>
      </c>
      <c r="AH143" s="26">
        <f t="shared" si="3"/>
        <v>0.11390994326052178</v>
      </c>
      <c r="AI143" s="26">
        <f t="shared" ref="AI143:AI157" si="4">AI162*I162*0.2</f>
        <v>0</v>
      </c>
      <c r="AJ143" s="26">
        <f t="shared" ref="AJ143:AJ157" si="5">AJ162*J162*0.2</f>
        <v>0</v>
      </c>
      <c r="AK143" s="26">
        <f t="shared" ref="AK143:AK157" si="6">AK162*K162*0.2</f>
        <v>0</v>
      </c>
      <c r="AL143" s="26">
        <f t="shared" ref="AL143:AL157" si="7">AL162*L162*0.2</f>
        <v>0</v>
      </c>
      <c r="AM143" s="26">
        <f t="shared" ref="AM143:AM157" si="8">AM162*M162*0.2</f>
        <v>0</v>
      </c>
      <c r="AN143" s="26">
        <f t="shared" ref="AN143:AN157" si="9">AN162*N162*0.2</f>
        <v>0</v>
      </c>
      <c r="AO143" s="26">
        <f t="shared" ref="AO143:AO157" si="10">AO162*O162*0.2</f>
        <v>0</v>
      </c>
    </row>
    <row r="144" spans="1:41">
      <c r="A144" t="str">
        <v>H4</v>
      </c>
      <c r="B144" s="3">
        <f t="shared" si="2"/>
        <v>55.164540614415102</v>
      </c>
      <c r="C144" s="3">
        <f t="shared" si="2"/>
        <v>366.37393183705473</v>
      </c>
      <c r="R144" s="39"/>
      <c r="AA144" t="str">
        <f t="shared" ref="AA144:AA157" si="11">A142</f>
        <v>H2</v>
      </c>
      <c r="AB144" s="26">
        <f t="shared" ref="AB144:AB152" si="12">AB163*B163*0.2</f>
        <v>49.795641194900107</v>
      </c>
      <c r="AC144" s="26">
        <f t="shared" ref="AC144:AC152" si="13">AC163*C163*0.2</f>
        <v>65.176153848558045</v>
      </c>
      <c r="AD144" s="26">
        <f t="shared" ref="AD144:AD152" si="14">AD163*D163*0.2</f>
        <v>564.31226721216171</v>
      </c>
      <c r="AE144" s="26">
        <f t="shared" ref="AE144:AE152" si="15">AE163*E163*0.2</f>
        <v>187.37015550996568</v>
      </c>
      <c r="AF144" s="26">
        <f t="shared" ref="AF144:AF152" si="16">AF163*F163*0.2</f>
        <v>3.8088437406070703</v>
      </c>
      <c r="AG144" s="26">
        <f t="shared" ref="AG144:AH152" si="17">AG163*G163*0.2</f>
        <v>2580.4418477779768</v>
      </c>
      <c r="AH144" s="26">
        <f t="shared" si="17"/>
        <v>12.057898314096075</v>
      </c>
      <c r="AI144" s="26">
        <f t="shared" si="4"/>
        <v>95.117933779929785</v>
      </c>
      <c r="AJ144" s="26">
        <f t="shared" si="5"/>
        <v>218.71796336702744</v>
      </c>
      <c r="AK144" s="26">
        <f t="shared" si="6"/>
        <v>465.62759221904821</v>
      </c>
      <c r="AL144" s="26">
        <f t="shared" si="7"/>
        <v>138.3463179376098</v>
      </c>
      <c r="AM144" s="26">
        <f t="shared" si="8"/>
        <v>77.232222643734744</v>
      </c>
      <c r="AN144" s="26">
        <f t="shared" si="9"/>
        <v>726.4060738415568</v>
      </c>
      <c r="AO144" s="26">
        <f t="shared" si="10"/>
        <v>81.057424031972317</v>
      </c>
    </row>
    <row r="145" spans="1:41">
      <c r="A145" t="str">
        <v>H5</v>
      </c>
      <c r="B145" s="3">
        <f t="shared" si="2"/>
        <v>7.2915858320351115</v>
      </c>
      <c r="C145" s="3">
        <f t="shared" si="2"/>
        <v>61.778834560730679</v>
      </c>
      <c r="R145" s="39"/>
      <c r="AA145" t="str">
        <f t="shared" si="11"/>
        <v>H3</v>
      </c>
      <c r="AB145" s="26">
        <f t="shared" si="12"/>
        <v>26.303553459075996</v>
      </c>
      <c r="AC145" s="26">
        <f t="shared" si="13"/>
        <v>45.000995595227884</v>
      </c>
      <c r="AD145" s="26">
        <f t="shared" si="14"/>
        <v>329.05551894535614</v>
      </c>
      <c r="AE145" s="26">
        <f t="shared" si="15"/>
        <v>103.0403717334343</v>
      </c>
      <c r="AF145" s="26">
        <f t="shared" si="16"/>
        <v>11.930175357172031</v>
      </c>
      <c r="AG145" s="26">
        <f t="shared" si="17"/>
        <v>1094.0827091561312</v>
      </c>
      <c r="AH145" s="26">
        <f t="shared" si="17"/>
        <v>5.280390329266428</v>
      </c>
      <c r="AI145" s="26">
        <f t="shared" si="4"/>
        <v>341.72009874440749</v>
      </c>
      <c r="AJ145" s="26">
        <f t="shared" si="5"/>
        <v>619.35280239758731</v>
      </c>
      <c r="AK145" s="26">
        <f t="shared" si="6"/>
        <v>1335.4428171747725</v>
      </c>
      <c r="AL145" s="26">
        <f t="shared" si="7"/>
        <v>296.58129111724605</v>
      </c>
      <c r="AM145" s="26">
        <f t="shared" si="8"/>
        <v>772.16890279324934</v>
      </c>
      <c r="AN145" s="26">
        <f t="shared" si="9"/>
        <v>788.8734081466846</v>
      </c>
      <c r="AO145" s="26">
        <f t="shared" si="10"/>
        <v>230.93685158055442</v>
      </c>
    </row>
    <row r="146" spans="1:41">
      <c r="A146" t="str">
        <v>M1</v>
      </c>
      <c r="B146" s="3">
        <f t="shared" si="2"/>
        <v>361.72207147810502</v>
      </c>
      <c r="C146" s="3">
        <f t="shared" si="2"/>
        <v>1833.2283202409799</v>
      </c>
      <c r="R146" s="39"/>
      <c r="AA146" t="str">
        <f t="shared" si="11"/>
        <v>H4</v>
      </c>
      <c r="AB146" s="26">
        <f t="shared" si="12"/>
        <v>9.2742452844552368</v>
      </c>
      <c r="AC146" s="26">
        <f t="shared" si="13"/>
        <v>20.075428077324975</v>
      </c>
      <c r="AD146" s="26">
        <f t="shared" si="14"/>
        <v>126.48447945659555</v>
      </c>
      <c r="AE146" s="26">
        <f t="shared" si="15"/>
        <v>37.851238318134136</v>
      </c>
      <c r="AF146" s="26">
        <f t="shared" si="16"/>
        <v>8.01518121907643</v>
      </c>
      <c r="AG146" s="26">
        <f t="shared" si="17"/>
        <v>279.7097809192764</v>
      </c>
      <c r="AH146" s="26">
        <f t="shared" si="17"/>
        <v>1.4925234832889485</v>
      </c>
      <c r="AI146" s="26">
        <f t="shared" si="4"/>
        <v>221.88587448617588</v>
      </c>
      <c r="AJ146" s="26">
        <f t="shared" si="5"/>
        <v>511.82932762300584</v>
      </c>
      <c r="AK146" s="26">
        <f t="shared" si="6"/>
        <v>2462.6210004820823</v>
      </c>
      <c r="AL146" s="26">
        <f t="shared" si="7"/>
        <v>235.56825882275422</v>
      </c>
      <c r="AM146" s="26">
        <f t="shared" si="8"/>
        <v>1214.1637478269154</v>
      </c>
      <c r="AN146" s="26">
        <f t="shared" si="9"/>
        <v>569.87787770051398</v>
      </c>
      <c r="AO146" s="26">
        <f t="shared" si="10"/>
        <v>74.753318861785118</v>
      </c>
    </row>
    <row r="147" spans="1:41">
      <c r="A147" t="str">
        <v>M3</v>
      </c>
      <c r="B147" s="3">
        <f t="shared" si="2"/>
        <v>272.30526958265807</v>
      </c>
      <c r="C147" s="3">
        <f t="shared" si="2"/>
        <v>3311.4671980026983</v>
      </c>
      <c r="R147" s="39"/>
      <c r="AA147" t="str">
        <f t="shared" si="11"/>
        <v>H5</v>
      </c>
      <c r="AB147" s="26">
        <f t="shared" si="12"/>
        <v>1.3929437102988267</v>
      </c>
      <c r="AC147" s="26">
        <f t="shared" si="13"/>
        <v>4.3834346779989621</v>
      </c>
      <c r="AD147" s="26">
        <f t="shared" si="14"/>
        <v>13.314137204272601</v>
      </c>
      <c r="AE147" s="26">
        <f t="shared" si="15"/>
        <v>5.7854643244266786</v>
      </c>
      <c r="AF147" s="26">
        <f t="shared" si="16"/>
        <v>1.8804586280214703</v>
      </c>
      <c r="AG147" s="26">
        <f t="shared" si="17"/>
        <v>11.642498380227046</v>
      </c>
      <c r="AH147" s="26">
        <f t="shared" si="17"/>
        <v>0.33115094851540139</v>
      </c>
      <c r="AI147" s="26">
        <f t="shared" si="4"/>
        <v>48.459803199766007</v>
      </c>
      <c r="AJ147" s="26">
        <f t="shared" si="5"/>
        <v>107.64145281104537</v>
      </c>
      <c r="AK147" s="26">
        <f t="shared" si="6"/>
        <v>380.98882756569179</v>
      </c>
      <c r="AL147" s="26">
        <f t="shared" si="7"/>
        <v>48.361772134513984</v>
      </c>
      <c r="AM147" s="26">
        <f t="shared" si="8"/>
        <v>261.4671647633312</v>
      </c>
      <c r="AN147" s="26">
        <f t="shared" si="9"/>
        <v>53.979237984477351</v>
      </c>
      <c r="AO147" s="26">
        <f t="shared" si="10"/>
        <v>11.987858176333908</v>
      </c>
    </row>
    <row r="148" spans="1:41">
      <c r="A148" t="str">
        <v>M5</v>
      </c>
      <c r="B148" s="3">
        <f t="shared" si="2"/>
        <v>2.0127141228809826</v>
      </c>
      <c r="C148" s="3">
        <f t="shared" si="2"/>
        <v>30.058642001125694</v>
      </c>
      <c r="R148" s="39"/>
      <c r="AA148" t="str">
        <f t="shared" si="11"/>
        <v>M1</v>
      </c>
      <c r="AB148" s="26">
        <f t="shared" si="12"/>
        <v>71.479434173807419</v>
      </c>
      <c r="AC148" s="26">
        <f t="shared" si="13"/>
        <v>175.7057758111134</v>
      </c>
      <c r="AD148" s="26">
        <f t="shared" si="14"/>
        <v>706.85172859888053</v>
      </c>
      <c r="AE148" s="26">
        <f t="shared" si="15"/>
        <v>283.68855137226683</v>
      </c>
      <c r="AF148" s="26">
        <f t="shared" si="16"/>
        <v>64.518545696414762</v>
      </c>
      <c r="AG148" s="26">
        <f t="shared" si="17"/>
        <v>1528.0529997685833</v>
      </c>
      <c r="AH148" s="26">
        <f t="shared" si="17"/>
        <v>16.482364932814999</v>
      </c>
      <c r="AI148" s="26">
        <f t="shared" si="4"/>
        <v>2077.4997471294223</v>
      </c>
      <c r="AJ148" s="26">
        <f t="shared" si="5"/>
        <v>3100.8457727088012</v>
      </c>
      <c r="AK148" s="26">
        <f t="shared" si="6"/>
        <v>5727.9164878929523</v>
      </c>
      <c r="AL148" s="26">
        <f t="shared" si="7"/>
        <v>1361.9551826895363</v>
      </c>
      <c r="AM148" s="26">
        <f t="shared" si="8"/>
        <v>2559.9759710541684</v>
      </c>
      <c r="AN148" s="26">
        <f t="shared" si="9"/>
        <v>1326.8505555645716</v>
      </c>
      <c r="AO148" s="26">
        <f t="shared" si="10"/>
        <v>834.26755017479229</v>
      </c>
    </row>
    <row r="149" spans="1:41">
      <c r="A149" t="str">
        <v>SA1</v>
      </c>
      <c r="B149" s="3">
        <f t="shared" si="2"/>
        <v>127.70856368190825</v>
      </c>
      <c r="C149" s="3">
        <f t="shared" si="2"/>
        <v>167.67722654205085</v>
      </c>
      <c r="R149" s="39"/>
      <c r="AA149" t="str">
        <f t="shared" si="11"/>
        <v>M3</v>
      </c>
      <c r="AB149" s="26">
        <f t="shared" si="12"/>
        <v>63.790763760212535</v>
      </c>
      <c r="AC149" s="26">
        <f t="shared" si="13"/>
        <v>180.76004949981112</v>
      </c>
      <c r="AD149" s="26">
        <f t="shared" si="14"/>
        <v>387.33243406999526</v>
      </c>
      <c r="AE149" s="26">
        <f t="shared" si="15"/>
        <v>249.10186766658501</v>
      </c>
      <c r="AF149" s="26">
        <f t="shared" si="16"/>
        <v>58.119143948015576</v>
      </c>
      <c r="AG149" s="26">
        <f t="shared" si="17"/>
        <v>1077.3090121483463</v>
      </c>
      <c r="AH149" s="26">
        <f t="shared" si="17"/>
        <v>20.923941597658867</v>
      </c>
      <c r="AI149" s="26">
        <f t="shared" si="4"/>
        <v>4976.3474790285691</v>
      </c>
      <c r="AJ149" s="26">
        <f t="shared" si="5"/>
        <v>4164.7501573935433</v>
      </c>
      <c r="AK149" s="26">
        <f t="shared" si="6"/>
        <v>7753.4748829840819</v>
      </c>
      <c r="AL149" s="26">
        <f t="shared" si="7"/>
        <v>2288.4191215157703</v>
      </c>
      <c r="AM149" s="26">
        <f t="shared" si="8"/>
        <v>3717.865147350843</v>
      </c>
      <c r="AN149" s="26">
        <f t="shared" si="9"/>
        <v>1997.2184805495299</v>
      </c>
      <c r="AO149" s="26">
        <f t="shared" si="10"/>
        <v>685.53271198202026</v>
      </c>
    </row>
    <row r="150" spans="1:41">
      <c r="A150" t="str">
        <v>SA3</v>
      </c>
      <c r="B150" s="3">
        <f t="shared" si="2"/>
        <v>142.55427874163479</v>
      </c>
      <c r="C150" s="3">
        <f t="shared" si="2"/>
        <v>1923.1209872738061</v>
      </c>
      <c r="R150" s="39"/>
      <c r="AA150" t="str">
        <f t="shared" si="11"/>
        <v>M5</v>
      </c>
      <c r="AB150" s="26">
        <f t="shared" si="12"/>
        <v>0.66115801859781653</v>
      </c>
      <c r="AC150" s="26">
        <f t="shared" si="13"/>
        <v>1.9381017434856522</v>
      </c>
      <c r="AD150" s="26">
        <f t="shared" si="14"/>
        <v>0.62691387543922161</v>
      </c>
      <c r="AE150" s="26">
        <f t="shared" si="15"/>
        <v>2.464936261137348</v>
      </c>
      <c r="AF150" s="26">
        <f t="shared" si="16"/>
        <v>0.43627632614026529</v>
      </c>
      <c r="AG150" s="26">
        <f t="shared" si="17"/>
        <v>11.509133045152879</v>
      </c>
      <c r="AH150" s="26">
        <f t="shared" si="17"/>
        <v>0.30115023729182139</v>
      </c>
      <c r="AI150" s="26">
        <f t="shared" si="4"/>
        <v>47.954440867587962</v>
      </c>
      <c r="AJ150" s="26">
        <f t="shared" si="5"/>
        <v>33.232562233826428</v>
      </c>
      <c r="AK150" s="26">
        <f t="shared" si="6"/>
        <v>42.401786064453916</v>
      </c>
      <c r="AL150" s="26">
        <f t="shared" si="7"/>
        <v>26.296843021178979</v>
      </c>
      <c r="AM150" s="26">
        <f t="shared" si="8"/>
        <v>49.007312147507889</v>
      </c>
      <c r="AN150" s="26">
        <f t="shared" si="9"/>
        <v>14.112282368331476</v>
      </c>
      <c r="AO150" s="26">
        <f t="shared" si="10"/>
        <v>5.8188394312525258</v>
      </c>
    </row>
    <row r="151" spans="1:41">
      <c r="A151" t="str">
        <v>SH1</v>
      </c>
      <c r="B151" s="3">
        <f t="shared" si="2"/>
        <v>223.65706662953235</v>
      </c>
      <c r="C151" s="3">
        <f t="shared" si="2"/>
        <v>1321.1843290124439</v>
      </c>
      <c r="R151" s="39"/>
      <c r="AA151" t="str">
        <f t="shared" si="11"/>
        <v>SA1</v>
      </c>
      <c r="AB151" s="26">
        <f t="shared" si="12"/>
        <v>26.045400094812688</v>
      </c>
      <c r="AC151" s="26">
        <f t="shared" si="13"/>
        <v>40.244198742789742</v>
      </c>
      <c r="AD151" s="26">
        <f t="shared" si="14"/>
        <v>287.56044175200361</v>
      </c>
      <c r="AE151" s="26">
        <f t="shared" si="15"/>
        <v>89.439392698099454</v>
      </c>
      <c r="AF151" s="26">
        <f t="shared" si="16"/>
        <v>11.607468498592006</v>
      </c>
      <c r="AG151" s="26">
        <f t="shared" si="17"/>
        <v>908.06185814166042</v>
      </c>
      <c r="AH151" s="26">
        <f t="shared" si="17"/>
        <v>4.4107209556195119</v>
      </c>
      <c r="AI151" s="26">
        <f t="shared" si="4"/>
        <v>86.660029168635958</v>
      </c>
      <c r="AJ151" s="26">
        <f t="shared" si="5"/>
        <v>468.00383029754886</v>
      </c>
      <c r="AK151" s="26">
        <f t="shared" si="6"/>
        <v>397.70691587426688</v>
      </c>
      <c r="AL151" s="26">
        <f t="shared" si="7"/>
        <v>52.864629110087805</v>
      </c>
      <c r="AM151" s="26">
        <f t="shared" si="8"/>
        <v>31.474936099305324</v>
      </c>
      <c r="AN151" s="26">
        <f t="shared" si="9"/>
        <v>132.37014245415799</v>
      </c>
      <c r="AO151" s="26">
        <f t="shared" si="10"/>
        <v>89.690159312039171</v>
      </c>
    </row>
    <row r="152" spans="1:41">
      <c r="A152" t="str">
        <v>SH3</v>
      </c>
      <c r="B152" s="3">
        <f t="shared" si="2"/>
        <v>287.71807718872782</v>
      </c>
      <c r="C152" s="3">
        <f t="shared" si="2"/>
        <v>2146.6282974319556</v>
      </c>
      <c r="R152" s="39"/>
      <c r="AA152" t="str">
        <f t="shared" si="11"/>
        <v>SA3</v>
      </c>
      <c r="AB152" s="26">
        <f t="shared" si="12"/>
        <v>44.557138145269889</v>
      </c>
      <c r="AC152" s="26">
        <f t="shared" si="13"/>
        <v>98.621606230730805</v>
      </c>
      <c r="AD152" s="26">
        <f t="shared" si="14"/>
        <v>177.48695899495647</v>
      </c>
      <c r="AE152" s="26">
        <f t="shared" si="15"/>
        <v>134.70970988462162</v>
      </c>
      <c r="AF152" s="26">
        <f t="shared" si="16"/>
        <v>29.325313891517197</v>
      </c>
      <c r="AG152" s="26">
        <f t="shared" si="17"/>
        <v>614.29755785989028</v>
      </c>
      <c r="AH152" s="26">
        <f t="shared" si="17"/>
        <v>12.36365388569217</v>
      </c>
      <c r="AI152" s="26">
        <f t="shared" si="4"/>
        <v>2652.0162779956668</v>
      </c>
      <c r="AJ152" s="26">
        <f t="shared" si="5"/>
        <v>3929.0051467229796</v>
      </c>
      <c r="AK152" s="26">
        <f t="shared" si="6"/>
        <v>3285.3405414867393</v>
      </c>
      <c r="AL152" s="26">
        <f t="shared" si="7"/>
        <v>1847.6022116667873</v>
      </c>
      <c r="AM152" s="26">
        <f t="shared" si="8"/>
        <v>4665.388892507016</v>
      </c>
      <c r="AN152" s="26">
        <f t="shared" si="9"/>
        <v>1267.4526218756985</v>
      </c>
      <c r="AO152" s="26">
        <f t="shared" si="10"/>
        <v>228.87738848026808</v>
      </c>
    </row>
    <row r="153" spans="1:41">
      <c r="A153" t="str">
        <v>SM2</v>
      </c>
      <c r="B153" s="3">
        <f t="shared" si="2"/>
        <v>95.943643986631827</v>
      </c>
      <c r="C153" s="3">
        <f t="shared" si="2"/>
        <v>417.79607099369406</v>
      </c>
      <c r="R153" s="39"/>
      <c r="AA153" t="str">
        <f t="shared" si="11"/>
        <v>SH1</v>
      </c>
      <c r="AB153" s="26">
        <f t="shared" ref="AB153:AB157" si="18">AB172*B172*0.2</f>
        <v>38.235537930120607</v>
      </c>
      <c r="AC153" s="26">
        <f t="shared" ref="AC153:AC157" si="19">AC172*C172*0.2</f>
        <v>74.109508048671884</v>
      </c>
      <c r="AD153" s="26">
        <f t="shared" ref="AD153:AD157" si="20">AD172*D172*0.2</f>
        <v>512.85695537690799</v>
      </c>
      <c r="AE153" s="26">
        <f t="shared" ref="AE153:AE157" si="21">AE172*E172*0.2</f>
        <v>158.81126275013614</v>
      </c>
      <c r="AF153" s="26">
        <f t="shared" ref="AF153:AF157" si="22">AF172*F172*0.2</f>
        <v>23.483748948121335</v>
      </c>
      <c r="AG153" s="26">
        <f t="shared" ref="AG153:AH157" si="23">AG172*G172*0.2</f>
        <v>1393.2427073607294</v>
      </c>
      <c r="AH153" s="26">
        <f t="shared" si="23"/>
        <v>8.3082971477520484</v>
      </c>
      <c r="AI153" s="26">
        <f t="shared" si="4"/>
        <v>831.02858104203415</v>
      </c>
      <c r="AJ153" s="26">
        <f t="shared" si="5"/>
        <v>1153.9571651364934</v>
      </c>
      <c r="AK153" s="26">
        <f t="shared" si="6"/>
        <v>3058.6560191892358</v>
      </c>
      <c r="AL153" s="26">
        <f t="shared" si="7"/>
        <v>415.91592470732542</v>
      </c>
      <c r="AM153" s="26">
        <f t="shared" si="8"/>
        <v>442.86365857426574</v>
      </c>
      <c r="AN153" s="26">
        <f t="shared" si="9"/>
        <v>2643.4732669138871</v>
      </c>
      <c r="AO153" s="26">
        <f t="shared" si="10"/>
        <v>419.3617249034811</v>
      </c>
    </row>
    <row r="154" spans="1:41">
      <c r="A154" t="str">
        <v>SM2N</v>
      </c>
      <c r="B154" s="3">
        <f t="shared" si="2"/>
        <v>41.092910696832945</v>
      </c>
      <c r="C154" s="3">
        <f t="shared" si="2"/>
        <v>538.36679857167837</v>
      </c>
      <c r="R154" s="39"/>
      <c r="AA154" t="str">
        <f t="shared" si="11"/>
        <v>SH3</v>
      </c>
      <c r="AB154" s="26">
        <f t="shared" si="18"/>
        <v>50.518614141321862</v>
      </c>
      <c r="AC154" s="26">
        <f t="shared" si="19"/>
        <v>104.8594346858883</v>
      </c>
      <c r="AD154" s="26">
        <f t="shared" si="20"/>
        <v>642.12488747342195</v>
      </c>
      <c r="AE154" s="26">
        <f t="shared" si="21"/>
        <v>203.43634197375275</v>
      </c>
      <c r="AF154" s="26">
        <f t="shared" si="22"/>
        <v>37.390900481078916</v>
      </c>
      <c r="AG154" s="26">
        <f t="shared" si="23"/>
        <v>1653.5077920463691</v>
      </c>
      <c r="AH154" s="26">
        <f t="shared" si="23"/>
        <v>9.4053163804652353</v>
      </c>
      <c r="AI154" s="26">
        <f t="shared" si="4"/>
        <v>1864.7677617482786</v>
      </c>
      <c r="AJ154" s="26">
        <f t="shared" si="5"/>
        <v>1675.730603964008</v>
      </c>
      <c r="AK154" s="26">
        <f t="shared" si="6"/>
        <v>5087.7447152929972</v>
      </c>
      <c r="AL154" s="26">
        <f t="shared" si="7"/>
        <v>687.22469596941983</v>
      </c>
      <c r="AM154" s="26">
        <f t="shared" si="8"/>
        <v>1304.6192824263435</v>
      </c>
      <c r="AN154" s="26">
        <f t="shared" si="9"/>
        <v>3333.1371231730745</v>
      </c>
      <c r="AO154" s="26">
        <f t="shared" si="10"/>
        <v>576.56089022139315</v>
      </c>
    </row>
    <row r="155" spans="1:41">
      <c r="A155" t="str">
        <v>External</v>
      </c>
      <c r="B155" s="3">
        <f t="shared" si="2"/>
        <v>0</v>
      </c>
      <c r="C155" s="3">
        <f t="shared" si="2"/>
        <v>0</v>
      </c>
      <c r="R155" s="39"/>
      <c r="AA155" t="str">
        <f t="shared" si="11"/>
        <v>SM2</v>
      </c>
      <c r="AB155" s="26">
        <f t="shared" si="18"/>
        <v>13.181548114063544</v>
      </c>
      <c r="AC155" s="26">
        <f t="shared" si="19"/>
        <v>44.030951038499794</v>
      </c>
      <c r="AD155" s="26">
        <f t="shared" si="20"/>
        <v>232.42084793015206</v>
      </c>
      <c r="AE155" s="26">
        <f t="shared" si="21"/>
        <v>59.824946842759033</v>
      </c>
      <c r="AF155" s="26">
        <f t="shared" si="22"/>
        <v>26.153281722894459</v>
      </c>
      <c r="AG155" s="26">
        <f t="shared" si="23"/>
        <v>0</v>
      </c>
      <c r="AH155" s="26">
        <f t="shared" si="23"/>
        <v>0.48178581990453151</v>
      </c>
      <c r="AI155" s="26">
        <f t="shared" si="4"/>
        <v>240.92135907398276</v>
      </c>
      <c r="AJ155" s="26">
        <f t="shared" si="5"/>
        <v>2872.8362463092167</v>
      </c>
      <c r="AK155" s="26">
        <f t="shared" si="6"/>
        <v>40306.483182578217</v>
      </c>
      <c r="AL155" s="26">
        <f t="shared" si="7"/>
        <v>362.54498014222349</v>
      </c>
      <c r="AM155" s="26">
        <f t="shared" si="8"/>
        <v>5601.3500787549456</v>
      </c>
      <c r="AN155" s="26">
        <f t="shared" si="9"/>
        <v>3046.6023465496069</v>
      </c>
      <c r="AO155" s="26">
        <f t="shared" si="10"/>
        <v>343.45864168645431</v>
      </c>
    </row>
    <row r="156" spans="1:41">
      <c r="B156" s="3"/>
      <c r="R156" s="39"/>
      <c r="AA156" t="str">
        <f t="shared" si="11"/>
        <v>SM2N</v>
      </c>
      <c r="AB156" s="26">
        <f t="shared" si="18"/>
        <v>18.371840941208291</v>
      </c>
      <c r="AC156" s="26">
        <f t="shared" si="19"/>
        <v>36.745645878450809</v>
      </c>
      <c r="AD156" s="26">
        <f t="shared" si="20"/>
        <v>21.772655970458118</v>
      </c>
      <c r="AE156" s="26">
        <f t="shared" si="21"/>
        <v>46.758522743979633</v>
      </c>
      <c r="AF156" s="26">
        <f t="shared" si="22"/>
        <v>8.2716273484536913</v>
      </c>
      <c r="AG156" s="26">
        <f t="shared" si="23"/>
        <v>218.23845303725872</v>
      </c>
      <c r="AH156" s="26">
        <f t="shared" si="23"/>
        <v>5.7096899133038859</v>
      </c>
      <c r="AI156" s="26">
        <f t="shared" si="4"/>
        <v>1021.6541271228879</v>
      </c>
      <c r="AJ156" s="26">
        <f t="shared" si="5"/>
        <v>2508.0838392468795</v>
      </c>
      <c r="AK156" s="26">
        <f t="shared" si="6"/>
        <v>4887.3755377921716</v>
      </c>
      <c r="AL156" s="26">
        <f t="shared" si="7"/>
        <v>529.61731523107414</v>
      </c>
      <c r="AM156" s="26">
        <f t="shared" si="8"/>
        <v>1915.7588027775537</v>
      </c>
      <c r="AN156" s="26">
        <f t="shared" si="9"/>
        <v>290.75864339838455</v>
      </c>
      <c r="AO156" s="26">
        <f t="shared" si="10"/>
        <v>600.96266468375541</v>
      </c>
    </row>
    <row r="157" spans="1:41">
      <c r="AA157" t="str">
        <f t="shared" si="11"/>
        <v>External</v>
      </c>
      <c r="AB157" s="26">
        <f t="shared" si="18"/>
        <v>0</v>
      </c>
      <c r="AC157" s="26">
        <f t="shared" si="19"/>
        <v>0</v>
      </c>
      <c r="AD157" s="26">
        <f t="shared" si="20"/>
        <v>0</v>
      </c>
      <c r="AE157" s="26">
        <f t="shared" si="21"/>
        <v>0</v>
      </c>
      <c r="AF157" s="26">
        <f t="shared" si="22"/>
        <v>0</v>
      </c>
      <c r="AG157" s="26">
        <f t="shared" si="23"/>
        <v>0</v>
      </c>
      <c r="AH157" s="26">
        <f t="shared" si="23"/>
        <v>0</v>
      </c>
      <c r="AI157" s="26">
        <f t="shared" si="4"/>
        <v>0</v>
      </c>
      <c r="AJ157" s="26">
        <f t="shared" si="5"/>
        <v>0</v>
      </c>
      <c r="AK157" s="26">
        <f t="shared" si="6"/>
        <v>0</v>
      </c>
      <c r="AL157" s="26">
        <f t="shared" si="7"/>
        <v>0</v>
      </c>
      <c r="AM157" s="26">
        <f t="shared" si="8"/>
        <v>0</v>
      </c>
      <c r="AN157" s="26">
        <f t="shared" si="9"/>
        <v>0</v>
      </c>
      <c r="AO157" s="26">
        <f t="shared" si="10"/>
        <v>0</v>
      </c>
    </row>
    <row r="160" spans="1:41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  <c r="N160" t="s">
        <v>3</v>
      </c>
      <c r="O160" t="s">
        <v>3</v>
      </c>
      <c r="AB160" t="s">
        <v>2</v>
      </c>
      <c r="AC160" t="s">
        <v>2</v>
      </c>
      <c r="AD160" t="s">
        <v>2</v>
      </c>
      <c r="AE160" t="s">
        <v>2</v>
      </c>
      <c r="AF160" t="s">
        <v>2</v>
      </c>
      <c r="AG160" t="s">
        <v>2</v>
      </c>
      <c r="AH160" t="s">
        <v>2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  <c r="AN160" t="s">
        <v>3</v>
      </c>
      <c r="AO160" t="s">
        <v>3</v>
      </c>
    </row>
    <row r="161" spans="1:41">
      <c r="B161" t="str">
        <f t="array" ref="B161:H161">TRANSPOSE(Crops)</f>
        <v>Teff</v>
      </c>
      <c r="C161" t="str">
        <v>Sorghum</v>
      </c>
      <c r="D161" t="str">
        <v>Maize</v>
      </c>
      <c r="E161" t="str">
        <v>Lentils</v>
      </c>
      <c r="F161" t="str">
        <v>Wheat</v>
      </c>
      <c r="G161" t="str">
        <v>Vegetables</v>
      </c>
      <c r="H161" t="str">
        <v>CashCrop</v>
      </c>
      <c r="I161" t="str">
        <f t="array" ref="I161:O161">TRANSPOSE(Crops)</f>
        <v>Teff</v>
      </c>
      <c r="J161" t="str">
        <v>Sorghum</v>
      </c>
      <c r="K161" t="str">
        <v>Maize</v>
      </c>
      <c r="L161" t="str">
        <v>Lentils</v>
      </c>
      <c r="M161" t="str">
        <v>Wheat</v>
      </c>
      <c r="N161" t="str">
        <v>Vegetables</v>
      </c>
      <c r="O161" t="str">
        <v>CashCrop</v>
      </c>
      <c r="AB161" t="str">
        <f t="array" ref="AB161:AH161">TRANSPOSE(Crops)</f>
        <v>Teff</v>
      </c>
      <c r="AC161" t="str">
        <v>Sorghum</v>
      </c>
      <c r="AD161" t="str">
        <v>Maize</v>
      </c>
      <c r="AE161" t="str">
        <v>Lentils</v>
      </c>
      <c r="AF161" t="str">
        <v>Wheat</v>
      </c>
      <c r="AG161" t="str">
        <v>Vegetables</v>
      </c>
      <c r="AH161" t="str">
        <v>CashCrop</v>
      </c>
      <c r="AI161" t="str">
        <f t="array" ref="AI161:AO161">TRANSPOSE(Crops)</f>
        <v>Teff</v>
      </c>
      <c r="AJ161" t="str">
        <v>Sorghum</v>
      </c>
      <c r="AK161" t="str">
        <v>Maize</v>
      </c>
      <c r="AL161" t="str">
        <v>Lentils</v>
      </c>
      <c r="AM161" t="str">
        <v>Wheat</v>
      </c>
      <c r="AN161" t="str">
        <v>Vegetables</v>
      </c>
      <c r="AO161" t="str">
        <v>CashCrop</v>
      </c>
    </row>
    <row r="162" spans="1:41">
      <c r="A162" t="str">
        <f t="array" ref="A162:A176">Adapt</f>
        <v>A1</v>
      </c>
      <c r="B162" s="25">
        <f>INDEX(TargetProduction!$I$4:$O$18,MATCH($A162,TargetProduction!$A$4:$A$18,0), MATCH(B$161,TargetProduction!$I$3:$O$3,0))</f>
        <v>0.818211701890175</v>
      </c>
      <c r="C162" s="25">
        <f>INDEX(TargetProduction!$I$4:$O$18,MATCH($A162,TargetProduction!$A$4:$A$18,0), MATCH(C$161,TargetProduction!$I$3:$O$3,0))</f>
        <v>2.8656320740765677</v>
      </c>
      <c r="D162" s="25">
        <f>INDEX(TargetProduction!$I$4:$O$18,MATCH($A162,TargetProduction!$A$4:$A$18,0), MATCH(D$161,TargetProduction!$I$3:$O$3,0))</f>
        <v>33.875971510100975</v>
      </c>
      <c r="E162" s="25">
        <f>INDEX(TargetProduction!$I$4:$O$18,MATCH($A162,TargetProduction!$A$4:$A$18,0), MATCH(E$161,TargetProduction!$I$3:$O$3,0))</f>
        <v>3.7568670867664591</v>
      </c>
      <c r="F162" s="25">
        <f>INDEX(TargetProduction!$I$4:$O$18,MATCH($A162,TargetProduction!$A$4:$A$18,0), MATCH(F$161,TargetProduction!$I$3:$O$3,0))</f>
        <v>1.6283074530605495</v>
      </c>
      <c r="G162" s="25">
        <f>INDEX(TargetProduction!$I$4:$O$18,MATCH($A162,TargetProduction!$A$4:$A$18,0), MATCH(G$161,TargetProduction!$I$3:$O$3,0))</f>
        <v>2.8311879016608259</v>
      </c>
      <c r="H162" s="25">
        <f>INDEX(TargetProduction!$I$4:$O$18,MATCH($A162,TargetProduction!$A$4:$A$18,0), MATCH(H$161,TargetProduction!$I$3:$O$3,0))</f>
        <v>0.17483027340036347</v>
      </c>
      <c r="I162" s="25">
        <f>INDEX(TargetProduction!$B$4:$H$18,MATCH($A162,TargetProduction!$A$4:$A$18,0), MATCH(B$161,TargetProduction!$B$3:$H$3,0))</f>
        <v>0</v>
      </c>
      <c r="J162" s="25">
        <f>INDEX(TargetProduction!$B$4:$H$18,MATCH($A162,TargetProduction!$A$4:$A$18,0), MATCH(C$161,TargetProduction!$B$3:$H$3,0))</f>
        <v>0</v>
      </c>
      <c r="K162" s="25">
        <f>INDEX(TargetProduction!$B$4:$H$18,MATCH($A162,TargetProduction!$A$4:$A$18,0), MATCH(D$161,TargetProduction!$B$3:$H$3,0))</f>
        <v>0</v>
      </c>
      <c r="L162" s="25">
        <f>INDEX(TargetProduction!$B$4:$H$18,MATCH($A162,TargetProduction!$A$4:$A$18,0), MATCH(E$161,TargetProduction!$B$3:$H$3,0))</f>
        <v>0</v>
      </c>
      <c r="M162" s="25">
        <f>INDEX(TargetProduction!$B$4:$H$18,MATCH($A162,TargetProduction!$A$4:$A$18,0), MATCH(F$161,TargetProduction!$B$3:$H$3,0))</f>
        <v>0</v>
      </c>
      <c r="N162" s="25">
        <f>INDEX(TargetProduction!$B$4:$H$18,MATCH($A162,TargetProduction!$A$4:$A$18,0), MATCH(G$161,TargetProduction!$B$3:$H$3,0))</f>
        <v>0</v>
      </c>
      <c r="O162" s="25">
        <f>INDEX(TargetProduction!$B$4:$H$18,MATCH($A162,TargetProduction!$A$4:$A$18,0), MATCH(H$161,TargetProduction!$B$3:$H$3,0))</f>
        <v>0</v>
      </c>
      <c r="R162" s="42">
        <f>SUM(B162:H162)</f>
        <v>45.951008000955916</v>
      </c>
      <c r="S162" s="42">
        <f>SUM(I162:O162)</f>
        <v>0</v>
      </c>
      <c r="AA162" t="str">
        <f>A162</f>
        <v>A1</v>
      </c>
      <c r="AB162" s="25">
        <f>SUMIFS(aFAO!$D:$D,aFAO!$B:$B,Crop!$AA162,aFAO!$A:$A,Crop!AB$161)</f>
        <v>19.01306821904479</v>
      </c>
      <c r="AC162" s="25">
        <f>SUMIFS(aFAO!$D:$D,aFAO!$B:$B,Crop!$AA162,aFAO!$A:$A,Crop!AC$161)</f>
        <v>18.164157664435791</v>
      </c>
      <c r="AD162" s="25">
        <f>SUMIFS(aFAO!$D:$D,aFAO!$B:$B,Crop!$AA162,aFAO!$A:$A,Crop!AD$161)</f>
        <v>29.224601411048912</v>
      </c>
      <c r="AE162" s="25">
        <f>SUMIFS(aFAO!$D:$D,aFAO!$B:$B,Crop!$AA162,aFAO!$A:$A,Crop!AE$161)</f>
        <v>18.82496238909993</v>
      </c>
      <c r="AF162" s="25">
        <f>SUMIFS(aFAO!$D:$D,aFAO!$B:$B,Crop!$AA162,aFAO!$A:$A,Crop!AF$161)</f>
        <v>18.987483420444224</v>
      </c>
      <c r="AG162" s="25">
        <f>SUMIFS(aFAO!$D:$D,aFAO!$B:$B,Crop!$AA162,aFAO!$A:$A,Crop!AG$161)</f>
        <v>0</v>
      </c>
      <c r="AH162" s="25">
        <f>SUMIFS(aFAO!$D:$D,aFAO!$B:$B,Crop!$AA162,aFAO!$A:$A,Crop!AH$161)</f>
        <v>3.2577293693199976</v>
      </c>
      <c r="AI162" s="25">
        <f>SUMIFS(aFAO!$C:$C,aFAO!$B:$B,Crop!$AA162,aFAO!$A:$A,Crop!AI$161)</f>
        <v>0</v>
      </c>
      <c r="AJ162" s="25">
        <f>SUMIFS(aFAO!$C:$C,aFAO!$B:$B,Crop!$AA162,aFAO!$A:$A,Crop!AJ$161)</f>
        <v>0</v>
      </c>
      <c r="AK162" s="25">
        <f>SUMIFS(aFAO!$C:$C,aFAO!$B:$B,Crop!$AA162,aFAO!$A:$A,Crop!AK$161)</f>
        <v>0</v>
      </c>
      <c r="AL162" s="25">
        <f>SUMIFS(aFAO!$C:$C,aFAO!$B:$B,Crop!$AA162,aFAO!$A:$A,Crop!AL$161)</f>
        <v>0</v>
      </c>
      <c r="AM162" s="25">
        <f>SUMIFS(aFAO!$C:$C,aFAO!$B:$B,Crop!$AA162,aFAO!$A:$A,Crop!AM$161)</f>
        <v>0</v>
      </c>
      <c r="AN162" s="25">
        <f>SUMIFS(aFAO!$C:$C,aFAO!$B:$B,Crop!$AA162,aFAO!$A:$A,Crop!AN$161)</f>
        <v>0</v>
      </c>
      <c r="AO162" s="25">
        <f>SUMIFS(aFAO!$C:$C,aFAO!$B:$B,Crop!$AA162,aFAO!$A:$A,Crop!AO$161)</f>
        <v>0</v>
      </c>
    </row>
    <row r="163" spans="1:41">
      <c r="A163" t="str">
        <v>H2</v>
      </c>
      <c r="B163" s="25">
        <f>INDEX(TargetProduction!$I$4:$O$18,MATCH($A163,TargetProduction!$A$4:$A$18,0), MATCH(B$161,TargetProduction!$I$3:$O$3,0))</f>
        <v>14.249516696176993</v>
      </c>
      <c r="C163" s="25">
        <f>INDEX(TargetProduction!$I$4:$O$18,MATCH($A163,TargetProduction!$A$4:$A$18,0), MATCH(C$161,TargetProduction!$I$3:$O$3,0))</f>
        <v>17.689889586193388</v>
      </c>
      <c r="D163" s="25">
        <f>INDEX(TargetProduction!$I$4:$O$18,MATCH($A163,TargetProduction!$A$4:$A$18,0), MATCH(D$161,TargetProduction!$I$3:$O$3,0))</f>
        <v>118.07521306838919</v>
      </c>
      <c r="E163" s="25">
        <f>INDEX(TargetProduction!$I$4:$O$18,MATCH($A163,TargetProduction!$A$4:$A$18,0), MATCH(E$161,TargetProduction!$I$3:$O$3,0))</f>
        <v>53.5453356897142</v>
      </c>
      <c r="F163" s="25">
        <f>INDEX(TargetProduction!$I$4:$O$18,MATCH($A163,TargetProduction!$A$4:$A$18,0), MATCH(F$161,TargetProduction!$I$3:$O$3,0))</f>
        <v>0.90018815473975311</v>
      </c>
      <c r="G163" s="25">
        <f>INDEX(TargetProduction!$I$4:$O$18,MATCH($A163,TargetProduction!$A$4:$A$18,0), MATCH(G$161,TargetProduction!$I$3:$O$3,0))</f>
        <v>45.562516058575724</v>
      </c>
      <c r="H163" s="25">
        <f>INDEX(TargetProduction!$I$4:$O$18,MATCH($A163,TargetProduction!$A$4:$A$18,0), MATCH(H$161,TargetProduction!$I$3:$O$3,0))</f>
        <v>4.9095006898315861</v>
      </c>
      <c r="I163" s="25">
        <f>INDEX(TargetProduction!$B$4:$H$18,MATCH($A163,TargetProduction!$A$4:$A$18,0), MATCH(B$161,TargetProduction!$B$3:$H$3,0))</f>
        <v>34.013768206025397</v>
      </c>
      <c r="J163" s="25">
        <f>INDEX(TargetProduction!$B$4:$H$18,MATCH($A163,TargetProduction!$A$4:$A$18,0), MATCH(C$161,TargetProduction!$B$3:$H$3,0))</f>
        <v>49.519915583200707</v>
      </c>
      <c r="K163" s="25">
        <f>INDEX(TargetProduction!$B$4:$H$18,MATCH($A163,TargetProduction!$A$4:$A$18,0), MATCH(D$161,TargetProduction!$B$3:$H$3,0))</f>
        <v>60.652614421575727</v>
      </c>
      <c r="L163" s="25">
        <f>INDEX(TargetProduction!$B$4:$H$18,MATCH($A163,TargetProduction!$A$4:$A$18,0), MATCH(E$161,TargetProduction!$B$3:$H$3,0))</f>
        <v>43.897303515534709</v>
      </c>
      <c r="M163" s="25">
        <f>INDEX(TargetProduction!$B$4:$H$18,MATCH($A163,TargetProduction!$A$4:$A$18,0), MATCH(F$161,TargetProduction!$B$3:$H$3,0))</f>
        <v>13.380894606994216</v>
      </c>
      <c r="N163" s="25">
        <f>INDEX(TargetProduction!$B$4:$H$18,MATCH($A163,TargetProduction!$A$4:$A$18,0), MATCH(G$161,TargetProduction!$B$3:$H$3,0))</f>
        <v>19.681918301319527</v>
      </c>
      <c r="O163" s="25">
        <f>INDEX(TargetProduction!$B$4:$H$18,MATCH($A163,TargetProduction!$A$4:$A$18,0), MATCH(H$161,TargetProduction!$B$3:$H$3,0))</f>
        <v>39.863213549117461</v>
      </c>
      <c r="R163" s="42">
        <f t="shared" ref="R163:R176" si="24">SUM(B163:H163)</f>
        <v>254.93215994362083</v>
      </c>
      <c r="S163" s="42">
        <f t="shared" ref="S163:S176" si="25">SUM(I163:O163)</f>
        <v>261.00962818376775</v>
      </c>
      <c r="AA163" t="str">
        <f t="shared" ref="AA163:AA176" si="26">A163</f>
        <v>H2</v>
      </c>
      <c r="AB163" s="25">
        <f>SUMIFS(aFAO!$D:$D,aFAO!$B:$B,Crop!$AA163,aFAO!$A:$A,Crop!AB$161)</f>
        <v>17.472747411938467</v>
      </c>
      <c r="AC163" s="25">
        <f>SUMIFS(aFAO!$D:$D,aFAO!$B:$B,Crop!$AA163,aFAO!$A:$A,Crop!AC$161)</f>
        <v>18.421865645624706</v>
      </c>
      <c r="AD163" s="25">
        <f>SUMIFS(aFAO!$D:$D,aFAO!$B:$B,Crop!$AA163,aFAO!$A:$A,Crop!AD$161)</f>
        <v>23.89630526795289</v>
      </c>
      <c r="AE163" s="25">
        <f>SUMIFS(aFAO!$D:$D,aFAO!$B:$B,Crop!$AA163,aFAO!$A:$A,Crop!AE$161)</f>
        <v>17.496403103693549</v>
      </c>
      <c r="AF163" s="25">
        <f>SUMIFS(aFAO!$D:$D,aFAO!$B:$B,Crop!$AA163,aFAO!$A:$A,Crop!AF$161)</f>
        <v>21.155820150223025</v>
      </c>
      <c r="AG163" s="25">
        <f>SUMIFS(aFAO!$D:$D,aFAO!$B:$B,Crop!$AA163,aFAO!$A:$A,Crop!AG$161)</f>
        <v>283.1759603069911</v>
      </c>
      <c r="AH163" s="25">
        <f>SUMIFS(aFAO!$D:$D,aFAO!$B:$B,Crop!$AA163,aFAO!$A:$A,Crop!AH$161)</f>
        <v>12.280167654391047</v>
      </c>
      <c r="AI163" s="25">
        <f>SUMIFS(aFAO!$C:$C,aFAO!$B:$B,Crop!$AA163,aFAO!$A:$A,Crop!AI$161)</f>
        <v>13.98226935689531</v>
      </c>
      <c r="AJ163" s="25">
        <f>SUMIFS(aFAO!$C:$C,aFAO!$B:$B,Crop!$AA163,aFAO!$A:$A,Crop!AJ$161)</f>
        <v>22.083838470963183</v>
      </c>
      <c r="AK163" s="25">
        <f>SUMIFS(aFAO!$C:$C,aFAO!$B:$B,Crop!$AA163,aFAO!$A:$A,Crop!AK$161)</f>
        <v>38.384791542754357</v>
      </c>
      <c r="AL163" s="25">
        <f>SUMIFS(aFAO!$C:$C,aFAO!$B:$B,Crop!$AA163,aFAO!$A:$A,Crop!AL$161)</f>
        <v>15.757951725742194</v>
      </c>
      <c r="AM163" s="25">
        <f>SUMIFS(aFAO!$C:$C,aFAO!$B:$B,Crop!$AA163,aFAO!$A:$A,Crop!AM$161)</f>
        <v>28.859140181615857</v>
      </c>
      <c r="AN163" s="25">
        <f>SUMIFS(aFAO!$C:$C,aFAO!$B:$B,Crop!$AA163,aFAO!$A:$A,Crop!AN$161)</f>
        <v>184.53640105620613</v>
      </c>
      <c r="AO163" s="25">
        <f>SUMIFS(aFAO!$C:$C,aFAO!$B:$B,Crop!$AA163,aFAO!$A:$A,Crop!AO$161)</f>
        <v>10.166945513825347</v>
      </c>
    </row>
    <row r="164" spans="1:41">
      <c r="A164" t="str">
        <v>H3</v>
      </c>
      <c r="B164" s="25">
        <f>INDEX(TargetProduction!$I$4:$O$18,MATCH($A164,TargetProduction!$A$4:$A$18,0), MATCH(B$161,TargetProduction!$I$3:$O$3,0))</f>
        <v>7.4066963493041804</v>
      </c>
      <c r="C164" s="25">
        <f>INDEX(TargetProduction!$I$4:$O$18,MATCH($A164,TargetProduction!$A$4:$A$18,0), MATCH(C$161,TargetProduction!$I$3:$O$3,0))</f>
        <v>12.280891288697749</v>
      </c>
      <c r="D164" s="25">
        <f>INDEX(TargetProduction!$I$4:$O$18,MATCH($A164,TargetProduction!$A$4:$A$18,0), MATCH(D$161,TargetProduction!$I$3:$O$3,0))</f>
        <v>67.402117319554321</v>
      </c>
      <c r="E164" s="25">
        <f>INDEX(TargetProduction!$I$4:$O$18,MATCH($A164,TargetProduction!$A$4:$A$18,0), MATCH(E$161,TargetProduction!$I$3:$O$3,0))</f>
        <v>28.970272125839056</v>
      </c>
      <c r="F164" s="25">
        <f>INDEX(TargetProduction!$I$4:$O$18,MATCH($A164,TargetProduction!$A$4:$A$18,0), MATCH(F$161,TargetProduction!$I$3:$O$3,0))</f>
        <v>3.0980024778600033</v>
      </c>
      <c r="G164" s="25">
        <f>INDEX(TargetProduction!$I$4:$O$18,MATCH($A164,TargetProduction!$A$4:$A$18,0), MATCH(G$161,TargetProduction!$I$3:$O$3,0))</f>
        <v>24.040893951315653</v>
      </c>
      <c r="H164" s="25">
        <f>INDEX(TargetProduction!$I$4:$O$18,MATCH($A164,TargetProduction!$A$4:$A$18,0), MATCH(H$161,TargetProduction!$I$3:$O$3,0))</f>
        <v>2.3360920724073155</v>
      </c>
      <c r="I164" s="25">
        <f>INDEX(TargetProduction!$B$4:$H$18,MATCH($A164,TargetProduction!$A$4:$A$18,0), MATCH(B$161,TargetProduction!$B$3:$H$3,0))</f>
        <v>91.682955303620105</v>
      </c>
      <c r="J164" s="25">
        <f>INDEX(TargetProduction!$B$4:$H$18,MATCH($A164,TargetProduction!$A$4:$A$18,0), MATCH(C$161,TargetProduction!$B$3:$H$3,0))</f>
        <v>103.01901126654577</v>
      </c>
      <c r="K164" s="25">
        <f>INDEX(TargetProduction!$B$4:$H$18,MATCH($A164,TargetProduction!$A$4:$A$18,0), MATCH(D$161,TargetProduction!$B$3:$H$3,0))</f>
        <v>101.40697470789014</v>
      </c>
      <c r="L164" s="25">
        <f>INDEX(TargetProduction!$B$4:$H$18,MATCH($A164,TargetProduction!$A$4:$A$18,0), MATCH(E$161,TargetProduction!$B$3:$H$3,0))</f>
        <v>72.62192748548911</v>
      </c>
      <c r="M164" s="25">
        <f>INDEX(TargetProduction!$B$4:$H$18,MATCH($A164,TargetProduction!$A$4:$A$18,0), MATCH(F$161,TargetProduction!$B$3:$H$3,0))</f>
        <v>89.065718947648605</v>
      </c>
      <c r="N164" s="25">
        <f>INDEX(TargetProduction!$B$4:$H$18,MATCH($A164,TargetProduction!$A$4:$A$18,0), MATCH(G$161,TargetProduction!$B$3:$H$3,0))</f>
        <v>27.315565046487404</v>
      </c>
      <c r="O164" s="25">
        <f>INDEX(TargetProduction!$B$4:$H$18,MATCH($A164,TargetProduction!$A$4:$A$18,0), MATCH(H$161,TargetProduction!$B$3:$H$3,0))</f>
        <v>87.07171838305608</v>
      </c>
      <c r="R164" s="42">
        <f t="shared" si="24"/>
        <v>145.53496558497829</v>
      </c>
      <c r="S164" s="42">
        <f t="shared" si="25"/>
        <v>572.18387114073721</v>
      </c>
      <c r="AA164" t="str">
        <f t="shared" si="26"/>
        <v>H3</v>
      </c>
      <c r="AB164" s="25">
        <f>SUMIFS(aFAO!$D:$D,aFAO!$B:$B,Crop!$AA164,aFAO!$A:$A,Crop!AB$161)</f>
        <v>17.756603091705706</v>
      </c>
      <c r="AC164" s="25">
        <f>SUMIFS(aFAO!$D:$D,aFAO!$B:$B,Crop!$AA164,aFAO!$A:$A,Crop!AC$161)</f>
        <v>18.321551155103389</v>
      </c>
      <c r="AD164" s="25">
        <f>SUMIFS(aFAO!$D:$D,aFAO!$B:$B,Crop!$AA164,aFAO!$A:$A,Crop!AD$161)</f>
        <v>24.40987998828728</v>
      </c>
      <c r="AE164" s="25">
        <f>SUMIFS(aFAO!$D:$D,aFAO!$B:$B,Crop!$AA164,aFAO!$A:$A,Crop!AE$161)</f>
        <v>17.783811502676723</v>
      </c>
      <c r="AF164" s="25">
        <f>SUMIFS(aFAO!$D:$D,aFAO!$B:$B,Crop!$AA164,aFAO!$A:$A,Crop!AF$161)</f>
        <v>19.254625266492681</v>
      </c>
      <c r="AG164" s="25">
        <f>SUMIFS(aFAO!$D:$D,aFAO!$B:$B,Crop!$AA164,aFAO!$A:$A,Crop!AG$161)</f>
        <v>227.54617847649894</v>
      </c>
      <c r="AH164" s="25">
        <f>SUMIFS(aFAO!$D:$D,aFAO!$B:$B,Crop!$AA164,aFAO!$A:$A,Crop!AH$161)</f>
        <v>11.301759874183912</v>
      </c>
      <c r="AI164" s="25">
        <f>SUMIFS(aFAO!$C:$C,aFAO!$B:$B,Crop!$AA164,aFAO!$A:$A,Crop!AI$161)</f>
        <v>18.635966609756231</v>
      </c>
      <c r="AJ164" s="25">
        <f>SUMIFS(aFAO!$C:$C,aFAO!$B:$B,Crop!$AA164,aFAO!$A:$A,Crop!AJ$161)</f>
        <v>30.060121660219959</v>
      </c>
      <c r="AK164" s="25">
        <f>SUMIFS(aFAO!$C:$C,aFAO!$B:$B,Crop!$AA164,aFAO!$A:$A,Crop!AK$161)</f>
        <v>65.845708395384463</v>
      </c>
      <c r="AL164" s="25">
        <f>SUMIFS(aFAO!$C:$C,aFAO!$B:$B,Crop!$AA164,aFAO!$A:$A,Crop!AL$161)</f>
        <v>20.419541410306632</v>
      </c>
      <c r="AM164" s="25">
        <f>SUMIFS(aFAO!$C:$C,aFAO!$B:$B,Crop!$AA164,aFAO!$A:$A,Crop!AM$161)</f>
        <v>43.348266421512733</v>
      </c>
      <c r="AN164" s="25">
        <f>SUMIFS(aFAO!$C:$C,aFAO!$B:$B,Crop!$AA164,aFAO!$A:$A,Crop!AN$161)</f>
        <v>144.39997979249716</v>
      </c>
      <c r="AO164" s="25">
        <f>SUMIFS(aFAO!$C:$C,aFAO!$B:$B,Crop!$AA164,aFAO!$A:$A,Crop!AO$161)</f>
        <v>13.261300906259253</v>
      </c>
    </row>
    <row r="165" spans="1:41">
      <c r="A165" t="str">
        <v>H4</v>
      </c>
      <c r="B165" s="25">
        <f>INDEX(TargetProduction!$I$4:$O$18,MATCH($A165,TargetProduction!$A$4:$A$18,0), MATCH(B$161,TargetProduction!$I$3:$O$3,0))</f>
        <v>2.5585609021346918</v>
      </c>
      <c r="C165" s="25">
        <f>INDEX(TargetProduction!$I$4:$O$18,MATCH($A165,TargetProduction!$A$4:$A$18,0), MATCH(C$161,TargetProduction!$I$3:$O$3,0))</f>
        <v>5.4985825107024526</v>
      </c>
      <c r="D165" s="25">
        <f>INDEX(TargetProduction!$I$4:$O$18,MATCH($A165,TargetProduction!$A$4:$A$18,0), MATCH(D$161,TargetProduction!$I$3:$O$3,0))</f>
        <v>25.391251556860325</v>
      </c>
      <c r="E165" s="25">
        <f>INDEX(TargetProduction!$I$4:$O$18,MATCH($A165,TargetProduction!$A$4:$A$18,0), MATCH(E$161,TargetProduction!$I$3:$O$3,0))</f>
        <v>10.452763964441454</v>
      </c>
      <c r="F165" s="25">
        <f>INDEX(TargetProduction!$I$4:$O$18,MATCH($A165,TargetProduction!$A$4:$A$18,0), MATCH(F$161,TargetProduction!$I$3:$O$3,0))</f>
        <v>2.099832079164055</v>
      </c>
      <c r="G165" s="25">
        <f>INDEX(TargetProduction!$I$4:$O$18,MATCH($A165,TargetProduction!$A$4:$A$18,0), MATCH(G$161,TargetProduction!$I$3:$O$3,0))</f>
        <v>8.4237406463256921</v>
      </c>
      <c r="H165" s="25">
        <f>INDEX(TargetProduction!$I$4:$O$18,MATCH($A165,TargetProduction!$A$4:$A$18,0), MATCH(H$161,TargetProduction!$I$3:$O$3,0))</f>
        <v>0.7398089547864426</v>
      </c>
      <c r="I165" s="25">
        <f>INDEX(TargetProduction!$B$4:$H$18,MATCH($A165,TargetProduction!$A$4:$A$18,0), MATCH(B$161,TargetProduction!$B$3:$H$3,0))</f>
        <v>49.93343736089308</v>
      </c>
      <c r="J165" s="25">
        <f>INDEX(TargetProduction!$B$4:$H$18,MATCH($A165,TargetProduction!$A$4:$A$18,0), MATCH(C$161,TargetProduction!$B$3:$H$3,0))</f>
        <v>67.671519268330172</v>
      </c>
      <c r="K165" s="25">
        <f>INDEX(TargetProduction!$B$4:$H$18,MATCH($A165,TargetProduction!$A$4:$A$18,0), MATCH(D$161,TargetProduction!$B$3:$H$3,0))</f>
        <v>69.322302504435356</v>
      </c>
      <c r="L165" s="25">
        <f>INDEX(TargetProduction!$B$4:$H$18,MATCH($A165,TargetProduction!$A$4:$A$18,0), MATCH(E$161,TargetProduction!$B$3:$H$3,0))</f>
        <v>41.515462467044806</v>
      </c>
      <c r="M165" s="25">
        <f>INDEX(TargetProduction!$B$4:$H$18,MATCH($A165,TargetProduction!$A$4:$A$18,0), MATCH(F$161,TargetProduction!$B$3:$H$3,0))</f>
        <v>97.019589360712473</v>
      </c>
      <c r="N165" s="25">
        <f>INDEX(TargetProduction!$B$4:$H$18,MATCH($A165,TargetProduction!$A$4:$A$18,0), MATCH(G$161,TargetProduction!$B$3:$H$3,0))</f>
        <v>18.580172177133321</v>
      </c>
      <c r="O165" s="25">
        <f>INDEX(TargetProduction!$B$4:$H$18,MATCH($A165,TargetProduction!$A$4:$A$18,0), MATCH(H$161,TargetProduction!$B$3:$H$3,0))</f>
        <v>22.33144869850554</v>
      </c>
      <c r="R165" s="42">
        <f t="shared" si="24"/>
        <v>55.164540614415102</v>
      </c>
      <c r="S165" s="42">
        <f t="shared" si="25"/>
        <v>366.37393183705473</v>
      </c>
      <c r="AA165" t="str">
        <f t="shared" si="26"/>
        <v>H4</v>
      </c>
      <c r="AB165" s="25">
        <f>SUMIFS(aFAO!$D:$D,aFAO!$B:$B,Crop!$AA165,aFAO!$A:$A,Crop!AB$161)</f>
        <v>18.123948655506748</v>
      </c>
      <c r="AC165" s="25">
        <f>SUMIFS(aFAO!$D:$D,aFAO!$B:$B,Crop!$AA165,aFAO!$A:$A,Crop!AC$161)</f>
        <v>18.255093961261942</v>
      </c>
      <c r="AD165" s="25">
        <f>SUMIFS(aFAO!$D:$D,aFAO!$B:$B,Crop!$AA165,aFAO!$A:$A,Crop!AD$161)</f>
        <v>24.907098252591133</v>
      </c>
      <c r="AE165" s="25">
        <f>SUMIFS(aFAO!$D:$D,aFAO!$B:$B,Crop!$AA165,aFAO!$A:$A,Crop!AE$161)</f>
        <v>18.105851450820897</v>
      </c>
      <c r="AF165" s="25">
        <f>SUMIFS(aFAO!$D:$D,aFAO!$B:$B,Crop!$AA165,aFAO!$A:$A,Crop!AF$161)</f>
        <v>19.085290911136287</v>
      </c>
      <c r="AG165" s="25">
        <f>SUMIFS(aFAO!$D:$D,aFAO!$B:$B,Crop!$AA165,aFAO!$A:$A,Crop!AG$161)</f>
        <v>166.02468704997557</v>
      </c>
      <c r="AH165" s="25">
        <f>SUMIFS(aFAO!$D:$D,aFAO!$B:$B,Crop!$AA165,aFAO!$A:$A,Crop!AH$161)</f>
        <v>10.087222340528363</v>
      </c>
      <c r="AI165" s="25">
        <f>SUMIFS(aFAO!$C:$C,aFAO!$B:$B,Crop!$AA165,aFAO!$A:$A,Crop!AI$161)</f>
        <v>22.218165443177828</v>
      </c>
      <c r="AJ165" s="25">
        <f>SUMIFS(aFAO!$C:$C,aFAO!$B:$B,Crop!$AA165,aFAO!$A:$A,Crop!AJ$161)</f>
        <v>37.817189059514625</v>
      </c>
      <c r="AK165" s="25">
        <f>SUMIFS(aFAO!$C:$C,aFAO!$B:$B,Crop!$AA165,aFAO!$A:$A,Crop!AK$161)</f>
        <v>177.62111986431202</v>
      </c>
      <c r="AL165" s="25">
        <f>SUMIFS(aFAO!$C:$C,aFAO!$B:$B,Crop!$AA165,aFAO!$A:$A,Crop!AL$161)</f>
        <v>28.371147137015459</v>
      </c>
      <c r="AM165" s="25">
        <f>SUMIFS(aFAO!$C:$C,aFAO!$B:$B,Crop!$AA165,aFAO!$A:$A,Crop!AM$161)</f>
        <v>62.573123419062</v>
      </c>
      <c r="AN165" s="25">
        <f>SUMIFS(aFAO!$C:$C,aFAO!$B:$B,Crop!$AA165,aFAO!$A:$A,Crop!AN$161)</f>
        <v>153.35645769791751</v>
      </c>
      <c r="AO165" s="25">
        <f>SUMIFS(aFAO!$C:$C,aFAO!$B:$B,Crop!$AA165,aFAO!$A:$A,Crop!AO$161)</f>
        <v>16.737230054131629</v>
      </c>
    </row>
    <row r="166" spans="1:41">
      <c r="A166" t="str">
        <v>H5</v>
      </c>
      <c r="B166" s="25">
        <f>INDEX(TargetProduction!$I$4:$O$18,MATCH($A166,TargetProduction!$A$4:$A$18,0), MATCH(B$161,TargetProduction!$I$3:$O$3,0))</f>
        <v>0.34678789779008728</v>
      </c>
      <c r="C166" s="25">
        <f>INDEX(TargetProduction!$I$4:$O$18,MATCH($A166,TargetProduction!$A$4:$A$18,0), MATCH(C$161,TargetProduction!$I$3:$O$3,0))</f>
        <v>1.2040332143213173</v>
      </c>
      <c r="D166" s="25">
        <f>INDEX(TargetProduction!$I$4:$O$18,MATCH($A166,TargetProduction!$A$4:$A$18,0), MATCH(D$161,TargetProduction!$I$3:$O$3,0))</f>
        <v>2.554653874764468</v>
      </c>
      <c r="E166" s="25">
        <f>INDEX(TargetProduction!$I$4:$O$18,MATCH($A166,TargetProduction!$A$4:$A$18,0), MATCH(E$161,TargetProduction!$I$3:$O$3,0))</f>
        <v>1.5071177543735499</v>
      </c>
      <c r="F166" s="25">
        <f>INDEX(TargetProduction!$I$4:$O$18,MATCH($A166,TargetProduction!$A$4:$A$18,0), MATCH(F$161,TargetProduction!$I$3:$O$3,0))</f>
        <v>0.49619259722771469</v>
      </c>
      <c r="G166" s="25">
        <f>INDEX(TargetProduction!$I$4:$O$18,MATCH($A166,TargetProduction!$A$4:$A$18,0), MATCH(G$161,TargetProduction!$I$3:$O$3,0))</f>
        <v>1.0775446524521752</v>
      </c>
      <c r="H166" s="25">
        <f>INDEX(TargetProduction!$I$4:$O$18,MATCH($A166,TargetProduction!$A$4:$A$18,0), MATCH(H$161,TargetProduction!$I$3:$O$3,0))</f>
        <v>0.10525584110579848</v>
      </c>
      <c r="I166" s="25">
        <f>INDEX(TargetProduction!$B$4:$H$18,MATCH($A166,TargetProduction!$A$4:$A$18,0), MATCH(B$161,TargetProduction!$B$3:$H$3,0))</f>
        <v>9.756567792151781</v>
      </c>
      <c r="J166" s="25">
        <f>INDEX(TargetProduction!$B$4:$H$18,MATCH($A166,TargetProduction!$A$4:$A$18,0), MATCH(C$161,TargetProduction!$B$3:$H$3,0))</f>
        <v>14.414083470027238</v>
      </c>
      <c r="K166" s="25">
        <f>INDEX(TargetProduction!$B$4:$H$18,MATCH($A166,TargetProduction!$A$4:$A$18,0), MATCH(D$161,TargetProduction!$B$3:$H$3,0))</f>
        <v>6.9601244179821071</v>
      </c>
      <c r="L166" s="25">
        <f>INDEX(TargetProduction!$B$4:$H$18,MATCH($A166,TargetProduction!$A$4:$A$18,0), MATCH(E$161,TargetProduction!$B$3:$H$3,0))</f>
        <v>8.2821692868982133</v>
      </c>
      <c r="M166" s="25">
        <f>INDEX(TargetProduction!$B$4:$H$18,MATCH($A166,TargetProduction!$A$4:$A$18,0), MATCH(F$161,TargetProduction!$B$3:$H$3,0))</f>
        <v>17.498498716039062</v>
      </c>
      <c r="N166" s="25">
        <f>INDEX(TargetProduction!$B$4:$H$18,MATCH($A166,TargetProduction!$A$4:$A$18,0), MATCH(G$161,TargetProduction!$B$3:$H$3,0))</f>
        <v>1.7099015684349208</v>
      </c>
      <c r="O166" s="25">
        <f>INDEX(TargetProduction!$B$4:$H$18,MATCH($A166,TargetProduction!$A$4:$A$18,0), MATCH(H$161,TargetProduction!$B$3:$H$3,0))</f>
        <v>3.1574893091973482</v>
      </c>
      <c r="R166" s="42">
        <f t="shared" si="24"/>
        <v>7.2915858320351115</v>
      </c>
      <c r="S166" s="42">
        <f t="shared" si="25"/>
        <v>61.778834560730679</v>
      </c>
      <c r="AA166" t="str">
        <f t="shared" si="26"/>
        <v>H5</v>
      </c>
      <c r="AB166" s="25">
        <f>SUMIFS(aFAO!$D:$D,aFAO!$B:$B,Crop!$AA166,aFAO!$A:$A,Crop!AB$161)</f>
        <v>20.08351097566247</v>
      </c>
      <c r="AC166" s="25">
        <f>SUMIFS(aFAO!$D:$D,aFAO!$B:$B,Crop!$AA166,aFAO!$A:$A,Crop!AC$161)</f>
        <v>18.203130220414192</v>
      </c>
      <c r="AD166" s="25">
        <f>SUMIFS(aFAO!$D:$D,aFAO!$B:$B,Crop!$AA166,aFAO!$A:$A,Crop!AD$161)</f>
        <v>26.058593173410092</v>
      </c>
      <c r="AE166" s="25">
        <f>SUMIFS(aFAO!$D:$D,aFAO!$B:$B,Crop!$AA166,aFAO!$A:$A,Crop!AE$161)</f>
        <v>19.193803230164555</v>
      </c>
      <c r="AF166" s="25">
        <f>SUMIFS(aFAO!$D:$D,aFAO!$B:$B,Crop!$AA166,aFAO!$A:$A,Crop!AF$161)</f>
        <v>18.948878303785765</v>
      </c>
      <c r="AG166" s="25">
        <f>SUMIFS(aFAO!$D:$D,aFAO!$B:$B,Crop!$AA166,aFAO!$A:$A,Crop!AG$161)</f>
        <v>54.023275758142077</v>
      </c>
      <c r="AH166" s="25">
        <f>SUMIFS(aFAO!$D:$D,aFAO!$B:$B,Crop!$AA166,aFAO!$A:$A,Crop!AH$161)</f>
        <v>15.730763491906504</v>
      </c>
      <c r="AI166" s="25">
        <f>SUMIFS(aFAO!$C:$C,aFAO!$B:$B,Crop!$AA166,aFAO!$A:$A,Crop!AI$161)</f>
        <v>24.834452151681479</v>
      </c>
      <c r="AJ166" s="25">
        <f>SUMIFS(aFAO!$C:$C,aFAO!$B:$B,Crop!$AA166,aFAO!$A:$A,Crop!AJ$161)</f>
        <v>37.338986219580271</v>
      </c>
      <c r="AK166" s="25">
        <f>SUMIFS(aFAO!$C:$C,aFAO!$B:$B,Crop!$AA166,aFAO!$A:$A,Crop!AK$161)</f>
        <v>273.69397778391209</v>
      </c>
      <c r="AL166" s="25">
        <f>SUMIFS(aFAO!$C:$C,aFAO!$B:$B,Crop!$AA166,aFAO!$A:$A,Crop!AL$161)</f>
        <v>29.196319502318534</v>
      </c>
      <c r="AM166" s="25">
        <f>SUMIFS(aFAO!$C:$C,aFAO!$B:$B,Crop!$AA166,aFAO!$A:$A,Crop!AM$161)</f>
        <v>74.711313526477355</v>
      </c>
      <c r="AN166" s="25">
        <f>SUMIFS(aFAO!$C:$C,aFAO!$B:$B,Crop!$AA166,aFAO!$A:$A,Crop!AN$161)</f>
        <v>157.84311501007844</v>
      </c>
      <c r="AO166" s="25">
        <f>SUMIFS(aFAO!$C:$C,aFAO!$B:$B,Crop!$AA166,aFAO!$A:$A,Crop!AO$161)</f>
        <v>18.983212613602308</v>
      </c>
    </row>
    <row r="167" spans="1:41">
      <c r="A167" t="str">
        <v>M1</v>
      </c>
      <c r="B167" s="25">
        <f>INDEX(TargetProduction!$I$4:$O$18,MATCH($A167,TargetProduction!$A$4:$A$18,0), MATCH(B$161,TargetProduction!$I$3:$O$3,0))</f>
        <v>18.556767918820153</v>
      </c>
      <c r="C167" s="25">
        <f>INDEX(TargetProduction!$I$4:$O$18,MATCH($A167,TargetProduction!$A$4:$A$18,0), MATCH(C$161,TargetProduction!$I$3:$O$3,0))</f>
        <v>48.168859128651455</v>
      </c>
      <c r="D167" s="25">
        <f>INDEX(TargetProduction!$I$4:$O$18,MATCH($A167,TargetProduction!$A$4:$A$18,0), MATCH(D$161,TargetProduction!$I$3:$O$3,0))</f>
        <v>140.20558457319277</v>
      </c>
      <c r="E167" s="25">
        <f>INDEX(TargetProduction!$I$4:$O$18,MATCH($A167,TargetProduction!$A$4:$A$18,0), MATCH(E$161,TargetProduction!$I$3:$O$3,0))</f>
        <v>75.842326133093465</v>
      </c>
      <c r="F167" s="25">
        <f>INDEX(TargetProduction!$I$4:$O$18,MATCH($A167,TargetProduction!$A$4:$A$18,0), MATCH(F$161,TargetProduction!$I$3:$O$3,0))</f>
        <v>16.979524252758559</v>
      </c>
      <c r="G167" s="25">
        <f>INDEX(TargetProduction!$I$4:$O$18,MATCH($A167,TargetProduction!$A$4:$A$18,0), MATCH(G$161,TargetProduction!$I$3:$O$3,0))</f>
        <v>56.337822779498381</v>
      </c>
      <c r="H167" s="25">
        <f>INDEX(TargetProduction!$I$4:$O$18,MATCH($A167,TargetProduction!$A$4:$A$18,0), MATCH(H$161,TargetProduction!$I$3:$O$3,0))</f>
        <v>5.6311866920902443</v>
      </c>
      <c r="I167" s="25">
        <f>INDEX(TargetProduction!$B$4:$H$18,MATCH($A167,TargetProduction!$A$4:$A$18,0), MATCH(B$161,TargetProduction!$B$3:$H$3,0))</f>
        <v>392.63271542446347</v>
      </c>
      <c r="J167" s="25">
        <f>INDEX(TargetProduction!$B$4:$H$18,MATCH($A167,TargetProduction!$A$4:$A$18,0), MATCH(C$161,TargetProduction!$B$3:$H$3,0))</f>
        <v>401.78041029077843</v>
      </c>
      <c r="K167" s="25">
        <f>INDEX(TargetProduction!$B$4:$H$18,MATCH($A167,TargetProduction!$A$4:$A$18,0), MATCH(D$161,TargetProduction!$B$3:$H$3,0))</f>
        <v>281.29119728448001</v>
      </c>
      <c r="L167" s="25">
        <f>INDEX(TargetProduction!$B$4:$H$18,MATCH($A167,TargetProduction!$A$4:$A$18,0), MATCH(E$161,TargetProduction!$B$3:$H$3,0))</f>
        <v>232.22196643766924</v>
      </c>
      <c r="M167" s="25">
        <f>INDEX(TargetProduction!$B$4:$H$18,MATCH($A167,TargetProduction!$A$4:$A$18,0), MATCH(F$161,TargetProduction!$B$3:$H$3,0))</f>
        <v>218.74454487987038</v>
      </c>
      <c r="N167" s="25">
        <f>INDEX(TargetProduction!$B$4:$H$18,MATCH($A167,TargetProduction!$A$4:$A$18,0), MATCH(G$161,TargetProduction!$B$3:$H$3,0))</f>
        <v>44.018739316291985</v>
      </c>
      <c r="O167" s="25">
        <f>INDEX(TargetProduction!$B$4:$H$18,MATCH($A167,TargetProduction!$A$4:$A$18,0), MATCH(H$161,TargetProduction!$B$3:$H$3,0))</f>
        <v>262.53874660742679</v>
      </c>
      <c r="R167" s="42">
        <f t="shared" si="24"/>
        <v>361.72207147810502</v>
      </c>
      <c r="S167" s="42">
        <f t="shared" si="25"/>
        <v>1833.2283202409799</v>
      </c>
      <c r="AA167" t="str">
        <f t="shared" si="26"/>
        <v>M1</v>
      </c>
      <c r="AB167" s="25">
        <f>SUMIFS(aFAO!$D:$D,aFAO!$B:$B,Crop!$AA167,aFAO!$A:$A,Crop!AB$161)</f>
        <v>19.259667008421612</v>
      </c>
      <c r="AC167" s="25">
        <f>SUMIFS(aFAO!$D:$D,aFAO!$B:$B,Crop!$AA167,aFAO!$A:$A,Crop!AC$161)</f>
        <v>18.238523704893119</v>
      </c>
      <c r="AD167" s="25">
        <f>SUMIFS(aFAO!$D:$D,aFAO!$B:$B,Crop!$AA167,aFAO!$A:$A,Crop!AD$161)</f>
        <v>25.207688079995002</v>
      </c>
      <c r="AE167" s="25">
        <f>SUMIFS(aFAO!$D:$D,aFAO!$B:$B,Crop!$AA167,aFAO!$A:$A,Crop!AE$161)</f>
        <v>18.702521786741492</v>
      </c>
      <c r="AF167" s="25">
        <f>SUMIFS(aFAO!$D:$D,aFAO!$B:$B,Crop!$AA167,aFAO!$A:$A,Crop!AF$161)</f>
        <v>18.998926217244524</v>
      </c>
      <c r="AG167" s="25">
        <f>SUMIFS(aFAO!$D:$D,aFAO!$B:$B,Crop!$AA167,aFAO!$A:$A,Crop!AG$161)</f>
        <v>135.61519813689441</v>
      </c>
      <c r="AH167" s="25">
        <f>SUMIFS(aFAO!$D:$D,aFAO!$B:$B,Crop!$AA167,aFAO!$A:$A,Crop!AH$161)</f>
        <v>14.6348947691316</v>
      </c>
      <c r="AI167" s="25">
        <f>SUMIFS(aFAO!$C:$C,aFAO!$B:$B,Crop!$AA167,aFAO!$A:$A,Crop!AI$161)</f>
        <v>26.45601939822436</v>
      </c>
      <c r="AJ167" s="25">
        <f>SUMIFS(aFAO!$C:$C,aFAO!$B:$B,Crop!$AA167,aFAO!$A:$A,Crop!AJ$161)</f>
        <v>38.588812362263283</v>
      </c>
      <c r="AK167" s="25">
        <f>SUMIFS(aFAO!$C:$C,aFAO!$B:$B,Crop!$AA167,aFAO!$A:$A,Crop!AK$161)</f>
        <v>101.81471271033239</v>
      </c>
      <c r="AL167" s="25">
        <f>SUMIFS(aFAO!$C:$C,aFAO!$B:$B,Crop!$AA167,aFAO!$A:$A,Crop!AL$161)</f>
        <v>29.324426185476707</v>
      </c>
      <c r="AM167" s="25">
        <f>SUMIFS(aFAO!$C:$C,aFAO!$B:$B,Crop!$AA167,aFAO!$A:$A,Crop!AM$161)</f>
        <v>58.515195715167437</v>
      </c>
      <c r="AN167" s="25">
        <f>SUMIFS(aFAO!$C:$C,aFAO!$B:$B,Crop!$AA167,aFAO!$A:$A,Crop!AN$161)</f>
        <v>150.71428398149109</v>
      </c>
      <c r="AO167" s="25">
        <f>SUMIFS(aFAO!$C:$C,aFAO!$B:$B,Crop!$AA167,aFAO!$A:$A,Crop!AO$161)</f>
        <v>15.888465244756222</v>
      </c>
    </row>
    <row r="168" spans="1:41">
      <c r="A168" t="str">
        <v>M3</v>
      </c>
      <c r="B168" s="25">
        <f>INDEX(TargetProduction!$I$4:$O$18,MATCH($A168,TargetProduction!$A$4:$A$18,0), MATCH(B$161,TargetProduction!$I$3:$O$3,0))</f>
        <v>15.730811540170082</v>
      </c>
      <c r="C168" s="25">
        <f>INDEX(TargetProduction!$I$4:$O$18,MATCH($A168,TargetProduction!$A$4:$A$18,0), MATCH(C$161,TargetProduction!$I$3:$O$3,0))</f>
        <v>49.563625396850831</v>
      </c>
      <c r="D168" s="25">
        <f>INDEX(TargetProduction!$I$4:$O$18,MATCH($A168,TargetProduction!$A$4:$A$18,0), MATCH(D$161,TargetProduction!$I$3:$O$3,0))</f>
        <v>75.219406997179618</v>
      </c>
      <c r="E168" s="25">
        <f>INDEX(TargetProduction!$I$4:$O$18,MATCH($A168,TargetProduction!$A$4:$A$18,0), MATCH(E$161,TargetProduction!$I$3:$O$3,0))</f>
        <v>64.884882793707106</v>
      </c>
      <c r="F168" s="25">
        <f>INDEX(TargetProduction!$I$4:$O$18,MATCH($A168,TargetProduction!$A$4:$A$18,0), MATCH(F$161,TargetProduction!$I$3:$O$3,0))</f>
        <v>15.35194492366533</v>
      </c>
      <c r="G168" s="25">
        <f>INDEX(TargetProduction!$I$4:$O$18,MATCH($A168,TargetProduction!$A$4:$A$18,0), MATCH(G$161,TargetProduction!$I$3:$O$3,0))</f>
        <v>46.060300067788411</v>
      </c>
      <c r="H168" s="25">
        <f>INDEX(TargetProduction!$I$4:$O$18,MATCH($A168,TargetProduction!$A$4:$A$18,0), MATCH(H$161,TargetProduction!$I$3:$O$3,0))</f>
        <v>5.4942978632966515</v>
      </c>
      <c r="I168" s="25">
        <f>INDEX(TargetProduction!$B$4:$H$18,MATCH($A168,TargetProduction!$A$4:$A$18,0), MATCH(B$161,TargetProduction!$B$3:$H$3,0))</f>
        <v>992.81097047933758</v>
      </c>
      <c r="J168" s="25">
        <f>INDEX(TargetProduction!$B$4:$H$18,MATCH($A168,TargetProduction!$A$4:$A$18,0), MATCH(C$161,TargetProduction!$B$3:$H$3,0))</f>
        <v>683.09722224105076</v>
      </c>
      <c r="K168" s="25">
        <f>INDEX(TargetProduction!$B$4:$H$18,MATCH($A168,TargetProduction!$A$4:$A$18,0), MATCH(D$161,TargetProduction!$B$3:$H$3,0))</f>
        <v>474.36528744266866</v>
      </c>
      <c r="L168" s="25">
        <f>INDEX(TargetProduction!$B$4:$H$18,MATCH($A168,TargetProduction!$A$4:$A$18,0), MATCH(E$161,TargetProduction!$B$3:$H$3,0))</f>
        <v>454.54739943613282</v>
      </c>
      <c r="M168" s="25">
        <f>INDEX(TargetProduction!$B$4:$H$18,MATCH($A168,TargetProduction!$A$4:$A$18,0), MATCH(F$161,TargetProduction!$B$3:$H$3,0))</f>
        <v>415.13101473063796</v>
      </c>
      <c r="N168" s="25">
        <f>INDEX(TargetProduction!$B$4:$H$18,MATCH($A168,TargetProduction!$A$4:$A$18,0), MATCH(G$161,TargetProduction!$B$3:$H$3,0))</f>
        <v>74.329291734508047</v>
      </c>
      <c r="O168" s="25">
        <f>INDEX(TargetProduction!$B$4:$H$18,MATCH($A168,TargetProduction!$A$4:$A$18,0), MATCH(H$161,TargetProduction!$B$3:$H$3,0))</f>
        <v>217.18601193836261</v>
      </c>
      <c r="R168" s="42">
        <f t="shared" si="24"/>
        <v>272.30526958265807</v>
      </c>
      <c r="S168" s="42">
        <f t="shared" si="25"/>
        <v>3311.4671980026983</v>
      </c>
      <c r="AA168" t="str">
        <f t="shared" si="26"/>
        <v>M3</v>
      </c>
      <c r="AB168" s="25">
        <f>SUMIFS(aFAO!$D:$D,aFAO!$B:$B,Crop!$AA168,aFAO!$A:$A,Crop!AB$161)</f>
        <v>20.275738348691331</v>
      </c>
      <c r="AC168" s="25">
        <f>SUMIFS(aFAO!$D:$D,aFAO!$B:$B,Crop!$AA168,aFAO!$A:$A,Crop!AC$161)</f>
        <v>18.235152095158906</v>
      </c>
      <c r="AD168" s="25">
        <f>SUMIFS(aFAO!$D:$D,aFAO!$B:$B,Crop!$AA168,aFAO!$A:$A,Crop!AD$161)</f>
        <v>25.746841774790806</v>
      </c>
      <c r="AE168" s="25">
        <f>SUMIFS(aFAO!$D:$D,aFAO!$B:$B,Crop!$AA168,aFAO!$A:$A,Crop!AE$161)</f>
        <v>19.195678326072606</v>
      </c>
      <c r="AF168" s="25">
        <f>SUMIFS(aFAO!$D:$D,aFAO!$B:$B,Crop!$AA168,aFAO!$A:$A,Crop!AF$161)</f>
        <v>18.928918855885076</v>
      </c>
      <c r="AG168" s="25">
        <f>SUMIFS(aFAO!$D:$D,aFAO!$B:$B,Crop!$AA168,aFAO!$A:$A,Crop!AG$161)</f>
        <v>116.94550519241476</v>
      </c>
      <c r="AH168" s="25">
        <f>SUMIFS(aFAO!$D:$D,aFAO!$B:$B,Crop!$AA168,aFAO!$A:$A,Crop!AH$161)</f>
        <v>19.041506411070536</v>
      </c>
      <c r="AI168" s="25">
        <f>SUMIFS(aFAO!$C:$C,aFAO!$B:$B,Crop!$AA168,aFAO!$A:$A,Crop!AI$161)</f>
        <v>25.061908192986351</v>
      </c>
      <c r="AJ168" s="25">
        <f>SUMIFS(aFAO!$C:$C,aFAO!$B:$B,Crop!$AA168,aFAO!$A:$A,Crop!AJ$161)</f>
        <v>30.484314836840966</v>
      </c>
      <c r="AK168" s="25">
        <f>SUMIFS(aFAO!$C:$C,aFAO!$B:$B,Crop!$AA168,aFAO!$A:$A,Crop!AK$161)</f>
        <v>81.724728687289954</v>
      </c>
      <c r="AL168" s="25">
        <f>SUMIFS(aFAO!$C:$C,aFAO!$B:$B,Crop!$AA168,aFAO!$A:$A,Crop!AL$161)</f>
        <v>25.172502629588902</v>
      </c>
      <c r="AM168" s="25">
        <f>SUMIFS(aFAO!$C:$C,aFAO!$B:$B,Crop!$AA168,aFAO!$A:$A,Crop!AM$161)</f>
        <v>44.779419212549293</v>
      </c>
      <c r="AN168" s="25">
        <f>SUMIFS(aFAO!$C:$C,aFAO!$B:$B,Crop!$AA168,aFAO!$A:$A,Crop!AN$161)</f>
        <v>134.34935500820217</v>
      </c>
      <c r="AO168" s="25">
        <f>SUMIFS(aFAO!$C:$C,aFAO!$B:$B,Crop!$AA168,aFAO!$A:$A,Crop!AO$161)</f>
        <v>15.782156177179917</v>
      </c>
    </row>
    <row r="169" spans="1:41">
      <c r="A169" t="str">
        <v>M5</v>
      </c>
      <c r="B169" s="25">
        <f>INDEX(TargetProduction!$I$4:$O$18,MATCH($A169,TargetProduction!$A$4:$A$18,0), MATCH(B$161,TargetProduction!$I$3:$O$3,0))</f>
        <v>0.15456872969643987</v>
      </c>
      <c r="C169" s="25">
        <f>INDEX(TargetProduction!$I$4:$O$18,MATCH($A169,TargetProduction!$A$4:$A$18,0), MATCH(C$161,TargetProduction!$I$3:$O$3,0))</f>
        <v>0.53094242866273467</v>
      </c>
      <c r="D169" s="25">
        <f>INDEX(TargetProduction!$I$4:$O$18,MATCH($A169,TargetProduction!$A$4:$A$18,0), MATCH(D$161,TargetProduction!$I$3:$O$3,0))</f>
        <v>0.10815836603838355</v>
      </c>
      <c r="E169" s="25">
        <f>INDEX(TargetProduction!$I$4:$O$18,MATCH($A169,TargetProduction!$A$4:$A$18,0), MATCH(E$161,TargetProduction!$I$3:$O$3,0))</f>
        <v>0.62550788615740482</v>
      </c>
      <c r="F169" s="25">
        <f>INDEX(TargetProduction!$I$4:$O$18,MATCH($A169,TargetProduction!$A$4:$A$18,0), MATCH(F$161,TargetProduction!$I$3:$O$3,0))</f>
        <v>0.11588253836178052</v>
      </c>
      <c r="G169" s="25">
        <f>INDEX(TargetProduction!$I$4:$O$18,MATCH($A169,TargetProduction!$A$4:$A$18,0), MATCH(G$161,TargetProduction!$I$3:$O$3,0))</f>
        <v>0.41382740040182631</v>
      </c>
      <c r="H169" s="25">
        <f>INDEX(TargetProduction!$I$4:$O$18,MATCH($A169,TargetProduction!$A$4:$A$18,0), MATCH(H$161,TargetProduction!$I$3:$O$3,0))</f>
        <v>6.3826773562412939E-2</v>
      </c>
      <c r="I169" s="25">
        <f>INDEX(TargetProduction!$B$4:$H$18,MATCH($A169,TargetProduction!$A$4:$A$18,0), MATCH(B$161,TargetProduction!$B$3:$H$3,0))</f>
        <v>9.0637385849186707</v>
      </c>
      <c r="J169" s="25">
        <f>INDEX(TargetProduction!$B$4:$H$18,MATCH($A169,TargetProduction!$A$4:$A$18,0), MATCH(C$161,TargetProduction!$B$3:$H$3,0))</f>
        <v>5.6183488769004066</v>
      </c>
      <c r="K169" s="25">
        <f>INDEX(TargetProduction!$B$4:$H$18,MATCH($A169,TargetProduction!$A$4:$A$18,0), MATCH(D$161,TargetProduction!$B$3:$H$3,0))</f>
        <v>2.7551947395344678</v>
      </c>
      <c r="L169" s="25">
        <f>INDEX(TargetProduction!$B$4:$H$18,MATCH($A169,TargetProduction!$A$4:$A$18,0), MATCH(E$161,TargetProduction!$B$3:$H$3,0))</f>
        <v>5.0916599683583401</v>
      </c>
      <c r="M169" s="25">
        <f>INDEX(TargetProduction!$B$4:$H$18,MATCH($A169,TargetProduction!$A$4:$A$18,0), MATCH(F$161,TargetProduction!$B$3:$H$3,0))</f>
        <v>5.1974538574840929</v>
      </c>
      <c r="N169" s="25">
        <f>INDEX(TargetProduction!$B$4:$H$18,MATCH($A169,TargetProduction!$A$4:$A$18,0), MATCH(G$161,TargetProduction!$B$3:$H$3,0))</f>
        <v>0.44904917854124643</v>
      </c>
      <c r="O169" s="25">
        <f>INDEX(TargetProduction!$B$4:$H$18,MATCH($A169,TargetProduction!$A$4:$A$18,0), MATCH(H$161,TargetProduction!$B$3:$H$3,0))</f>
        <v>1.8831967953884721</v>
      </c>
      <c r="R169" s="42">
        <f t="shared" si="24"/>
        <v>2.0127141228809826</v>
      </c>
      <c r="S169" s="42">
        <f t="shared" si="25"/>
        <v>30.058642001125694</v>
      </c>
      <c r="AA169" t="str">
        <f t="shared" si="26"/>
        <v>M5</v>
      </c>
      <c r="AB169" s="25">
        <f>SUMIFS(aFAO!$D:$D,aFAO!$B:$B,Crop!$AA169,aFAO!$A:$A,Crop!AB$161)</f>
        <v>21.387185490114199</v>
      </c>
      <c r="AC169" s="25">
        <f>SUMIFS(aFAO!$D:$D,aFAO!$B:$B,Crop!$AA169,aFAO!$A:$A,Crop!AC$161)</f>
        <v>18.251524448395266</v>
      </c>
      <c r="AD169" s="25">
        <f>SUMIFS(aFAO!$D:$D,aFAO!$B:$B,Crop!$AA169,aFAO!$A:$A,Crop!AD$161)</f>
        <v>28.981293745540707</v>
      </c>
      <c r="AE169" s="25">
        <f>SUMIFS(aFAO!$D:$D,aFAO!$B:$B,Crop!$AA169,aFAO!$A:$A,Crop!AE$161)</f>
        <v>19.703478690571323</v>
      </c>
      <c r="AF169" s="25">
        <f>SUMIFS(aFAO!$D:$D,aFAO!$B:$B,Crop!$AA169,aFAO!$A:$A,Crop!AF$161)</f>
        <v>18.824075322643889</v>
      </c>
      <c r="AG169" s="25">
        <f>SUMIFS(aFAO!$D:$D,aFAO!$B:$B,Crop!$AA169,aFAO!$A:$A,Crop!AG$161)</f>
        <v>139.05716530584385</v>
      </c>
      <c r="AH169" s="25">
        <f>SUMIFS(aFAO!$D:$D,aFAO!$B:$B,Crop!$AA169,aFAO!$A:$A,Crop!AH$161)</f>
        <v>23.591215761309158</v>
      </c>
      <c r="AI169" s="25">
        <f>SUMIFS(aFAO!$C:$C,aFAO!$B:$B,Crop!$AA169,aFAO!$A:$A,Crop!AI$161)</f>
        <v>26.454007040417228</v>
      </c>
      <c r="AJ169" s="25">
        <f>SUMIFS(aFAO!$C:$C,aFAO!$B:$B,Crop!$AA169,aFAO!$A:$A,Crop!AJ$161)</f>
        <v>29.575025476310877</v>
      </c>
      <c r="AK169" s="25">
        <f>SUMIFS(aFAO!$C:$C,aFAO!$B:$B,Crop!$AA169,aFAO!$A:$A,Crop!AK$161)</f>
        <v>76.948800489540616</v>
      </c>
      <c r="AL169" s="25">
        <f>SUMIFS(aFAO!$C:$C,aFAO!$B:$B,Crop!$AA169,aFAO!$A:$A,Crop!AL$161)</f>
        <v>25.823447740617329</v>
      </c>
      <c r="AM169" s="25">
        <f>SUMIFS(aFAO!$C:$C,aFAO!$B:$B,Crop!$AA169,aFAO!$A:$A,Crop!AM$161)</f>
        <v>47.145499980668056</v>
      </c>
      <c r="AN169" s="25">
        <f>SUMIFS(aFAO!$C:$C,aFAO!$B:$B,Crop!$AA169,aFAO!$A:$A,Crop!AN$161)</f>
        <v>157.1351540400961</v>
      </c>
      <c r="AO169" s="25">
        <f>SUMIFS(aFAO!$C:$C,aFAO!$B:$B,Crop!$AA169,aFAO!$A:$A,Crop!AO$161)</f>
        <v>15.449366326189494</v>
      </c>
    </row>
    <row r="170" spans="1:41">
      <c r="A170" t="str">
        <v>SA1</v>
      </c>
      <c r="B170" s="25">
        <f>INDEX(TargetProduction!$I$4:$O$18,MATCH($A170,TargetProduction!$A$4:$A$18,0), MATCH(B$161,TargetProduction!$I$3:$O$3,0))</f>
        <v>7.1692884646513493</v>
      </c>
      <c r="C170" s="25">
        <f>INDEX(TargetProduction!$I$4:$O$18,MATCH($A170,TargetProduction!$A$4:$A$18,0), MATCH(C$161,TargetProduction!$I$3:$O$3,0))</f>
        <v>10.989558207361046</v>
      </c>
      <c r="D170" s="25">
        <f>INDEX(TargetProduction!$I$4:$O$18,MATCH($A170,TargetProduction!$A$4:$A$18,0), MATCH(D$161,TargetProduction!$I$3:$O$3,0))</f>
        <v>58.737635470097928</v>
      </c>
      <c r="E170" s="25">
        <f>INDEX(TargetProduction!$I$4:$O$18,MATCH($A170,TargetProduction!$A$4:$A$18,0), MATCH(E$161,TargetProduction!$I$3:$O$3,0))</f>
        <v>25.084270347036405</v>
      </c>
      <c r="F170" s="25">
        <f>INDEX(TargetProduction!$I$4:$O$18,MATCH($A170,TargetProduction!$A$4:$A$18,0), MATCH(F$161,TargetProduction!$I$3:$O$3,0))</f>
        <v>3.0204691182544576</v>
      </c>
      <c r="G170" s="25">
        <f>INDEX(TargetProduction!$I$4:$O$18,MATCH($A170,TargetProduction!$A$4:$A$18,0), MATCH(G$161,TargetProduction!$I$3:$O$3,0))</f>
        <v>20.734722826632993</v>
      </c>
      <c r="H170" s="25">
        <f>INDEX(TargetProduction!$I$4:$O$18,MATCH($A170,TargetProduction!$A$4:$A$18,0), MATCH(H$161,TargetProduction!$I$3:$O$3,0))</f>
        <v>1.9726192478740676</v>
      </c>
      <c r="I170" s="25">
        <f>INDEX(TargetProduction!$B$4:$H$18,MATCH($A170,TargetProduction!$A$4:$A$18,0), MATCH(B$161,TargetProduction!$B$3:$H$3,0))</f>
        <v>21.193744050693663</v>
      </c>
      <c r="J170" s="25">
        <f>INDEX(TargetProduction!$B$4:$H$18,MATCH($A170,TargetProduction!$A$4:$A$18,0), MATCH(C$161,TargetProduction!$B$3:$H$3,0))</f>
        <v>53.035584197824178</v>
      </c>
      <c r="K170" s="25">
        <f>INDEX(TargetProduction!$B$4:$H$18,MATCH($A170,TargetProduction!$A$4:$A$18,0), MATCH(D$161,TargetProduction!$B$3:$H$3,0))</f>
        <v>27.734825129839887</v>
      </c>
      <c r="L170" s="25">
        <f>INDEX(TargetProduction!$B$4:$H$18,MATCH($A170,TargetProduction!$A$4:$A$18,0), MATCH(E$161,TargetProduction!$B$3:$H$3,0))</f>
        <v>13.007618984369447</v>
      </c>
      <c r="M170" s="25">
        <f>INDEX(TargetProduction!$B$4:$H$18,MATCH($A170,TargetProduction!$A$4:$A$18,0), MATCH(F$161,TargetProduction!$B$3:$H$3,0))</f>
        <v>3.6187882683562282</v>
      </c>
      <c r="N170" s="25">
        <f>INDEX(TargetProduction!$B$4:$H$18,MATCH($A170,TargetProduction!$A$4:$A$18,0), MATCH(G$161,TargetProduction!$B$3:$H$3,0))</f>
        <v>3.5792940951910506</v>
      </c>
      <c r="O170" s="25">
        <f>INDEX(TargetProduction!$B$4:$H$18,MATCH($A170,TargetProduction!$A$4:$A$18,0), MATCH(H$161,TargetProduction!$B$3:$H$3,0))</f>
        <v>45.507371815776409</v>
      </c>
      <c r="R170" s="42">
        <f t="shared" si="24"/>
        <v>127.70856368190825</v>
      </c>
      <c r="S170" s="42">
        <f t="shared" si="25"/>
        <v>167.67722654205085</v>
      </c>
      <c r="AA170" t="str">
        <f t="shared" si="26"/>
        <v>SA1</v>
      </c>
      <c r="AB170" s="25">
        <f>SUMIFS(aFAO!$D:$D,aFAO!$B:$B,Crop!$AA170,aFAO!$A:$A,Crop!AB$161)</f>
        <v>18.164564184598831</v>
      </c>
      <c r="AC170" s="25">
        <f>SUMIFS(aFAO!$D:$D,aFAO!$B:$B,Crop!$AA170,aFAO!$A:$A,Crop!AC$161)</f>
        <v>18.310198637390762</v>
      </c>
      <c r="AD170" s="25">
        <f>SUMIFS(aFAO!$D:$D,aFAO!$B:$B,Crop!$AA170,aFAO!$A:$A,Crop!AD$161)</f>
        <v>24.478380807344081</v>
      </c>
      <c r="AE170" s="25">
        <f>SUMIFS(aFAO!$D:$D,aFAO!$B:$B,Crop!$AA170,aFAO!$A:$A,Crop!AE$161)</f>
        <v>17.827784396500558</v>
      </c>
      <c r="AF170" s="25">
        <f>SUMIFS(aFAO!$D:$D,aFAO!$B:$B,Crop!$AA170,aFAO!$A:$A,Crop!AF$161)</f>
        <v>19.214678323379136</v>
      </c>
      <c r="AG170" s="25">
        <f>SUMIFS(aFAO!$D:$D,aFAO!$B:$B,Crop!$AA170,aFAO!$A:$A,Crop!AG$161)</f>
        <v>218.9713037724546</v>
      </c>
      <c r="AH170" s="25">
        <f>SUMIFS(aFAO!$D:$D,aFAO!$B:$B,Crop!$AA170,aFAO!$A:$A,Crop!AH$161)</f>
        <v>11.179858861189347</v>
      </c>
      <c r="AI170" s="25">
        <f>SUMIFS(aFAO!$C:$C,aFAO!$B:$B,Crop!$AA170,aFAO!$A:$A,Crop!AI$161)</f>
        <v>20.444719196700781</v>
      </c>
      <c r="AJ170" s="25">
        <f>SUMIFS(aFAO!$C:$C,aFAO!$B:$B,Crop!$AA170,aFAO!$A:$A,Crop!AJ$161)</f>
        <v>44.121681449937626</v>
      </c>
      <c r="AK170" s="25">
        <f>SUMIFS(aFAO!$C:$C,aFAO!$B:$B,Crop!$AA170,aFAO!$A:$A,Crop!AK$161)</f>
        <v>71.698111311755511</v>
      </c>
      <c r="AL170" s="25">
        <f>SUMIFS(aFAO!$C:$C,aFAO!$B:$B,Crop!$AA170,aFAO!$A:$A,Crop!AL$161)</f>
        <v>20.320640223861247</v>
      </c>
      <c r="AM170" s="25">
        <f>SUMIFS(aFAO!$C:$C,aFAO!$B:$B,Crop!$AA170,aFAO!$A:$A,Crop!AM$161)</f>
        <v>43.488225567839407</v>
      </c>
      <c r="AN170" s="25">
        <f>SUMIFS(aFAO!$C:$C,aFAO!$B:$B,Crop!$AA170,aFAO!$A:$A,Crop!AN$161)</f>
        <v>184.91096139879016</v>
      </c>
      <c r="AO170" s="25">
        <f>SUMIFS(aFAO!$C:$C,aFAO!$B:$B,Crop!$AA170,aFAO!$A:$A,Crop!AO$161)</f>
        <v>9.8544648628714651</v>
      </c>
    </row>
    <row r="171" spans="1:41">
      <c r="A171" t="str">
        <v>SA3</v>
      </c>
      <c r="B171" s="25">
        <f>INDEX(TargetProduction!$I$4:$O$18,MATCH($A171,TargetProduction!$A$4:$A$18,0), MATCH(B$161,TargetProduction!$I$3:$O$3,0))</f>
        <v>10.824354446356061</v>
      </c>
      <c r="C171" s="25">
        <f>INDEX(TargetProduction!$I$4:$O$18,MATCH($A171,TargetProduction!$A$4:$A$18,0), MATCH(C$161,TargetProduction!$I$3:$O$3,0))</f>
        <v>27.033843508387022</v>
      </c>
      <c r="D171" s="25">
        <f>INDEX(TargetProduction!$I$4:$O$18,MATCH($A171,TargetProduction!$A$4:$A$18,0), MATCH(D$161,TargetProduction!$I$3:$O$3,0))</f>
        <v>34.343497997717762</v>
      </c>
      <c r="E171" s="25">
        <f>INDEX(TargetProduction!$I$4:$O$18,MATCH($A171,TargetProduction!$A$4:$A$18,0), MATCH(E$161,TargetProduction!$I$3:$O$3,0))</f>
        <v>34.954673676445402</v>
      </c>
      <c r="F171" s="25">
        <f>INDEX(TargetProduction!$I$4:$O$18,MATCH($A171,TargetProduction!$A$4:$A$18,0), MATCH(F$161,TargetProduction!$I$3:$O$3,0))</f>
        <v>7.7523245696046246</v>
      </c>
      <c r="G171" s="25">
        <f>INDEX(TargetProduction!$I$4:$O$18,MATCH($A171,TargetProduction!$A$4:$A$18,0), MATCH(G$161,TargetProduction!$I$3:$O$3,0))</f>
        <v>24.55627588053817</v>
      </c>
      <c r="H171" s="25">
        <f>INDEX(TargetProduction!$I$4:$O$18,MATCH($A171,TargetProduction!$A$4:$A$18,0), MATCH(H$161,TargetProduction!$I$3:$O$3,0))</f>
        <v>3.0893086625857538</v>
      </c>
      <c r="I171" s="25">
        <f>INDEX(TargetProduction!$B$4:$H$18,MATCH($A171,TargetProduction!$A$4:$A$18,0), MATCH(B$161,TargetProduction!$B$3:$H$3,0))</f>
        <v>480.46960853448849</v>
      </c>
      <c r="J171" s="25">
        <f>INDEX(TargetProduction!$B$4:$H$18,MATCH($A171,TargetProduction!$A$4:$A$18,0), MATCH(C$161,TargetProduction!$B$3:$H$3,0))</f>
        <v>558.45983846151239</v>
      </c>
      <c r="K171" s="25">
        <f>INDEX(TargetProduction!$B$4:$H$18,MATCH($A171,TargetProduction!$A$4:$A$18,0), MATCH(D$161,TargetProduction!$B$3:$H$3,0))</f>
        <v>151.4101547938568</v>
      </c>
      <c r="L171" s="25">
        <f>INDEX(TargetProduction!$B$4:$H$18,MATCH($A171,TargetProduction!$A$4:$A$18,0), MATCH(E$161,TargetProduction!$B$3:$H$3,0))</f>
        <v>300.12520168908799</v>
      </c>
      <c r="M171" s="25">
        <f>INDEX(TargetProduction!$B$4:$H$18,MATCH($A171,TargetProduction!$A$4:$A$18,0), MATCH(F$161,TargetProduction!$B$3:$H$3,0))</f>
        <v>335.79081483195716</v>
      </c>
      <c r="N171" s="25">
        <f>INDEX(TargetProduction!$B$4:$H$18,MATCH($A171,TargetProduction!$A$4:$A$18,0), MATCH(G$161,TargetProduction!$B$3:$H$3,0))</f>
        <v>32.593470838286699</v>
      </c>
      <c r="O171" s="25">
        <f>INDEX(TargetProduction!$B$4:$H$18,MATCH($A171,TargetProduction!$A$4:$A$18,0), MATCH(H$161,TargetProduction!$B$3:$H$3,0))</f>
        <v>64.27189812461657</v>
      </c>
      <c r="R171" s="42">
        <f t="shared" si="24"/>
        <v>142.55427874163479</v>
      </c>
      <c r="S171" s="42">
        <f t="shared" si="25"/>
        <v>1923.1209872738061</v>
      </c>
      <c r="AA171" t="str">
        <f t="shared" si="26"/>
        <v>SA3</v>
      </c>
      <c r="AB171" s="25">
        <f>SUMIFS(aFAO!$D:$D,aFAO!$B:$B,Crop!$AA171,aFAO!$A:$A,Crop!AB$161)</f>
        <v>20.581891680510203</v>
      </c>
      <c r="AC171" s="25">
        <f>SUMIFS(aFAO!$D:$D,aFAO!$B:$B,Crop!$AA171,aFAO!$A:$A,Crop!AC$161)</f>
        <v>18.24039674568181</v>
      </c>
      <c r="AD171" s="25">
        <f>SUMIFS(aFAO!$D:$D,aFAO!$B:$B,Crop!$AA171,aFAO!$A:$A,Crop!AD$161)</f>
        <v>25.839965254376686</v>
      </c>
      <c r="AE171" s="25">
        <f>SUMIFS(aFAO!$D:$D,aFAO!$B:$B,Crop!$AA171,aFAO!$A:$A,Crop!AE$161)</f>
        <v>19.269198610112795</v>
      </c>
      <c r="AF171" s="25">
        <f>SUMIFS(aFAO!$D:$D,aFAO!$B:$B,Crop!$AA171,aFAO!$A:$A,Crop!AF$161)</f>
        <v>18.913884234476019</v>
      </c>
      <c r="AG171" s="25">
        <f>SUMIFS(aFAO!$D:$D,aFAO!$B:$B,Crop!$AA171,aFAO!$A:$A,Crop!AG$161)</f>
        <v>125.079543992814</v>
      </c>
      <c r="AH171" s="25">
        <f>SUMIFS(aFAO!$D:$D,aFAO!$B:$B,Crop!$AA171,aFAO!$A:$A,Crop!AH$161)</f>
        <v>20.010389436683514</v>
      </c>
      <c r="AI171" s="25">
        <f>SUMIFS(aFAO!$C:$C,aFAO!$B:$B,Crop!$AA171,aFAO!$A:$A,Crop!AI$161)</f>
        <v>27.598168863216486</v>
      </c>
      <c r="AJ171" s="25">
        <f>SUMIFS(aFAO!$C:$C,aFAO!$B:$B,Crop!$AA171,aFAO!$A:$A,Crop!AJ$161)</f>
        <v>35.177150406615645</v>
      </c>
      <c r="AK171" s="25">
        <f>SUMIFS(aFAO!$C:$C,aFAO!$B:$B,Crop!$AA171,aFAO!$A:$A,Crop!AK$161)</f>
        <v>108.49142007547951</v>
      </c>
      <c r="AL171" s="25">
        <f>SUMIFS(aFAO!$C:$C,aFAO!$B:$B,Crop!$AA171,aFAO!$A:$A,Crop!AL$161)</f>
        <v>30.780524282342576</v>
      </c>
      <c r="AM171" s="25">
        <f>SUMIFS(aFAO!$C:$C,aFAO!$B:$B,Crop!$AA171,aFAO!$A:$A,Crop!AM$161)</f>
        <v>69.468679404494111</v>
      </c>
      <c r="AN171" s="25">
        <f>SUMIFS(aFAO!$C:$C,aFAO!$B:$B,Crop!$AA171,aFAO!$A:$A,Crop!AN$161)</f>
        <v>194.43351525282404</v>
      </c>
      <c r="AO171" s="25">
        <f>SUMIFS(aFAO!$C:$C,aFAO!$B:$B,Crop!$AA171,aFAO!$A:$A,Crop!AO$161)</f>
        <v>17.805401361921696</v>
      </c>
    </row>
    <row r="172" spans="1:41">
      <c r="A172" t="str">
        <v>SH1</v>
      </c>
      <c r="B172" s="25">
        <f>INDEX(TargetProduction!$I$4:$O$18,MATCH($A172,TargetProduction!$A$4:$A$18,0), MATCH(B$161,TargetProduction!$I$3:$O$3,0))</f>
        <v>10.594832555792307</v>
      </c>
      <c r="C172" s="25">
        <f>INDEX(TargetProduction!$I$4:$O$18,MATCH($A172,TargetProduction!$A$4:$A$18,0), MATCH(C$161,TargetProduction!$I$3:$O$3,0))</f>
        <v>20.260666943552359</v>
      </c>
      <c r="D172" s="25">
        <f>INDEX(TargetProduction!$I$4:$O$18,MATCH($A172,TargetProduction!$A$4:$A$18,0), MATCH(D$161,TargetProduction!$I$3:$O$3,0))</f>
        <v>103.6160678681716</v>
      </c>
      <c r="E172" s="25">
        <f>INDEX(TargetProduction!$I$4:$O$18,MATCH($A172,TargetProduction!$A$4:$A$18,0), MATCH(E$161,TargetProduction!$I$3:$O$3,0))</f>
        <v>43.930794809070854</v>
      </c>
      <c r="F172" s="25">
        <f>INDEX(TargetProduction!$I$4:$O$18,MATCH($A172,TargetProduction!$A$4:$A$18,0), MATCH(F$161,TargetProduction!$I$3:$O$3,0))</f>
        <v>6.1335997269150777</v>
      </c>
      <c r="G172" s="25">
        <f>INDEX(TargetProduction!$I$4:$O$18,MATCH($A172,TargetProduction!$A$4:$A$18,0), MATCH(G$161,TargetProduction!$I$3:$O$3,0))</f>
        <v>34.662683518733559</v>
      </c>
      <c r="H172" s="25">
        <f>INDEX(TargetProduction!$I$4:$O$18,MATCH($A172,TargetProduction!$A$4:$A$18,0), MATCH(H$161,TargetProduction!$I$3:$O$3,0))</f>
        <v>4.4584212072966256</v>
      </c>
      <c r="I172" s="25">
        <f>INDEX(TargetProduction!$B$4:$H$18,MATCH($A172,TargetProduction!$A$4:$A$18,0), MATCH(B$161,TargetProduction!$B$3:$H$3,0))</f>
        <v>255.25362063252595</v>
      </c>
      <c r="J172" s="25">
        <f>INDEX(TargetProduction!$B$4:$H$18,MATCH($A172,TargetProduction!$A$4:$A$18,0), MATCH(C$161,TargetProduction!$B$3:$H$3,0))</f>
        <v>215.22854867633987</v>
      </c>
      <c r="K172" s="25">
        <f>INDEX(TargetProduction!$B$4:$H$18,MATCH($A172,TargetProduction!$A$4:$A$18,0), MATCH(D$161,TargetProduction!$B$3:$H$3,0))</f>
        <v>321.22805879391746</v>
      </c>
      <c r="L172" s="25">
        <f>INDEX(TargetProduction!$B$4:$H$18,MATCH($A172,TargetProduction!$A$4:$A$18,0), MATCH(E$161,TargetProduction!$B$3:$H$3,0))</f>
        <v>121.52225270944342</v>
      </c>
      <c r="M172" s="25">
        <f>INDEX(TargetProduction!$B$4:$H$18,MATCH($A172,TargetProduction!$A$4:$A$18,0), MATCH(F$161,TargetProduction!$B$3:$H$3,0))</f>
        <v>74.22507773305486</v>
      </c>
      <c r="N172" s="25">
        <f>INDEX(TargetProduction!$B$4:$H$18,MATCH($A172,TargetProduction!$A$4:$A$18,0), MATCH(G$161,TargetProduction!$B$3:$H$3,0))</f>
        <v>81.323975125129195</v>
      </c>
      <c r="O172" s="25">
        <f>INDEX(TargetProduction!$B$4:$H$18,MATCH($A172,TargetProduction!$A$4:$A$18,0), MATCH(H$161,TargetProduction!$B$3:$H$3,0))</f>
        <v>252.40279534203319</v>
      </c>
      <c r="R172" s="42">
        <f t="shared" si="24"/>
        <v>223.65706662953235</v>
      </c>
      <c r="S172" s="42">
        <f t="shared" si="25"/>
        <v>1321.1843290124439</v>
      </c>
      <c r="AA172" t="str">
        <f t="shared" si="26"/>
        <v>SH1</v>
      </c>
      <c r="AB172" s="25">
        <f>SUMIFS(aFAO!$D:$D,aFAO!$B:$B,Crop!$AA172,aFAO!$A:$A,Crop!AB$161)</f>
        <v>18.044427662623526</v>
      </c>
      <c r="AC172" s="25">
        <f>SUMIFS(aFAO!$D:$D,aFAO!$B:$B,Crop!$AA172,aFAO!$A:$A,Crop!AC$161)</f>
        <v>18.289009995363472</v>
      </c>
      <c r="AD172" s="25">
        <f>SUMIFS(aFAO!$D:$D,aFAO!$B:$B,Crop!$AA172,aFAO!$A:$A,Crop!AD$161)</f>
        <v>24.747945271837782</v>
      </c>
      <c r="AE172" s="25">
        <f>SUMIFS(aFAO!$D:$D,aFAO!$B:$B,Crop!$AA172,aFAO!$A:$A,Crop!AE$161)</f>
        <v>18.075163838982569</v>
      </c>
      <c r="AF172" s="25">
        <f>SUMIFS(aFAO!$D:$D,aFAO!$B:$B,Crop!$AA172,aFAO!$A:$A,Crop!AF$161)</f>
        <v>19.143529080542557</v>
      </c>
      <c r="AG172" s="25">
        <f>SUMIFS(aFAO!$D:$D,aFAO!$B:$B,Crop!$AA172,aFAO!$A:$A,Crop!AG$161)</f>
        <v>200.97155873805136</v>
      </c>
      <c r="AH172" s="25">
        <f>SUMIFS(aFAO!$D:$D,aFAO!$B:$B,Crop!$AA172,aFAO!$A:$A,Crop!AH$161)</f>
        <v>9.3175327783686495</v>
      </c>
      <c r="AI172" s="25">
        <f>SUMIFS(aFAO!$C:$C,aFAO!$B:$B,Crop!$AA172,aFAO!$A:$A,Crop!AI$161)</f>
        <v>16.278487626986855</v>
      </c>
      <c r="AJ172" s="25">
        <f>SUMIFS(aFAO!$C:$C,aFAO!$B:$B,Crop!$AA172,aFAO!$A:$A,Crop!AJ$161)</f>
        <v>26.807716082121871</v>
      </c>
      <c r="AK172" s="25">
        <f>SUMIFS(aFAO!$C:$C,aFAO!$B:$B,Crop!$AA172,aFAO!$A:$A,Crop!AK$161)</f>
        <v>47.608792810211888</v>
      </c>
      <c r="AL172" s="25">
        <f>SUMIFS(aFAO!$C:$C,aFAO!$B:$B,Crop!$AA172,aFAO!$A:$A,Crop!AL$161)</f>
        <v>17.112747477689116</v>
      </c>
      <c r="AM172" s="25">
        <f>SUMIFS(aFAO!$C:$C,aFAO!$B:$B,Crop!$AA172,aFAO!$A:$A,Crop!AM$161)</f>
        <v>29.832481965663476</v>
      </c>
      <c r="AN172" s="25">
        <f>SUMIFS(aFAO!$C:$C,aFAO!$B:$B,Crop!$AA172,aFAO!$A:$A,Crop!AN$161)</f>
        <v>162.52730285543132</v>
      </c>
      <c r="AO172" s="25">
        <f>SUMIFS(aFAO!$C:$C,aFAO!$B:$B,Crop!$AA172,aFAO!$A:$A,Crop!AO$161)</f>
        <v>8.3073906597429001</v>
      </c>
    </row>
    <row r="173" spans="1:41">
      <c r="A173" t="str">
        <v>SH3</v>
      </c>
      <c r="B173" s="25">
        <f>INDEX(TargetProduction!$I$4:$O$18,MATCH($A173,TargetProduction!$A$4:$A$18,0), MATCH(B$161,TargetProduction!$I$3:$O$3,0))</f>
        <v>13.913990193299229</v>
      </c>
      <c r="C173" s="25">
        <f>INDEX(TargetProduction!$I$4:$O$18,MATCH($A173,TargetProduction!$A$4:$A$18,0), MATCH(C$161,TargetProduction!$I$3:$O$3,0))</f>
        <v>28.697106252166783</v>
      </c>
      <c r="D173" s="25">
        <f>INDEX(TargetProduction!$I$4:$O$18,MATCH($A173,TargetProduction!$A$4:$A$18,0), MATCH(D$161,TargetProduction!$I$3:$O$3,0))</f>
        <v>129.60022976341622</v>
      </c>
      <c r="E173" s="25">
        <f>INDEX(TargetProduction!$I$4:$O$18,MATCH($A173,TargetProduction!$A$4:$A$18,0), MATCH(E$161,TargetProduction!$I$3:$O$3,0))</f>
        <v>56.238281044055888</v>
      </c>
      <c r="F173" s="25">
        <f>INDEX(TargetProduction!$I$4:$O$18,MATCH($A173,TargetProduction!$A$4:$A$18,0), MATCH(F$161,TargetProduction!$I$3:$O$3,0))</f>
        <v>9.7869382582807756</v>
      </c>
      <c r="G173" s="25">
        <f>INDEX(TargetProduction!$I$4:$O$18,MATCH($A173,TargetProduction!$A$4:$A$18,0), MATCH(G$161,TargetProduction!$I$3:$O$3,0))</f>
        <v>45.293361825492759</v>
      </c>
      <c r="H173" s="25">
        <f>INDEX(TargetProduction!$I$4:$O$18,MATCH($A173,TargetProduction!$A$4:$A$18,0), MATCH(H$161,TargetProduction!$I$3:$O$3,0))</f>
        <v>4.1881698520161548</v>
      </c>
      <c r="I173" s="25">
        <f>INDEX(TargetProduction!$B$4:$H$18,MATCH($A173,TargetProduction!$A$4:$A$18,0), MATCH(B$161,TargetProduction!$B$3:$H$3,0))</f>
        <v>517.95689565099372</v>
      </c>
      <c r="J173" s="25">
        <f>INDEX(TargetProduction!$B$4:$H$18,MATCH($A173,TargetProduction!$A$4:$A$18,0), MATCH(C$161,TargetProduction!$B$3:$H$3,0))</f>
        <v>323.36166198537057</v>
      </c>
      <c r="K173" s="25">
        <f>INDEX(TargetProduction!$B$4:$H$18,MATCH($A173,TargetProduction!$A$4:$A$18,0), MATCH(D$161,TargetProduction!$B$3:$H$3,0))</f>
        <v>504.34573501549971</v>
      </c>
      <c r="L173" s="25">
        <f>INDEX(TargetProduction!$B$4:$H$18,MATCH($A173,TargetProduction!$A$4:$A$18,0), MATCH(E$161,TargetProduction!$B$3:$H$3,0))</f>
        <v>181.08201175088175</v>
      </c>
      <c r="M173" s="25">
        <f>INDEX(TargetProduction!$B$4:$H$18,MATCH($A173,TargetProduction!$A$4:$A$18,0), MATCH(F$161,TargetProduction!$B$3:$H$3,0))</f>
        <v>195.76449840538677</v>
      </c>
      <c r="N173" s="25">
        <f>INDEX(TargetProduction!$B$4:$H$18,MATCH($A173,TargetProduction!$A$4:$A$18,0), MATCH(G$161,TargetProduction!$B$3:$H$3,0))</f>
        <v>116.01402687612912</v>
      </c>
      <c r="O173" s="25">
        <f>INDEX(TargetProduction!$B$4:$H$18,MATCH($A173,TargetProduction!$A$4:$A$18,0), MATCH(H$161,TargetProduction!$B$3:$H$3,0))</f>
        <v>308.10346774769391</v>
      </c>
      <c r="R173" s="42">
        <f t="shared" si="24"/>
        <v>287.71807718872782</v>
      </c>
      <c r="S173" s="42">
        <f t="shared" si="25"/>
        <v>2146.6282974319556</v>
      </c>
      <c r="AA173" t="str">
        <f t="shared" si="26"/>
        <v>SH3</v>
      </c>
      <c r="AB173" s="25">
        <f>SUMIFS(aFAO!$D:$D,aFAO!$B:$B,Crop!$AA173,aFAO!$A:$A,Crop!AB$161)</f>
        <v>18.153891672875719</v>
      </c>
      <c r="AC173" s="25">
        <f>SUMIFS(aFAO!$D:$D,aFAO!$B:$B,Crop!$AA173,aFAO!$A:$A,Crop!AC$161)</f>
        <v>18.270036317332668</v>
      </c>
      <c r="AD173" s="25">
        <f>SUMIFS(aFAO!$D:$D,aFAO!$B:$B,Crop!$AA173,aFAO!$A:$A,Crop!AD$161)</f>
        <v>24.773292788354379</v>
      </c>
      <c r="AE173" s="25">
        <f>SUMIFS(aFAO!$D:$D,aFAO!$B:$B,Crop!$AA173,aFAO!$A:$A,Crop!AE$161)</f>
        <v>18.086998588593502</v>
      </c>
      <c r="AF173" s="25">
        <f>SUMIFS(aFAO!$D:$D,aFAO!$B:$B,Crop!$AA173,aFAO!$A:$A,Crop!AF$161)</f>
        <v>19.102450375347107</v>
      </c>
      <c r="AG173" s="25">
        <f>SUMIFS(aFAO!$D:$D,aFAO!$B:$B,Crop!$AA173,aFAO!$A:$A,Crop!AG$161)</f>
        <v>182.53312686492993</v>
      </c>
      <c r="AH173" s="25">
        <f>SUMIFS(aFAO!$D:$D,aFAO!$B:$B,Crop!$AA173,aFAO!$A:$A,Crop!AH$161)</f>
        <v>11.228432361616834</v>
      </c>
      <c r="AI173" s="25">
        <f>SUMIFS(aFAO!$C:$C,aFAO!$B:$B,Crop!$AA173,aFAO!$A:$A,Crop!AI$161)</f>
        <v>18.001186753238866</v>
      </c>
      <c r="AJ173" s="25">
        <f>SUMIFS(aFAO!$C:$C,aFAO!$B:$B,Crop!$AA173,aFAO!$A:$A,Crop!AJ$161)</f>
        <v>25.911089670856231</v>
      </c>
      <c r="AK173" s="25">
        <f>SUMIFS(aFAO!$C:$C,aFAO!$B:$B,Crop!$AA173,aFAO!$A:$A,Crop!AK$161)</f>
        <v>50.439057595447288</v>
      </c>
      <c r="AL173" s="25">
        <f>SUMIFS(aFAO!$C:$C,aFAO!$B:$B,Crop!$AA173,aFAO!$A:$A,Crop!AL$161)</f>
        <v>18.975509751759578</v>
      </c>
      <c r="AM173" s="25">
        <f>SUMIFS(aFAO!$C:$C,aFAO!$B:$B,Crop!$AA173,aFAO!$A:$A,Crop!AM$161)</f>
        <v>33.321140785311172</v>
      </c>
      <c r="AN173" s="25">
        <f>SUMIFS(aFAO!$C:$C,aFAO!$B:$B,Crop!$AA173,aFAO!$A:$A,Crop!AN$161)</f>
        <v>143.65233295159828</v>
      </c>
      <c r="AO173" s="25">
        <f>SUMIFS(aFAO!$C:$C,aFAO!$B:$B,Crop!$AA173,aFAO!$A:$A,Crop!AO$161)</f>
        <v>9.356611505157403</v>
      </c>
    </row>
    <row r="174" spans="1:41">
      <c r="A174" t="str">
        <v>SM2</v>
      </c>
      <c r="B174" s="25">
        <f>INDEX(TargetProduction!$I$4:$O$18,MATCH($A174,TargetProduction!$A$4:$A$18,0), MATCH(B$161,TargetProduction!$I$3:$O$3,0))</f>
        <v>3.4658808090522366</v>
      </c>
      <c r="C174" s="25">
        <f>INDEX(TargetProduction!$I$4:$O$18,MATCH($A174,TargetProduction!$A$4:$A$18,0), MATCH(C$161,TargetProduction!$I$3:$O$3,0))</f>
        <v>12.1202843126355</v>
      </c>
      <c r="D174" s="25">
        <f>INDEX(TargetProduction!$I$4:$O$18,MATCH($A174,TargetProduction!$A$4:$A$18,0), MATCH(D$161,TargetProduction!$I$3:$O$3,0))</f>
        <v>44.866655619837111</v>
      </c>
      <c r="E174" s="25">
        <f>INDEX(TargetProduction!$I$4:$O$18,MATCH($A174,TargetProduction!$A$4:$A$18,0), MATCH(E$161,TargetProduction!$I$3:$O$3,0))</f>
        <v>15.889791864178969</v>
      </c>
      <c r="F174" s="25">
        <f>INDEX(TargetProduction!$I$4:$O$18,MATCH($A174,TargetProduction!$A$4:$A$18,0), MATCH(F$161,TargetProduction!$I$3:$O$3,0))</f>
        <v>6.8869794758410858</v>
      </c>
      <c r="G174" s="25">
        <f>INDEX(TargetProduction!$I$4:$O$18,MATCH($A174,TargetProduction!$A$4:$A$18,0), MATCH(G$161,TargetProduction!$I$3:$O$3,0))</f>
        <v>11.974601562093717</v>
      </c>
      <c r="H174" s="25">
        <f>INDEX(TargetProduction!$I$4:$O$18,MATCH($A174,TargetProduction!$A$4:$A$18,0), MATCH(H$161,TargetProduction!$I$3:$O$3,0))</f>
        <v>0.73945034299318879</v>
      </c>
      <c r="I174" s="25">
        <f>INDEX(TargetProduction!$B$4:$H$18,MATCH($A174,TargetProduction!$A$4:$A$18,0), MATCH(B$161,TargetProduction!$B$3:$H$3,0))</f>
        <v>27.230901114947166</v>
      </c>
      <c r="J174" s="25">
        <f>INDEX(TargetProduction!$B$4:$H$18,MATCH($A174,TargetProduction!$A$4:$A$18,0), MATCH(C$161,TargetProduction!$B$3:$H$3,0))</f>
        <v>180.16822724205176</v>
      </c>
      <c r="K174" s="25">
        <f>INDEX(TargetProduction!$B$4:$H$18,MATCH($A174,TargetProduction!$A$4:$A$18,0), MATCH(D$161,TargetProduction!$B$3:$H$3,0))</f>
        <v>67.202878553740774</v>
      </c>
      <c r="L174" s="25">
        <f>INDEX(TargetProduction!$B$4:$H$18,MATCH($A174,TargetProduction!$A$4:$A$18,0), MATCH(E$161,TargetProduction!$B$3:$H$3,0))</f>
        <v>28.21983254098711</v>
      </c>
      <c r="M174" s="25">
        <f>INDEX(TargetProduction!$B$4:$H$18,MATCH($A174,TargetProduction!$A$4:$A$18,0), MATCH(F$161,TargetProduction!$B$3:$H$3,0))</f>
        <v>62.11337422608338</v>
      </c>
      <c r="N174" s="25">
        <f>INDEX(TargetProduction!$B$4:$H$18,MATCH($A174,TargetProduction!$A$4:$A$18,0), MATCH(G$161,TargetProduction!$B$3:$H$3,0))</f>
        <v>14.176795303260899</v>
      </c>
      <c r="O174" s="25">
        <f>INDEX(TargetProduction!$B$4:$H$18,MATCH($A174,TargetProduction!$A$4:$A$18,0), MATCH(H$161,TargetProduction!$B$3:$H$3,0))</f>
        <v>38.684062012622931</v>
      </c>
      <c r="R174" s="42">
        <f t="shared" si="24"/>
        <v>95.943643986631827</v>
      </c>
      <c r="S174" s="42">
        <f t="shared" si="25"/>
        <v>417.79607099369406</v>
      </c>
      <c r="AA174" t="str">
        <f t="shared" si="26"/>
        <v>SM2</v>
      </c>
      <c r="AB174" s="25">
        <f>SUMIFS(aFAO!$D:$D,aFAO!$B:$B,Crop!$AA174,aFAO!$A:$A,Crop!AB$161)</f>
        <v>19.016159008751526</v>
      </c>
      <c r="AC174" s="25">
        <f>SUMIFS(aFAO!$D:$D,aFAO!$B:$B,Crop!$AA174,aFAO!$A:$A,Crop!AC$161)</f>
        <v>18.164157664435788</v>
      </c>
      <c r="AD174" s="25">
        <f>SUMIFS(aFAO!$D:$D,aFAO!$B:$B,Crop!$AA174,aFAO!$A:$A,Crop!AD$161)</f>
        <v>25.901289579002039</v>
      </c>
      <c r="AE174" s="25">
        <f>SUMIFS(aFAO!$D:$D,aFAO!$B:$B,Crop!$AA174,aFAO!$A:$A,Crop!AE$161)</f>
        <v>18.82496238909993</v>
      </c>
      <c r="AF174" s="25">
        <f>SUMIFS(aFAO!$D:$D,aFAO!$B:$B,Crop!$AA174,aFAO!$A:$A,Crop!AF$161)</f>
        <v>18.987483420444224</v>
      </c>
      <c r="AG174" s="25">
        <f>SUMIFS(aFAO!$D:$D,aFAO!$B:$B,Crop!$AA174,aFAO!$A:$A,Crop!AG$161)</f>
        <v>0</v>
      </c>
      <c r="AH174" s="25">
        <f>SUMIFS(aFAO!$D:$D,aFAO!$B:$B,Crop!$AA174,aFAO!$A:$A,Crop!AH$161)</f>
        <v>3.2577293693199985</v>
      </c>
      <c r="AI174" s="25">
        <f>SUMIFS(aFAO!$C:$C,aFAO!$B:$B,Crop!$AA174,aFAO!$A:$A,Crop!AI$161)</f>
        <v>44.236758463666838</v>
      </c>
      <c r="AJ174" s="25">
        <f>SUMIFS(aFAO!$C:$C,aFAO!$B:$B,Crop!$AA174,aFAO!$A:$A,Crop!AJ$161)</f>
        <v>79.726494795600914</v>
      </c>
      <c r="AK174" s="25">
        <f>SUMIFS(aFAO!$C:$C,aFAO!$B:$B,Crop!$AA174,aFAO!$A:$A,Crop!AK$161)</f>
        <v>2998.8658261376363</v>
      </c>
      <c r="AL174" s="25">
        <f>SUMIFS(aFAO!$C:$C,aFAO!$B:$B,Crop!$AA174,aFAO!$A:$A,Crop!AL$161)</f>
        <v>64.235848957582419</v>
      </c>
      <c r="AM174" s="25">
        <f>SUMIFS(aFAO!$C:$C,aFAO!$B:$B,Crop!$AA174,aFAO!$A:$A,Crop!AM$161)</f>
        <v>450.89726234859421</v>
      </c>
      <c r="AN174" s="25">
        <f>SUMIFS(aFAO!$C:$C,aFAO!$B:$B,Crop!$AA174,aFAO!$A:$A,Crop!AN$161)</f>
        <v>1074.5031868552257</v>
      </c>
      <c r="AO174" s="25">
        <f>SUMIFS(aFAO!$C:$C,aFAO!$B:$B,Crop!$AA174,aFAO!$A:$A,Crop!AO$161)</f>
        <v>44.39278398095589</v>
      </c>
    </row>
    <row r="175" spans="1:41">
      <c r="A175" t="str">
        <v>SM2N</v>
      </c>
      <c r="B175" s="25">
        <f>INDEX(TargetProduction!$I$4:$O$18,MATCH($A175,TargetProduction!$A$4:$A$18,0), MATCH(B$161,TargetProduction!$I$3:$O$3,0))</f>
        <v>4.3161120542960871</v>
      </c>
      <c r="C175" s="25">
        <f>INDEX(TargetProduction!$I$4:$O$18,MATCH($A175,TargetProduction!$A$4:$A$18,0), MATCH(C$161,TargetProduction!$I$3:$O$3,0))</f>
        <v>10.066459375036372</v>
      </c>
      <c r="D175" s="25">
        <f>INDEX(TargetProduction!$I$4:$O$18,MATCH($A175,TargetProduction!$A$4:$A$18,0), MATCH(D$161,TargetProduction!$I$3:$O$3,0))</f>
        <v>3.5905698835862632</v>
      </c>
      <c r="E175" s="25">
        <f>INDEX(TargetProduction!$I$4:$O$18,MATCH($A175,TargetProduction!$A$4:$A$18,0), MATCH(E$161,TargetProduction!$I$3:$O$3,0))</f>
        <v>11.865401474699352</v>
      </c>
      <c r="F175" s="25">
        <f>INDEX(TargetProduction!$I$4:$O$18,MATCH($A175,TargetProduction!$A$4:$A$18,0), MATCH(F$161,TargetProduction!$I$3:$O$3,0))</f>
        <v>2.1970872955718499</v>
      </c>
      <c r="G175" s="25">
        <f>INDEX(TargetProduction!$I$4:$O$18,MATCH($A175,TargetProduction!$A$4:$A$18,0), MATCH(G$161,TargetProduction!$I$3:$O$3,0))</f>
        <v>7.8471501203540557</v>
      </c>
      <c r="H175" s="25">
        <f>INDEX(TargetProduction!$I$4:$O$18,MATCH($A175,TargetProduction!$A$4:$A$18,0), MATCH(H$161,TargetProduction!$I$3:$O$3,0))</f>
        <v>1.2101304932889634</v>
      </c>
      <c r="I175" s="25">
        <f>INDEX(TargetProduction!$B$4:$H$18,MATCH($A175,TargetProduction!$A$4:$A$18,0), MATCH(B$161,TargetProduction!$B$3:$H$3,0))</f>
        <v>108.1155480507614</v>
      </c>
      <c r="J175" s="25">
        <f>INDEX(TargetProduction!$B$4:$H$18,MATCH($A175,TargetProduction!$A$4:$A$18,0), MATCH(C$161,TargetProduction!$B$3:$H$3,0))</f>
        <v>197.01106932033113</v>
      </c>
      <c r="K175" s="25">
        <f>INDEX(TargetProduction!$B$4:$H$18,MATCH($A175,TargetProduction!$A$4:$A$18,0), MATCH(D$161,TargetProduction!$B$3:$H$3,0))</f>
        <v>48.042020410692359</v>
      </c>
      <c r="L175" s="25">
        <f>INDEX(TargetProduction!$B$4:$H$18,MATCH($A175,TargetProduction!$A$4:$A$18,0), MATCH(E$161,TargetProduction!$B$3:$H$3,0))</f>
        <v>52.309585166615882</v>
      </c>
      <c r="M175" s="25">
        <f>INDEX(TargetProduction!$B$4:$H$18,MATCH($A175,TargetProduction!$A$4:$A$18,0), MATCH(F$161,TargetProduction!$B$3:$H$3,0))</f>
        <v>42.699446228423255</v>
      </c>
      <c r="N175" s="25">
        <f>INDEX(TargetProduction!$B$4:$H$18,MATCH($A175,TargetProduction!$A$4:$A$18,0), MATCH(G$161,TargetProduction!$B$3:$H$3,0))</f>
        <v>5.8649399873935897</v>
      </c>
      <c r="O175" s="25">
        <f>INDEX(TargetProduction!$B$4:$H$18,MATCH($A175,TargetProduction!$A$4:$A$18,0), MATCH(H$161,TargetProduction!$B$3:$H$3,0))</f>
        <v>84.324189407460722</v>
      </c>
      <c r="R175" s="42">
        <f t="shared" si="24"/>
        <v>41.092910696832945</v>
      </c>
      <c r="S175" s="42">
        <f t="shared" si="25"/>
        <v>538.36679857167837</v>
      </c>
      <c r="AA175" t="str">
        <f t="shared" si="26"/>
        <v>SM2N</v>
      </c>
      <c r="AB175" s="25">
        <f>SUMIFS(aFAO!$D:$D,aFAO!$B:$B,Crop!$AA175,aFAO!$A:$A,Crop!AB$161)</f>
        <v>21.282859098759598</v>
      </c>
      <c r="AC175" s="25">
        <f>SUMIFS(aFAO!$D:$D,aFAO!$B:$B,Crop!$AA175,aFAO!$A:$A,Crop!AC$161)</f>
        <v>18.251524448395262</v>
      </c>
      <c r="AD175" s="25">
        <f>SUMIFS(aFAO!$D:$D,aFAO!$B:$B,Crop!$AA175,aFAO!$A:$A,Crop!AD$161)</f>
        <v>30.319220452982208</v>
      </c>
      <c r="AE175" s="25">
        <f>SUMIFS(aFAO!$D:$D,aFAO!$B:$B,Crop!$AA175,aFAO!$A:$A,Crop!AE$161)</f>
        <v>19.703725509702743</v>
      </c>
      <c r="AF175" s="25">
        <f>SUMIFS(aFAO!$D:$D,aFAO!$B:$B,Crop!$AA175,aFAO!$A:$A,Crop!AF$161)</f>
        <v>18.824075322643889</v>
      </c>
      <c r="AG175" s="25">
        <f>SUMIFS(aFAO!$D:$D,aFAO!$B:$B,Crop!$AA175,aFAO!$A:$A,Crop!AG$161)</f>
        <v>139.05586721935427</v>
      </c>
      <c r="AH175" s="25">
        <f>SUMIFS(aFAO!$D:$D,aFAO!$B:$B,Crop!$AA175,aFAO!$A:$A,Crop!AH$161)</f>
        <v>23.591215761309165</v>
      </c>
      <c r="AI175" s="25">
        <f>SUMIFS(aFAO!$C:$C,aFAO!$B:$B,Crop!$AA175,aFAO!$A:$A,Crop!AI$161)</f>
        <v>47.248251779809237</v>
      </c>
      <c r="AJ175" s="25">
        <f>SUMIFS(aFAO!$C:$C,aFAO!$B:$B,Crop!$AA175,aFAO!$A:$A,Crop!AJ$161)</f>
        <v>63.653373587066014</v>
      </c>
      <c r="AK175" s="25">
        <f>SUMIFS(aFAO!$C:$C,aFAO!$B:$B,Crop!$AA175,aFAO!$A:$A,Crop!AK$161)</f>
        <v>508.65632794082325</v>
      </c>
      <c r="AL175" s="25">
        <f>SUMIFS(aFAO!$C:$C,aFAO!$B:$B,Crop!$AA175,aFAO!$A:$A,Crop!AL$161)</f>
        <v>50.623352636437772</v>
      </c>
      <c r="AM175" s="25">
        <f>SUMIFS(aFAO!$C:$C,aFAO!$B:$B,Crop!$AA175,aFAO!$A:$A,Crop!AM$161)</f>
        <v>224.33063798170667</v>
      </c>
      <c r="AN175" s="25">
        <f>SUMIFS(aFAO!$C:$C,aFAO!$B:$B,Crop!$AA175,aFAO!$A:$A,Crop!AN$161)</f>
        <v>247.87861770398032</v>
      </c>
      <c r="AO175" s="25">
        <f>SUMIFS(aFAO!$C:$C,aFAO!$B:$B,Crop!$AA175,aFAO!$A:$A,Crop!AO$161)</f>
        <v>35.634061169557128</v>
      </c>
    </row>
    <row r="176" spans="1:41">
      <c r="A176" t="str">
        <v>External</v>
      </c>
      <c r="B176" s="25">
        <f>INDEX(TargetProduction!$I$4:$O$18,MATCH($A176,TargetProduction!$A$4:$A$18,0), MATCH(B$161,TargetProduction!$I$3:$O$3,0))</f>
        <v>0</v>
      </c>
      <c r="C176" s="25">
        <f>INDEX(TargetProduction!$I$4:$O$18,MATCH($A176,TargetProduction!$A$4:$A$18,0), MATCH(C$161,TargetProduction!$I$3:$O$3,0))</f>
        <v>0</v>
      </c>
      <c r="D176" s="25">
        <f>INDEX(TargetProduction!$I$4:$O$18,MATCH($A176,TargetProduction!$A$4:$A$18,0), MATCH(D$161,TargetProduction!$I$3:$O$3,0))</f>
        <v>0</v>
      </c>
      <c r="E176" s="25">
        <f>INDEX(TargetProduction!$I$4:$O$18,MATCH($A176,TargetProduction!$A$4:$A$18,0), MATCH(E$161,TargetProduction!$I$3:$O$3,0))</f>
        <v>0</v>
      </c>
      <c r="F176" s="25">
        <f>INDEX(TargetProduction!$I$4:$O$18,MATCH($A176,TargetProduction!$A$4:$A$18,0), MATCH(F$161,TargetProduction!$I$3:$O$3,0))</f>
        <v>0</v>
      </c>
      <c r="G176" s="25">
        <f>INDEX(TargetProduction!$I$4:$O$18,MATCH($A176,TargetProduction!$A$4:$A$18,0), MATCH(G$161,TargetProduction!$I$3:$O$3,0))</f>
        <v>0</v>
      </c>
      <c r="H176" s="25">
        <f>INDEX(TargetProduction!$I$4:$O$18,MATCH($A176,TargetProduction!$A$4:$A$18,0), MATCH(H$161,TargetProduction!$I$3:$O$3,0))</f>
        <v>0</v>
      </c>
      <c r="I176" s="25">
        <f>INDEX(TargetProduction!$B$4:$H$18,MATCH($A176,TargetProduction!$A$4:$A$18,0), MATCH(B$161,TargetProduction!$B$3:$H$3,0))</f>
        <v>0</v>
      </c>
      <c r="J176" s="25">
        <f>INDEX(TargetProduction!$B$4:$H$18,MATCH($A176,TargetProduction!$A$4:$A$18,0), MATCH(C$161,TargetProduction!$B$3:$H$3,0))</f>
        <v>0</v>
      </c>
      <c r="K176" s="25">
        <f>INDEX(TargetProduction!$B$4:$H$18,MATCH($A176,TargetProduction!$A$4:$A$18,0), MATCH(D$161,TargetProduction!$B$3:$H$3,0))</f>
        <v>0</v>
      </c>
      <c r="L176" s="25">
        <f>INDEX(TargetProduction!$B$4:$H$18,MATCH($A176,TargetProduction!$A$4:$A$18,0), MATCH(E$161,TargetProduction!$B$3:$H$3,0))</f>
        <v>0</v>
      </c>
      <c r="M176" s="25">
        <f>INDEX(TargetProduction!$B$4:$H$18,MATCH($A176,TargetProduction!$A$4:$A$18,0), MATCH(F$161,TargetProduction!$B$3:$H$3,0))</f>
        <v>0</v>
      </c>
      <c r="N176" s="25">
        <f>INDEX(TargetProduction!$B$4:$H$18,MATCH($A176,TargetProduction!$A$4:$A$18,0), MATCH(G$161,TargetProduction!$B$3:$H$3,0))</f>
        <v>0</v>
      </c>
      <c r="O176" s="25">
        <f>INDEX(TargetProduction!$B$4:$H$18,MATCH($A176,TargetProduction!$A$4:$A$18,0), MATCH(H$161,TargetProduction!$B$3:$H$3,0))</f>
        <v>0</v>
      </c>
      <c r="R176" s="42">
        <f t="shared" si="24"/>
        <v>0</v>
      </c>
      <c r="S176" s="42">
        <f t="shared" si="25"/>
        <v>0</v>
      </c>
      <c r="AA176" t="str">
        <f t="shared" si="26"/>
        <v>External</v>
      </c>
      <c r="AB176" s="25">
        <f>SUMIFS(aFAO!$D:$D,aFAO!$B:$B,Crop!$AA176,aFAO!$A:$A,Crop!AB$161)</f>
        <v>0</v>
      </c>
      <c r="AC176" s="25">
        <f>SUMIFS(aFAO!$D:$D,aFAO!$B:$B,Crop!$AA176,aFAO!$A:$A,Crop!AC$161)</f>
        <v>0</v>
      </c>
      <c r="AD176" s="25">
        <f>SUMIFS(aFAO!$D:$D,aFAO!$B:$B,Crop!$AA176,aFAO!$A:$A,Crop!AD$161)</f>
        <v>0</v>
      </c>
      <c r="AE176" s="25">
        <f>SUMIFS(aFAO!$D:$D,aFAO!$B:$B,Crop!$AA176,aFAO!$A:$A,Crop!AE$161)</f>
        <v>0</v>
      </c>
      <c r="AF176" s="25">
        <f>SUMIFS(aFAO!$D:$D,aFAO!$B:$B,Crop!$AA176,aFAO!$A:$A,Crop!AF$161)</f>
        <v>0</v>
      </c>
      <c r="AG176" s="25">
        <f>SUMIFS(aFAO!$D:$D,aFAO!$B:$B,Crop!$AA176,aFAO!$A:$A,Crop!AG$161)</f>
        <v>0</v>
      </c>
      <c r="AH176" s="25">
        <f>SUMIFS(aFAO!$D:$D,aFAO!$B:$B,Crop!$AA176,aFAO!$A:$A,Crop!AH$161)</f>
        <v>0</v>
      </c>
      <c r="AI176" s="25">
        <f>SUMIFS(aFAO!$C:$C,aFAO!$B:$B,Crop!$AA176,aFAO!$A:$A,Crop!AI$161)</f>
        <v>0</v>
      </c>
      <c r="AJ176" s="25">
        <f>SUMIFS(aFAO!$C:$C,aFAO!$B:$B,Crop!$AA176,aFAO!$A:$A,Crop!AJ$161)</f>
        <v>0</v>
      </c>
      <c r="AK176" s="25">
        <f>SUMIFS(aFAO!$C:$C,aFAO!$B:$B,Crop!$AA176,aFAO!$A:$A,Crop!AK$161)</f>
        <v>0</v>
      </c>
      <c r="AL176" s="25">
        <f>SUMIFS(aFAO!$C:$C,aFAO!$B:$B,Crop!$AA176,aFAO!$A:$A,Crop!AL$161)</f>
        <v>0</v>
      </c>
      <c r="AM176" s="25">
        <f>SUMIFS(aFAO!$C:$C,aFAO!$B:$B,Crop!$AA176,aFAO!$A:$A,Crop!AM$161)</f>
        <v>0</v>
      </c>
      <c r="AN176" s="25">
        <f>SUMIFS(aFAO!$C:$C,aFAO!$B:$B,Crop!$AA176,aFAO!$A:$A,Crop!AN$161)</f>
        <v>0</v>
      </c>
      <c r="AO176" s="25">
        <f>SUMIFS(aFAO!$C:$C,aFAO!$B:$B,Crop!$AA176,aFAO!$A:$A,Crop!AO$161)</f>
        <v>0</v>
      </c>
    </row>
    <row r="177" spans="1:27"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</row>
    <row r="178" spans="1:27">
      <c r="AA178" t="s">
        <v>87</v>
      </c>
    </row>
    <row r="181" spans="1:27">
      <c r="B181" t="str">
        <f t="array" ref="B181:H181">TRANSPOSE(Crops)</f>
        <v>Teff</v>
      </c>
      <c r="C181" t="str">
        <v>Sorghum</v>
      </c>
      <c r="D181" t="str">
        <v>Maize</v>
      </c>
      <c r="E181" t="str">
        <v>Lentils</v>
      </c>
      <c r="F181" t="str">
        <v>Wheat</v>
      </c>
      <c r="G181" t="str">
        <v>Vegetables</v>
      </c>
      <c r="H181" t="str">
        <v>CashCrop</v>
      </c>
    </row>
    <row r="182" spans="1:27">
      <c r="A182" t="str">
        <f t="array" ref="A182:A196">Nodes</f>
        <v>AddisAbaba</v>
      </c>
      <c r="B182" s="42">
        <v>64.073881525410442</v>
      </c>
      <c r="C182" s="42">
        <v>61.122545161719927</v>
      </c>
      <c r="D182" s="42">
        <v>45.358229318916713</v>
      </c>
      <c r="E182" s="42">
        <v>33.309522673682416</v>
      </c>
      <c r="F182" s="42">
        <v>33.648208174128179</v>
      </c>
      <c r="G182" s="42">
        <v>9.4207958474594342</v>
      </c>
      <c r="H182" s="42">
        <v>30.585548779955531</v>
      </c>
    </row>
    <row r="183" spans="1:27">
      <c r="A183" t="str">
        <v>Semera</v>
      </c>
      <c r="B183" s="42">
        <v>64.073881525410442</v>
      </c>
      <c r="C183" s="42">
        <v>61.122545161719927</v>
      </c>
      <c r="D183" s="42">
        <v>45.358229318916713</v>
      </c>
      <c r="E183" s="42">
        <v>33.309522673682416</v>
      </c>
      <c r="F183" s="42">
        <v>33.648208174128179</v>
      </c>
      <c r="G183" s="42">
        <v>9.4207958474594342</v>
      </c>
      <c r="H183" s="42">
        <v>30.585548779955531</v>
      </c>
    </row>
    <row r="184" spans="1:27">
      <c r="A184" t="str">
        <v>BahirDar</v>
      </c>
      <c r="B184" s="42">
        <v>64.073881525410442</v>
      </c>
      <c r="C184" s="42">
        <v>61.122545161719927</v>
      </c>
      <c r="D184" s="42">
        <v>45.358229318916713</v>
      </c>
      <c r="E184" s="42">
        <v>33.309522673682416</v>
      </c>
      <c r="F184" s="42">
        <v>33.648208174128179</v>
      </c>
      <c r="G184" s="42">
        <v>9.4207958474594342</v>
      </c>
      <c r="H184" s="42">
        <v>30.585548779955531</v>
      </c>
    </row>
    <row r="185" spans="1:27">
      <c r="A185" t="str">
        <v>Asosa</v>
      </c>
      <c r="B185" s="42">
        <v>64.073881525410442</v>
      </c>
      <c r="C185" s="42">
        <v>61.122545161719927</v>
      </c>
      <c r="D185" s="42">
        <v>45.358229318916713</v>
      </c>
      <c r="E185" s="42">
        <v>33.309522673682416</v>
      </c>
      <c r="F185" s="42">
        <v>33.648208174128179</v>
      </c>
      <c r="G185" s="42">
        <v>9.4207958474594342</v>
      </c>
      <c r="H185" s="42">
        <v>30.585548779955531</v>
      </c>
    </row>
    <row r="186" spans="1:27">
      <c r="A186" t="str">
        <v>DireDawa</v>
      </c>
      <c r="B186" s="42">
        <v>64.073881525410442</v>
      </c>
      <c r="C186" s="42">
        <v>61.122545161719927</v>
      </c>
      <c r="D186" s="42">
        <v>45.358229318916713</v>
      </c>
      <c r="E186" s="42">
        <v>33.309522673682416</v>
      </c>
      <c r="F186" s="42">
        <v>33.648208174128179</v>
      </c>
      <c r="G186" s="42">
        <v>9.4207958474594342</v>
      </c>
      <c r="H186" s="42">
        <v>30.585548779955531</v>
      </c>
    </row>
    <row r="187" spans="1:27">
      <c r="A187" t="str">
        <v>Gambela</v>
      </c>
      <c r="B187" s="42">
        <v>64.073881525410442</v>
      </c>
      <c r="C187" s="42">
        <v>61.122545161719927</v>
      </c>
      <c r="D187" s="42">
        <v>45.358229318916713</v>
      </c>
      <c r="E187" s="42">
        <v>33.309522673682416</v>
      </c>
      <c r="F187" s="42">
        <v>33.648208174128179</v>
      </c>
      <c r="G187" s="42">
        <v>9.4207958474594342</v>
      </c>
      <c r="H187" s="42">
        <v>30.585548779955531</v>
      </c>
    </row>
    <row r="188" spans="1:27">
      <c r="A188" t="str">
        <v>Harar</v>
      </c>
      <c r="B188" s="42">
        <v>64.073881525410442</v>
      </c>
      <c r="C188" s="42">
        <v>61.122545161719927</v>
      </c>
      <c r="D188" s="42">
        <v>45.358229318916713</v>
      </c>
      <c r="E188" s="42">
        <v>33.309522673682416</v>
      </c>
      <c r="F188" s="42">
        <v>33.648208174128179</v>
      </c>
      <c r="G188" s="42">
        <v>9.4207958474594342</v>
      </c>
      <c r="H188" s="42">
        <v>30.585548779955531</v>
      </c>
    </row>
    <row r="189" spans="1:27">
      <c r="A189" t="str">
        <v>Jijiga</v>
      </c>
      <c r="B189" s="42">
        <v>64.073881525410442</v>
      </c>
      <c r="C189" s="42">
        <v>61.122545161719927</v>
      </c>
      <c r="D189" s="42">
        <v>45.358229318916713</v>
      </c>
      <c r="E189" s="42">
        <v>33.309522673682416</v>
      </c>
      <c r="F189" s="42">
        <v>33.648208174128179</v>
      </c>
      <c r="G189" s="42">
        <v>9.4207958474594342</v>
      </c>
      <c r="H189" s="42">
        <v>30.585548779955531</v>
      </c>
    </row>
    <row r="190" spans="1:27">
      <c r="A190" t="str">
        <v>Awasa</v>
      </c>
      <c r="B190" s="42">
        <v>64.073881525410442</v>
      </c>
      <c r="C190" s="42">
        <v>61.122545161719927</v>
      </c>
      <c r="D190" s="42">
        <v>45.358229318916713</v>
      </c>
      <c r="E190" s="42">
        <v>33.309522673682416</v>
      </c>
      <c r="F190" s="42">
        <v>33.648208174128179</v>
      </c>
      <c r="G190" s="42">
        <v>9.4207958474594342</v>
      </c>
      <c r="H190" s="42">
        <v>30.585548779955531</v>
      </c>
    </row>
    <row r="191" spans="1:27">
      <c r="A191" t="str">
        <v>Mekelle</v>
      </c>
      <c r="B191" s="42">
        <v>64.073881525410442</v>
      </c>
      <c r="C191" s="42">
        <v>61.122545161719927</v>
      </c>
      <c r="D191" s="42">
        <v>45.358229318916713</v>
      </c>
      <c r="E191" s="42">
        <v>33.309522673682416</v>
      </c>
      <c r="F191" s="42">
        <v>33.648208174128179</v>
      </c>
      <c r="G191" s="42">
        <v>9.4207958474594342</v>
      </c>
      <c r="H191" s="42">
        <v>30.585548779955531</v>
      </c>
    </row>
    <row r="192" spans="1:27">
      <c r="A192" t="str">
        <v>Gondar</v>
      </c>
      <c r="B192" s="42">
        <v>64.073881525410442</v>
      </c>
      <c r="C192" s="42">
        <v>61.122545161719927</v>
      </c>
      <c r="D192" s="42">
        <v>45.358229318916713</v>
      </c>
      <c r="E192" s="42">
        <v>33.309522673682416</v>
      </c>
      <c r="F192" s="42">
        <v>33.648208174128179</v>
      </c>
      <c r="G192" s="42">
        <v>9.4207958474594342</v>
      </c>
      <c r="H192" s="42">
        <v>30.585548779955531</v>
      </c>
    </row>
    <row r="193" spans="1:8">
      <c r="A193" t="str">
        <v>Jimma</v>
      </c>
      <c r="B193" s="42">
        <v>64.073881525410442</v>
      </c>
      <c r="C193" s="42">
        <v>61.122545161719927</v>
      </c>
      <c r="D193" s="42">
        <v>45.358229318916713</v>
      </c>
      <c r="E193" s="42">
        <v>33.309522673682416</v>
      </c>
      <c r="F193" s="42">
        <v>33.648208174128179</v>
      </c>
      <c r="G193" s="42">
        <v>9.4207958474594342</v>
      </c>
      <c r="H193" s="42">
        <v>30.585548779955531</v>
      </c>
    </row>
    <row r="194" spans="1:8">
      <c r="A194" t="str">
        <v>Werder</v>
      </c>
      <c r="B194" s="42">
        <v>64.073881525410442</v>
      </c>
      <c r="C194" s="42">
        <v>61.122545161719927</v>
      </c>
      <c r="D194" s="42">
        <v>45.358229318916713</v>
      </c>
      <c r="E194" s="42">
        <v>33.309522673682416</v>
      </c>
      <c r="F194" s="42">
        <v>33.648208174128179</v>
      </c>
      <c r="G194" s="42">
        <v>9.4207958474594342</v>
      </c>
      <c r="H194" s="42">
        <v>30.585548779955531</v>
      </c>
    </row>
    <row r="195" spans="1:8">
      <c r="A195" t="str">
        <v>Goba</v>
      </c>
      <c r="B195" s="42">
        <v>64.073881525410442</v>
      </c>
      <c r="C195" s="42">
        <v>61.122545161719927</v>
      </c>
      <c r="D195" s="42">
        <v>45.358229318916713</v>
      </c>
      <c r="E195" s="42">
        <v>33.309522673682416</v>
      </c>
      <c r="F195" s="42">
        <v>33.648208174128179</v>
      </c>
      <c r="G195" s="42">
        <v>9.4207958474594342</v>
      </c>
      <c r="H195" s="42">
        <v>30.585548779955531</v>
      </c>
    </row>
    <row r="196" spans="1:8">
      <c r="A196" t="str">
        <v>External</v>
      </c>
      <c r="B196" s="42">
        <v>64.073881525410442</v>
      </c>
      <c r="C196" s="42">
        <v>61.122545161719927</v>
      </c>
      <c r="D196" s="42">
        <v>45.358229318916713</v>
      </c>
      <c r="E196" s="42">
        <v>33.309522673682416</v>
      </c>
      <c r="F196" s="42">
        <v>33.648208174128179</v>
      </c>
      <c r="G196" s="42">
        <v>9.4207958474594342</v>
      </c>
      <c r="H196" s="42">
        <v>30.585548779955531</v>
      </c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K162"/>
  <sheetViews>
    <sheetView zoomScale="85" zoomScaleNormal="85" workbookViewId="0">
      <selection activeCell="D1" sqref="D1"/>
    </sheetView>
  </sheetViews>
  <sheetFormatPr defaultColWidth="8.875" defaultRowHeight="15.75"/>
  <cols>
    <col min="1" max="1" width="11.5" bestFit="1" customWidth="1"/>
    <col min="2" max="2" width="10.625" bestFit="1" customWidth="1"/>
    <col min="5" max="5" width="10.25" bestFit="1" customWidth="1"/>
    <col min="6" max="6" width="10.75" bestFit="1" customWidth="1"/>
  </cols>
  <sheetData>
    <row r="1" spans="1:37">
      <c r="C1" t="str">
        <f>CYF!C1</f>
        <v>Kremt</v>
      </c>
      <c r="D1" t="str">
        <f>CYF!D1</f>
        <v>Belg</v>
      </c>
      <c r="E1" t="str">
        <f>CYF!E1</f>
        <v>Kremt</v>
      </c>
      <c r="F1" t="str">
        <f>CYF!F1</f>
        <v>Belg</v>
      </c>
      <c r="G1" t="str">
        <f>CYF!G1</f>
        <v>Kremt</v>
      </c>
      <c r="H1" t="str">
        <f>CYF!H1</f>
        <v>Belg</v>
      </c>
      <c r="I1" t="str">
        <f>CYF!I1</f>
        <v>Kremt</v>
      </c>
      <c r="J1" t="str">
        <f>CYF!J1</f>
        <v>Belg</v>
      </c>
      <c r="K1" t="str">
        <f>CYF!K1</f>
        <v>Kremt</v>
      </c>
      <c r="L1" t="str">
        <f>CYF!L1</f>
        <v>Belg</v>
      </c>
      <c r="M1" t="str">
        <f>CYF!M1</f>
        <v>Kremt</v>
      </c>
      <c r="N1" t="str">
        <f>CYF!N1</f>
        <v>Belg</v>
      </c>
      <c r="O1" t="str">
        <f>CYF!O1</f>
        <v>Kremt</v>
      </c>
      <c r="P1" t="str">
        <f>CYF!P1</f>
        <v>Belg</v>
      </c>
      <c r="Q1" t="str">
        <f>CYF!Q1</f>
        <v>Kremt</v>
      </c>
      <c r="R1" t="str">
        <f>CYF!R1</f>
        <v>Belg</v>
      </c>
      <c r="S1" t="str">
        <f>CYF!S1</f>
        <v>Kremt</v>
      </c>
      <c r="T1" t="str">
        <f>CYF!T1</f>
        <v>Belg</v>
      </c>
      <c r="U1" t="str">
        <f>CYF!U1</f>
        <v>Kremt</v>
      </c>
      <c r="V1" t="str">
        <f>CYF!V1</f>
        <v>Belg</v>
      </c>
      <c r="W1" t="str">
        <f>CYF!W1</f>
        <v>Kremt</v>
      </c>
      <c r="X1" t="str">
        <f>CYF!X1</f>
        <v>Belg</v>
      </c>
      <c r="Y1" t="str">
        <f>CYF!Y1</f>
        <v>Kremt</v>
      </c>
      <c r="Z1" t="str">
        <f>CYF!Z1</f>
        <v>Belg</v>
      </c>
      <c r="AA1" t="str">
        <f>CYF!AA1</f>
        <v>Kremt</v>
      </c>
      <c r="AB1" t="str">
        <f>CYF!AB1</f>
        <v>Belg</v>
      </c>
      <c r="AC1" t="str">
        <f>CYF!AC1</f>
        <v>Kremt</v>
      </c>
      <c r="AD1" t="str">
        <f>CYF!AD1</f>
        <v>Belg</v>
      </c>
      <c r="AE1" t="str">
        <f>CYF!AE1</f>
        <v>Kremt</v>
      </c>
      <c r="AF1" t="str">
        <f>CYF!AF1</f>
        <v>Belg</v>
      </c>
      <c r="AG1" t="str">
        <f>CYF!AG1</f>
        <v>Kremt</v>
      </c>
      <c r="AH1" t="str">
        <f>CYF!AH1</f>
        <v>Belg</v>
      </c>
      <c r="AK1">
        <v>100</v>
      </c>
    </row>
    <row r="2" spans="1:37">
      <c r="C2">
        <f>CYF!C2</f>
        <v>2015</v>
      </c>
      <c r="D2">
        <f>CYF!D2</f>
        <v>2015</v>
      </c>
      <c r="E2">
        <f>CYF!E2</f>
        <v>2016</v>
      </c>
      <c r="F2">
        <f>CYF!F2</f>
        <v>2016</v>
      </c>
      <c r="G2">
        <f>CYF!G2</f>
        <v>2017</v>
      </c>
      <c r="H2">
        <f>CYF!H2</f>
        <v>2017</v>
      </c>
      <c r="I2">
        <f>CYF!I2</f>
        <v>2018</v>
      </c>
      <c r="J2">
        <f>CYF!J2</f>
        <v>2018</v>
      </c>
      <c r="K2">
        <f>CYF!K2</f>
        <v>2019</v>
      </c>
      <c r="L2">
        <f>CYF!L2</f>
        <v>2019</v>
      </c>
      <c r="M2">
        <f>CYF!M2</f>
        <v>2020</v>
      </c>
      <c r="N2">
        <f>CYF!N2</f>
        <v>2020</v>
      </c>
      <c r="O2">
        <f>CYF!O2</f>
        <v>2021</v>
      </c>
      <c r="P2">
        <f>CYF!P2</f>
        <v>2021</v>
      </c>
      <c r="Q2">
        <f>CYF!Q2</f>
        <v>2022</v>
      </c>
      <c r="R2">
        <f>CYF!R2</f>
        <v>2022</v>
      </c>
      <c r="S2">
        <f>CYF!S2</f>
        <v>2023</v>
      </c>
      <c r="T2">
        <f>CYF!T2</f>
        <v>2023</v>
      </c>
      <c r="U2">
        <f>CYF!U2</f>
        <v>2024</v>
      </c>
      <c r="V2">
        <f>CYF!V2</f>
        <v>2024</v>
      </c>
      <c r="W2">
        <f>CYF!W2</f>
        <v>2025</v>
      </c>
      <c r="X2">
        <f>CYF!X2</f>
        <v>2025</v>
      </c>
      <c r="Y2">
        <f>CYF!Y2</f>
        <v>2026</v>
      </c>
      <c r="Z2">
        <f>CYF!Z2</f>
        <v>2026</v>
      </c>
      <c r="AA2">
        <f>CYF!AA2</f>
        <v>2027</v>
      </c>
      <c r="AB2">
        <f>CYF!AB2</f>
        <v>2027</v>
      </c>
      <c r="AC2">
        <f>CYF!AC2</f>
        <v>2028</v>
      </c>
      <c r="AD2">
        <f>CYF!AD2</f>
        <v>2028</v>
      </c>
      <c r="AE2">
        <f>CYF!AE2</f>
        <v>2029</v>
      </c>
      <c r="AF2">
        <f>CYF!AF2</f>
        <v>2029</v>
      </c>
      <c r="AG2">
        <f>CYF!AG2</f>
        <v>2030</v>
      </c>
      <c r="AH2">
        <f>CYF!AH2</f>
        <v>2030</v>
      </c>
    </row>
    <row r="3" spans="1:37">
      <c r="A3" t="str">
        <f>CYF!A3</f>
        <v>Teff</v>
      </c>
      <c r="B3" t="str">
        <f>CYF!B3</f>
        <v>A1</v>
      </c>
      <c r="C3" s="2">
        <f>INDEX(TargetProduction!$X$47:$AD$61,MATCH($B3,TargetProduction!$W$47:$W$61,0),MATCH($A3,TargetProduction!$X$46:$AD$46,0))</f>
        <v>0</v>
      </c>
      <c r="D3" s="2">
        <f>INDEX(TargetProduction!$AE$47:$AK$61,MATCH($B3,TargetProduction!$W$47:$W$61,0),MATCH($A3,TargetProduction!$AE$46:$AK$46,0))</f>
        <v>19.01306821904479</v>
      </c>
      <c r="E3" s="2">
        <f>C3</f>
        <v>0</v>
      </c>
      <c r="F3" s="2">
        <f t="shared" ref="F3:AH3" si="0">D3</f>
        <v>19.01306821904479</v>
      </c>
      <c r="G3" s="2">
        <f t="shared" si="0"/>
        <v>0</v>
      </c>
      <c r="H3" s="2">
        <f t="shared" si="0"/>
        <v>19.01306821904479</v>
      </c>
      <c r="I3" s="2">
        <f t="shared" si="0"/>
        <v>0</v>
      </c>
      <c r="J3" s="2">
        <f t="shared" si="0"/>
        <v>19.01306821904479</v>
      </c>
      <c r="K3" s="2">
        <f t="shared" si="0"/>
        <v>0</v>
      </c>
      <c r="L3" s="2">
        <f t="shared" si="0"/>
        <v>19.01306821904479</v>
      </c>
      <c r="M3" s="2">
        <f t="shared" si="0"/>
        <v>0</v>
      </c>
      <c r="N3" s="2">
        <f t="shared" si="0"/>
        <v>19.01306821904479</v>
      </c>
      <c r="O3" s="2">
        <f t="shared" si="0"/>
        <v>0</v>
      </c>
      <c r="P3" s="2">
        <f t="shared" si="0"/>
        <v>19.01306821904479</v>
      </c>
      <c r="Q3" s="2">
        <f t="shared" si="0"/>
        <v>0</v>
      </c>
      <c r="R3" s="2">
        <f t="shared" si="0"/>
        <v>19.01306821904479</v>
      </c>
      <c r="S3" s="2">
        <f t="shared" si="0"/>
        <v>0</v>
      </c>
      <c r="T3" s="2">
        <f t="shared" si="0"/>
        <v>19.01306821904479</v>
      </c>
      <c r="U3" s="2">
        <f t="shared" si="0"/>
        <v>0</v>
      </c>
      <c r="V3" s="2">
        <f t="shared" si="0"/>
        <v>19.01306821904479</v>
      </c>
      <c r="W3" s="2">
        <f t="shared" si="0"/>
        <v>0</v>
      </c>
      <c r="X3" s="2">
        <f t="shared" si="0"/>
        <v>19.01306821904479</v>
      </c>
      <c r="Y3" s="2">
        <f t="shared" si="0"/>
        <v>0</v>
      </c>
      <c r="Z3" s="2">
        <f t="shared" si="0"/>
        <v>19.01306821904479</v>
      </c>
      <c r="AA3" s="2">
        <f t="shared" si="0"/>
        <v>0</v>
      </c>
      <c r="AB3" s="2">
        <f t="shared" si="0"/>
        <v>19.01306821904479</v>
      </c>
      <c r="AC3" s="2">
        <f t="shared" si="0"/>
        <v>0</v>
      </c>
      <c r="AD3" s="2">
        <f t="shared" si="0"/>
        <v>19.01306821904479</v>
      </c>
      <c r="AE3" s="2">
        <f t="shared" si="0"/>
        <v>0</v>
      </c>
      <c r="AF3" s="2">
        <f t="shared" si="0"/>
        <v>19.01306821904479</v>
      </c>
      <c r="AG3" s="2">
        <f t="shared" si="0"/>
        <v>0</v>
      </c>
      <c r="AH3" s="2">
        <f t="shared" si="0"/>
        <v>19.01306821904479</v>
      </c>
    </row>
    <row r="4" spans="1:37">
      <c r="A4" t="str">
        <f>CYF!A4</f>
        <v>Teff</v>
      </c>
      <c r="B4" t="str">
        <f>CYF!B4</f>
        <v>H2</v>
      </c>
      <c r="C4" s="2">
        <f>INDEX(TargetProduction!$X$47:$AD$61,MATCH($B4,TargetProduction!$W$47:$W$61,0),MATCH($A4,TargetProduction!$X$46:$AD$46,0))</f>
        <v>13.98226935689531</v>
      </c>
      <c r="D4" s="2">
        <f>INDEX(TargetProduction!$AE$47:$AK$61,MATCH($B4,TargetProduction!$W$47:$W$61,0),MATCH($A4,TargetProduction!$AE$46:$AK$46,0))</f>
        <v>17.472747411938467</v>
      </c>
      <c r="E4" s="2">
        <f t="shared" ref="E4:E67" si="1">C4</f>
        <v>13.98226935689531</v>
      </c>
      <c r="F4" s="2">
        <f t="shared" ref="F4:F67" si="2">D4</f>
        <v>17.472747411938467</v>
      </c>
      <c r="G4" s="2">
        <f t="shared" ref="G4:G67" si="3">E4</f>
        <v>13.98226935689531</v>
      </c>
      <c r="H4" s="2">
        <f t="shared" ref="H4:H67" si="4">F4</f>
        <v>17.472747411938467</v>
      </c>
      <c r="I4" s="2">
        <f t="shared" ref="I4:I67" si="5">G4</f>
        <v>13.98226935689531</v>
      </c>
      <c r="J4" s="2">
        <f t="shared" ref="J4:J67" si="6">H4</f>
        <v>17.472747411938467</v>
      </c>
      <c r="K4" s="2">
        <f t="shared" ref="K4:K67" si="7">I4</f>
        <v>13.98226935689531</v>
      </c>
      <c r="L4" s="2">
        <f t="shared" ref="L4:L67" si="8">J4</f>
        <v>17.472747411938467</v>
      </c>
      <c r="M4" s="2">
        <f t="shared" ref="M4:M67" si="9">K4</f>
        <v>13.98226935689531</v>
      </c>
      <c r="N4" s="2">
        <f t="shared" ref="N4:N67" si="10">L4</f>
        <v>17.472747411938467</v>
      </c>
      <c r="O4" s="2">
        <f t="shared" ref="O4:O67" si="11">M4</f>
        <v>13.98226935689531</v>
      </c>
      <c r="P4" s="2">
        <f t="shared" ref="P4:P67" si="12">N4</f>
        <v>17.472747411938467</v>
      </c>
      <c r="Q4" s="2">
        <f t="shared" ref="Q4:Q67" si="13">O4</f>
        <v>13.98226935689531</v>
      </c>
      <c r="R4" s="2">
        <f t="shared" ref="R4:R67" si="14">P4</f>
        <v>17.472747411938467</v>
      </c>
      <c r="S4" s="2">
        <f t="shared" ref="S4:S67" si="15">Q4</f>
        <v>13.98226935689531</v>
      </c>
      <c r="T4" s="2">
        <f t="shared" ref="T4:T67" si="16">R4</f>
        <v>17.472747411938467</v>
      </c>
      <c r="U4" s="2">
        <f t="shared" ref="U4:U67" si="17">S4</f>
        <v>13.98226935689531</v>
      </c>
      <c r="V4" s="2">
        <f t="shared" ref="V4:V67" si="18">T4</f>
        <v>17.472747411938467</v>
      </c>
      <c r="W4" s="2">
        <f t="shared" ref="W4:W67" si="19">U4</f>
        <v>13.98226935689531</v>
      </c>
      <c r="X4" s="2">
        <f t="shared" ref="X4:X67" si="20">V4</f>
        <v>17.472747411938467</v>
      </c>
      <c r="Y4" s="2">
        <f t="shared" ref="Y4:Y67" si="21">W4</f>
        <v>13.98226935689531</v>
      </c>
      <c r="Z4" s="2">
        <f t="shared" ref="Z4:Z67" si="22">X4</f>
        <v>17.472747411938467</v>
      </c>
      <c r="AA4" s="2">
        <f t="shared" ref="AA4:AA67" si="23">Y4</f>
        <v>13.98226935689531</v>
      </c>
      <c r="AB4" s="2">
        <f t="shared" ref="AB4:AB67" si="24">Z4</f>
        <v>17.472747411938467</v>
      </c>
      <c r="AC4" s="2">
        <f t="shared" ref="AC4:AC67" si="25">AA4</f>
        <v>13.98226935689531</v>
      </c>
      <c r="AD4" s="2">
        <f t="shared" ref="AD4:AD67" si="26">AB4</f>
        <v>17.472747411938467</v>
      </c>
      <c r="AE4" s="2">
        <f t="shared" ref="AE4:AE67" si="27">AC4</f>
        <v>13.98226935689531</v>
      </c>
      <c r="AF4" s="2">
        <f t="shared" ref="AF4:AF67" si="28">AD4</f>
        <v>17.472747411938467</v>
      </c>
      <c r="AG4" s="2">
        <f t="shared" ref="AG4:AG67" si="29">AE4</f>
        <v>13.98226935689531</v>
      </c>
      <c r="AH4" s="2">
        <f t="shared" ref="AH4:AH67" si="30">AF4</f>
        <v>17.472747411938467</v>
      </c>
    </row>
    <row r="5" spans="1:37">
      <c r="A5" t="str">
        <f>CYF!A5</f>
        <v>Teff</v>
      </c>
      <c r="B5" t="str">
        <f>CYF!B5</f>
        <v>H3</v>
      </c>
      <c r="C5" s="2">
        <f>INDEX(TargetProduction!$X$47:$AD$61,MATCH($B5,TargetProduction!$W$47:$W$61,0),MATCH($A5,TargetProduction!$X$46:$AD$46,0))</f>
        <v>18.635966609756231</v>
      </c>
      <c r="D5" s="2">
        <f>INDEX(TargetProduction!$AE$47:$AK$61,MATCH($B5,TargetProduction!$W$47:$W$61,0),MATCH($A5,TargetProduction!$AE$46:$AK$46,0))</f>
        <v>17.756603091705706</v>
      </c>
      <c r="E5" s="2">
        <f t="shared" si="1"/>
        <v>18.635966609756231</v>
      </c>
      <c r="F5" s="2">
        <f t="shared" si="2"/>
        <v>17.756603091705706</v>
      </c>
      <c r="G5" s="2">
        <f t="shared" si="3"/>
        <v>18.635966609756231</v>
      </c>
      <c r="H5" s="2">
        <f t="shared" si="4"/>
        <v>17.756603091705706</v>
      </c>
      <c r="I5" s="2">
        <f t="shared" si="5"/>
        <v>18.635966609756231</v>
      </c>
      <c r="J5" s="2">
        <f t="shared" si="6"/>
        <v>17.756603091705706</v>
      </c>
      <c r="K5" s="2">
        <f t="shared" si="7"/>
        <v>18.635966609756231</v>
      </c>
      <c r="L5" s="2">
        <f t="shared" si="8"/>
        <v>17.756603091705706</v>
      </c>
      <c r="M5" s="2">
        <f t="shared" si="9"/>
        <v>18.635966609756231</v>
      </c>
      <c r="N5" s="2">
        <f t="shared" si="10"/>
        <v>17.756603091705706</v>
      </c>
      <c r="O5" s="2">
        <f t="shared" si="11"/>
        <v>18.635966609756231</v>
      </c>
      <c r="P5" s="2">
        <f t="shared" si="12"/>
        <v>17.756603091705706</v>
      </c>
      <c r="Q5" s="2">
        <f t="shared" si="13"/>
        <v>18.635966609756231</v>
      </c>
      <c r="R5" s="2">
        <f t="shared" si="14"/>
        <v>17.756603091705706</v>
      </c>
      <c r="S5" s="2">
        <f t="shared" si="15"/>
        <v>18.635966609756231</v>
      </c>
      <c r="T5" s="2">
        <f t="shared" si="16"/>
        <v>17.756603091705706</v>
      </c>
      <c r="U5" s="2">
        <f t="shared" si="17"/>
        <v>18.635966609756231</v>
      </c>
      <c r="V5" s="2">
        <f t="shared" si="18"/>
        <v>17.756603091705706</v>
      </c>
      <c r="W5" s="2">
        <f t="shared" si="19"/>
        <v>18.635966609756231</v>
      </c>
      <c r="X5" s="2">
        <f t="shared" si="20"/>
        <v>17.756603091705706</v>
      </c>
      <c r="Y5" s="2">
        <f t="shared" si="21"/>
        <v>18.635966609756231</v>
      </c>
      <c r="Z5" s="2">
        <f t="shared" si="22"/>
        <v>17.756603091705706</v>
      </c>
      <c r="AA5" s="2">
        <f t="shared" si="23"/>
        <v>18.635966609756231</v>
      </c>
      <c r="AB5" s="2">
        <f t="shared" si="24"/>
        <v>17.756603091705706</v>
      </c>
      <c r="AC5" s="2">
        <f t="shared" si="25"/>
        <v>18.635966609756231</v>
      </c>
      <c r="AD5" s="2">
        <f t="shared" si="26"/>
        <v>17.756603091705706</v>
      </c>
      <c r="AE5" s="2">
        <f t="shared" si="27"/>
        <v>18.635966609756231</v>
      </c>
      <c r="AF5" s="2">
        <f t="shared" si="28"/>
        <v>17.756603091705706</v>
      </c>
      <c r="AG5" s="2">
        <f t="shared" si="29"/>
        <v>18.635966609756231</v>
      </c>
      <c r="AH5" s="2">
        <f t="shared" si="30"/>
        <v>17.756603091705706</v>
      </c>
    </row>
    <row r="6" spans="1:37">
      <c r="A6" t="str">
        <f>CYF!A6</f>
        <v>Teff</v>
      </c>
      <c r="B6" t="str">
        <f>CYF!B6</f>
        <v>H4</v>
      </c>
      <c r="C6" s="2">
        <f>INDEX(TargetProduction!$X$47:$AD$61,MATCH($B6,TargetProduction!$W$47:$W$61,0),MATCH($A6,TargetProduction!$X$46:$AD$46,0))</f>
        <v>22.218165443177828</v>
      </c>
      <c r="D6" s="2">
        <f>INDEX(TargetProduction!$AE$47:$AK$61,MATCH($B6,TargetProduction!$W$47:$W$61,0),MATCH($A6,TargetProduction!$AE$46:$AK$46,0))</f>
        <v>18.123948655506748</v>
      </c>
      <c r="E6" s="2">
        <f t="shared" si="1"/>
        <v>22.218165443177828</v>
      </c>
      <c r="F6" s="2">
        <f t="shared" si="2"/>
        <v>18.123948655506748</v>
      </c>
      <c r="G6" s="2">
        <f t="shared" si="3"/>
        <v>22.218165443177828</v>
      </c>
      <c r="H6" s="2">
        <f t="shared" si="4"/>
        <v>18.123948655506748</v>
      </c>
      <c r="I6" s="2">
        <f t="shared" si="5"/>
        <v>22.218165443177828</v>
      </c>
      <c r="J6" s="2">
        <f t="shared" si="6"/>
        <v>18.123948655506748</v>
      </c>
      <c r="K6" s="2">
        <f t="shared" si="7"/>
        <v>22.218165443177828</v>
      </c>
      <c r="L6" s="2">
        <f t="shared" si="8"/>
        <v>18.123948655506748</v>
      </c>
      <c r="M6" s="2">
        <f t="shared" si="9"/>
        <v>22.218165443177828</v>
      </c>
      <c r="N6" s="2">
        <f t="shared" si="10"/>
        <v>18.123948655506748</v>
      </c>
      <c r="O6" s="2">
        <f t="shared" si="11"/>
        <v>22.218165443177828</v>
      </c>
      <c r="P6" s="2">
        <f t="shared" si="12"/>
        <v>18.123948655506748</v>
      </c>
      <c r="Q6" s="2">
        <f t="shared" si="13"/>
        <v>22.218165443177828</v>
      </c>
      <c r="R6" s="2">
        <f t="shared" si="14"/>
        <v>18.123948655506748</v>
      </c>
      <c r="S6" s="2">
        <f t="shared" si="15"/>
        <v>22.218165443177828</v>
      </c>
      <c r="T6" s="2">
        <f t="shared" si="16"/>
        <v>18.123948655506748</v>
      </c>
      <c r="U6" s="2">
        <f t="shared" si="17"/>
        <v>22.218165443177828</v>
      </c>
      <c r="V6" s="2">
        <f t="shared" si="18"/>
        <v>18.123948655506748</v>
      </c>
      <c r="W6" s="2">
        <f t="shared" si="19"/>
        <v>22.218165443177828</v>
      </c>
      <c r="X6" s="2">
        <f t="shared" si="20"/>
        <v>18.123948655506748</v>
      </c>
      <c r="Y6" s="2">
        <f t="shared" si="21"/>
        <v>22.218165443177828</v>
      </c>
      <c r="Z6" s="2">
        <f t="shared" si="22"/>
        <v>18.123948655506748</v>
      </c>
      <c r="AA6" s="2">
        <f t="shared" si="23"/>
        <v>22.218165443177828</v>
      </c>
      <c r="AB6" s="2">
        <f t="shared" si="24"/>
        <v>18.123948655506748</v>
      </c>
      <c r="AC6" s="2">
        <f t="shared" si="25"/>
        <v>22.218165443177828</v>
      </c>
      <c r="AD6" s="2">
        <f t="shared" si="26"/>
        <v>18.123948655506748</v>
      </c>
      <c r="AE6" s="2">
        <f t="shared" si="27"/>
        <v>22.218165443177828</v>
      </c>
      <c r="AF6" s="2">
        <f t="shared" si="28"/>
        <v>18.123948655506748</v>
      </c>
      <c r="AG6" s="2">
        <f t="shared" si="29"/>
        <v>22.218165443177828</v>
      </c>
      <c r="AH6" s="2">
        <f t="shared" si="30"/>
        <v>18.123948655506748</v>
      </c>
    </row>
    <row r="7" spans="1:37">
      <c r="A7" t="str">
        <f>CYF!A7</f>
        <v>Teff</v>
      </c>
      <c r="B7" t="str">
        <f>CYF!B7</f>
        <v>H5</v>
      </c>
      <c r="C7" s="2">
        <f>INDEX(TargetProduction!$X$47:$AD$61,MATCH($B7,TargetProduction!$W$47:$W$61,0),MATCH($A7,TargetProduction!$X$46:$AD$46,0))</f>
        <v>24.834452151681479</v>
      </c>
      <c r="D7" s="2">
        <f>INDEX(TargetProduction!$AE$47:$AK$61,MATCH($B7,TargetProduction!$W$47:$W$61,0),MATCH($A7,TargetProduction!$AE$46:$AK$46,0))</f>
        <v>20.08351097566247</v>
      </c>
      <c r="E7" s="2">
        <f t="shared" si="1"/>
        <v>24.834452151681479</v>
      </c>
      <c r="F7" s="2">
        <f t="shared" si="2"/>
        <v>20.08351097566247</v>
      </c>
      <c r="G7" s="2">
        <f t="shared" si="3"/>
        <v>24.834452151681479</v>
      </c>
      <c r="H7" s="2">
        <f t="shared" si="4"/>
        <v>20.08351097566247</v>
      </c>
      <c r="I7" s="2">
        <f t="shared" si="5"/>
        <v>24.834452151681479</v>
      </c>
      <c r="J7" s="2">
        <f t="shared" si="6"/>
        <v>20.08351097566247</v>
      </c>
      <c r="K7" s="2">
        <f t="shared" si="7"/>
        <v>24.834452151681479</v>
      </c>
      <c r="L7" s="2">
        <f t="shared" si="8"/>
        <v>20.08351097566247</v>
      </c>
      <c r="M7" s="2">
        <f t="shared" si="9"/>
        <v>24.834452151681479</v>
      </c>
      <c r="N7" s="2">
        <f t="shared" si="10"/>
        <v>20.08351097566247</v>
      </c>
      <c r="O7" s="2">
        <f t="shared" si="11"/>
        <v>24.834452151681479</v>
      </c>
      <c r="P7" s="2">
        <f t="shared" si="12"/>
        <v>20.08351097566247</v>
      </c>
      <c r="Q7" s="2">
        <f t="shared" si="13"/>
        <v>24.834452151681479</v>
      </c>
      <c r="R7" s="2">
        <f t="shared" si="14"/>
        <v>20.08351097566247</v>
      </c>
      <c r="S7" s="2">
        <f t="shared" si="15"/>
        <v>24.834452151681479</v>
      </c>
      <c r="T7" s="2">
        <f t="shared" si="16"/>
        <v>20.08351097566247</v>
      </c>
      <c r="U7" s="2">
        <f t="shared" si="17"/>
        <v>24.834452151681479</v>
      </c>
      <c r="V7" s="2">
        <f t="shared" si="18"/>
        <v>20.08351097566247</v>
      </c>
      <c r="W7" s="2">
        <f t="shared" si="19"/>
        <v>24.834452151681479</v>
      </c>
      <c r="X7" s="2">
        <f t="shared" si="20"/>
        <v>20.08351097566247</v>
      </c>
      <c r="Y7" s="2">
        <f t="shared" si="21"/>
        <v>24.834452151681479</v>
      </c>
      <c r="Z7" s="2">
        <f t="shared" si="22"/>
        <v>20.08351097566247</v>
      </c>
      <c r="AA7" s="2">
        <f t="shared" si="23"/>
        <v>24.834452151681479</v>
      </c>
      <c r="AB7" s="2">
        <f t="shared" si="24"/>
        <v>20.08351097566247</v>
      </c>
      <c r="AC7" s="2">
        <f t="shared" si="25"/>
        <v>24.834452151681479</v>
      </c>
      <c r="AD7" s="2">
        <f t="shared" si="26"/>
        <v>20.08351097566247</v>
      </c>
      <c r="AE7" s="2">
        <f t="shared" si="27"/>
        <v>24.834452151681479</v>
      </c>
      <c r="AF7" s="2">
        <f t="shared" si="28"/>
        <v>20.08351097566247</v>
      </c>
      <c r="AG7" s="2">
        <f t="shared" si="29"/>
        <v>24.834452151681479</v>
      </c>
      <c r="AH7" s="2">
        <f t="shared" si="30"/>
        <v>20.08351097566247</v>
      </c>
    </row>
    <row r="8" spans="1:37">
      <c r="A8" t="str">
        <f>CYF!A8</f>
        <v>Teff</v>
      </c>
      <c r="B8" t="str">
        <f>CYF!B8</f>
        <v>M1</v>
      </c>
      <c r="C8" s="2">
        <f>INDEX(TargetProduction!$X$47:$AD$61,MATCH($B8,TargetProduction!$W$47:$W$61,0),MATCH($A8,TargetProduction!$X$46:$AD$46,0))</f>
        <v>26.45601939822436</v>
      </c>
      <c r="D8" s="2">
        <f>INDEX(TargetProduction!$AE$47:$AK$61,MATCH($B8,TargetProduction!$W$47:$W$61,0),MATCH($A8,TargetProduction!$AE$46:$AK$46,0))</f>
        <v>19.259667008421612</v>
      </c>
      <c r="E8" s="2">
        <f t="shared" si="1"/>
        <v>26.45601939822436</v>
      </c>
      <c r="F8" s="2">
        <f t="shared" si="2"/>
        <v>19.259667008421612</v>
      </c>
      <c r="G8" s="2">
        <f t="shared" si="3"/>
        <v>26.45601939822436</v>
      </c>
      <c r="H8" s="2">
        <f t="shared" si="4"/>
        <v>19.259667008421612</v>
      </c>
      <c r="I8" s="2">
        <f t="shared" si="5"/>
        <v>26.45601939822436</v>
      </c>
      <c r="J8" s="2">
        <f t="shared" si="6"/>
        <v>19.259667008421612</v>
      </c>
      <c r="K8" s="2">
        <f t="shared" si="7"/>
        <v>26.45601939822436</v>
      </c>
      <c r="L8" s="2">
        <f t="shared" si="8"/>
        <v>19.259667008421612</v>
      </c>
      <c r="M8" s="2">
        <f t="shared" si="9"/>
        <v>26.45601939822436</v>
      </c>
      <c r="N8" s="2">
        <f t="shared" si="10"/>
        <v>19.259667008421612</v>
      </c>
      <c r="O8" s="2">
        <f t="shared" si="11"/>
        <v>26.45601939822436</v>
      </c>
      <c r="P8" s="2">
        <f t="shared" si="12"/>
        <v>19.259667008421612</v>
      </c>
      <c r="Q8" s="2">
        <f t="shared" si="13"/>
        <v>26.45601939822436</v>
      </c>
      <c r="R8" s="2">
        <f t="shared" si="14"/>
        <v>19.259667008421612</v>
      </c>
      <c r="S8" s="2">
        <f t="shared" si="15"/>
        <v>26.45601939822436</v>
      </c>
      <c r="T8" s="2">
        <f t="shared" si="16"/>
        <v>19.259667008421612</v>
      </c>
      <c r="U8" s="2">
        <f t="shared" si="17"/>
        <v>26.45601939822436</v>
      </c>
      <c r="V8" s="2">
        <f t="shared" si="18"/>
        <v>19.259667008421612</v>
      </c>
      <c r="W8" s="2">
        <f t="shared" si="19"/>
        <v>26.45601939822436</v>
      </c>
      <c r="X8" s="2">
        <f t="shared" si="20"/>
        <v>19.259667008421612</v>
      </c>
      <c r="Y8" s="2">
        <f t="shared" si="21"/>
        <v>26.45601939822436</v>
      </c>
      <c r="Z8" s="2">
        <f t="shared" si="22"/>
        <v>19.259667008421612</v>
      </c>
      <c r="AA8" s="2">
        <f t="shared" si="23"/>
        <v>26.45601939822436</v>
      </c>
      <c r="AB8" s="2">
        <f t="shared" si="24"/>
        <v>19.259667008421612</v>
      </c>
      <c r="AC8" s="2">
        <f t="shared" si="25"/>
        <v>26.45601939822436</v>
      </c>
      <c r="AD8" s="2">
        <f t="shared" si="26"/>
        <v>19.259667008421612</v>
      </c>
      <c r="AE8" s="2">
        <f t="shared" si="27"/>
        <v>26.45601939822436</v>
      </c>
      <c r="AF8" s="2">
        <f t="shared" si="28"/>
        <v>19.259667008421612</v>
      </c>
      <c r="AG8" s="2">
        <f t="shared" si="29"/>
        <v>26.45601939822436</v>
      </c>
      <c r="AH8" s="2">
        <f t="shared" si="30"/>
        <v>19.259667008421612</v>
      </c>
    </row>
    <row r="9" spans="1:37">
      <c r="A9" t="str">
        <f>CYF!A9</f>
        <v>Teff</v>
      </c>
      <c r="B9" t="str">
        <f>CYF!B9</f>
        <v>M3</v>
      </c>
      <c r="C9" s="2">
        <f>INDEX(TargetProduction!$X$47:$AD$61,MATCH($B9,TargetProduction!$W$47:$W$61,0),MATCH($A9,TargetProduction!$X$46:$AD$46,0))</f>
        <v>25.061908192986351</v>
      </c>
      <c r="D9" s="2">
        <f>INDEX(TargetProduction!$AE$47:$AK$61,MATCH($B9,TargetProduction!$W$47:$W$61,0),MATCH($A9,TargetProduction!$AE$46:$AK$46,0))</f>
        <v>20.275738348691331</v>
      </c>
      <c r="E9" s="2">
        <f t="shared" si="1"/>
        <v>25.061908192986351</v>
      </c>
      <c r="F9" s="2">
        <f t="shared" si="2"/>
        <v>20.275738348691331</v>
      </c>
      <c r="G9" s="2">
        <f t="shared" si="3"/>
        <v>25.061908192986351</v>
      </c>
      <c r="H9" s="2">
        <f t="shared" si="4"/>
        <v>20.275738348691331</v>
      </c>
      <c r="I9" s="2">
        <f t="shared" si="5"/>
        <v>25.061908192986351</v>
      </c>
      <c r="J9" s="2">
        <f t="shared" si="6"/>
        <v>20.275738348691331</v>
      </c>
      <c r="K9" s="2">
        <f t="shared" si="7"/>
        <v>25.061908192986351</v>
      </c>
      <c r="L9" s="2">
        <f t="shared" si="8"/>
        <v>20.275738348691331</v>
      </c>
      <c r="M9" s="2">
        <f t="shared" si="9"/>
        <v>25.061908192986351</v>
      </c>
      <c r="N9" s="2">
        <f t="shared" si="10"/>
        <v>20.275738348691331</v>
      </c>
      <c r="O9" s="2">
        <f t="shared" si="11"/>
        <v>25.061908192986351</v>
      </c>
      <c r="P9" s="2">
        <f t="shared" si="12"/>
        <v>20.275738348691331</v>
      </c>
      <c r="Q9" s="2">
        <f t="shared" si="13"/>
        <v>25.061908192986351</v>
      </c>
      <c r="R9" s="2">
        <f t="shared" si="14"/>
        <v>20.275738348691331</v>
      </c>
      <c r="S9" s="2">
        <f t="shared" si="15"/>
        <v>25.061908192986351</v>
      </c>
      <c r="T9" s="2">
        <f t="shared" si="16"/>
        <v>20.275738348691331</v>
      </c>
      <c r="U9" s="2">
        <f t="shared" si="17"/>
        <v>25.061908192986351</v>
      </c>
      <c r="V9" s="2">
        <f t="shared" si="18"/>
        <v>20.275738348691331</v>
      </c>
      <c r="W9" s="2">
        <f t="shared" si="19"/>
        <v>25.061908192986351</v>
      </c>
      <c r="X9" s="2">
        <f t="shared" si="20"/>
        <v>20.275738348691331</v>
      </c>
      <c r="Y9" s="2">
        <f t="shared" si="21"/>
        <v>25.061908192986351</v>
      </c>
      <c r="Z9" s="2">
        <f t="shared" si="22"/>
        <v>20.275738348691331</v>
      </c>
      <c r="AA9" s="2">
        <f t="shared" si="23"/>
        <v>25.061908192986351</v>
      </c>
      <c r="AB9" s="2">
        <f t="shared" si="24"/>
        <v>20.275738348691331</v>
      </c>
      <c r="AC9" s="2">
        <f t="shared" si="25"/>
        <v>25.061908192986351</v>
      </c>
      <c r="AD9" s="2">
        <f t="shared" si="26"/>
        <v>20.275738348691331</v>
      </c>
      <c r="AE9" s="2">
        <f t="shared" si="27"/>
        <v>25.061908192986351</v>
      </c>
      <c r="AF9" s="2">
        <f t="shared" si="28"/>
        <v>20.275738348691331</v>
      </c>
      <c r="AG9" s="2">
        <f t="shared" si="29"/>
        <v>25.061908192986351</v>
      </c>
      <c r="AH9" s="2">
        <f t="shared" si="30"/>
        <v>20.275738348691331</v>
      </c>
    </row>
    <row r="10" spans="1:37">
      <c r="A10" t="str">
        <f>CYF!A10</f>
        <v>Teff</v>
      </c>
      <c r="B10" t="str">
        <f>CYF!B10</f>
        <v>M5</v>
      </c>
      <c r="C10" s="2">
        <f>INDEX(TargetProduction!$X$47:$AD$61,MATCH($B10,TargetProduction!$W$47:$W$61,0),MATCH($A10,TargetProduction!$X$46:$AD$46,0))</f>
        <v>26.454007040417228</v>
      </c>
      <c r="D10" s="2">
        <f>INDEX(TargetProduction!$AE$47:$AK$61,MATCH($B10,TargetProduction!$W$47:$W$61,0),MATCH($A10,TargetProduction!$AE$46:$AK$46,0))</f>
        <v>21.387185490114199</v>
      </c>
      <c r="E10" s="2">
        <f t="shared" si="1"/>
        <v>26.454007040417228</v>
      </c>
      <c r="F10" s="2">
        <f t="shared" si="2"/>
        <v>21.387185490114199</v>
      </c>
      <c r="G10" s="2">
        <f t="shared" si="3"/>
        <v>26.454007040417228</v>
      </c>
      <c r="H10" s="2">
        <f t="shared" si="4"/>
        <v>21.387185490114199</v>
      </c>
      <c r="I10" s="2">
        <f t="shared" si="5"/>
        <v>26.454007040417228</v>
      </c>
      <c r="J10" s="2">
        <f t="shared" si="6"/>
        <v>21.387185490114199</v>
      </c>
      <c r="K10" s="2">
        <f t="shared" si="7"/>
        <v>26.454007040417228</v>
      </c>
      <c r="L10" s="2">
        <f t="shared" si="8"/>
        <v>21.387185490114199</v>
      </c>
      <c r="M10" s="2">
        <f t="shared" si="9"/>
        <v>26.454007040417228</v>
      </c>
      <c r="N10" s="2">
        <f t="shared" si="10"/>
        <v>21.387185490114199</v>
      </c>
      <c r="O10" s="2">
        <f t="shared" si="11"/>
        <v>26.454007040417228</v>
      </c>
      <c r="P10" s="2">
        <f t="shared" si="12"/>
        <v>21.387185490114199</v>
      </c>
      <c r="Q10" s="2">
        <f t="shared" si="13"/>
        <v>26.454007040417228</v>
      </c>
      <c r="R10" s="2">
        <f t="shared" si="14"/>
        <v>21.387185490114199</v>
      </c>
      <c r="S10" s="2">
        <f t="shared" si="15"/>
        <v>26.454007040417228</v>
      </c>
      <c r="T10" s="2">
        <f t="shared" si="16"/>
        <v>21.387185490114199</v>
      </c>
      <c r="U10" s="2">
        <f t="shared" si="17"/>
        <v>26.454007040417228</v>
      </c>
      <c r="V10" s="2">
        <f t="shared" si="18"/>
        <v>21.387185490114199</v>
      </c>
      <c r="W10" s="2">
        <f t="shared" si="19"/>
        <v>26.454007040417228</v>
      </c>
      <c r="X10" s="2">
        <f t="shared" si="20"/>
        <v>21.387185490114199</v>
      </c>
      <c r="Y10" s="2">
        <f t="shared" si="21"/>
        <v>26.454007040417228</v>
      </c>
      <c r="Z10" s="2">
        <f t="shared" si="22"/>
        <v>21.387185490114199</v>
      </c>
      <c r="AA10" s="2">
        <f t="shared" si="23"/>
        <v>26.454007040417228</v>
      </c>
      <c r="AB10" s="2">
        <f t="shared" si="24"/>
        <v>21.387185490114199</v>
      </c>
      <c r="AC10" s="2">
        <f t="shared" si="25"/>
        <v>26.454007040417228</v>
      </c>
      <c r="AD10" s="2">
        <f t="shared" si="26"/>
        <v>21.387185490114199</v>
      </c>
      <c r="AE10" s="2">
        <f t="shared" si="27"/>
        <v>26.454007040417228</v>
      </c>
      <c r="AF10" s="2">
        <f t="shared" si="28"/>
        <v>21.387185490114199</v>
      </c>
      <c r="AG10" s="2">
        <f t="shared" si="29"/>
        <v>26.454007040417228</v>
      </c>
      <c r="AH10" s="2">
        <f t="shared" si="30"/>
        <v>21.387185490114199</v>
      </c>
    </row>
    <row r="11" spans="1:37">
      <c r="A11" t="str">
        <f>CYF!A11</f>
        <v>Teff</v>
      </c>
      <c r="B11" t="str">
        <f>CYF!B11</f>
        <v>SA1</v>
      </c>
      <c r="C11" s="2">
        <f>INDEX(TargetProduction!$X$47:$AD$61,MATCH($B11,TargetProduction!$W$47:$W$61,0),MATCH($A11,TargetProduction!$X$46:$AD$46,0))</f>
        <v>20.444719196700781</v>
      </c>
      <c r="D11" s="2">
        <f>INDEX(TargetProduction!$AE$47:$AK$61,MATCH($B11,TargetProduction!$W$47:$W$61,0),MATCH($A11,TargetProduction!$AE$46:$AK$46,0))</f>
        <v>18.164564184598831</v>
      </c>
      <c r="E11" s="2">
        <f t="shared" si="1"/>
        <v>20.444719196700781</v>
      </c>
      <c r="F11" s="2">
        <f t="shared" si="2"/>
        <v>18.164564184598831</v>
      </c>
      <c r="G11" s="2">
        <f t="shared" si="3"/>
        <v>20.444719196700781</v>
      </c>
      <c r="H11" s="2">
        <f t="shared" si="4"/>
        <v>18.164564184598831</v>
      </c>
      <c r="I11" s="2">
        <f t="shared" si="5"/>
        <v>20.444719196700781</v>
      </c>
      <c r="J11" s="2">
        <f t="shared" si="6"/>
        <v>18.164564184598831</v>
      </c>
      <c r="K11" s="2">
        <f t="shared" si="7"/>
        <v>20.444719196700781</v>
      </c>
      <c r="L11" s="2">
        <f t="shared" si="8"/>
        <v>18.164564184598831</v>
      </c>
      <c r="M11" s="2">
        <f t="shared" si="9"/>
        <v>20.444719196700781</v>
      </c>
      <c r="N11" s="2">
        <f t="shared" si="10"/>
        <v>18.164564184598831</v>
      </c>
      <c r="O11" s="2">
        <f t="shared" si="11"/>
        <v>20.444719196700781</v>
      </c>
      <c r="P11" s="2">
        <f t="shared" si="12"/>
        <v>18.164564184598831</v>
      </c>
      <c r="Q11" s="2">
        <f t="shared" si="13"/>
        <v>20.444719196700781</v>
      </c>
      <c r="R11" s="2">
        <f t="shared" si="14"/>
        <v>18.164564184598831</v>
      </c>
      <c r="S11" s="2">
        <f t="shared" si="15"/>
        <v>20.444719196700781</v>
      </c>
      <c r="T11" s="2">
        <f t="shared" si="16"/>
        <v>18.164564184598831</v>
      </c>
      <c r="U11" s="2">
        <f t="shared" si="17"/>
        <v>20.444719196700781</v>
      </c>
      <c r="V11" s="2">
        <f t="shared" si="18"/>
        <v>18.164564184598831</v>
      </c>
      <c r="W11" s="2">
        <f t="shared" si="19"/>
        <v>20.444719196700781</v>
      </c>
      <c r="X11" s="2">
        <f t="shared" si="20"/>
        <v>18.164564184598831</v>
      </c>
      <c r="Y11" s="2">
        <f t="shared" si="21"/>
        <v>20.444719196700781</v>
      </c>
      <c r="Z11" s="2">
        <f t="shared" si="22"/>
        <v>18.164564184598831</v>
      </c>
      <c r="AA11" s="2">
        <f t="shared" si="23"/>
        <v>20.444719196700781</v>
      </c>
      <c r="AB11" s="2">
        <f t="shared" si="24"/>
        <v>18.164564184598831</v>
      </c>
      <c r="AC11" s="2">
        <f t="shared" si="25"/>
        <v>20.444719196700781</v>
      </c>
      <c r="AD11" s="2">
        <f t="shared" si="26"/>
        <v>18.164564184598831</v>
      </c>
      <c r="AE11" s="2">
        <f t="shared" si="27"/>
        <v>20.444719196700781</v>
      </c>
      <c r="AF11" s="2">
        <f t="shared" si="28"/>
        <v>18.164564184598831</v>
      </c>
      <c r="AG11" s="2">
        <f t="shared" si="29"/>
        <v>20.444719196700781</v>
      </c>
      <c r="AH11" s="2">
        <f t="shared" si="30"/>
        <v>18.164564184598831</v>
      </c>
    </row>
    <row r="12" spans="1:37">
      <c r="A12" t="str">
        <f>CYF!A12</f>
        <v>Teff</v>
      </c>
      <c r="B12" t="str">
        <f>CYF!B12</f>
        <v>SA3</v>
      </c>
      <c r="C12" s="2">
        <f>INDEX(TargetProduction!$X$47:$AD$61,MATCH($B12,TargetProduction!$W$47:$W$61,0),MATCH($A12,TargetProduction!$X$46:$AD$46,0))</f>
        <v>27.598168863216486</v>
      </c>
      <c r="D12" s="2">
        <f>INDEX(TargetProduction!$AE$47:$AK$61,MATCH($B12,TargetProduction!$W$47:$W$61,0),MATCH($A12,TargetProduction!$AE$46:$AK$46,0))</f>
        <v>20.581891680510203</v>
      </c>
      <c r="E12" s="2">
        <f t="shared" si="1"/>
        <v>27.598168863216486</v>
      </c>
      <c r="F12" s="2">
        <f t="shared" si="2"/>
        <v>20.581891680510203</v>
      </c>
      <c r="G12" s="2">
        <f t="shared" si="3"/>
        <v>27.598168863216486</v>
      </c>
      <c r="H12" s="2">
        <f t="shared" si="4"/>
        <v>20.581891680510203</v>
      </c>
      <c r="I12" s="2">
        <f t="shared" si="5"/>
        <v>27.598168863216486</v>
      </c>
      <c r="J12" s="2">
        <f t="shared" si="6"/>
        <v>20.581891680510203</v>
      </c>
      <c r="K12" s="2">
        <f t="shared" si="7"/>
        <v>27.598168863216486</v>
      </c>
      <c r="L12" s="2">
        <f t="shared" si="8"/>
        <v>20.581891680510203</v>
      </c>
      <c r="M12" s="2">
        <f t="shared" si="9"/>
        <v>27.598168863216486</v>
      </c>
      <c r="N12" s="2">
        <f t="shared" si="10"/>
        <v>20.581891680510203</v>
      </c>
      <c r="O12" s="2">
        <f t="shared" si="11"/>
        <v>27.598168863216486</v>
      </c>
      <c r="P12" s="2">
        <f t="shared" si="12"/>
        <v>20.581891680510203</v>
      </c>
      <c r="Q12" s="2">
        <f t="shared" si="13"/>
        <v>27.598168863216486</v>
      </c>
      <c r="R12" s="2">
        <f t="shared" si="14"/>
        <v>20.581891680510203</v>
      </c>
      <c r="S12" s="2">
        <f t="shared" si="15"/>
        <v>27.598168863216486</v>
      </c>
      <c r="T12" s="2">
        <f t="shared" si="16"/>
        <v>20.581891680510203</v>
      </c>
      <c r="U12" s="2">
        <f t="shared" si="17"/>
        <v>27.598168863216486</v>
      </c>
      <c r="V12" s="2">
        <f t="shared" si="18"/>
        <v>20.581891680510203</v>
      </c>
      <c r="W12" s="2">
        <f t="shared" si="19"/>
        <v>27.598168863216486</v>
      </c>
      <c r="X12" s="2">
        <f t="shared" si="20"/>
        <v>20.581891680510203</v>
      </c>
      <c r="Y12" s="2">
        <f t="shared" si="21"/>
        <v>27.598168863216486</v>
      </c>
      <c r="Z12" s="2">
        <f t="shared" si="22"/>
        <v>20.581891680510203</v>
      </c>
      <c r="AA12" s="2">
        <f t="shared" si="23"/>
        <v>27.598168863216486</v>
      </c>
      <c r="AB12" s="2">
        <f t="shared" si="24"/>
        <v>20.581891680510203</v>
      </c>
      <c r="AC12" s="2">
        <f t="shared" si="25"/>
        <v>27.598168863216486</v>
      </c>
      <c r="AD12" s="2">
        <f t="shared" si="26"/>
        <v>20.581891680510203</v>
      </c>
      <c r="AE12" s="2">
        <f t="shared" si="27"/>
        <v>27.598168863216486</v>
      </c>
      <c r="AF12" s="2">
        <f t="shared" si="28"/>
        <v>20.581891680510203</v>
      </c>
      <c r="AG12" s="2">
        <f t="shared" si="29"/>
        <v>27.598168863216486</v>
      </c>
      <c r="AH12" s="2">
        <f t="shared" si="30"/>
        <v>20.581891680510203</v>
      </c>
    </row>
    <row r="13" spans="1:37">
      <c r="A13" t="str">
        <f>CYF!A13</f>
        <v>Teff</v>
      </c>
      <c r="B13" t="str">
        <f>CYF!B13</f>
        <v>SH1</v>
      </c>
      <c r="C13" s="2">
        <f>INDEX(TargetProduction!$X$47:$AD$61,MATCH($B13,TargetProduction!$W$47:$W$61,0),MATCH($A13,TargetProduction!$X$46:$AD$46,0))</f>
        <v>16.278487626986855</v>
      </c>
      <c r="D13" s="2">
        <f>INDEX(TargetProduction!$AE$47:$AK$61,MATCH($B13,TargetProduction!$W$47:$W$61,0),MATCH($A13,TargetProduction!$AE$46:$AK$46,0))</f>
        <v>18.044427662623526</v>
      </c>
      <c r="E13" s="2">
        <f t="shared" si="1"/>
        <v>16.278487626986855</v>
      </c>
      <c r="F13" s="2">
        <f t="shared" si="2"/>
        <v>18.044427662623526</v>
      </c>
      <c r="G13" s="2">
        <f t="shared" si="3"/>
        <v>16.278487626986855</v>
      </c>
      <c r="H13" s="2">
        <f t="shared" si="4"/>
        <v>18.044427662623526</v>
      </c>
      <c r="I13" s="2">
        <f t="shared" si="5"/>
        <v>16.278487626986855</v>
      </c>
      <c r="J13" s="2">
        <f t="shared" si="6"/>
        <v>18.044427662623526</v>
      </c>
      <c r="K13" s="2">
        <f t="shared" si="7"/>
        <v>16.278487626986855</v>
      </c>
      <c r="L13" s="2">
        <f t="shared" si="8"/>
        <v>18.044427662623526</v>
      </c>
      <c r="M13" s="2">
        <f t="shared" si="9"/>
        <v>16.278487626986855</v>
      </c>
      <c r="N13" s="2">
        <f t="shared" si="10"/>
        <v>18.044427662623526</v>
      </c>
      <c r="O13" s="2">
        <f t="shared" si="11"/>
        <v>16.278487626986855</v>
      </c>
      <c r="P13" s="2">
        <f t="shared" si="12"/>
        <v>18.044427662623526</v>
      </c>
      <c r="Q13" s="2">
        <f t="shared" si="13"/>
        <v>16.278487626986855</v>
      </c>
      <c r="R13" s="2">
        <f t="shared" si="14"/>
        <v>18.044427662623526</v>
      </c>
      <c r="S13" s="2">
        <f t="shared" si="15"/>
        <v>16.278487626986855</v>
      </c>
      <c r="T13" s="2">
        <f t="shared" si="16"/>
        <v>18.044427662623526</v>
      </c>
      <c r="U13" s="2">
        <f t="shared" si="17"/>
        <v>16.278487626986855</v>
      </c>
      <c r="V13" s="2">
        <f t="shared" si="18"/>
        <v>18.044427662623526</v>
      </c>
      <c r="W13" s="2">
        <f t="shared" si="19"/>
        <v>16.278487626986855</v>
      </c>
      <c r="X13" s="2">
        <f t="shared" si="20"/>
        <v>18.044427662623526</v>
      </c>
      <c r="Y13" s="2">
        <f t="shared" si="21"/>
        <v>16.278487626986855</v>
      </c>
      <c r="Z13" s="2">
        <f t="shared" si="22"/>
        <v>18.044427662623526</v>
      </c>
      <c r="AA13" s="2">
        <f t="shared" si="23"/>
        <v>16.278487626986855</v>
      </c>
      <c r="AB13" s="2">
        <f t="shared" si="24"/>
        <v>18.044427662623526</v>
      </c>
      <c r="AC13" s="2">
        <f t="shared" si="25"/>
        <v>16.278487626986855</v>
      </c>
      <c r="AD13" s="2">
        <f t="shared" si="26"/>
        <v>18.044427662623526</v>
      </c>
      <c r="AE13" s="2">
        <f t="shared" si="27"/>
        <v>16.278487626986855</v>
      </c>
      <c r="AF13" s="2">
        <f t="shared" si="28"/>
        <v>18.044427662623526</v>
      </c>
      <c r="AG13" s="2">
        <f t="shared" si="29"/>
        <v>16.278487626986855</v>
      </c>
      <c r="AH13" s="2">
        <f t="shared" si="30"/>
        <v>18.044427662623526</v>
      </c>
    </row>
    <row r="14" spans="1:37">
      <c r="A14" t="str">
        <f>CYF!A14</f>
        <v>Teff</v>
      </c>
      <c r="B14" t="str">
        <f>CYF!B14</f>
        <v>SH3</v>
      </c>
      <c r="C14" s="2">
        <f>INDEX(TargetProduction!$X$47:$AD$61,MATCH($B14,TargetProduction!$W$47:$W$61,0),MATCH($A14,TargetProduction!$X$46:$AD$46,0))</f>
        <v>18.001186753238866</v>
      </c>
      <c r="D14" s="2">
        <f>INDEX(TargetProduction!$AE$47:$AK$61,MATCH($B14,TargetProduction!$W$47:$W$61,0),MATCH($A14,TargetProduction!$AE$46:$AK$46,0))</f>
        <v>18.153891672875719</v>
      </c>
      <c r="E14" s="2">
        <f t="shared" si="1"/>
        <v>18.001186753238866</v>
      </c>
      <c r="F14" s="2">
        <f t="shared" si="2"/>
        <v>18.153891672875719</v>
      </c>
      <c r="G14" s="2">
        <f t="shared" si="3"/>
        <v>18.001186753238866</v>
      </c>
      <c r="H14" s="2">
        <f t="shared" si="4"/>
        <v>18.153891672875719</v>
      </c>
      <c r="I14" s="2">
        <f t="shared" si="5"/>
        <v>18.001186753238866</v>
      </c>
      <c r="J14" s="2">
        <f t="shared" si="6"/>
        <v>18.153891672875719</v>
      </c>
      <c r="K14" s="2">
        <f t="shared" si="7"/>
        <v>18.001186753238866</v>
      </c>
      <c r="L14" s="2">
        <f t="shared" si="8"/>
        <v>18.153891672875719</v>
      </c>
      <c r="M14" s="2">
        <f t="shared" si="9"/>
        <v>18.001186753238866</v>
      </c>
      <c r="N14" s="2">
        <f t="shared" si="10"/>
        <v>18.153891672875719</v>
      </c>
      <c r="O14" s="2">
        <f t="shared" si="11"/>
        <v>18.001186753238866</v>
      </c>
      <c r="P14" s="2">
        <f t="shared" si="12"/>
        <v>18.153891672875719</v>
      </c>
      <c r="Q14" s="2">
        <f t="shared" si="13"/>
        <v>18.001186753238866</v>
      </c>
      <c r="R14" s="2">
        <f t="shared" si="14"/>
        <v>18.153891672875719</v>
      </c>
      <c r="S14" s="2">
        <f t="shared" si="15"/>
        <v>18.001186753238866</v>
      </c>
      <c r="T14" s="2">
        <f t="shared" si="16"/>
        <v>18.153891672875719</v>
      </c>
      <c r="U14" s="2">
        <f t="shared" si="17"/>
        <v>18.001186753238866</v>
      </c>
      <c r="V14" s="2">
        <f t="shared" si="18"/>
        <v>18.153891672875719</v>
      </c>
      <c r="W14" s="2">
        <f t="shared" si="19"/>
        <v>18.001186753238866</v>
      </c>
      <c r="X14" s="2">
        <f t="shared" si="20"/>
        <v>18.153891672875719</v>
      </c>
      <c r="Y14" s="2">
        <f t="shared" si="21"/>
        <v>18.001186753238866</v>
      </c>
      <c r="Z14" s="2">
        <f t="shared" si="22"/>
        <v>18.153891672875719</v>
      </c>
      <c r="AA14" s="2">
        <f t="shared" si="23"/>
        <v>18.001186753238866</v>
      </c>
      <c r="AB14" s="2">
        <f t="shared" si="24"/>
        <v>18.153891672875719</v>
      </c>
      <c r="AC14" s="2">
        <f t="shared" si="25"/>
        <v>18.001186753238866</v>
      </c>
      <c r="AD14" s="2">
        <f t="shared" si="26"/>
        <v>18.153891672875719</v>
      </c>
      <c r="AE14" s="2">
        <f t="shared" si="27"/>
        <v>18.001186753238866</v>
      </c>
      <c r="AF14" s="2">
        <f t="shared" si="28"/>
        <v>18.153891672875719</v>
      </c>
      <c r="AG14" s="2">
        <f t="shared" si="29"/>
        <v>18.001186753238866</v>
      </c>
      <c r="AH14" s="2">
        <f t="shared" si="30"/>
        <v>18.153891672875719</v>
      </c>
    </row>
    <row r="15" spans="1:37">
      <c r="A15" t="str">
        <f>CYF!A15</f>
        <v>Teff</v>
      </c>
      <c r="B15" t="str">
        <f>CYF!B15</f>
        <v>SM2</v>
      </c>
      <c r="C15" s="2">
        <f>INDEX(TargetProduction!$X$47:$AD$61,MATCH($B15,TargetProduction!$W$47:$W$61,0),MATCH($A15,TargetProduction!$X$46:$AD$46,0))</f>
        <v>44.236758463666838</v>
      </c>
      <c r="D15" s="2">
        <f>INDEX(TargetProduction!$AE$47:$AK$61,MATCH($B15,TargetProduction!$W$47:$W$61,0),MATCH($A15,TargetProduction!$AE$46:$AK$46,0))</f>
        <v>19.016159008751526</v>
      </c>
      <c r="E15" s="2">
        <f t="shared" si="1"/>
        <v>44.236758463666838</v>
      </c>
      <c r="F15" s="2">
        <f t="shared" si="2"/>
        <v>19.016159008751526</v>
      </c>
      <c r="G15" s="2">
        <f t="shared" si="3"/>
        <v>44.236758463666838</v>
      </c>
      <c r="H15" s="2">
        <f t="shared" si="4"/>
        <v>19.016159008751526</v>
      </c>
      <c r="I15" s="2">
        <f t="shared" si="5"/>
        <v>44.236758463666838</v>
      </c>
      <c r="J15" s="2">
        <f t="shared" si="6"/>
        <v>19.016159008751526</v>
      </c>
      <c r="K15" s="2">
        <f t="shared" si="7"/>
        <v>44.236758463666838</v>
      </c>
      <c r="L15" s="2">
        <f t="shared" si="8"/>
        <v>19.016159008751526</v>
      </c>
      <c r="M15" s="2">
        <f t="shared" si="9"/>
        <v>44.236758463666838</v>
      </c>
      <c r="N15" s="2">
        <f t="shared" si="10"/>
        <v>19.016159008751526</v>
      </c>
      <c r="O15" s="2">
        <f t="shared" si="11"/>
        <v>44.236758463666838</v>
      </c>
      <c r="P15" s="2">
        <f t="shared" si="12"/>
        <v>19.016159008751526</v>
      </c>
      <c r="Q15" s="2">
        <f t="shared" si="13"/>
        <v>44.236758463666838</v>
      </c>
      <c r="R15" s="2">
        <f t="shared" si="14"/>
        <v>19.016159008751526</v>
      </c>
      <c r="S15" s="2">
        <f t="shared" si="15"/>
        <v>44.236758463666838</v>
      </c>
      <c r="T15" s="2">
        <f t="shared" si="16"/>
        <v>19.016159008751526</v>
      </c>
      <c r="U15" s="2">
        <f t="shared" si="17"/>
        <v>44.236758463666838</v>
      </c>
      <c r="V15" s="2">
        <f t="shared" si="18"/>
        <v>19.016159008751526</v>
      </c>
      <c r="W15" s="2">
        <f t="shared" si="19"/>
        <v>44.236758463666838</v>
      </c>
      <c r="X15" s="2">
        <f t="shared" si="20"/>
        <v>19.016159008751526</v>
      </c>
      <c r="Y15" s="2">
        <f t="shared" si="21"/>
        <v>44.236758463666838</v>
      </c>
      <c r="Z15" s="2">
        <f t="shared" si="22"/>
        <v>19.016159008751526</v>
      </c>
      <c r="AA15" s="2">
        <f t="shared" si="23"/>
        <v>44.236758463666838</v>
      </c>
      <c r="AB15" s="2">
        <f t="shared" si="24"/>
        <v>19.016159008751526</v>
      </c>
      <c r="AC15" s="2">
        <f t="shared" si="25"/>
        <v>44.236758463666838</v>
      </c>
      <c r="AD15" s="2">
        <f t="shared" si="26"/>
        <v>19.016159008751526</v>
      </c>
      <c r="AE15" s="2">
        <f t="shared" si="27"/>
        <v>44.236758463666838</v>
      </c>
      <c r="AF15" s="2">
        <f t="shared" si="28"/>
        <v>19.016159008751526</v>
      </c>
      <c r="AG15" s="2">
        <f t="shared" si="29"/>
        <v>44.236758463666838</v>
      </c>
      <c r="AH15" s="2">
        <f t="shared" si="30"/>
        <v>19.016159008751526</v>
      </c>
    </row>
    <row r="16" spans="1:37">
      <c r="A16" t="str">
        <f>CYF!A16</f>
        <v>Teff</v>
      </c>
      <c r="B16" t="str">
        <f>CYF!B16</f>
        <v>SM2N</v>
      </c>
      <c r="C16" s="2">
        <f>INDEX(TargetProduction!$X$47:$AD$61,MATCH($B16,TargetProduction!$W$47:$W$61,0),MATCH($A16,TargetProduction!$X$46:$AD$46,0))</f>
        <v>47.248251779809237</v>
      </c>
      <c r="D16" s="2">
        <f>INDEX(TargetProduction!$AE$47:$AK$61,MATCH($B16,TargetProduction!$W$47:$W$61,0),MATCH($A16,TargetProduction!$AE$46:$AK$46,0))</f>
        <v>21.282859098759598</v>
      </c>
      <c r="E16" s="2">
        <f t="shared" si="1"/>
        <v>47.248251779809237</v>
      </c>
      <c r="F16" s="2">
        <f t="shared" si="2"/>
        <v>21.282859098759598</v>
      </c>
      <c r="G16" s="2">
        <f t="shared" si="3"/>
        <v>47.248251779809237</v>
      </c>
      <c r="H16" s="2">
        <f t="shared" si="4"/>
        <v>21.282859098759598</v>
      </c>
      <c r="I16" s="2">
        <f t="shared" si="5"/>
        <v>47.248251779809237</v>
      </c>
      <c r="J16" s="2">
        <f t="shared" si="6"/>
        <v>21.282859098759598</v>
      </c>
      <c r="K16" s="2">
        <f t="shared" si="7"/>
        <v>47.248251779809237</v>
      </c>
      <c r="L16" s="2">
        <f t="shared" si="8"/>
        <v>21.282859098759598</v>
      </c>
      <c r="M16" s="2">
        <f t="shared" si="9"/>
        <v>47.248251779809237</v>
      </c>
      <c r="N16" s="2">
        <f t="shared" si="10"/>
        <v>21.282859098759598</v>
      </c>
      <c r="O16" s="2">
        <f t="shared" si="11"/>
        <v>47.248251779809237</v>
      </c>
      <c r="P16" s="2">
        <f t="shared" si="12"/>
        <v>21.282859098759598</v>
      </c>
      <c r="Q16" s="2">
        <f t="shared" si="13"/>
        <v>47.248251779809237</v>
      </c>
      <c r="R16" s="2">
        <f t="shared" si="14"/>
        <v>21.282859098759598</v>
      </c>
      <c r="S16" s="2">
        <f t="shared" si="15"/>
        <v>47.248251779809237</v>
      </c>
      <c r="T16" s="2">
        <f t="shared" si="16"/>
        <v>21.282859098759598</v>
      </c>
      <c r="U16" s="2">
        <f t="shared" si="17"/>
        <v>47.248251779809237</v>
      </c>
      <c r="V16" s="2">
        <f t="shared" si="18"/>
        <v>21.282859098759598</v>
      </c>
      <c r="W16" s="2">
        <f t="shared" si="19"/>
        <v>47.248251779809237</v>
      </c>
      <c r="X16" s="2">
        <f t="shared" si="20"/>
        <v>21.282859098759598</v>
      </c>
      <c r="Y16" s="2">
        <f t="shared" si="21"/>
        <v>47.248251779809237</v>
      </c>
      <c r="Z16" s="2">
        <f t="shared" si="22"/>
        <v>21.282859098759598</v>
      </c>
      <c r="AA16" s="2">
        <f t="shared" si="23"/>
        <v>47.248251779809237</v>
      </c>
      <c r="AB16" s="2">
        <f t="shared" si="24"/>
        <v>21.282859098759598</v>
      </c>
      <c r="AC16" s="2">
        <f t="shared" si="25"/>
        <v>47.248251779809237</v>
      </c>
      <c r="AD16" s="2">
        <f t="shared" si="26"/>
        <v>21.282859098759598</v>
      </c>
      <c r="AE16" s="2">
        <f t="shared" si="27"/>
        <v>47.248251779809237</v>
      </c>
      <c r="AF16" s="2">
        <f t="shared" si="28"/>
        <v>21.282859098759598</v>
      </c>
      <c r="AG16" s="2">
        <f t="shared" si="29"/>
        <v>47.248251779809237</v>
      </c>
      <c r="AH16" s="2">
        <f t="shared" si="30"/>
        <v>21.282859098759598</v>
      </c>
    </row>
    <row r="17" spans="1:36">
      <c r="A17" t="str">
        <f>CYF!A17</f>
        <v>Sorghum</v>
      </c>
      <c r="B17" t="str">
        <f>CYF!B17</f>
        <v>A1</v>
      </c>
      <c r="C17" s="2">
        <f>INDEX(TargetProduction!$X$47:$AD$61,MATCH($B17,TargetProduction!$W$47:$W$61,0),MATCH($A17,TargetProduction!$X$46:$AD$46,0))</f>
        <v>0</v>
      </c>
      <c r="D17" s="2">
        <f>INDEX(TargetProduction!$AE$47:$AK$61,MATCH($B17,TargetProduction!$W$47:$W$61,0),MATCH($A17,TargetProduction!$AE$46:$AK$46,0))</f>
        <v>18.164157664435791</v>
      </c>
      <c r="E17" s="2">
        <f t="shared" si="1"/>
        <v>0</v>
      </c>
      <c r="F17" s="2">
        <f t="shared" si="2"/>
        <v>18.164157664435791</v>
      </c>
      <c r="G17" s="2">
        <f t="shared" si="3"/>
        <v>0</v>
      </c>
      <c r="H17" s="2">
        <f t="shared" si="4"/>
        <v>18.164157664435791</v>
      </c>
      <c r="I17" s="2">
        <f t="shared" si="5"/>
        <v>0</v>
      </c>
      <c r="J17" s="2">
        <f t="shared" si="6"/>
        <v>18.164157664435791</v>
      </c>
      <c r="K17" s="2">
        <f t="shared" si="7"/>
        <v>0</v>
      </c>
      <c r="L17" s="2">
        <f t="shared" si="8"/>
        <v>18.164157664435791</v>
      </c>
      <c r="M17" s="2">
        <f t="shared" si="9"/>
        <v>0</v>
      </c>
      <c r="N17" s="2">
        <f t="shared" si="10"/>
        <v>18.164157664435791</v>
      </c>
      <c r="O17" s="2">
        <f t="shared" si="11"/>
        <v>0</v>
      </c>
      <c r="P17" s="2">
        <f t="shared" si="12"/>
        <v>18.164157664435791</v>
      </c>
      <c r="Q17" s="2">
        <f t="shared" si="13"/>
        <v>0</v>
      </c>
      <c r="R17" s="2">
        <f t="shared" si="14"/>
        <v>18.164157664435791</v>
      </c>
      <c r="S17" s="2">
        <f t="shared" si="15"/>
        <v>0</v>
      </c>
      <c r="T17" s="2">
        <f t="shared" si="16"/>
        <v>18.164157664435791</v>
      </c>
      <c r="U17" s="2">
        <f t="shared" si="17"/>
        <v>0</v>
      </c>
      <c r="V17" s="2">
        <f t="shared" si="18"/>
        <v>18.164157664435791</v>
      </c>
      <c r="W17" s="2">
        <f t="shared" si="19"/>
        <v>0</v>
      </c>
      <c r="X17" s="2">
        <f t="shared" si="20"/>
        <v>18.164157664435791</v>
      </c>
      <c r="Y17" s="2">
        <f t="shared" si="21"/>
        <v>0</v>
      </c>
      <c r="Z17" s="2">
        <f t="shared" si="22"/>
        <v>18.164157664435791</v>
      </c>
      <c r="AA17" s="2">
        <f t="shared" si="23"/>
        <v>0</v>
      </c>
      <c r="AB17" s="2">
        <f t="shared" si="24"/>
        <v>18.164157664435791</v>
      </c>
      <c r="AC17" s="2">
        <f t="shared" si="25"/>
        <v>0</v>
      </c>
      <c r="AD17" s="2">
        <f t="shared" si="26"/>
        <v>18.164157664435791</v>
      </c>
      <c r="AE17" s="2">
        <f t="shared" si="27"/>
        <v>0</v>
      </c>
      <c r="AF17" s="2">
        <f t="shared" si="28"/>
        <v>18.164157664435791</v>
      </c>
      <c r="AG17" s="2">
        <f t="shared" si="29"/>
        <v>0</v>
      </c>
      <c r="AH17" s="2">
        <f t="shared" si="30"/>
        <v>18.164157664435791</v>
      </c>
    </row>
    <row r="18" spans="1:36">
      <c r="A18" t="str">
        <f>CYF!A18</f>
        <v>Sorghum</v>
      </c>
      <c r="B18" t="str">
        <f>CYF!B18</f>
        <v>H2</v>
      </c>
      <c r="C18" s="2">
        <f>INDEX(TargetProduction!$X$47:$AD$61,MATCH($B18,TargetProduction!$W$47:$W$61,0),MATCH($A18,TargetProduction!$X$46:$AD$46,0))</f>
        <v>22.083838470963183</v>
      </c>
      <c r="D18" s="2">
        <f>INDEX(TargetProduction!$AE$47:$AK$61,MATCH($B18,TargetProduction!$W$47:$W$61,0),MATCH($A18,TargetProduction!$AE$46:$AK$46,0))</f>
        <v>18.421865645624706</v>
      </c>
      <c r="E18" s="2">
        <f t="shared" si="1"/>
        <v>22.083838470963183</v>
      </c>
      <c r="F18" s="2">
        <f t="shared" si="2"/>
        <v>18.421865645624706</v>
      </c>
      <c r="G18" s="2">
        <f t="shared" si="3"/>
        <v>22.083838470963183</v>
      </c>
      <c r="H18" s="2">
        <f t="shared" si="4"/>
        <v>18.421865645624706</v>
      </c>
      <c r="I18" s="2">
        <f t="shared" si="5"/>
        <v>22.083838470963183</v>
      </c>
      <c r="J18" s="2">
        <f t="shared" si="6"/>
        <v>18.421865645624706</v>
      </c>
      <c r="K18" s="2">
        <f t="shared" si="7"/>
        <v>22.083838470963183</v>
      </c>
      <c r="L18" s="2">
        <f t="shared" si="8"/>
        <v>18.421865645624706</v>
      </c>
      <c r="M18" s="2">
        <f t="shared" si="9"/>
        <v>22.083838470963183</v>
      </c>
      <c r="N18" s="2">
        <f t="shared" si="10"/>
        <v>18.421865645624706</v>
      </c>
      <c r="O18" s="2">
        <f t="shared" si="11"/>
        <v>22.083838470963183</v>
      </c>
      <c r="P18" s="2">
        <f t="shared" si="12"/>
        <v>18.421865645624706</v>
      </c>
      <c r="Q18" s="2">
        <f t="shared" si="13"/>
        <v>22.083838470963183</v>
      </c>
      <c r="R18" s="2">
        <f t="shared" si="14"/>
        <v>18.421865645624706</v>
      </c>
      <c r="S18" s="2">
        <f t="shared" si="15"/>
        <v>22.083838470963183</v>
      </c>
      <c r="T18" s="2">
        <f t="shared" si="16"/>
        <v>18.421865645624706</v>
      </c>
      <c r="U18" s="2">
        <f t="shared" si="17"/>
        <v>22.083838470963183</v>
      </c>
      <c r="V18" s="2">
        <f t="shared" si="18"/>
        <v>18.421865645624706</v>
      </c>
      <c r="W18" s="2">
        <f t="shared" si="19"/>
        <v>22.083838470963183</v>
      </c>
      <c r="X18" s="2">
        <f t="shared" si="20"/>
        <v>18.421865645624706</v>
      </c>
      <c r="Y18" s="2">
        <f t="shared" si="21"/>
        <v>22.083838470963183</v>
      </c>
      <c r="Z18" s="2">
        <f t="shared" si="22"/>
        <v>18.421865645624706</v>
      </c>
      <c r="AA18" s="2">
        <f t="shared" si="23"/>
        <v>22.083838470963183</v>
      </c>
      <c r="AB18" s="2">
        <f t="shared" si="24"/>
        <v>18.421865645624706</v>
      </c>
      <c r="AC18" s="2">
        <f t="shared" si="25"/>
        <v>22.083838470963183</v>
      </c>
      <c r="AD18" s="2">
        <f t="shared" si="26"/>
        <v>18.421865645624706</v>
      </c>
      <c r="AE18" s="2">
        <f t="shared" si="27"/>
        <v>22.083838470963183</v>
      </c>
      <c r="AF18" s="2">
        <f t="shared" si="28"/>
        <v>18.421865645624706</v>
      </c>
      <c r="AG18" s="2">
        <f t="shared" si="29"/>
        <v>22.083838470963183</v>
      </c>
      <c r="AH18" s="2">
        <f t="shared" si="30"/>
        <v>18.421865645624706</v>
      </c>
    </row>
    <row r="19" spans="1:36">
      <c r="A19" t="str">
        <f>CYF!A19</f>
        <v>Sorghum</v>
      </c>
      <c r="B19" t="str">
        <f>CYF!B19</f>
        <v>H3</v>
      </c>
      <c r="C19" s="2">
        <f>INDEX(TargetProduction!$X$47:$AD$61,MATCH($B19,TargetProduction!$W$47:$W$61,0),MATCH($A19,TargetProduction!$X$46:$AD$46,0))</f>
        <v>30.060121660219959</v>
      </c>
      <c r="D19" s="2">
        <f>INDEX(TargetProduction!$AE$47:$AK$61,MATCH($B19,TargetProduction!$W$47:$W$61,0),MATCH($A19,TargetProduction!$AE$46:$AK$46,0))</f>
        <v>18.321551155103389</v>
      </c>
      <c r="E19" s="2">
        <f t="shared" si="1"/>
        <v>30.060121660219959</v>
      </c>
      <c r="F19" s="2">
        <f t="shared" si="2"/>
        <v>18.321551155103389</v>
      </c>
      <c r="G19" s="2">
        <f t="shared" si="3"/>
        <v>30.060121660219959</v>
      </c>
      <c r="H19" s="2">
        <f t="shared" si="4"/>
        <v>18.321551155103389</v>
      </c>
      <c r="I19" s="2">
        <f t="shared" si="5"/>
        <v>30.060121660219959</v>
      </c>
      <c r="J19" s="2">
        <f t="shared" si="6"/>
        <v>18.321551155103389</v>
      </c>
      <c r="K19" s="2">
        <f t="shared" si="7"/>
        <v>30.060121660219959</v>
      </c>
      <c r="L19" s="2">
        <f t="shared" si="8"/>
        <v>18.321551155103389</v>
      </c>
      <c r="M19" s="2">
        <f t="shared" si="9"/>
        <v>30.060121660219959</v>
      </c>
      <c r="N19" s="2">
        <f t="shared" si="10"/>
        <v>18.321551155103389</v>
      </c>
      <c r="O19" s="2">
        <f t="shared" si="11"/>
        <v>30.060121660219959</v>
      </c>
      <c r="P19" s="2">
        <f t="shared" si="12"/>
        <v>18.321551155103389</v>
      </c>
      <c r="Q19" s="2">
        <f t="shared" si="13"/>
        <v>30.060121660219959</v>
      </c>
      <c r="R19" s="2">
        <f t="shared" si="14"/>
        <v>18.321551155103389</v>
      </c>
      <c r="S19" s="2">
        <f t="shared" si="15"/>
        <v>30.060121660219959</v>
      </c>
      <c r="T19" s="2">
        <f t="shared" si="16"/>
        <v>18.321551155103389</v>
      </c>
      <c r="U19" s="2">
        <f t="shared" si="17"/>
        <v>30.060121660219959</v>
      </c>
      <c r="V19" s="2">
        <f t="shared" si="18"/>
        <v>18.321551155103389</v>
      </c>
      <c r="W19" s="2">
        <f t="shared" si="19"/>
        <v>30.060121660219959</v>
      </c>
      <c r="X19" s="2">
        <f t="shared" si="20"/>
        <v>18.321551155103389</v>
      </c>
      <c r="Y19" s="2">
        <f t="shared" si="21"/>
        <v>30.060121660219959</v>
      </c>
      <c r="Z19" s="2">
        <f t="shared" si="22"/>
        <v>18.321551155103389</v>
      </c>
      <c r="AA19" s="2">
        <f t="shared" si="23"/>
        <v>30.060121660219959</v>
      </c>
      <c r="AB19" s="2">
        <f t="shared" si="24"/>
        <v>18.321551155103389</v>
      </c>
      <c r="AC19" s="2">
        <f t="shared" si="25"/>
        <v>30.060121660219959</v>
      </c>
      <c r="AD19" s="2">
        <f t="shared" si="26"/>
        <v>18.321551155103389</v>
      </c>
      <c r="AE19" s="2">
        <f t="shared" si="27"/>
        <v>30.060121660219959</v>
      </c>
      <c r="AF19" s="2">
        <f t="shared" si="28"/>
        <v>18.321551155103389</v>
      </c>
      <c r="AG19" s="2">
        <f t="shared" si="29"/>
        <v>30.060121660219959</v>
      </c>
      <c r="AH19" s="2">
        <f t="shared" si="30"/>
        <v>18.321551155103389</v>
      </c>
    </row>
    <row r="20" spans="1:36">
      <c r="A20" t="str">
        <f>CYF!A20</f>
        <v>Sorghum</v>
      </c>
      <c r="B20" t="str">
        <f>CYF!B20</f>
        <v>H4</v>
      </c>
      <c r="C20" s="2">
        <f>INDEX(TargetProduction!$X$47:$AD$61,MATCH($B20,TargetProduction!$W$47:$W$61,0),MATCH($A20,TargetProduction!$X$46:$AD$46,0))</f>
        <v>37.817189059514625</v>
      </c>
      <c r="D20" s="2">
        <f>INDEX(TargetProduction!$AE$47:$AK$61,MATCH($B20,TargetProduction!$W$47:$W$61,0),MATCH($A20,TargetProduction!$AE$46:$AK$46,0))</f>
        <v>18.255093961261942</v>
      </c>
      <c r="E20" s="2">
        <f t="shared" si="1"/>
        <v>37.817189059514625</v>
      </c>
      <c r="F20" s="2">
        <f t="shared" si="2"/>
        <v>18.255093961261942</v>
      </c>
      <c r="G20" s="2">
        <f t="shared" si="3"/>
        <v>37.817189059514625</v>
      </c>
      <c r="H20" s="2">
        <f t="shared" si="4"/>
        <v>18.255093961261942</v>
      </c>
      <c r="I20" s="2">
        <f t="shared" si="5"/>
        <v>37.817189059514625</v>
      </c>
      <c r="J20" s="2">
        <f t="shared" si="6"/>
        <v>18.255093961261942</v>
      </c>
      <c r="K20" s="2">
        <f t="shared" si="7"/>
        <v>37.817189059514625</v>
      </c>
      <c r="L20" s="2">
        <f t="shared" si="8"/>
        <v>18.255093961261942</v>
      </c>
      <c r="M20" s="2">
        <f t="shared" si="9"/>
        <v>37.817189059514625</v>
      </c>
      <c r="N20" s="2">
        <f t="shared" si="10"/>
        <v>18.255093961261942</v>
      </c>
      <c r="O20" s="2">
        <f t="shared" si="11"/>
        <v>37.817189059514625</v>
      </c>
      <c r="P20" s="2">
        <f t="shared" si="12"/>
        <v>18.255093961261942</v>
      </c>
      <c r="Q20" s="2">
        <f t="shared" si="13"/>
        <v>37.817189059514625</v>
      </c>
      <c r="R20" s="2">
        <f t="shared" si="14"/>
        <v>18.255093961261942</v>
      </c>
      <c r="S20" s="2">
        <f t="shared" si="15"/>
        <v>37.817189059514625</v>
      </c>
      <c r="T20" s="2">
        <f t="shared" si="16"/>
        <v>18.255093961261942</v>
      </c>
      <c r="U20" s="2">
        <f t="shared" si="17"/>
        <v>37.817189059514625</v>
      </c>
      <c r="V20" s="2">
        <f t="shared" si="18"/>
        <v>18.255093961261942</v>
      </c>
      <c r="W20" s="2">
        <f t="shared" si="19"/>
        <v>37.817189059514625</v>
      </c>
      <c r="X20" s="2">
        <f t="shared" si="20"/>
        <v>18.255093961261942</v>
      </c>
      <c r="Y20" s="2">
        <f t="shared" si="21"/>
        <v>37.817189059514625</v>
      </c>
      <c r="Z20" s="2">
        <f t="shared" si="22"/>
        <v>18.255093961261942</v>
      </c>
      <c r="AA20" s="2">
        <f t="shared" si="23"/>
        <v>37.817189059514625</v>
      </c>
      <c r="AB20" s="2">
        <f t="shared" si="24"/>
        <v>18.255093961261942</v>
      </c>
      <c r="AC20" s="2">
        <f t="shared" si="25"/>
        <v>37.817189059514625</v>
      </c>
      <c r="AD20" s="2">
        <f t="shared" si="26"/>
        <v>18.255093961261942</v>
      </c>
      <c r="AE20" s="2">
        <f t="shared" si="27"/>
        <v>37.817189059514625</v>
      </c>
      <c r="AF20" s="2">
        <f t="shared" si="28"/>
        <v>18.255093961261942</v>
      </c>
      <c r="AG20" s="2">
        <f t="shared" si="29"/>
        <v>37.817189059514625</v>
      </c>
      <c r="AH20" s="2">
        <f t="shared" si="30"/>
        <v>18.255093961261942</v>
      </c>
      <c r="AJ20" t="s">
        <v>73</v>
      </c>
    </row>
    <row r="21" spans="1:36">
      <c r="A21" t="str">
        <f>CYF!A21</f>
        <v>Sorghum</v>
      </c>
      <c r="B21" t="str">
        <f>CYF!B21</f>
        <v>H5</v>
      </c>
      <c r="C21" s="2">
        <f>INDEX(TargetProduction!$X$47:$AD$61,MATCH($B21,TargetProduction!$W$47:$W$61,0),MATCH($A21,TargetProduction!$X$46:$AD$46,0))</f>
        <v>37.338986219580271</v>
      </c>
      <c r="D21" s="2">
        <f>INDEX(TargetProduction!$AE$47:$AK$61,MATCH($B21,TargetProduction!$W$47:$W$61,0),MATCH($A21,TargetProduction!$AE$46:$AK$46,0))</f>
        <v>18.203130220414192</v>
      </c>
      <c r="E21" s="2">
        <f t="shared" si="1"/>
        <v>37.338986219580271</v>
      </c>
      <c r="F21" s="2">
        <f t="shared" si="2"/>
        <v>18.203130220414192</v>
      </c>
      <c r="G21" s="2">
        <f t="shared" si="3"/>
        <v>37.338986219580271</v>
      </c>
      <c r="H21" s="2">
        <f t="shared" si="4"/>
        <v>18.203130220414192</v>
      </c>
      <c r="I21" s="2">
        <f t="shared" si="5"/>
        <v>37.338986219580271</v>
      </c>
      <c r="J21" s="2">
        <f t="shared" si="6"/>
        <v>18.203130220414192</v>
      </c>
      <c r="K21" s="2">
        <f t="shared" si="7"/>
        <v>37.338986219580271</v>
      </c>
      <c r="L21" s="2">
        <f t="shared" si="8"/>
        <v>18.203130220414192</v>
      </c>
      <c r="M21" s="2">
        <f t="shared" si="9"/>
        <v>37.338986219580271</v>
      </c>
      <c r="N21" s="2">
        <f t="shared" si="10"/>
        <v>18.203130220414192</v>
      </c>
      <c r="O21" s="2">
        <f t="shared" si="11"/>
        <v>37.338986219580271</v>
      </c>
      <c r="P21" s="2">
        <f t="shared" si="12"/>
        <v>18.203130220414192</v>
      </c>
      <c r="Q21" s="2">
        <f t="shared" si="13"/>
        <v>37.338986219580271</v>
      </c>
      <c r="R21" s="2">
        <f t="shared" si="14"/>
        <v>18.203130220414192</v>
      </c>
      <c r="S21" s="2">
        <f t="shared" si="15"/>
        <v>37.338986219580271</v>
      </c>
      <c r="T21" s="2">
        <f t="shared" si="16"/>
        <v>18.203130220414192</v>
      </c>
      <c r="U21" s="2">
        <f t="shared" si="17"/>
        <v>37.338986219580271</v>
      </c>
      <c r="V21" s="2">
        <f t="shared" si="18"/>
        <v>18.203130220414192</v>
      </c>
      <c r="W21" s="2">
        <f t="shared" si="19"/>
        <v>37.338986219580271</v>
      </c>
      <c r="X21" s="2">
        <f t="shared" si="20"/>
        <v>18.203130220414192</v>
      </c>
      <c r="Y21" s="2">
        <f t="shared" si="21"/>
        <v>37.338986219580271</v>
      </c>
      <c r="Z21" s="2">
        <f t="shared" si="22"/>
        <v>18.203130220414192</v>
      </c>
      <c r="AA21" s="2">
        <f t="shared" si="23"/>
        <v>37.338986219580271</v>
      </c>
      <c r="AB21" s="2">
        <f t="shared" si="24"/>
        <v>18.203130220414192</v>
      </c>
      <c r="AC21" s="2">
        <f t="shared" si="25"/>
        <v>37.338986219580271</v>
      </c>
      <c r="AD21" s="2">
        <f t="shared" si="26"/>
        <v>18.203130220414192</v>
      </c>
      <c r="AE21" s="2">
        <f t="shared" si="27"/>
        <v>37.338986219580271</v>
      </c>
      <c r="AF21" s="2">
        <f t="shared" si="28"/>
        <v>18.203130220414192</v>
      </c>
      <c r="AG21" s="2">
        <f t="shared" si="29"/>
        <v>37.338986219580271</v>
      </c>
      <c r="AH21" s="2">
        <f t="shared" si="30"/>
        <v>18.203130220414192</v>
      </c>
    </row>
    <row r="22" spans="1:36">
      <c r="A22" t="str">
        <f>CYF!A22</f>
        <v>Sorghum</v>
      </c>
      <c r="B22" t="str">
        <f>CYF!B22</f>
        <v>M1</v>
      </c>
      <c r="C22" s="2">
        <f>INDEX(TargetProduction!$X$47:$AD$61,MATCH($B22,TargetProduction!$W$47:$W$61,0),MATCH($A22,TargetProduction!$X$46:$AD$46,0))</f>
        <v>38.588812362263283</v>
      </c>
      <c r="D22" s="2">
        <f>INDEX(TargetProduction!$AE$47:$AK$61,MATCH($B22,TargetProduction!$W$47:$W$61,0),MATCH($A22,TargetProduction!$AE$46:$AK$46,0))</f>
        <v>18.238523704893119</v>
      </c>
      <c r="E22" s="2">
        <f t="shared" si="1"/>
        <v>38.588812362263283</v>
      </c>
      <c r="F22" s="2">
        <f t="shared" si="2"/>
        <v>18.238523704893119</v>
      </c>
      <c r="G22" s="2">
        <f t="shared" si="3"/>
        <v>38.588812362263283</v>
      </c>
      <c r="H22" s="2">
        <f t="shared" si="4"/>
        <v>18.238523704893119</v>
      </c>
      <c r="I22" s="2">
        <f t="shared" si="5"/>
        <v>38.588812362263283</v>
      </c>
      <c r="J22" s="2">
        <f t="shared" si="6"/>
        <v>18.238523704893119</v>
      </c>
      <c r="K22" s="2">
        <f t="shared" si="7"/>
        <v>38.588812362263283</v>
      </c>
      <c r="L22" s="2">
        <f t="shared" si="8"/>
        <v>18.238523704893119</v>
      </c>
      <c r="M22" s="2">
        <f t="shared" si="9"/>
        <v>38.588812362263283</v>
      </c>
      <c r="N22" s="2">
        <f t="shared" si="10"/>
        <v>18.238523704893119</v>
      </c>
      <c r="O22" s="2">
        <f t="shared" si="11"/>
        <v>38.588812362263283</v>
      </c>
      <c r="P22" s="2">
        <f t="shared" si="12"/>
        <v>18.238523704893119</v>
      </c>
      <c r="Q22" s="2">
        <f t="shared" si="13"/>
        <v>38.588812362263283</v>
      </c>
      <c r="R22" s="2">
        <f t="shared" si="14"/>
        <v>18.238523704893119</v>
      </c>
      <c r="S22" s="2">
        <f t="shared" si="15"/>
        <v>38.588812362263283</v>
      </c>
      <c r="T22" s="2">
        <f t="shared" si="16"/>
        <v>18.238523704893119</v>
      </c>
      <c r="U22" s="2">
        <f t="shared" si="17"/>
        <v>38.588812362263283</v>
      </c>
      <c r="V22" s="2">
        <f t="shared" si="18"/>
        <v>18.238523704893119</v>
      </c>
      <c r="W22" s="2">
        <f t="shared" si="19"/>
        <v>38.588812362263283</v>
      </c>
      <c r="X22" s="2">
        <f t="shared" si="20"/>
        <v>18.238523704893119</v>
      </c>
      <c r="Y22" s="2">
        <f t="shared" si="21"/>
        <v>38.588812362263283</v>
      </c>
      <c r="Z22" s="2">
        <f t="shared" si="22"/>
        <v>18.238523704893119</v>
      </c>
      <c r="AA22" s="2">
        <f t="shared" si="23"/>
        <v>38.588812362263283</v>
      </c>
      <c r="AB22" s="2">
        <f t="shared" si="24"/>
        <v>18.238523704893119</v>
      </c>
      <c r="AC22" s="2">
        <f t="shared" si="25"/>
        <v>38.588812362263283</v>
      </c>
      <c r="AD22" s="2">
        <f t="shared" si="26"/>
        <v>18.238523704893119</v>
      </c>
      <c r="AE22" s="2">
        <f t="shared" si="27"/>
        <v>38.588812362263283</v>
      </c>
      <c r="AF22" s="2">
        <f t="shared" si="28"/>
        <v>18.238523704893119</v>
      </c>
      <c r="AG22" s="2">
        <f t="shared" si="29"/>
        <v>38.588812362263283</v>
      </c>
      <c r="AH22" s="2">
        <f t="shared" si="30"/>
        <v>18.238523704893119</v>
      </c>
    </row>
    <row r="23" spans="1:36">
      <c r="A23" t="str">
        <f>CYF!A23</f>
        <v>Sorghum</v>
      </c>
      <c r="B23" t="str">
        <f>CYF!B23</f>
        <v>M3</v>
      </c>
      <c r="C23" s="2">
        <f>INDEX(TargetProduction!$X$47:$AD$61,MATCH($B23,TargetProduction!$W$47:$W$61,0),MATCH($A23,TargetProduction!$X$46:$AD$46,0))</f>
        <v>30.484314836840966</v>
      </c>
      <c r="D23" s="2">
        <f>INDEX(TargetProduction!$AE$47:$AK$61,MATCH($B23,TargetProduction!$W$47:$W$61,0),MATCH($A23,TargetProduction!$AE$46:$AK$46,0))</f>
        <v>18.235152095158906</v>
      </c>
      <c r="E23" s="2">
        <f t="shared" si="1"/>
        <v>30.484314836840966</v>
      </c>
      <c r="F23" s="2">
        <f t="shared" si="2"/>
        <v>18.235152095158906</v>
      </c>
      <c r="G23" s="2">
        <f t="shared" si="3"/>
        <v>30.484314836840966</v>
      </c>
      <c r="H23" s="2">
        <f t="shared" si="4"/>
        <v>18.235152095158906</v>
      </c>
      <c r="I23" s="2">
        <f t="shared" si="5"/>
        <v>30.484314836840966</v>
      </c>
      <c r="J23" s="2">
        <f t="shared" si="6"/>
        <v>18.235152095158906</v>
      </c>
      <c r="K23" s="2">
        <f t="shared" si="7"/>
        <v>30.484314836840966</v>
      </c>
      <c r="L23" s="2">
        <f t="shared" si="8"/>
        <v>18.235152095158906</v>
      </c>
      <c r="M23" s="2">
        <f t="shared" si="9"/>
        <v>30.484314836840966</v>
      </c>
      <c r="N23" s="2">
        <f t="shared" si="10"/>
        <v>18.235152095158906</v>
      </c>
      <c r="O23" s="2">
        <f t="shared" si="11"/>
        <v>30.484314836840966</v>
      </c>
      <c r="P23" s="2">
        <f t="shared" si="12"/>
        <v>18.235152095158906</v>
      </c>
      <c r="Q23" s="2">
        <f t="shared" si="13"/>
        <v>30.484314836840966</v>
      </c>
      <c r="R23" s="2">
        <f t="shared" si="14"/>
        <v>18.235152095158906</v>
      </c>
      <c r="S23" s="2">
        <f t="shared" si="15"/>
        <v>30.484314836840966</v>
      </c>
      <c r="T23" s="2">
        <f t="shared" si="16"/>
        <v>18.235152095158906</v>
      </c>
      <c r="U23" s="2">
        <f t="shared" si="17"/>
        <v>30.484314836840966</v>
      </c>
      <c r="V23" s="2">
        <f t="shared" si="18"/>
        <v>18.235152095158906</v>
      </c>
      <c r="W23" s="2">
        <f t="shared" si="19"/>
        <v>30.484314836840966</v>
      </c>
      <c r="X23" s="2">
        <f t="shared" si="20"/>
        <v>18.235152095158906</v>
      </c>
      <c r="Y23" s="2">
        <f t="shared" si="21"/>
        <v>30.484314836840966</v>
      </c>
      <c r="Z23" s="2">
        <f t="shared" si="22"/>
        <v>18.235152095158906</v>
      </c>
      <c r="AA23" s="2">
        <f t="shared" si="23"/>
        <v>30.484314836840966</v>
      </c>
      <c r="AB23" s="2">
        <f t="shared" si="24"/>
        <v>18.235152095158906</v>
      </c>
      <c r="AC23" s="2">
        <f t="shared" si="25"/>
        <v>30.484314836840966</v>
      </c>
      <c r="AD23" s="2">
        <f t="shared" si="26"/>
        <v>18.235152095158906</v>
      </c>
      <c r="AE23" s="2">
        <f t="shared" si="27"/>
        <v>30.484314836840966</v>
      </c>
      <c r="AF23" s="2">
        <f t="shared" si="28"/>
        <v>18.235152095158906</v>
      </c>
      <c r="AG23" s="2">
        <f t="shared" si="29"/>
        <v>30.484314836840966</v>
      </c>
      <c r="AH23" s="2">
        <f t="shared" si="30"/>
        <v>18.235152095158906</v>
      </c>
    </row>
    <row r="24" spans="1:36">
      <c r="A24" t="str">
        <f>CYF!A24</f>
        <v>Sorghum</v>
      </c>
      <c r="B24" t="str">
        <f>CYF!B24</f>
        <v>M5</v>
      </c>
      <c r="C24" s="2">
        <f>INDEX(TargetProduction!$X$47:$AD$61,MATCH($B24,TargetProduction!$W$47:$W$61,0),MATCH($A24,TargetProduction!$X$46:$AD$46,0))</f>
        <v>29.575025476310877</v>
      </c>
      <c r="D24" s="2">
        <f>INDEX(TargetProduction!$AE$47:$AK$61,MATCH($B24,TargetProduction!$W$47:$W$61,0),MATCH($A24,TargetProduction!$AE$46:$AK$46,0))</f>
        <v>18.251524448395266</v>
      </c>
      <c r="E24" s="2">
        <f t="shared" si="1"/>
        <v>29.575025476310877</v>
      </c>
      <c r="F24" s="2">
        <f t="shared" si="2"/>
        <v>18.251524448395266</v>
      </c>
      <c r="G24" s="2">
        <f t="shared" si="3"/>
        <v>29.575025476310877</v>
      </c>
      <c r="H24" s="2">
        <f t="shared" si="4"/>
        <v>18.251524448395266</v>
      </c>
      <c r="I24" s="2">
        <f t="shared" si="5"/>
        <v>29.575025476310877</v>
      </c>
      <c r="J24" s="2">
        <f t="shared" si="6"/>
        <v>18.251524448395266</v>
      </c>
      <c r="K24" s="2">
        <f t="shared" si="7"/>
        <v>29.575025476310877</v>
      </c>
      <c r="L24" s="2">
        <f t="shared" si="8"/>
        <v>18.251524448395266</v>
      </c>
      <c r="M24" s="2">
        <f t="shared" si="9"/>
        <v>29.575025476310877</v>
      </c>
      <c r="N24" s="2">
        <f t="shared" si="10"/>
        <v>18.251524448395266</v>
      </c>
      <c r="O24" s="2">
        <f t="shared" si="11"/>
        <v>29.575025476310877</v>
      </c>
      <c r="P24" s="2">
        <f t="shared" si="12"/>
        <v>18.251524448395266</v>
      </c>
      <c r="Q24" s="2">
        <f t="shared" si="13"/>
        <v>29.575025476310877</v>
      </c>
      <c r="R24" s="2">
        <f t="shared" si="14"/>
        <v>18.251524448395266</v>
      </c>
      <c r="S24" s="2">
        <f t="shared" si="15"/>
        <v>29.575025476310877</v>
      </c>
      <c r="T24" s="2">
        <f t="shared" si="16"/>
        <v>18.251524448395266</v>
      </c>
      <c r="U24" s="2">
        <f t="shared" si="17"/>
        <v>29.575025476310877</v>
      </c>
      <c r="V24" s="2">
        <f t="shared" si="18"/>
        <v>18.251524448395266</v>
      </c>
      <c r="W24" s="2">
        <f t="shared" si="19"/>
        <v>29.575025476310877</v>
      </c>
      <c r="X24" s="2">
        <f t="shared" si="20"/>
        <v>18.251524448395266</v>
      </c>
      <c r="Y24" s="2">
        <f t="shared" si="21"/>
        <v>29.575025476310877</v>
      </c>
      <c r="Z24" s="2">
        <f t="shared" si="22"/>
        <v>18.251524448395266</v>
      </c>
      <c r="AA24" s="2">
        <f t="shared" si="23"/>
        <v>29.575025476310877</v>
      </c>
      <c r="AB24" s="2">
        <f t="shared" si="24"/>
        <v>18.251524448395266</v>
      </c>
      <c r="AC24" s="2">
        <f t="shared" si="25"/>
        <v>29.575025476310877</v>
      </c>
      <c r="AD24" s="2">
        <f t="shared" si="26"/>
        <v>18.251524448395266</v>
      </c>
      <c r="AE24" s="2">
        <f t="shared" si="27"/>
        <v>29.575025476310877</v>
      </c>
      <c r="AF24" s="2">
        <f t="shared" si="28"/>
        <v>18.251524448395266</v>
      </c>
      <c r="AG24" s="2">
        <f t="shared" si="29"/>
        <v>29.575025476310877</v>
      </c>
      <c r="AH24" s="2">
        <f t="shared" si="30"/>
        <v>18.251524448395266</v>
      </c>
    </row>
    <row r="25" spans="1:36">
      <c r="A25" t="str">
        <f>CYF!A25</f>
        <v>Sorghum</v>
      </c>
      <c r="B25" t="str">
        <f>CYF!B25</f>
        <v>SA1</v>
      </c>
      <c r="C25" s="2">
        <f>INDEX(TargetProduction!$X$47:$AD$61,MATCH($B25,TargetProduction!$W$47:$W$61,0),MATCH($A25,TargetProduction!$X$46:$AD$46,0))</f>
        <v>44.121681449937626</v>
      </c>
      <c r="D25" s="2">
        <f>INDEX(TargetProduction!$AE$47:$AK$61,MATCH($B25,TargetProduction!$W$47:$W$61,0),MATCH($A25,TargetProduction!$AE$46:$AK$46,0))</f>
        <v>18.310198637390762</v>
      </c>
      <c r="E25" s="2">
        <f t="shared" si="1"/>
        <v>44.121681449937626</v>
      </c>
      <c r="F25" s="2">
        <f t="shared" si="2"/>
        <v>18.310198637390762</v>
      </c>
      <c r="G25" s="2">
        <f t="shared" si="3"/>
        <v>44.121681449937626</v>
      </c>
      <c r="H25" s="2">
        <f t="shared" si="4"/>
        <v>18.310198637390762</v>
      </c>
      <c r="I25" s="2">
        <f t="shared" si="5"/>
        <v>44.121681449937626</v>
      </c>
      <c r="J25" s="2">
        <f t="shared" si="6"/>
        <v>18.310198637390762</v>
      </c>
      <c r="K25" s="2">
        <f t="shared" si="7"/>
        <v>44.121681449937626</v>
      </c>
      <c r="L25" s="2">
        <f t="shared" si="8"/>
        <v>18.310198637390762</v>
      </c>
      <c r="M25" s="2">
        <f t="shared" si="9"/>
        <v>44.121681449937626</v>
      </c>
      <c r="N25" s="2">
        <f t="shared" si="10"/>
        <v>18.310198637390762</v>
      </c>
      <c r="O25" s="2">
        <f t="shared" si="11"/>
        <v>44.121681449937626</v>
      </c>
      <c r="P25" s="2">
        <f t="shared" si="12"/>
        <v>18.310198637390762</v>
      </c>
      <c r="Q25" s="2">
        <f t="shared" si="13"/>
        <v>44.121681449937626</v>
      </c>
      <c r="R25" s="2">
        <f t="shared" si="14"/>
        <v>18.310198637390762</v>
      </c>
      <c r="S25" s="2">
        <f t="shared" si="15"/>
        <v>44.121681449937626</v>
      </c>
      <c r="T25" s="2">
        <f t="shared" si="16"/>
        <v>18.310198637390762</v>
      </c>
      <c r="U25" s="2">
        <f t="shared" si="17"/>
        <v>44.121681449937626</v>
      </c>
      <c r="V25" s="2">
        <f t="shared" si="18"/>
        <v>18.310198637390762</v>
      </c>
      <c r="W25" s="2">
        <f t="shared" si="19"/>
        <v>44.121681449937626</v>
      </c>
      <c r="X25" s="2">
        <f t="shared" si="20"/>
        <v>18.310198637390762</v>
      </c>
      <c r="Y25" s="2">
        <f t="shared" si="21"/>
        <v>44.121681449937626</v>
      </c>
      <c r="Z25" s="2">
        <f t="shared" si="22"/>
        <v>18.310198637390762</v>
      </c>
      <c r="AA25" s="2">
        <f t="shared" si="23"/>
        <v>44.121681449937626</v>
      </c>
      <c r="AB25" s="2">
        <f t="shared" si="24"/>
        <v>18.310198637390762</v>
      </c>
      <c r="AC25" s="2">
        <f t="shared" si="25"/>
        <v>44.121681449937626</v>
      </c>
      <c r="AD25" s="2">
        <f t="shared" si="26"/>
        <v>18.310198637390762</v>
      </c>
      <c r="AE25" s="2">
        <f t="shared" si="27"/>
        <v>44.121681449937626</v>
      </c>
      <c r="AF25" s="2">
        <f t="shared" si="28"/>
        <v>18.310198637390762</v>
      </c>
      <c r="AG25" s="2">
        <f t="shared" si="29"/>
        <v>44.121681449937626</v>
      </c>
      <c r="AH25" s="2">
        <f t="shared" si="30"/>
        <v>18.310198637390762</v>
      </c>
    </row>
    <row r="26" spans="1:36">
      <c r="A26" t="str">
        <f>CYF!A26</f>
        <v>Sorghum</v>
      </c>
      <c r="B26" t="str">
        <f>CYF!B26</f>
        <v>SA3</v>
      </c>
      <c r="C26" s="2">
        <f>INDEX(TargetProduction!$X$47:$AD$61,MATCH($B26,TargetProduction!$W$47:$W$61,0),MATCH($A26,TargetProduction!$X$46:$AD$46,0))</f>
        <v>35.177150406615645</v>
      </c>
      <c r="D26" s="2">
        <f>INDEX(TargetProduction!$AE$47:$AK$61,MATCH($B26,TargetProduction!$W$47:$W$61,0),MATCH($A26,TargetProduction!$AE$46:$AK$46,0))</f>
        <v>18.24039674568181</v>
      </c>
      <c r="E26" s="2">
        <f t="shared" si="1"/>
        <v>35.177150406615645</v>
      </c>
      <c r="F26" s="2">
        <f t="shared" si="2"/>
        <v>18.24039674568181</v>
      </c>
      <c r="G26" s="2">
        <f t="shared" si="3"/>
        <v>35.177150406615645</v>
      </c>
      <c r="H26" s="2">
        <f t="shared" si="4"/>
        <v>18.24039674568181</v>
      </c>
      <c r="I26" s="2">
        <f t="shared" si="5"/>
        <v>35.177150406615645</v>
      </c>
      <c r="J26" s="2">
        <f t="shared" si="6"/>
        <v>18.24039674568181</v>
      </c>
      <c r="K26" s="2">
        <f t="shared" si="7"/>
        <v>35.177150406615645</v>
      </c>
      <c r="L26" s="2">
        <f t="shared" si="8"/>
        <v>18.24039674568181</v>
      </c>
      <c r="M26" s="2">
        <f t="shared" si="9"/>
        <v>35.177150406615645</v>
      </c>
      <c r="N26" s="2">
        <f t="shared" si="10"/>
        <v>18.24039674568181</v>
      </c>
      <c r="O26" s="2">
        <f t="shared" si="11"/>
        <v>35.177150406615645</v>
      </c>
      <c r="P26" s="2">
        <f t="shared" si="12"/>
        <v>18.24039674568181</v>
      </c>
      <c r="Q26" s="2">
        <f t="shared" si="13"/>
        <v>35.177150406615645</v>
      </c>
      <c r="R26" s="2">
        <f t="shared" si="14"/>
        <v>18.24039674568181</v>
      </c>
      <c r="S26" s="2">
        <f t="shared" si="15"/>
        <v>35.177150406615645</v>
      </c>
      <c r="T26" s="2">
        <f t="shared" si="16"/>
        <v>18.24039674568181</v>
      </c>
      <c r="U26" s="2">
        <f t="shared" si="17"/>
        <v>35.177150406615645</v>
      </c>
      <c r="V26" s="2">
        <f t="shared" si="18"/>
        <v>18.24039674568181</v>
      </c>
      <c r="W26" s="2">
        <f t="shared" si="19"/>
        <v>35.177150406615645</v>
      </c>
      <c r="X26" s="2">
        <f t="shared" si="20"/>
        <v>18.24039674568181</v>
      </c>
      <c r="Y26" s="2">
        <f t="shared" si="21"/>
        <v>35.177150406615645</v>
      </c>
      <c r="Z26" s="2">
        <f t="shared" si="22"/>
        <v>18.24039674568181</v>
      </c>
      <c r="AA26" s="2">
        <f t="shared" si="23"/>
        <v>35.177150406615645</v>
      </c>
      <c r="AB26" s="2">
        <f t="shared" si="24"/>
        <v>18.24039674568181</v>
      </c>
      <c r="AC26" s="2">
        <f t="shared" si="25"/>
        <v>35.177150406615645</v>
      </c>
      <c r="AD26" s="2">
        <f t="shared" si="26"/>
        <v>18.24039674568181</v>
      </c>
      <c r="AE26" s="2">
        <f t="shared" si="27"/>
        <v>35.177150406615645</v>
      </c>
      <c r="AF26" s="2">
        <f t="shared" si="28"/>
        <v>18.24039674568181</v>
      </c>
      <c r="AG26" s="2">
        <f t="shared" si="29"/>
        <v>35.177150406615645</v>
      </c>
      <c r="AH26" s="2">
        <f t="shared" si="30"/>
        <v>18.24039674568181</v>
      </c>
    </row>
    <row r="27" spans="1:36">
      <c r="A27" t="str">
        <f>CYF!A27</f>
        <v>Sorghum</v>
      </c>
      <c r="B27" t="str">
        <f>CYF!B27</f>
        <v>SH1</v>
      </c>
      <c r="C27" s="2">
        <f>INDEX(TargetProduction!$X$47:$AD$61,MATCH($B27,TargetProduction!$W$47:$W$61,0),MATCH($A27,TargetProduction!$X$46:$AD$46,0))</f>
        <v>26.807716082121871</v>
      </c>
      <c r="D27" s="2">
        <f>INDEX(TargetProduction!$AE$47:$AK$61,MATCH($B27,TargetProduction!$W$47:$W$61,0),MATCH($A27,TargetProduction!$AE$46:$AK$46,0))</f>
        <v>18.289009995363472</v>
      </c>
      <c r="E27" s="2">
        <f t="shared" si="1"/>
        <v>26.807716082121871</v>
      </c>
      <c r="F27" s="2">
        <f t="shared" si="2"/>
        <v>18.289009995363472</v>
      </c>
      <c r="G27" s="2">
        <f t="shared" si="3"/>
        <v>26.807716082121871</v>
      </c>
      <c r="H27" s="2">
        <f t="shared" si="4"/>
        <v>18.289009995363472</v>
      </c>
      <c r="I27" s="2">
        <f t="shared" si="5"/>
        <v>26.807716082121871</v>
      </c>
      <c r="J27" s="2">
        <f t="shared" si="6"/>
        <v>18.289009995363472</v>
      </c>
      <c r="K27" s="2">
        <f t="shared" si="7"/>
        <v>26.807716082121871</v>
      </c>
      <c r="L27" s="2">
        <f t="shared" si="8"/>
        <v>18.289009995363472</v>
      </c>
      <c r="M27" s="2">
        <f t="shared" si="9"/>
        <v>26.807716082121871</v>
      </c>
      <c r="N27" s="2">
        <f t="shared" si="10"/>
        <v>18.289009995363472</v>
      </c>
      <c r="O27" s="2">
        <f t="shared" si="11"/>
        <v>26.807716082121871</v>
      </c>
      <c r="P27" s="2">
        <f t="shared" si="12"/>
        <v>18.289009995363472</v>
      </c>
      <c r="Q27" s="2">
        <f t="shared" si="13"/>
        <v>26.807716082121871</v>
      </c>
      <c r="R27" s="2">
        <f t="shared" si="14"/>
        <v>18.289009995363472</v>
      </c>
      <c r="S27" s="2">
        <f t="shared" si="15"/>
        <v>26.807716082121871</v>
      </c>
      <c r="T27" s="2">
        <f t="shared" si="16"/>
        <v>18.289009995363472</v>
      </c>
      <c r="U27" s="2">
        <f t="shared" si="17"/>
        <v>26.807716082121871</v>
      </c>
      <c r="V27" s="2">
        <f t="shared" si="18"/>
        <v>18.289009995363472</v>
      </c>
      <c r="W27" s="2">
        <f t="shared" si="19"/>
        <v>26.807716082121871</v>
      </c>
      <c r="X27" s="2">
        <f t="shared" si="20"/>
        <v>18.289009995363472</v>
      </c>
      <c r="Y27" s="2">
        <f t="shared" si="21"/>
        <v>26.807716082121871</v>
      </c>
      <c r="Z27" s="2">
        <f t="shared" si="22"/>
        <v>18.289009995363472</v>
      </c>
      <c r="AA27" s="2">
        <f t="shared" si="23"/>
        <v>26.807716082121871</v>
      </c>
      <c r="AB27" s="2">
        <f t="shared" si="24"/>
        <v>18.289009995363472</v>
      </c>
      <c r="AC27" s="2">
        <f t="shared" si="25"/>
        <v>26.807716082121871</v>
      </c>
      <c r="AD27" s="2">
        <f t="shared" si="26"/>
        <v>18.289009995363472</v>
      </c>
      <c r="AE27" s="2">
        <f t="shared" si="27"/>
        <v>26.807716082121871</v>
      </c>
      <c r="AF27" s="2">
        <f t="shared" si="28"/>
        <v>18.289009995363472</v>
      </c>
      <c r="AG27" s="2">
        <f t="shared" si="29"/>
        <v>26.807716082121871</v>
      </c>
      <c r="AH27" s="2">
        <f t="shared" si="30"/>
        <v>18.289009995363472</v>
      </c>
    </row>
    <row r="28" spans="1:36">
      <c r="A28" t="str">
        <f>CYF!A28</f>
        <v>Sorghum</v>
      </c>
      <c r="B28" t="str">
        <f>CYF!B28</f>
        <v>SH3</v>
      </c>
      <c r="C28" s="2">
        <f>INDEX(TargetProduction!$X$47:$AD$61,MATCH($B28,TargetProduction!$W$47:$W$61,0),MATCH($A28,TargetProduction!$X$46:$AD$46,0))</f>
        <v>25.911089670856231</v>
      </c>
      <c r="D28" s="2">
        <f>INDEX(TargetProduction!$AE$47:$AK$61,MATCH($B28,TargetProduction!$W$47:$W$61,0),MATCH($A28,TargetProduction!$AE$46:$AK$46,0))</f>
        <v>18.270036317332668</v>
      </c>
      <c r="E28" s="2">
        <f t="shared" si="1"/>
        <v>25.911089670856231</v>
      </c>
      <c r="F28" s="2">
        <f t="shared" si="2"/>
        <v>18.270036317332668</v>
      </c>
      <c r="G28" s="2">
        <f t="shared" si="3"/>
        <v>25.911089670856231</v>
      </c>
      <c r="H28" s="2">
        <f t="shared" si="4"/>
        <v>18.270036317332668</v>
      </c>
      <c r="I28" s="2">
        <f t="shared" si="5"/>
        <v>25.911089670856231</v>
      </c>
      <c r="J28" s="2">
        <f t="shared" si="6"/>
        <v>18.270036317332668</v>
      </c>
      <c r="K28" s="2">
        <f t="shared" si="7"/>
        <v>25.911089670856231</v>
      </c>
      <c r="L28" s="2">
        <f t="shared" si="8"/>
        <v>18.270036317332668</v>
      </c>
      <c r="M28" s="2">
        <f t="shared" si="9"/>
        <v>25.911089670856231</v>
      </c>
      <c r="N28" s="2">
        <f t="shared" si="10"/>
        <v>18.270036317332668</v>
      </c>
      <c r="O28" s="2">
        <f t="shared" si="11"/>
        <v>25.911089670856231</v>
      </c>
      <c r="P28" s="2">
        <f t="shared" si="12"/>
        <v>18.270036317332668</v>
      </c>
      <c r="Q28" s="2">
        <f t="shared" si="13"/>
        <v>25.911089670856231</v>
      </c>
      <c r="R28" s="2">
        <f t="shared" si="14"/>
        <v>18.270036317332668</v>
      </c>
      <c r="S28" s="2">
        <f t="shared" si="15"/>
        <v>25.911089670856231</v>
      </c>
      <c r="T28" s="2">
        <f t="shared" si="16"/>
        <v>18.270036317332668</v>
      </c>
      <c r="U28" s="2">
        <f t="shared" si="17"/>
        <v>25.911089670856231</v>
      </c>
      <c r="V28" s="2">
        <f t="shared" si="18"/>
        <v>18.270036317332668</v>
      </c>
      <c r="W28" s="2">
        <f t="shared" si="19"/>
        <v>25.911089670856231</v>
      </c>
      <c r="X28" s="2">
        <f t="shared" si="20"/>
        <v>18.270036317332668</v>
      </c>
      <c r="Y28" s="2">
        <f t="shared" si="21"/>
        <v>25.911089670856231</v>
      </c>
      <c r="Z28" s="2">
        <f t="shared" si="22"/>
        <v>18.270036317332668</v>
      </c>
      <c r="AA28" s="2">
        <f t="shared" si="23"/>
        <v>25.911089670856231</v>
      </c>
      <c r="AB28" s="2">
        <f t="shared" si="24"/>
        <v>18.270036317332668</v>
      </c>
      <c r="AC28" s="2">
        <f t="shared" si="25"/>
        <v>25.911089670856231</v>
      </c>
      <c r="AD28" s="2">
        <f t="shared" si="26"/>
        <v>18.270036317332668</v>
      </c>
      <c r="AE28" s="2">
        <f t="shared" si="27"/>
        <v>25.911089670856231</v>
      </c>
      <c r="AF28" s="2">
        <f t="shared" si="28"/>
        <v>18.270036317332668</v>
      </c>
      <c r="AG28" s="2">
        <f t="shared" si="29"/>
        <v>25.911089670856231</v>
      </c>
      <c r="AH28" s="2">
        <f t="shared" si="30"/>
        <v>18.270036317332668</v>
      </c>
    </row>
    <row r="29" spans="1:36">
      <c r="A29" t="str">
        <f>CYF!A29</f>
        <v>Sorghum</v>
      </c>
      <c r="B29" t="str">
        <f>CYF!B29</f>
        <v>SM2</v>
      </c>
      <c r="C29" s="2">
        <f>INDEX(TargetProduction!$X$47:$AD$61,MATCH($B29,TargetProduction!$W$47:$W$61,0),MATCH($A29,TargetProduction!$X$46:$AD$46,0))</f>
        <v>79.726494795600914</v>
      </c>
      <c r="D29" s="2">
        <f>INDEX(TargetProduction!$AE$47:$AK$61,MATCH($B29,TargetProduction!$W$47:$W$61,0),MATCH($A29,TargetProduction!$AE$46:$AK$46,0))</f>
        <v>18.164157664435788</v>
      </c>
      <c r="E29" s="2">
        <f t="shared" si="1"/>
        <v>79.726494795600914</v>
      </c>
      <c r="F29" s="2">
        <f t="shared" si="2"/>
        <v>18.164157664435788</v>
      </c>
      <c r="G29" s="2">
        <f t="shared" si="3"/>
        <v>79.726494795600914</v>
      </c>
      <c r="H29" s="2">
        <f t="shared" si="4"/>
        <v>18.164157664435788</v>
      </c>
      <c r="I29" s="2">
        <f t="shared" si="5"/>
        <v>79.726494795600914</v>
      </c>
      <c r="J29" s="2">
        <f t="shared" si="6"/>
        <v>18.164157664435788</v>
      </c>
      <c r="K29" s="2">
        <f t="shared" si="7"/>
        <v>79.726494795600914</v>
      </c>
      <c r="L29" s="2">
        <f t="shared" si="8"/>
        <v>18.164157664435788</v>
      </c>
      <c r="M29" s="2">
        <f t="shared" si="9"/>
        <v>79.726494795600914</v>
      </c>
      <c r="N29" s="2">
        <f t="shared" si="10"/>
        <v>18.164157664435788</v>
      </c>
      <c r="O29" s="2">
        <f t="shared" si="11"/>
        <v>79.726494795600914</v>
      </c>
      <c r="P29" s="2">
        <f t="shared" si="12"/>
        <v>18.164157664435788</v>
      </c>
      <c r="Q29" s="2">
        <f t="shared" si="13"/>
        <v>79.726494795600914</v>
      </c>
      <c r="R29" s="2">
        <f t="shared" si="14"/>
        <v>18.164157664435788</v>
      </c>
      <c r="S29" s="2">
        <f t="shared" si="15"/>
        <v>79.726494795600914</v>
      </c>
      <c r="T29" s="2">
        <f t="shared" si="16"/>
        <v>18.164157664435788</v>
      </c>
      <c r="U29" s="2">
        <f t="shared" si="17"/>
        <v>79.726494795600914</v>
      </c>
      <c r="V29" s="2">
        <f t="shared" si="18"/>
        <v>18.164157664435788</v>
      </c>
      <c r="W29" s="2">
        <f t="shared" si="19"/>
        <v>79.726494795600914</v>
      </c>
      <c r="X29" s="2">
        <f t="shared" si="20"/>
        <v>18.164157664435788</v>
      </c>
      <c r="Y29" s="2">
        <f t="shared" si="21"/>
        <v>79.726494795600914</v>
      </c>
      <c r="Z29" s="2">
        <f t="shared" si="22"/>
        <v>18.164157664435788</v>
      </c>
      <c r="AA29" s="2">
        <f t="shared" si="23"/>
        <v>79.726494795600914</v>
      </c>
      <c r="AB29" s="2">
        <f t="shared" si="24"/>
        <v>18.164157664435788</v>
      </c>
      <c r="AC29" s="2">
        <f t="shared" si="25"/>
        <v>79.726494795600914</v>
      </c>
      <c r="AD29" s="2">
        <f t="shared" si="26"/>
        <v>18.164157664435788</v>
      </c>
      <c r="AE29" s="2">
        <f t="shared" si="27"/>
        <v>79.726494795600914</v>
      </c>
      <c r="AF29" s="2">
        <f t="shared" si="28"/>
        <v>18.164157664435788</v>
      </c>
      <c r="AG29" s="2">
        <f t="shared" si="29"/>
        <v>79.726494795600914</v>
      </c>
      <c r="AH29" s="2">
        <f t="shared" si="30"/>
        <v>18.164157664435788</v>
      </c>
    </row>
    <row r="30" spans="1:36">
      <c r="A30" t="str">
        <f>CYF!A30</f>
        <v>Sorghum</v>
      </c>
      <c r="B30" t="str">
        <f>CYF!B30</f>
        <v>SM2N</v>
      </c>
      <c r="C30" s="2">
        <f>INDEX(TargetProduction!$X$47:$AD$61,MATCH($B30,TargetProduction!$W$47:$W$61,0),MATCH($A30,TargetProduction!$X$46:$AD$46,0))</f>
        <v>63.653373587066014</v>
      </c>
      <c r="D30" s="2">
        <f>INDEX(TargetProduction!$AE$47:$AK$61,MATCH($B30,TargetProduction!$W$47:$W$61,0),MATCH($A30,TargetProduction!$AE$46:$AK$46,0))</f>
        <v>18.251524448395262</v>
      </c>
      <c r="E30" s="2">
        <f t="shared" si="1"/>
        <v>63.653373587066014</v>
      </c>
      <c r="F30" s="2">
        <f t="shared" si="2"/>
        <v>18.251524448395262</v>
      </c>
      <c r="G30" s="2">
        <f t="shared" si="3"/>
        <v>63.653373587066014</v>
      </c>
      <c r="H30" s="2">
        <f t="shared" si="4"/>
        <v>18.251524448395262</v>
      </c>
      <c r="I30" s="2">
        <f t="shared" si="5"/>
        <v>63.653373587066014</v>
      </c>
      <c r="J30" s="2">
        <f t="shared" si="6"/>
        <v>18.251524448395262</v>
      </c>
      <c r="K30" s="2">
        <f t="shared" si="7"/>
        <v>63.653373587066014</v>
      </c>
      <c r="L30" s="2">
        <f t="shared" si="8"/>
        <v>18.251524448395262</v>
      </c>
      <c r="M30" s="2">
        <f t="shared" si="9"/>
        <v>63.653373587066014</v>
      </c>
      <c r="N30" s="2">
        <f t="shared" si="10"/>
        <v>18.251524448395262</v>
      </c>
      <c r="O30" s="2">
        <f t="shared" si="11"/>
        <v>63.653373587066014</v>
      </c>
      <c r="P30" s="2">
        <f t="shared" si="12"/>
        <v>18.251524448395262</v>
      </c>
      <c r="Q30" s="2">
        <f t="shared" si="13"/>
        <v>63.653373587066014</v>
      </c>
      <c r="R30" s="2">
        <f t="shared" si="14"/>
        <v>18.251524448395262</v>
      </c>
      <c r="S30" s="2">
        <f t="shared" si="15"/>
        <v>63.653373587066014</v>
      </c>
      <c r="T30" s="2">
        <f t="shared" si="16"/>
        <v>18.251524448395262</v>
      </c>
      <c r="U30" s="2">
        <f t="shared" si="17"/>
        <v>63.653373587066014</v>
      </c>
      <c r="V30" s="2">
        <f t="shared" si="18"/>
        <v>18.251524448395262</v>
      </c>
      <c r="W30" s="2">
        <f t="shared" si="19"/>
        <v>63.653373587066014</v>
      </c>
      <c r="X30" s="2">
        <f t="shared" si="20"/>
        <v>18.251524448395262</v>
      </c>
      <c r="Y30" s="2">
        <f t="shared" si="21"/>
        <v>63.653373587066014</v>
      </c>
      <c r="Z30" s="2">
        <f t="shared" si="22"/>
        <v>18.251524448395262</v>
      </c>
      <c r="AA30" s="2">
        <f t="shared" si="23"/>
        <v>63.653373587066014</v>
      </c>
      <c r="AB30" s="2">
        <f t="shared" si="24"/>
        <v>18.251524448395262</v>
      </c>
      <c r="AC30" s="2">
        <f t="shared" si="25"/>
        <v>63.653373587066014</v>
      </c>
      <c r="AD30" s="2">
        <f t="shared" si="26"/>
        <v>18.251524448395262</v>
      </c>
      <c r="AE30" s="2">
        <f t="shared" si="27"/>
        <v>63.653373587066014</v>
      </c>
      <c r="AF30" s="2">
        <f t="shared" si="28"/>
        <v>18.251524448395262</v>
      </c>
      <c r="AG30" s="2">
        <f t="shared" si="29"/>
        <v>63.653373587066014</v>
      </c>
      <c r="AH30" s="2">
        <f t="shared" si="30"/>
        <v>18.251524448395262</v>
      </c>
    </row>
    <row r="31" spans="1:36">
      <c r="A31" t="str">
        <f>CYF!A31</f>
        <v>Maize</v>
      </c>
      <c r="B31" t="str">
        <f>CYF!B31</f>
        <v>A1</v>
      </c>
      <c r="C31" s="2">
        <f>INDEX(TargetProduction!$X$47:$AD$61,MATCH($B31,TargetProduction!$W$47:$W$61,0),MATCH($A31,TargetProduction!$X$46:$AD$46,0))</f>
        <v>0</v>
      </c>
      <c r="D31" s="2">
        <f>INDEX(TargetProduction!$AE$47:$AK$61,MATCH($B31,TargetProduction!$W$47:$W$61,0),MATCH($A31,TargetProduction!$AE$46:$AK$46,0))</f>
        <v>29.224601411048912</v>
      </c>
      <c r="E31" s="2">
        <f t="shared" si="1"/>
        <v>0</v>
      </c>
      <c r="F31" s="2">
        <f t="shared" si="2"/>
        <v>29.224601411048912</v>
      </c>
      <c r="G31" s="2">
        <f t="shared" si="3"/>
        <v>0</v>
      </c>
      <c r="H31" s="2">
        <f t="shared" si="4"/>
        <v>29.224601411048912</v>
      </c>
      <c r="I31" s="2">
        <f t="shared" si="5"/>
        <v>0</v>
      </c>
      <c r="J31" s="2">
        <f t="shared" si="6"/>
        <v>29.224601411048912</v>
      </c>
      <c r="K31" s="2">
        <f t="shared" si="7"/>
        <v>0</v>
      </c>
      <c r="L31" s="2">
        <f t="shared" si="8"/>
        <v>29.224601411048912</v>
      </c>
      <c r="M31" s="2">
        <f t="shared" si="9"/>
        <v>0</v>
      </c>
      <c r="N31" s="2">
        <f t="shared" si="10"/>
        <v>29.224601411048912</v>
      </c>
      <c r="O31" s="2">
        <f t="shared" si="11"/>
        <v>0</v>
      </c>
      <c r="P31" s="2">
        <f t="shared" si="12"/>
        <v>29.224601411048912</v>
      </c>
      <c r="Q31" s="2">
        <f t="shared" si="13"/>
        <v>0</v>
      </c>
      <c r="R31" s="2">
        <f t="shared" si="14"/>
        <v>29.224601411048912</v>
      </c>
      <c r="S31" s="2">
        <f t="shared" si="15"/>
        <v>0</v>
      </c>
      <c r="T31" s="2">
        <f t="shared" si="16"/>
        <v>29.224601411048912</v>
      </c>
      <c r="U31" s="2">
        <f t="shared" si="17"/>
        <v>0</v>
      </c>
      <c r="V31" s="2">
        <f t="shared" si="18"/>
        <v>29.224601411048912</v>
      </c>
      <c r="W31" s="2">
        <f t="shared" si="19"/>
        <v>0</v>
      </c>
      <c r="X31" s="2">
        <f t="shared" si="20"/>
        <v>29.224601411048912</v>
      </c>
      <c r="Y31" s="2">
        <f t="shared" si="21"/>
        <v>0</v>
      </c>
      <c r="Z31" s="2">
        <f t="shared" si="22"/>
        <v>29.224601411048912</v>
      </c>
      <c r="AA31" s="2">
        <f t="shared" si="23"/>
        <v>0</v>
      </c>
      <c r="AB31" s="2">
        <f t="shared" si="24"/>
        <v>29.224601411048912</v>
      </c>
      <c r="AC31" s="2">
        <f t="shared" si="25"/>
        <v>0</v>
      </c>
      <c r="AD31" s="2">
        <f t="shared" si="26"/>
        <v>29.224601411048912</v>
      </c>
      <c r="AE31" s="2">
        <f t="shared" si="27"/>
        <v>0</v>
      </c>
      <c r="AF31" s="2">
        <f t="shared" si="28"/>
        <v>29.224601411048912</v>
      </c>
      <c r="AG31" s="2">
        <f t="shared" si="29"/>
        <v>0</v>
      </c>
      <c r="AH31" s="2">
        <f t="shared" si="30"/>
        <v>29.224601411048912</v>
      </c>
    </row>
    <row r="32" spans="1:36">
      <c r="A32" t="str">
        <f>CYF!A32</f>
        <v>Maize</v>
      </c>
      <c r="B32" t="str">
        <f>CYF!B32</f>
        <v>H2</v>
      </c>
      <c r="C32" s="2">
        <f>INDEX(TargetProduction!$X$47:$AD$61,MATCH($B32,TargetProduction!$W$47:$W$61,0),MATCH($A32,TargetProduction!$X$46:$AD$46,0))</f>
        <v>38.384791542754357</v>
      </c>
      <c r="D32" s="2">
        <f>INDEX(TargetProduction!$AE$47:$AK$61,MATCH($B32,TargetProduction!$W$47:$W$61,0),MATCH($A32,TargetProduction!$AE$46:$AK$46,0))</f>
        <v>23.89630526795289</v>
      </c>
      <c r="E32" s="2">
        <f t="shared" si="1"/>
        <v>38.384791542754357</v>
      </c>
      <c r="F32" s="2">
        <f t="shared" si="2"/>
        <v>23.89630526795289</v>
      </c>
      <c r="G32" s="2">
        <f t="shared" si="3"/>
        <v>38.384791542754357</v>
      </c>
      <c r="H32" s="2">
        <f t="shared" si="4"/>
        <v>23.89630526795289</v>
      </c>
      <c r="I32" s="2">
        <f t="shared" si="5"/>
        <v>38.384791542754357</v>
      </c>
      <c r="J32" s="2">
        <f t="shared" si="6"/>
        <v>23.89630526795289</v>
      </c>
      <c r="K32" s="2">
        <f t="shared" si="7"/>
        <v>38.384791542754357</v>
      </c>
      <c r="L32" s="2">
        <f t="shared" si="8"/>
        <v>23.89630526795289</v>
      </c>
      <c r="M32" s="2">
        <f t="shared" si="9"/>
        <v>38.384791542754357</v>
      </c>
      <c r="N32" s="2">
        <f t="shared" si="10"/>
        <v>23.89630526795289</v>
      </c>
      <c r="O32" s="2">
        <f t="shared" si="11"/>
        <v>38.384791542754357</v>
      </c>
      <c r="P32" s="2">
        <f t="shared" si="12"/>
        <v>23.89630526795289</v>
      </c>
      <c r="Q32" s="2">
        <f t="shared" si="13"/>
        <v>38.384791542754357</v>
      </c>
      <c r="R32" s="2">
        <f t="shared" si="14"/>
        <v>23.89630526795289</v>
      </c>
      <c r="S32" s="2">
        <f t="shared" si="15"/>
        <v>38.384791542754357</v>
      </c>
      <c r="T32" s="2">
        <f t="shared" si="16"/>
        <v>23.89630526795289</v>
      </c>
      <c r="U32" s="2">
        <f t="shared" si="17"/>
        <v>38.384791542754357</v>
      </c>
      <c r="V32" s="2">
        <f t="shared" si="18"/>
        <v>23.89630526795289</v>
      </c>
      <c r="W32" s="2">
        <f t="shared" si="19"/>
        <v>38.384791542754357</v>
      </c>
      <c r="X32" s="2">
        <f t="shared" si="20"/>
        <v>23.89630526795289</v>
      </c>
      <c r="Y32" s="2">
        <f t="shared" si="21"/>
        <v>38.384791542754357</v>
      </c>
      <c r="Z32" s="2">
        <f t="shared" si="22"/>
        <v>23.89630526795289</v>
      </c>
      <c r="AA32" s="2">
        <f t="shared" si="23"/>
        <v>38.384791542754357</v>
      </c>
      <c r="AB32" s="2">
        <f t="shared" si="24"/>
        <v>23.89630526795289</v>
      </c>
      <c r="AC32" s="2">
        <f t="shared" si="25"/>
        <v>38.384791542754357</v>
      </c>
      <c r="AD32" s="2">
        <f t="shared" si="26"/>
        <v>23.89630526795289</v>
      </c>
      <c r="AE32" s="2">
        <f t="shared" si="27"/>
        <v>38.384791542754357</v>
      </c>
      <c r="AF32" s="2">
        <f t="shared" si="28"/>
        <v>23.89630526795289</v>
      </c>
      <c r="AG32" s="2">
        <f t="shared" si="29"/>
        <v>38.384791542754357</v>
      </c>
      <c r="AH32" s="2">
        <f t="shared" si="30"/>
        <v>23.89630526795289</v>
      </c>
    </row>
    <row r="33" spans="1:34">
      <c r="A33" t="str">
        <f>CYF!A33</f>
        <v>Maize</v>
      </c>
      <c r="B33" t="str">
        <f>CYF!B33</f>
        <v>H3</v>
      </c>
      <c r="C33" s="2">
        <f>INDEX(TargetProduction!$X$47:$AD$61,MATCH($B33,TargetProduction!$W$47:$W$61,0),MATCH($A33,TargetProduction!$X$46:$AD$46,0))</f>
        <v>65.845708395384463</v>
      </c>
      <c r="D33" s="2">
        <f>INDEX(TargetProduction!$AE$47:$AK$61,MATCH($B33,TargetProduction!$W$47:$W$61,0),MATCH($A33,TargetProduction!$AE$46:$AK$46,0))</f>
        <v>24.40987998828728</v>
      </c>
      <c r="E33" s="2">
        <f t="shared" si="1"/>
        <v>65.845708395384463</v>
      </c>
      <c r="F33" s="2">
        <f t="shared" si="2"/>
        <v>24.40987998828728</v>
      </c>
      <c r="G33" s="2">
        <f t="shared" si="3"/>
        <v>65.845708395384463</v>
      </c>
      <c r="H33" s="2">
        <f t="shared" si="4"/>
        <v>24.40987998828728</v>
      </c>
      <c r="I33" s="2">
        <f t="shared" si="5"/>
        <v>65.845708395384463</v>
      </c>
      <c r="J33" s="2">
        <f t="shared" si="6"/>
        <v>24.40987998828728</v>
      </c>
      <c r="K33" s="2">
        <f t="shared" si="7"/>
        <v>65.845708395384463</v>
      </c>
      <c r="L33" s="2">
        <f t="shared" si="8"/>
        <v>24.40987998828728</v>
      </c>
      <c r="M33" s="2">
        <f t="shared" si="9"/>
        <v>65.845708395384463</v>
      </c>
      <c r="N33" s="2">
        <f t="shared" si="10"/>
        <v>24.40987998828728</v>
      </c>
      <c r="O33" s="2">
        <f t="shared" si="11"/>
        <v>65.845708395384463</v>
      </c>
      <c r="P33" s="2">
        <f t="shared" si="12"/>
        <v>24.40987998828728</v>
      </c>
      <c r="Q33" s="2">
        <f t="shared" si="13"/>
        <v>65.845708395384463</v>
      </c>
      <c r="R33" s="2">
        <f t="shared" si="14"/>
        <v>24.40987998828728</v>
      </c>
      <c r="S33" s="2">
        <f t="shared" si="15"/>
        <v>65.845708395384463</v>
      </c>
      <c r="T33" s="2">
        <f t="shared" si="16"/>
        <v>24.40987998828728</v>
      </c>
      <c r="U33" s="2">
        <f t="shared" si="17"/>
        <v>65.845708395384463</v>
      </c>
      <c r="V33" s="2">
        <f t="shared" si="18"/>
        <v>24.40987998828728</v>
      </c>
      <c r="W33" s="2">
        <f t="shared" si="19"/>
        <v>65.845708395384463</v>
      </c>
      <c r="X33" s="2">
        <f t="shared" si="20"/>
        <v>24.40987998828728</v>
      </c>
      <c r="Y33" s="2">
        <f t="shared" si="21"/>
        <v>65.845708395384463</v>
      </c>
      <c r="Z33" s="2">
        <f t="shared" si="22"/>
        <v>24.40987998828728</v>
      </c>
      <c r="AA33" s="2">
        <f t="shared" si="23"/>
        <v>65.845708395384463</v>
      </c>
      <c r="AB33" s="2">
        <f t="shared" si="24"/>
        <v>24.40987998828728</v>
      </c>
      <c r="AC33" s="2">
        <f t="shared" si="25"/>
        <v>65.845708395384463</v>
      </c>
      <c r="AD33" s="2">
        <f t="shared" si="26"/>
        <v>24.40987998828728</v>
      </c>
      <c r="AE33" s="2">
        <f t="shared" si="27"/>
        <v>65.845708395384463</v>
      </c>
      <c r="AF33" s="2">
        <f t="shared" si="28"/>
        <v>24.40987998828728</v>
      </c>
      <c r="AG33" s="2">
        <f t="shared" si="29"/>
        <v>65.845708395384463</v>
      </c>
      <c r="AH33" s="2">
        <f t="shared" si="30"/>
        <v>24.40987998828728</v>
      </c>
    </row>
    <row r="34" spans="1:34">
      <c r="A34" t="str">
        <f>CYF!A34</f>
        <v>Maize</v>
      </c>
      <c r="B34" t="str">
        <f>CYF!B34</f>
        <v>H4</v>
      </c>
      <c r="C34" s="2">
        <f>INDEX(TargetProduction!$X$47:$AD$61,MATCH($B34,TargetProduction!$W$47:$W$61,0),MATCH($A34,TargetProduction!$X$46:$AD$46,0))</f>
        <v>177.62111986431202</v>
      </c>
      <c r="D34" s="2">
        <f>INDEX(TargetProduction!$AE$47:$AK$61,MATCH($B34,TargetProduction!$W$47:$W$61,0),MATCH($A34,TargetProduction!$AE$46:$AK$46,0))</f>
        <v>24.907098252591133</v>
      </c>
      <c r="E34" s="2">
        <f t="shared" si="1"/>
        <v>177.62111986431202</v>
      </c>
      <c r="F34" s="2">
        <f t="shared" si="2"/>
        <v>24.907098252591133</v>
      </c>
      <c r="G34" s="2">
        <f t="shared" si="3"/>
        <v>177.62111986431202</v>
      </c>
      <c r="H34" s="2">
        <f t="shared" si="4"/>
        <v>24.907098252591133</v>
      </c>
      <c r="I34" s="2">
        <f t="shared" si="5"/>
        <v>177.62111986431202</v>
      </c>
      <c r="J34" s="2">
        <f t="shared" si="6"/>
        <v>24.907098252591133</v>
      </c>
      <c r="K34" s="2">
        <f t="shared" si="7"/>
        <v>177.62111986431202</v>
      </c>
      <c r="L34" s="2">
        <f t="shared" si="8"/>
        <v>24.907098252591133</v>
      </c>
      <c r="M34" s="2">
        <f t="shared" si="9"/>
        <v>177.62111986431202</v>
      </c>
      <c r="N34" s="2">
        <f t="shared" si="10"/>
        <v>24.907098252591133</v>
      </c>
      <c r="O34" s="2">
        <f t="shared" si="11"/>
        <v>177.62111986431202</v>
      </c>
      <c r="P34" s="2">
        <f t="shared" si="12"/>
        <v>24.907098252591133</v>
      </c>
      <c r="Q34" s="2">
        <f t="shared" si="13"/>
        <v>177.62111986431202</v>
      </c>
      <c r="R34" s="2">
        <f t="shared" si="14"/>
        <v>24.907098252591133</v>
      </c>
      <c r="S34" s="2">
        <f t="shared" si="15"/>
        <v>177.62111986431202</v>
      </c>
      <c r="T34" s="2">
        <f t="shared" si="16"/>
        <v>24.907098252591133</v>
      </c>
      <c r="U34" s="2">
        <f t="shared" si="17"/>
        <v>177.62111986431202</v>
      </c>
      <c r="V34" s="2">
        <f t="shared" si="18"/>
        <v>24.907098252591133</v>
      </c>
      <c r="W34" s="2">
        <f t="shared" si="19"/>
        <v>177.62111986431202</v>
      </c>
      <c r="X34" s="2">
        <f t="shared" si="20"/>
        <v>24.907098252591133</v>
      </c>
      <c r="Y34" s="2">
        <f t="shared" si="21"/>
        <v>177.62111986431202</v>
      </c>
      <c r="Z34" s="2">
        <f t="shared" si="22"/>
        <v>24.907098252591133</v>
      </c>
      <c r="AA34" s="2">
        <f t="shared" si="23"/>
        <v>177.62111986431202</v>
      </c>
      <c r="AB34" s="2">
        <f t="shared" si="24"/>
        <v>24.907098252591133</v>
      </c>
      <c r="AC34" s="2">
        <f t="shared" si="25"/>
        <v>177.62111986431202</v>
      </c>
      <c r="AD34" s="2">
        <f t="shared" si="26"/>
        <v>24.907098252591133</v>
      </c>
      <c r="AE34" s="2">
        <f t="shared" si="27"/>
        <v>177.62111986431202</v>
      </c>
      <c r="AF34" s="2">
        <f t="shared" si="28"/>
        <v>24.907098252591133</v>
      </c>
      <c r="AG34" s="2">
        <f t="shared" si="29"/>
        <v>177.62111986431202</v>
      </c>
      <c r="AH34" s="2">
        <f t="shared" si="30"/>
        <v>24.907098252591133</v>
      </c>
    </row>
    <row r="35" spans="1:34">
      <c r="A35" t="str">
        <f>CYF!A35</f>
        <v>Maize</v>
      </c>
      <c r="B35" t="str">
        <f>CYF!B35</f>
        <v>H5</v>
      </c>
      <c r="C35" s="2">
        <f>INDEX(TargetProduction!$X$47:$AD$61,MATCH($B35,TargetProduction!$W$47:$W$61,0),MATCH($A35,TargetProduction!$X$46:$AD$46,0))</f>
        <v>273.69397778391209</v>
      </c>
      <c r="D35" s="2">
        <f>INDEX(TargetProduction!$AE$47:$AK$61,MATCH($B35,TargetProduction!$W$47:$W$61,0),MATCH($A35,TargetProduction!$AE$46:$AK$46,0))</f>
        <v>26.058593173410092</v>
      </c>
      <c r="E35" s="2">
        <f t="shared" si="1"/>
        <v>273.69397778391209</v>
      </c>
      <c r="F35" s="2">
        <f t="shared" si="2"/>
        <v>26.058593173410092</v>
      </c>
      <c r="G35" s="2">
        <f t="shared" si="3"/>
        <v>273.69397778391209</v>
      </c>
      <c r="H35" s="2">
        <f t="shared" si="4"/>
        <v>26.058593173410092</v>
      </c>
      <c r="I35" s="2">
        <f t="shared" si="5"/>
        <v>273.69397778391209</v>
      </c>
      <c r="J35" s="2">
        <f t="shared" si="6"/>
        <v>26.058593173410092</v>
      </c>
      <c r="K35" s="2">
        <f t="shared" si="7"/>
        <v>273.69397778391209</v>
      </c>
      <c r="L35" s="2">
        <f t="shared" si="8"/>
        <v>26.058593173410092</v>
      </c>
      <c r="M35" s="2">
        <f t="shared" si="9"/>
        <v>273.69397778391209</v>
      </c>
      <c r="N35" s="2">
        <f t="shared" si="10"/>
        <v>26.058593173410092</v>
      </c>
      <c r="O35" s="2">
        <f t="shared" si="11"/>
        <v>273.69397778391209</v>
      </c>
      <c r="P35" s="2">
        <f t="shared" si="12"/>
        <v>26.058593173410092</v>
      </c>
      <c r="Q35" s="2">
        <f t="shared" si="13"/>
        <v>273.69397778391209</v>
      </c>
      <c r="R35" s="2">
        <f t="shared" si="14"/>
        <v>26.058593173410092</v>
      </c>
      <c r="S35" s="2">
        <f t="shared" si="15"/>
        <v>273.69397778391209</v>
      </c>
      <c r="T35" s="2">
        <f t="shared" si="16"/>
        <v>26.058593173410092</v>
      </c>
      <c r="U35" s="2">
        <f t="shared" si="17"/>
        <v>273.69397778391209</v>
      </c>
      <c r="V35" s="2">
        <f t="shared" si="18"/>
        <v>26.058593173410092</v>
      </c>
      <c r="W35" s="2">
        <f t="shared" si="19"/>
        <v>273.69397778391209</v>
      </c>
      <c r="X35" s="2">
        <f t="shared" si="20"/>
        <v>26.058593173410092</v>
      </c>
      <c r="Y35" s="2">
        <f t="shared" si="21"/>
        <v>273.69397778391209</v>
      </c>
      <c r="Z35" s="2">
        <f t="shared" si="22"/>
        <v>26.058593173410092</v>
      </c>
      <c r="AA35" s="2">
        <f t="shared" si="23"/>
        <v>273.69397778391209</v>
      </c>
      <c r="AB35" s="2">
        <f t="shared" si="24"/>
        <v>26.058593173410092</v>
      </c>
      <c r="AC35" s="2">
        <f t="shared" si="25"/>
        <v>273.69397778391209</v>
      </c>
      <c r="AD35" s="2">
        <f t="shared" si="26"/>
        <v>26.058593173410092</v>
      </c>
      <c r="AE35" s="2">
        <f t="shared" si="27"/>
        <v>273.69397778391209</v>
      </c>
      <c r="AF35" s="2">
        <f t="shared" si="28"/>
        <v>26.058593173410092</v>
      </c>
      <c r="AG35" s="2">
        <f t="shared" si="29"/>
        <v>273.69397778391209</v>
      </c>
      <c r="AH35" s="2">
        <f t="shared" si="30"/>
        <v>26.058593173410092</v>
      </c>
    </row>
    <row r="36" spans="1:34">
      <c r="A36" t="str">
        <f>CYF!A36</f>
        <v>Maize</v>
      </c>
      <c r="B36" t="str">
        <f>CYF!B36</f>
        <v>M1</v>
      </c>
      <c r="C36" s="2">
        <f>INDEX(TargetProduction!$X$47:$AD$61,MATCH($B36,TargetProduction!$W$47:$W$61,0),MATCH($A36,TargetProduction!$X$46:$AD$46,0))</f>
        <v>101.81471271033239</v>
      </c>
      <c r="D36" s="2">
        <f>INDEX(TargetProduction!$AE$47:$AK$61,MATCH($B36,TargetProduction!$W$47:$W$61,0),MATCH($A36,TargetProduction!$AE$46:$AK$46,0))</f>
        <v>25.207688079995002</v>
      </c>
      <c r="E36" s="2">
        <f t="shared" si="1"/>
        <v>101.81471271033239</v>
      </c>
      <c r="F36" s="2">
        <f t="shared" si="2"/>
        <v>25.207688079995002</v>
      </c>
      <c r="G36" s="2">
        <f t="shared" si="3"/>
        <v>101.81471271033239</v>
      </c>
      <c r="H36" s="2">
        <f t="shared" si="4"/>
        <v>25.207688079995002</v>
      </c>
      <c r="I36" s="2">
        <f t="shared" si="5"/>
        <v>101.81471271033239</v>
      </c>
      <c r="J36" s="2">
        <f t="shared" si="6"/>
        <v>25.207688079995002</v>
      </c>
      <c r="K36" s="2">
        <f t="shared" si="7"/>
        <v>101.81471271033239</v>
      </c>
      <c r="L36" s="2">
        <f t="shared" si="8"/>
        <v>25.207688079995002</v>
      </c>
      <c r="M36" s="2">
        <f t="shared" si="9"/>
        <v>101.81471271033239</v>
      </c>
      <c r="N36" s="2">
        <f t="shared" si="10"/>
        <v>25.207688079995002</v>
      </c>
      <c r="O36" s="2">
        <f t="shared" si="11"/>
        <v>101.81471271033239</v>
      </c>
      <c r="P36" s="2">
        <f t="shared" si="12"/>
        <v>25.207688079995002</v>
      </c>
      <c r="Q36" s="2">
        <f t="shared" si="13"/>
        <v>101.81471271033239</v>
      </c>
      <c r="R36" s="2">
        <f t="shared" si="14"/>
        <v>25.207688079995002</v>
      </c>
      <c r="S36" s="2">
        <f t="shared" si="15"/>
        <v>101.81471271033239</v>
      </c>
      <c r="T36" s="2">
        <f t="shared" si="16"/>
        <v>25.207688079995002</v>
      </c>
      <c r="U36" s="2">
        <f t="shared" si="17"/>
        <v>101.81471271033239</v>
      </c>
      <c r="V36" s="2">
        <f t="shared" si="18"/>
        <v>25.207688079995002</v>
      </c>
      <c r="W36" s="2">
        <f t="shared" si="19"/>
        <v>101.81471271033239</v>
      </c>
      <c r="X36" s="2">
        <f t="shared" si="20"/>
        <v>25.207688079995002</v>
      </c>
      <c r="Y36" s="2">
        <f t="shared" si="21"/>
        <v>101.81471271033239</v>
      </c>
      <c r="Z36" s="2">
        <f t="shared" si="22"/>
        <v>25.207688079995002</v>
      </c>
      <c r="AA36" s="2">
        <f t="shared" si="23"/>
        <v>101.81471271033239</v>
      </c>
      <c r="AB36" s="2">
        <f t="shared" si="24"/>
        <v>25.207688079995002</v>
      </c>
      <c r="AC36" s="2">
        <f t="shared" si="25"/>
        <v>101.81471271033239</v>
      </c>
      <c r="AD36" s="2">
        <f t="shared" si="26"/>
        <v>25.207688079995002</v>
      </c>
      <c r="AE36" s="2">
        <f t="shared" si="27"/>
        <v>101.81471271033239</v>
      </c>
      <c r="AF36" s="2">
        <f t="shared" si="28"/>
        <v>25.207688079995002</v>
      </c>
      <c r="AG36" s="2">
        <f t="shared" si="29"/>
        <v>101.81471271033239</v>
      </c>
      <c r="AH36" s="2">
        <f t="shared" si="30"/>
        <v>25.207688079995002</v>
      </c>
    </row>
    <row r="37" spans="1:34">
      <c r="A37" t="str">
        <f>CYF!A37</f>
        <v>Maize</v>
      </c>
      <c r="B37" t="str">
        <f>CYF!B37</f>
        <v>M3</v>
      </c>
      <c r="C37" s="2">
        <f>INDEX(TargetProduction!$X$47:$AD$61,MATCH($B37,TargetProduction!$W$47:$W$61,0),MATCH($A37,TargetProduction!$X$46:$AD$46,0))</f>
        <v>81.724728687289954</v>
      </c>
      <c r="D37" s="2">
        <f>INDEX(TargetProduction!$AE$47:$AK$61,MATCH($B37,TargetProduction!$W$47:$W$61,0),MATCH($A37,TargetProduction!$AE$46:$AK$46,0))</f>
        <v>25.746841774790806</v>
      </c>
      <c r="E37" s="2">
        <f t="shared" si="1"/>
        <v>81.724728687289954</v>
      </c>
      <c r="F37" s="2">
        <f t="shared" si="2"/>
        <v>25.746841774790806</v>
      </c>
      <c r="G37" s="2">
        <f t="shared" si="3"/>
        <v>81.724728687289954</v>
      </c>
      <c r="H37" s="2">
        <f t="shared" si="4"/>
        <v>25.746841774790806</v>
      </c>
      <c r="I37" s="2">
        <f t="shared" si="5"/>
        <v>81.724728687289954</v>
      </c>
      <c r="J37" s="2">
        <f t="shared" si="6"/>
        <v>25.746841774790806</v>
      </c>
      <c r="K37" s="2">
        <f t="shared" si="7"/>
        <v>81.724728687289954</v>
      </c>
      <c r="L37" s="2">
        <f t="shared" si="8"/>
        <v>25.746841774790806</v>
      </c>
      <c r="M37" s="2">
        <f t="shared" si="9"/>
        <v>81.724728687289954</v>
      </c>
      <c r="N37" s="2">
        <f t="shared" si="10"/>
        <v>25.746841774790806</v>
      </c>
      <c r="O37" s="2">
        <f t="shared" si="11"/>
        <v>81.724728687289954</v>
      </c>
      <c r="P37" s="2">
        <f t="shared" si="12"/>
        <v>25.746841774790806</v>
      </c>
      <c r="Q37" s="2">
        <f t="shared" si="13"/>
        <v>81.724728687289954</v>
      </c>
      <c r="R37" s="2">
        <f t="shared" si="14"/>
        <v>25.746841774790806</v>
      </c>
      <c r="S37" s="2">
        <f t="shared" si="15"/>
        <v>81.724728687289954</v>
      </c>
      <c r="T37" s="2">
        <f t="shared" si="16"/>
        <v>25.746841774790806</v>
      </c>
      <c r="U37" s="2">
        <f t="shared" si="17"/>
        <v>81.724728687289954</v>
      </c>
      <c r="V37" s="2">
        <f t="shared" si="18"/>
        <v>25.746841774790806</v>
      </c>
      <c r="W37" s="2">
        <f t="shared" si="19"/>
        <v>81.724728687289954</v>
      </c>
      <c r="X37" s="2">
        <f t="shared" si="20"/>
        <v>25.746841774790806</v>
      </c>
      <c r="Y37" s="2">
        <f t="shared" si="21"/>
        <v>81.724728687289954</v>
      </c>
      <c r="Z37" s="2">
        <f t="shared" si="22"/>
        <v>25.746841774790806</v>
      </c>
      <c r="AA37" s="2">
        <f t="shared" si="23"/>
        <v>81.724728687289954</v>
      </c>
      <c r="AB37" s="2">
        <f t="shared" si="24"/>
        <v>25.746841774790806</v>
      </c>
      <c r="AC37" s="2">
        <f t="shared" si="25"/>
        <v>81.724728687289954</v>
      </c>
      <c r="AD37" s="2">
        <f t="shared" si="26"/>
        <v>25.746841774790806</v>
      </c>
      <c r="AE37" s="2">
        <f t="shared" si="27"/>
        <v>81.724728687289954</v>
      </c>
      <c r="AF37" s="2">
        <f t="shared" si="28"/>
        <v>25.746841774790806</v>
      </c>
      <c r="AG37" s="2">
        <f t="shared" si="29"/>
        <v>81.724728687289954</v>
      </c>
      <c r="AH37" s="2">
        <f t="shared" si="30"/>
        <v>25.746841774790806</v>
      </c>
    </row>
    <row r="38" spans="1:34">
      <c r="A38" t="str">
        <f>CYF!A38</f>
        <v>Maize</v>
      </c>
      <c r="B38" t="str">
        <f>CYF!B38</f>
        <v>M5</v>
      </c>
      <c r="C38" s="2">
        <f>INDEX(TargetProduction!$X$47:$AD$61,MATCH($B38,TargetProduction!$W$47:$W$61,0),MATCH($A38,TargetProduction!$X$46:$AD$46,0))</f>
        <v>76.948800489540616</v>
      </c>
      <c r="D38" s="2">
        <f>INDEX(TargetProduction!$AE$47:$AK$61,MATCH($B38,TargetProduction!$W$47:$W$61,0),MATCH($A38,TargetProduction!$AE$46:$AK$46,0))</f>
        <v>28.981293745540707</v>
      </c>
      <c r="E38" s="2">
        <f t="shared" si="1"/>
        <v>76.948800489540616</v>
      </c>
      <c r="F38" s="2">
        <f t="shared" si="2"/>
        <v>28.981293745540707</v>
      </c>
      <c r="G38" s="2">
        <f t="shared" si="3"/>
        <v>76.948800489540616</v>
      </c>
      <c r="H38" s="2">
        <f t="shared" si="4"/>
        <v>28.981293745540707</v>
      </c>
      <c r="I38" s="2">
        <f t="shared" si="5"/>
        <v>76.948800489540616</v>
      </c>
      <c r="J38" s="2">
        <f t="shared" si="6"/>
        <v>28.981293745540707</v>
      </c>
      <c r="K38" s="2">
        <f t="shared" si="7"/>
        <v>76.948800489540616</v>
      </c>
      <c r="L38" s="2">
        <f t="shared" si="8"/>
        <v>28.981293745540707</v>
      </c>
      <c r="M38" s="2">
        <f t="shared" si="9"/>
        <v>76.948800489540616</v>
      </c>
      <c r="N38" s="2">
        <f t="shared" si="10"/>
        <v>28.981293745540707</v>
      </c>
      <c r="O38" s="2">
        <f t="shared" si="11"/>
        <v>76.948800489540616</v>
      </c>
      <c r="P38" s="2">
        <f t="shared" si="12"/>
        <v>28.981293745540707</v>
      </c>
      <c r="Q38" s="2">
        <f t="shared" si="13"/>
        <v>76.948800489540616</v>
      </c>
      <c r="R38" s="2">
        <f t="shared" si="14"/>
        <v>28.981293745540707</v>
      </c>
      <c r="S38" s="2">
        <f t="shared" si="15"/>
        <v>76.948800489540616</v>
      </c>
      <c r="T38" s="2">
        <f t="shared" si="16"/>
        <v>28.981293745540707</v>
      </c>
      <c r="U38" s="2">
        <f t="shared" si="17"/>
        <v>76.948800489540616</v>
      </c>
      <c r="V38" s="2">
        <f t="shared" si="18"/>
        <v>28.981293745540707</v>
      </c>
      <c r="W38" s="2">
        <f t="shared" si="19"/>
        <v>76.948800489540616</v>
      </c>
      <c r="X38" s="2">
        <f t="shared" si="20"/>
        <v>28.981293745540707</v>
      </c>
      <c r="Y38" s="2">
        <f t="shared" si="21"/>
        <v>76.948800489540616</v>
      </c>
      <c r="Z38" s="2">
        <f t="shared" si="22"/>
        <v>28.981293745540707</v>
      </c>
      <c r="AA38" s="2">
        <f t="shared" si="23"/>
        <v>76.948800489540616</v>
      </c>
      <c r="AB38" s="2">
        <f t="shared" si="24"/>
        <v>28.981293745540707</v>
      </c>
      <c r="AC38" s="2">
        <f t="shared" si="25"/>
        <v>76.948800489540616</v>
      </c>
      <c r="AD38" s="2">
        <f t="shared" si="26"/>
        <v>28.981293745540707</v>
      </c>
      <c r="AE38" s="2">
        <f t="shared" si="27"/>
        <v>76.948800489540616</v>
      </c>
      <c r="AF38" s="2">
        <f t="shared" si="28"/>
        <v>28.981293745540707</v>
      </c>
      <c r="AG38" s="2">
        <f t="shared" si="29"/>
        <v>76.948800489540616</v>
      </c>
      <c r="AH38" s="2">
        <f t="shared" si="30"/>
        <v>28.981293745540707</v>
      </c>
    </row>
    <row r="39" spans="1:34">
      <c r="A39" t="str">
        <f>CYF!A39</f>
        <v>Maize</v>
      </c>
      <c r="B39" t="str">
        <f>CYF!B39</f>
        <v>SA1</v>
      </c>
      <c r="C39" s="2">
        <f>INDEX(TargetProduction!$X$47:$AD$61,MATCH($B39,TargetProduction!$W$47:$W$61,0),MATCH($A39,TargetProduction!$X$46:$AD$46,0))</f>
        <v>71.698111311755511</v>
      </c>
      <c r="D39" s="2">
        <f>INDEX(TargetProduction!$AE$47:$AK$61,MATCH($B39,TargetProduction!$W$47:$W$61,0),MATCH($A39,TargetProduction!$AE$46:$AK$46,0))</f>
        <v>24.478380807344081</v>
      </c>
      <c r="E39" s="2">
        <f t="shared" si="1"/>
        <v>71.698111311755511</v>
      </c>
      <c r="F39" s="2">
        <f t="shared" si="2"/>
        <v>24.478380807344081</v>
      </c>
      <c r="G39" s="2">
        <f t="shared" si="3"/>
        <v>71.698111311755511</v>
      </c>
      <c r="H39" s="2">
        <f t="shared" si="4"/>
        <v>24.478380807344081</v>
      </c>
      <c r="I39" s="2">
        <f t="shared" si="5"/>
        <v>71.698111311755511</v>
      </c>
      <c r="J39" s="2">
        <f t="shared" si="6"/>
        <v>24.478380807344081</v>
      </c>
      <c r="K39" s="2">
        <f t="shared" si="7"/>
        <v>71.698111311755511</v>
      </c>
      <c r="L39" s="2">
        <f t="shared" si="8"/>
        <v>24.478380807344081</v>
      </c>
      <c r="M39" s="2">
        <f t="shared" si="9"/>
        <v>71.698111311755511</v>
      </c>
      <c r="N39" s="2">
        <f t="shared" si="10"/>
        <v>24.478380807344081</v>
      </c>
      <c r="O39" s="2">
        <f t="shared" si="11"/>
        <v>71.698111311755511</v>
      </c>
      <c r="P39" s="2">
        <f t="shared" si="12"/>
        <v>24.478380807344081</v>
      </c>
      <c r="Q39" s="2">
        <f t="shared" si="13"/>
        <v>71.698111311755511</v>
      </c>
      <c r="R39" s="2">
        <f t="shared" si="14"/>
        <v>24.478380807344081</v>
      </c>
      <c r="S39" s="2">
        <f t="shared" si="15"/>
        <v>71.698111311755511</v>
      </c>
      <c r="T39" s="2">
        <f t="shared" si="16"/>
        <v>24.478380807344081</v>
      </c>
      <c r="U39" s="2">
        <f t="shared" si="17"/>
        <v>71.698111311755511</v>
      </c>
      <c r="V39" s="2">
        <f t="shared" si="18"/>
        <v>24.478380807344081</v>
      </c>
      <c r="W39" s="2">
        <f t="shared" si="19"/>
        <v>71.698111311755511</v>
      </c>
      <c r="X39" s="2">
        <f t="shared" si="20"/>
        <v>24.478380807344081</v>
      </c>
      <c r="Y39" s="2">
        <f t="shared" si="21"/>
        <v>71.698111311755511</v>
      </c>
      <c r="Z39" s="2">
        <f t="shared" si="22"/>
        <v>24.478380807344081</v>
      </c>
      <c r="AA39" s="2">
        <f t="shared" si="23"/>
        <v>71.698111311755511</v>
      </c>
      <c r="AB39" s="2">
        <f t="shared" si="24"/>
        <v>24.478380807344081</v>
      </c>
      <c r="AC39" s="2">
        <f t="shared" si="25"/>
        <v>71.698111311755511</v>
      </c>
      <c r="AD39" s="2">
        <f t="shared" si="26"/>
        <v>24.478380807344081</v>
      </c>
      <c r="AE39" s="2">
        <f t="shared" si="27"/>
        <v>71.698111311755511</v>
      </c>
      <c r="AF39" s="2">
        <f t="shared" si="28"/>
        <v>24.478380807344081</v>
      </c>
      <c r="AG39" s="2">
        <f t="shared" si="29"/>
        <v>71.698111311755511</v>
      </c>
      <c r="AH39" s="2">
        <f t="shared" si="30"/>
        <v>24.478380807344081</v>
      </c>
    </row>
    <row r="40" spans="1:34">
      <c r="A40" t="str">
        <f>CYF!A40</f>
        <v>Maize</v>
      </c>
      <c r="B40" t="str">
        <f>CYF!B40</f>
        <v>SA3</v>
      </c>
      <c r="C40" s="2">
        <f>INDEX(TargetProduction!$X$47:$AD$61,MATCH($B40,TargetProduction!$W$47:$W$61,0),MATCH($A40,TargetProduction!$X$46:$AD$46,0))</f>
        <v>108.49142007547951</v>
      </c>
      <c r="D40" s="2">
        <f>INDEX(TargetProduction!$AE$47:$AK$61,MATCH($B40,TargetProduction!$W$47:$W$61,0),MATCH($A40,TargetProduction!$AE$46:$AK$46,0))</f>
        <v>25.839965254376686</v>
      </c>
      <c r="E40" s="2">
        <f t="shared" si="1"/>
        <v>108.49142007547951</v>
      </c>
      <c r="F40" s="2">
        <f t="shared" si="2"/>
        <v>25.839965254376686</v>
      </c>
      <c r="G40" s="2">
        <f t="shared" si="3"/>
        <v>108.49142007547951</v>
      </c>
      <c r="H40" s="2">
        <f t="shared" si="4"/>
        <v>25.839965254376686</v>
      </c>
      <c r="I40" s="2">
        <f t="shared" si="5"/>
        <v>108.49142007547951</v>
      </c>
      <c r="J40" s="2">
        <f t="shared" si="6"/>
        <v>25.839965254376686</v>
      </c>
      <c r="K40" s="2">
        <f t="shared" si="7"/>
        <v>108.49142007547951</v>
      </c>
      <c r="L40" s="2">
        <f t="shared" si="8"/>
        <v>25.839965254376686</v>
      </c>
      <c r="M40" s="2">
        <f t="shared" si="9"/>
        <v>108.49142007547951</v>
      </c>
      <c r="N40" s="2">
        <f t="shared" si="10"/>
        <v>25.839965254376686</v>
      </c>
      <c r="O40" s="2">
        <f t="shared" si="11"/>
        <v>108.49142007547951</v>
      </c>
      <c r="P40" s="2">
        <f t="shared" si="12"/>
        <v>25.839965254376686</v>
      </c>
      <c r="Q40" s="2">
        <f t="shared" si="13"/>
        <v>108.49142007547951</v>
      </c>
      <c r="R40" s="2">
        <f t="shared" si="14"/>
        <v>25.839965254376686</v>
      </c>
      <c r="S40" s="2">
        <f t="shared" si="15"/>
        <v>108.49142007547951</v>
      </c>
      <c r="T40" s="2">
        <f t="shared" si="16"/>
        <v>25.839965254376686</v>
      </c>
      <c r="U40" s="2">
        <f t="shared" si="17"/>
        <v>108.49142007547951</v>
      </c>
      <c r="V40" s="2">
        <f t="shared" si="18"/>
        <v>25.839965254376686</v>
      </c>
      <c r="W40" s="2">
        <f t="shared" si="19"/>
        <v>108.49142007547951</v>
      </c>
      <c r="X40" s="2">
        <f t="shared" si="20"/>
        <v>25.839965254376686</v>
      </c>
      <c r="Y40" s="2">
        <f t="shared" si="21"/>
        <v>108.49142007547951</v>
      </c>
      <c r="Z40" s="2">
        <f t="shared" si="22"/>
        <v>25.839965254376686</v>
      </c>
      <c r="AA40" s="2">
        <f t="shared" si="23"/>
        <v>108.49142007547951</v>
      </c>
      <c r="AB40" s="2">
        <f t="shared" si="24"/>
        <v>25.839965254376686</v>
      </c>
      <c r="AC40" s="2">
        <f t="shared" si="25"/>
        <v>108.49142007547951</v>
      </c>
      <c r="AD40" s="2">
        <f t="shared" si="26"/>
        <v>25.839965254376686</v>
      </c>
      <c r="AE40" s="2">
        <f t="shared" si="27"/>
        <v>108.49142007547951</v>
      </c>
      <c r="AF40" s="2">
        <f t="shared" si="28"/>
        <v>25.839965254376686</v>
      </c>
      <c r="AG40" s="2">
        <f t="shared" si="29"/>
        <v>108.49142007547951</v>
      </c>
      <c r="AH40" s="2">
        <f t="shared" si="30"/>
        <v>25.839965254376686</v>
      </c>
    </row>
    <row r="41" spans="1:34">
      <c r="A41" t="str">
        <f>CYF!A41</f>
        <v>Maize</v>
      </c>
      <c r="B41" t="str">
        <f>CYF!B41</f>
        <v>SH1</v>
      </c>
      <c r="C41" s="2">
        <f>INDEX(TargetProduction!$X$47:$AD$61,MATCH($B41,TargetProduction!$W$47:$W$61,0),MATCH($A41,TargetProduction!$X$46:$AD$46,0))</f>
        <v>47.608792810211888</v>
      </c>
      <c r="D41" s="2">
        <f>INDEX(TargetProduction!$AE$47:$AK$61,MATCH($B41,TargetProduction!$W$47:$W$61,0),MATCH($A41,TargetProduction!$AE$46:$AK$46,0))</f>
        <v>24.747945271837782</v>
      </c>
      <c r="E41" s="2">
        <f t="shared" si="1"/>
        <v>47.608792810211888</v>
      </c>
      <c r="F41" s="2">
        <f t="shared" si="2"/>
        <v>24.747945271837782</v>
      </c>
      <c r="G41" s="2">
        <f t="shared" si="3"/>
        <v>47.608792810211888</v>
      </c>
      <c r="H41" s="2">
        <f t="shared" si="4"/>
        <v>24.747945271837782</v>
      </c>
      <c r="I41" s="2">
        <f t="shared" si="5"/>
        <v>47.608792810211888</v>
      </c>
      <c r="J41" s="2">
        <f t="shared" si="6"/>
        <v>24.747945271837782</v>
      </c>
      <c r="K41" s="2">
        <f t="shared" si="7"/>
        <v>47.608792810211888</v>
      </c>
      <c r="L41" s="2">
        <f t="shared" si="8"/>
        <v>24.747945271837782</v>
      </c>
      <c r="M41" s="2">
        <f t="shared" si="9"/>
        <v>47.608792810211888</v>
      </c>
      <c r="N41" s="2">
        <f t="shared" si="10"/>
        <v>24.747945271837782</v>
      </c>
      <c r="O41" s="2">
        <f t="shared" si="11"/>
        <v>47.608792810211888</v>
      </c>
      <c r="P41" s="2">
        <f t="shared" si="12"/>
        <v>24.747945271837782</v>
      </c>
      <c r="Q41" s="2">
        <f t="shared" si="13"/>
        <v>47.608792810211888</v>
      </c>
      <c r="R41" s="2">
        <f t="shared" si="14"/>
        <v>24.747945271837782</v>
      </c>
      <c r="S41" s="2">
        <f t="shared" si="15"/>
        <v>47.608792810211888</v>
      </c>
      <c r="T41" s="2">
        <f t="shared" si="16"/>
        <v>24.747945271837782</v>
      </c>
      <c r="U41" s="2">
        <f t="shared" si="17"/>
        <v>47.608792810211888</v>
      </c>
      <c r="V41" s="2">
        <f t="shared" si="18"/>
        <v>24.747945271837782</v>
      </c>
      <c r="W41" s="2">
        <f t="shared" si="19"/>
        <v>47.608792810211888</v>
      </c>
      <c r="X41" s="2">
        <f t="shared" si="20"/>
        <v>24.747945271837782</v>
      </c>
      <c r="Y41" s="2">
        <f t="shared" si="21"/>
        <v>47.608792810211888</v>
      </c>
      <c r="Z41" s="2">
        <f t="shared" si="22"/>
        <v>24.747945271837782</v>
      </c>
      <c r="AA41" s="2">
        <f t="shared" si="23"/>
        <v>47.608792810211888</v>
      </c>
      <c r="AB41" s="2">
        <f t="shared" si="24"/>
        <v>24.747945271837782</v>
      </c>
      <c r="AC41" s="2">
        <f t="shared" si="25"/>
        <v>47.608792810211888</v>
      </c>
      <c r="AD41" s="2">
        <f t="shared" si="26"/>
        <v>24.747945271837782</v>
      </c>
      <c r="AE41" s="2">
        <f t="shared" si="27"/>
        <v>47.608792810211888</v>
      </c>
      <c r="AF41" s="2">
        <f t="shared" si="28"/>
        <v>24.747945271837782</v>
      </c>
      <c r="AG41" s="2">
        <f t="shared" si="29"/>
        <v>47.608792810211888</v>
      </c>
      <c r="AH41" s="2">
        <f t="shared" si="30"/>
        <v>24.747945271837782</v>
      </c>
    </row>
    <row r="42" spans="1:34">
      <c r="A42" t="str">
        <f>CYF!A42</f>
        <v>Maize</v>
      </c>
      <c r="B42" t="str">
        <f>CYF!B42</f>
        <v>SH3</v>
      </c>
      <c r="C42" s="2">
        <f>INDEX(TargetProduction!$X$47:$AD$61,MATCH($B42,TargetProduction!$W$47:$W$61,0),MATCH($A42,TargetProduction!$X$46:$AD$46,0))</f>
        <v>50.439057595447288</v>
      </c>
      <c r="D42" s="2">
        <f>INDEX(TargetProduction!$AE$47:$AK$61,MATCH($B42,TargetProduction!$W$47:$W$61,0),MATCH($A42,TargetProduction!$AE$46:$AK$46,0))</f>
        <v>24.773292788354379</v>
      </c>
      <c r="E42" s="2">
        <f t="shared" si="1"/>
        <v>50.439057595447288</v>
      </c>
      <c r="F42" s="2">
        <f t="shared" si="2"/>
        <v>24.773292788354379</v>
      </c>
      <c r="G42" s="2">
        <f t="shared" si="3"/>
        <v>50.439057595447288</v>
      </c>
      <c r="H42" s="2">
        <f t="shared" si="4"/>
        <v>24.773292788354379</v>
      </c>
      <c r="I42" s="2">
        <f t="shared" si="5"/>
        <v>50.439057595447288</v>
      </c>
      <c r="J42" s="2">
        <f t="shared" si="6"/>
        <v>24.773292788354379</v>
      </c>
      <c r="K42" s="2">
        <f t="shared" si="7"/>
        <v>50.439057595447288</v>
      </c>
      <c r="L42" s="2">
        <f t="shared" si="8"/>
        <v>24.773292788354379</v>
      </c>
      <c r="M42" s="2">
        <f t="shared" si="9"/>
        <v>50.439057595447288</v>
      </c>
      <c r="N42" s="2">
        <f t="shared" si="10"/>
        <v>24.773292788354379</v>
      </c>
      <c r="O42" s="2">
        <f t="shared" si="11"/>
        <v>50.439057595447288</v>
      </c>
      <c r="P42" s="2">
        <f t="shared" si="12"/>
        <v>24.773292788354379</v>
      </c>
      <c r="Q42" s="2">
        <f t="shared" si="13"/>
        <v>50.439057595447288</v>
      </c>
      <c r="R42" s="2">
        <f t="shared" si="14"/>
        <v>24.773292788354379</v>
      </c>
      <c r="S42" s="2">
        <f t="shared" si="15"/>
        <v>50.439057595447288</v>
      </c>
      <c r="T42" s="2">
        <f t="shared" si="16"/>
        <v>24.773292788354379</v>
      </c>
      <c r="U42" s="2">
        <f t="shared" si="17"/>
        <v>50.439057595447288</v>
      </c>
      <c r="V42" s="2">
        <f t="shared" si="18"/>
        <v>24.773292788354379</v>
      </c>
      <c r="W42" s="2">
        <f t="shared" si="19"/>
        <v>50.439057595447288</v>
      </c>
      <c r="X42" s="2">
        <f t="shared" si="20"/>
        <v>24.773292788354379</v>
      </c>
      <c r="Y42" s="2">
        <f t="shared" si="21"/>
        <v>50.439057595447288</v>
      </c>
      <c r="Z42" s="2">
        <f t="shared" si="22"/>
        <v>24.773292788354379</v>
      </c>
      <c r="AA42" s="2">
        <f t="shared" si="23"/>
        <v>50.439057595447288</v>
      </c>
      <c r="AB42" s="2">
        <f t="shared" si="24"/>
        <v>24.773292788354379</v>
      </c>
      <c r="AC42" s="2">
        <f t="shared" si="25"/>
        <v>50.439057595447288</v>
      </c>
      <c r="AD42" s="2">
        <f t="shared" si="26"/>
        <v>24.773292788354379</v>
      </c>
      <c r="AE42" s="2">
        <f t="shared" si="27"/>
        <v>50.439057595447288</v>
      </c>
      <c r="AF42" s="2">
        <f t="shared" si="28"/>
        <v>24.773292788354379</v>
      </c>
      <c r="AG42" s="2">
        <f t="shared" si="29"/>
        <v>50.439057595447288</v>
      </c>
      <c r="AH42" s="2">
        <f t="shared" si="30"/>
        <v>24.773292788354379</v>
      </c>
    </row>
    <row r="43" spans="1:34">
      <c r="A43" t="str">
        <f>CYF!A43</f>
        <v>Maize</v>
      </c>
      <c r="B43" t="str">
        <f>CYF!B43</f>
        <v>SM2</v>
      </c>
      <c r="C43" s="2">
        <f>INDEX(TargetProduction!$X$47:$AD$61,MATCH($B43,TargetProduction!$W$47:$W$61,0),MATCH($A43,TargetProduction!$X$46:$AD$46,0))</f>
        <v>2998.8658261376363</v>
      </c>
      <c r="D43" s="2">
        <f>INDEX(TargetProduction!$AE$47:$AK$61,MATCH($B43,TargetProduction!$W$47:$W$61,0),MATCH($A43,TargetProduction!$AE$46:$AK$46,0))</f>
        <v>25.901289579002039</v>
      </c>
      <c r="E43" s="2">
        <f t="shared" si="1"/>
        <v>2998.8658261376363</v>
      </c>
      <c r="F43" s="2">
        <f t="shared" si="2"/>
        <v>25.901289579002039</v>
      </c>
      <c r="G43" s="2">
        <f t="shared" si="3"/>
        <v>2998.8658261376363</v>
      </c>
      <c r="H43" s="2">
        <f t="shared" si="4"/>
        <v>25.901289579002039</v>
      </c>
      <c r="I43" s="2">
        <f t="shared" si="5"/>
        <v>2998.8658261376363</v>
      </c>
      <c r="J43" s="2">
        <f t="shared" si="6"/>
        <v>25.901289579002039</v>
      </c>
      <c r="K43" s="2">
        <f t="shared" si="7"/>
        <v>2998.8658261376363</v>
      </c>
      <c r="L43" s="2">
        <f t="shared" si="8"/>
        <v>25.901289579002039</v>
      </c>
      <c r="M43" s="2">
        <f t="shared" si="9"/>
        <v>2998.8658261376363</v>
      </c>
      <c r="N43" s="2">
        <f t="shared" si="10"/>
        <v>25.901289579002039</v>
      </c>
      <c r="O43" s="2">
        <f t="shared" si="11"/>
        <v>2998.8658261376363</v>
      </c>
      <c r="P43" s="2">
        <f t="shared" si="12"/>
        <v>25.901289579002039</v>
      </c>
      <c r="Q43" s="2">
        <f t="shared" si="13"/>
        <v>2998.8658261376363</v>
      </c>
      <c r="R43" s="2">
        <f t="shared" si="14"/>
        <v>25.901289579002039</v>
      </c>
      <c r="S43" s="2">
        <f t="shared" si="15"/>
        <v>2998.8658261376363</v>
      </c>
      <c r="T43" s="2">
        <f t="shared" si="16"/>
        <v>25.901289579002039</v>
      </c>
      <c r="U43" s="2">
        <f t="shared" si="17"/>
        <v>2998.8658261376363</v>
      </c>
      <c r="V43" s="2">
        <f t="shared" si="18"/>
        <v>25.901289579002039</v>
      </c>
      <c r="W43" s="2">
        <f t="shared" si="19"/>
        <v>2998.8658261376363</v>
      </c>
      <c r="X43" s="2">
        <f t="shared" si="20"/>
        <v>25.901289579002039</v>
      </c>
      <c r="Y43" s="2">
        <f t="shared" si="21"/>
        <v>2998.8658261376363</v>
      </c>
      <c r="Z43" s="2">
        <f t="shared" si="22"/>
        <v>25.901289579002039</v>
      </c>
      <c r="AA43" s="2">
        <f t="shared" si="23"/>
        <v>2998.8658261376363</v>
      </c>
      <c r="AB43" s="2">
        <f t="shared" si="24"/>
        <v>25.901289579002039</v>
      </c>
      <c r="AC43" s="2">
        <f t="shared" si="25"/>
        <v>2998.8658261376363</v>
      </c>
      <c r="AD43" s="2">
        <f t="shared" si="26"/>
        <v>25.901289579002039</v>
      </c>
      <c r="AE43" s="2">
        <f t="shared" si="27"/>
        <v>2998.8658261376363</v>
      </c>
      <c r="AF43" s="2">
        <f t="shared" si="28"/>
        <v>25.901289579002039</v>
      </c>
      <c r="AG43" s="2">
        <f t="shared" si="29"/>
        <v>2998.8658261376363</v>
      </c>
      <c r="AH43" s="2">
        <f t="shared" si="30"/>
        <v>25.901289579002039</v>
      </c>
    </row>
    <row r="44" spans="1:34">
      <c r="A44" t="str">
        <f>CYF!A44</f>
        <v>Maize</v>
      </c>
      <c r="B44" t="str">
        <f>CYF!B44</f>
        <v>SM2N</v>
      </c>
      <c r="C44" s="2">
        <f>INDEX(TargetProduction!$X$47:$AD$61,MATCH($B44,TargetProduction!$W$47:$W$61,0),MATCH($A44,TargetProduction!$X$46:$AD$46,0))</f>
        <v>508.65632794082325</v>
      </c>
      <c r="D44" s="2">
        <f>INDEX(TargetProduction!$AE$47:$AK$61,MATCH($B44,TargetProduction!$W$47:$W$61,0),MATCH($A44,TargetProduction!$AE$46:$AK$46,0))</f>
        <v>30.319220452982208</v>
      </c>
      <c r="E44" s="2">
        <f t="shared" si="1"/>
        <v>508.65632794082325</v>
      </c>
      <c r="F44" s="2">
        <f t="shared" si="2"/>
        <v>30.319220452982208</v>
      </c>
      <c r="G44" s="2">
        <f t="shared" si="3"/>
        <v>508.65632794082325</v>
      </c>
      <c r="H44" s="2">
        <f t="shared" si="4"/>
        <v>30.319220452982208</v>
      </c>
      <c r="I44" s="2">
        <f t="shared" si="5"/>
        <v>508.65632794082325</v>
      </c>
      <c r="J44" s="2">
        <f t="shared" si="6"/>
        <v>30.319220452982208</v>
      </c>
      <c r="K44" s="2">
        <f t="shared" si="7"/>
        <v>508.65632794082325</v>
      </c>
      <c r="L44" s="2">
        <f t="shared" si="8"/>
        <v>30.319220452982208</v>
      </c>
      <c r="M44" s="2">
        <f t="shared" si="9"/>
        <v>508.65632794082325</v>
      </c>
      <c r="N44" s="2">
        <f t="shared" si="10"/>
        <v>30.319220452982208</v>
      </c>
      <c r="O44" s="2">
        <f t="shared" si="11"/>
        <v>508.65632794082325</v>
      </c>
      <c r="P44" s="2">
        <f t="shared" si="12"/>
        <v>30.319220452982208</v>
      </c>
      <c r="Q44" s="2">
        <f t="shared" si="13"/>
        <v>508.65632794082325</v>
      </c>
      <c r="R44" s="2">
        <f t="shared" si="14"/>
        <v>30.319220452982208</v>
      </c>
      <c r="S44" s="2">
        <f t="shared" si="15"/>
        <v>508.65632794082325</v>
      </c>
      <c r="T44" s="2">
        <f t="shared" si="16"/>
        <v>30.319220452982208</v>
      </c>
      <c r="U44" s="2">
        <f t="shared" si="17"/>
        <v>508.65632794082325</v>
      </c>
      <c r="V44" s="2">
        <f t="shared" si="18"/>
        <v>30.319220452982208</v>
      </c>
      <c r="W44" s="2">
        <f t="shared" si="19"/>
        <v>508.65632794082325</v>
      </c>
      <c r="X44" s="2">
        <f t="shared" si="20"/>
        <v>30.319220452982208</v>
      </c>
      <c r="Y44" s="2">
        <f t="shared" si="21"/>
        <v>508.65632794082325</v>
      </c>
      <c r="Z44" s="2">
        <f t="shared" si="22"/>
        <v>30.319220452982208</v>
      </c>
      <c r="AA44" s="2">
        <f t="shared" si="23"/>
        <v>508.65632794082325</v>
      </c>
      <c r="AB44" s="2">
        <f t="shared" si="24"/>
        <v>30.319220452982208</v>
      </c>
      <c r="AC44" s="2">
        <f t="shared" si="25"/>
        <v>508.65632794082325</v>
      </c>
      <c r="AD44" s="2">
        <f t="shared" si="26"/>
        <v>30.319220452982208</v>
      </c>
      <c r="AE44" s="2">
        <f t="shared" si="27"/>
        <v>508.65632794082325</v>
      </c>
      <c r="AF44" s="2">
        <f t="shared" si="28"/>
        <v>30.319220452982208</v>
      </c>
      <c r="AG44" s="2">
        <f t="shared" si="29"/>
        <v>508.65632794082325</v>
      </c>
      <c r="AH44" s="2">
        <f t="shared" si="30"/>
        <v>30.319220452982208</v>
      </c>
    </row>
    <row r="45" spans="1:34">
      <c r="A45" t="str">
        <f>CYF!A45</f>
        <v>Lentils</v>
      </c>
      <c r="B45" t="str">
        <f>CYF!B45</f>
        <v>A1</v>
      </c>
      <c r="C45" s="2">
        <f>INDEX(TargetProduction!$X$47:$AD$61,MATCH($B45,TargetProduction!$W$47:$W$61,0),MATCH($A45,TargetProduction!$X$46:$AD$46,0))</f>
        <v>0</v>
      </c>
      <c r="D45" s="2">
        <f>INDEX(TargetProduction!$AE$47:$AK$61,MATCH($B45,TargetProduction!$W$47:$W$61,0),MATCH($A45,TargetProduction!$AE$46:$AK$46,0))</f>
        <v>18.82496238909993</v>
      </c>
      <c r="E45" s="2">
        <f t="shared" si="1"/>
        <v>0</v>
      </c>
      <c r="F45" s="2">
        <f t="shared" si="2"/>
        <v>18.82496238909993</v>
      </c>
      <c r="G45" s="2">
        <f t="shared" si="3"/>
        <v>0</v>
      </c>
      <c r="H45" s="2">
        <f t="shared" si="4"/>
        <v>18.82496238909993</v>
      </c>
      <c r="I45" s="2">
        <f t="shared" si="5"/>
        <v>0</v>
      </c>
      <c r="J45" s="2">
        <f t="shared" si="6"/>
        <v>18.82496238909993</v>
      </c>
      <c r="K45" s="2">
        <f t="shared" si="7"/>
        <v>0</v>
      </c>
      <c r="L45" s="2">
        <f t="shared" si="8"/>
        <v>18.82496238909993</v>
      </c>
      <c r="M45" s="2">
        <f t="shared" si="9"/>
        <v>0</v>
      </c>
      <c r="N45" s="2">
        <f t="shared" si="10"/>
        <v>18.82496238909993</v>
      </c>
      <c r="O45" s="2">
        <f t="shared" si="11"/>
        <v>0</v>
      </c>
      <c r="P45" s="2">
        <f t="shared" si="12"/>
        <v>18.82496238909993</v>
      </c>
      <c r="Q45" s="2">
        <f t="shared" si="13"/>
        <v>0</v>
      </c>
      <c r="R45" s="2">
        <f t="shared" si="14"/>
        <v>18.82496238909993</v>
      </c>
      <c r="S45" s="2">
        <f t="shared" si="15"/>
        <v>0</v>
      </c>
      <c r="T45" s="2">
        <f t="shared" si="16"/>
        <v>18.82496238909993</v>
      </c>
      <c r="U45" s="2">
        <f t="shared" si="17"/>
        <v>0</v>
      </c>
      <c r="V45" s="2">
        <f t="shared" si="18"/>
        <v>18.82496238909993</v>
      </c>
      <c r="W45" s="2">
        <f t="shared" si="19"/>
        <v>0</v>
      </c>
      <c r="X45" s="2">
        <f t="shared" si="20"/>
        <v>18.82496238909993</v>
      </c>
      <c r="Y45" s="2">
        <f t="shared" si="21"/>
        <v>0</v>
      </c>
      <c r="Z45" s="2">
        <f t="shared" si="22"/>
        <v>18.82496238909993</v>
      </c>
      <c r="AA45" s="2">
        <f t="shared" si="23"/>
        <v>0</v>
      </c>
      <c r="AB45" s="2">
        <f t="shared" si="24"/>
        <v>18.82496238909993</v>
      </c>
      <c r="AC45" s="2">
        <f t="shared" si="25"/>
        <v>0</v>
      </c>
      <c r="AD45" s="2">
        <f t="shared" si="26"/>
        <v>18.82496238909993</v>
      </c>
      <c r="AE45" s="2">
        <f t="shared" si="27"/>
        <v>0</v>
      </c>
      <c r="AF45" s="2">
        <f t="shared" si="28"/>
        <v>18.82496238909993</v>
      </c>
      <c r="AG45" s="2">
        <f t="shared" si="29"/>
        <v>0</v>
      </c>
      <c r="AH45" s="2">
        <f t="shared" si="30"/>
        <v>18.82496238909993</v>
      </c>
    </row>
    <row r="46" spans="1:34">
      <c r="A46" t="str">
        <f>CYF!A46</f>
        <v>Lentils</v>
      </c>
      <c r="B46" t="str">
        <f>CYF!B46</f>
        <v>H2</v>
      </c>
      <c r="C46" s="2">
        <f>INDEX(TargetProduction!$X$47:$AD$61,MATCH($B46,TargetProduction!$W$47:$W$61,0),MATCH($A46,TargetProduction!$X$46:$AD$46,0))</f>
        <v>15.757951725742194</v>
      </c>
      <c r="D46" s="2">
        <f>INDEX(TargetProduction!$AE$47:$AK$61,MATCH($B46,TargetProduction!$W$47:$W$61,0),MATCH($A46,TargetProduction!$AE$46:$AK$46,0))</f>
        <v>17.496403103693549</v>
      </c>
      <c r="E46" s="2">
        <f t="shared" si="1"/>
        <v>15.757951725742194</v>
      </c>
      <c r="F46" s="2">
        <f t="shared" si="2"/>
        <v>17.496403103693549</v>
      </c>
      <c r="G46" s="2">
        <f t="shared" si="3"/>
        <v>15.757951725742194</v>
      </c>
      <c r="H46" s="2">
        <f t="shared" si="4"/>
        <v>17.496403103693549</v>
      </c>
      <c r="I46" s="2">
        <f t="shared" si="5"/>
        <v>15.757951725742194</v>
      </c>
      <c r="J46" s="2">
        <f t="shared" si="6"/>
        <v>17.496403103693549</v>
      </c>
      <c r="K46" s="2">
        <f t="shared" si="7"/>
        <v>15.757951725742194</v>
      </c>
      <c r="L46" s="2">
        <f t="shared" si="8"/>
        <v>17.496403103693549</v>
      </c>
      <c r="M46" s="2">
        <f t="shared" si="9"/>
        <v>15.757951725742194</v>
      </c>
      <c r="N46" s="2">
        <f t="shared" si="10"/>
        <v>17.496403103693549</v>
      </c>
      <c r="O46" s="2">
        <f t="shared" si="11"/>
        <v>15.757951725742194</v>
      </c>
      <c r="P46" s="2">
        <f t="shared" si="12"/>
        <v>17.496403103693549</v>
      </c>
      <c r="Q46" s="2">
        <f t="shared" si="13"/>
        <v>15.757951725742194</v>
      </c>
      <c r="R46" s="2">
        <f t="shared" si="14"/>
        <v>17.496403103693549</v>
      </c>
      <c r="S46" s="2">
        <f t="shared" si="15"/>
        <v>15.757951725742194</v>
      </c>
      <c r="T46" s="2">
        <f t="shared" si="16"/>
        <v>17.496403103693549</v>
      </c>
      <c r="U46" s="2">
        <f t="shared" si="17"/>
        <v>15.757951725742194</v>
      </c>
      <c r="V46" s="2">
        <f t="shared" si="18"/>
        <v>17.496403103693549</v>
      </c>
      <c r="W46" s="2">
        <f t="shared" si="19"/>
        <v>15.757951725742194</v>
      </c>
      <c r="X46" s="2">
        <f t="shared" si="20"/>
        <v>17.496403103693549</v>
      </c>
      <c r="Y46" s="2">
        <f t="shared" si="21"/>
        <v>15.757951725742194</v>
      </c>
      <c r="Z46" s="2">
        <f t="shared" si="22"/>
        <v>17.496403103693549</v>
      </c>
      <c r="AA46" s="2">
        <f t="shared" si="23"/>
        <v>15.757951725742194</v>
      </c>
      <c r="AB46" s="2">
        <f t="shared" si="24"/>
        <v>17.496403103693549</v>
      </c>
      <c r="AC46" s="2">
        <f t="shared" si="25"/>
        <v>15.757951725742194</v>
      </c>
      <c r="AD46" s="2">
        <f t="shared" si="26"/>
        <v>17.496403103693549</v>
      </c>
      <c r="AE46" s="2">
        <f t="shared" si="27"/>
        <v>15.757951725742194</v>
      </c>
      <c r="AF46" s="2">
        <f t="shared" si="28"/>
        <v>17.496403103693549</v>
      </c>
      <c r="AG46" s="2">
        <f t="shared" si="29"/>
        <v>15.757951725742194</v>
      </c>
      <c r="AH46" s="2">
        <f t="shared" si="30"/>
        <v>17.496403103693549</v>
      </c>
    </row>
    <row r="47" spans="1:34">
      <c r="A47" t="str">
        <f>CYF!A47</f>
        <v>Lentils</v>
      </c>
      <c r="B47" t="str">
        <f>CYF!B47</f>
        <v>H3</v>
      </c>
      <c r="C47" s="2">
        <f>INDEX(TargetProduction!$X$47:$AD$61,MATCH($B47,TargetProduction!$W$47:$W$61,0),MATCH($A47,TargetProduction!$X$46:$AD$46,0))</f>
        <v>20.419541410306632</v>
      </c>
      <c r="D47" s="2">
        <f>INDEX(TargetProduction!$AE$47:$AK$61,MATCH($B47,TargetProduction!$W$47:$W$61,0),MATCH($A47,TargetProduction!$AE$46:$AK$46,0))</f>
        <v>17.783811502676723</v>
      </c>
      <c r="E47" s="2">
        <f t="shared" si="1"/>
        <v>20.419541410306632</v>
      </c>
      <c r="F47" s="2">
        <f t="shared" si="2"/>
        <v>17.783811502676723</v>
      </c>
      <c r="G47" s="2">
        <f t="shared" si="3"/>
        <v>20.419541410306632</v>
      </c>
      <c r="H47" s="2">
        <f t="shared" si="4"/>
        <v>17.783811502676723</v>
      </c>
      <c r="I47" s="2">
        <f t="shared" si="5"/>
        <v>20.419541410306632</v>
      </c>
      <c r="J47" s="2">
        <f t="shared" si="6"/>
        <v>17.783811502676723</v>
      </c>
      <c r="K47" s="2">
        <f t="shared" si="7"/>
        <v>20.419541410306632</v>
      </c>
      <c r="L47" s="2">
        <f t="shared" si="8"/>
        <v>17.783811502676723</v>
      </c>
      <c r="M47" s="2">
        <f t="shared" si="9"/>
        <v>20.419541410306632</v>
      </c>
      <c r="N47" s="2">
        <f t="shared" si="10"/>
        <v>17.783811502676723</v>
      </c>
      <c r="O47" s="2">
        <f t="shared" si="11"/>
        <v>20.419541410306632</v>
      </c>
      <c r="P47" s="2">
        <f t="shared" si="12"/>
        <v>17.783811502676723</v>
      </c>
      <c r="Q47" s="2">
        <f t="shared" si="13"/>
        <v>20.419541410306632</v>
      </c>
      <c r="R47" s="2">
        <f t="shared" si="14"/>
        <v>17.783811502676723</v>
      </c>
      <c r="S47" s="2">
        <f t="shared" si="15"/>
        <v>20.419541410306632</v>
      </c>
      <c r="T47" s="2">
        <f t="shared" si="16"/>
        <v>17.783811502676723</v>
      </c>
      <c r="U47" s="2">
        <f t="shared" si="17"/>
        <v>20.419541410306632</v>
      </c>
      <c r="V47" s="2">
        <f t="shared" si="18"/>
        <v>17.783811502676723</v>
      </c>
      <c r="W47" s="2">
        <f t="shared" si="19"/>
        <v>20.419541410306632</v>
      </c>
      <c r="X47" s="2">
        <f t="shared" si="20"/>
        <v>17.783811502676723</v>
      </c>
      <c r="Y47" s="2">
        <f t="shared" si="21"/>
        <v>20.419541410306632</v>
      </c>
      <c r="Z47" s="2">
        <f t="shared" si="22"/>
        <v>17.783811502676723</v>
      </c>
      <c r="AA47" s="2">
        <f t="shared" si="23"/>
        <v>20.419541410306632</v>
      </c>
      <c r="AB47" s="2">
        <f t="shared" si="24"/>
        <v>17.783811502676723</v>
      </c>
      <c r="AC47" s="2">
        <f t="shared" si="25"/>
        <v>20.419541410306632</v>
      </c>
      <c r="AD47" s="2">
        <f t="shared" si="26"/>
        <v>17.783811502676723</v>
      </c>
      <c r="AE47" s="2">
        <f t="shared" si="27"/>
        <v>20.419541410306632</v>
      </c>
      <c r="AF47" s="2">
        <f t="shared" si="28"/>
        <v>17.783811502676723</v>
      </c>
      <c r="AG47" s="2">
        <f t="shared" si="29"/>
        <v>20.419541410306632</v>
      </c>
      <c r="AH47" s="2">
        <f t="shared" si="30"/>
        <v>17.783811502676723</v>
      </c>
    </row>
    <row r="48" spans="1:34">
      <c r="A48" t="str">
        <f>CYF!A48</f>
        <v>Lentils</v>
      </c>
      <c r="B48" t="str">
        <f>CYF!B48</f>
        <v>H4</v>
      </c>
      <c r="C48" s="2">
        <f>INDEX(TargetProduction!$X$47:$AD$61,MATCH($B48,TargetProduction!$W$47:$W$61,0),MATCH($A48,TargetProduction!$X$46:$AD$46,0))</f>
        <v>28.371147137015459</v>
      </c>
      <c r="D48" s="2">
        <f>INDEX(TargetProduction!$AE$47:$AK$61,MATCH($B48,TargetProduction!$W$47:$W$61,0),MATCH($A48,TargetProduction!$AE$46:$AK$46,0))</f>
        <v>18.105851450820897</v>
      </c>
      <c r="E48" s="2">
        <f t="shared" si="1"/>
        <v>28.371147137015459</v>
      </c>
      <c r="F48" s="2">
        <f t="shared" si="2"/>
        <v>18.105851450820897</v>
      </c>
      <c r="G48" s="2">
        <f t="shared" si="3"/>
        <v>28.371147137015459</v>
      </c>
      <c r="H48" s="2">
        <f t="shared" si="4"/>
        <v>18.105851450820897</v>
      </c>
      <c r="I48" s="2">
        <f t="shared" si="5"/>
        <v>28.371147137015459</v>
      </c>
      <c r="J48" s="2">
        <f t="shared" si="6"/>
        <v>18.105851450820897</v>
      </c>
      <c r="K48" s="2">
        <f t="shared" si="7"/>
        <v>28.371147137015459</v>
      </c>
      <c r="L48" s="2">
        <f t="shared" si="8"/>
        <v>18.105851450820897</v>
      </c>
      <c r="M48" s="2">
        <f t="shared" si="9"/>
        <v>28.371147137015459</v>
      </c>
      <c r="N48" s="2">
        <f t="shared" si="10"/>
        <v>18.105851450820897</v>
      </c>
      <c r="O48" s="2">
        <f t="shared" si="11"/>
        <v>28.371147137015459</v>
      </c>
      <c r="P48" s="2">
        <f t="shared" si="12"/>
        <v>18.105851450820897</v>
      </c>
      <c r="Q48" s="2">
        <f t="shared" si="13"/>
        <v>28.371147137015459</v>
      </c>
      <c r="R48" s="2">
        <f t="shared" si="14"/>
        <v>18.105851450820897</v>
      </c>
      <c r="S48" s="2">
        <f t="shared" si="15"/>
        <v>28.371147137015459</v>
      </c>
      <c r="T48" s="2">
        <f t="shared" si="16"/>
        <v>18.105851450820897</v>
      </c>
      <c r="U48" s="2">
        <f t="shared" si="17"/>
        <v>28.371147137015459</v>
      </c>
      <c r="V48" s="2">
        <f t="shared" si="18"/>
        <v>18.105851450820897</v>
      </c>
      <c r="W48" s="2">
        <f t="shared" si="19"/>
        <v>28.371147137015459</v>
      </c>
      <c r="X48" s="2">
        <f t="shared" si="20"/>
        <v>18.105851450820897</v>
      </c>
      <c r="Y48" s="2">
        <f t="shared" si="21"/>
        <v>28.371147137015459</v>
      </c>
      <c r="Z48" s="2">
        <f t="shared" si="22"/>
        <v>18.105851450820897</v>
      </c>
      <c r="AA48" s="2">
        <f t="shared" si="23"/>
        <v>28.371147137015459</v>
      </c>
      <c r="AB48" s="2">
        <f t="shared" si="24"/>
        <v>18.105851450820897</v>
      </c>
      <c r="AC48" s="2">
        <f t="shared" si="25"/>
        <v>28.371147137015459</v>
      </c>
      <c r="AD48" s="2">
        <f t="shared" si="26"/>
        <v>18.105851450820897</v>
      </c>
      <c r="AE48" s="2">
        <f t="shared" si="27"/>
        <v>28.371147137015459</v>
      </c>
      <c r="AF48" s="2">
        <f t="shared" si="28"/>
        <v>18.105851450820897</v>
      </c>
      <c r="AG48" s="2">
        <f t="shared" si="29"/>
        <v>28.371147137015459</v>
      </c>
      <c r="AH48" s="2">
        <f t="shared" si="30"/>
        <v>18.105851450820897</v>
      </c>
    </row>
    <row r="49" spans="1:34">
      <c r="A49" t="str">
        <f>CYF!A49</f>
        <v>Lentils</v>
      </c>
      <c r="B49" t="str">
        <f>CYF!B49</f>
        <v>H5</v>
      </c>
      <c r="C49" s="2">
        <f>INDEX(TargetProduction!$X$47:$AD$61,MATCH($B49,TargetProduction!$W$47:$W$61,0),MATCH($A49,TargetProduction!$X$46:$AD$46,0))</f>
        <v>29.196319502318534</v>
      </c>
      <c r="D49" s="2">
        <f>INDEX(TargetProduction!$AE$47:$AK$61,MATCH($B49,TargetProduction!$W$47:$W$61,0),MATCH($A49,TargetProduction!$AE$46:$AK$46,0))</f>
        <v>19.193803230164555</v>
      </c>
      <c r="E49" s="2">
        <f t="shared" si="1"/>
        <v>29.196319502318534</v>
      </c>
      <c r="F49" s="2">
        <f t="shared" si="2"/>
        <v>19.193803230164555</v>
      </c>
      <c r="G49" s="2">
        <f t="shared" si="3"/>
        <v>29.196319502318534</v>
      </c>
      <c r="H49" s="2">
        <f t="shared" si="4"/>
        <v>19.193803230164555</v>
      </c>
      <c r="I49" s="2">
        <f t="shared" si="5"/>
        <v>29.196319502318534</v>
      </c>
      <c r="J49" s="2">
        <f t="shared" si="6"/>
        <v>19.193803230164555</v>
      </c>
      <c r="K49" s="2">
        <f t="shared" si="7"/>
        <v>29.196319502318534</v>
      </c>
      <c r="L49" s="2">
        <f t="shared" si="8"/>
        <v>19.193803230164555</v>
      </c>
      <c r="M49" s="2">
        <f t="shared" si="9"/>
        <v>29.196319502318534</v>
      </c>
      <c r="N49" s="2">
        <f t="shared" si="10"/>
        <v>19.193803230164555</v>
      </c>
      <c r="O49" s="2">
        <f t="shared" si="11"/>
        <v>29.196319502318534</v>
      </c>
      <c r="P49" s="2">
        <f t="shared" si="12"/>
        <v>19.193803230164555</v>
      </c>
      <c r="Q49" s="2">
        <f t="shared" si="13"/>
        <v>29.196319502318534</v>
      </c>
      <c r="R49" s="2">
        <f t="shared" si="14"/>
        <v>19.193803230164555</v>
      </c>
      <c r="S49" s="2">
        <f t="shared" si="15"/>
        <v>29.196319502318534</v>
      </c>
      <c r="T49" s="2">
        <f t="shared" si="16"/>
        <v>19.193803230164555</v>
      </c>
      <c r="U49" s="2">
        <f t="shared" si="17"/>
        <v>29.196319502318534</v>
      </c>
      <c r="V49" s="2">
        <f t="shared" si="18"/>
        <v>19.193803230164555</v>
      </c>
      <c r="W49" s="2">
        <f t="shared" si="19"/>
        <v>29.196319502318534</v>
      </c>
      <c r="X49" s="2">
        <f t="shared" si="20"/>
        <v>19.193803230164555</v>
      </c>
      <c r="Y49" s="2">
        <f t="shared" si="21"/>
        <v>29.196319502318534</v>
      </c>
      <c r="Z49" s="2">
        <f t="shared" si="22"/>
        <v>19.193803230164555</v>
      </c>
      <c r="AA49" s="2">
        <f t="shared" si="23"/>
        <v>29.196319502318534</v>
      </c>
      <c r="AB49" s="2">
        <f t="shared" si="24"/>
        <v>19.193803230164555</v>
      </c>
      <c r="AC49" s="2">
        <f t="shared" si="25"/>
        <v>29.196319502318534</v>
      </c>
      <c r="AD49" s="2">
        <f t="shared" si="26"/>
        <v>19.193803230164555</v>
      </c>
      <c r="AE49" s="2">
        <f t="shared" si="27"/>
        <v>29.196319502318534</v>
      </c>
      <c r="AF49" s="2">
        <f t="shared" si="28"/>
        <v>19.193803230164555</v>
      </c>
      <c r="AG49" s="2">
        <f t="shared" si="29"/>
        <v>29.196319502318534</v>
      </c>
      <c r="AH49" s="2">
        <f t="shared" si="30"/>
        <v>19.193803230164555</v>
      </c>
    </row>
    <row r="50" spans="1:34">
      <c r="A50" t="str">
        <f>CYF!A50</f>
        <v>Lentils</v>
      </c>
      <c r="B50" t="str">
        <f>CYF!B50</f>
        <v>M1</v>
      </c>
      <c r="C50" s="2">
        <f>INDEX(TargetProduction!$X$47:$AD$61,MATCH($B50,TargetProduction!$W$47:$W$61,0),MATCH($A50,TargetProduction!$X$46:$AD$46,0))</f>
        <v>29.324426185476707</v>
      </c>
      <c r="D50" s="2">
        <f>INDEX(TargetProduction!$AE$47:$AK$61,MATCH($B50,TargetProduction!$W$47:$W$61,0),MATCH($A50,TargetProduction!$AE$46:$AK$46,0))</f>
        <v>18.702521786741492</v>
      </c>
      <c r="E50" s="2">
        <f t="shared" si="1"/>
        <v>29.324426185476707</v>
      </c>
      <c r="F50" s="2">
        <f t="shared" si="2"/>
        <v>18.702521786741492</v>
      </c>
      <c r="G50" s="2">
        <f t="shared" si="3"/>
        <v>29.324426185476707</v>
      </c>
      <c r="H50" s="2">
        <f t="shared" si="4"/>
        <v>18.702521786741492</v>
      </c>
      <c r="I50" s="2">
        <f t="shared" si="5"/>
        <v>29.324426185476707</v>
      </c>
      <c r="J50" s="2">
        <f t="shared" si="6"/>
        <v>18.702521786741492</v>
      </c>
      <c r="K50" s="2">
        <f t="shared" si="7"/>
        <v>29.324426185476707</v>
      </c>
      <c r="L50" s="2">
        <f t="shared" si="8"/>
        <v>18.702521786741492</v>
      </c>
      <c r="M50" s="2">
        <f t="shared" si="9"/>
        <v>29.324426185476707</v>
      </c>
      <c r="N50" s="2">
        <f t="shared" si="10"/>
        <v>18.702521786741492</v>
      </c>
      <c r="O50" s="2">
        <f t="shared" si="11"/>
        <v>29.324426185476707</v>
      </c>
      <c r="P50" s="2">
        <f t="shared" si="12"/>
        <v>18.702521786741492</v>
      </c>
      <c r="Q50" s="2">
        <f t="shared" si="13"/>
        <v>29.324426185476707</v>
      </c>
      <c r="R50" s="2">
        <f t="shared" si="14"/>
        <v>18.702521786741492</v>
      </c>
      <c r="S50" s="2">
        <f t="shared" si="15"/>
        <v>29.324426185476707</v>
      </c>
      <c r="T50" s="2">
        <f t="shared" si="16"/>
        <v>18.702521786741492</v>
      </c>
      <c r="U50" s="2">
        <f t="shared" si="17"/>
        <v>29.324426185476707</v>
      </c>
      <c r="V50" s="2">
        <f t="shared" si="18"/>
        <v>18.702521786741492</v>
      </c>
      <c r="W50" s="2">
        <f t="shared" si="19"/>
        <v>29.324426185476707</v>
      </c>
      <c r="X50" s="2">
        <f t="shared" si="20"/>
        <v>18.702521786741492</v>
      </c>
      <c r="Y50" s="2">
        <f t="shared" si="21"/>
        <v>29.324426185476707</v>
      </c>
      <c r="Z50" s="2">
        <f t="shared" si="22"/>
        <v>18.702521786741492</v>
      </c>
      <c r="AA50" s="2">
        <f t="shared" si="23"/>
        <v>29.324426185476707</v>
      </c>
      <c r="AB50" s="2">
        <f t="shared" si="24"/>
        <v>18.702521786741492</v>
      </c>
      <c r="AC50" s="2">
        <f t="shared" si="25"/>
        <v>29.324426185476707</v>
      </c>
      <c r="AD50" s="2">
        <f t="shared" si="26"/>
        <v>18.702521786741492</v>
      </c>
      <c r="AE50" s="2">
        <f t="shared" si="27"/>
        <v>29.324426185476707</v>
      </c>
      <c r="AF50" s="2">
        <f t="shared" si="28"/>
        <v>18.702521786741492</v>
      </c>
      <c r="AG50" s="2">
        <f t="shared" si="29"/>
        <v>29.324426185476707</v>
      </c>
      <c r="AH50" s="2">
        <f t="shared" si="30"/>
        <v>18.702521786741492</v>
      </c>
    </row>
    <row r="51" spans="1:34">
      <c r="A51" t="str">
        <f>CYF!A51</f>
        <v>Lentils</v>
      </c>
      <c r="B51" t="str">
        <f>CYF!B51</f>
        <v>M3</v>
      </c>
      <c r="C51" s="2">
        <f>INDEX(TargetProduction!$X$47:$AD$61,MATCH($B51,TargetProduction!$W$47:$W$61,0),MATCH($A51,TargetProduction!$X$46:$AD$46,0))</f>
        <v>25.172502629588902</v>
      </c>
      <c r="D51" s="2">
        <f>INDEX(TargetProduction!$AE$47:$AK$61,MATCH($B51,TargetProduction!$W$47:$W$61,0),MATCH($A51,TargetProduction!$AE$46:$AK$46,0))</f>
        <v>19.195678326072606</v>
      </c>
      <c r="E51" s="2">
        <f t="shared" si="1"/>
        <v>25.172502629588902</v>
      </c>
      <c r="F51" s="2">
        <f t="shared" si="2"/>
        <v>19.195678326072606</v>
      </c>
      <c r="G51" s="2">
        <f t="shared" si="3"/>
        <v>25.172502629588902</v>
      </c>
      <c r="H51" s="2">
        <f t="shared" si="4"/>
        <v>19.195678326072606</v>
      </c>
      <c r="I51" s="2">
        <f t="shared" si="5"/>
        <v>25.172502629588902</v>
      </c>
      <c r="J51" s="2">
        <f t="shared" si="6"/>
        <v>19.195678326072606</v>
      </c>
      <c r="K51" s="2">
        <f t="shared" si="7"/>
        <v>25.172502629588902</v>
      </c>
      <c r="L51" s="2">
        <f t="shared" si="8"/>
        <v>19.195678326072606</v>
      </c>
      <c r="M51" s="2">
        <f t="shared" si="9"/>
        <v>25.172502629588902</v>
      </c>
      <c r="N51" s="2">
        <f t="shared" si="10"/>
        <v>19.195678326072606</v>
      </c>
      <c r="O51" s="2">
        <f t="shared" si="11"/>
        <v>25.172502629588902</v>
      </c>
      <c r="P51" s="2">
        <f t="shared" si="12"/>
        <v>19.195678326072606</v>
      </c>
      <c r="Q51" s="2">
        <f t="shared" si="13"/>
        <v>25.172502629588902</v>
      </c>
      <c r="R51" s="2">
        <f t="shared" si="14"/>
        <v>19.195678326072606</v>
      </c>
      <c r="S51" s="2">
        <f t="shared" si="15"/>
        <v>25.172502629588902</v>
      </c>
      <c r="T51" s="2">
        <f t="shared" si="16"/>
        <v>19.195678326072606</v>
      </c>
      <c r="U51" s="2">
        <f t="shared" si="17"/>
        <v>25.172502629588902</v>
      </c>
      <c r="V51" s="2">
        <f t="shared" si="18"/>
        <v>19.195678326072606</v>
      </c>
      <c r="W51" s="2">
        <f t="shared" si="19"/>
        <v>25.172502629588902</v>
      </c>
      <c r="X51" s="2">
        <f t="shared" si="20"/>
        <v>19.195678326072606</v>
      </c>
      <c r="Y51" s="2">
        <f t="shared" si="21"/>
        <v>25.172502629588902</v>
      </c>
      <c r="Z51" s="2">
        <f t="shared" si="22"/>
        <v>19.195678326072606</v>
      </c>
      <c r="AA51" s="2">
        <f t="shared" si="23"/>
        <v>25.172502629588902</v>
      </c>
      <c r="AB51" s="2">
        <f t="shared" si="24"/>
        <v>19.195678326072606</v>
      </c>
      <c r="AC51" s="2">
        <f t="shared" si="25"/>
        <v>25.172502629588902</v>
      </c>
      <c r="AD51" s="2">
        <f t="shared" si="26"/>
        <v>19.195678326072606</v>
      </c>
      <c r="AE51" s="2">
        <f t="shared" si="27"/>
        <v>25.172502629588902</v>
      </c>
      <c r="AF51" s="2">
        <f t="shared" si="28"/>
        <v>19.195678326072606</v>
      </c>
      <c r="AG51" s="2">
        <f t="shared" si="29"/>
        <v>25.172502629588902</v>
      </c>
      <c r="AH51" s="2">
        <f t="shared" si="30"/>
        <v>19.195678326072606</v>
      </c>
    </row>
    <row r="52" spans="1:34">
      <c r="A52" t="str">
        <f>CYF!A52</f>
        <v>Lentils</v>
      </c>
      <c r="B52" t="str">
        <f>CYF!B52</f>
        <v>M5</v>
      </c>
      <c r="C52" s="2">
        <f>INDEX(TargetProduction!$X$47:$AD$61,MATCH($B52,TargetProduction!$W$47:$W$61,0),MATCH($A52,TargetProduction!$X$46:$AD$46,0))</f>
        <v>25.823447740617329</v>
      </c>
      <c r="D52" s="2">
        <f>INDEX(TargetProduction!$AE$47:$AK$61,MATCH($B52,TargetProduction!$W$47:$W$61,0),MATCH($A52,TargetProduction!$AE$46:$AK$46,0))</f>
        <v>19.703478690571323</v>
      </c>
      <c r="E52" s="2">
        <f t="shared" si="1"/>
        <v>25.823447740617329</v>
      </c>
      <c r="F52" s="2">
        <f t="shared" si="2"/>
        <v>19.703478690571323</v>
      </c>
      <c r="G52" s="2">
        <f t="shared" si="3"/>
        <v>25.823447740617329</v>
      </c>
      <c r="H52" s="2">
        <f t="shared" si="4"/>
        <v>19.703478690571323</v>
      </c>
      <c r="I52" s="2">
        <f t="shared" si="5"/>
        <v>25.823447740617329</v>
      </c>
      <c r="J52" s="2">
        <f t="shared" si="6"/>
        <v>19.703478690571323</v>
      </c>
      <c r="K52" s="2">
        <f t="shared" si="7"/>
        <v>25.823447740617329</v>
      </c>
      <c r="L52" s="2">
        <f t="shared" si="8"/>
        <v>19.703478690571323</v>
      </c>
      <c r="M52" s="2">
        <f t="shared" si="9"/>
        <v>25.823447740617329</v>
      </c>
      <c r="N52" s="2">
        <f t="shared" si="10"/>
        <v>19.703478690571323</v>
      </c>
      <c r="O52" s="2">
        <f t="shared" si="11"/>
        <v>25.823447740617329</v>
      </c>
      <c r="P52" s="2">
        <f t="shared" si="12"/>
        <v>19.703478690571323</v>
      </c>
      <c r="Q52" s="2">
        <f t="shared" si="13"/>
        <v>25.823447740617329</v>
      </c>
      <c r="R52" s="2">
        <f t="shared" si="14"/>
        <v>19.703478690571323</v>
      </c>
      <c r="S52" s="2">
        <f t="shared" si="15"/>
        <v>25.823447740617329</v>
      </c>
      <c r="T52" s="2">
        <f t="shared" si="16"/>
        <v>19.703478690571323</v>
      </c>
      <c r="U52" s="2">
        <f t="shared" si="17"/>
        <v>25.823447740617329</v>
      </c>
      <c r="V52" s="2">
        <f t="shared" si="18"/>
        <v>19.703478690571323</v>
      </c>
      <c r="W52" s="2">
        <f t="shared" si="19"/>
        <v>25.823447740617329</v>
      </c>
      <c r="X52" s="2">
        <f t="shared" si="20"/>
        <v>19.703478690571323</v>
      </c>
      <c r="Y52" s="2">
        <f t="shared" si="21"/>
        <v>25.823447740617329</v>
      </c>
      <c r="Z52" s="2">
        <f t="shared" si="22"/>
        <v>19.703478690571323</v>
      </c>
      <c r="AA52" s="2">
        <f t="shared" si="23"/>
        <v>25.823447740617329</v>
      </c>
      <c r="AB52" s="2">
        <f t="shared" si="24"/>
        <v>19.703478690571323</v>
      </c>
      <c r="AC52" s="2">
        <f t="shared" si="25"/>
        <v>25.823447740617329</v>
      </c>
      <c r="AD52" s="2">
        <f t="shared" si="26"/>
        <v>19.703478690571323</v>
      </c>
      <c r="AE52" s="2">
        <f t="shared" si="27"/>
        <v>25.823447740617329</v>
      </c>
      <c r="AF52" s="2">
        <f t="shared" si="28"/>
        <v>19.703478690571323</v>
      </c>
      <c r="AG52" s="2">
        <f t="shared" si="29"/>
        <v>25.823447740617329</v>
      </c>
      <c r="AH52" s="2">
        <f t="shared" si="30"/>
        <v>19.703478690571323</v>
      </c>
    </row>
    <row r="53" spans="1:34">
      <c r="A53" t="str">
        <f>CYF!A53</f>
        <v>Lentils</v>
      </c>
      <c r="B53" t="str">
        <f>CYF!B53</f>
        <v>SA1</v>
      </c>
      <c r="C53" s="2">
        <f>INDEX(TargetProduction!$X$47:$AD$61,MATCH($B53,TargetProduction!$W$47:$W$61,0),MATCH($A53,TargetProduction!$X$46:$AD$46,0))</f>
        <v>20.320640223861247</v>
      </c>
      <c r="D53" s="2">
        <f>INDEX(TargetProduction!$AE$47:$AK$61,MATCH($B53,TargetProduction!$W$47:$W$61,0),MATCH($A53,TargetProduction!$AE$46:$AK$46,0))</f>
        <v>17.827784396500558</v>
      </c>
      <c r="E53" s="2">
        <f t="shared" si="1"/>
        <v>20.320640223861247</v>
      </c>
      <c r="F53" s="2">
        <f t="shared" si="2"/>
        <v>17.827784396500558</v>
      </c>
      <c r="G53" s="2">
        <f t="shared" si="3"/>
        <v>20.320640223861247</v>
      </c>
      <c r="H53" s="2">
        <f t="shared" si="4"/>
        <v>17.827784396500558</v>
      </c>
      <c r="I53" s="2">
        <f t="shared" si="5"/>
        <v>20.320640223861247</v>
      </c>
      <c r="J53" s="2">
        <f t="shared" si="6"/>
        <v>17.827784396500558</v>
      </c>
      <c r="K53" s="2">
        <f t="shared" si="7"/>
        <v>20.320640223861247</v>
      </c>
      <c r="L53" s="2">
        <f t="shared" si="8"/>
        <v>17.827784396500558</v>
      </c>
      <c r="M53" s="2">
        <f t="shared" si="9"/>
        <v>20.320640223861247</v>
      </c>
      <c r="N53" s="2">
        <f t="shared" si="10"/>
        <v>17.827784396500558</v>
      </c>
      <c r="O53" s="2">
        <f t="shared" si="11"/>
        <v>20.320640223861247</v>
      </c>
      <c r="P53" s="2">
        <f t="shared" si="12"/>
        <v>17.827784396500558</v>
      </c>
      <c r="Q53" s="2">
        <f t="shared" si="13"/>
        <v>20.320640223861247</v>
      </c>
      <c r="R53" s="2">
        <f t="shared" si="14"/>
        <v>17.827784396500558</v>
      </c>
      <c r="S53" s="2">
        <f t="shared" si="15"/>
        <v>20.320640223861247</v>
      </c>
      <c r="T53" s="2">
        <f t="shared" si="16"/>
        <v>17.827784396500558</v>
      </c>
      <c r="U53" s="2">
        <f t="shared" si="17"/>
        <v>20.320640223861247</v>
      </c>
      <c r="V53" s="2">
        <f t="shared" si="18"/>
        <v>17.827784396500558</v>
      </c>
      <c r="W53" s="2">
        <f t="shared" si="19"/>
        <v>20.320640223861247</v>
      </c>
      <c r="X53" s="2">
        <f t="shared" si="20"/>
        <v>17.827784396500558</v>
      </c>
      <c r="Y53" s="2">
        <f t="shared" si="21"/>
        <v>20.320640223861247</v>
      </c>
      <c r="Z53" s="2">
        <f t="shared" si="22"/>
        <v>17.827784396500558</v>
      </c>
      <c r="AA53" s="2">
        <f t="shared" si="23"/>
        <v>20.320640223861247</v>
      </c>
      <c r="AB53" s="2">
        <f t="shared" si="24"/>
        <v>17.827784396500558</v>
      </c>
      <c r="AC53" s="2">
        <f t="shared" si="25"/>
        <v>20.320640223861247</v>
      </c>
      <c r="AD53" s="2">
        <f t="shared" si="26"/>
        <v>17.827784396500558</v>
      </c>
      <c r="AE53" s="2">
        <f t="shared" si="27"/>
        <v>20.320640223861247</v>
      </c>
      <c r="AF53" s="2">
        <f t="shared" si="28"/>
        <v>17.827784396500558</v>
      </c>
      <c r="AG53" s="2">
        <f t="shared" si="29"/>
        <v>20.320640223861247</v>
      </c>
      <c r="AH53" s="2">
        <f t="shared" si="30"/>
        <v>17.827784396500558</v>
      </c>
    </row>
    <row r="54" spans="1:34">
      <c r="A54" t="str">
        <f>CYF!A54</f>
        <v>Lentils</v>
      </c>
      <c r="B54" t="str">
        <f>CYF!B54</f>
        <v>SA3</v>
      </c>
      <c r="C54" s="2">
        <f>INDEX(TargetProduction!$X$47:$AD$61,MATCH($B54,TargetProduction!$W$47:$W$61,0),MATCH($A54,TargetProduction!$X$46:$AD$46,0))</f>
        <v>30.780524282342576</v>
      </c>
      <c r="D54" s="2">
        <f>INDEX(TargetProduction!$AE$47:$AK$61,MATCH($B54,TargetProduction!$W$47:$W$61,0),MATCH($A54,TargetProduction!$AE$46:$AK$46,0))</f>
        <v>19.269198610112795</v>
      </c>
      <c r="E54" s="2">
        <f t="shared" si="1"/>
        <v>30.780524282342576</v>
      </c>
      <c r="F54" s="2">
        <f t="shared" si="2"/>
        <v>19.269198610112795</v>
      </c>
      <c r="G54" s="2">
        <f t="shared" si="3"/>
        <v>30.780524282342576</v>
      </c>
      <c r="H54" s="2">
        <f t="shared" si="4"/>
        <v>19.269198610112795</v>
      </c>
      <c r="I54" s="2">
        <f t="shared" si="5"/>
        <v>30.780524282342576</v>
      </c>
      <c r="J54" s="2">
        <f t="shared" si="6"/>
        <v>19.269198610112795</v>
      </c>
      <c r="K54" s="2">
        <f t="shared" si="7"/>
        <v>30.780524282342576</v>
      </c>
      <c r="L54" s="2">
        <f t="shared" si="8"/>
        <v>19.269198610112795</v>
      </c>
      <c r="M54" s="2">
        <f t="shared" si="9"/>
        <v>30.780524282342576</v>
      </c>
      <c r="N54" s="2">
        <f t="shared" si="10"/>
        <v>19.269198610112795</v>
      </c>
      <c r="O54" s="2">
        <f t="shared" si="11"/>
        <v>30.780524282342576</v>
      </c>
      <c r="P54" s="2">
        <f t="shared" si="12"/>
        <v>19.269198610112795</v>
      </c>
      <c r="Q54" s="2">
        <f t="shared" si="13"/>
        <v>30.780524282342576</v>
      </c>
      <c r="R54" s="2">
        <f t="shared" si="14"/>
        <v>19.269198610112795</v>
      </c>
      <c r="S54" s="2">
        <f t="shared" si="15"/>
        <v>30.780524282342576</v>
      </c>
      <c r="T54" s="2">
        <f t="shared" si="16"/>
        <v>19.269198610112795</v>
      </c>
      <c r="U54" s="2">
        <f t="shared" si="17"/>
        <v>30.780524282342576</v>
      </c>
      <c r="V54" s="2">
        <f t="shared" si="18"/>
        <v>19.269198610112795</v>
      </c>
      <c r="W54" s="2">
        <f t="shared" si="19"/>
        <v>30.780524282342576</v>
      </c>
      <c r="X54" s="2">
        <f t="shared" si="20"/>
        <v>19.269198610112795</v>
      </c>
      <c r="Y54" s="2">
        <f t="shared" si="21"/>
        <v>30.780524282342576</v>
      </c>
      <c r="Z54" s="2">
        <f t="shared" si="22"/>
        <v>19.269198610112795</v>
      </c>
      <c r="AA54" s="2">
        <f t="shared" si="23"/>
        <v>30.780524282342576</v>
      </c>
      <c r="AB54" s="2">
        <f t="shared" si="24"/>
        <v>19.269198610112795</v>
      </c>
      <c r="AC54" s="2">
        <f t="shared" si="25"/>
        <v>30.780524282342576</v>
      </c>
      <c r="AD54" s="2">
        <f t="shared" si="26"/>
        <v>19.269198610112795</v>
      </c>
      <c r="AE54" s="2">
        <f t="shared" si="27"/>
        <v>30.780524282342576</v>
      </c>
      <c r="AF54" s="2">
        <f t="shared" si="28"/>
        <v>19.269198610112795</v>
      </c>
      <c r="AG54" s="2">
        <f t="shared" si="29"/>
        <v>30.780524282342576</v>
      </c>
      <c r="AH54" s="2">
        <f t="shared" si="30"/>
        <v>19.269198610112795</v>
      </c>
    </row>
    <row r="55" spans="1:34">
      <c r="A55" t="str">
        <f>CYF!A55</f>
        <v>Lentils</v>
      </c>
      <c r="B55" t="str">
        <f>CYF!B55</f>
        <v>SH1</v>
      </c>
      <c r="C55" s="2">
        <f>INDEX(TargetProduction!$X$47:$AD$61,MATCH($B55,TargetProduction!$W$47:$W$61,0),MATCH($A55,TargetProduction!$X$46:$AD$46,0))</f>
        <v>17.112747477689116</v>
      </c>
      <c r="D55" s="2">
        <f>INDEX(TargetProduction!$AE$47:$AK$61,MATCH($B55,TargetProduction!$W$47:$W$61,0),MATCH($A55,TargetProduction!$AE$46:$AK$46,0))</f>
        <v>18.075163838982569</v>
      </c>
      <c r="E55" s="2">
        <f t="shared" si="1"/>
        <v>17.112747477689116</v>
      </c>
      <c r="F55" s="2">
        <f t="shared" si="2"/>
        <v>18.075163838982569</v>
      </c>
      <c r="G55" s="2">
        <f t="shared" si="3"/>
        <v>17.112747477689116</v>
      </c>
      <c r="H55" s="2">
        <f t="shared" si="4"/>
        <v>18.075163838982569</v>
      </c>
      <c r="I55" s="2">
        <f t="shared" si="5"/>
        <v>17.112747477689116</v>
      </c>
      <c r="J55" s="2">
        <f t="shared" si="6"/>
        <v>18.075163838982569</v>
      </c>
      <c r="K55" s="2">
        <f t="shared" si="7"/>
        <v>17.112747477689116</v>
      </c>
      <c r="L55" s="2">
        <f t="shared" si="8"/>
        <v>18.075163838982569</v>
      </c>
      <c r="M55" s="2">
        <f t="shared" si="9"/>
        <v>17.112747477689116</v>
      </c>
      <c r="N55" s="2">
        <f t="shared" si="10"/>
        <v>18.075163838982569</v>
      </c>
      <c r="O55" s="2">
        <f t="shared" si="11"/>
        <v>17.112747477689116</v>
      </c>
      <c r="P55" s="2">
        <f t="shared" si="12"/>
        <v>18.075163838982569</v>
      </c>
      <c r="Q55" s="2">
        <f t="shared" si="13"/>
        <v>17.112747477689116</v>
      </c>
      <c r="R55" s="2">
        <f t="shared" si="14"/>
        <v>18.075163838982569</v>
      </c>
      <c r="S55" s="2">
        <f t="shared" si="15"/>
        <v>17.112747477689116</v>
      </c>
      <c r="T55" s="2">
        <f t="shared" si="16"/>
        <v>18.075163838982569</v>
      </c>
      <c r="U55" s="2">
        <f t="shared" si="17"/>
        <v>17.112747477689116</v>
      </c>
      <c r="V55" s="2">
        <f t="shared" si="18"/>
        <v>18.075163838982569</v>
      </c>
      <c r="W55" s="2">
        <f t="shared" si="19"/>
        <v>17.112747477689116</v>
      </c>
      <c r="X55" s="2">
        <f t="shared" si="20"/>
        <v>18.075163838982569</v>
      </c>
      <c r="Y55" s="2">
        <f t="shared" si="21"/>
        <v>17.112747477689116</v>
      </c>
      <c r="Z55" s="2">
        <f t="shared" si="22"/>
        <v>18.075163838982569</v>
      </c>
      <c r="AA55" s="2">
        <f t="shared" si="23"/>
        <v>17.112747477689116</v>
      </c>
      <c r="AB55" s="2">
        <f t="shared" si="24"/>
        <v>18.075163838982569</v>
      </c>
      <c r="AC55" s="2">
        <f t="shared" si="25"/>
        <v>17.112747477689116</v>
      </c>
      <c r="AD55" s="2">
        <f t="shared" si="26"/>
        <v>18.075163838982569</v>
      </c>
      <c r="AE55" s="2">
        <f t="shared" si="27"/>
        <v>17.112747477689116</v>
      </c>
      <c r="AF55" s="2">
        <f t="shared" si="28"/>
        <v>18.075163838982569</v>
      </c>
      <c r="AG55" s="2">
        <f t="shared" si="29"/>
        <v>17.112747477689116</v>
      </c>
      <c r="AH55" s="2">
        <f t="shared" si="30"/>
        <v>18.075163838982569</v>
      </c>
    </row>
    <row r="56" spans="1:34">
      <c r="A56" t="str">
        <f>CYF!A56</f>
        <v>Lentils</v>
      </c>
      <c r="B56" t="str">
        <f>CYF!B56</f>
        <v>SH3</v>
      </c>
      <c r="C56" s="2">
        <f>INDEX(TargetProduction!$X$47:$AD$61,MATCH($B56,TargetProduction!$W$47:$W$61,0),MATCH($A56,TargetProduction!$X$46:$AD$46,0))</f>
        <v>18.975509751759578</v>
      </c>
      <c r="D56" s="2">
        <f>INDEX(TargetProduction!$AE$47:$AK$61,MATCH($B56,TargetProduction!$W$47:$W$61,0),MATCH($A56,TargetProduction!$AE$46:$AK$46,0))</f>
        <v>18.086998588593502</v>
      </c>
      <c r="E56" s="2">
        <f t="shared" si="1"/>
        <v>18.975509751759578</v>
      </c>
      <c r="F56" s="2">
        <f t="shared" si="2"/>
        <v>18.086998588593502</v>
      </c>
      <c r="G56" s="2">
        <f t="shared" si="3"/>
        <v>18.975509751759578</v>
      </c>
      <c r="H56" s="2">
        <f t="shared" si="4"/>
        <v>18.086998588593502</v>
      </c>
      <c r="I56" s="2">
        <f t="shared" si="5"/>
        <v>18.975509751759578</v>
      </c>
      <c r="J56" s="2">
        <f t="shared" si="6"/>
        <v>18.086998588593502</v>
      </c>
      <c r="K56" s="2">
        <f t="shared" si="7"/>
        <v>18.975509751759578</v>
      </c>
      <c r="L56" s="2">
        <f t="shared" si="8"/>
        <v>18.086998588593502</v>
      </c>
      <c r="M56" s="2">
        <f t="shared" si="9"/>
        <v>18.975509751759578</v>
      </c>
      <c r="N56" s="2">
        <f t="shared" si="10"/>
        <v>18.086998588593502</v>
      </c>
      <c r="O56" s="2">
        <f t="shared" si="11"/>
        <v>18.975509751759578</v>
      </c>
      <c r="P56" s="2">
        <f t="shared" si="12"/>
        <v>18.086998588593502</v>
      </c>
      <c r="Q56" s="2">
        <f t="shared" si="13"/>
        <v>18.975509751759578</v>
      </c>
      <c r="R56" s="2">
        <f t="shared" si="14"/>
        <v>18.086998588593502</v>
      </c>
      <c r="S56" s="2">
        <f t="shared" si="15"/>
        <v>18.975509751759578</v>
      </c>
      <c r="T56" s="2">
        <f t="shared" si="16"/>
        <v>18.086998588593502</v>
      </c>
      <c r="U56" s="2">
        <f t="shared" si="17"/>
        <v>18.975509751759578</v>
      </c>
      <c r="V56" s="2">
        <f t="shared" si="18"/>
        <v>18.086998588593502</v>
      </c>
      <c r="W56" s="2">
        <f t="shared" si="19"/>
        <v>18.975509751759578</v>
      </c>
      <c r="X56" s="2">
        <f t="shared" si="20"/>
        <v>18.086998588593502</v>
      </c>
      <c r="Y56" s="2">
        <f t="shared" si="21"/>
        <v>18.975509751759578</v>
      </c>
      <c r="Z56" s="2">
        <f t="shared" si="22"/>
        <v>18.086998588593502</v>
      </c>
      <c r="AA56" s="2">
        <f t="shared" si="23"/>
        <v>18.975509751759578</v>
      </c>
      <c r="AB56" s="2">
        <f t="shared" si="24"/>
        <v>18.086998588593502</v>
      </c>
      <c r="AC56" s="2">
        <f t="shared" si="25"/>
        <v>18.975509751759578</v>
      </c>
      <c r="AD56" s="2">
        <f t="shared" si="26"/>
        <v>18.086998588593502</v>
      </c>
      <c r="AE56" s="2">
        <f t="shared" si="27"/>
        <v>18.975509751759578</v>
      </c>
      <c r="AF56" s="2">
        <f t="shared" si="28"/>
        <v>18.086998588593502</v>
      </c>
      <c r="AG56" s="2">
        <f t="shared" si="29"/>
        <v>18.975509751759578</v>
      </c>
      <c r="AH56" s="2">
        <f t="shared" si="30"/>
        <v>18.086998588593502</v>
      </c>
    </row>
    <row r="57" spans="1:34">
      <c r="A57" t="str">
        <f>CYF!A57</f>
        <v>Lentils</v>
      </c>
      <c r="B57" t="str">
        <f>CYF!B57</f>
        <v>SM2</v>
      </c>
      <c r="C57" s="2">
        <f>INDEX(TargetProduction!$X$47:$AD$61,MATCH($B57,TargetProduction!$W$47:$W$61,0),MATCH($A57,TargetProduction!$X$46:$AD$46,0))</f>
        <v>64.235848957582419</v>
      </c>
      <c r="D57" s="2">
        <f>INDEX(TargetProduction!$AE$47:$AK$61,MATCH($B57,TargetProduction!$W$47:$W$61,0),MATCH($A57,TargetProduction!$AE$46:$AK$46,0))</f>
        <v>18.82496238909993</v>
      </c>
      <c r="E57" s="2">
        <f t="shared" si="1"/>
        <v>64.235848957582419</v>
      </c>
      <c r="F57" s="2">
        <f t="shared" si="2"/>
        <v>18.82496238909993</v>
      </c>
      <c r="G57" s="2">
        <f t="shared" si="3"/>
        <v>64.235848957582419</v>
      </c>
      <c r="H57" s="2">
        <f t="shared" si="4"/>
        <v>18.82496238909993</v>
      </c>
      <c r="I57" s="2">
        <f t="shared" si="5"/>
        <v>64.235848957582419</v>
      </c>
      <c r="J57" s="2">
        <f t="shared" si="6"/>
        <v>18.82496238909993</v>
      </c>
      <c r="K57" s="2">
        <f t="shared" si="7"/>
        <v>64.235848957582419</v>
      </c>
      <c r="L57" s="2">
        <f t="shared" si="8"/>
        <v>18.82496238909993</v>
      </c>
      <c r="M57" s="2">
        <f t="shared" si="9"/>
        <v>64.235848957582419</v>
      </c>
      <c r="N57" s="2">
        <f t="shared" si="10"/>
        <v>18.82496238909993</v>
      </c>
      <c r="O57" s="2">
        <f t="shared" si="11"/>
        <v>64.235848957582419</v>
      </c>
      <c r="P57" s="2">
        <f t="shared" si="12"/>
        <v>18.82496238909993</v>
      </c>
      <c r="Q57" s="2">
        <f t="shared" si="13"/>
        <v>64.235848957582419</v>
      </c>
      <c r="R57" s="2">
        <f t="shared" si="14"/>
        <v>18.82496238909993</v>
      </c>
      <c r="S57" s="2">
        <f t="shared" si="15"/>
        <v>64.235848957582419</v>
      </c>
      <c r="T57" s="2">
        <f t="shared" si="16"/>
        <v>18.82496238909993</v>
      </c>
      <c r="U57" s="2">
        <f t="shared" si="17"/>
        <v>64.235848957582419</v>
      </c>
      <c r="V57" s="2">
        <f t="shared" si="18"/>
        <v>18.82496238909993</v>
      </c>
      <c r="W57" s="2">
        <f t="shared" si="19"/>
        <v>64.235848957582419</v>
      </c>
      <c r="X57" s="2">
        <f t="shared" si="20"/>
        <v>18.82496238909993</v>
      </c>
      <c r="Y57" s="2">
        <f t="shared" si="21"/>
        <v>64.235848957582419</v>
      </c>
      <c r="Z57" s="2">
        <f t="shared" si="22"/>
        <v>18.82496238909993</v>
      </c>
      <c r="AA57" s="2">
        <f t="shared" si="23"/>
        <v>64.235848957582419</v>
      </c>
      <c r="AB57" s="2">
        <f t="shared" si="24"/>
        <v>18.82496238909993</v>
      </c>
      <c r="AC57" s="2">
        <f t="shared" si="25"/>
        <v>64.235848957582419</v>
      </c>
      <c r="AD57" s="2">
        <f t="shared" si="26"/>
        <v>18.82496238909993</v>
      </c>
      <c r="AE57" s="2">
        <f t="shared" si="27"/>
        <v>64.235848957582419</v>
      </c>
      <c r="AF57" s="2">
        <f t="shared" si="28"/>
        <v>18.82496238909993</v>
      </c>
      <c r="AG57" s="2">
        <f t="shared" si="29"/>
        <v>64.235848957582419</v>
      </c>
      <c r="AH57" s="2">
        <f t="shared" si="30"/>
        <v>18.82496238909993</v>
      </c>
    </row>
    <row r="58" spans="1:34">
      <c r="A58" t="str">
        <f>CYF!A58</f>
        <v>Lentils</v>
      </c>
      <c r="B58" t="str">
        <f>CYF!B58</f>
        <v>SM2N</v>
      </c>
      <c r="C58" s="2">
        <f>INDEX(TargetProduction!$X$47:$AD$61,MATCH($B58,TargetProduction!$W$47:$W$61,0),MATCH($A58,TargetProduction!$X$46:$AD$46,0))</f>
        <v>50.623352636437772</v>
      </c>
      <c r="D58" s="2">
        <f>INDEX(TargetProduction!$AE$47:$AK$61,MATCH($B58,TargetProduction!$W$47:$W$61,0),MATCH($A58,TargetProduction!$AE$46:$AK$46,0))</f>
        <v>19.703725509702743</v>
      </c>
      <c r="E58" s="2">
        <f t="shared" si="1"/>
        <v>50.623352636437772</v>
      </c>
      <c r="F58" s="2">
        <f t="shared" si="2"/>
        <v>19.703725509702743</v>
      </c>
      <c r="G58" s="2">
        <f t="shared" si="3"/>
        <v>50.623352636437772</v>
      </c>
      <c r="H58" s="2">
        <f t="shared" si="4"/>
        <v>19.703725509702743</v>
      </c>
      <c r="I58" s="2">
        <f t="shared" si="5"/>
        <v>50.623352636437772</v>
      </c>
      <c r="J58" s="2">
        <f t="shared" si="6"/>
        <v>19.703725509702743</v>
      </c>
      <c r="K58" s="2">
        <f t="shared" si="7"/>
        <v>50.623352636437772</v>
      </c>
      <c r="L58" s="2">
        <f t="shared" si="8"/>
        <v>19.703725509702743</v>
      </c>
      <c r="M58" s="2">
        <f t="shared" si="9"/>
        <v>50.623352636437772</v>
      </c>
      <c r="N58" s="2">
        <f t="shared" si="10"/>
        <v>19.703725509702743</v>
      </c>
      <c r="O58" s="2">
        <f t="shared" si="11"/>
        <v>50.623352636437772</v>
      </c>
      <c r="P58" s="2">
        <f t="shared" si="12"/>
        <v>19.703725509702743</v>
      </c>
      <c r="Q58" s="2">
        <f t="shared" si="13"/>
        <v>50.623352636437772</v>
      </c>
      <c r="R58" s="2">
        <f t="shared" si="14"/>
        <v>19.703725509702743</v>
      </c>
      <c r="S58" s="2">
        <f t="shared" si="15"/>
        <v>50.623352636437772</v>
      </c>
      <c r="T58" s="2">
        <f t="shared" si="16"/>
        <v>19.703725509702743</v>
      </c>
      <c r="U58" s="2">
        <f t="shared" si="17"/>
        <v>50.623352636437772</v>
      </c>
      <c r="V58" s="2">
        <f t="shared" si="18"/>
        <v>19.703725509702743</v>
      </c>
      <c r="W58" s="2">
        <f t="shared" si="19"/>
        <v>50.623352636437772</v>
      </c>
      <c r="X58" s="2">
        <f t="shared" si="20"/>
        <v>19.703725509702743</v>
      </c>
      <c r="Y58" s="2">
        <f t="shared" si="21"/>
        <v>50.623352636437772</v>
      </c>
      <c r="Z58" s="2">
        <f t="shared" si="22"/>
        <v>19.703725509702743</v>
      </c>
      <c r="AA58" s="2">
        <f t="shared" si="23"/>
        <v>50.623352636437772</v>
      </c>
      <c r="AB58" s="2">
        <f t="shared" si="24"/>
        <v>19.703725509702743</v>
      </c>
      <c r="AC58" s="2">
        <f t="shared" si="25"/>
        <v>50.623352636437772</v>
      </c>
      <c r="AD58" s="2">
        <f t="shared" si="26"/>
        <v>19.703725509702743</v>
      </c>
      <c r="AE58" s="2">
        <f t="shared" si="27"/>
        <v>50.623352636437772</v>
      </c>
      <c r="AF58" s="2">
        <f t="shared" si="28"/>
        <v>19.703725509702743</v>
      </c>
      <c r="AG58" s="2">
        <f t="shared" si="29"/>
        <v>50.623352636437772</v>
      </c>
      <c r="AH58" s="2">
        <f t="shared" si="30"/>
        <v>19.703725509702743</v>
      </c>
    </row>
    <row r="59" spans="1:34">
      <c r="A59" t="str">
        <f>CYF!A59</f>
        <v>Wheat</v>
      </c>
      <c r="B59" t="str">
        <f>CYF!B59</f>
        <v>A1</v>
      </c>
      <c r="C59" s="2">
        <f>INDEX(TargetProduction!$X$47:$AD$61,MATCH($B59,TargetProduction!$W$47:$W$61,0),MATCH($A59,TargetProduction!$X$46:$AD$46,0))</f>
        <v>0</v>
      </c>
      <c r="D59" s="2">
        <f>INDEX(TargetProduction!$AE$47:$AK$61,MATCH($B59,TargetProduction!$W$47:$W$61,0),MATCH($A59,TargetProduction!$AE$46:$AK$46,0))</f>
        <v>18.987483420444224</v>
      </c>
      <c r="E59" s="2">
        <f t="shared" si="1"/>
        <v>0</v>
      </c>
      <c r="F59" s="2">
        <f t="shared" si="2"/>
        <v>18.987483420444224</v>
      </c>
      <c r="G59" s="2">
        <f t="shared" si="3"/>
        <v>0</v>
      </c>
      <c r="H59" s="2">
        <f t="shared" si="4"/>
        <v>18.987483420444224</v>
      </c>
      <c r="I59" s="2">
        <f t="shared" si="5"/>
        <v>0</v>
      </c>
      <c r="J59" s="2">
        <f t="shared" si="6"/>
        <v>18.987483420444224</v>
      </c>
      <c r="K59" s="2">
        <f t="shared" si="7"/>
        <v>0</v>
      </c>
      <c r="L59" s="2">
        <f t="shared" si="8"/>
        <v>18.987483420444224</v>
      </c>
      <c r="M59" s="2">
        <f t="shared" si="9"/>
        <v>0</v>
      </c>
      <c r="N59" s="2">
        <f t="shared" si="10"/>
        <v>18.987483420444224</v>
      </c>
      <c r="O59" s="2">
        <f t="shared" si="11"/>
        <v>0</v>
      </c>
      <c r="P59" s="2">
        <f t="shared" si="12"/>
        <v>18.987483420444224</v>
      </c>
      <c r="Q59" s="2">
        <f t="shared" si="13"/>
        <v>0</v>
      </c>
      <c r="R59" s="2">
        <f t="shared" si="14"/>
        <v>18.987483420444224</v>
      </c>
      <c r="S59" s="2">
        <f t="shared" si="15"/>
        <v>0</v>
      </c>
      <c r="T59" s="2">
        <f t="shared" si="16"/>
        <v>18.987483420444224</v>
      </c>
      <c r="U59" s="2">
        <f t="shared" si="17"/>
        <v>0</v>
      </c>
      <c r="V59" s="2">
        <f t="shared" si="18"/>
        <v>18.987483420444224</v>
      </c>
      <c r="W59" s="2">
        <f t="shared" si="19"/>
        <v>0</v>
      </c>
      <c r="X59" s="2">
        <f t="shared" si="20"/>
        <v>18.987483420444224</v>
      </c>
      <c r="Y59" s="2">
        <f t="shared" si="21"/>
        <v>0</v>
      </c>
      <c r="Z59" s="2">
        <f t="shared" si="22"/>
        <v>18.987483420444224</v>
      </c>
      <c r="AA59" s="2">
        <f t="shared" si="23"/>
        <v>0</v>
      </c>
      <c r="AB59" s="2">
        <f t="shared" si="24"/>
        <v>18.987483420444224</v>
      </c>
      <c r="AC59" s="2">
        <f t="shared" si="25"/>
        <v>0</v>
      </c>
      <c r="AD59" s="2">
        <f t="shared" si="26"/>
        <v>18.987483420444224</v>
      </c>
      <c r="AE59" s="2">
        <f t="shared" si="27"/>
        <v>0</v>
      </c>
      <c r="AF59" s="2">
        <f t="shared" si="28"/>
        <v>18.987483420444224</v>
      </c>
      <c r="AG59" s="2">
        <f t="shared" si="29"/>
        <v>0</v>
      </c>
      <c r="AH59" s="2">
        <f t="shared" si="30"/>
        <v>18.987483420444224</v>
      </c>
    </row>
    <row r="60" spans="1:34">
      <c r="A60" t="str">
        <f>CYF!A60</f>
        <v>Wheat</v>
      </c>
      <c r="B60" t="str">
        <f>CYF!B60</f>
        <v>H2</v>
      </c>
      <c r="C60" s="2">
        <f>INDEX(TargetProduction!$X$47:$AD$61,MATCH($B60,TargetProduction!$W$47:$W$61,0),MATCH($A60,TargetProduction!$X$46:$AD$46,0))</f>
        <v>28.859140181615857</v>
      </c>
      <c r="D60" s="2">
        <f>INDEX(TargetProduction!$AE$47:$AK$61,MATCH($B60,TargetProduction!$W$47:$W$61,0),MATCH($A60,TargetProduction!$AE$46:$AK$46,0))</f>
        <v>21.155820150223025</v>
      </c>
      <c r="E60" s="2">
        <f t="shared" si="1"/>
        <v>28.859140181615857</v>
      </c>
      <c r="F60" s="2">
        <f t="shared" si="2"/>
        <v>21.155820150223025</v>
      </c>
      <c r="G60" s="2">
        <f t="shared" si="3"/>
        <v>28.859140181615857</v>
      </c>
      <c r="H60" s="2">
        <f t="shared" si="4"/>
        <v>21.155820150223025</v>
      </c>
      <c r="I60" s="2">
        <f t="shared" si="5"/>
        <v>28.859140181615857</v>
      </c>
      <c r="J60" s="2">
        <f t="shared" si="6"/>
        <v>21.155820150223025</v>
      </c>
      <c r="K60" s="2">
        <f t="shared" si="7"/>
        <v>28.859140181615857</v>
      </c>
      <c r="L60" s="2">
        <f t="shared" si="8"/>
        <v>21.155820150223025</v>
      </c>
      <c r="M60" s="2">
        <f t="shared" si="9"/>
        <v>28.859140181615857</v>
      </c>
      <c r="N60" s="2">
        <f t="shared" si="10"/>
        <v>21.155820150223025</v>
      </c>
      <c r="O60" s="2">
        <f t="shared" si="11"/>
        <v>28.859140181615857</v>
      </c>
      <c r="P60" s="2">
        <f t="shared" si="12"/>
        <v>21.155820150223025</v>
      </c>
      <c r="Q60" s="2">
        <f t="shared" si="13"/>
        <v>28.859140181615857</v>
      </c>
      <c r="R60" s="2">
        <f t="shared" si="14"/>
        <v>21.155820150223025</v>
      </c>
      <c r="S60" s="2">
        <f t="shared" si="15"/>
        <v>28.859140181615857</v>
      </c>
      <c r="T60" s="2">
        <f t="shared" si="16"/>
        <v>21.155820150223025</v>
      </c>
      <c r="U60" s="2">
        <f t="shared" si="17"/>
        <v>28.859140181615857</v>
      </c>
      <c r="V60" s="2">
        <f t="shared" si="18"/>
        <v>21.155820150223025</v>
      </c>
      <c r="W60" s="2">
        <f t="shared" si="19"/>
        <v>28.859140181615857</v>
      </c>
      <c r="X60" s="2">
        <f t="shared" si="20"/>
        <v>21.155820150223025</v>
      </c>
      <c r="Y60" s="2">
        <f t="shared" si="21"/>
        <v>28.859140181615857</v>
      </c>
      <c r="Z60" s="2">
        <f t="shared" si="22"/>
        <v>21.155820150223025</v>
      </c>
      <c r="AA60" s="2">
        <f t="shared" si="23"/>
        <v>28.859140181615857</v>
      </c>
      <c r="AB60" s="2">
        <f t="shared" si="24"/>
        <v>21.155820150223025</v>
      </c>
      <c r="AC60" s="2">
        <f t="shared" si="25"/>
        <v>28.859140181615857</v>
      </c>
      <c r="AD60" s="2">
        <f t="shared" si="26"/>
        <v>21.155820150223025</v>
      </c>
      <c r="AE60" s="2">
        <f t="shared" si="27"/>
        <v>28.859140181615857</v>
      </c>
      <c r="AF60" s="2">
        <f t="shared" si="28"/>
        <v>21.155820150223025</v>
      </c>
      <c r="AG60" s="2">
        <f t="shared" si="29"/>
        <v>28.859140181615857</v>
      </c>
      <c r="AH60" s="2">
        <f t="shared" si="30"/>
        <v>21.155820150223025</v>
      </c>
    </row>
    <row r="61" spans="1:34">
      <c r="A61" t="str">
        <f>CYF!A61</f>
        <v>Wheat</v>
      </c>
      <c r="B61" t="str">
        <f>CYF!B61</f>
        <v>H3</v>
      </c>
      <c r="C61" s="2">
        <f>INDEX(TargetProduction!$X$47:$AD$61,MATCH($B61,TargetProduction!$W$47:$W$61,0),MATCH($A61,TargetProduction!$X$46:$AD$46,0))</f>
        <v>43.348266421512733</v>
      </c>
      <c r="D61" s="2">
        <f>INDEX(TargetProduction!$AE$47:$AK$61,MATCH($B61,TargetProduction!$W$47:$W$61,0),MATCH($A61,TargetProduction!$AE$46:$AK$46,0))</f>
        <v>19.254625266492681</v>
      </c>
      <c r="E61" s="2">
        <f t="shared" si="1"/>
        <v>43.348266421512733</v>
      </c>
      <c r="F61" s="2">
        <f t="shared" si="2"/>
        <v>19.254625266492681</v>
      </c>
      <c r="G61" s="2">
        <f t="shared" si="3"/>
        <v>43.348266421512733</v>
      </c>
      <c r="H61" s="2">
        <f t="shared" si="4"/>
        <v>19.254625266492681</v>
      </c>
      <c r="I61" s="2">
        <f t="shared" si="5"/>
        <v>43.348266421512733</v>
      </c>
      <c r="J61" s="2">
        <f t="shared" si="6"/>
        <v>19.254625266492681</v>
      </c>
      <c r="K61" s="2">
        <f t="shared" si="7"/>
        <v>43.348266421512733</v>
      </c>
      <c r="L61" s="2">
        <f t="shared" si="8"/>
        <v>19.254625266492681</v>
      </c>
      <c r="M61" s="2">
        <f t="shared" si="9"/>
        <v>43.348266421512733</v>
      </c>
      <c r="N61" s="2">
        <f t="shared" si="10"/>
        <v>19.254625266492681</v>
      </c>
      <c r="O61" s="2">
        <f t="shared" si="11"/>
        <v>43.348266421512733</v>
      </c>
      <c r="P61" s="2">
        <f t="shared" si="12"/>
        <v>19.254625266492681</v>
      </c>
      <c r="Q61" s="2">
        <f t="shared" si="13"/>
        <v>43.348266421512733</v>
      </c>
      <c r="R61" s="2">
        <f t="shared" si="14"/>
        <v>19.254625266492681</v>
      </c>
      <c r="S61" s="2">
        <f t="shared" si="15"/>
        <v>43.348266421512733</v>
      </c>
      <c r="T61" s="2">
        <f t="shared" si="16"/>
        <v>19.254625266492681</v>
      </c>
      <c r="U61" s="2">
        <f t="shared" si="17"/>
        <v>43.348266421512733</v>
      </c>
      <c r="V61" s="2">
        <f t="shared" si="18"/>
        <v>19.254625266492681</v>
      </c>
      <c r="W61" s="2">
        <f t="shared" si="19"/>
        <v>43.348266421512733</v>
      </c>
      <c r="X61" s="2">
        <f t="shared" si="20"/>
        <v>19.254625266492681</v>
      </c>
      <c r="Y61" s="2">
        <f t="shared" si="21"/>
        <v>43.348266421512733</v>
      </c>
      <c r="Z61" s="2">
        <f t="shared" si="22"/>
        <v>19.254625266492681</v>
      </c>
      <c r="AA61" s="2">
        <f t="shared" si="23"/>
        <v>43.348266421512733</v>
      </c>
      <c r="AB61" s="2">
        <f t="shared" si="24"/>
        <v>19.254625266492681</v>
      </c>
      <c r="AC61" s="2">
        <f t="shared" si="25"/>
        <v>43.348266421512733</v>
      </c>
      <c r="AD61" s="2">
        <f t="shared" si="26"/>
        <v>19.254625266492681</v>
      </c>
      <c r="AE61" s="2">
        <f t="shared" si="27"/>
        <v>43.348266421512733</v>
      </c>
      <c r="AF61" s="2">
        <f t="shared" si="28"/>
        <v>19.254625266492681</v>
      </c>
      <c r="AG61" s="2">
        <f t="shared" si="29"/>
        <v>43.348266421512733</v>
      </c>
      <c r="AH61" s="2">
        <f t="shared" si="30"/>
        <v>19.254625266492681</v>
      </c>
    </row>
    <row r="62" spans="1:34">
      <c r="A62" t="str">
        <f>CYF!A62</f>
        <v>Wheat</v>
      </c>
      <c r="B62" t="str">
        <f>CYF!B62</f>
        <v>H4</v>
      </c>
      <c r="C62" s="2">
        <f>INDEX(TargetProduction!$X$47:$AD$61,MATCH($B62,TargetProduction!$W$47:$W$61,0),MATCH($A62,TargetProduction!$X$46:$AD$46,0))</f>
        <v>62.573123419062</v>
      </c>
      <c r="D62" s="2">
        <f>INDEX(TargetProduction!$AE$47:$AK$61,MATCH($B62,TargetProduction!$W$47:$W$61,0),MATCH($A62,TargetProduction!$AE$46:$AK$46,0))</f>
        <v>19.085290911136287</v>
      </c>
      <c r="E62" s="2">
        <f t="shared" si="1"/>
        <v>62.573123419062</v>
      </c>
      <c r="F62" s="2">
        <f t="shared" si="2"/>
        <v>19.085290911136287</v>
      </c>
      <c r="G62" s="2">
        <f t="shared" si="3"/>
        <v>62.573123419062</v>
      </c>
      <c r="H62" s="2">
        <f t="shared" si="4"/>
        <v>19.085290911136287</v>
      </c>
      <c r="I62" s="2">
        <f t="shared" si="5"/>
        <v>62.573123419062</v>
      </c>
      <c r="J62" s="2">
        <f t="shared" si="6"/>
        <v>19.085290911136287</v>
      </c>
      <c r="K62" s="2">
        <f t="shared" si="7"/>
        <v>62.573123419062</v>
      </c>
      <c r="L62" s="2">
        <f t="shared" si="8"/>
        <v>19.085290911136287</v>
      </c>
      <c r="M62" s="2">
        <f t="shared" si="9"/>
        <v>62.573123419062</v>
      </c>
      <c r="N62" s="2">
        <f t="shared" si="10"/>
        <v>19.085290911136287</v>
      </c>
      <c r="O62" s="2">
        <f t="shared" si="11"/>
        <v>62.573123419062</v>
      </c>
      <c r="P62" s="2">
        <f t="shared" si="12"/>
        <v>19.085290911136287</v>
      </c>
      <c r="Q62" s="2">
        <f t="shared" si="13"/>
        <v>62.573123419062</v>
      </c>
      <c r="R62" s="2">
        <f t="shared" si="14"/>
        <v>19.085290911136287</v>
      </c>
      <c r="S62" s="2">
        <f t="shared" si="15"/>
        <v>62.573123419062</v>
      </c>
      <c r="T62" s="2">
        <f t="shared" si="16"/>
        <v>19.085290911136287</v>
      </c>
      <c r="U62" s="2">
        <f t="shared" si="17"/>
        <v>62.573123419062</v>
      </c>
      <c r="V62" s="2">
        <f t="shared" si="18"/>
        <v>19.085290911136287</v>
      </c>
      <c r="W62" s="2">
        <f t="shared" si="19"/>
        <v>62.573123419062</v>
      </c>
      <c r="X62" s="2">
        <f t="shared" si="20"/>
        <v>19.085290911136287</v>
      </c>
      <c r="Y62" s="2">
        <f t="shared" si="21"/>
        <v>62.573123419062</v>
      </c>
      <c r="Z62" s="2">
        <f t="shared" si="22"/>
        <v>19.085290911136287</v>
      </c>
      <c r="AA62" s="2">
        <f t="shared" si="23"/>
        <v>62.573123419062</v>
      </c>
      <c r="AB62" s="2">
        <f t="shared" si="24"/>
        <v>19.085290911136287</v>
      </c>
      <c r="AC62" s="2">
        <f t="shared" si="25"/>
        <v>62.573123419062</v>
      </c>
      <c r="AD62" s="2">
        <f t="shared" si="26"/>
        <v>19.085290911136287</v>
      </c>
      <c r="AE62" s="2">
        <f t="shared" si="27"/>
        <v>62.573123419062</v>
      </c>
      <c r="AF62" s="2">
        <f t="shared" si="28"/>
        <v>19.085290911136287</v>
      </c>
      <c r="AG62" s="2">
        <f t="shared" si="29"/>
        <v>62.573123419062</v>
      </c>
      <c r="AH62" s="2">
        <f t="shared" si="30"/>
        <v>19.085290911136287</v>
      </c>
    </row>
    <row r="63" spans="1:34">
      <c r="A63" t="str">
        <f>CYF!A63</f>
        <v>Wheat</v>
      </c>
      <c r="B63" t="str">
        <f>CYF!B63</f>
        <v>H5</v>
      </c>
      <c r="C63" s="2">
        <f>INDEX(TargetProduction!$X$47:$AD$61,MATCH($B63,TargetProduction!$W$47:$W$61,0),MATCH($A63,TargetProduction!$X$46:$AD$46,0))</f>
        <v>74.711313526477355</v>
      </c>
      <c r="D63" s="2">
        <f>INDEX(TargetProduction!$AE$47:$AK$61,MATCH($B63,TargetProduction!$W$47:$W$61,0),MATCH($A63,TargetProduction!$AE$46:$AK$46,0))</f>
        <v>18.948878303785765</v>
      </c>
      <c r="E63" s="2">
        <f t="shared" si="1"/>
        <v>74.711313526477355</v>
      </c>
      <c r="F63" s="2">
        <f t="shared" si="2"/>
        <v>18.948878303785765</v>
      </c>
      <c r="G63" s="2">
        <f t="shared" si="3"/>
        <v>74.711313526477355</v>
      </c>
      <c r="H63" s="2">
        <f t="shared" si="4"/>
        <v>18.948878303785765</v>
      </c>
      <c r="I63" s="2">
        <f t="shared" si="5"/>
        <v>74.711313526477355</v>
      </c>
      <c r="J63" s="2">
        <f t="shared" si="6"/>
        <v>18.948878303785765</v>
      </c>
      <c r="K63" s="2">
        <f t="shared" si="7"/>
        <v>74.711313526477355</v>
      </c>
      <c r="L63" s="2">
        <f t="shared" si="8"/>
        <v>18.948878303785765</v>
      </c>
      <c r="M63" s="2">
        <f t="shared" si="9"/>
        <v>74.711313526477355</v>
      </c>
      <c r="N63" s="2">
        <f t="shared" si="10"/>
        <v>18.948878303785765</v>
      </c>
      <c r="O63" s="2">
        <f t="shared" si="11"/>
        <v>74.711313526477355</v>
      </c>
      <c r="P63" s="2">
        <f t="shared" si="12"/>
        <v>18.948878303785765</v>
      </c>
      <c r="Q63" s="2">
        <f t="shared" si="13"/>
        <v>74.711313526477355</v>
      </c>
      <c r="R63" s="2">
        <f t="shared" si="14"/>
        <v>18.948878303785765</v>
      </c>
      <c r="S63" s="2">
        <f t="shared" si="15"/>
        <v>74.711313526477355</v>
      </c>
      <c r="T63" s="2">
        <f t="shared" si="16"/>
        <v>18.948878303785765</v>
      </c>
      <c r="U63" s="2">
        <f t="shared" si="17"/>
        <v>74.711313526477355</v>
      </c>
      <c r="V63" s="2">
        <f t="shared" si="18"/>
        <v>18.948878303785765</v>
      </c>
      <c r="W63" s="2">
        <f t="shared" si="19"/>
        <v>74.711313526477355</v>
      </c>
      <c r="X63" s="2">
        <f t="shared" si="20"/>
        <v>18.948878303785765</v>
      </c>
      <c r="Y63" s="2">
        <f t="shared" si="21"/>
        <v>74.711313526477355</v>
      </c>
      <c r="Z63" s="2">
        <f t="shared" si="22"/>
        <v>18.948878303785765</v>
      </c>
      <c r="AA63" s="2">
        <f t="shared" si="23"/>
        <v>74.711313526477355</v>
      </c>
      <c r="AB63" s="2">
        <f t="shared" si="24"/>
        <v>18.948878303785765</v>
      </c>
      <c r="AC63" s="2">
        <f t="shared" si="25"/>
        <v>74.711313526477355</v>
      </c>
      <c r="AD63" s="2">
        <f t="shared" si="26"/>
        <v>18.948878303785765</v>
      </c>
      <c r="AE63" s="2">
        <f t="shared" si="27"/>
        <v>74.711313526477355</v>
      </c>
      <c r="AF63" s="2">
        <f t="shared" si="28"/>
        <v>18.948878303785765</v>
      </c>
      <c r="AG63" s="2">
        <f t="shared" si="29"/>
        <v>74.711313526477355</v>
      </c>
      <c r="AH63" s="2">
        <f t="shared" si="30"/>
        <v>18.948878303785765</v>
      </c>
    </row>
    <row r="64" spans="1:34">
      <c r="A64" t="str">
        <f>CYF!A64</f>
        <v>Wheat</v>
      </c>
      <c r="B64" t="str">
        <f>CYF!B64</f>
        <v>M1</v>
      </c>
      <c r="C64" s="2">
        <f>INDEX(TargetProduction!$X$47:$AD$61,MATCH($B64,TargetProduction!$W$47:$W$61,0),MATCH($A64,TargetProduction!$X$46:$AD$46,0))</f>
        <v>58.515195715167437</v>
      </c>
      <c r="D64" s="2">
        <f>INDEX(TargetProduction!$AE$47:$AK$61,MATCH($B64,TargetProduction!$W$47:$W$61,0),MATCH($A64,TargetProduction!$AE$46:$AK$46,0))</f>
        <v>18.998926217244524</v>
      </c>
      <c r="E64" s="2">
        <f t="shared" si="1"/>
        <v>58.515195715167437</v>
      </c>
      <c r="F64" s="2">
        <f t="shared" si="2"/>
        <v>18.998926217244524</v>
      </c>
      <c r="G64" s="2">
        <f t="shared" si="3"/>
        <v>58.515195715167437</v>
      </c>
      <c r="H64" s="2">
        <f t="shared" si="4"/>
        <v>18.998926217244524</v>
      </c>
      <c r="I64" s="2">
        <f t="shared" si="5"/>
        <v>58.515195715167437</v>
      </c>
      <c r="J64" s="2">
        <f t="shared" si="6"/>
        <v>18.998926217244524</v>
      </c>
      <c r="K64" s="2">
        <f t="shared" si="7"/>
        <v>58.515195715167437</v>
      </c>
      <c r="L64" s="2">
        <f t="shared" si="8"/>
        <v>18.998926217244524</v>
      </c>
      <c r="M64" s="2">
        <f t="shared" si="9"/>
        <v>58.515195715167437</v>
      </c>
      <c r="N64" s="2">
        <f t="shared" si="10"/>
        <v>18.998926217244524</v>
      </c>
      <c r="O64" s="2">
        <f t="shared" si="11"/>
        <v>58.515195715167437</v>
      </c>
      <c r="P64" s="2">
        <f t="shared" si="12"/>
        <v>18.998926217244524</v>
      </c>
      <c r="Q64" s="2">
        <f t="shared" si="13"/>
        <v>58.515195715167437</v>
      </c>
      <c r="R64" s="2">
        <f t="shared" si="14"/>
        <v>18.998926217244524</v>
      </c>
      <c r="S64" s="2">
        <f t="shared" si="15"/>
        <v>58.515195715167437</v>
      </c>
      <c r="T64" s="2">
        <f t="shared" si="16"/>
        <v>18.998926217244524</v>
      </c>
      <c r="U64" s="2">
        <f t="shared" si="17"/>
        <v>58.515195715167437</v>
      </c>
      <c r="V64" s="2">
        <f t="shared" si="18"/>
        <v>18.998926217244524</v>
      </c>
      <c r="W64" s="2">
        <f t="shared" si="19"/>
        <v>58.515195715167437</v>
      </c>
      <c r="X64" s="2">
        <f t="shared" si="20"/>
        <v>18.998926217244524</v>
      </c>
      <c r="Y64" s="2">
        <f t="shared" si="21"/>
        <v>58.515195715167437</v>
      </c>
      <c r="Z64" s="2">
        <f t="shared" si="22"/>
        <v>18.998926217244524</v>
      </c>
      <c r="AA64" s="2">
        <f t="shared" si="23"/>
        <v>58.515195715167437</v>
      </c>
      <c r="AB64" s="2">
        <f t="shared" si="24"/>
        <v>18.998926217244524</v>
      </c>
      <c r="AC64" s="2">
        <f t="shared" si="25"/>
        <v>58.515195715167437</v>
      </c>
      <c r="AD64" s="2">
        <f t="shared" si="26"/>
        <v>18.998926217244524</v>
      </c>
      <c r="AE64" s="2">
        <f t="shared" si="27"/>
        <v>58.515195715167437</v>
      </c>
      <c r="AF64" s="2">
        <f t="shared" si="28"/>
        <v>18.998926217244524</v>
      </c>
      <c r="AG64" s="2">
        <f t="shared" si="29"/>
        <v>58.515195715167437</v>
      </c>
      <c r="AH64" s="2">
        <f t="shared" si="30"/>
        <v>18.998926217244524</v>
      </c>
    </row>
    <row r="65" spans="1:34">
      <c r="A65" t="str">
        <f>CYF!A65</f>
        <v>Wheat</v>
      </c>
      <c r="B65" t="str">
        <f>CYF!B65</f>
        <v>M3</v>
      </c>
      <c r="C65" s="2">
        <f>INDEX(TargetProduction!$X$47:$AD$61,MATCH($B65,TargetProduction!$W$47:$W$61,0),MATCH($A65,TargetProduction!$X$46:$AD$46,0))</f>
        <v>44.779419212549293</v>
      </c>
      <c r="D65" s="2">
        <f>INDEX(TargetProduction!$AE$47:$AK$61,MATCH($B65,TargetProduction!$W$47:$W$61,0),MATCH($A65,TargetProduction!$AE$46:$AK$46,0))</f>
        <v>18.928918855885076</v>
      </c>
      <c r="E65" s="2">
        <f t="shared" si="1"/>
        <v>44.779419212549293</v>
      </c>
      <c r="F65" s="2">
        <f t="shared" si="2"/>
        <v>18.928918855885076</v>
      </c>
      <c r="G65" s="2">
        <f t="shared" si="3"/>
        <v>44.779419212549293</v>
      </c>
      <c r="H65" s="2">
        <f t="shared" si="4"/>
        <v>18.928918855885076</v>
      </c>
      <c r="I65" s="2">
        <f t="shared" si="5"/>
        <v>44.779419212549293</v>
      </c>
      <c r="J65" s="2">
        <f t="shared" si="6"/>
        <v>18.928918855885076</v>
      </c>
      <c r="K65" s="2">
        <f t="shared" si="7"/>
        <v>44.779419212549293</v>
      </c>
      <c r="L65" s="2">
        <f t="shared" si="8"/>
        <v>18.928918855885076</v>
      </c>
      <c r="M65" s="2">
        <f t="shared" si="9"/>
        <v>44.779419212549293</v>
      </c>
      <c r="N65" s="2">
        <f t="shared" si="10"/>
        <v>18.928918855885076</v>
      </c>
      <c r="O65" s="2">
        <f t="shared" si="11"/>
        <v>44.779419212549293</v>
      </c>
      <c r="P65" s="2">
        <f t="shared" si="12"/>
        <v>18.928918855885076</v>
      </c>
      <c r="Q65" s="2">
        <f t="shared" si="13"/>
        <v>44.779419212549293</v>
      </c>
      <c r="R65" s="2">
        <f t="shared" si="14"/>
        <v>18.928918855885076</v>
      </c>
      <c r="S65" s="2">
        <f t="shared" si="15"/>
        <v>44.779419212549293</v>
      </c>
      <c r="T65" s="2">
        <f t="shared" si="16"/>
        <v>18.928918855885076</v>
      </c>
      <c r="U65" s="2">
        <f t="shared" si="17"/>
        <v>44.779419212549293</v>
      </c>
      <c r="V65" s="2">
        <f t="shared" si="18"/>
        <v>18.928918855885076</v>
      </c>
      <c r="W65" s="2">
        <f t="shared" si="19"/>
        <v>44.779419212549293</v>
      </c>
      <c r="X65" s="2">
        <f t="shared" si="20"/>
        <v>18.928918855885076</v>
      </c>
      <c r="Y65" s="2">
        <f t="shared" si="21"/>
        <v>44.779419212549293</v>
      </c>
      <c r="Z65" s="2">
        <f t="shared" si="22"/>
        <v>18.928918855885076</v>
      </c>
      <c r="AA65" s="2">
        <f t="shared" si="23"/>
        <v>44.779419212549293</v>
      </c>
      <c r="AB65" s="2">
        <f t="shared" si="24"/>
        <v>18.928918855885076</v>
      </c>
      <c r="AC65" s="2">
        <f t="shared" si="25"/>
        <v>44.779419212549293</v>
      </c>
      <c r="AD65" s="2">
        <f t="shared" si="26"/>
        <v>18.928918855885076</v>
      </c>
      <c r="AE65" s="2">
        <f t="shared" si="27"/>
        <v>44.779419212549293</v>
      </c>
      <c r="AF65" s="2">
        <f t="shared" si="28"/>
        <v>18.928918855885076</v>
      </c>
      <c r="AG65" s="2">
        <f t="shared" si="29"/>
        <v>44.779419212549293</v>
      </c>
      <c r="AH65" s="2">
        <f t="shared" si="30"/>
        <v>18.928918855885076</v>
      </c>
    </row>
    <row r="66" spans="1:34">
      <c r="A66" t="str">
        <f>CYF!A66</f>
        <v>Wheat</v>
      </c>
      <c r="B66" t="str">
        <f>CYF!B66</f>
        <v>M5</v>
      </c>
      <c r="C66" s="2">
        <f>INDEX(TargetProduction!$X$47:$AD$61,MATCH($B66,TargetProduction!$W$47:$W$61,0),MATCH($A66,TargetProduction!$X$46:$AD$46,0))</f>
        <v>47.145499980668056</v>
      </c>
      <c r="D66" s="2">
        <f>INDEX(TargetProduction!$AE$47:$AK$61,MATCH($B66,TargetProduction!$W$47:$W$61,0),MATCH($A66,TargetProduction!$AE$46:$AK$46,0))</f>
        <v>18.824075322643889</v>
      </c>
      <c r="E66" s="2">
        <f t="shared" si="1"/>
        <v>47.145499980668056</v>
      </c>
      <c r="F66" s="2">
        <f t="shared" si="2"/>
        <v>18.824075322643889</v>
      </c>
      <c r="G66" s="2">
        <f t="shared" si="3"/>
        <v>47.145499980668056</v>
      </c>
      <c r="H66" s="2">
        <f t="shared" si="4"/>
        <v>18.824075322643889</v>
      </c>
      <c r="I66" s="2">
        <f t="shared" si="5"/>
        <v>47.145499980668056</v>
      </c>
      <c r="J66" s="2">
        <f t="shared" si="6"/>
        <v>18.824075322643889</v>
      </c>
      <c r="K66" s="2">
        <f t="shared" si="7"/>
        <v>47.145499980668056</v>
      </c>
      <c r="L66" s="2">
        <f t="shared" si="8"/>
        <v>18.824075322643889</v>
      </c>
      <c r="M66" s="2">
        <f t="shared" si="9"/>
        <v>47.145499980668056</v>
      </c>
      <c r="N66" s="2">
        <f t="shared" si="10"/>
        <v>18.824075322643889</v>
      </c>
      <c r="O66" s="2">
        <f t="shared" si="11"/>
        <v>47.145499980668056</v>
      </c>
      <c r="P66" s="2">
        <f t="shared" si="12"/>
        <v>18.824075322643889</v>
      </c>
      <c r="Q66" s="2">
        <f t="shared" si="13"/>
        <v>47.145499980668056</v>
      </c>
      <c r="R66" s="2">
        <f t="shared" si="14"/>
        <v>18.824075322643889</v>
      </c>
      <c r="S66" s="2">
        <f t="shared" si="15"/>
        <v>47.145499980668056</v>
      </c>
      <c r="T66" s="2">
        <f t="shared" si="16"/>
        <v>18.824075322643889</v>
      </c>
      <c r="U66" s="2">
        <f t="shared" si="17"/>
        <v>47.145499980668056</v>
      </c>
      <c r="V66" s="2">
        <f t="shared" si="18"/>
        <v>18.824075322643889</v>
      </c>
      <c r="W66" s="2">
        <f t="shared" si="19"/>
        <v>47.145499980668056</v>
      </c>
      <c r="X66" s="2">
        <f t="shared" si="20"/>
        <v>18.824075322643889</v>
      </c>
      <c r="Y66" s="2">
        <f t="shared" si="21"/>
        <v>47.145499980668056</v>
      </c>
      <c r="Z66" s="2">
        <f t="shared" si="22"/>
        <v>18.824075322643889</v>
      </c>
      <c r="AA66" s="2">
        <f t="shared" si="23"/>
        <v>47.145499980668056</v>
      </c>
      <c r="AB66" s="2">
        <f t="shared" si="24"/>
        <v>18.824075322643889</v>
      </c>
      <c r="AC66" s="2">
        <f t="shared" si="25"/>
        <v>47.145499980668056</v>
      </c>
      <c r="AD66" s="2">
        <f t="shared" si="26"/>
        <v>18.824075322643889</v>
      </c>
      <c r="AE66" s="2">
        <f t="shared" si="27"/>
        <v>47.145499980668056</v>
      </c>
      <c r="AF66" s="2">
        <f t="shared" si="28"/>
        <v>18.824075322643889</v>
      </c>
      <c r="AG66" s="2">
        <f t="shared" si="29"/>
        <v>47.145499980668056</v>
      </c>
      <c r="AH66" s="2">
        <f t="shared" si="30"/>
        <v>18.824075322643889</v>
      </c>
    </row>
    <row r="67" spans="1:34">
      <c r="A67" t="str">
        <f>CYF!A67</f>
        <v>Wheat</v>
      </c>
      <c r="B67" t="str">
        <f>CYF!B67</f>
        <v>SA1</v>
      </c>
      <c r="C67" s="2">
        <f>INDEX(TargetProduction!$X$47:$AD$61,MATCH($B67,TargetProduction!$W$47:$W$61,0),MATCH($A67,TargetProduction!$X$46:$AD$46,0))</f>
        <v>43.488225567839407</v>
      </c>
      <c r="D67" s="2">
        <f>INDEX(TargetProduction!$AE$47:$AK$61,MATCH($B67,TargetProduction!$W$47:$W$61,0),MATCH($A67,TargetProduction!$AE$46:$AK$46,0))</f>
        <v>19.214678323379136</v>
      </c>
      <c r="E67" s="2">
        <f t="shared" si="1"/>
        <v>43.488225567839407</v>
      </c>
      <c r="F67" s="2">
        <f t="shared" si="2"/>
        <v>19.214678323379136</v>
      </c>
      <c r="G67" s="2">
        <f t="shared" si="3"/>
        <v>43.488225567839407</v>
      </c>
      <c r="H67" s="2">
        <f t="shared" si="4"/>
        <v>19.214678323379136</v>
      </c>
      <c r="I67" s="2">
        <f t="shared" si="5"/>
        <v>43.488225567839407</v>
      </c>
      <c r="J67" s="2">
        <f t="shared" si="6"/>
        <v>19.214678323379136</v>
      </c>
      <c r="K67" s="2">
        <f t="shared" si="7"/>
        <v>43.488225567839407</v>
      </c>
      <c r="L67" s="2">
        <f t="shared" si="8"/>
        <v>19.214678323379136</v>
      </c>
      <c r="M67" s="2">
        <f t="shared" si="9"/>
        <v>43.488225567839407</v>
      </c>
      <c r="N67" s="2">
        <f t="shared" si="10"/>
        <v>19.214678323379136</v>
      </c>
      <c r="O67" s="2">
        <f t="shared" si="11"/>
        <v>43.488225567839407</v>
      </c>
      <c r="P67" s="2">
        <f t="shared" si="12"/>
        <v>19.214678323379136</v>
      </c>
      <c r="Q67" s="2">
        <f t="shared" si="13"/>
        <v>43.488225567839407</v>
      </c>
      <c r="R67" s="2">
        <f t="shared" si="14"/>
        <v>19.214678323379136</v>
      </c>
      <c r="S67" s="2">
        <f t="shared" si="15"/>
        <v>43.488225567839407</v>
      </c>
      <c r="T67" s="2">
        <f t="shared" si="16"/>
        <v>19.214678323379136</v>
      </c>
      <c r="U67" s="2">
        <f t="shared" si="17"/>
        <v>43.488225567839407</v>
      </c>
      <c r="V67" s="2">
        <f t="shared" si="18"/>
        <v>19.214678323379136</v>
      </c>
      <c r="W67" s="2">
        <f t="shared" si="19"/>
        <v>43.488225567839407</v>
      </c>
      <c r="X67" s="2">
        <f t="shared" si="20"/>
        <v>19.214678323379136</v>
      </c>
      <c r="Y67" s="2">
        <f t="shared" si="21"/>
        <v>43.488225567839407</v>
      </c>
      <c r="Z67" s="2">
        <f t="shared" si="22"/>
        <v>19.214678323379136</v>
      </c>
      <c r="AA67" s="2">
        <f t="shared" si="23"/>
        <v>43.488225567839407</v>
      </c>
      <c r="AB67" s="2">
        <f t="shared" si="24"/>
        <v>19.214678323379136</v>
      </c>
      <c r="AC67" s="2">
        <f t="shared" si="25"/>
        <v>43.488225567839407</v>
      </c>
      <c r="AD67" s="2">
        <f t="shared" si="26"/>
        <v>19.214678323379136</v>
      </c>
      <c r="AE67" s="2">
        <f t="shared" si="27"/>
        <v>43.488225567839407</v>
      </c>
      <c r="AF67" s="2">
        <f t="shared" si="28"/>
        <v>19.214678323379136</v>
      </c>
      <c r="AG67" s="2">
        <f t="shared" si="29"/>
        <v>43.488225567839407</v>
      </c>
      <c r="AH67" s="2">
        <f t="shared" si="30"/>
        <v>19.214678323379136</v>
      </c>
    </row>
    <row r="68" spans="1:34">
      <c r="A68" t="str">
        <f>CYF!A68</f>
        <v>Wheat</v>
      </c>
      <c r="B68" t="str">
        <f>CYF!B68</f>
        <v>SA3</v>
      </c>
      <c r="C68" s="2">
        <f>INDEX(TargetProduction!$X$47:$AD$61,MATCH($B68,TargetProduction!$W$47:$W$61,0),MATCH($A68,TargetProduction!$X$46:$AD$46,0))</f>
        <v>69.468679404494111</v>
      </c>
      <c r="D68" s="2">
        <f>INDEX(TargetProduction!$AE$47:$AK$61,MATCH($B68,TargetProduction!$W$47:$W$61,0),MATCH($A68,TargetProduction!$AE$46:$AK$46,0))</f>
        <v>18.913884234476019</v>
      </c>
      <c r="E68" s="2">
        <f t="shared" ref="E68:E100" si="31">C68</f>
        <v>69.468679404494111</v>
      </c>
      <c r="F68" s="2">
        <f t="shared" ref="F68:F100" si="32">D68</f>
        <v>18.913884234476019</v>
      </c>
      <c r="G68" s="2">
        <f t="shared" ref="G68:G100" si="33">E68</f>
        <v>69.468679404494111</v>
      </c>
      <c r="H68" s="2">
        <f t="shared" ref="H68:H100" si="34">F68</f>
        <v>18.913884234476019</v>
      </c>
      <c r="I68" s="2">
        <f t="shared" ref="I68:I100" si="35">G68</f>
        <v>69.468679404494111</v>
      </c>
      <c r="J68" s="2">
        <f t="shared" ref="J68:J100" si="36">H68</f>
        <v>18.913884234476019</v>
      </c>
      <c r="K68" s="2">
        <f t="shared" ref="K68:K100" si="37">I68</f>
        <v>69.468679404494111</v>
      </c>
      <c r="L68" s="2">
        <f t="shared" ref="L68:L100" si="38">J68</f>
        <v>18.913884234476019</v>
      </c>
      <c r="M68" s="2">
        <f t="shared" ref="M68:M100" si="39">K68</f>
        <v>69.468679404494111</v>
      </c>
      <c r="N68" s="2">
        <f t="shared" ref="N68:N100" si="40">L68</f>
        <v>18.913884234476019</v>
      </c>
      <c r="O68" s="2">
        <f t="shared" ref="O68:O100" si="41">M68</f>
        <v>69.468679404494111</v>
      </c>
      <c r="P68" s="2">
        <f t="shared" ref="P68:P100" si="42">N68</f>
        <v>18.913884234476019</v>
      </c>
      <c r="Q68" s="2">
        <f t="shared" ref="Q68:Q100" si="43">O68</f>
        <v>69.468679404494111</v>
      </c>
      <c r="R68" s="2">
        <f t="shared" ref="R68:R100" si="44">P68</f>
        <v>18.913884234476019</v>
      </c>
      <c r="S68" s="2">
        <f t="shared" ref="S68:S100" si="45">Q68</f>
        <v>69.468679404494111</v>
      </c>
      <c r="T68" s="2">
        <f t="shared" ref="T68:T100" si="46">R68</f>
        <v>18.913884234476019</v>
      </c>
      <c r="U68" s="2">
        <f t="shared" ref="U68:U100" si="47">S68</f>
        <v>69.468679404494111</v>
      </c>
      <c r="V68" s="2">
        <f t="shared" ref="V68:V100" si="48">T68</f>
        <v>18.913884234476019</v>
      </c>
      <c r="W68" s="2">
        <f t="shared" ref="W68:W100" si="49">U68</f>
        <v>69.468679404494111</v>
      </c>
      <c r="X68" s="2">
        <f t="shared" ref="X68:X100" si="50">V68</f>
        <v>18.913884234476019</v>
      </c>
      <c r="Y68" s="2">
        <f t="shared" ref="Y68:Y100" si="51">W68</f>
        <v>69.468679404494111</v>
      </c>
      <c r="Z68" s="2">
        <f t="shared" ref="Z68:Z100" si="52">X68</f>
        <v>18.913884234476019</v>
      </c>
      <c r="AA68" s="2">
        <f t="shared" ref="AA68:AA100" si="53">Y68</f>
        <v>69.468679404494111</v>
      </c>
      <c r="AB68" s="2">
        <f t="shared" ref="AB68:AB100" si="54">Z68</f>
        <v>18.913884234476019</v>
      </c>
      <c r="AC68" s="2">
        <f t="shared" ref="AC68:AC100" si="55">AA68</f>
        <v>69.468679404494111</v>
      </c>
      <c r="AD68" s="2">
        <f t="shared" ref="AD68:AD100" si="56">AB68</f>
        <v>18.913884234476019</v>
      </c>
      <c r="AE68" s="2">
        <f t="shared" ref="AE68:AE100" si="57">AC68</f>
        <v>69.468679404494111</v>
      </c>
      <c r="AF68" s="2">
        <f t="shared" ref="AF68:AF100" si="58">AD68</f>
        <v>18.913884234476019</v>
      </c>
      <c r="AG68" s="2">
        <f t="shared" ref="AG68:AG100" si="59">AE68</f>
        <v>69.468679404494111</v>
      </c>
      <c r="AH68" s="2">
        <f t="shared" ref="AH68:AH100" si="60">AF68</f>
        <v>18.913884234476019</v>
      </c>
    </row>
    <row r="69" spans="1:34">
      <c r="A69" t="str">
        <f>CYF!A69</f>
        <v>Wheat</v>
      </c>
      <c r="B69" t="str">
        <f>CYF!B69</f>
        <v>SH1</v>
      </c>
      <c r="C69" s="2">
        <f>INDEX(TargetProduction!$X$47:$AD$61,MATCH($B69,TargetProduction!$W$47:$W$61,0),MATCH($A69,TargetProduction!$X$46:$AD$46,0))</f>
        <v>29.832481965663476</v>
      </c>
      <c r="D69" s="2">
        <f>INDEX(TargetProduction!$AE$47:$AK$61,MATCH($B69,TargetProduction!$W$47:$W$61,0),MATCH($A69,TargetProduction!$AE$46:$AK$46,0))</f>
        <v>19.143529080542557</v>
      </c>
      <c r="E69" s="2">
        <f t="shared" si="31"/>
        <v>29.832481965663476</v>
      </c>
      <c r="F69" s="2">
        <f t="shared" si="32"/>
        <v>19.143529080542557</v>
      </c>
      <c r="G69" s="2">
        <f t="shared" si="33"/>
        <v>29.832481965663476</v>
      </c>
      <c r="H69" s="2">
        <f t="shared" si="34"/>
        <v>19.143529080542557</v>
      </c>
      <c r="I69" s="2">
        <f t="shared" si="35"/>
        <v>29.832481965663476</v>
      </c>
      <c r="J69" s="2">
        <f t="shared" si="36"/>
        <v>19.143529080542557</v>
      </c>
      <c r="K69" s="2">
        <f t="shared" si="37"/>
        <v>29.832481965663476</v>
      </c>
      <c r="L69" s="2">
        <f t="shared" si="38"/>
        <v>19.143529080542557</v>
      </c>
      <c r="M69" s="2">
        <f t="shared" si="39"/>
        <v>29.832481965663476</v>
      </c>
      <c r="N69" s="2">
        <f t="shared" si="40"/>
        <v>19.143529080542557</v>
      </c>
      <c r="O69" s="2">
        <f t="shared" si="41"/>
        <v>29.832481965663476</v>
      </c>
      <c r="P69" s="2">
        <f t="shared" si="42"/>
        <v>19.143529080542557</v>
      </c>
      <c r="Q69" s="2">
        <f t="shared" si="43"/>
        <v>29.832481965663476</v>
      </c>
      <c r="R69" s="2">
        <f t="shared" si="44"/>
        <v>19.143529080542557</v>
      </c>
      <c r="S69" s="2">
        <f t="shared" si="45"/>
        <v>29.832481965663476</v>
      </c>
      <c r="T69" s="2">
        <f t="shared" si="46"/>
        <v>19.143529080542557</v>
      </c>
      <c r="U69" s="2">
        <f t="shared" si="47"/>
        <v>29.832481965663476</v>
      </c>
      <c r="V69" s="2">
        <f t="shared" si="48"/>
        <v>19.143529080542557</v>
      </c>
      <c r="W69" s="2">
        <f t="shared" si="49"/>
        <v>29.832481965663476</v>
      </c>
      <c r="X69" s="2">
        <f t="shared" si="50"/>
        <v>19.143529080542557</v>
      </c>
      <c r="Y69" s="2">
        <f t="shared" si="51"/>
        <v>29.832481965663476</v>
      </c>
      <c r="Z69" s="2">
        <f t="shared" si="52"/>
        <v>19.143529080542557</v>
      </c>
      <c r="AA69" s="2">
        <f t="shared" si="53"/>
        <v>29.832481965663476</v>
      </c>
      <c r="AB69" s="2">
        <f t="shared" si="54"/>
        <v>19.143529080542557</v>
      </c>
      <c r="AC69" s="2">
        <f t="shared" si="55"/>
        <v>29.832481965663476</v>
      </c>
      <c r="AD69" s="2">
        <f t="shared" si="56"/>
        <v>19.143529080542557</v>
      </c>
      <c r="AE69" s="2">
        <f t="shared" si="57"/>
        <v>29.832481965663476</v>
      </c>
      <c r="AF69" s="2">
        <f t="shared" si="58"/>
        <v>19.143529080542557</v>
      </c>
      <c r="AG69" s="2">
        <f t="shared" si="59"/>
        <v>29.832481965663476</v>
      </c>
      <c r="AH69" s="2">
        <f t="shared" si="60"/>
        <v>19.143529080542557</v>
      </c>
    </row>
    <row r="70" spans="1:34">
      <c r="A70" t="str">
        <f>CYF!A70</f>
        <v>Wheat</v>
      </c>
      <c r="B70" t="str">
        <f>CYF!B70</f>
        <v>SH3</v>
      </c>
      <c r="C70" s="2">
        <f>INDEX(TargetProduction!$X$47:$AD$61,MATCH($B70,TargetProduction!$W$47:$W$61,0),MATCH($A70,TargetProduction!$X$46:$AD$46,0))</f>
        <v>33.321140785311172</v>
      </c>
      <c r="D70" s="2">
        <f>INDEX(TargetProduction!$AE$47:$AK$61,MATCH($B70,TargetProduction!$W$47:$W$61,0),MATCH($A70,TargetProduction!$AE$46:$AK$46,0))</f>
        <v>19.102450375347107</v>
      </c>
      <c r="E70" s="2">
        <f t="shared" si="31"/>
        <v>33.321140785311172</v>
      </c>
      <c r="F70" s="2">
        <f t="shared" si="32"/>
        <v>19.102450375347107</v>
      </c>
      <c r="G70" s="2">
        <f t="shared" si="33"/>
        <v>33.321140785311172</v>
      </c>
      <c r="H70" s="2">
        <f t="shared" si="34"/>
        <v>19.102450375347107</v>
      </c>
      <c r="I70" s="2">
        <f t="shared" si="35"/>
        <v>33.321140785311172</v>
      </c>
      <c r="J70" s="2">
        <f t="shared" si="36"/>
        <v>19.102450375347107</v>
      </c>
      <c r="K70" s="2">
        <f t="shared" si="37"/>
        <v>33.321140785311172</v>
      </c>
      <c r="L70" s="2">
        <f t="shared" si="38"/>
        <v>19.102450375347107</v>
      </c>
      <c r="M70" s="2">
        <f t="shared" si="39"/>
        <v>33.321140785311172</v>
      </c>
      <c r="N70" s="2">
        <f t="shared" si="40"/>
        <v>19.102450375347107</v>
      </c>
      <c r="O70" s="2">
        <f t="shared" si="41"/>
        <v>33.321140785311172</v>
      </c>
      <c r="P70" s="2">
        <f t="shared" si="42"/>
        <v>19.102450375347107</v>
      </c>
      <c r="Q70" s="2">
        <f t="shared" si="43"/>
        <v>33.321140785311172</v>
      </c>
      <c r="R70" s="2">
        <f t="shared" si="44"/>
        <v>19.102450375347107</v>
      </c>
      <c r="S70" s="2">
        <f t="shared" si="45"/>
        <v>33.321140785311172</v>
      </c>
      <c r="T70" s="2">
        <f t="shared" si="46"/>
        <v>19.102450375347107</v>
      </c>
      <c r="U70" s="2">
        <f t="shared" si="47"/>
        <v>33.321140785311172</v>
      </c>
      <c r="V70" s="2">
        <f t="shared" si="48"/>
        <v>19.102450375347107</v>
      </c>
      <c r="W70" s="2">
        <f t="shared" si="49"/>
        <v>33.321140785311172</v>
      </c>
      <c r="X70" s="2">
        <f t="shared" si="50"/>
        <v>19.102450375347107</v>
      </c>
      <c r="Y70" s="2">
        <f t="shared" si="51"/>
        <v>33.321140785311172</v>
      </c>
      <c r="Z70" s="2">
        <f t="shared" si="52"/>
        <v>19.102450375347107</v>
      </c>
      <c r="AA70" s="2">
        <f t="shared" si="53"/>
        <v>33.321140785311172</v>
      </c>
      <c r="AB70" s="2">
        <f t="shared" si="54"/>
        <v>19.102450375347107</v>
      </c>
      <c r="AC70" s="2">
        <f t="shared" si="55"/>
        <v>33.321140785311172</v>
      </c>
      <c r="AD70" s="2">
        <f t="shared" si="56"/>
        <v>19.102450375347107</v>
      </c>
      <c r="AE70" s="2">
        <f t="shared" si="57"/>
        <v>33.321140785311172</v>
      </c>
      <c r="AF70" s="2">
        <f t="shared" si="58"/>
        <v>19.102450375347107</v>
      </c>
      <c r="AG70" s="2">
        <f t="shared" si="59"/>
        <v>33.321140785311172</v>
      </c>
      <c r="AH70" s="2">
        <f t="shared" si="60"/>
        <v>19.102450375347107</v>
      </c>
    </row>
    <row r="71" spans="1:34">
      <c r="A71" t="str">
        <f>CYF!A71</f>
        <v>Wheat</v>
      </c>
      <c r="B71" t="str">
        <f>CYF!B71</f>
        <v>SM2</v>
      </c>
      <c r="C71" s="2">
        <f>INDEX(TargetProduction!$X$47:$AD$61,MATCH($B71,TargetProduction!$W$47:$W$61,0),MATCH($A71,TargetProduction!$X$46:$AD$46,0))</f>
        <v>450.89726234859421</v>
      </c>
      <c r="D71" s="2">
        <f>INDEX(TargetProduction!$AE$47:$AK$61,MATCH($B71,TargetProduction!$W$47:$W$61,0),MATCH($A71,TargetProduction!$AE$46:$AK$46,0))</f>
        <v>18.987483420444224</v>
      </c>
      <c r="E71" s="2">
        <f t="shared" si="31"/>
        <v>450.89726234859421</v>
      </c>
      <c r="F71" s="2">
        <f t="shared" si="32"/>
        <v>18.987483420444224</v>
      </c>
      <c r="G71" s="2">
        <f t="shared" si="33"/>
        <v>450.89726234859421</v>
      </c>
      <c r="H71" s="2">
        <f t="shared" si="34"/>
        <v>18.987483420444224</v>
      </c>
      <c r="I71" s="2">
        <f t="shared" si="35"/>
        <v>450.89726234859421</v>
      </c>
      <c r="J71" s="2">
        <f t="shared" si="36"/>
        <v>18.987483420444224</v>
      </c>
      <c r="K71" s="2">
        <f t="shared" si="37"/>
        <v>450.89726234859421</v>
      </c>
      <c r="L71" s="2">
        <f t="shared" si="38"/>
        <v>18.987483420444224</v>
      </c>
      <c r="M71" s="2">
        <f t="shared" si="39"/>
        <v>450.89726234859421</v>
      </c>
      <c r="N71" s="2">
        <f t="shared" si="40"/>
        <v>18.987483420444224</v>
      </c>
      <c r="O71" s="2">
        <f t="shared" si="41"/>
        <v>450.89726234859421</v>
      </c>
      <c r="P71" s="2">
        <f t="shared" si="42"/>
        <v>18.987483420444224</v>
      </c>
      <c r="Q71" s="2">
        <f t="shared" si="43"/>
        <v>450.89726234859421</v>
      </c>
      <c r="R71" s="2">
        <f t="shared" si="44"/>
        <v>18.987483420444224</v>
      </c>
      <c r="S71" s="2">
        <f t="shared" si="45"/>
        <v>450.89726234859421</v>
      </c>
      <c r="T71" s="2">
        <f t="shared" si="46"/>
        <v>18.987483420444224</v>
      </c>
      <c r="U71" s="2">
        <f t="shared" si="47"/>
        <v>450.89726234859421</v>
      </c>
      <c r="V71" s="2">
        <f t="shared" si="48"/>
        <v>18.987483420444224</v>
      </c>
      <c r="W71" s="2">
        <f t="shared" si="49"/>
        <v>450.89726234859421</v>
      </c>
      <c r="X71" s="2">
        <f t="shared" si="50"/>
        <v>18.987483420444224</v>
      </c>
      <c r="Y71" s="2">
        <f t="shared" si="51"/>
        <v>450.89726234859421</v>
      </c>
      <c r="Z71" s="2">
        <f t="shared" si="52"/>
        <v>18.987483420444224</v>
      </c>
      <c r="AA71" s="2">
        <f t="shared" si="53"/>
        <v>450.89726234859421</v>
      </c>
      <c r="AB71" s="2">
        <f t="shared" si="54"/>
        <v>18.987483420444224</v>
      </c>
      <c r="AC71" s="2">
        <f t="shared" si="55"/>
        <v>450.89726234859421</v>
      </c>
      <c r="AD71" s="2">
        <f t="shared" si="56"/>
        <v>18.987483420444224</v>
      </c>
      <c r="AE71" s="2">
        <f t="shared" si="57"/>
        <v>450.89726234859421</v>
      </c>
      <c r="AF71" s="2">
        <f t="shared" si="58"/>
        <v>18.987483420444224</v>
      </c>
      <c r="AG71" s="2">
        <f t="shared" si="59"/>
        <v>450.89726234859421</v>
      </c>
      <c r="AH71" s="2">
        <f t="shared" si="60"/>
        <v>18.987483420444224</v>
      </c>
    </row>
    <row r="72" spans="1:34">
      <c r="A72" t="str">
        <f>CYF!A72</f>
        <v>Wheat</v>
      </c>
      <c r="B72" t="str">
        <f>CYF!B72</f>
        <v>SM2N</v>
      </c>
      <c r="C72" s="2">
        <f>INDEX(TargetProduction!$X$47:$AD$61,MATCH($B72,TargetProduction!$W$47:$W$61,0),MATCH($A72,TargetProduction!$X$46:$AD$46,0))</f>
        <v>224.33063798170667</v>
      </c>
      <c r="D72" s="2">
        <f>INDEX(TargetProduction!$AE$47:$AK$61,MATCH($B72,TargetProduction!$W$47:$W$61,0),MATCH($A72,TargetProduction!$AE$46:$AK$46,0))</f>
        <v>18.824075322643889</v>
      </c>
      <c r="E72" s="2">
        <f t="shared" si="31"/>
        <v>224.33063798170667</v>
      </c>
      <c r="F72" s="2">
        <f t="shared" si="32"/>
        <v>18.824075322643889</v>
      </c>
      <c r="G72" s="2">
        <f t="shared" si="33"/>
        <v>224.33063798170667</v>
      </c>
      <c r="H72" s="2">
        <f t="shared" si="34"/>
        <v>18.824075322643889</v>
      </c>
      <c r="I72" s="2">
        <f t="shared" si="35"/>
        <v>224.33063798170667</v>
      </c>
      <c r="J72" s="2">
        <f t="shared" si="36"/>
        <v>18.824075322643889</v>
      </c>
      <c r="K72" s="2">
        <f t="shared" si="37"/>
        <v>224.33063798170667</v>
      </c>
      <c r="L72" s="2">
        <f t="shared" si="38"/>
        <v>18.824075322643889</v>
      </c>
      <c r="M72" s="2">
        <f t="shared" si="39"/>
        <v>224.33063798170667</v>
      </c>
      <c r="N72" s="2">
        <f t="shared" si="40"/>
        <v>18.824075322643889</v>
      </c>
      <c r="O72" s="2">
        <f t="shared" si="41"/>
        <v>224.33063798170667</v>
      </c>
      <c r="P72" s="2">
        <f t="shared" si="42"/>
        <v>18.824075322643889</v>
      </c>
      <c r="Q72" s="2">
        <f t="shared" si="43"/>
        <v>224.33063798170667</v>
      </c>
      <c r="R72" s="2">
        <f t="shared" si="44"/>
        <v>18.824075322643889</v>
      </c>
      <c r="S72" s="2">
        <f t="shared" si="45"/>
        <v>224.33063798170667</v>
      </c>
      <c r="T72" s="2">
        <f t="shared" si="46"/>
        <v>18.824075322643889</v>
      </c>
      <c r="U72" s="2">
        <f t="shared" si="47"/>
        <v>224.33063798170667</v>
      </c>
      <c r="V72" s="2">
        <f t="shared" si="48"/>
        <v>18.824075322643889</v>
      </c>
      <c r="W72" s="2">
        <f t="shared" si="49"/>
        <v>224.33063798170667</v>
      </c>
      <c r="X72" s="2">
        <f t="shared" si="50"/>
        <v>18.824075322643889</v>
      </c>
      <c r="Y72" s="2">
        <f t="shared" si="51"/>
        <v>224.33063798170667</v>
      </c>
      <c r="Z72" s="2">
        <f t="shared" si="52"/>
        <v>18.824075322643889</v>
      </c>
      <c r="AA72" s="2">
        <f t="shared" si="53"/>
        <v>224.33063798170667</v>
      </c>
      <c r="AB72" s="2">
        <f t="shared" si="54"/>
        <v>18.824075322643889</v>
      </c>
      <c r="AC72" s="2">
        <f t="shared" si="55"/>
        <v>224.33063798170667</v>
      </c>
      <c r="AD72" s="2">
        <f t="shared" si="56"/>
        <v>18.824075322643889</v>
      </c>
      <c r="AE72" s="2">
        <f t="shared" si="57"/>
        <v>224.33063798170667</v>
      </c>
      <c r="AF72" s="2">
        <f t="shared" si="58"/>
        <v>18.824075322643889</v>
      </c>
      <c r="AG72" s="2">
        <f t="shared" si="59"/>
        <v>224.33063798170667</v>
      </c>
      <c r="AH72" s="2">
        <f t="shared" si="60"/>
        <v>18.824075322643889</v>
      </c>
    </row>
    <row r="73" spans="1:34">
      <c r="A73" t="str">
        <f>CYF!A73</f>
        <v>Vegetables</v>
      </c>
      <c r="B73" t="str">
        <f>CYF!B73</f>
        <v>A1</v>
      </c>
      <c r="C73" s="2">
        <f>INDEX(TargetProduction!$X$47:$AD$61,MATCH($B73,TargetProduction!$W$47:$W$61,0),MATCH($A73,TargetProduction!$X$46:$AD$46,0))</f>
        <v>0</v>
      </c>
      <c r="D73" s="2">
        <f>INDEX(TargetProduction!$AE$47:$AK$61,MATCH($B73,TargetProduction!$W$47:$W$61,0),MATCH($A73,TargetProduction!$AE$46:$AK$46,0))</f>
        <v>0</v>
      </c>
      <c r="E73" s="2">
        <f t="shared" si="31"/>
        <v>0</v>
      </c>
      <c r="F73" s="2">
        <f t="shared" si="32"/>
        <v>0</v>
      </c>
      <c r="G73" s="2">
        <f t="shared" si="33"/>
        <v>0</v>
      </c>
      <c r="H73" s="2">
        <f t="shared" si="34"/>
        <v>0</v>
      </c>
      <c r="I73" s="2">
        <f t="shared" si="35"/>
        <v>0</v>
      </c>
      <c r="J73" s="2">
        <f t="shared" si="36"/>
        <v>0</v>
      </c>
      <c r="K73" s="2">
        <f t="shared" si="37"/>
        <v>0</v>
      </c>
      <c r="L73" s="2">
        <f t="shared" si="38"/>
        <v>0</v>
      </c>
      <c r="M73" s="2">
        <f t="shared" si="39"/>
        <v>0</v>
      </c>
      <c r="N73" s="2">
        <f t="shared" si="40"/>
        <v>0</v>
      </c>
      <c r="O73" s="2">
        <f t="shared" si="41"/>
        <v>0</v>
      </c>
      <c r="P73" s="2">
        <f t="shared" si="42"/>
        <v>0</v>
      </c>
      <c r="Q73" s="2">
        <f t="shared" si="43"/>
        <v>0</v>
      </c>
      <c r="R73" s="2">
        <f t="shared" si="44"/>
        <v>0</v>
      </c>
      <c r="S73" s="2">
        <f t="shared" si="45"/>
        <v>0</v>
      </c>
      <c r="T73" s="2">
        <f t="shared" si="46"/>
        <v>0</v>
      </c>
      <c r="U73" s="2">
        <f t="shared" si="47"/>
        <v>0</v>
      </c>
      <c r="V73" s="2">
        <f t="shared" si="48"/>
        <v>0</v>
      </c>
      <c r="W73" s="2">
        <f t="shared" si="49"/>
        <v>0</v>
      </c>
      <c r="X73" s="2">
        <f t="shared" si="50"/>
        <v>0</v>
      </c>
      <c r="Y73" s="2">
        <f t="shared" si="51"/>
        <v>0</v>
      </c>
      <c r="Z73" s="2">
        <f t="shared" si="52"/>
        <v>0</v>
      </c>
      <c r="AA73" s="2">
        <f t="shared" si="53"/>
        <v>0</v>
      </c>
      <c r="AB73" s="2">
        <f t="shared" si="54"/>
        <v>0</v>
      </c>
      <c r="AC73" s="2">
        <f t="shared" si="55"/>
        <v>0</v>
      </c>
      <c r="AD73" s="2">
        <f t="shared" si="56"/>
        <v>0</v>
      </c>
      <c r="AE73" s="2">
        <f t="shared" si="57"/>
        <v>0</v>
      </c>
      <c r="AF73" s="2">
        <f t="shared" si="58"/>
        <v>0</v>
      </c>
      <c r="AG73" s="2">
        <f t="shared" si="59"/>
        <v>0</v>
      </c>
      <c r="AH73" s="2">
        <f t="shared" si="60"/>
        <v>0</v>
      </c>
    </row>
    <row r="74" spans="1:34">
      <c r="A74" t="str">
        <f>CYF!A74</f>
        <v>Vegetables</v>
      </c>
      <c r="B74" t="str">
        <f>CYF!B74</f>
        <v>H2</v>
      </c>
      <c r="C74" s="2">
        <f>INDEX(TargetProduction!$X$47:$AD$61,MATCH($B74,TargetProduction!$W$47:$W$61,0),MATCH($A74,TargetProduction!$X$46:$AD$46,0))</f>
        <v>184.53640105620613</v>
      </c>
      <c r="D74" s="2">
        <f>INDEX(TargetProduction!$AE$47:$AK$61,MATCH($B74,TargetProduction!$W$47:$W$61,0),MATCH($A74,TargetProduction!$AE$46:$AK$46,0))</f>
        <v>283.1759603069911</v>
      </c>
      <c r="E74" s="2">
        <f t="shared" si="31"/>
        <v>184.53640105620613</v>
      </c>
      <c r="F74" s="2">
        <f t="shared" si="32"/>
        <v>283.1759603069911</v>
      </c>
      <c r="G74" s="2">
        <f t="shared" si="33"/>
        <v>184.53640105620613</v>
      </c>
      <c r="H74" s="2">
        <f t="shared" si="34"/>
        <v>283.1759603069911</v>
      </c>
      <c r="I74" s="2">
        <f t="shared" si="35"/>
        <v>184.53640105620613</v>
      </c>
      <c r="J74" s="2">
        <f t="shared" si="36"/>
        <v>283.1759603069911</v>
      </c>
      <c r="K74" s="2">
        <f t="shared" si="37"/>
        <v>184.53640105620613</v>
      </c>
      <c r="L74" s="2">
        <f t="shared" si="38"/>
        <v>283.1759603069911</v>
      </c>
      <c r="M74" s="2">
        <f t="shared" si="39"/>
        <v>184.53640105620613</v>
      </c>
      <c r="N74" s="2">
        <f t="shared" si="40"/>
        <v>283.1759603069911</v>
      </c>
      <c r="O74" s="2">
        <f t="shared" si="41"/>
        <v>184.53640105620613</v>
      </c>
      <c r="P74" s="2">
        <f t="shared" si="42"/>
        <v>283.1759603069911</v>
      </c>
      <c r="Q74" s="2">
        <f t="shared" si="43"/>
        <v>184.53640105620613</v>
      </c>
      <c r="R74" s="2">
        <f t="shared" si="44"/>
        <v>283.1759603069911</v>
      </c>
      <c r="S74" s="2">
        <f t="shared" si="45"/>
        <v>184.53640105620613</v>
      </c>
      <c r="T74" s="2">
        <f t="shared" si="46"/>
        <v>283.1759603069911</v>
      </c>
      <c r="U74" s="2">
        <f t="shared" si="47"/>
        <v>184.53640105620613</v>
      </c>
      <c r="V74" s="2">
        <f t="shared" si="48"/>
        <v>283.1759603069911</v>
      </c>
      <c r="W74" s="2">
        <f t="shared" si="49"/>
        <v>184.53640105620613</v>
      </c>
      <c r="X74" s="2">
        <f t="shared" si="50"/>
        <v>283.1759603069911</v>
      </c>
      <c r="Y74" s="2">
        <f t="shared" si="51"/>
        <v>184.53640105620613</v>
      </c>
      <c r="Z74" s="2">
        <f t="shared" si="52"/>
        <v>283.1759603069911</v>
      </c>
      <c r="AA74" s="2">
        <f t="shared" si="53"/>
        <v>184.53640105620613</v>
      </c>
      <c r="AB74" s="2">
        <f t="shared" si="54"/>
        <v>283.1759603069911</v>
      </c>
      <c r="AC74" s="2">
        <f t="shared" si="55"/>
        <v>184.53640105620613</v>
      </c>
      <c r="AD74" s="2">
        <f t="shared" si="56"/>
        <v>283.1759603069911</v>
      </c>
      <c r="AE74" s="2">
        <f t="shared" si="57"/>
        <v>184.53640105620613</v>
      </c>
      <c r="AF74" s="2">
        <f t="shared" si="58"/>
        <v>283.1759603069911</v>
      </c>
      <c r="AG74" s="2">
        <f t="shared" si="59"/>
        <v>184.53640105620613</v>
      </c>
      <c r="AH74" s="2">
        <f t="shared" si="60"/>
        <v>283.1759603069911</v>
      </c>
    </row>
    <row r="75" spans="1:34">
      <c r="A75" t="str">
        <f>CYF!A75</f>
        <v>Vegetables</v>
      </c>
      <c r="B75" t="str">
        <f>CYF!B75</f>
        <v>H3</v>
      </c>
      <c r="C75" s="2">
        <f>INDEX(TargetProduction!$X$47:$AD$61,MATCH($B75,TargetProduction!$W$47:$W$61,0),MATCH($A75,TargetProduction!$X$46:$AD$46,0))</f>
        <v>144.39997979249716</v>
      </c>
      <c r="D75" s="2">
        <f>INDEX(TargetProduction!$AE$47:$AK$61,MATCH($B75,TargetProduction!$W$47:$W$61,0),MATCH($A75,TargetProduction!$AE$46:$AK$46,0))</f>
        <v>227.54617847649894</v>
      </c>
      <c r="E75" s="2">
        <f t="shared" si="31"/>
        <v>144.39997979249716</v>
      </c>
      <c r="F75" s="2">
        <f t="shared" si="32"/>
        <v>227.54617847649894</v>
      </c>
      <c r="G75" s="2">
        <f t="shared" si="33"/>
        <v>144.39997979249716</v>
      </c>
      <c r="H75" s="2">
        <f t="shared" si="34"/>
        <v>227.54617847649894</v>
      </c>
      <c r="I75" s="2">
        <f t="shared" si="35"/>
        <v>144.39997979249716</v>
      </c>
      <c r="J75" s="2">
        <f t="shared" si="36"/>
        <v>227.54617847649894</v>
      </c>
      <c r="K75" s="2">
        <f t="shared" si="37"/>
        <v>144.39997979249716</v>
      </c>
      <c r="L75" s="2">
        <f t="shared" si="38"/>
        <v>227.54617847649894</v>
      </c>
      <c r="M75" s="2">
        <f t="shared" si="39"/>
        <v>144.39997979249716</v>
      </c>
      <c r="N75" s="2">
        <f t="shared" si="40"/>
        <v>227.54617847649894</v>
      </c>
      <c r="O75" s="2">
        <f t="shared" si="41"/>
        <v>144.39997979249716</v>
      </c>
      <c r="P75" s="2">
        <f t="shared" si="42"/>
        <v>227.54617847649894</v>
      </c>
      <c r="Q75" s="2">
        <f t="shared" si="43"/>
        <v>144.39997979249716</v>
      </c>
      <c r="R75" s="2">
        <f t="shared" si="44"/>
        <v>227.54617847649894</v>
      </c>
      <c r="S75" s="2">
        <f t="shared" si="45"/>
        <v>144.39997979249716</v>
      </c>
      <c r="T75" s="2">
        <f t="shared" si="46"/>
        <v>227.54617847649894</v>
      </c>
      <c r="U75" s="2">
        <f t="shared" si="47"/>
        <v>144.39997979249716</v>
      </c>
      <c r="V75" s="2">
        <f t="shared" si="48"/>
        <v>227.54617847649894</v>
      </c>
      <c r="W75" s="2">
        <f t="shared" si="49"/>
        <v>144.39997979249716</v>
      </c>
      <c r="X75" s="2">
        <f t="shared" si="50"/>
        <v>227.54617847649894</v>
      </c>
      <c r="Y75" s="2">
        <f t="shared" si="51"/>
        <v>144.39997979249716</v>
      </c>
      <c r="Z75" s="2">
        <f t="shared" si="52"/>
        <v>227.54617847649894</v>
      </c>
      <c r="AA75" s="2">
        <f t="shared" si="53"/>
        <v>144.39997979249716</v>
      </c>
      <c r="AB75" s="2">
        <f t="shared" si="54"/>
        <v>227.54617847649894</v>
      </c>
      <c r="AC75" s="2">
        <f t="shared" si="55"/>
        <v>144.39997979249716</v>
      </c>
      <c r="AD75" s="2">
        <f t="shared" si="56"/>
        <v>227.54617847649894</v>
      </c>
      <c r="AE75" s="2">
        <f t="shared" si="57"/>
        <v>144.39997979249716</v>
      </c>
      <c r="AF75" s="2">
        <f t="shared" si="58"/>
        <v>227.54617847649894</v>
      </c>
      <c r="AG75" s="2">
        <f t="shared" si="59"/>
        <v>144.39997979249716</v>
      </c>
      <c r="AH75" s="2">
        <f t="shared" si="60"/>
        <v>227.54617847649894</v>
      </c>
    </row>
    <row r="76" spans="1:34">
      <c r="A76" t="str">
        <f>CYF!A76</f>
        <v>Vegetables</v>
      </c>
      <c r="B76" t="str">
        <f>CYF!B76</f>
        <v>H4</v>
      </c>
      <c r="C76" s="2">
        <f>INDEX(TargetProduction!$X$47:$AD$61,MATCH($B76,TargetProduction!$W$47:$W$61,0),MATCH($A76,TargetProduction!$X$46:$AD$46,0))</f>
        <v>153.35645769791751</v>
      </c>
      <c r="D76" s="2">
        <f>INDEX(TargetProduction!$AE$47:$AK$61,MATCH($B76,TargetProduction!$W$47:$W$61,0),MATCH($A76,TargetProduction!$AE$46:$AK$46,0))</f>
        <v>166.02468704997557</v>
      </c>
      <c r="E76" s="2">
        <f t="shared" si="31"/>
        <v>153.35645769791751</v>
      </c>
      <c r="F76" s="2">
        <f t="shared" si="32"/>
        <v>166.02468704997557</v>
      </c>
      <c r="G76" s="2">
        <f t="shared" si="33"/>
        <v>153.35645769791751</v>
      </c>
      <c r="H76" s="2">
        <f t="shared" si="34"/>
        <v>166.02468704997557</v>
      </c>
      <c r="I76" s="2">
        <f t="shared" si="35"/>
        <v>153.35645769791751</v>
      </c>
      <c r="J76" s="2">
        <f t="shared" si="36"/>
        <v>166.02468704997557</v>
      </c>
      <c r="K76" s="2">
        <f t="shared" si="37"/>
        <v>153.35645769791751</v>
      </c>
      <c r="L76" s="2">
        <f t="shared" si="38"/>
        <v>166.02468704997557</v>
      </c>
      <c r="M76" s="2">
        <f t="shared" si="39"/>
        <v>153.35645769791751</v>
      </c>
      <c r="N76" s="2">
        <f t="shared" si="40"/>
        <v>166.02468704997557</v>
      </c>
      <c r="O76" s="2">
        <f t="shared" si="41"/>
        <v>153.35645769791751</v>
      </c>
      <c r="P76" s="2">
        <f t="shared" si="42"/>
        <v>166.02468704997557</v>
      </c>
      <c r="Q76" s="2">
        <f t="shared" si="43"/>
        <v>153.35645769791751</v>
      </c>
      <c r="R76" s="2">
        <f t="shared" si="44"/>
        <v>166.02468704997557</v>
      </c>
      <c r="S76" s="2">
        <f t="shared" si="45"/>
        <v>153.35645769791751</v>
      </c>
      <c r="T76" s="2">
        <f t="shared" si="46"/>
        <v>166.02468704997557</v>
      </c>
      <c r="U76" s="2">
        <f t="shared" si="47"/>
        <v>153.35645769791751</v>
      </c>
      <c r="V76" s="2">
        <f t="shared" si="48"/>
        <v>166.02468704997557</v>
      </c>
      <c r="W76" s="2">
        <f t="shared" si="49"/>
        <v>153.35645769791751</v>
      </c>
      <c r="X76" s="2">
        <f t="shared" si="50"/>
        <v>166.02468704997557</v>
      </c>
      <c r="Y76" s="2">
        <f t="shared" si="51"/>
        <v>153.35645769791751</v>
      </c>
      <c r="Z76" s="2">
        <f t="shared" si="52"/>
        <v>166.02468704997557</v>
      </c>
      <c r="AA76" s="2">
        <f t="shared" si="53"/>
        <v>153.35645769791751</v>
      </c>
      <c r="AB76" s="2">
        <f t="shared" si="54"/>
        <v>166.02468704997557</v>
      </c>
      <c r="AC76" s="2">
        <f t="shared" si="55"/>
        <v>153.35645769791751</v>
      </c>
      <c r="AD76" s="2">
        <f t="shared" si="56"/>
        <v>166.02468704997557</v>
      </c>
      <c r="AE76" s="2">
        <f t="shared" si="57"/>
        <v>153.35645769791751</v>
      </c>
      <c r="AF76" s="2">
        <f t="shared" si="58"/>
        <v>166.02468704997557</v>
      </c>
      <c r="AG76" s="2">
        <f t="shared" si="59"/>
        <v>153.35645769791751</v>
      </c>
      <c r="AH76" s="2">
        <f t="shared" si="60"/>
        <v>166.02468704997557</v>
      </c>
    </row>
    <row r="77" spans="1:34">
      <c r="A77" t="str">
        <f>CYF!A77</f>
        <v>Vegetables</v>
      </c>
      <c r="B77" t="str">
        <f>CYF!B77</f>
        <v>H5</v>
      </c>
      <c r="C77" s="2">
        <f>INDEX(TargetProduction!$X$47:$AD$61,MATCH($B77,TargetProduction!$W$47:$W$61,0),MATCH($A77,TargetProduction!$X$46:$AD$46,0))</f>
        <v>157.84311501007844</v>
      </c>
      <c r="D77" s="2">
        <f>INDEX(TargetProduction!$AE$47:$AK$61,MATCH($B77,TargetProduction!$W$47:$W$61,0),MATCH($A77,TargetProduction!$AE$46:$AK$46,0))</f>
        <v>54.023275758142077</v>
      </c>
      <c r="E77" s="2">
        <f t="shared" si="31"/>
        <v>157.84311501007844</v>
      </c>
      <c r="F77" s="2">
        <f t="shared" si="32"/>
        <v>54.023275758142077</v>
      </c>
      <c r="G77" s="2">
        <f t="shared" si="33"/>
        <v>157.84311501007844</v>
      </c>
      <c r="H77" s="2">
        <f t="shared" si="34"/>
        <v>54.023275758142077</v>
      </c>
      <c r="I77" s="2">
        <f t="shared" si="35"/>
        <v>157.84311501007844</v>
      </c>
      <c r="J77" s="2">
        <f t="shared" si="36"/>
        <v>54.023275758142077</v>
      </c>
      <c r="K77" s="2">
        <f t="shared" si="37"/>
        <v>157.84311501007844</v>
      </c>
      <c r="L77" s="2">
        <f t="shared" si="38"/>
        <v>54.023275758142077</v>
      </c>
      <c r="M77" s="2">
        <f t="shared" si="39"/>
        <v>157.84311501007844</v>
      </c>
      <c r="N77" s="2">
        <f t="shared" si="40"/>
        <v>54.023275758142077</v>
      </c>
      <c r="O77" s="2">
        <f t="shared" si="41"/>
        <v>157.84311501007844</v>
      </c>
      <c r="P77" s="2">
        <f t="shared" si="42"/>
        <v>54.023275758142077</v>
      </c>
      <c r="Q77" s="2">
        <f t="shared" si="43"/>
        <v>157.84311501007844</v>
      </c>
      <c r="R77" s="2">
        <f t="shared" si="44"/>
        <v>54.023275758142077</v>
      </c>
      <c r="S77" s="2">
        <f t="shared" si="45"/>
        <v>157.84311501007844</v>
      </c>
      <c r="T77" s="2">
        <f t="shared" si="46"/>
        <v>54.023275758142077</v>
      </c>
      <c r="U77" s="2">
        <f t="shared" si="47"/>
        <v>157.84311501007844</v>
      </c>
      <c r="V77" s="2">
        <f t="shared" si="48"/>
        <v>54.023275758142077</v>
      </c>
      <c r="W77" s="2">
        <f t="shared" si="49"/>
        <v>157.84311501007844</v>
      </c>
      <c r="X77" s="2">
        <f t="shared" si="50"/>
        <v>54.023275758142077</v>
      </c>
      <c r="Y77" s="2">
        <f t="shared" si="51"/>
        <v>157.84311501007844</v>
      </c>
      <c r="Z77" s="2">
        <f t="shared" si="52"/>
        <v>54.023275758142077</v>
      </c>
      <c r="AA77" s="2">
        <f t="shared" si="53"/>
        <v>157.84311501007844</v>
      </c>
      <c r="AB77" s="2">
        <f t="shared" si="54"/>
        <v>54.023275758142077</v>
      </c>
      <c r="AC77" s="2">
        <f t="shared" si="55"/>
        <v>157.84311501007844</v>
      </c>
      <c r="AD77" s="2">
        <f t="shared" si="56"/>
        <v>54.023275758142077</v>
      </c>
      <c r="AE77" s="2">
        <f t="shared" si="57"/>
        <v>157.84311501007844</v>
      </c>
      <c r="AF77" s="2">
        <f t="shared" si="58"/>
        <v>54.023275758142077</v>
      </c>
      <c r="AG77" s="2">
        <f t="shared" si="59"/>
        <v>157.84311501007844</v>
      </c>
      <c r="AH77" s="2">
        <f t="shared" si="60"/>
        <v>54.023275758142077</v>
      </c>
    </row>
    <row r="78" spans="1:34">
      <c r="A78" t="str">
        <f>CYF!A78</f>
        <v>Vegetables</v>
      </c>
      <c r="B78" t="str">
        <f>CYF!B78</f>
        <v>M1</v>
      </c>
      <c r="C78" s="2">
        <f>INDEX(TargetProduction!$X$47:$AD$61,MATCH($B78,TargetProduction!$W$47:$W$61,0),MATCH($A78,TargetProduction!$X$46:$AD$46,0))</f>
        <v>150.71428398149109</v>
      </c>
      <c r="D78" s="2">
        <f>INDEX(TargetProduction!$AE$47:$AK$61,MATCH($B78,TargetProduction!$W$47:$W$61,0),MATCH($A78,TargetProduction!$AE$46:$AK$46,0))</f>
        <v>135.61519813689441</v>
      </c>
      <c r="E78" s="2">
        <f t="shared" si="31"/>
        <v>150.71428398149109</v>
      </c>
      <c r="F78" s="2">
        <f t="shared" si="32"/>
        <v>135.61519813689441</v>
      </c>
      <c r="G78" s="2">
        <f t="shared" si="33"/>
        <v>150.71428398149109</v>
      </c>
      <c r="H78" s="2">
        <f t="shared" si="34"/>
        <v>135.61519813689441</v>
      </c>
      <c r="I78" s="2">
        <f t="shared" si="35"/>
        <v>150.71428398149109</v>
      </c>
      <c r="J78" s="2">
        <f t="shared" si="36"/>
        <v>135.61519813689441</v>
      </c>
      <c r="K78" s="2">
        <f t="shared" si="37"/>
        <v>150.71428398149109</v>
      </c>
      <c r="L78" s="2">
        <f t="shared" si="38"/>
        <v>135.61519813689441</v>
      </c>
      <c r="M78" s="2">
        <f t="shared" si="39"/>
        <v>150.71428398149109</v>
      </c>
      <c r="N78" s="2">
        <f t="shared" si="40"/>
        <v>135.61519813689441</v>
      </c>
      <c r="O78" s="2">
        <f t="shared" si="41"/>
        <v>150.71428398149109</v>
      </c>
      <c r="P78" s="2">
        <f t="shared" si="42"/>
        <v>135.61519813689441</v>
      </c>
      <c r="Q78" s="2">
        <f t="shared" si="43"/>
        <v>150.71428398149109</v>
      </c>
      <c r="R78" s="2">
        <f t="shared" si="44"/>
        <v>135.61519813689441</v>
      </c>
      <c r="S78" s="2">
        <f t="shared" si="45"/>
        <v>150.71428398149109</v>
      </c>
      <c r="T78" s="2">
        <f t="shared" si="46"/>
        <v>135.61519813689441</v>
      </c>
      <c r="U78" s="2">
        <f t="shared" si="47"/>
        <v>150.71428398149109</v>
      </c>
      <c r="V78" s="2">
        <f t="shared" si="48"/>
        <v>135.61519813689441</v>
      </c>
      <c r="W78" s="2">
        <f t="shared" si="49"/>
        <v>150.71428398149109</v>
      </c>
      <c r="X78" s="2">
        <f t="shared" si="50"/>
        <v>135.61519813689441</v>
      </c>
      <c r="Y78" s="2">
        <f t="shared" si="51"/>
        <v>150.71428398149109</v>
      </c>
      <c r="Z78" s="2">
        <f t="shared" si="52"/>
        <v>135.61519813689441</v>
      </c>
      <c r="AA78" s="2">
        <f t="shared" si="53"/>
        <v>150.71428398149109</v>
      </c>
      <c r="AB78" s="2">
        <f t="shared" si="54"/>
        <v>135.61519813689441</v>
      </c>
      <c r="AC78" s="2">
        <f t="shared" si="55"/>
        <v>150.71428398149109</v>
      </c>
      <c r="AD78" s="2">
        <f t="shared" si="56"/>
        <v>135.61519813689441</v>
      </c>
      <c r="AE78" s="2">
        <f t="shared" si="57"/>
        <v>150.71428398149109</v>
      </c>
      <c r="AF78" s="2">
        <f t="shared" si="58"/>
        <v>135.61519813689441</v>
      </c>
      <c r="AG78" s="2">
        <f t="shared" si="59"/>
        <v>150.71428398149109</v>
      </c>
      <c r="AH78" s="2">
        <f t="shared" si="60"/>
        <v>135.61519813689441</v>
      </c>
    </row>
    <row r="79" spans="1:34">
      <c r="A79" t="str">
        <f>CYF!A79</f>
        <v>Vegetables</v>
      </c>
      <c r="B79" t="str">
        <f>CYF!B79</f>
        <v>M3</v>
      </c>
      <c r="C79" s="2">
        <f>INDEX(TargetProduction!$X$47:$AD$61,MATCH($B79,TargetProduction!$W$47:$W$61,0),MATCH($A79,TargetProduction!$X$46:$AD$46,0))</f>
        <v>134.34935500820217</v>
      </c>
      <c r="D79" s="2">
        <f>INDEX(TargetProduction!$AE$47:$AK$61,MATCH($B79,TargetProduction!$W$47:$W$61,0),MATCH($A79,TargetProduction!$AE$46:$AK$46,0))</f>
        <v>116.94550519241476</v>
      </c>
      <c r="E79" s="2">
        <f t="shared" si="31"/>
        <v>134.34935500820217</v>
      </c>
      <c r="F79" s="2">
        <f t="shared" si="32"/>
        <v>116.94550519241476</v>
      </c>
      <c r="G79" s="2">
        <f t="shared" si="33"/>
        <v>134.34935500820217</v>
      </c>
      <c r="H79" s="2">
        <f t="shared" si="34"/>
        <v>116.94550519241476</v>
      </c>
      <c r="I79" s="2">
        <f t="shared" si="35"/>
        <v>134.34935500820217</v>
      </c>
      <c r="J79" s="2">
        <f t="shared" si="36"/>
        <v>116.94550519241476</v>
      </c>
      <c r="K79" s="2">
        <f t="shared" si="37"/>
        <v>134.34935500820217</v>
      </c>
      <c r="L79" s="2">
        <f t="shared" si="38"/>
        <v>116.94550519241476</v>
      </c>
      <c r="M79" s="2">
        <f t="shared" si="39"/>
        <v>134.34935500820217</v>
      </c>
      <c r="N79" s="2">
        <f t="shared" si="40"/>
        <v>116.94550519241476</v>
      </c>
      <c r="O79" s="2">
        <f t="shared" si="41"/>
        <v>134.34935500820217</v>
      </c>
      <c r="P79" s="2">
        <f t="shared" si="42"/>
        <v>116.94550519241476</v>
      </c>
      <c r="Q79" s="2">
        <f t="shared" si="43"/>
        <v>134.34935500820217</v>
      </c>
      <c r="R79" s="2">
        <f t="shared" si="44"/>
        <v>116.94550519241476</v>
      </c>
      <c r="S79" s="2">
        <f t="shared" si="45"/>
        <v>134.34935500820217</v>
      </c>
      <c r="T79" s="2">
        <f t="shared" si="46"/>
        <v>116.94550519241476</v>
      </c>
      <c r="U79" s="2">
        <f t="shared" si="47"/>
        <v>134.34935500820217</v>
      </c>
      <c r="V79" s="2">
        <f t="shared" si="48"/>
        <v>116.94550519241476</v>
      </c>
      <c r="W79" s="2">
        <f t="shared" si="49"/>
        <v>134.34935500820217</v>
      </c>
      <c r="X79" s="2">
        <f t="shared" si="50"/>
        <v>116.94550519241476</v>
      </c>
      <c r="Y79" s="2">
        <f t="shared" si="51"/>
        <v>134.34935500820217</v>
      </c>
      <c r="Z79" s="2">
        <f t="shared" si="52"/>
        <v>116.94550519241476</v>
      </c>
      <c r="AA79" s="2">
        <f t="shared" si="53"/>
        <v>134.34935500820217</v>
      </c>
      <c r="AB79" s="2">
        <f t="shared" si="54"/>
        <v>116.94550519241476</v>
      </c>
      <c r="AC79" s="2">
        <f t="shared" si="55"/>
        <v>134.34935500820217</v>
      </c>
      <c r="AD79" s="2">
        <f t="shared" si="56"/>
        <v>116.94550519241476</v>
      </c>
      <c r="AE79" s="2">
        <f t="shared" si="57"/>
        <v>134.34935500820217</v>
      </c>
      <c r="AF79" s="2">
        <f t="shared" si="58"/>
        <v>116.94550519241476</v>
      </c>
      <c r="AG79" s="2">
        <f t="shared" si="59"/>
        <v>134.34935500820217</v>
      </c>
      <c r="AH79" s="2">
        <f t="shared" si="60"/>
        <v>116.94550519241476</v>
      </c>
    </row>
    <row r="80" spans="1:34">
      <c r="A80" t="str">
        <f>CYF!A80</f>
        <v>Vegetables</v>
      </c>
      <c r="B80" t="str">
        <f>CYF!B80</f>
        <v>M5</v>
      </c>
      <c r="C80" s="2">
        <f>INDEX(TargetProduction!$X$47:$AD$61,MATCH($B80,TargetProduction!$W$47:$W$61,0),MATCH($A80,TargetProduction!$X$46:$AD$46,0))</f>
        <v>157.1351540400961</v>
      </c>
      <c r="D80" s="2">
        <f>INDEX(TargetProduction!$AE$47:$AK$61,MATCH($B80,TargetProduction!$W$47:$W$61,0),MATCH($A80,TargetProduction!$AE$46:$AK$46,0))</f>
        <v>139.05716530584385</v>
      </c>
      <c r="E80" s="2">
        <f t="shared" si="31"/>
        <v>157.1351540400961</v>
      </c>
      <c r="F80" s="2">
        <f t="shared" si="32"/>
        <v>139.05716530584385</v>
      </c>
      <c r="G80" s="2">
        <f t="shared" si="33"/>
        <v>157.1351540400961</v>
      </c>
      <c r="H80" s="2">
        <f t="shared" si="34"/>
        <v>139.05716530584385</v>
      </c>
      <c r="I80" s="2">
        <f t="shared" si="35"/>
        <v>157.1351540400961</v>
      </c>
      <c r="J80" s="2">
        <f t="shared" si="36"/>
        <v>139.05716530584385</v>
      </c>
      <c r="K80" s="2">
        <f t="shared" si="37"/>
        <v>157.1351540400961</v>
      </c>
      <c r="L80" s="2">
        <f t="shared" si="38"/>
        <v>139.05716530584385</v>
      </c>
      <c r="M80" s="2">
        <f t="shared" si="39"/>
        <v>157.1351540400961</v>
      </c>
      <c r="N80" s="2">
        <f t="shared" si="40"/>
        <v>139.05716530584385</v>
      </c>
      <c r="O80" s="2">
        <f t="shared" si="41"/>
        <v>157.1351540400961</v>
      </c>
      <c r="P80" s="2">
        <f t="shared" si="42"/>
        <v>139.05716530584385</v>
      </c>
      <c r="Q80" s="2">
        <f t="shared" si="43"/>
        <v>157.1351540400961</v>
      </c>
      <c r="R80" s="2">
        <f t="shared" si="44"/>
        <v>139.05716530584385</v>
      </c>
      <c r="S80" s="2">
        <f t="shared" si="45"/>
        <v>157.1351540400961</v>
      </c>
      <c r="T80" s="2">
        <f t="shared" si="46"/>
        <v>139.05716530584385</v>
      </c>
      <c r="U80" s="2">
        <f t="shared" si="47"/>
        <v>157.1351540400961</v>
      </c>
      <c r="V80" s="2">
        <f t="shared" si="48"/>
        <v>139.05716530584385</v>
      </c>
      <c r="W80" s="2">
        <f t="shared" si="49"/>
        <v>157.1351540400961</v>
      </c>
      <c r="X80" s="2">
        <f t="shared" si="50"/>
        <v>139.05716530584385</v>
      </c>
      <c r="Y80" s="2">
        <f t="shared" si="51"/>
        <v>157.1351540400961</v>
      </c>
      <c r="Z80" s="2">
        <f t="shared" si="52"/>
        <v>139.05716530584385</v>
      </c>
      <c r="AA80" s="2">
        <f t="shared" si="53"/>
        <v>157.1351540400961</v>
      </c>
      <c r="AB80" s="2">
        <f t="shared" si="54"/>
        <v>139.05716530584385</v>
      </c>
      <c r="AC80" s="2">
        <f t="shared" si="55"/>
        <v>157.1351540400961</v>
      </c>
      <c r="AD80" s="2">
        <f t="shared" si="56"/>
        <v>139.05716530584385</v>
      </c>
      <c r="AE80" s="2">
        <f t="shared" si="57"/>
        <v>157.1351540400961</v>
      </c>
      <c r="AF80" s="2">
        <f t="shared" si="58"/>
        <v>139.05716530584385</v>
      </c>
      <c r="AG80" s="2">
        <f t="shared" si="59"/>
        <v>157.1351540400961</v>
      </c>
      <c r="AH80" s="2">
        <f t="shared" si="60"/>
        <v>139.05716530584385</v>
      </c>
    </row>
    <row r="81" spans="1:34">
      <c r="A81" t="str">
        <f>CYF!A81</f>
        <v>Vegetables</v>
      </c>
      <c r="B81" t="str">
        <f>CYF!B81</f>
        <v>SA1</v>
      </c>
      <c r="C81" s="2">
        <f>INDEX(TargetProduction!$X$47:$AD$61,MATCH($B81,TargetProduction!$W$47:$W$61,0),MATCH($A81,TargetProduction!$X$46:$AD$46,0))</f>
        <v>184.91096139879016</v>
      </c>
      <c r="D81" s="2">
        <f>INDEX(TargetProduction!$AE$47:$AK$61,MATCH($B81,TargetProduction!$W$47:$W$61,0),MATCH($A81,TargetProduction!$AE$46:$AK$46,0))</f>
        <v>218.9713037724546</v>
      </c>
      <c r="E81" s="2">
        <f t="shared" si="31"/>
        <v>184.91096139879016</v>
      </c>
      <c r="F81" s="2">
        <f t="shared" si="32"/>
        <v>218.9713037724546</v>
      </c>
      <c r="G81" s="2">
        <f t="shared" si="33"/>
        <v>184.91096139879016</v>
      </c>
      <c r="H81" s="2">
        <f t="shared" si="34"/>
        <v>218.9713037724546</v>
      </c>
      <c r="I81" s="2">
        <f t="shared" si="35"/>
        <v>184.91096139879016</v>
      </c>
      <c r="J81" s="2">
        <f t="shared" si="36"/>
        <v>218.9713037724546</v>
      </c>
      <c r="K81" s="2">
        <f t="shared" si="37"/>
        <v>184.91096139879016</v>
      </c>
      <c r="L81" s="2">
        <f t="shared" si="38"/>
        <v>218.9713037724546</v>
      </c>
      <c r="M81" s="2">
        <f t="shared" si="39"/>
        <v>184.91096139879016</v>
      </c>
      <c r="N81" s="2">
        <f t="shared" si="40"/>
        <v>218.9713037724546</v>
      </c>
      <c r="O81" s="2">
        <f t="shared" si="41"/>
        <v>184.91096139879016</v>
      </c>
      <c r="P81" s="2">
        <f t="shared" si="42"/>
        <v>218.9713037724546</v>
      </c>
      <c r="Q81" s="2">
        <f t="shared" si="43"/>
        <v>184.91096139879016</v>
      </c>
      <c r="R81" s="2">
        <f t="shared" si="44"/>
        <v>218.9713037724546</v>
      </c>
      <c r="S81" s="2">
        <f t="shared" si="45"/>
        <v>184.91096139879016</v>
      </c>
      <c r="T81" s="2">
        <f t="shared" si="46"/>
        <v>218.9713037724546</v>
      </c>
      <c r="U81" s="2">
        <f t="shared" si="47"/>
        <v>184.91096139879016</v>
      </c>
      <c r="V81" s="2">
        <f t="shared" si="48"/>
        <v>218.9713037724546</v>
      </c>
      <c r="W81" s="2">
        <f t="shared" si="49"/>
        <v>184.91096139879016</v>
      </c>
      <c r="X81" s="2">
        <f t="shared" si="50"/>
        <v>218.9713037724546</v>
      </c>
      <c r="Y81" s="2">
        <f t="shared" si="51"/>
        <v>184.91096139879016</v>
      </c>
      <c r="Z81" s="2">
        <f t="shared" si="52"/>
        <v>218.9713037724546</v>
      </c>
      <c r="AA81" s="2">
        <f t="shared" si="53"/>
        <v>184.91096139879016</v>
      </c>
      <c r="AB81" s="2">
        <f t="shared" si="54"/>
        <v>218.9713037724546</v>
      </c>
      <c r="AC81" s="2">
        <f t="shared" si="55"/>
        <v>184.91096139879016</v>
      </c>
      <c r="AD81" s="2">
        <f t="shared" si="56"/>
        <v>218.9713037724546</v>
      </c>
      <c r="AE81" s="2">
        <f t="shared" si="57"/>
        <v>184.91096139879016</v>
      </c>
      <c r="AF81" s="2">
        <f t="shared" si="58"/>
        <v>218.9713037724546</v>
      </c>
      <c r="AG81" s="2">
        <f t="shared" si="59"/>
        <v>184.91096139879016</v>
      </c>
      <c r="AH81" s="2">
        <f t="shared" si="60"/>
        <v>218.9713037724546</v>
      </c>
    </row>
    <row r="82" spans="1:34">
      <c r="A82" t="str">
        <f>CYF!A82</f>
        <v>Vegetables</v>
      </c>
      <c r="B82" t="str">
        <f>CYF!B82</f>
        <v>SA3</v>
      </c>
      <c r="C82" s="2">
        <f>INDEX(TargetProduction!$X$47:$AD$61,MATCH($B82,TargetProduction!$W$47:$W$61,0),MATCH($A82,TargetProduction!$X$46:$AD$46,0))</f>
        <v>194.43351525282404</v>
      </c>
      <c r="D82" s="2">
        <f>INDEX(TargetProduction!$AE$47:$AK$61,MATCH($B82,TargetProduction!$W$47:$W$61,0),MATCH($A82,TargetProduction!$AE$46:$AK$46,0))</f>
        <v>125.079543992814</v>
      </c>
      <c r="E82" s="2">
        <f t="shared" si="31"/>
        <v>194.43351525282404</v>
      </c>
      <c r="F82" s="2">
        <f t="shared" si="32"/>
        <v>125.079543992814</v>
      </c>
      <c r="G82" s="2">
        <f t="shared" si="33"/>
        <v>194.43351525282404</v>
      </c>
      <c r="H82" s="2">
        <f t="shared" si="34"/>
        <v>125.079543992814</v>
      </c>
      <c r="I82" s="2">
        <f t="shared" si="35"/>
        <v>194.43351525282404</v>
      </c>
      <c r="J82" s="2">
        <f t="shared" si="36"/>
        <v>125.079543992814</v>
      </c>
      <c r="K82" s="2">
        <f t="shared" si="37"/>
        <v>194.43351525282404</v>
      </c>
      <c r="L82" s="2">
        <f t="shared" si="38"/>
        <v>125.079543992814</v>
      </c>
      <c r="M82" s="2">
        <f t="shared" si="39"/>
        <v>194.43351525282404</v>
      </c>
      <c r="N82" s="2">
        <f t="shared" si="40"/>
        <v>125.079543992814</v>
      </c>
      <c r="O82" s="2">
        <f t="shared" si="41"/>
        <v>194.43351525282404</v>
      </c>
      <c r="P82" s="2">
        <f t="shared" si="42"/>
        <v>125.079543992814</v>
      </c>
      <c r="Q82" s="2">
        <f t="shared" si="43"/>
        <v>194.43351525282404</v>
      </c>
      <c r="R82" s="2">
        <f t="shared" si="44"/>
        <v>125.079543992814</v>
      </c>
      <c r="S82" s="2">
        <f t="shared" si="45"/>
        <v>194.43351525282404</v>
      </c>
      <c r="T82" s="2">
        <f t="shared" si="46"/>
        <v>125.079543992814</v>
      </c>
      <c r="U82" s="2">
        <f t="shared" si="47"/>
        <v>194.43351525282404</v>
      </c>
      <c r="V82" s="2">
        <f t="shared" si="48"/>
        <v>125.079543992814</v>
      </c>
      <c r="W82" s="2">
        <f t="shared" si="49"/>
        <v>194.43351525282404</v>
      </c>
      <c r="X82" s="2">
        <f t="shared" si="50"/>
        <v>125.079543992814</v>
      </c>
      <c r="Y82" s="2">
        <f t="shared" si="51"/>
        <v>194.43351525282404</v>
      </c>
      <c r="Z82" s="2">
        <f t="shared" si="52"/>
        <v>125.079543992814</v>
      </c>
      <c r="AA82" s="2">
        <f t="shared" si="53"/>
        <v>194.43351525282404</v>
      </c>
      <c r="AB82" s="2">
        <f t="shared" si="54"/>
        <v>125.079543992814</v>
      </c>
      <c r="AC82" s="2">
        <f t="shared" si="55"/>
        <v>194.43351525282404</v>
      </c>
      <c r="AD82" s="2">
        <f t="shared" si="56"/>
        <v>125.079543992814</v>
      </c>
      <c r="AE82" s="2">
        <f t="shared" si="57"/>
        <v>194.43351525282404</v>
      </c>
      <c r="AF82" s="2">
        <f t="shared" si="58"/>
        <v>125.079543992814</v>
      </c>
      <c r="AG82" s="2">
        <f t="shared" si="59"/>
        <v>194.43351525282404</v>
      </c>
      <c r="AH82" s="2">
        <f t="shared" si="60"/>
        <v>125.079543992814</v>
      </c>
    </row>
    <row r="83" spans="1:34">
      <c r="A83" t="str">
        <f>CYF!A83</f>
        <v>Vegetables</v>
      </c>
      <c r="B83" t="str">
        <f>CYF!B83</f>
        <v>SH1</v>
      </c>
      <c r="C83" s="2">
        <f>INDEX(TargetProduction!$X$47:$AD$61,MATCH($B83,TargetProduction!$W$47:$W$61,0),MATCH($A83,TargetProduction!$X$46:$AD$46,0))</f>
        <v>162.52730285543132</v>
      </c>
      <c r="D83" s="2">
        <f>INDEX(TargetProduction!$AE$47:$AK$61,MATCH($B83,TargetProduction!$W$47:$W$61,0),MATCH($A83,TargetProduction!$AE$46:$AK$46,0))</f>
        <v>200.97155873805136</v>
      </c>
      <c r="E83" s="2">
        <f t="shared" si="31"/>
        <v>162.52730285543132</v>
      </c>
      <c r="F83" s="2">
        <f t="shared" si="32"/>
        <v>200.97155873805136</v>
      </c>
      <c r="G83" s="2">
        <f t="shared" si="33"/>
        <v>162.52730285543132</v>
      </c>
      <c r="H83" s="2">
        <f t="shared" si="34"/>
        <v>200.97155873805136</v>
      </c>
      <c r="I83" s="2">
        <f t="shared" si="35"/>
        <v>162.52730285543132</v>
      </c>
      <c r="J83" s="2">
        <f t="shared" si="36"/>
        <v>200.97155873805136</v>
      </c>
      <c r="K83" s="2">
        <f t="shared" si="37"/>
        <v>162.52730285543132</v>
      </c>
      <c r="L83" s="2">
        <f t="shared" si="38"/>
        <v>200.97155873805136</v>
      </c>
      <c r="M83" s="2">
        <f t="shared" si="39"/>
        <v>162.52730285543132</v>
      </c>
      <c r="N83" s="2">
        <f t="shared" si="40"/>
        <v>200.97155873805136</v>
      </c>
      <c r="O83" s="2">
        <f t="shared" si="41"/>
        <v>162.52730285543132</v>
      </c>
      <c r="P83" s="2">
        <f t="shared" si="42"/>
        <v>200.97155873805136</v>
      </c>
      <c r="Q83" s="2">
        <f t="shared" si="43"/>
        <v>162.52730285543132</v>
      </c>
      <c r="R83" s="2">
        <f t="shared" si="44"/>
        <v>200.97155873805136</v>
      </c>
      <c r="S83" s="2">
        <f t="shared" si="45"/>
        <v>162.52730285543132</v>
      </c>
      <c r="T83" s="2">
        <f t="shared" si="46"/>
        <v>200.97155873805136</v>
      </c>
      <c r="U83" s="2">
        <f t="shared" si="47"/>
        <v>162.52730285543132</v>
      </c>
      <c r="V83" s="2">
        <f t="shared" si="48"/>
        <v>200.97155873805136</v>
      </c>
      <c r="W83" s="2">
        <f t="shared" si="49"/>
        <v>162.52730285543132</v>
      </c>
      <c r="X83" s="2">
        <f t="shared" si="50"/>
        <v>200.97155873805136</v>
      </c>
      <c r="Y83" s="2">
        <f t="shared" si="51"/>
        <v>162.52730285543132</v>
      </c>
      <c r="Z83" s="2">
        <f t="shared" si="52"/>
        <v>200.97155873805136</v>
      </c>
      <c r="AA83" s="2">
        <f t="shared" si="53"/>
        <v>162.52730285543132</v>
      </c>
      <c r="AB83" s="2">
        <f t="shared" si="54"/>
        <v>200.97155873805136</v>
      </c>
      <c r="AC83" s="2">
        <f t="shared" si="55"/>
        <v>162.52730285543132</v>
      </c>
      <c r="AD83" s="2">
        <f t="shared" si="56"/>
        <v>200.97155873805136</v>
      </c>
      <c r="AE83" s="2">
        <f t="shared" si="57"/>
        <v>162.52730285543132</v>
      </c>
      <c r="AF83" s="2">
        <f t="shared" si="58"/>
        <v>200.97155873805136</v>
      </c>
      <c r="AG83" s="2">
        <f t="shared" si="59"/>
        <v>162.52730285543132</v>
      </c>
      <c r="AH83" s="2">
        <f t="shared" si="60"/>
        <v>200.97155873805136</v>
      </c>
    </row>
    <row r="84" spans="1:34">
      <c r="A84" t="str">
        <f>CYF!A84</f>
        <v>Vegetables</v>
      </c>
      <c r="B84" t="str">
        <f>CYF!B84</f>
        <v>SH3</v>
      </c>
      <c r="C84" s="2">
        <f>INDEX(TargetProduction!$X$47:$AD$61,MATCH($B84,TargetProduction!$W$47:$W$61,0),MATCH($A84,TargetProduction!$X$46:$AD$46,0))</f>
        <v>143.65233295159828</v>
      </c>
      <c r="D84" s="2">
        <f>INDEX(TargetProduction!$AE$47:$AK$61,MATCH($B84,TargetProduction!$W$47:$W$61,0),MATCH($A84,TargetProduction!$AE$46:$AK$46,0))</f>
        <v>182.53312686492993</v>
      </c>
      <c r="E84" s="2">
        <f t="shared" si="31"/>
        <v>143.65233295159828</v>
      </c>
      <c r="F84" s="2">
        <f t="shared" si="32"/>
        <v>182.53312686492993</v>
      </c>
      <c r="G84" s="2">
        <f t="shared" si="33"/>
        <v>143.65233295159828</v>
      </c>
      <c r="H84" s="2">
        <f t="shared" si="34"/>
        <v>182.53312686492993</v>
      </c>
      <c r="I84" s="2">
        <f t="shared" si="35"/>
        <v>143.65233295159828</v>
      </c>
      <c r="J84" s="2">
        <f t="shared" si="36"/>
        <v>182.53312686492993</v>
      </c>
      <c r="K84" s="2">
        <f t="shared" si="37"/>
        <v>143.65233295159828</v>
      </c>
      <c r="L84" s="2">
        <f t="shared" si="38"/>
        <v>182.53312686492993</v>
      </c>
      <c r="M84" s="2">
        <f t="shared" si="39"/>
        <v>143.65233295159828</v>
      </c>
      <c r="N84" s="2">
        <f t="shared" si="40"/>
        <v>182.53312686492993</v>
      </c>
      <c r="O84" s="2">
        <f t="shared" si="41"/>
        <v>143.65233295159828</v>
      </c>
      <c r="P84" s="2">
        <f t="shared" si="42"/>
        <v>182.53312686492993</v>
      </c>
      <c r="Q84" s="2">
        <f t="shared" si="43"/>
        <v>143.65233295159828</v>
      </c>
      <c r="R84" s="2">
        <f t="shared" si="44"/>
        <v>182.53312686492993</v>
      </c>
      <c r="S84" s="2">
        <f t="shared" si="45"/>
        <v>143.65233295159828</v>
      </c>
      <c r="T84" s="2">
        <f t="shared" si="46"/>
        <v>182.53312686492993</v>
      </c>
      <c r="U84" s="2">
        <f t="shared" si="47"/>
        <v>143.65233295159828</v>
      </c>
      <c r="V84" s="2">
        <f t="shared" si="48"/>
        <v>182.53312686492993</v>
      </c>
      <c r="W84" s="2">
        <f t="shared" si="49"/>
        <v>143.65233295159828</v>
      </c>
      <c r="X84" s="2">
        <f t="shared" si="50"/>
        <v>182.53312686492993</v>
      </c>
      <c r="Y84" s="2">
        <f t="shared" si="51"/>
        <v>143.65233295159828</v>
      </c>
      <c r="Z84" s="2">
        <f t="shared" si="52"/>
        <v>182.53312686492993</v>
      </c>
      <c r="AA84" s="2">
        <f t="shared" si="53"/>
        <v>143.65233295159828</v>
      </c>
      <c r="AB84" s="2">
        <f t="shared" si="54"/>
        <v>182.53312686492993</v>
      </c>
      <c r="AC84" s="2">
        <f t="shared" si="55"/>
        <v>143.65233295159828</v>
      </c>
      <c r="AD84" s="2">
        <f t="shared" si="56"/>
        <v>182.53312686492993</v>
      </c>
      <c r="AE84" s="2">
        <f t="shared" si="57"/>
        <v>143.65233295159828</v>
      </c>
      <c r="AF84" s="2">
        <f t="shared" si="58"/>
        <v>182.53312686492993</v>
      </c>
      <c r="AG84" s="2">
        <f t="shared" si="59"/>
        <v>143.65233295159828</v>
      </c>
      <c r="AH84" s="2">
        <f t="shared" si="60"/>
        <v>182.53312686492993</v>
      </c>
    </row>
    <row r="85" spans="1:34">
      <c r="A85" t="str">
        <f>CYF!A85</f>
        <v>Vegetables</v>
      </c>
      <c r="B85" t="str">
        <f>CYF!B85</f>
        <v>SM2</v>
      </c>
      <c r="C85" s="2">
        <f>INDEX(TargetProduction!$X$47:$AD$61,MATCH($B85,TargetProduction!$W$47:$W$61,0),MATCH($A85,TargetProduction!$X$46:$AD$46,0))</f>
        <v>1074.5031868552257</v>
      </c>
      <c r="D85" s="2">
        <f>INDEX(TargetProduction!$AE$47:$AK$61,MATCH($B85,TargetProduction!$W$47:$W$61,0),MATCH($A85,TargetProduction!$AE$46:$AK$46,0))</f>
        <v>0</v>
      </c>
      <c r="E85" s="2">
        <f t="shared" si="31"/>
        <v>1074.5031868552257</v>
      </c>
      <c r="F85" s="2">
        <f t="shared" si="32"/>
        <v>0</v>
      </c>
      <c r="G85" s="2">
        <f t="shared" si="33"/>
        <v>1074.5031868552257</v>
      </c>
      <c r="H85" s="2">
        <f t="shared" si="34"/>
        <v>0</v>
      </c>
      <c r="I85" s="2">
        <f t="shared" si="35"/>
        <v>1074.5031868552257</v>
      </c>
      <c r="J85" s="2">
        <f t="shared" si="36"/>
        <v>0</v>
      </c>
      <c r="K85" s="2">
        <f t="shared" si="37"/>
        <v>1074.5031868552257</v>
      </c>
      <c r="L85" s="2">
        <f t="shared" si="38"/>
        <v>0</v>
      </c>
      <c r="M85" s="2">
        <f t="shared" si="39"/>
        <v>1074.5031868552257</v>
      </c>
      <c r="N85" s="2">
        <f t="shared" si="40"/>
        <v>0</v>
      </c>
      <c r="O85" s="2">
        <f t="shared" si="41"/>
        <v>1074.5031868552257</v>
      </c>
      <c r="P85" s="2">
        <f t="shared" si="42"/>
        <v>0</v>
      </c>
      <c r="Q85" s="2">
        <f t="shared" si="43"/>
        <v>1074.5031868552257</v>
      </c>
      <c r="R85" s="2">
        <f t="shared" si="44"/>
        <v>0</v>
      </c>
      <c r="S85" s="2">
        <f t="shared" si="45"/>
        <v>1074.5031868552257</v>
      </c>
      <c r="T85" s="2">
        <f t="shared" si="46"/>
        <v>0</v>
      </c>
      <c r="U85" s="2">
        <f t="shared" si="47"/>
        <v>1074.5031868552257</v>
      </c>
      <c r="V85" s="2">
        <f t="shared" si="48"/>
        <v>0</v>
      </c>
      <c r="W85" s="2">
        <f t="shared" si="49"/>
        <v>1074.5031868552257</v>
      </c>
      <c r="X85" s="2">
        <f t="shared" si="50"/>
        <v>0</v>
      </c>
      <c r="Y85" s="2">
        <f t="shared" si="51"/>
        <v>1074.5031868552257</v>
      </c>
      <c r="Z85" s="2">
        <f t="shared" si="52"/>
        <v>0</v>
      </c>
      <c r="AA85" s="2">
        <f t="shared" si="53"/>
        <v>1074.5031868552257</v>
      </c>
      <c r="AB85" s="2">
        <f t="shared" si="54"/>
        <v>0</v>
      </c>
      <c r="AC85" s="2">
        <f t="shared" si="55"/>
        <v>1074.5031868552257</v>
      </c>
      <c r="AD85" s="2">
        <f t="shared" si="56"/>
        <v>0</v>
      </c>
      <c r="AE85" s="2">
        <f t="shared" si="57"/>
        <v>1074.5031868552257</v>
      </c>
      <c r="AF85" s="2">
        <f t="shared" si="58"/>
        <v>0</v>
      </c>
      <c r="AG85" s="2">
        <f t="shared" si="59"/>
        <v>1074.5031868552257</v>
      </c>
      <c r="AH85" s="2">
        <f t="shared" si="60"/>
        <v>0</v>
      </c>
    </row>
    <row r="86" spans="1:34">
      <c r="A86" t="str">
        <f>CYF!A86</f>
        <v>Vegetables</v>
      </c>
      <c r="B86" t="str">
        <f>CYF!B86</f>
        <v>SM2N</v>
      </c>
      <c r="C86" s="2">
        <f>INDEX(TargetProduction!$X$47:$AD$61,MATCH($B86,TargetProduction!$W$47:$W$61,0),MATCH($A86,TargetProduction!$X$46:$AD$46,0))</f>
        <v>247.87861770398032</v>
      </c>
      <c r="D86" s="2">
        <f>INDEX(TargetProduction!$AE$47:$AK$61,MATCH($B86,TargetProduction!$W$47:$W$61,0),MATCH($A86,TargetProduction!$AE$46:$AK$46,0))</f>
        <v>139.05586721935427</v>
      </c>
      <c r="E86" s="2">
        <f t="shared" si="31"/>
        <v>247.87861770398032</v>
      </c>
      <c r="F86" s="2">
        <f t="shared" si="32"/>
        <v>139.05586721935427</v>
      </c>
      <c r="G86" s="2">
        <f t="shared" si="33"/>
        <v>247.87861770398032</v>
      </c>
      <c r="H86" s="2">
        <f t="shared" si="34"/>
        <v>139.05586721935427</v>
      </c>
      <c r="I86" s="2">
        <f t="shared" si="35"/>
        <v>247.87861770398032</v>
      </c>
      <c r="J86" s="2">
        <f t="shared" si="36"/>
        <v>139.05586721935427</v>
      </c>
      <c r="K86" s="2">
        <f t="shared" si="37"/>
        <v>247.87861770398032</v>
      </c>
      <c r="L86" s="2">
        <f t="shared" si="38"/>
        <v>139.05586721935427</v>
      </c>
      <c r="M86" s="2">
        <f t="shared" si="39"/>
        <v>247.87861770398032</v>
      </c>
      <c r="N86" s="2">
        <f t="shared" si="40"/>
        <v>139.05586721935427</v>
      </c>
      <c r="O86" s="2">
        <f t="shared" si="41"/>
        <v>247.87861770398032</v>
      </c>
      <c r="P86" s="2">
        <f t="shared" si="42"/>
        <v>139.05586721935427</v>
      </c>
      <c r="Q86" s="2">
        <f t="shared" si="43"/>
        <v>247.87861770398032</v>
      </c>
      <c r="R86" s="2">
        <f t="shared" si="44"/>
        <v>139.05586721935427</v>
      </c>
      <c r="S86" s="2">
        <f t="shared" si="45"/>
        <v>247.87861770398032</v>
      </c>
      <c r="T86" s="2">
        <f t="shared" si="46"/>
        <v>139.05586721935427</v>
      </c>
      <c r="U86" s="2">
        <f t="shared" si="47"/>
        <v>247.87861770398032</v>
      </c>
      <c r="V86" s="2">
        <f t="shared" si="48"/>
        <v>139.05586721935427</v>
      </c>
      <c r="W86" s="2">
        <f t="shared" si="49"/>
        <v>247.87861770398032</v>
      </c>
      <c r="X86" s="2">
        <f t="shared" si="50"/>
        <v>139.05586721935427</v>
      </c>
      <c r="Y86" s="2">
        <f t="shared" si="51"/>
        <v>247.87861770398032</v>
      </c>
      <c r="Z86" s="2">
        <f t="shared" si="52"/>
        <v>139.05586721935427</v>
      </c>
      <c r="AA86" s="2">
        <f t="shared" si="53"/>
        <v>247.87861770398032</v>
      </c>
      <c r="AB86" s="2">
        <f t="shared" si="54"/>
        <v>139.05586721935427</v>
      </c>
      <c r="AC86" s="2">
        <f t="shared" si="55"/>
        <v>247.87861770398032</v>
      </c>
      <c r="AD86" s="2">
        <f t="shared" si="56"/>
        <v>139.05586721935427</v>
      </c>
      <c r="AE86" s="2">
        <f t="shared" si="57"/>
        <v>247.87861770398032</v>
      </c>
      <c r="AF86" s="2">
        <f t="shared" si="58"/>
        <v>139.05586721935427</v>
      </c>
      <c r="AG86" s="2">
        <f t="shared" si="59"/>
        <v>247.87861770398032</v>
      </c>
      <c r="AH86" s="2">
        <f t="shared" si="60"/>
        <v>139.05586721935427</v>
      </c>
    </row>
    <row r="87" spans="1:34">
      <c r="A87" t="str">
        <f>CYF!A87</f>
        <v>CashCrop</v>
      </c>
      <c r="B87" t="str">
        <f>CYF!B87</f>
        <v>A1</v>
      </c>
      <c r="C87" s="2">
        <f>INDEX(TargetProduction!$X$47:$AD$61,MATCH($B87,TargetProduction!$W$47:$W$61,0),MATCH($A87,TargetProduction!$X$46:$AD$46,0))</f>
        <v>0</v>
      </c>
      <c r="D87" s="2">
        <f>INDEX(TargetProduction!$AE$47:$AK$61,MATCH($B87,TargetProduction!$W$47:$W$61,0),MATCH($A87,TargetProduction!$AE$46:$AK$46,0))</f>
        <v>3.2577293693199976</v>
      </c>
      <c r="E87" s="2">
        <f t="shared" si="31"/>
        <v>0</v>
      </c>
      <c r="F87" s="2">
        <f t="shared" si="32"/>
        <v>3.2577293693199976</v>
      </c>
      <c r="G87" s="2">
        <f t="shared" si="33"/>
        <v>0</v>
      </c>
      <c r="H87" s="2">
        <f t="shared" si="34"/>
        <v>3.2577293693199976</v>
      </c>
      <c r="I87" s="2">
        <f t="shared" si="35"/>
        <v>0</v>
      </c>
      <c r="J87" s="2">
        <f t="shared" si="36"/>
        <v>3.2577293693199976</v>
      </c>
      <c r="K87" s="2">
        <f t="shared" si="37"/>
        <v>0</v>
      </c>
      <c r="L87" s="2">
        <f t="shared" si="38"/>
        <v>3.2577293693199976</v>
      </c>
      <c r="M87" s="2">
        <f t="shared" si="39"/>
        <v>0</v>
      </c>
      <c r="N87" s="2">
        <f t="shared" si="40"/>
        <v>3.2577293693199976</v>
      </c>
      <c r="O87" s="2">
        <f t="shared" si="41"/>
        <v>0</v>
      </c>
      <c r="P87" s="2">
        <f t="shared" si="42"/>
        <v>3.2577293693199976</v>
      </c>
      <c r="Q87" s="2">
        <f t="shared" si="43"/>
        <v>0</v>
      </c>
      <c r="R87" s="2">
        <f t="shared" si="44"/>
        <v>3.2577293693199976</v>
      </c>
      <c r="S87" s="2">
        <f t="shared" si="45"/>
        <v>0</v>
      </c>
      <c r="T87" s="2">
        <f t="shared" si="46"/>
        <v>3.2577293693199976</v>
      </c>
      <c r="U87" s="2">
        <f t="shared" si="47"/>
        <v>0</v>
      </c>
      <c r="V87" s="2">
        <f t="shared" si="48"/>
        <v>3.2577293693199976</v>
      </c>
      <c r="W87" s="2">
        <f t="shared" si="49"/>
        <v>0</v>
      </c>
      <c r="X87" s="2">
        <f t="shared" si="50"/>
        <v>3.2577293693199976</v>
      </c>
      <c r="Y87" s="2">
        <f t="shared" si="51"/>
        <v>0</v>
      </c>
      <c r="Z87" s="2">
        <f t="shared" si="52"/>
        <v>3.2577293693199976</v>
      </c>
      <c r="AA87" s="2">
        <f t="shared" si="53"/>
        <v>0</v>
      </c>
      <c r="AB87" s="2">
        <f t="shared" si="54"/>
        <v>3.2577293693199976</v>
      </c>
      <c r="AC87" s="2">
        <f t="shared" si="55"/>
        <v>0</v>
      </c>
      <c r="AD87" s="2">
        <f t="shared" si="56"/>
        <v>3.2577293693199976</v>
      </c>
      <c r="AE87" s="2">
        <f t="shared" si="57"/>
        <v>0</v>
      </c>
      <c r="AF87" s="2">
        <f t="shared" si="58"/>
        <v>3.2577293693199976</v>
      </c>
      <c r="AG87" s="2">
        <f t="shared" si="59"/>
        <v>0</v>
      </c>
      <c r="AH87" s="2">
        <f t="shared" si="60"/>
        <v>3.2577293693199976</v>
      </c>
    </row>
    <row r="88" spans="1:34">
      <c r="A88" t="str">
        <f>CYF!A88</f>
        <v>CashCrop</v>
      </c>
      <c r="B88" t="str">
        <f>CYF!B88</f>
        <v>H2</v>
      </c>
      <c r="C88" s="2">
        <f>INDEX(TargetProduction!$X$47:$AD$61,MATCH($B88,TargetProduction!$W$47:$W$61,0),MATCH($A88,TargetProduction!$X$46:$AD$46,0))</f>
        <v>10.166945513825347</v>
      </c>
      <c r="D88" s="2">
        <f>INDEX(TargetProduction!$AE$47:$AK$61,MATCH($B88,TargetProduction!$W$47:$W$61,0),MATCH($A88,TargetProduction!$AE$46:$AK$46,0))</f>
        <v>12.280167654391047</v>
      </c>
      <c r="E88" s="2">
        <f t="shared" si="31"/>
        <v>10.166945513825347</v>
      </c>
      <c r="F88" s="2">
        <f t="shared" si="32"/>
        <v>12.280167654391047</v>
      </c>
      <c r="G88" s="2">
        <f t="shared" si="33"/>
        <v>10.166945513825347</v>
      </c>
      <c r="H88" s="2">
        <f t="shared" si="34"/>
        <v>12.280167654391047</v>
      </c>
      <c r="I88" s="2">
        <f t="shared" si="35"/>
        <v>10.166945513825347</v>
      </c>
      <c r="J88" s="2">
        <f t="shared" si="36"/>
        <v>12.280167654391047</v>
      </c>
      <c r="K88" s="2">
        <f t="shared" si="37"/>
        <v>10.166945513825347</v>
      </c>
      <c r="L88" s="2">
        <f t="shared" si="38"/>
        <v>12.280167654391047</v>
      </c>
      <c r="M88" s="2">
        <f t="shared" si="39"/>
        <v>10.166945513825347</v>
      </c>
      <c r="N88" s="2">
        <f t="shared" si="40"/>
        <v>12.280167654391047</v>
      </c>
      <c r="O88" s="2">
        <f t="shared" si="41"/>
        <v>10.166945513825347</v>
      </c>
      <c r="P88" s="2">
        <f t="shared" si="42"/>
        <v>12.280167654391047</v>
      </c>
      <c r="Q88" s="2">
        <f t="shared" si="43"/>
        <v>10.166945513825347</v>
      </c>
      <c r="R88" s="2">
        <f t="shared" si="44"/>
        <v>12.280167654391047</v>
      </c>
      <c r="S88" s="2">
        <f t="shared" si="45"/>
        <v>10.166945513825347</v>
      </c>
      <c r="T88" s="2">
        <f t="shared" si="46"/>
        <v>12.280167654391047</v>
      </c>
      <c r="U88" s="2">
        <f t="shared" si="47"/>
        <v>10.166945513825347</v>
      </c>
      <c r="V88" s="2">
        <f t="shared" si="48"/>
        <v>12.280167654391047</v>
      </c>
      <c r="W88" s="2">
        <f t="shared" si="49"/>
        <v>10.166945513825347</v>
      </c>
      <c r="X88" s="2">
        <f t="shared" si="50"/>
        <v>12.280167654391047</v>
      </c>
      <c r="Y88" s="2">
        <f t="shared" si="51"/>
        <v>10.166945513825347</v>
      </c>
      <c r="Z88" s="2">
        <f t="shared" si="52"/>
        <v>12.280167654391047</v>
      </c>
      <c r="AA88" s="2">
        <f t="shared" si="53"/>
        <v>10.166945513825347</v>
      </c>
      <c r="AB88" s="2">
        <f t="shared" si="54"/>
        <v>12.280167654391047</v>
      </c>
      <c r="AC88" s="2">
        <f t="shared" si="55"/>
        <v>10.166945513825347</v>
      </c>
      <c r="AD88" s="2">
        <f t="shared" si="56"/>
        <v>12.280167654391047</v>
      </c>
      <c r="AE88" s="2">
        <f t="shared" si="57"/>
        <v>10.166945513825347</v>
      </c>
      <c r="AF88" s="2">
        <f t="shared" si="58"/>
        <v>12.280167654391047</v>
      </c>
      <c r="AG88" s="2">
        <f t="shared" si="59"/>
        <v>10.166945513825347</v>
      </c>
      <c r="AH88" s="2">
        <f t="shared" si="60"/>
        <v>12.280167654391047</v>
      </c>
    </row>
    <row r="89" spans="1:34">
      <c r="A89" t="str">
        <f>CYF!A89</f>
        <v>CashCrop</v>
      </c>
      <c r="B89" t="str">
        <f>CYF!B89</f>
        <v>H3</v>
      </c>
      <c r="C89" s="2">
        <f>INDEX(TargetProduction!$X$47:$AD$61,MATCH($B89,TargetProduction!$W$47:$W$61,0),MATCH($A89,TargetProduction!$X$46:$AD$46,0))</f>
        <v>13.261300906259253</v>
      </c>
      <c r="D89" s="2">
        <f>INDEX(TargetProduction!$AE$47:$AK$61,MATCH($B89,TargetProduction!$W$47:$W$61,0),MATCH($A89,TargetProduction!$AE$46:$AK$46,0))</f>
        <v>11.301759874183912</v>
      </c>
      <c r="E89" s="2">
        <f t="shared" si="31"/>
        <v>13.261300906259253</v>
      </c>
      <c r="F89" s="2">
        <f t="shared" si="32"/>
        <v>11.301759874183912</v>
      </c>
      <c r="G89" s="2">
        <f t="shared" si="33"/>
        <v>13.261300906259253</v>
      </c>
      <c r="H89" s="2">
        <f t="shared" si="34"/>
        <v>11.301759874183912</v>
      </c>
      <c r="I89" s="2">
        <f t="shared" si="35"/>
        <v>13.261300906259253</v>
      </c>
      <c r="J89" s="2">
        <f t="shared" si="36"/>
        <v>11.301759874183912</v>
      </c>
      <c r="K89" s="2">
        <f t="shared" si="37"/>
        <v>13.261300906259253</v>
      </c>
      <c r="L89" s="2">
        <f t="shared" si="38"/>
        <v>11.301759874183912</v>
      </c>
      <c r="M89" s="2">
        <f t="shared" si="39"/>
        <v>13.261300906259253</v>
      </c>
      <c r="N89" s="2">
        <f t="shared" si="40"/>
        <v>11.301759874183912</v>
      </c>
      <c r="O89" s="2">
        <f t="shared" si="41"/>
        <v>13.261300906259253</v>
      </c>
      <c r="P89" s="2">
        <f t="shared" si="42"/>
        <v>11.301759874183912</v>
      </c>
      <c r="Q89" s="2">
        <f t="shared" si="43"/>
        <v>13.261300906259253</v>
      </c>
      <c r="R89" s="2">
        <f t="shared" si="44"/>
        <v>11.301759874183912</v>
      </c>
      <c r="S89" s="2">
        <f t="shared" si="45"/>
        <v>13.261300906259253</v>
      </c>
      <c r="T89" s="2">
        <f t="shared" si="46"/>
        <v>11.301759874183912</v>
      </c>
      <c r="U89" s="2">
        <f t="shared" si="47"/>
        <v>13.261300906259253</v>
      </c>
      <c r="V89" s="2">
        <f t="shared" si="48"/>
        <v>11.301759874183912</v>
      </c>
      <c r="W89" s="2">
        <f t="shared" si="49"/>
        <v>13.261300906259253</v>
      </c>
      <c r="X89" s="2">
        <f t="shared" si="50"/>
        <v>11.301759874183912</v>
      </c>
      <c r="Y89" s="2">
        <f t="shared" si="51"/>
        <v>13.261300906259253</v>
      </c>
      <c r="Z89" s="2">
        <f t="shared" si="52"/>
        <v>11.301759874183912</v>
      </c>
      <c r="AA89" s="2">
        <f t="shared" si="53"/>
        <v>13.261300906259253</v>
      </c>
      <c r="AB89" s="2">
        <f t="shared" si="54"/>
        <v>11.301759874183912</v>
      </c>
      <c r="AC89" s="2">
        <f t="shared" si="55"/>
        <v>13.261300906259253</v>
      </c>
      <c r="AD89" s="2">
        <f t="shared" si="56"/>
        <v>11.301759874183912</v>
      </c>
      <c r="AE89" s="2">
        <f t="shared" si="57"/>
        <v>13.261300906259253</v>
      </c>
      <c r="AF89" s="2">
        <f t="shared" si="58"/>
        <v>11.301759874183912</v>
      </c>
      <c r="AG89" s="2">
        <f t="shared" si="59"/>
        <v>13.261300906259253</v>
      </c>
      <c r="AH89" s="2">
        <f t="shared" si="60"/>
        <v>11.301759874183912</v>
      </c>
    </row>
    <row r="90" spans="1:34">
      <c r="A90" t="str">
        <f>CYF!A90</f>
        <v>CashCrop</v>
      </c>
      <c r="B90" t="str">
        <f>CYF!B90</f>
        <v>H4</v>
      </c>
      <c r="C90" s="2">
        <f>INDEX(TargetProduction!$X$47:$AD$61,MATCH($B90,TargetProduction!$W$47:$W$61,0),MATCH($A90,TargetProduction!$X$46:$AD$46,0))</f>
        <v>16.737230054131629</v>
      </c>
      <c r="D90" s="2">
        <f>INDEX(TargetProduction!$AE$47:$AK$61,MATCH($B90,TargetProduction!$W$47:$W$61,0),MATCH($A90,TargetProduction!$AE$46:$AK$46,0))</f>
        <v>10.087222340528363</v>
      </c>
      <c r="E90" s="2">
        <f t="shared" si="31"/>
        <v>16.737230054131629</v>
      </c>
      <c r="F90" s="2">
        <f t="shared" si="32"/>
        <v>10.087222340528363</v>
      </c>
      <c r="G90" s="2">
        <f t="shared" si="33"/>
        <v>16.737230054131629</v>
      </c>
      <c r="H90" s="2">
        <f t="shared" si="34"/>
        <v>10.087222340528363</v>
      </c>
      <c r="I90" s="2">
        <f t="shared" si="35"/>
        <v>16.737230054131629</v>
      </c>
      <c r="J90" s="2">
        <f t="shared" si="36"/>
        <v>10.087222340528363</v>
      </c>
      <c r="K90" s="2">
        <f t="shared" si="37"/>
        <v>16.737230054131629</v>
      </c>
      <c r="L90" s="2">
        <f t="shared" si="38"/>
        <v>10.087222340528363</v>
      </c>
      <c r="M90" s="2">
        <f t="shared" si="39"/>
        <v>16.737230054131629</v>
      </c>
      <c r="N90" s="2">
        <f t="shared" si="40"/>
        <v>10.087222340528363</v>
      </c>
      <c r="O90" s="2">
        <f t="shared" si="41"/>
        <v>16.737230054131629</v>
      </c>
      <c r="P90" s="2">
        <f t="shared" si="42"/>
        <v>10.087222340528363</v>
      </c>
      <c r="Q90" s="2">
        <f t="shared" si="43"/>
        <v>16.737230054131629</v>
      </c>
      <c r="R90" s="2">
        <f t="shared" si="44"/>
        <v>10.087222340528363</v>
      </c>
      <c r="S90" s="2">
        <f t="shared" si="45"/>
        <v>16.737230054131629</v>
      </c>
      <c r="T90" s="2">
        <f t="shared" si="46"/>
        <v>10.087222340528363</v>
      </c>
      <c r="U90" s="2">
        <f t="shared" si="47"/>
        <v>16.737230054131629</v>
      </c>
      <c r="V90" s="2">
        <f t="shared" si="48"/>
        <v>10.087222340528363</v>
      </c>
      <c r="W90" s="2">
        <f t="shared" si="49"/>
        <v>16.737230054131629</v>
      </c>
      <c r="X90" s="2">
        <f t="shared" si="50"/>
        <v>10.087222340528363</v>
      </c>
      <c r="Y90" s="2">
        <f t="shared" si="51"/>
        <v>16.737230054131629</v>
      </c>
      <c r="Z90" s="2">
        <f t="shared" si="52"/>
        <v>10.087222340528363</v>
      </c>
      <c r="AA90" s="2">
        <f t="shared" si="53"/>
        <v>16.737230054131629</v>
      </c>
      <c r="AB90" s="2">
        <f t="shared" si="54"/>
        <v>10.087222340528363</v>
      </c>
      <c r="AC90" s="2">
        <f t="shared" si="55"/>
        <v>16.737230054131629</v>
      </c>
      <c r="AD90" s="2">
        <f t="shared" si="56"/>
        <v>10.087222340528363</v>
      </c>
      <c r="AE90" s="2">
        <f t="shared" si="57"/>
        <v>16.737230054131629</v>
      </c>
      <c r="AF90" s="2">
        <f t="shared" si="58"/>
        <v>10.087222340528363</v>
      </c>
      <c r="AG90" s="2">
        <f t="shared" si="59"/>
        <v>16.737230054131629</v>
      </c>
      <c r="AH90" s="2">
        <f t="shared" si="60"/>
        <v>10.087222340528363</v>
      </c>
    </row>
    <row r="91" spans="1:34">
      <c r="A91" t="str">
        <f>CYF!A91</f>
        <v>CashCrop</v>
      </c>
      <c r="B91" t="str">
        <f>CYF!B91</f>
        <v>H5</v>
      </c>
      <c r="C91" s="2">
        <f>INDEX(TargetProduction!$X$47:$AD$61,MATCH($B91,TargetProduction!$W$47:$W$61,0),MATCH($A91,TargetProduction!$X$46:$AD$46,0))</f>
        <v>18.983212613602308</v>
      </c>
      <c r="D91" s="2">
        <f>INDEX(TargetProduction!$AE$47:$AK$61,MATCH($B91,TargetProduction!$W$47:$W$61,0),MATCH($A91,TargetProduction!$AE$46:$AK$46,0))</f>
        <v>15.730763491906504</v>
      </c>
      <c r="E91" s="2">
        <f t="shared" si="31"/>
        <v>18.983212613602308</v>
      </c>
      <c r="F91" s="2">
        <f t="shared" si="32"/>
        <v>15.730763491906504</v>
      </c>
      <c r="G91" s="2">
        <f t="shared" si="33"/>
        <v>18.983212613602308</v>
      </c>
      <c r="H91" s="2">
        <f t="shared" si="34"/>
        <v>15.730763491906504</v>
      </c>
      <c r="I91" s="2">
        <f t="shared" si="35"/>
        <v>18.983212613602308</v>
      </c>
      <c r="J91" s="2">
        <f t="shared" si="36"/>
        <v>15.730763491906504</v>
      </c>
      <c r="K91" s="2">
        <f t="shared" si="37"/>
        <v>18.983212613602308</v>
      </c>
      <c r="L91" s="2">
        <f t="shared" si="38"/>
        <v>15.730763491906504</v>
      </c>
      <c r="M91" s="2">
        <f t="shared" si="39"/>
        <v>18.983212613602308</v>
      </c>
      <c r="N91" s="2">
        <f t="shared" si="40"/>
        <v>15.730763491906504</v>
      </c>
      <c r="O91" s="2">
        <f t="shared" si="41"/>
        <v>18.983212613602308</v>
      </c>
      <c r="P91" s="2">
        <f t="shared" si="42"/>
        <v>15.730763491906504</v>
      </c>
      <c r="Q91" s="2">
        <f t="shared" si="43"/>
        <v>18.983212613602308</v>
      </c>
      <c r="R91" s="2">
        <f t="shared" si="44"/>
        <v>15.730763491906504</v>
      </c>
      <c r="S91" s="2">
        <f t="shared" si="45"/>
        <v>18.983212613602308</v>
      </c>
      <c r="T91" s="2">
        <f t="shared" si="46"/>
        <v>15.730763491906504</v>
      </c>
      <c r="U91" s="2">
        <f t="shared" si="47"/>
        <v>18.983212613602308</v>
      </c>
      <c r="V91" s="2">
        <f t="shared" si="48"/>
        <v>15.730763491906504</v>
      </c>
      <c r="W91" s="2">
        <f t="shared" si="49"/>
        <v>18.983212613602308</v>
      </c>
      <c r="X91" s="2">
        <f t="shared" si="50"/>
        <v>15.730763491906504</v>
      </c>
      <c r="Y91" s="2">
        <f t="shared" si="51"/>
        <v>18.983212613602308</v>
      </c>
      <c r="Z91" s="2">
        <f t="shared" si="52"/>
        <v>15.730763491906504</v>
      </c>
      <c r="AA91" s="2">
        <f t="shared" si="53"/>
        <v>18.983212613602308</v>
      </c>
      <c r="AB91" s="2">
        <f t="shared" si="54"/>
        <v>15.730763491906504</v>
      </c>
      <c r="AC91" s="2">
        <f t="shared" si="55"/>
        <v>18.983212613602308</v>
      </c>
      <c r="AD91" s="2">
        <f t="shared" si="56"/>
        <v>15.730763491906504</v>
      </c>
      <c r="AE91" s="2">
        <f t="shared" si="57"/>
        <v>18.983212613602308</v>
      </c>
      <c r="AF91" s="2">
        <f t="shared" si="58"/>
        <v>15.730763491906504</v>
      </c>
      <c r="AG91" s="2">
        <f t="shared" si="59"/>
        <v>18.983212613602308</v>
      </c>
      <c r="AH91" s="2">
        <f t="shared" si="60"/>
        <v>15.730763491906504</v>
      </c>
    </row>
    <row r="92" spans="1:34">
      <c r="A92" t="str">
        <f>CYF!A92</f>
        <v>CashCrop</v>
      </c>
      <c r="B92" t="str">
        <f>CYF!B92</f>
        <v>M1</v>
      </c>
      <c r="C92" s="2">
        <f>INDEX(TargetProduction!$X$47:$AD$61,MATCH($B92,TargetProduction!$W$47:$W$61,0),MATCH($A92,TargetProduction!$X$46:$AD$46,0))</f>
        <v>15.888465244756222</v>
      </c>
      <c r="D92" s="2">
        <f>INDEX(TargetProduction!$AE$47:$AK$61,MATCH($B92,TargetProduction!$W$47:$W$61,0),MATCH($A92,TargetProduction!$AE$46:$AK$46,0))</f>
        <v>14.6348947691316</v>
      </c>
      <c r="E92" s="2">
        <f t="shared" si="31"/>
        <v>15.888465244756222</v>
      </c>
      <c r="F92" s="2">
        <f t="shared" si="32"/>
        <v>14.6348947691316</v>
      </c>
      <c r="G92" s="2">
        <f t="shared" si="33"/>
        <v>15.888465244756222</v>
      </c>
      <c r="H92" s="2">
        <f t="shared" si="34"/>
        <v>14.6348947691316</v>
      </c>
      <c r="I92" s="2">
        <f t="shared" si="35"/>
        <v>15.888465244756222</v>
      </c>
      <c r="J92" s="2">
        <f t="shared" si="36"/>
        <v>14.6348947691316</v>
      </c>
      <c r="K92" s="2">
        <f t="shared" si="37"/>
        <v>15.888465244756222</v>
      </c>
      <c r="L92" s="2">
        <f t="shared" si="38"/>
        <v>14.6348947691316</v>
      </c>
      <c r="M92" s="2">
        <f t="shared" si="39"/>
        <v>15.888465244756222</v>
      </c>
      <c r="N92" s="2">
        <f t="shared" si="40"/>
        <v>14.6348947691316</v>
      </c>
      <c r="O92" s="2">
        <f t="shared" si="41"/>
        <v>15.888465244756222</v>
      </c>
      <c r="P92" s="2">
        <f t="shared" si="42"/>
        <v>14.6348947691316</v>
      </c>
      <c r="Q92" s="2">
        <f t="shared" si="43"/>
        <v>15.888465244756222</v>
      </c>
      <c r="R92" s="2">
        <f t="shared" si="44"/>
        <v>14.6348947691316</v>
      </c>
      <c r="S92" s="2">
        <f t="shared" si="45"/>
        <v>15.888465244756222</v>
      </c>
      <c r="T92" s="2">
        <f t="shared" si="46"/>
        <v>14.6348947691316</v>
      </c>
      <c r="U92" s="2">
        <f t="shared" si="47"/>
        <v>15.888465244756222</v>
      </c>
      <c r="V92" s="2">
        <f t="shared" si="48"/>
        <v>14.6348947691316</v>
      </c>
      <c r="W92" s="2">
        <f t="shared" si="49"/>
        <v>15.888465244756222</v>
      </c>
      <c r="X92" s="2">
        <f t="shared" si="50"/>
        <v>14.6348947691316</v>
      </c>
      <c r="Y92" s="2">
        <f t="shared" si="51"/>
        <v>15.888465244756222</v>
      </c>
      <c r="Z92" s="2">
        <f t="shared" si="52"/>
        <v>14.6348947691316</v>
      </c>
      <c r="AA92" s="2">
        <f t="shared" si="53"/>
        <v>15.888465244756222</v>
      </c>
      <c r="AB92" s="2">
        <f t="shared" si="54"/>
        <v>14.6348947691316</v>
      </c>
      <c r="AC92" s="2">
        <f t="shared" si="55"/>
        <v>15.888465244756222</v>
      </c>
      <c r="AD92" s="2">
        <f t="shared" si="56"/>
        <v>14.6348947691316</v>
      </c>
      <c r="AE92" s="2">
        <f t="shared" si="57"/>
        <v>15.888465244756222</v>
      </c>
      <c r="AF92" s="2">
        <f t="shared" si="58"/>
        <v>14.6348947691316</v>
      </c>
      <c r="AG92" s="2">
        <f t="shared" si="59"/>
        <v>15.888465244756222</v>
      </c>
      <c r="AH92" s="2">
        <f t="shared" si="60"/>
        <v>14.6348947691316</v>
      </c>
    </row>
    <row r="93" spans="1:34">
      <c r="A93" t="str">
        <f>CYF!A93</f>
        <v>CashCrop</v>
      </c>
      <c r="B93" t="str">
        <f>CYF!B93</f>
        <v>M3</v>
      </c>
      <c r="C93" s="2">
        <f>INDEX(TargetProduction!$X$47:$AD$61,MATCH($B93,TargetProduction!$W$47:$W$61,0),MATCH($A93,TargetProduction!$X$46:$AD$46,0))</f>
        <v>15.782156177179917</v>
      </c>
      <c r="D93" s="2">
        <f>INDEX(TargetProduction!$AE$47:$AK$61,MATCH($B93,TargetProduction!$W$47:$W$61,0),MATCH($A93,TargetProduction!$AE$46:$AK$46,0))</f>
        <v>19.041506411070536</v>
      </c>
      <c r="E93" s="2">
        <f t="shared" si="31"/>
        <v>15.782156177179917</v>
      </c>
      <c r="F93" s="2">
        <f t="shared" si="32"/>
        <v>19.041506411070536</v>
      </c>
      <c r="G93" s="2">
        <f t="shared" si="33"/>
        <v>15.782156177179917</v>
      </c>
      <c r="H93" s="2">
        <f t="shared" si="34"/>
        <v>19.041506411070536</v>
      </c>
      <c r="I93" s="2">
        <f t="shared" si="35"/>
        <v>15.782156177179917</v>
      </c>
      <c r="J93" s="2">
        <f t="shared" si="36"/>
        <v>19.041506411070536</v>
      </c>
      <c r="K93" s="2">
        <f t="shared" si="37"/>
        <v>15.782156177179917</v>
      </c>
      <c r="L93" s="2">
        <f t="shared" si="38"/>
        <v>19.041506411070536</v>
      </c>
      <c r="M93" s="2">
        <f t="shared" si="39"/>
        <v>15.782156177179917</v>
      </c>
      <c r="N93" s="2">
        <f t="shared" si="40"/>
        <v>19.041506411070536</v>
      </c>
      <c r="O93" s="2">
        <f t="shared" si="41"/>
        <v>15.782156177179917</v>
      </c>
      <c r="P93" s="2">
        <f t="shared" si="42"/>
        <v>19.041506411070536</v>
      </c>
      <c r="Q93" s="2">
        <f t="shared" si="43"/>
        <v>15.782156177179917</v>
      </c>
      <c r="R93" s="2">
        <f t="shared" si="44"/>
        <v>19.041506411070536</v>
      </c>
      <c r="S93" s="2">
        <f t="shared" si="45"/>
        <v>15.782156177179917</v>
      </c>
      <c r="T93" s="2">
        <f t="shared" si="46"/>
        <v>19.041506411070536</v>
      </c>
      <c r="U93" s="2">
        <f t="shared" si="47"/>
        <v>15.782156177179917</v>
      </c>
      <c r="V93" s="2">
        <f t="shared" si="48"/>
        <v>19.041506411070536</v>
      </c>
      <c r="W93" s="2">
        <f t="shared" si="49"/>
        <v>15.782156177179917</v>
      </c>
      <c r="X93" s="2">
        <f t="shared" si="50"/>
        <v>19.041506411070536</v>
      </c>
      <c r="Y93" s="2">
        <f t="shared" si="51"/>
        <v>15.782156177179917</v>
      </c>
      <c r="Z93" s="2">
        <f t="shared" si="52"/>
        <v>19.041506411070536</v>
      </c>
      <c r="AA93" s="2">
        <f t="shared" si="53"/>
        <v>15.782156177179917</v>
      </c>
      <c r="AB93" s="2">
        <f t="shared" si="54"/>
        <v>19.041506411070536</v>
      </c>
      <c r="AC93" s="2">
        <f t="shared" si="55"/>
        <v>15.782156177179917</v>
      </c>
      <c r="AD93" s="2">
        <f t="shared" si="56"/>
        <v>19.041506411070536</v>
      </c>
      <c r="AE93" s="2">
        <f t="shared" si="57"/>
        <v>15.782156177179917</v>
      </c>
      <c r="AF93" s="2">
        <f t="shared" si="58"/>
        <v>19.041506411070536</v>
      </c>
      <c r="AG93" s="2">
        <f t="shared" si="59"/>
        <v>15.782156177179917</v>
      </c>
      <c r="AH93" s="2">
        <f t="shared" si="60"/>
        <v>19.041506411070536</v>
      </c>
    </row>
    <row r="94" spans="1:34">
      <c r="A94" t="str">
        <f>CYF!A94</f>
        <v>CashCrop</v>
      </c>
      <c r="B94" t="str">
        <f>CYF!B94</f>
        <v>M5</v>
      </c>
      <c r="C94" s="2">
        <f>INDEX(TargetProduction!$X$47:$AD$61,MATCH($B94,TargetProduction!$W$47:$W$61,0),MATCH($A94,TargetProduction!$X$46:$AD$46,0))</f>
        <v>15.449366326189494</v>
      </c>
      <c r="D94" s="2">
        <f>INDEX(TargetProduction!$AE$47:$AK$61,MATCH($B94,TargetProduction!$W$47:$W$61,0),MATCH($A94,TargetProduction!$AE$46:$AK$46,0))</f>
        <v>23.591215761309158</v>
      </c>
      <c r="E94" s="2">
        <f t="shared" si="31"/>
        <v>15.449366326189494</v>
      </c>
      <c r="F94" s="2">
        <f t="shared" si="32"/>
        <v>23.591215761309158</v>
      </c>
      <c r="G94" s="2">
        <f t="shared" si="33"/>
        <v>15.449366326189494</v>
      </c>
      <c r="H94" s="2">
        <f t="shared" si="34"/>
        <v>23.591215761309158</v>
      </c>
      <c r="I94" s="2">
        <f t="shared" si="35"/>
        <v>15.449366326189494</v>
      </c>
      <c r="J94" s="2">
        <f t="shared" si="36"/>
        <v>23.591215761309158</v>
      </c>
      <c r="K94" s="2">
        <f t="shared" si="37"/>
        <v>15.449366326189494</v>
      </c>
      <c r="L94" s="2">
        <f t="shared" si="38"/>
        <v>23.591215761309158</v>
      </c>
      <c r="M94" s="2">
        <f t="shared" si="39"/>
        <v>15.449366326189494</v>
      </c>
      <c r="N94" s="2">
        <f t="shared" si="40"/>
        <v>23.591215761309158</v>
      </c>
      <c r="O94" s="2">
        <f t="shared" si="41"/>
        <v>15.449366326189494</v>
      </c>
      <c r="P94" s="2">
        <f t="shared" si="42"/>
        <v>23.591215761309158</v>
      </c>
      <c r="Q94" s="2">
        <f t="shared" si="43"/>
        <v>15.449366326189494</v>
      </c>
      <c r="R94" s="2">
        <f t="shared" si="44"/>
        <v>23.591215761309158</v>
      </c>
      <c r="S94" s="2">
        <f t="shared" si="45"/>
        <v>15.449366326189494</v>
      </c>
      <c r="T94" s="2">
        <f t="shared" si="46"/>
        <v>23.591215761309158</v>
      </c>
      <c r="U94" s="2">
        <f t="shared" si="47"/>
        <v>15.449366326189494</v>
      </c>
      <c r="V94" s="2">
        <f t="shared" si="48"/>
        <v>23.591215761309158</v>
      </c>
      <c r="W94" s="2">
        <f t="shared" si="49"/>
        <v>15.449366326189494</v>
      </c>
      <c r="X94" s="2">
        <f t="shared" si="50"/>
        <v>23.591215761309158</v>
      </c>
      <c r="Y94" s="2">
        <f t="shared" si="51"/>
        <v>15.449366326189494</v>
      </c>
      <c r="Z94" s="2">
        <f t="shared" si="52"/>
        <v>23.591215761309158</v>
      </c>
      <c r="AA94" s="2">
        <f t="shared" si="53"/>
        <v>15.449366326189494</v>
      </c>
      <c r="AB94" s="2">
        <f t="shared" si="54"/>
        <v>23.591215761309158</v>
      </c>
      <c r="AC94" s="2">
        <f t="shared" si="55"/>
        <v>15.449366326189494</v>
      </c>
      <c r="AD94" s="2">
        <f t="shared" si="56"/>
        <v>23.591215761309158</v>
      </c>
      <c r="AE94" s="2">
        <f t="shared" si="57"/>
        <v>15.449366326189494</v>
      </c>
      <c r="AF94" s="2">
        <f t="shared" si="58"/>
        <v>23.591215761309158</v>
      </c>
      <c r="AG94" s="2">
        <f t="shared" si="59"/>
        <v>15.449366326189494</v>
      </c>
      <c r="AH94" s="2">
        <f t="shared" si="60"/>
        <v>23.591215761309158</v>
      </c>
    </row>
    <row r="95" spans="1:34">
      <c r="A95" t="str">
        <f>CYF!A95</f>
        <v>CashCrop</v>
      </c>
      <c r="B95" t="str">
        <f>CYF!B95</f>
        <v>SA1</v>
      </c>
      <c r="C95" s="2">
        <f>INDEX(TargetProduction!$X$47:$AD$61,MATCH($B95,TargetProduction!$W$47:$W$61,0),MATCH($A95,TargetProduction!$X$46:$AD$46,0))</f>
        <v>9.8544648628714651</v>
      </c>
      <c r="D95" s="2">
        <f>INDEX(TargetProduction!$AE$47:$AK$61,MATCH($B95,TargetProduction!$W$47:$W$61,0),MATCH($A95,TargetProduction!$AE$46:$AK$46,0))</f>
        <v>11.179858861189347</v>
      </c>
      <c r="E95" s="2">
        <f t="shared" si="31"/>
        <v>9.8544648628714651</v>
      </c>
      <c r="F95" s="2">
        <f t="shared" si="32"/>
        <v>11.179858861189347</v>
      </c>
      <c r="G95" s="2">
        <f t="shared" si="33"/>
        <v>9.8544648628714651</v>
      </c>
      <c r="H95" s="2">
        <f t="shared" si="34"/>
        <v>11.179858861189347</v>
      </c>
      <c r="I95" s="2">
        <f t="shared" si="35"/>
        <v>9.8544648628714651</v>
      </c>
      <c r="J95" s="2">
        <f t="shared" si="36"/>
        <v>11.179858861189347</v>
      </c>
      <c r="K95" s="2">
        <f t="shared" si="37"/>
        <v>9.8544648628714651</v>
      </c>
      <c r="L95" s="2">
        <f t="shared" si="38"/>
        <v>11.179858861189347</v>
      </c>
      <c r="M95" s="2">
        <f t="shared" si="39"/>
        <v>9.8544648628714651</v>
      </c>
      <c r="N95" s="2">
        <f t="shared" si="40"/>
        <v>11.179858861189347</v>
      </c>
      <c r="O95" s="2">
        <f t="shared" si="41"/>
        <v>9.8544648628714651</v>
      </c>
      <c r="P95" s="2">
        <f t="shared" si="42"/>
        <v>11.179858861189347</v>
      </c>
      <c r="Q95" s="2">
        <f t="shared" si="43"/>
        <v>9.8544648628714651</v>
      </c>
      <c r="R95" s="2">
        <f t="shared" si="44"/>
        <v>11.179858861189347</v>
      </c>
      <c r="S95" s="2">
        <f t="shared" si="45"/>
        <v>9.8544648628714651</v>
      </c>
      <c r="T95" s="2">
        <f t="shared" si="46"/>
        <v>11.179858861189347</v>
      </c>
      <c r="U95" s="2">
        <f t="shared" si="47"/>
        <v>9.8544648628714651</v>
      </c>
      <c r="V95" s="2">
        <f t="shared" si="48"/>
        <v>11.179858861189347</v>
      </c>
      <c r="W95" s="2">
        <f t="shared" si="49"/>
        <v>9.8544648628714651</v>
      </c>
      <c r="X95" s="2">
        <f t="shared" si="50"/>
        <v>11.179858861189347</v>
      </c>
      <c r="Y95" s="2">
        <f t="shared" si="51"/>
        <v>9.8544648628714651</v>
      </c>
      <c r="Z95" s="2">
        <f t="shared" si="52"/>
        <v>11.179858861189347</v>
      </c>
      <c r="AA95" s="2">
        <f t="shared" si="53"/>
        <v>9.8544648628714651</v>
      </c>
      <c r="AB95" s="2">
        <f t="shared" si="54"/>
        <v>11.179858861189347</v>
      </c>
      <c r="AC95" s="2">
        <f t="shared" si="55"/>
        <v>9.8544648628714651</v>
      </c>
      <c r="AD95" s="2">
        <f t="shared" si="56"/>
        <v>11.179858861189347</v>
      </c>
      <c r="AE95" s="2">
        <f t="shared" si="57"/>
        <v>9.8544648628714651</v>
      </c>
      <c r="AF95" s="2">
        <f t="shared" si="58"/>
        <v>11.179858861189347</v>
      </c>
      <c r="AG95" s="2">
        <f t="shared" si="59"/>
        <v>9.8544648628714651</v>
      </c>
      <c r="AH95" s="2">
        <f t="shared" si="60"/>
        <v>11.179858861189347</v>
      </c>
    </row>
    <row r="96" spans="1:34">
      <c r="A96" t="str">
        <f>CYF!A96</f>
        <v>CashCrop</v>
      </c>
      <c r="B96" t="str">
        <f>CYF!B96</f>
        <v>SA3</v>
      </c>
      <c r="C96" s="2">
        <f>INDEX(TargetProduction!$X$47:$AD$61,MATCH($B96,TargetProduction!$W$47:$W$61,0),MATCH($A96,TargetProduction!$X$46:$AD$46,0))</f>
        <v>17.805401361921696</v>
      </c>
      <c r="D96" s="2">
        <f>INDEX(TargetProduction!$AE$47:$AK$61,MATCH($B96,TargetProduction!$W$47:$W$61,0),MATCH($A96,TargetProduction!$AE$46:$AK$46,0))</f>
        <v>20.010389436683514</v>
      </c>
      <c r="E96" s="2">
        <f t="shared" si="31"/>
        <v>17.805401361921696</v>
      </c>
      <c r="F96" s="2">
        <f t="shared" si="32"/>
        <v>20.010389436683514</v>
      </c>
      <c r="G96" s="2">
        <f t="shared" si="33"/>
        <v>17.805401361921696</v>
      </c>
      <c r="H96" s="2">
        <f t="shared" si="34"/>
        <v>20.010389436683514</v>
      </c>
      <c r="I96" s="2">
        <f t="shared" si="35"/>
        <v>17.805401361921696</v>
      </c>
      <c r="J96" s="2">
        <f t="shared" si="36"/>
        <v>20.010389436683514</v>
      </c>
      <c r="K96" s="2">
        <f t="shared" si="37"/>
        <v>17.805401361921696</v>
      </c>
      <c r="L96" s="2">
        <f t="shared" si="38"/>
        <v>20.010389436683514</v>
      </c>
      <c r="M96" s="2">
        <f t="shared" si="39"/>
        <v>17.805401361921696</v>
      </c>
      <c r="N96" s="2">
        <f t="shared" si="40"/>
        <v>20.010389436683514</v>
      </c>
      <c r="O96" s="2">
        <f t="shared" si="41"/>
        <v>17.805401361921696</v>
      </c>
      <c r="P96" s="2">
        <f t="shared" si="42"/>
        <v>20.010389436683514</v>
      </c>
      <c r="Q96" s="2">
        <f t="shared" si="43"/>
        <v>17.805401361921696</v>
      </c>
      <c r="R96" s="2">
        <f t="shared" si="44"/>
        <v>20.010389436683514</v>
      </c>
      <c r="S96" s="2">
        <f t="shared" si="45"/>
        <v>17.805401361921696</v>
      </c>
      <c r="T96" s="2">
        <f t="shared" si="46"/>
        <v>20.010389436683514</v>
      </c>
      <c r="U96" s="2">
        <f t="shared" si="47"/>
        <v>17.805401361921696</v>
      </c>
      <c r="V96" s="2">
        <f t="shared" si="48"/>
        <v>20.010389436683514</v>
      </c>
      <c r="W96" s="2">
        <f t="shared" si="49"/>
        <v>17.805401361921696</v>
      </c>
      <c r="X96" s="2">
        <f t="shared" si="50"/>
        <v>20.010389436683514</v>
      </c>
      <c r="Y96" s="2">
        <f t="shared" si="51"/>
        <v>17.805401361921696</v>
      </c>
      <c r="Z96" s="2">
        <f t="shared" si="52"/>
        <v>20.010389436683514</v>
      </c>
      <c r="AA96" s="2">
        <f t="shared" si="53"/>
        <v>17.805401361921696</v>
      </c>
      <c r="AB96" s="2">
        <f t="shared" si="54"/>
        <v>20.010389436683514</v>
      </c>
      <c r="AC96" s="2">
        <f t="shared" si="55"/>
        <v>17.805401361921696</v>
      </c>
      <c r="AD96" s="2">
        <f t="shared" si="56"/>
        <v>20.010389436683514</v>
      </c>
      <c r="AE96" s="2">
        <f t="shared" si="57"/>
        <v>17.805401361921696</v>
      </c>
      <c r="AF96" s="2">
        <f t="shared" si="58"/>
        <v>20.010389436683514</v>
      </c>
      <c r="AG96" s="2">
        <f t="shared" si="59"/>
        <v>17.805401361921696</v>
      </c>
      <c r="AH96" s="2">
        <f t="shared" si="60"/>
        <v>20.010389436683514</v>
      </c>
    </row>
    <row r="97" spans="1:34">
      <c r="A97" t="str">
        <f>CYF!A97</f>
        <v>CashCrop</v>
      </c>
      <c r="B97" t="str">
        <f>CYF!B97</f>
        <v>SH1</v>
      </c>
      <c r="C97" s="2">
        <f>INDEX(TargetProduction!$X$47:$AD$61,MATCH($B97,TargetProduction!$W$47:$W$61,0),MATCH($A97,TargetProduction!$X$46:$AD$46,0))</f>
        <v>8.3073906597429001</v>
      </c>
      <c r="D97" s="2">
        <f>INDEX(TargetProduction!$AE$47:$AK$61,MATCH($B97,TargetProduction!$W$47:$W$61,0),MATCH($A97,TargetProduction!$AE$46:$AK$46,0))</f>
        <v>9.3175327783686495</v>
      </c>
      <c r="E97" s="2">
        <f t="shared" si="31"/>
        <v>8.3073906597429001</v>
      </c>
      <c r="F97" s="2">
        <f t="shared" si="32"/>
        <v>9.3175327783686495</v>
      </c>
      <c r="G97" s="2">
        <f t="shared" si="33"/>
        <v>8.3073906597429001</v>
      </c>
      <c r="H97" s="2">
        <f t="shared" si="34"/>
        <v>9.3175327783686495</v>
      </c>
      <c r="I97" s="2">
        <f t="shared" si="35"/>
        <v>8.3073906597429001</v>
      </c>
      <c r="J97" s="2">
        <f t="shared" si="36"/>
        <v>9.3175327783686495</v>
      </c>
      <c r="K97" s="2">
        <f t="shared" si="37"/>
        <v>8.3073906597429001</v>
      </c>
      <c r="L97" s="2">
        <f t="shared" si="38"/>
        <v>9.3175327783686495</v>
      </c>
      <c r="M97" s="2">
        <f t="shared" si="39"/>
        <v>8.3073906597429001</v>
      </c>
      <c r="N97" s="2">
        <f t="shared" si="40"/>
        <v>9.3175327783686495</v>
      </c>
      <c r="O97" s="2">
        <f t="shared" si="41"/>
        <v>8.3073906597429001</v>
      </c>
      <c r="P97" s="2">
        <f t="shared" si="42"/>
        <v>9.3175327783686495</v>
      </c>
      <c r="Q97" s="2">
        <f t="shared" si="43"/>
        <v>8.3073906597429001</v>
      </c>
      <c r="R97" s="2">
        <f t="shared" si="44"/>
        <v>9.3175327783686495</v>
      </c>
      <c r="S97" s="2">
        <f t="shared" si="45"/>
        <v>8.3073906597429001</v>
      </c>
      <c r="T97" s="2">
        <f t="shared" si="46"/>
        <v>9.3175327783686495</v>
      </c>
      <c r="U97" s="2">
        <f t="shared" si="47"/>
        <v>8.3073906597429001</v>
      </c>
      <c r="V97" s="2">
        <f t="shared" si="48"/>
        <v>9.3175327783686495</v>
      </c>
      <c r="W97" s="2">
        <f t="shared" si="49"/>
        <v>8.3073906597429001</v>
      </c>
      <c r="X97" s="2">
        <f t="shared" si="50"/>
        <v>9.3175327783686495</v>
      </c>
      <c r="Y97" s="2">
        <f t="shared" si="51"/>
        <v>8.3073906597429001</v>
      </c>
      <c r="Z97" s="2">
        <f t="shared" si="52"/>
        <v>9.3175327783686495</v>
      </c>
      <c r="AA97" s="2">
        <f t="shared" si="53"/>
        <v>8.3073906597429001</v>
      </c>
      <c r="AB97" s="2">
        <f t="shared" si="54"/>
        <v>9.3175327783686495</v>
      </c>
      <c r="AC97" s="2">
        <f t="shared" si="55"/>
        <v>8.3073906597429001</v>
      </c>
      <c r="AD97" s="2">
        <f t="shared" si="56"/>
        <v>9.3175327783686495</v>
      </c>
      <c r="AE97" s="2">
        <f t="shared" si="57"/>
        <v>8.3073906597429001</v>
      </c>
      <c r="AF97" s="2">
        <f t="shared" si="58"/>
        <v>9.3175327783686495</v>
      </c>
      <c r="AG97" s="2">
        <f t="shared" si="59"/>
        <v>8.3073906597429001</v>
      </c>
      <c r="AH97" s="2">
        <f t="shared" si="60"/>
        <v>9.3175327783686495</v>
      </c>
    </row>
    <row r="98" spans="1:34">
      <c r="A98" t="str">
        <f>CYF!A98</f>
        <v>CashCrop</v>
      </c>
      <c r="B98" t="str">
        <f>CYF!B98</f>
        <v>SH3</v>
      </c>
      <c r="C98" s="2">
        <f>INDEX(TargetProduction!$X$47:$AD$61,MATCH($B98,TargetProduction!$W$47:$W$61,0),MATCH($A98,TargetProduction!$X$46:$AD$46,0))</f>
        <v>9.356611505157403</v>
      </c>
      <c r="D98" s="2">
        <f>INDEX(TargetProduction!$AE$47:$AK$61,MATCH($B98,TargetProduction!$W$47:$W$61,0),MATCH($A98,TargetProduction!$AE$46:$AK$46,0))</f>
        <v>11.228432361616834</v>
      </c>
      <c r="E98" s="2">
        <f t="shared" si="31"/>
        <v>9.356611505157403</v>
      </c>
      <c r="F98" s="2">
        <f t="shared" si="32"/>
        <v>11.228432361616834</v>
      </c>
      <c r="G98" s="2">
        <f t="shared" si="33"/>
        <v>9.356611505157403</v>
      </c>
      <c r="H98" s="2">
        <f t="shared" si="34"/>
        <v>11.228432361616834</v>
      </c>
      <c r="I98" s="2">
        <f t="shared" si="35"/>
        <v>9.356611505157403</v>
      </c>
      <c r="J98" s="2">
        <f t="shared" si="36"/>
        <v>11.228432361616834</v>
      </c>
      <c r="K98" s="2">
        <f t="shared" si="37"/>
        <v>9.356611505157403</v>
      </c>
      <c r="L98" s="2">
        <f t="shared" si="38"/>
        <v>11.228432361616834</v>
      </c>
      <c r="M98" s="2">
        <f t="shared" si="39"/>
        <v>9.356611505157403</v>
      </c>
      <c r="N98" s="2">
        <f t="shared" si="40"/>
        <v>11.228432361616834</v>
      </c>
      <c r="O98" s="2">
        <f t="shared" si="41"/>
        <v>9.356611505157403</v>
      </c>
      <c r="P98" s="2">
        <f t="shared" si="42"/>
        <v>11.228432361616834</v>
      </c>
      <c r="Q98" s="2">
        <f t="shared" si="43"/>
        <v>9.356611505157403</v>
      </c>
      <c r="R98" s="2">
        <f t="shared" si="44"/>
        <v>11.228432361616834</v>
      </c>
      <c r="S98" s="2">
        <f t="shared" si="45"/>
        <v>9.356611505157403</v>
      </c>
      <c r="T98" s="2">
        <f t="shared" si="46"/>
        <v>11.228432361616834</v>
      </c>
      <c r="U98" s="2">
        <f t="shared" si="47"/>
        <v>9.356611505157403</v>
      </c>
      <c r="V98" s="2">
        <f t="shared" si="48"/>
        <v>11.228432361616834</v>
      </c>
      <c r="W98" s="2">
        <f t="shared" si="49"/>
        <v>9.356611505157403</v>
      </c>
      <c r="X98" s="2">
        <f t="shared" si="50"/>
        <v>11.228432361616834</v>
      </c>
      <c r="Y98" s="2">
        <f t="shared" si="51"/>
        <v>9.356611505157403</v>
      </c>
      <c r="Z98" s="2">
        <f t="shared" si="52"/>
        <v>11.228432361616834</v>
      </c>
      <c r="AA98" s="2">
        <f t="shared" si="53"/>
        <v>9.356611505157403</v>
      </c>
      <c r="AB98" s="2">
        <f t="shared" si="54"/>
        <v>11.228432361616834</v>
      </c>
      <c r="AC98" s="2">
        <f t="shared" si="55"/>
        <v>9.356611505157403</v>
      </c>
      <c r="AD98" s="2">
        <f t="shared" si="56"/>
        <v>11.228432361616834</v>
      </c>
      <c r="AE98" s="2">
        <f t="shared" si="57"/>
        <v>9.356611505157403</v>
      </c>
      <c r="AF98" s="2">
        <f t="shared" si="58"/>
        <v>11.228432361616834</v>
      </c>
      <c r="AG98" s="2">
        <f t="shared" si="59"/>
        <v>9.356611505157403</v>
      </c>
      <c r="AH98" s="2">
        <f t="shared" si="60"/>
        <v>11.228432361616834</v>
      </c>
    </row>
    <row r="99" spans="1:34">
      <c r="A99" t="str">
        <f>CYF!A99</f>
        <v>CashCrop</v>
      </c>
      <c r="B99" t="str">
        <f>CYF!B99</f>
        <v>SM2</v>
      </c>
      <c r="C99" s="2">
        <f>INDEX(TargetProduction!$X$47:$AD$61,MATCH($B99,TargetProduction!$W$47:$W$61,0),MATCH($A99,TargetProduction!$X$46:$AD$46,0))</f>
        <v>44.39278398095589</v>
      </c>
      <c r="D99" s="2">
        <f>INDEX(TargetProduction!$AE$47:$AK$61,MATCH($B99,TargetProduction!$W$47:$W$61,0),MATCH($A99,TargetProduction!$AE$46:$AK$46,0))</f>
        <v>3.2577293693199985</v>
      </c>
      <c r="E99" s="2">
        <f t="shared" si="31"/>
        <v>44.39278398095589</v>
      </c>
      <c r="F99" s="2">
        <f t="shared" si="32"/>
        <v>3.2577293693199985</v>
      </c>
      <c r="G99" s="2">
        <f t="shared" si="33"/>
        <v>44.39278398095589</v>
      </c>
      <c r="H99" s="2">
        <f t="shared" si="34"/>
        <v>3.2577293693199985</v>
      </c>
      <c r="I99" s="2">
        <f t="shared" si="35"/>
        <v>44.39278398095589</v>
      </c>
      <c r="J99" s="2">
        <f t="shared" si="36"/>
        <v>3.2577293693199985</v>
      </c>
      <c r="K99" s="2">
        <f t="shared" si="37"/>
        <v>44.39278398095589</v>
      </c>
      <c r="L99" s="2">
        <f t="shared" si="38"/>
        <v>3.2577293693199985</v>
      </c>
      <c r="M99" s="2">
        <f t="shared" si="39"/>
        <v>44.39278398095589</v>
      </c>
      <c r="N99" s="2">
        <f t="shared" si="40"/>
        <v>3.2577293693199985</v>
      </c>
      <c r="O99" s="2">
        <f t="shared" si="41"/>
        <v>44.39278398095589</v>
      </c>
      <c r="P99" s="2">
        <f t="shared" si="42"/>
        <v>3.2577293693199985</v>
      </c>
      <c r="Q99" s="2">
        <f t="shared" si="43"/>
        <v>44.39278398095589</v>
      </c>
      <c r="R99" s="2">
        <f t="shared" si="44"/>
        <v>3.2577293693199985</v>
      </c>
      <c r="S99" s="2">
        <f t="shared" si="45"/>
        <v>44.39278398095589</v>
      </c>
      <c r="T99" s="2">
        <f t="shared" si="46"/>
        <v>3.2577293693199985</v>
      </c>
      <c r="U99" s="2">
        <f t="shared" si="47"/>
        <v>44.39278398095589</v>
      </c>
      <c r="V99" s="2">
        <f t="shared" si="48"/>
        <v>3.2577293693199985</v>
      </c>
      <c r="W99" s="2">
        <f t="shared" si="49"/>
        <v>44.39278398095589</v>
      </c>
      <c r="X99" s="2">
        <f t="shared" si="50"/>
        <v>3.2577293693199985</v>
      </c>
      <c r="Y99" s="2">
        <f t="shared" si="51"/>
        <v>44.39278398095589</v>
      </c>
      <c r="Z99" s="2">
        <f t="shared" si="52"/>
        <v>3.2577293693199985</v>
      </c>
      <c r="AA99" s="2">
        <f t="shared" si="53"/>
        <v>44.39278398095589</v>
      </c>
      <c r="AB99" s="2">
        <f t="shared" si="54"/>
        <v>3.2577293693199985</v>
      </c>
      <c r="AC99" s="2">
        <f t="shared" si="55"/>
        <v>44.39278398095589</v>
      </c>
      <c r="AD99" s="2">
        <f t="shared" si="56"/>
        <v>3.2577293693199985</v>
      </c>
      <c r="AE99" s="2">
        <f t="shared" si="57"/>
        <v>44.39278398095589</v>
      </c>
      <c r="AF99" s="2">
        <f t="shared" si="58"/>
        <v>3.2577293693199985</v>
      </c>
      <c r="AG99" s="2">
        <f t="shared" si="59"/>
        <v>44.39278398095589</v>
      </c>
      <c r="AH99" s="2">
        <f t="shared" si="60"/>
        <v>3.2577293693199985</v>
      </c>
    </row>
    <row r="100" spans="1:34">
      <c r="A100" t="str">
        <f>CYF!A100</f>
        <v>CashCrop</v>
      </c>
      <c r="B100" t="str">
        <f>CYF!B100</f>
        <v>SM2N</v>
      </c>
      <c r="C100" s="2">
        <f>INDEX(TargetProduction!$X$47:$AD$61,MATCH($B100,TargetProduction!$W$47:$W$61,0),MATCH($A100,TargetProduction!$X$46:$AD$46,0))</f>
        <v>35.634061169557128</v>
      </c>
      <c r="D100" s="2">
        <f>INDEX(TargetProduction!$AE$47:$AK$61,MATCH($B100,TargetProduction!$W$47:$W$61,0),MATCH($A100,TargetProduction!$AE$46:$AK$46,0))</f>
        <v>23.591215761309165</v>
      </c>
      <c r="E100" s="2">
        <f t="shared" si="31"/>
        <v>35.634061169557128</v>
      </c>
      <c r="F100" s="2">
        <f t="shared" si="32"/>
        <v>23.591215761309165</v>
      </c>
      <c r="G100" s="2">
        <f t="shared" si="33"/>
        <v>35.634061169557128</v>
      </c>
      <c r="H100" s="2">
        <f t="shared" si="34"/>
        <v>23.591215761309165</v>
      </c>
      <c r="I100" s="2">
        <f t="shared" si="35"/>
        <v>35.634061169557128</v>
      </c>
      <c r="J100" s="2">
        <f t="shared" si="36"/>
        <v>23.591215761309165</v>
      </c>
      <c r="K100" s="2">
        <f t="shared" si="37"/>
        <v>35.634061169557128</v>
      </c>
      <c r="L100" s="2">
        <f t="shared" si="38"/>
        <v>23.591215761309165</v>
      </c>
      <c r="M100" s="2">
        <f t="shared" si="39"/>
        <v>35.634061169557128</v>
      </c>
      <c r="N100" s="2">
        <f t="shared" si="40"/>
        <v>23.591215761309165</v>
      </c>
      <c r="O100" s="2">
        <f t="shared" si="41"/>
        <v>35.634061169557128</v>
      </c>
      <c r="P100" s="2">
        <f t="shared" si="42"/>
        <v>23.591215761309165</v>
      </c>
      <c r="Q100" s="2">
        <f t="shared" si="43"/>
        <v>35.634061169557128</v>
      </c>
      <c r="R100" s="2">
        <f t="shared" si="44"/>
        <v>23.591215761309165</v>
      </c>
      <c r="S100" s="2">
        <f t="shared" si="45"/>
        <v>35.634061169557128</v>
      </c>
      <c r="T100" s="2">
        <f t="shared" si="46"/>
        <v>23.591215761309165</v>
      </c>
      <c r="U100" s="2">
        <f t="shared" si="47"/>
        <v>35.634061169557128</v>
      </c>
      <c r="V100" s="2">
        <f t="shared" si="48"/>
        <v>23.591215761309165</v>
      </c>
      <c r="W100" s="2">
        <f t="shared" si="49"/>
        <v>35.634061169557128</v>
      </c>
      <c r="X100" s="2">
        <f t="shared" si="50"/>
        <v>23.591215761309165</v>
      </c>
      <c r="Y100" s="2">
        <f t="shared" si="51"/>
        <v>35.634061169557128</v>
      </c>
      <c r="Z100" s="2">
        <f t="shared" si="52"/>
        <v>23.591215761309165</v>
      </c>
      <c r="AA100" s="2">
        <f t="shared" si="53"/>
        <v>35.634061169557128</v>
      </c>
      <c r="AB100" s="2">
        <f t="shared" si="54"/>
        <v>23.591215761309165</v>
      </c>
      <c r="AC100" s="2">
        <f t="shared" si="55"/>
        <v>35.634061169557128</v>
      </c>
      <c r="AD100" s="2">
        <f t="shared" si="56"/>
        <v>23.591215761309165</v>
      </c>
      <c r="AE100" s="2">
        <f t="shared" si="57"/>
        <v>35.634061169557128</v>
      </c>
      <c r="AF100" s="2">
        <f t="shared" si="58"/>
        <v>23.591215761309165</v>
      </c>
      <c r="AG100" s="2">
        <f t="shared" si="59"/>
        <v>35.634061169557128</v>
      </c>
      <c r="AH100" s="2">
        <f t="shared" si="60"/>
        <v>23.591215761309165</v>
      </c>
    </row>
    <row r="101" spans="1:34">
      <c r="C101" s="2"/>
      <c r="D101" s="2"/>
    </row>
    <row r="102" spans="1:34">
      <c r="C102" s="2"/>
      <c r="D102" s="2"/>
    </row>
    <row r="103" spans="1:34">
      <c r="C103" s="2"/>
      <c r="D103" s="2"/>
    </row>
    <row r="104" spans="1:34">
      <c r="C104" s="2"/>
      <c r="D104" s="2"/>
    </row>
    <row r="105" spans="1:34">
      <c r="C105" s="2"/>
      <c r="D105" s="2"/>
    </row>
    <row r="106" spans="1:34">
      <c r="C106" s="2"/>
      <c r="D106" s="2"/>
    </row>
    <row r="107" spans="1:34">
      <c r="C107" s="2"/>
      <c r="D107" s="2"/>
    </row>
    <row r="108" spans="1:34">
      <c r="C108" s="2"/>
      <c r="D108" s="2"/>
    </row>
    <row r="109" spans="1:34">
      <c r="C109" s="2"/>
      <c r="D109" s="2"/>
    </row>
    <row r="110" spans="1:34">
      <c r="C110" s="2"/>
      <c r="D110" s="2"/>
    </row>
    <row r="111" spans="1:34">
      <c r="C111" s="2"/>
      <c r="D111" s="2"/>
    </row>
    <row r="112" spans="1:3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</sheetData>
  <pageMargins left="0.75" right="0.75" top="1" bottom="1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H100"/>
  <sheetViews>
    <sheetView zoomScale="85" zoomScaleNormal="85" workbookViewId="0"/>
  </sheetViews>
  <sheetFormatPr defaultColWidth="8.875" defaultRowHeight="15.75"/>
  <cols>
    <col min="1" max="1" width="10.25" bestFit="1" customWidth="1"/>
    <col min="2" max="2" width="10.75" bestFit="1" customWidth="1"/>
    <col min="6" max="6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">
        <v>134</v>
      </c>
      <c r="C3" s="2">
        <f>INDEX(TargetProduction!$B$47:$H$61,MATCH($B3,TargetProduction!$A$47:$A$61,0),MATCH($A3,TargetProduction!$B$46:$H$46,0))</f>
        <v>0.18614903793722601</v>
      </c>
      <c r="D3" s="2">
        <f>INDEX(TargetProduction!$I$47:$O$61,MATCH($B3,TargetProduction!$A$47:$A$61,0),MATCH($A3,TargetProduction!$I$46:$O$46,0))</f>
        <v>0.5</v>
      </c>
      <c r="E3" s="2">
        <f>C3</f>
        <v>0.18614903793722601</v>
      </c>
      <c r="F3" s="2">
        <f t="shared" ref="F3:AH3" si="2">D3</f>
        <v>0.5</v>
      </c>
      <c r="G3" s="2">
        <f t="shared" si="2"/>
        <v>0.18614903793722601</v>
      </c>
      <c r="H3" s="2">
        <f t="shared" si="2"/>
        <v>0.5</v>
      </c>
      <c r="I3" s="2">
        <f t="shared" si="2"/>
        <v>0.18614903793722601</v>
      </c>
      <c r="J3" s="2">
        <f t="shared" si="2"/>
        <v>0.5</v>
      </c>
      <c r="K3" s="2">
        <f t="shared" si="2"/>
        <v>0.18614903793722601</v>
      </c>
      <c r="L3" s="2">
        <f t="shared" si="2"/>
        <v>0.5</v>
      </c>
      <c r="M3" s="2">
        <f t="shared" si="2"/>
        <v>0.18614903793722601</v>
      </c>
      <c r="N3" s="2">
        <f t="shared" si="2"/>
        <v>0.5</v>
      </c>
      <c r="O3" s="2">
        <f t="shared" si="2"/>
        <v>0.18614903793722601</v>
      </c>
      <c r="P3" s="2">
        <f t="shared" si="2"/>
        <v>0.5</v>
      </c>
      <c r="Q3" s="2">
        <f t="shared" si="2"/>
        <v>0.18614903793722601</v>
      </c>
      <c r="R3" s="2">
        <f t="shared" si="2"/>
        <v>0.5</v>
      </c>
      <c r="S3" s="2">
        <f t="shared" si="2"/>
        <v>0.18614903793722601</v>
      </c>
      <c r="T3" s="2">
        <f t="shared" si="2"/>
        <v>0.5</v>
      </c>
      <c r="U3" s="2">
        <f t="shared" si="2"/>
        <v>0.18614903793722601</v>
      </c>
      <c r="V3" s="2">
        <f t="shared" si="2"/>
        <v>0.5</v>
      </c>
      <c r="W3" s="2">
        <f t="shared" si="2"/>
        <v>0.18614903793722601</v>
      </c>
      <c r="X3" s="2">
        <f t="shared" si="2"/>
        <v>0.5</v>
      </c>
      <c r="Y3" s="2">
        <f t="shared" si="2"/>
        <v>0.18614903793722601</v>
      </c>
      <c r="Z3" s="2">
        <f t="shared" si="2"/>
        <v>0.5</v>
      </c>
      <c r="AA3" s="2">
        <f t="shared" si="2"/>
        <v>0.18614903793722601</v>
      </c>
      <c r="AB3" s="2">
        <f t="shared" si="2"/>
        <v>0.5</v>
      </c>
      <c r="AC3" s="2">
        <f t="shared" si="2"/>
        <v>0.18614903793722601</v>
      </c>
      <c r="AD3" s="2">
        <f t="shared" si="2"/>
        <v>0.5</v>
      </c>
      <c r="AE3" s="2">
        <f t="shared" si="2"/>
        <v>0.18614903793722601</v>
      </c>
      <c r="AF3" s="2">
        <f t="shared" si="2"/>
        <v>0.5</v>
      </c>
      <c r="AG3" s="2">
        <f t="shared" si="2"/>
        <v>0.18614903793722601</v>
      </c>
      <c r="AH3" s="2">
        <f t="shared" si="2"/>
        <v>0.5</v>
      </c>
    </row>
    <row r="4" spans="1:34">
      <c r="A4" t="str">
        <f>sets!$H$3</f>
        <v>Teff</v>
      </c>
      <c r="B4" t="s">
        <v>135</v>
      </c>
      <c r="C4" s="2">
        <f>INDEX(TargetProduction!$B$47:$H$61,MATCH($B4,TargetProduction!$A$47:$A$61,0),MATCH($A4,TargetProduction!$B$46:$H$46,0))</f>
        <v>0.92607615822437805</v>
      </c>
      <c r="D4" s="2">
        <f>INDEX(TargetProduction!$I$47:$O$61,MATCH($B4,TargetProduction!$A$47:$A$61,0),MATCH($A4,TargetProduction!$I$46:$O$46,0))</f>
        <v>0.5</v>
      </c>
      <c r="E4" s="2">
        <f t="shared" ref="E4:E63" si="3">C4</f>
        <v>0.92607615822437805</v>
      </c>
      <c r="F4" s="2">
        <f t="shared" ref="F4:F63" si="4">D4</f>
        <v>0.5</v>
      </c>
      <c r="G4" s="2">
        <f t="shared" ref="G4:G63" si="5">E4</f>
        <v>0.92607615822437805</v>
      </c>
      <c r="H4" s="2">
        <f t="shared" ref="H4:H63" si="6">F4</f>
        <v>0.5</v>
      </c>
      <c r="I4" s="2">
        <f t="shared" ref="I4:I63" si="7">G4</f>
        <v>0.92607615822437805</v>
      </c>
      <c r="J4" s="2">
        <f t="shared" ref="J4:J63" si="8">H4</f>
        <v>0.5</v>
      </c>
      <c r="K4" s="2">
        <f t="shared" ref="K4:K63" si="9">I4</f>
        <v>0.92607615822437805</v>
      </c>
      <c r="L4" s="2">
        <f t="shared" ref="L4:L63" si="10">J4</f>
        <v>0.5</v>
      </c>
      <c r="M4" s="2">
        <f t="shared" ref="M4:M63" si="11">K4</f>
        <v>0.92607615822437805</v>
      </c>
      <c r="N4" s="2">
        <f t="shared" ref="N4:N63" si="12">L4</f>
        <v>0.5</v>
      </c>
      <c r="O4" s="2">
        <f t="shared" ref="O4:O63" si="13">M4</f>
        <v>0.92607615822437805</v>
      </c>
      <c r="P4" s="2">
        <f t="shared" ref="P4:P63" si="14">N4</f>
        <v>0.5</v>
      </c>
      <c r="Q4" s="2">
        <f t="shared" ref="Q4:Q63" si="15">O4</f>
        <v>0.92607615822437805</v>
      </c>
      <c r="R4" s="2">
        <f t="shared" ref="R4:R63" si="16">P4</f>
        <v>0.5</v>
      </c>
      <c r="S4" s="2">
        <f t="shared" ref="S4:S63" si="17">Q4</f>
        <v>0.92607615822437805</v>
      </c>
      <c r="T4" s="2">
        <f t="shared" ref="T4:T63" si="18">R4</f>
        <v>0.5</v>
      </c>
      <c r="U4" s="2">
        <f t="shared" ref="U4:U63" si="19">S4</f>
        <v>0.92607615822437805</v>
      </c>
      <c r="V4" s="2">
        <f t="shared" ref="V4:V63" si="20">T4</f>
        <v>0.5</v>
      </c>
      <c r="W4" s="2">
        <f t="shared" ref="W4:W63" si="21">U4</f>
        <v>0.92607615822437805</v>
      </c>
      <c r="X4" s="2">
        <f t="shared" ref="X4:X63" si="22">V4</f>
        <v>0.5</v>
      </c>
      <c r="Y4" s="2">
        <f t="shared" ref="Y4:Y63" si="23">W4</f>
        <v>0.92607615822437805</v>
      </c>
      <c r="Z4" s="2">
        <f t="shared" ref="Z4:Z63" si="24">X4</f>
        <v>0.5</v>
      </c>
      <c r="AA4" s="2">
        <f t="shared" ref="AA4:AA63" si="25">Y4</f>
        <v>0.92607615822437805</v>
      </c>
      <c r="AB4" s="2">
        <f t="shared" ref="AB4:AB63" si="26">Z4</f>
        <v>0.5</v>
      </c>
      <c r="AC4" s="2">
        <f t="shared" ref="AC4:AC63" si="27">AA4</f>
        <v>0.92607615822437805</v>
      </c>
      <c r="AD4" s="2">
        <f t="shared" ref="AD4:AD63" si="28">AB4</f>
        <v>0.5</v>
      </c>
      <c r="AE4" s="2">
        <f t="shared" ref="AE4:AE63" si="29">AC4</f>
        <v>0.92607615822437805</v>
      </c>
      <c r="AF4" s="2">
        <f t="shared" ref="AF4:AF63" si="30">AD4</f>
        <v>0.5</v>
      </c>
      <c r="AG4" s="2">
        <f t="shared" ref="AG4:AG63" si="31">AE4</f>
        <v>0.92607615822437805</v>
      </c>
      <c r="AH4" s="2">
        <f t="shared" ref="AH4:AH63" si="32">AF4</f>
        <v>0.5</v>
      </c>
    </row>
    <row r="5" spans="1:34">
      <c r="A5" t="str">
        <f>sets!$H$3</f>
        <v>Teff</v>
      </c>
      <c r="B5" t="s">
        <v>136</v>
      </c>
      <c r="C5" s="2">
        <f>INDEX(TargetProduction!$B$47:$H$61,MATCH($B5,TargetProduction!$A$47:$A$61,0),MATCH($A5,TargetProduction!$B$46:$H$46,0))</f>
        <v>0.790857270238008</v>
      </c>
      <c r="D5" s="2">
        <f>INDEX(TargetProduction!$I$47:$O$61,MATCH($B5,TargetProduction!$A$47:$A$61,0),MATCH($A5,TargetProduction!$I$46:$O$46,0))</f>
        <v>0.5</v>
      </c>
      <c r="E5" s="2">
        <f t="shared" si="3"/>
        <v>0.790857270238008</v>
      </c>
      <c r="F5" s="2">
        <f t="shared" si="4"/>
        <v>0.5</v>
      </c>
      <c r="G5" s="2">
        <f t="shared" si="5"/>
        <v>0.790857270238008</v>
      </c>
      <c r="H5" s="2">
        <f t="shared" si="6"/>
        <v>0.5</v>
      </c>
      <c r="I5" s="2">
        <f t="shared" si="7"/>
        <v>0.790857270238008</v>
      </c>
      <c r="J5" s="2">
        <f t="shared" si="8"/>
        <v>0.5</v>
      </c>
      <c r="K5" s="2">
        <f t="shared" si="9"/>
        <v>0.790857270238008</v>
      </c>
      <c r="L5" s="2">
        <f t="shared" si="10"/>
        <v>0.5</v>
      </c>
      <c r="M5" s="2">
        <f t="shared" si="11"/>
        <v>0.790857270238008</v>
      </c>
      <c r="N5" s="2">
        <f t="shared" si="12"/>
        <v>0.5</v>
      </c>
      <c r="O5" s="2">
        <f t="shared" si="13"/>
        <v>0.790857270238008</v>
      </c>
      <c r="P5" s="2">
        <f t="shared" si="14"/>
        <v>0.5</v>
      </c>
      <c r="Q5" s="2">
        <f t="shared" si="15"/>
        <v>0.790857270238008</v>
      </c>
      <c r="R5" s="2">
        <f t="shared" si="16"/>
        <v>0.5</v>
      </c>
      <c r="S5" s="2">
        <f t="shared" si="17"/>
        <v>0.790857270238008</v>
      </c>
      <c r="T5" s="2">
        <f t="shared" si="18"/>
        <v>0.5</v>
      </c>
      <c r="U5" s="2">
        <f t="shared" si="19"/>
        <v>0.790857270238008</v>
      </c>
      <c r="V5" s="2">
        <f t="shared" si="20"/>
        <v>0.5</v>
      </c>
      <c r="W5" s="2">
        <f t="shared" si="21"/>
        <v>0.790857270238008</v>
      </c>
      <c r="X5" s="2">
        <f t="shared" si="22"/>
        <v>0.5</v>
      </c>
      <c r="Y5" s="2">
        <f t="shared" si="23"/>
        <v>0.790857270238008</v>
      </c>
      <c r="Z5" s="2">
        <f t="shared" si="24"/>
        <v>0.5</v>
      </c>
      <c r="AA5" s="2">
        <f t="shared" si="25"/>
        <v>0.790857270238008</v>
      </c>
      <c r="AB5" s="2">
        <f t="shared" si="26"/>
        <v>0.5</v>
      </c>
      <c r="AC5" s="2">
        <f t="shared" si="27"/>
        <v>0.790857270238008</v>
      </c>
      <c r="AD5" s="2">
        <f t="shared" si="28"/>
        <v>0.5</v>
      </c>
      <c r="AE5" s="2">
        <f t="shared" si="29"/>
        <v>0.790857270238008</v>
      </c>
      <c r="AF5" s="2">
        <f t="shared" si="30"/>
        <v>0.5</v>
      </c>
      <c r="AG5" s="2">
        <f t="shared" si="31"/>
        <v>0.790857270238008</v>
      </c>
      <c r="AH5" s="2">
        <f t="shared" si="32"/>
        <v>0.5</v>
      </c>
    </row>
    <row r="6" spans="1:34">
      <c r="A6" t="str">
        <f>sets!$H$3</f>
        <v>Teff</v>
      </c>
      <c r="B6" t="s">
        <v>137</v>
      </c>
      <c r="C6" s="2">
        <f>INDEX(TargetProduction!$B$47:$H$61,MATCH($B6,TargetProduction!$A$47:$A$61,0),MATCH($A6,TargetProduction!$B$46:$H$46,0))</f>
        <v>0.67483043775946305</v>
      </c>
      <c r="D6" s="2">
        <f>INDEX(TargetProduction!$I$47:$O$61,MATCH($B6,TargetProduction!$A$47:$A$61,0),MATCH($A6,TargetProduction!$I$46:$O$46,0))</f>
        <v>0.5</v>
      </c>
      <c r="E6" s="2">
        <f t="shared" si="3"/>
        <v>0.67483043775946305</v>
      </c>
      <c r="F6" s="2">
        <f t="shared" si="4"/>
        <v>0.5</v>
      </c>
      <c r="G6" s="2">
        <f t="shared" si="5"/>
        <v>0.67483043775946305</v>
      </c>
      <c r="H6" s="2">
        <f t="shared" si="6"/>
        <v>0.5</v>
      </c>
      <c r="I6" s="2">
        <f t="shared" si="7"/>
        <v>0.67483043775946305</v>
      </c>
      <c r="J6" s="2">
        <f t="shared" si="8"/>
        <v>0.5</v>
      </c>
      <c r="K6" s="2">
        <f t="shared" si="9"/>
        <v>0.67483043775946305</v>
      </c>
      <c r="L6" s="2">
        <f t="shared" si="10"/>
        <v>0.5</v>
      </c>
      <c r="M6" s="2">
        <f t="shared" si="11"/>
        <v>0.67483043775946305</v>
      </c>
      <c r="N6" s="2">
        <f t="shared" si="12"/>
        <v>0.5</v>
      </c>
      <c r="O6" s="2">
        <f t="shared" si="13"/>
        <v>0.67483043775946305</v>
      </c>
      <c r="P6" s="2">
        <f t="shared" si="14"/>
        <v>0.5</v>
      </c>
      <c r="Q6" s="2">
        <f t="shared" si="15"/>
        <v>0.67483043775946305</v>
      </c>
      <c r="R6" s="2">
        <f t="shared" si="16"/>
        <v>0.5</v>
      </c>
      <c r="S6" s="2">
        <f t="shared" si="17"/>
        <v>0.67483043775946305</v>
      </c>
      <c r="T6" s="2">
        <f t="shared" si="18"/>
        <v>0.5</v>
      </c>
      <c r="U6" s="2">
        <f t="shared" si="19"/>
        <v>0.67483043775946305</v>
      </c>
      <c r="V6" s="2">
        <f t="shared" si="20"/>
        <v>0.5</v>
      </c>
      <c r="W6" s="2">
        <f t="shared" si="21"/>
        <v>0.67483043775946305</v>
      </c>
      <c r="X6" s="2">
        <f t="shared" si="22"/>
        <v>0.5</v>
      </c>
      <c r="Y6" s="2">
        <f t="shared" si="23"/>
        <v>0.67483043775946305</v>
      </c>
      <c r="Z6" s="2">
        <f t="shared" si="24"/>
        <v>0.5</v>
      </c>
      <c r="AA6" s="2">
        <f t="shared" si="25"/>
        <v>0.67483043775946305</v>
      </c>
      <c r="AB6" s="2">
        <f t="shared" si="26"/>
        <v>0.5</v>
      </c>
      <c r="AC6" s="2">
        <f t="shared" si="27"/>
        <v>0.67483043775946305</v>
      </c>
      <c r="AD6" s="2">
        <f t="shared" si="28"/>
        <v>0.5</v>
      </c>
      <c r="AE6" s="2">
        <f t="shared" si="29"/>
        <v>0.67483043775946305</v>
      </c>
      <c r="AF6" s="2">
        <f t="shared" si="30"/>
        <v>0.5</v>
      </c>
      <c r="AG6" s="2">
        <f t="shared" si="31"/>
        <v>0.67483043775946305</v>
      </c>
      <c r="AH6" s="2">
        <f t="shared" si="32"/>
        <v>0.5</v>
      </c>
    </row>
    <row r="7" spans="1:34">
      <c r="A7" t="str">
        <f>sets!$H$3</f>
        <v>Teff</v>
      </c>
      <c r="B7" t="s">
        <v>138</v>
      </c>
      <c r="C7" s="2">
        <f>INDEX(TargetProduction!$B$47:$H$61,MATCH($B7,TargetProduction!$A$47:$A$61,0),MATCH($A7,TargetProduction!$B$46:$H$46,0))</f>
        <v>0.57361161506351699</v>
      </c>
      <c r="D7" s="2">
        <f>INDEX(TargetProduction!$I$47:$O$61,MATCH($B7,TargetProduction!$A$47:$A$61,0),MATCH($A7,TargetProduction!$I$46:$O$46,0))</f>
        <v>0.5</v>
      </c>
      <c r="E7" s="2">
        <f t="shared" si="3"/>
        <v>0.57361161506351699</v>
      </c>
      <c r="F7" s="2">
        <f t="shared" si="4"/>
        <v>0.5</v>
      </c>
      <c r="G7" s="2">
        <f t="shared" si="5"/>
        <v>0.57361161506351699</v>
      </c>
      <c r="H7" s="2">
        <f t="shared" si="6"/>
        <v>0.5</v>
      </c>
      <c r="I7" s="2">
        <f t="shared" si="7"/>
        <v>0.57361161506351699</v>
      </c>
      <c r="J7" s="2">
        <f t="shared" si="8"/>
        <v>0.5</v>
      </c>
      <c r="K7" s="2">
        <f t="shared" si="9"/>
        <v>0.57361161506351699</v>
      </c>
      <c r="L7" s="2">
        <f t="shared" si="10"/>
        <v>0.5</v>
      </c>
      <c r="M7" s="2">
        <f t="shared" si="11"/>
        <v>0.57361161506351699</v>
      </c>
      <c r="N7" s="2">
        <f t="shared" si="12"/>
        <v>0.5</v>
      </c>
      <c r="O7" s="2">
        <f t="shared" si="13"/>
        <v>0.57361161506351699</v>
      </c>
      <c r="P7" s="2">
        <f t="shared" si="14"/>
        <v>0.5</v>
      </c>
      <c r="Q7" s="2">
        <f t="shared" si="15"/>
        <v>0.57361161506351699</v>
      </c>
      <c r="R7" s="2">
        <f t="shared" si="16"/>
        <v>0.5</v>
      </c>
      <c r="S7" s="2">
        <f t="shared" si="17"/>
        <v>0.57361161506351699</v>
      </c>
      <c r="T7" s="2">
        <f t="shared" si="18"/>
        <v>0.5</v>
      </c>
      <c r="U7" s="2">
        <f t="shared" si="19"/>
        <v>0.57361161506351699</v>
      </c>
      <c r="V7" s="2">
        <f t="shared" si="20"/>
        <v>0.5</v>
      </c>
      <c r="W7" s="2">
        <f t="shared" si="21"/>
        <v>0.57361161506351699</v>
      </c>
      <c r="X7" s="2">
        <f t="shared" si="22"/>
        <v>0.5</v>
      </c>
      <c r="Y7" s="2">
        <f t="shared" si="23"/>
        <v>0.57361161506351699</v>
      </c>
      <c r="Z7" s="2">
        <f t="shared" si="24"/>
        <v>0.5</v>
      </c>
      <c r="AA7" s="2">
        <f t="shared" si="25"/>
        <v>0.57361161506351699</v>
      </c>
      <c r="AB7" s="2">
        <f t="shared" si="26"/>
        <v>0.5</v>
      </c>
      <c r="AC7" s="2">
        <f t="shared" si="27"/>
        <v>0.57361161506351699</v>
      </c>
      <c r="AD7" s="2">
        <f t="shared" si="28"/>
        <v>0.5</v>
      </c>
      <c r="AE7" s="2">
        <f t="shared" si="29"/>
        <v>0.57361161506351699</v>
      </c>
      <c r="AF7" s="2">
        <f t="shared" si="30"/>
        <v>0.5</v>
      </c>
      <c r="AG7" s="2">
        <f t="shared" si="31"/>
        <v>0.57361161506351699</v>
      </c>
      <c r="AH7" s="2">
        <f t="shared" si="32"/>
        <v>0.5</v>
      </c>
    </row>
    <row r="8" spans="1:34">
      <c r="A8" t="str">
        <f>sets!$H$3</f>
        <v>Teff</v>
      </c>
      <c r="B8" t="s">
        <v>139</v>
      </c>
      <c r="C8" s="2">
        <f>INDEX(TargetProduction!$B$47:$H$61,MATCH($B8,TargetProduction!$A$47:$A$61,0),MATCH($A8,TargetProduction!$B$46:$H$46,0))</f>
        <v>0.60852617739341297</v>
      </c>
      <c r="D8" s="2">
        <f>INDEX(TargetProduction!$I$47:$O$61,MATCH($B8,TargetProduction!$A$47:$A$61,0),MATCH($A8,TargetProduction!$I$46:$O$46,0))</f>
        <v>0.5</v>
      </c>
      <c r="E8" s="2">
        <f t="shared" si="3"/>
        <v>0.60852617739341297</v>
      </c>
      <c r="F8" s="2">
        <f t="shared" si="4"/>
        <v>0.5</v>
      </c>
      <c r="G8" s="2">
        <f t="shared" si="5"/>
        <v>0.60852617739341297</v>
      </c>
      <c r="H8" s="2">
        <f t="shared" si="6"/>
        <v>0.5</v>
      </c>
      <c r="I8" s="2">
        <f t="shared" si="7"/>
        <v>0.60852617739341297</v>
      </c>
      <c r="J8" s="2">
        <f t="shared" si="8"/>
        <v>0.5</v>
      </c>
      <c r="K8" s="2">
        <f t="shared" si="9"/>
        <v>0.60852617739341297</v>
      </c>
      <c r="L8" s="2">
        <f t="shared" si="10"/>
        <v>0.5</v>
      </c>
      <c r="M8" s="2">
        <f t="shared" si="11"/>
        <v>0.60852617739341297</v>
      </c>
      <c r="N8" s="2">
        <f t="shared" si="12"/>
        <v>0.5</v>
      </c>
      <c r="O8" s="2">
        <f t="shared" si="13"/>
        <v>0.60852617739341297</v>
      </c>
      <c r="P8" s="2">
        <f t="shared" si="14"/>
        <v>0.5</v>
      </c>
      <c r="Q8" s="2">
        <f t="shared" si="15"/>
        <v>0.60852617739341297</v>
      </c>
      <c r="R8" s="2">
        <f t="shared" si="16"/>
        <v>0.5</v>
      </c>
      <c r="S8" s="2">
        <f t="shared" si="17"/>
        <v>0.60852617739341297</v>
      </c>
      <c r="T8" s="2">
        <f t="shared" si="18"/>
        <v>0.5</v>
      </c>
      <c r="U8" s="2">
        <f t="shared" si="19"/>
        <v>0.60852617739341297</v>
      </c>
      <c r="V8" s="2">
        <f t="shared" si="20"/>
        <v>0.5</v>
      </c>
      <c r="W8" s="2">
        <f t="shared" si="21"/>
        <v>0.60852617739341297</v>
      </c>
      <c r="X8" s="2">
        <f t="shared" si="22"/>
        <v>0.5</v>
      </c>
      <c r="Y8" s="2">
        <f t="shared" si="23"/>
        <v>0.60852617739341297</v>
      </c>
      <c r="Z8" s="2">
        <f t="shared" si="24"/>
        <v>0.5</v>
      </c>
      <c r="AA8" s="2">
        <f t="shared" si="25"/>
        <v>0.60852617739341297</v>
      </c>
      <c r="AB8" s="2">
        <f t="shared" si="26"/>
        <v>0.5</v>
      </c>
      <c r="AC8" s="2">
        <f t="shared" si="27"/>
        <v>0.60852617739341297</v>
      </c>
      <c r="AD8" s="2">
        <f t="shared" si="28"/>
        <v>0.5</v>
      </c>
      <c r="AE8" s="2">
        <f t="shared" si="29"/>
        <v>0.60852617739341297</v>
      </c>
      <c r="AF8" s="2">
        <f t="shared" si="30"/>
        <v>0.5</v>
      </c>
      <c r="AG8" s="2">
        <f t="shared" si="31"/>
        <v>0.60852617739341297</v>
      </c>
      <c r="AH8" s="2">
        <f t="shared" si="32"/>
        <v>0.5</v>
      </c>
    </row>
    <row r="9" spans="1:34">
      <c r="A9" t="str">
        <f>sets!$H$3</f>
        <v>Teff</v>
      </c>
      <c r="B9" t="s">
        <v>140</v>
      </c>
      <c r="C9" s="2">
        <f>INDEX(TargetProduction!$B$47:$H$61,MATCH($B9,TargetProduction!$A$47:$A$61,0),MATCH($A9,TargetProduction!$B$46:$H$46,0))</f>
        <v>0.71552874900267405</v>
      </c>
      <c r="D9" s="2">
        <f>INDEX(TargetProduction!$I$47:$O$61,MATCH($B9,TargetProduction!$A$47:$A$61,0),MATCH($A9,TargetProduction!$I$46:$O$46,0))</f>
        <v>0.5</v>
      </c>
      <c r="E9" s="2">
        <f t="shared" si="3"/>
        <v>0.71552874900267405</v>
      </c>
      <c r="F9" s="2">
        <f t="shared" si="4"/>
        <v>0.5</v>
      </c>
      <c r="G9" s="2">
        <f t="shared" si="5"/>
        <v>0.71552874900267405</v>
      </c>
      <c r="H9" s="2">
        <f t="shared" si="6"/>
        <v>0.5</v>
      </c>
      <c r="I9" s="2">
        <f t="shared" si="7"/>
        <v>0.71552874900267405</v>
      </c>
      <c r="J9" s="2">
        <f t="shared" si="8"/>
        <v>0.5</v>
      </c>
      <c r="K9" s="2">
        <f t="shared" si="9"/>
        <v>0.71552874900267405</v>
      </c>
      <c r="L9" s="2">
        <f t="shared" si="10"/>
        <v>0.5</v>
      </c>
      <c r="M9" s="2">
        <f t="shared" si="11"/>
        <v>0.71552874900267405</v>
      </c>
      <c r="N9" s="2">
        <f t="shared" si="12"/>
        <v>0.5</v>
      </c>
      <c r="O9" s="2">
        <f t="shared" si="13"/>
        <v>0.71552874900267405</v>
      </c>
      <c r="P9" s="2">
        <f t="shared" si="14"/>
        <v>0.5</v>
      </c>
      <c r="Q9" s="2">
        <f t="shared" si="15"/>
        <v>0.71552874900267405</v>
      </c>
      <c r="R9" s="2">
        <f t="shared" si="16"/>
        <v>0.5</v>
      </c>
      <c r="S9" s="2">
        <f t="shared" si="17"/>
        <v>0.71552874900267405</v>
      </c>
      <c r="T9" s="2">
        <f t="shared" si="18"/>
        <v>0.5</v>
      </c>
      <c r="U9" s="2">
        <f t="shared" si="19"/>
        <v>0.71552874900267405</v>
      </c>
      <c r="V9" s="2">
        <f t="shared" si="20"/>
        <v>0.5</v>
      </c>
      <c r="W9" s="2">
        <f t="shared" si="21"/>
        <v>0.71552874900267405</v>
      </c>
      <c r="X9" s="2">
        <f t="shared" si="22"/>
        <v>0.5</v>
      </c>
      <c r="Y9" s="2">
        <f t="shared" si="23"/>
        <v>0.71552874900267405</v>
      </c>
      <c r="Z9" s="2">
        <f t="shared" si="24"/>
        <v>0.5</v>
      </c>
      <c r="AA9" s="2">
        <f t="shared" si="25"/>
        <v>0.71552874900267405</v>
      </c>
      <c r="AB9" s="2">
        <f t="shared" si="26"/>
        <v>0.5</v>
      </c>
      <c r="AC9" s="2">
        <f t="shared" si="27"/>
        <v>0.71552874900267405</v>
      </c>
      <c r="AD9" s="2">
        <f t="shared" si="28"/>
        <v>0.5</v>
      </c>
      <c r="AE9" s="2">
        <f t="shared" si="29"/>
        <v>0.71552874900267405</v>
      </c>
      <c r="AF9" s="2">
        <f t="shared" si="30"/>
        <v>0.5</v>
      </c>
      <c r="AG9" s="2">
        <f t="shared" si="31"/>
        <v>0.71552874900267405</v>
      </c>
      <c r="AH9" s="2">
        <f t="shared" si="32"/>
        <v>0.5</v>
      </c>
    </row>
    <row r="10" spans="1:34">
      <c r="A10" t="str">
        <f>sets!$H$3</f>
        <v>Teff</v>
      </c>
      <c r="B10" t="s">
        <v>141</v>
      </c>
      <c r="C10" s="2">
        <f>INDEX(TargetProduction!$B$47:$H$61,MATCH($B10,TargetProduction!$A$47:$A$61,0),MATCH($A10,TargetProduction!$B$46:$H$46,0))</f>
        <v>0.65673346323060799</v>
      </c>
      <c r="D10" s="2">
        <f>INDEX(TargetProduction!$I$47:$O$61,MATCH($B10,TargetProduction!$A$47:$A$61,0),MATCH($A10,TargetProduction!$I$46:$O$46,0))</f>
        <v>0.5</v>
      </c>
      <c r="E10" s="2">
        <f t="shared" si="3"/>
        <v>0.65673346323060799</v>
      </c>
      <c r="F10" s="2">
        <f t="shared" si="4"/>
        <v>0.5</v>
      </c>
      <c r="G10" s="2">
        <f t="shared" si="5"/>
        <v>0.65673346323060799</v>
      </c>
      <c r="H10" s="2">
        <f t="shared" si="6"/>
        <v>0.5</v>
      </c>
      <c r="I10" s="2">
        <f t="shared" si="7"/>
        <v>0.65673346323060799</v>
      </c>
      <c r="J10" s="2">
        <f t="shared" si="8"/>
        <v>0.5</v>
      </c>
      <c r="K10" s="2">
        <f t="shared" si="9"/>
        <v>0.65673346323060799</v>
      </c>
      <c r="L10" s="2">
        <f t="shared" si="10"/>
        <v>0.5</v>
      </c>
      <c r="M10" s="2">
        <f t="shared" si="11"/>
        <v>0.65673346323060799</v>
      </c>
      <c r="N10" s="2">
        <f t="shared" si="12"/>
        <v>0.5</v>
      </c>
      <c r="O10" s="2">
        <f t="shared" si="13"/>
        <v>0.65673346323060799</v>
      </c>
      <c r="P10" s="2">
        <f t="shared" si="14"/>
        <v>0.5</v>
      </c>
      <c r="Q10" s="2">
        <f t="shared" si="15"/>
        <v>0.65673346323060799</v>
      </c>
      <c r="R10" s="2">
        <f t="shared" si="16"/>
        <v>0.5</v>
      </c>
      <c r="S10" s="2">
        <f t="shared" si="17"/>
        <v>0.65673346323060799</v>
      </c>
      <c r="T10" s="2">
        <f t="shared" si="18"/>
        <v>0.5</v>
      </c>
      <c r="U10" s="2">
        <f t="shared" si="19"/>
        <v>0.65673346323060799</v>
      </c>
      <c r="V10" s="2">
        <f t="shared" si="20"/>
        <v>0.5</v>
      </c>
      <c r="W10" s="2">
        <f t="shared" si="21"/>
        <v>0.65673346323060799</v>
      </c>
      <c r="X10" s="2">
        <f t="shared" si="22"/>
        <v>0.5</v>
      </c>
      <c r="Y10" s="2">
        <f t="shared" si="23"/>
        <v>0.65673346323060799</v>
      </c>
      <c r="Z10" s="2">
        <f t="shared" si="24"/>
        <v>0.5</v>
      </c>
      <c r="AA10" s="2">
        <f t="shared" si="25"/>
        <v>0.65673346323060799</v>
      </c>
      <c r="AB10" s="2">
        <f t="shared" si="26"/>
        <v>0.5</v>
      </c>
      <c r="AC10" s="2">
        <f t="shared" si="27"/>
        <v>0.65673346323060799</v>
      </c>
      <c r="AD10" s="2">
        <f t="shared" si="28"/>
        <v>0.5</v>
      </c>
      <c r="AE10" s="2">
        <f t="shared" si="29"/>
        <v>0.65673346323060799</v>
      </c>
      <c r="AF10" s="2">
        <f t="shared" si="30"/>
        <v>0.5</v>
      </c>
      <c r="AG10" s="2">
        <f t="shared" si="31"/>
        <v>0.65673346323060799</v>
      </c>
      <c r="AH10" s="2">
        <f t="shared" si="32"/>
        <v>0.5</v>
      </c>
    </row>
    <row r="11" spans="1:34">
      <c r="A11" t="str">
        <f>sets!$H$3</f>
        <v>Teff</v>
      </c>
      <c r="B11" t="s">
        <v>142</v>
      </c>
      <c r="C11" s="2">
        <f>INDEX(TargetProduction!$B$47:$H$61,MATCH($B11,TargetProduction!$A$47:$A$61,0),MATCH($A11,TargetProduction!$B$46:$H$46,0))</f>
        <v>0.69438594906490303</v>
      </c>
      <c r="D11" s="2">
        <f>INDEX(TargetProduction!$I$47:$O$61,MATCH($B11,TargetProduction!$A$47:$A$61,0),MATCH($A11,TargetProduction!$I$46:$O$46,0))</f>
        <v>0.5</v>
      </c>
      <c r="E11" s="2">
        <f t="shared" si="3"/>
        <v>0.69438594906490303</v>
      </c>
      <c r="F11" s="2">
        <f t="shared" si="4"/>
        <v>0.5</v>
      </c>
      <c r="G11" s="2">
        <f t="shared" si="5"/>
        <v>0.69438594906490303</v>
      </c>
      <c r="H11" s="2">
        <f t="shared" si="6"/>
        <v>0.5</v>
      </c>
      <c r="I11" s="2">
        <f t="shared" si="7"/>
        <v>0.69438594906490303</v>
      </c>
      <c r="J11" s="2">
        <f t="shared" si="8"/>
        <v>0.5</v>
      </c>
      <c r="K11" s="2">
        <f t="shared" si="9"/>
        <v>0.69438594906490303</v>
      </c>
      <c r="L11" s="2">
        <f t="shared" si="10"/>
        <v>0.5</v>
      </c>
      <c r="M11" s="2">
        <f t="shared" si="11"/>
        <v>0.69438594906490303</v>
      </c>
      <c r="N11" s="2">
        <f t="shared" si="12"/>
        <v>0.5</v>
      </c>
      <c r="O11" s="2">
        <f t="shared" si="13"/>
        <v>0.69438594906490303</v>
      </c>
      <c r="P11" s="2">
        <f t="shared" si="14"/>
        <v>0.5</v>
      </c>
      <c r="Q11" s="2">
        <f t="shared" si="15"/>
        <v>0.69438594906490303</v>
      </c>
      <c r="R11" s="2">
        <f t="shared" si="16"/>
        <v>0.5</v>
      </c>
      <c r="S11" s="2">
        <f t="shared" si="17"/>
        <v>0.69438594906490303</v>
      </c>
      <c r="T11" s="2">
        <f t="shared" si="18"/>
        <v>0.5</v>
      </c>
      <c r="U11" s="2">
        <f t="shared" si="19"/>
        <v>0.69438594906490303</v>
      </c>
      <c r="V11" s="2">
        <f t="shared" si="20"/>
        <v>0.5</v>
      </c>
      <c r="W11" s="2">
        <f t="shared" si="21"/>
        <v>0.69438594906490303</v>
      </c>
      <c r="X11" s="2">
        <f t="shared" si="22"/>
        <v>0.5</v>
      </c>
      <c r="Y11" s="2">
        <f t="shared" si="23"/>
        <v>0.69438594906490303</v>
      </c>
      <c r="Z11" s="2">
        <f t="shared" si="24"/>
        <v>0.5</v>
      </c>
      <c r="AA11" s="2">
        <f t="shared" si="25"/>
        <v>0.69438594906490303</v>
      </c>
      <c r="AB11" s="2">
        <f t="shared" si="26"/>
        <v>0.5</v>
      </c>
      <c r="AC11" s="2">
        <f t="shared" si="27"/>
        <v>0.69438594906490303</v>
      </c>
      <c r="AD11" s="2">
        <f t="shared" si="28"/>
        <v>0.5</v>
      </c>
      <c r="AE11" s="2">
        <f t="shared" si="29"/>
        <v>0.69438594906490303</v>
      </c>
      <c r="AF11" s="2">
        <f t="shared" si="30"/>
        <v>0.5</v>
      </c>
      <c r="AG11" s="2">
        <f t="shared" si="31"/>
        <v>0.69438594906490303</v>
      </c>
      <c r="AH11" s="2">
        <f t="shared" si="32"/>
        <v>0.5</v>
      </c>
    </row>
    <row r="12" spans="1:34">
      <c r="A12" t="str">
        <f>sets!$H$3</f>
        <v>Teff</v>
      </c>
      <c r="B12" t="s">
        <v>143</v>
      </c>
      <c r="C12" s="2">
        <f>INDEX(TargetProduction!$B$47:$H$61,MATCH($B12,TargetProduction!$A$47:$A$61,0),MATCH($A12,TargetProduction!$B$46:$H$46,0))</f>
        <v>0.51513451029802404</v>
      </c>
      <c r="D12" s="2">
        <f>INDEX(TargetProduction!$I$47:$O$61,MATCH($B12,TargetProduction!$A$47:$A$61,0),MATCH($A12,TargetProduction!$I$46:$O$46,0))</f>
        <v>0.5</v>
      </c>
      <c r="E12" s="2">
        <f t="shared" si="3"/>
        <v>0.51513451029802404</v>
      </c>
      <c r="F12" s="2">
        <f t="shared" si="4"/>
        <v>0.5</v>
      </c>
      <c r="G12" s="2">
        <f t="shared" si="5"/>
        <v>0.51513451029802404</v>
      </c>
      <c r="H12" s="2">
        <f t="shared" si="6"/>
        <v>0.5</v>
      </c>
      <c r="I12" s="2">
        <f t="shared" si="7"/>
        <v>0.51513451029802404</v>
      </c>
      <c r="J12" s="2">
        <f t="shared" si="8"/>
        <v>0.5</v>
      </c>
      <c r="K12" s="2">
        <f t="shared" si="9"/>
        <v>0.51513451029802404</v>
      </c>
      <c r="L12" s="2">
        <f t="shared" si="10"/>
        <v>0.5</v>
      </c>
      <c r="M12" s="2">
        <f t="shared" si="11"/>
        <v>0.51513451029802404</v>
      </c>
      <c r="N12" s="2">
        <f t="shared" si="12"/>
        <v>0.5</v>
      </c>
      <c r="O12" s="2">
        <f t="shared" si="13"/>
        <v>0.51513451029802404</v>
      </c>
      <c r="P12" s="2">
        <f t="shared" si="14"/>
        <v>0.5</v>
      </c>
      <c r="Q12" s="2">
        <f t="shared" si="15"/>
        <v>0.51513451029802404</v>
      </c>
      <c r="R12" s="2">
        <f t="shared" si="16"/>
        <v>0.5</v>
      </c>
      <c r="S12" s="2">
        <f t="shared" si="17"/>
        <v>0.51513451029802404</v>
      </c>
      <c r="T12" s="2">
        <f t="shared" si="18"/>
        <v>0.5</v>
      </c>
      <c r="U12" s="2">
        <f t="shared" si="19"/>
        <v>0.51513451029802404</v>
      </c>
      <c r="V12" s="2">
        <f t="shared" si="20"/>
        <v>0.5</v>
      </c>
      <c r="W12" s="2">
        <f t="shared" si="21"/>
        <v>0.51513451029802404</v>
      </c>
      <c r="X12" s="2">
        <f t="shared" si="22"/>
        <v>0.5</v>
      </c>
      <c r="Y12" s="2">
        <f t="shared" si="23"/>
        <v>0.51513451029802404</v>
      </c>
      <c r="Z12" s="2">
        <f t="shared" si="24"/>
        <v>0.5</v>
      </c>
      <c r="AA12" s="2">
        <f t="shared" si="25"/>
        <v>0.51513451029802404</v>
      </c>
      <c r="AB12" s="2">
        <f t="shared" si="26"/>
        <v>0.5</v>
      </c>
      <c r="AC12" s="2">
        <f t="shared" si="27"/>
        <v>0.51513451029802404</v>
      </c>
      <c r="AD12" s="2">
        <f t="shared" si="28"/>
        <v>0.5</v>
      </c>
      <c r="AE12" s="2">
        <f t="shared" si="29"/>
        <v>0.51513451029802404</v>
      </c>
      <c r="AF12" s="2">
        <f t="shared" si="30"/>
        <v>0.5</v>
      </c>
      <c r="AG12" s="2">
        <f t="shared" si="31"/>
        <v>0.51513451029802404</v>
      </c>
      <c r="AH12" s="2">
        <f t="shared" si="32"/>
        <v>0.5</v>
      </c>
    </row>
    <row r="13" spans="1:34">
      <c r="A13" t="str">
        <f>sets!$H$3</f>
        <v>Teff</v>
      </c>
      <c r="B13" t="s">
        <v>144</v>
      </c>
      <c r="C13" s="2">
        <f>INDEX(TargetProduction!$B$47:$H$61,MATCH($B13,TargetProduction!$A$47:$A$61,0),MATCH($A13,TargetProduction!$B$46:$H$46,0))</f>
        <v>0.93157950879231399</v>
      </c>
      <c r="D13" s="2">
        <f>INDEX(TargetProduction!$I$47:$O$61,MATCH($B13,TargetProduction!$A$47:$A$61,0),MATCH($A13,TargetProduction!$I$46:$O$46,0))</f>
        <v>0.5</v>
      </c>
      <c r="E13" s="2">
        <f t="shared" si="3"/>
        <v>0.93157950879231399</v>
      </c>
      <c r="F13" s="2">
        <f t="shared" si="4"/>
        <v>0.5</v>
      </c>
      <c r="G13" s="2">
        <f t="shared" si="5"/>
        <v>0.93157950879231399</v>
      </c>
      <c r="H13" s="2">
        <f t="shared" si="6"/>
        <v>0.5</v>
      </c>
      <c r="I13" s="2">
        <f t="shared" si="7"/>
        <v>0.93157950879231399</v>
      </c>
      <c r="J13" s="2">
        <f t="shared" si="8"/>
        <v>0.5</v>
      </c>
      <c r="K13" s="2">
        <f t="shared" si="9"/>
        <v>0.93157950879231399</v>
      </c>
      <c r="L13" s="2">
        <f t="shared" si="10"/>
        <v>0.5</v>
      </c>
      <c r="M13" s="2">
        <f t="shared" si="11"/>
        <v>0.93157950879231399</v>
      </c>
      <c r="N13" s="2">
        <f t="shared" si="12"/>
        <v>0.5</v>
      </c>
      <c r="O13" s="2">
        <f t="shared" si="13"/>
        <v>0.93157950879231399</v>
      </c>
      <c r="P13" s="2">
        <f t="shared" si="14"/>
        <v>0.5</v>
      </c>
      <c r="Q13" s="2">
        <f t="shared" si="15"/>
        <v>0.93157950879231399</v>
      </c>
      <c r="R13" s="2">
        <f t="shared" si="16"/>
        <v>0.5</v>
      </c>
      <c r="S13" s="2">
        <f t="shared" si="17"/>
        <v>0.93157950879231399</v>
      </c>
      <c r="T13" s="2">
        <f t="shared" si="18"/>
        <v>0.5</v>
      </c>
      <c r="U13" s="2">
        <f t="shared" si="19"/>
        <v>0.93157950879231399</v>
      </c>
      <c r="V13" s="2">
        <f t="shared" si="20"/>
        <v>0.5</v>
      </c>
      <c r="W13" s="2">
        <f t="shared" si="21"/>
        <v>0.93157950879231399</v>
      </c>
      <c r="X13" s="2">
        <f t="shared" si="22"/>
        <v>0.5</v>
      </c>
      <c r="Y13" s="2">
        <f t="shared" si="23"/>
        <v>0.93157950879231399</v>
      </c>
      <c r="Z13" s="2">
        <f t="shared" si="24"/>
        <v>0.5</v>
      </c>
      <c r="AA13" s="2">
        <f t="shared" si="25"/>
        <v>0.93157950879231399</v>
      </c>
      <c r="AB13" s="2">
        <f t="shared" si="26"/>
        <v>0.5</v>
      </c>
      <c r="AC13" s="2">
        <f t="shared" si="27"/>
        <v>0.93157950879231399</v>
      </c>
      <c r="AD13" s="2">
        <f t="shared" si="28"/>
        <v>0.5</v>
      </c>
      <c r="AE13" s="2">
        <f t="shared" si="29"/>
        <v>0.93157950879231399</v>
      </c>
      <c r="AF13" s="2">
        <f t="shared" si="30"/>
        <v>0.5</v>
      </c>
      <c r="AG13" s="2">
        <f t="shared" si="31"/>
        <v>0.93157950879231399</v>
      </c>
      <c r="AH13" s="2">
        <f t="shared" si="32"/>
        <v>0.5</v>
      </c>
    </row>
    <row r="14" spans="1:34">
      <c r="A14" t="str">
        <f>sets!$H$3</f>
        <v>Teff</v>
      </c>
      <c r="B14" t="s">
        <v>145</v>
      </c>
      <c r="C14" s="2">
        <f>INDEX(TargetProduction!$B$47:$H$61,MATCH($B14,TargetProduction!$A$47:$A$61,0),MATCH($A14,TargetProduction!$B$46:$H$46,0))</f>
        <v>0.88903749606413296</v>
      </c>
      <c r="D14" s="2">
        <f>INDEX(TargetProduction!$I$47:$O$61,MATCH($B14,TargetProduction!$A$47:$A$61,0),MATCH($A14,TargetProduction!$I$46:$O$46,0))</f>
        <v>0.5</v>
      </c>
      <c r="E14" s="2">
        <f t="shared" si="3"/>
        <v>0.88903749606413296</v>
      </c>
      <c r="F14" s="2">
        <f t="shared" si="4"/>
        <v>0.5</v>
      </c>
      <c r="G14" s="2">
        <f t="shared" si="5"/>
        <v>0.88903749606413296</v>
      </c>
      <c r="H14" s="2">
        <f t="shared" si="6"/>
        <v>0.5</v>
      </c>
      <c r="I14" s="2">
        <f t="shared" si="7"/>
        <v>0.88903749606413296</v>
      </c>
      <c r="J14" s="2">
        <f t="shared" si="8"/>
        <v>0.5</v>
      </c>
      <c r="K14" s="2">
        <f t="shared" si="9"/>
        <v>0.88903749606413296</v>
      </c>
      <c r="L14" s="2">
        <f t="shared" si="10"/>
        <v>0.5</v>
      </c>
      <c r="M14" s="2">
        <f t="shared" si="11"/>
        <v>0.88903749606413296</v>
      </c>
      <c r="N14" s="2">
        <f t="shared" si="12"/>
        <v>0.5</v>
      </c>
      <c r="O14" s="2">
        <f t="shared" si="13"/>
        <v>0.88903749606413296</v>
      </c>
      <c r="P14" s="2">
        <f t="shared" si="14"/>
        <v>0.5</v>
      </c>
      <c r="Q14" s="2">
        <f t="shared" si="15"/>
        <v>0.88903749606413296</v>
      </c>
      <c r="R14" s="2">
        <f t="shared" si="16"/>
        <v>0.5</v>
      </c>
      <c r="S14" s="2">
        <f t="shared" si="17"/>
        <v>0.88903749606413296</v>
      </c>
      <c r="T14" s="2">
        <f t="shared" si="18"/>
        <v>0.5</v>
      </c>
      <c r="U14" s="2">
        <f t="shared" si="19"/>
        <v>0.88903749606413296</v>
      </c>
      <c r="V14" s="2">
        <f t="shared" si="20"/>
        <v>0.5</v>
      </c>
      <c r="W14" s="2">
        <f t="shared" si="21"/>
        <v>0.88903749606413296</v>
      </c>
      <c r="X14" s="2">
        <f t="shared" si="22"/>
        <v>0.5</v>
      </c>
      <c r="Y14" s="2">
        <f t="shared" si="23"/>
        <v>0.88903749606413296</v>
      </c>
      <c r="Z14" s="2">
        <f t="shared" si="24"/>
        <v>0.5</v>
      </c>
      <c r="AA14" s="2">
        <f t="shared" si="25"/>
        <v>0.88903749606413296</v>
      </c>
      <c r="AB14" s="2">
        <f t="shared" si="26"/>
        <v>0.5</v>
      </c>
      <c r="AC14" s="2">
        <f t="shared" si="27"/>
        <v>0.88903749606413296</v>
      </c>
      <c r="AD14" s="2">
        <f t="shared" si="28"/>
        <v>0.5</v>
      </c>
      <c r="AE14" s="2">
        <f t="shared" si="29"/>
        <v>0.88903749606413296</v>
      </c>
      <c r="AF14" s="2">
        <f t="shared" si="30"/>
        <v>0.5</v>
      </c>
      <c r="AG14" s="2">
        <f t="shared" si="31"/>
        <v>0.88903749606413296</v>
      </c>
      <c r="AH14" s="2">
        <f t="shared" si="32"/>
        <v>0.5</v>
      </c>
    </row>
    <row r="15" spans="1:34">
      <c r="A15" t="str">
        <f>sets!$H$3</f>
        <v>Teff</v>
      </c>
      <c r="B15" t="s">
        <v>146</v>
      </c>
      <c r="C15" s="2">
        <f>INDEX(TargetProduction!$B$47:$H$61,MATCH($B15,TargetProduction!$A$47:$A$61,0),MATCH($A15,TargetProduction!$B$46:$H$46,0))</f>
        <v>0.305382642344532</v>
      </c>
      <c r="D15" s="2">
        <f>INDEX(TargetProduction!$I$47:$O$61,MATCH($B15,TargetProduction!$A$47:$A$61,0),MATCH($A15,TargetProduction!$I$46:$O$46,0))</f>
        <v>0.5</v>
      </c>
      <c r="E15" s="2">
        <f t="shared" si="3"/>
        <v>0.305382642344532</v>
      </c>
      <c r="F15" s="2">
        <f t="shared" si="4"/>
        <v>0.5</v>
      </c>
      <c r="G15" s="2">
        <f t="shared" si="5"/>
        <v>0.305382642344532</v>
      </c>
      <c r="H15" s="2">
        <f t="shared" si="6"/>
        <v>0.5</v>
      </c>
      <c r="I15" s="2">
        <f t="shared" si="7"/>
        <v>0.305382642344532</v>
      </c>
      <c r="J15" s="2">
        <f t="shared" si="8"/>
        <v>0.5</v>
      </c>
      <c r="K15" s="2">
        <f t="shared" si="9"/>
        <v>0.305382642344532</v>
      </c>
      <c r="L15" s="2">
        <f t="shared" si="10"/>
        <v>0.5</v>
      </c>
      <c r="M15" s="2">
        <f t="shared" si="11"/>
        <v>0.305382642344532</v>
      </c>
      <c r="N15" s="2">
        <f t="shared" si="12"/>
        <v>0.5</v>
      </c>
      <c r="O15" s="2">
        <f t="shared" si="13"/>
        <v>0.305382642344532</v>
      </c>
      <c r="P15" s="2">
        <f t="shared" si="14"/>
        <v>0.5</v>
      </c>
      <c r="Q15" s="2">
        <f t="shared" si="15"/>
        <v>0.305382642344532</v>
      </c>
      <c r="R15" s="2">
        <f t="shared" si="16"/>
        <v>0.5</v>
      </c>
      <c r="S15" s="2">
        <f t="shared" si="17"/>
        <v>0.305382642344532</v>
      </c>
      <c r="T15" s="2">
        <f t="shared" si="18"/>
        <v>0.5</v>
      </c>
      <c r="U15" s="2">
        <f t="shared" si="19"/>
        <v>0.305382642344532</v>
      </c>
      <c r="V15" s="2">
        <f t="shared" si="20"/>
        <v>0.5</v>
      </c>
      <c r="W15" s="2">
        <f t="shared" si="21"/>
        <v>0.305382642344532</v>
      </c>
      <c r="X15" s="2">
        <f t="shared" si="22"/>
        <v>0.5</v>
      </c>
      <c r="Y15" s="2">
        <f t="shared" si="23"/>
        <v>0.305382642344532</v>
      </c>
      <c r="Z15" s="2">
        <f t="shared" si="24"/>
        <v>0.5</v>
      </c>
      <c r="AA15" s="2">
        <f t="shared" si="25"/>
        <v>0.305382642344532</v>
      </c>
      <c r="AB15" s="2">
        <f t="shared" si="26"/>
        <v>0.5</v>
      </c>
      <c r="AC15" s="2">
        <f t="shared" si="27"/>
        <v>0.305382642344532</v>
      </c>
      <c r="AD15" s="2">
        <f t="shared" si="28"/>
        <v>0.5</v>
      </c>
      <c r="AE15" s="2">
        <f t="shared" si="29"/>
        <v>0.305382642344532</v>
      </c>
      <c r="AF15" s="2">
        <f t="shared" si="30"/>
        <v>0.5</v>
      </c>
      <c r="AG15" s="2">
        <f t="shared" si="31"/>
        <v>0.305382642344532</v>
      </c>
      <c r="AH15" s="2">
        <f t="shared" si="32"/>
        <v>0.5</v>
      </c>
    </row>
    <row r="16" spans="1:34">
      <c r="A16" t="str">
        <f>sets!$H$3</f>
        <v>Teff</v>
      </c>
      <c r="B16" t="s">
        <v>148</v>
      </c>
      <c r="C16" s="2">
        <f>INDEX(TargetProduction!$B$47:$H$61,MATCH($B16,TargetProduction!$A$47:$A$61,0),MATCH($A16,TargetProduction!$B$46:$H$46,0))</f>
        <v>0.28700874998776099</v>
      </c>
      <c r="D16" s="2">
        <f>INDEX(TargetProduction!$I$47:$O$61,MATCH($B16,TargetProduction!$A$47:$A$61,0),MATCH($A16,TargetProduction!$I$46:$O$46,0))</f>
        <v>0.5</v>
      </c>
      <c r="E16" s="2">
        <f t="shared" si="3"/>
        <v>0.28700874998776099</v>
      </c>
      <c r="F16" s="2">
        <f t="shared" si="4"/>
        <v>0.5</v>
      </c>
      <c r="G16" s="2">
        <f t="shared" si="5"/>
        <v>0.28700874998776099</v>
      </c>
      <c r="H16" s="2">
        <f t="shared" si="6"/>
        <v>0.5</v>
      </c>
      <c r="I16" s="2">
        <f t="shared" si="7"/>
        <v>0.28700874998776099</v>
      </c>
      <c r="J16" s="2">
        <f t="shared" si="8"/>
        <v>0.5</v>
      </c>
      <c r="K16" s="2">
        <f t="shared" si="9"/>
        <v>0.28700874998776099</v>
      </c>
      <c r="L16" s="2">
        <f t="shared" si="10"/>
        <v>0.5</v>
      </c>
      <c r="M16" s="2">
        <f t="shared" si="11"/>
        <v>0.28700874998776099</v>
      </c>
      <c r="N16" s="2">
        <f t="shared" si="12"/>
        <v>0.5</v>
      </c>
      <c r="O16" s="2">
        <f t="shared" si="13"/>
        <v>0.28700874998776099</v>
      </c>
      <c r="P16" s="2">
        <f t="shared" si="14"/>
        <v>0.5</v>
      </c>
      <c r="Q16" s="2">
        <f t="shared" si="15"/>
        <v>0.28700874998776099</v>
      </c>
      <c r="R16" s="2">
        <f t="shared" si="16"/>
        <v>0.5</v>
      </c>
      <c r="S16" s="2">
        <f t="shared" si="17"/>
        <v>0.28700874998776099</v>
      </c>
      <c r="T16" s="2">
        <f t="shared" si="18"/>
        <v>0.5</v>
      </c>
      <c r="U16" s="2">
        <f t="shared" si="19"/>
        <v>0.28700874998776099</v>
      </c>
      <c r="V16" s="2">
        <f t="shared" si="20"/>
        <v>0.5</v>
      </c>
      <c r="W16" s="2">
        <f t="shared" si="21"/>
        <v>0.28700874998776099</v>
      </c>
      <c r="X16" s="2">
        <f t="shared" si="22"/>
        <v>0.5</v>
      </c>
      <c r="Y16" s="2">
        <f t="shared" si="23"/>
        <v>0.28700874998776099</v>
      </c>
      <c r="Z16" s="2">
        <f t="shared" si="24"/>
        <v>0.5</v>
      </c>
      <c r="AA16" s="2">
        <f t="shared" si="25"/>
        <v>0.28700874998776099</v>
      </c>
      <c r="AB16" s="2">
        <f t="shared" si="26"/>
        <v>0.5</v>
      </c>
      <c r="AC16" s="2">
        <f t="shared" si="27"/>
        <v>0.28700874998776099</v>
      </c>
      <c r="AD16" s="2">
        <f t="shared" si="28"/>
        <v>0.5</v>
      </c>
      <c r="AE16" s="2">
        <f t="shared" si="29"/>
        <v>0.28700874998776099</v>
      </c>
      <c r="AF16" s="2">
        <f t="shared" si="30"/>
        <v>0.5</v>
      </c>
      <c r="AG16" s="2">
        <f t="shared" si="31"/>
        <v>0.28700874998776099</v>
      </c>
      <c r="AH16" s="2">
        <f t="shared" si="32"/>
        <v>0.5</v>
      </c>
    </row>
    <row r="17" spans="1:34">
      <c r="A17" t="str">
        <f t="shared" ref="A17:A48" si="33">INDEX(Food,MATCH(A3,Food,0)+1)</f>
        <v>Sorghum</v>
      </c>
      <c r="B17" t="str">
        <f t="shared" ref="B17:B48" si="34">B3</f>
        <v>A1</v>
      </c>
      <c r="C17" s="2">
        <f>INDEX(TargetProduction!$B$47:$H$61,MATCH($B17,TargetProduction!$A$47:$A$61,0),MATCH($A17,TargetProduction!$B$46:$H$46,0))</f>
        <v>0.17791037101513499</v>
      </c>
      <c r="D17" s="2">
        <f>INDEX(TargetProduction!$I$47:$O$61,MATCH($B17,TargetProduction!$A$47:$A$61,0),MATCH($A17,TargetProduction!$I$46:$O$46,0))</f>
        <v>0.5</v>
      </c>
      <c r="E17" s="2">
        <f t="shared" si="3"/>
        <v>0.17791037101513499</v>
      </c>
      <c r="F17" s="2">
        <f t="shared" si="4"/>
        <v>0.5</v>
      </c>
      <c r="G17" s="2">
        <f t="shared" si="5"/>
        <v>0.17791037101513499</v>
      </c>
      <c r="H17" s="2">
        <f t="shared" si="6"/>
        <v>0.5</v>
      </c>
      <c r="I17" s="2">
        <f t="shared" si="7"/>
        <v>0.17791037101513499</v>
      </c>
      <c r="J17" s="2">
        <f t="shared" si="8"/>
        <v>0.5</v>
      </c>
      <c r="K17" s="2">
        <f t="shared" si="9"/>
        <v>0.17791037101513499</v>
      </c>
      <c r="L17" s="2">
        <f t="shared" si="10"/>
        <v>0.5</v>
      </c>
      <c r="M17" s="2">
        <f t="shared" si="11"/>
        <v>0.17791037101513499</v>
      </c>
      <c r="N17" s="2">
        <f t="shared" si="12"/>
        <v>0.5</v>
      </c>
      <c r="O17" s="2">
        <f t="shared" si="13"/>
        <v>0.17791037101513499</v>
      </c>
      <c r="P17" s="2">
        <f t="shared" si="14"/>
        <v>0.5</v>
      </c>
      <c r="Q17" s="2">
        <f t="shared" si="15"/>
        <v>0.17791037101513499</v>
      </c>
      <c r="R17" s="2">
        <f t="shared" si="16"/>
        <v>0.5</v>
      </c>
      <c r="S17" s="2">
        <f t="shared" si="17"/>
        <v>0.17791037101513499</v>
      </c>
      <c r="T17" s="2">
        <f t="shared" si="18"/>
        <v>0.5</v>
      </c>
      <c r="U17" s="2">
        <f t="shared" si="19"/>
        <v>0.17791037101513499</v>
      </c>
      <c r="V17" s="2">
        <f t="shared" si="20"/>
        <v>0.5</v>
      </c>
      <c r="W17" s="2">
        <f t="shared" si="21"/>
        <v>0.17791037101513499</v>
      </c>
      <c r="X17" s="2">
        <f t="shared" si="22"/>
        <v>0.5</v>
      </c>
      <c r="Y17" s="2">
        <f t="shared" si="23"/>
        <v>0.17791037101513499</v>
      </c>
      <c r="Z17" s="2">
        <f t="shared" si="24"/>
        <v>0.5</v>
      </c>
      <c r="AA17" s="2">
        <f t="shared" si="25"/>
        <v>0.17791037101513499</v>
      </c>
      <c r="AB17" s="2">
        <f t="shared" si="26"/>
        <v>0.5</v>
      </c>
      <c r="AC17" s="2">
        <f t="shared" si="27"/>
        <v>0.17791037101513499</v>
      </c>
      <c r="AD17" s="2">
        <f t="shared" si="28"/>
        <v>0.5</v>
      </c>
      <c r="AE17" s="2">
        <f t="shared" si="29"/>
        <v>0.17791037101513499</v>
      </c>
      <c r="AF17" s="2">
        <f t="shared" si="30"/>
        <v>0.5</v>
      </c>
      <c r="AG17" s="2">
        <f t="shared" si="31"/>
        <v>0.17791037101513499</v>
      </c>
      <c r="AH17" s="2">
        <f t="shared" si="32"/>
        <v>0.5</v>
      </c>
    </row>
    <row r="18" spans="1:34">
      <c r="A18" t="str">
        <f t="shared" si="33"/>
        <v>Sorghum</v>
      </c>
      <c r="B18" t="str">
        <f t="shared" si="34"/>
        <v>H2</v>
      </c>
      <c r="C18" s="2">
        <f>INDEX(TargetProduction!$B$47:$H$61,MATCH($B18,TargetProduction!$A$47:$A$61,0),MATCH($A18,TargetProduction!$B$46:$H$46,0))</f>
        <v>0.87963135703974005</v>
      </c>
      <c r="D18" s="2">
        <f>INDEX(TargetProduction!$I$47:$O$61,MATCH($B18,TargetProduction!$A$47:$A$61,0),MATCH($A18,TargetProduction!$I$46:$O$46,0))</f>
        <v>0.5</v>
      </c>
      <c r="E18" s="2">
        <f t="shared" si="3"/>
        <v>0.87963135703974005</v>
      </c>
      <c r="F18" s="2">
        <f t="shared" si="4"/>
        <v>0.5</v>
      </c>
      <c r="G18" s="2">
        <f t="shared" si="5"/>
        <v>0.87963135703974005</v>
      </c>
      <c r="H18" s="2">
        <f t="shared" si="6"/>
        <v>0.5</v>
      </c>
      <c r="I18" s="2">
        <f t="shared" si="7"/>
        <v>0.87963135703974005</v>
      </c>
      <c r="J18" s="2">
        <f t="shared" si="8"/>
        <v>0.5</v>
      </c>
      <c r="K18" s="2">
        <f t="shared" si="9"/>
        <v>0.87963135703974005</v>
      </c>
      <c r="L18" s="2">
        <f t="shared" si="10"/>
        <v>0.5</v>
      </c>
      <c r="M18" s="2">
        <f t="shared" si="11"/>
        <v>0.87963135703974005</v>
      </c>
      <c r="N18" s="2">
        <f t="shared" si="12"/>
        <v>0.5</v>
      </c>
      <c r="O18" s="2">
        <f t="shared" si="13"/>
        <v>0.87963135703974005</v>
      </c>
      <c r="P18" s="2">
        <f t="shared" si="14"/>
        <v>0.5</v>
      </c>
      <c r="Q18" s="2">
        <f t="shared" si="15"/>
        <v>0.87963135703974005</v>
      </c>
      <c r="R18" s="2">
        <f t="shared" si="16"/>
        <v>0.5</v>
      </c>
      <c r="S18" s="2">
        <f t="shared" si="17"/>
        <v>0.87963135703974005</v>
      </c>
      <c r="T18" s="2">
        <f t="shared" si="18"/>
        <v>0.5</v>
      </c>
      <c r="U18" s="2">
        <f t="shared" si="19"/>
        <v>0.87963135703974005</v>
      </c>
      <c r="V18" s="2">
        <f t="shared" si="20"/>
        <v>0.5</v>
      </c>
      <c r="W18" s="2">
        <f t="shared" si="21"/>
        <v>0.87963135703974005</v>
      </c>
      <c r="X18" s="2">
        <f t="shared" si="22"/>
        <v>0.5</v>
      </c>
      <c r="Y18" s="2">
        <f t="shared" si="23"/>
        <v>0.87963135703974005</v>
      </c>
      <c r="Z18" s="2">
        <f t="shared" si="24"/>
        <v>0.5</v>
      </c>
      <c r="AA18" s="2">
        <f t="shared" si="25"/>
        <v>0.87963135703974005</v>
      </c>
      <c r="AB18" s="2">
        <f t="shared" si="26"/>
        <v>0.5</v>
      </c>
      <c r="AC18" s="2">
        <f t="shared" si="27"/>
        <v>0.87963135703974005</v>
      </c>
      <c r="AD18" s="2">
        <f t="shared" si="28"/>
        <v>0.5</v>
      </c>
      <c r="AE18" s="2">
        <f t="shared" si="29"/>
        <v>0.87963135703974005</v>
      </c>
      <c r="AF18" s="2">
        <f t="shared" si="30"/>
        <v>0.5</v>
      </c>
      <c r="AG18" s="2">
        <f t="shared" si="31"/>
        <v>0.87963135703974005</v>
      </c>
      <c r="AH18" s="2">
        <f t="shared" si="32"/>
        <v>0.5</v>
      </c>
    </row>
    <row r="19" spans="1:34">
      <c r="A19" t="str">
        <f t="shared" si="33"/>
        <v>Sorghum</v>
      </c>
      <c r="B19" t="str">
        <f t="shared" si="34"/>
        <v>H3</v>
      </c>
      <c r="C19" s="2">
        <f>INDEX(TargetProduction!$B$47:$H$61,MATCH($B19,TargetProduction!$A$47:$A$61,0),MATCH($A19,TargetProduction!$B$46:$H$46,0))</f>
        <v>0.76654706857374599</v>
      </c>
      <c r="D19" s="2">
        <f>INDEX(TargetProduction!$I$47:$O$61,MATCH($B19,TargetProduction!$A$47:$A$61,0),MATCH($A19,TargetProduction!$I$46:$O$46,0))</f>
        <v>0.5</v>
      </c>
      <c r="E19" s="2">
        <f t="shared" si="3"/>
        <v>0.76654706857374599</v>
      </c>
      <c r="F19" s="2">
        <f t="shared" si="4"/>
        <v>0.5</v>
      </c>
      <c r="G19" s="2">
        <f t="shared" si="5"/>
        <v>0.76654706857374599</v>
      </c>
      <c r="H19" s="2">
        <f t="shared" si="6"/>
        <v>0.5</v>
      </c>
      <c r="I19" s="2">
        <f t="shared" si="7"/>
        <v>0.76654706857374599</v>
      </c>
      <c r="J19" s="2">
        <f t="shared" si="8"/>
        <v>0.5</v>
      </c>
      <c r="K19" s="2">
        <f t="shared" si="9"/>
        <v>0.76654706857374599</v>
      </c>
      <c r="L19" s="2">
        <f t="shared" si="10"/>
        <v>0.5</v>
      </c>
      <c r="M19" s="2">
        <f t="shared" si="11"/>
        <v>0.76654706857374599</v>
      </c>
      <c r="N19" s="2">
        <f t="shared" si="12"/>
        <v>0.5</v>
      </c>
      <c r="O19" s="2">
        <f t="shared" si="13"/>
        <v>0.76654706857374599</v>
      </c>
      <c r="P19" s="2">
        <f t="shared" si="14"/>
        <v>0.5</v>
      </c>
      <c r="Q19" s="2">
        <f t="shared" si="15"/>
        <v>0.76654706857374599</v>
      </c>
      <c r="R19" s="2">
        <f t="shared" si="16"/>
        <v>0.5</v>
      </c>
      <c r="S19" s="2">
        <f t="shared" si="17"/>
        <v>0.76654706857374599</v>
      </c>
      <c r="T19" s="2">
        <f t="shared" si="18"/>
        <v>0.5</v>
      </c>
      <c r="U19" s="2">
        <f t="shared" si="19"/>
        <v>0.76654706857374599</v>
      </c>
      <c r="V19" s="2">
        <f t="shared" si="20"/>
        <v>0.5</v>
      </c>
      <c r="W19" s="2">
        <f t="shared" si="21"/>
        <v>0.76654706857374599</v>
      </c>
      <c r="X19" s="2">
        <f t="shared" si="22"/>
        <v>0.5</v>
      </c>
      <c r="Y19" s="2">
        <f t="shared" si="23"/>
        <v>0.76654706857374599</v>
      </c>
      <c r="Z19" s="2">
        <f t="shared" si="24"/>
        <v>0.5</v>
      </c>
      <c r="AA19" s="2">
        <f t="shared" si="25"/>
        <v>0.76654706857374599</v>
      </c>
      <c r="AB19" s="2">
        <f t="shared" si="26"/>
        <v>0.5</v>
      </c>
      <c r="AC19" s="2">
        <f t="shared" si="27"/>
        <v>0.76654706857374599</v>
      </c>
      <c r="AD19" s="2">
        <f t="shared" si="28"/>
        <v>0.5</v>
      </c>
      <c r="AE19" s="2">
        <f t="shared" si="29"/>
        <v>0.76654706857374599</v>
      </c>
      <c r="AF19" s="2">
        <f t="shared" si="30"/>
        <v>0.5</v>
      </c>
      <c r="AG19" s="2">
        <f t="shared" si="31"/>
        <v>0.76654706857374599</v>
      </c>
      <c r="AH19" s="2">
        <f t="shared" si="32"/>
        <v>0.5</v>
      </c>
    </row>
    <row r="20" spans="1:34">
      <c r="A20" t="str">
        <f t="shared" si="33"/>
        <v>Sorghum</v>
      </c>
      <c r="B20" t="str">
        <f t="shared" si="34"/>
        <v>H4</v>
      </c>
      <c r="C20" s="2">
        <f>INDEX(TargetProduction!$B$47:$H$61,MATCH($B20,TargetProduction!$A$47:$A$61,0),MATCH($A20,TargetProduction!$B$46:$H$46,0))</f>
        <v>0.65340436824425796</v>
      </c>
      <c r="D20" s="2">
        <f>INDEX(TargetProduction!$I$47:$O$61,MATCH($B20,TargetProduction!$A$47:$A$61,0),MATCH($A20,TargetProduction!$I$46:$O$46,0))</f>
        <v>0.5</v>
      </c>
      <c r="E20" s="2">
        <f t="shared" si="3"/>
        <v>0.65340436824425796</v>
      </c>
      <c r="F20" s="2">
        <f t="shared" si="4"/>
        <v>0.5</v>
      </c>
      <c r="G20" s="2">
        <f t="shared" si="5"/>
        <v>0.65340436824425796</v>
      </c>
      <c r="H20" s="2">
        <f t="shared" si="6"/>
        <v>0.5</v>
      </c>
      <c r="I20" s="2">
        <f t="shared" si="7"/>
        <v>0.65340436824425796</v>
      </c>
      <c r="J20" s="2">
        <f t="shared" si="8"/>
        <v>0.5</v>
      </c>
      <c r="K20" s="2">
        <f t="shared" si="9"/>
        <v>0.65340436824425796</v>
      </c>
      <c r="L20" s="2">
        <f t="shared" si="10"/>
        <v>0.5</v>
      </c>
      <c r="M20" s="2">
        <f t="shared" si="11"/>
        <v>0.65340436824425796</v>
      </c>
      <c r="N20" s="2">
        <f t="shared" si="12"/>
        <v>0.5</v>
      </c>
      <c r="O20" s="2">
        <f t="shared" si="13"/>
        <v>0.65340436824425796</v>
      </c>
      <c r="P20" s="2">
        <f t="shared" si="14"/>
        <v>0.5</v>
      </c>
      <c r="Q20" s="2">
        <f t="shared" si="15"/>
        <v>0.65340436824425796</v>
      </c>
      <c r="R20" s="2">
        <f t="shared" si="16"/>
        <v>0.5</v>
      </c>
      <c r="S20" s="2">
        <f t="shared" si="17"/>
        <v>0.65340436824425796</v>
      </c>
      <c r="T20" s="2">
        <f t="shared" si="18"/>
        <v>0.5</v>
      </c>
      <c r="U20" s="2">
        <f t="shared" si="19"/>
        <v>0.65340436824425796</v>
      </c>
      <c r="V20" s="2">
        <f t="shared" si="20"/>
        <v>0.5</v>
      </c>
      <c r="W20" s="2">
        <f t="shared" si="21"/>
        <v>0.65340436824425796</v>
      </c>
      <c r="X20" s="2">
        <f t="shared" si="22"/>
        <v>0.5</v>
      </c>
      <c r="Y20" s="2">
        <f t="shared" si="23"/>
        <v>0.65340436824425796</v>
      </c>
      <c r="Z20" s="2">
        <f t="shared" si="24"/>
        <v>0.5</v>
      </c>
      <c r="AA20" s="2">
        <f t="shared" si="25"/>
        <v>0.65340436824425796</v>
      </c>
      <c r="AB20" s="2">
        <f t="shared" si="26"/>
        <v>0.5</v>
      </c>
      <c r="AC20" s="2">
        <f t="shared" si="27"/>
        <v>0.65340436824425796</v>
      </c>
      <c r="AD20" s="2">
        <f t="shared" si="28"/>
        <v>0.5</v>
      </c>
      <c r="AE20" s="2">
        <f t="shared" si="29"/>
        <v>0.65340436824425796</v>
      </c>
      <c r="AF20" s="2">
        <f t="shared" si="30"/>
        <v>0.5</v>
      </c>
      <c r="AG20" s="2">
        <f t="shared" si="31"/>
        <v>0.65340436824425796</v>
      </c>
      <c r="AH20" s="2">
        <f t="shared" si="32"/>
        <v>0.5</v>
      </c>
    </row>
    <row r="21" spans="1:34">
      <c r="A21" t="str">
        <f t="shared" si="33"/>
        <v>Sorghum</v>
      </c>
      <c r="B21" t="str">
        <f t="shared" si="34"/>
        <v>H5</v>
      </c>
      <c r="C21" s="2">
        <f>INDEX(TargetProduction!$B$47:$H$61,MATCH($B21,TargetProduction!$A$47:$A$61,0),MATCH($A21,TargetProduction!$B$46:$H$46,0))</f>
        <v>0.592102442533611</v>
      </c>
      <c r="D21" s="2">
        <f>INDEX(TargetProduction!$I$47:$O$61,MATCH($B21,TargetProduction!$A$47:$A$61,0),MATCH($A21,TargetProduction!$I$46:$O$46,0))</f>
        <v>0.5</v>
      </c>
      <c r="E21" s="2">
        <f t="shared" si="3"/>
        <v>0.592102442533611</v>
      </c>
      <c r="F21" s="2">
        <f t="shared" si="4"/>
        <v>0.5</v>
      </c>
      <c r="G21" s="2">
        <f t="shared" si="5"/>
        <v>0.592102442533611</v>
      </c>
      <c r="H21" s="2">
        <f t="shared" si="6"/>
        <v>0.5</v>
      </c>
      <c r="I21" s="2">
        <f t="shared" si="7"/>
        <v>0.592102442533611</v>
      </c>
      <c r="J21" s="2">
        <f t="shared" si="8"/>
        <v>0.5</v>
      </c>
      <c r="K21" s="2">
        <f t="shared" si="9"/>
        <v>0.592102442533611</v>
      </c>
      <c r="L21" s="2">
        <f t="shared" si="10"/>
        <v>0.5</v>
      </c>
      <c r="M21" s="2">
        <f t="shared" si="11"/>
        <v>0.592102442533611</v>
      </c>
      <c r="N21" s="2">
        <f t="shared" si="12"/>
        <v>0.5</v>
      </c>
      <c r="O21" s="2">
        <f t="shared" si="13"/>
        <v>0.592102442533611</v>
      </c>
      <c r="P21" s="2">
        <f t="shared" si="14"/>
        <v>0.5</v>
      </c>
      <c r="Q21" s="2">
        <f t="shared" si="15"/>
        <v>0.592102442533611</v>
      </c>
      <c r="R21" s="2">
        <f t="shared" si="16"/>
        <v>0.5</v>
      </c>
      <c r="S21" s="2">
        <f t="shared" si="17"/>
        <v>0.592102442533611</v>
      </c>
      <c r="T21" s="2">
        <f t="shared" si="18"/>
        <v>0.5</v>
      </c>
      <c r="U21" s="2">
        <f t="shared" si="19"/>
        <v>0.592102442533611</v>
      </c>
      <c r="V21" s="2">
        <f t="shared" si="20"/>
        <v>0.5</v>
      </c>
      <c r="W21" s="2">
        <f t="shared" si="21"/>
        <v>0.592102442533611</v>
      </c>
      <c r="X21" s="2">
        <f t="shared" si="22"/>
        <v>0.5</v>
      </c>
      <c r="Y21" s="2">
        <f t="shared" si="23"/>
        <v>0.592102442533611</v>
      </c>
      <c r="Z21" s="2">
        <f t="shared" si="24"/>
        <v>0.5</v>
      </c>
      <c r="AA21" s="2">
        <f t="shared" si="25"/>
        <v>0.592102442533611</v>
      </c>
      <c r="AB21" s="2">
        <f t="shared" si="26"/>
        <v>0.5</v>
      </c>
      <c r="AC21" s="2">
        <f t="shared" si="27"/>
        <v>0.592102442533611</v>
      </c>
      <c r="AD21" s="2">
        <f t="shared" si="28"/>
        <v>0.5</v>
      </c>
      <c r="AE21" s="2">
        <f t="shared" si="29"/>
        <v>0.592102442533611</v>
      </c>
      <c r="AF21" s="2">
        <f t="shared" si="30"/>
        <v>0.5</v>
      </c>
      <c r="AG21" s="2">
        <f t="shared" si="31"/>
        <v>0.592102442533611</v>
      </c>
      <c r="AH21" s="2">
        <f t="shared" si="32"/>
        <v>0.5</v>
      </c>
    </row>
    <row r="22" spans="1:34">
      <c r="A22" t="str">
        <f t="shared" si="33"/>
        <v>Sorghum</v>
      </c>
      <c r="B22" t="str">
        <f t="shared" si="34"/>
        <v>M1</v>
      </c>
      <c r="C22" s="2">
        <f>INDEX(TargetProduction!$B$47:$H$61,MATCH($B22,TargetProduction!$A$47:$A$61,0),MATCH($A22,TargetProduction!$B$46:$H$46,0))</f>
        <v>0.59068950026099198</v>
      </c>
      <c r="D22" s="2">
        <f>INDEX(TargetProduction!$I$47:$O$61,MATCH($B22,TargetProduction!$A$47:$A$61,0),MATCH($A22,TargetProduction!$I$46:$O$46,0))</f>
        <v>0.5</v>
      </c>
      <c r="E22" s="2">
        <f t="shared" si="3"/>
        <v>0.59068950026099198</v>
      </c>
      <c r="F22" s="2">
        <f t="shared" si="4"/>
        <v>0.5</v>
      </c>
      <c r="G22" s="2">
        <f t="shared" si="5"/>
        <v>0.59068950026099198</v>
      </c>
      <c r="H22" s="2">
        <f t="shared" si="6"/>
        <v>0.5</v>
      </c>
      <c r="I22" s="2">
        <f t="shared" si="7"/>
        <v>0.59068950026099198</v>
      </c>
      <c r="J22" s="2">
        <f t="shared" si="8"/>
        <v>0.5</v>
      </c>
      <c r="K22" s="2">
        <f t="shared" si="9"/>
        <v>0.59068950026099198</v>
      </c>
      <c r="L22" s="2">
        <f t="shared" si="10"/>
        <v>0.5</v>
      </c>
      <c r="M22" s="2">
        <f t="shared" si="11"/>
        <v>0.59068950026099198</v>
      </c>
      <c r="N22" s="2">
        <f t="shared" si="12"/>
        <v>0.5</v>
      </c>
      <c r="O22" s="2">
        <f t="shared" si="13"/>
        <v>0.59068950026099198</v>
      </c>
      <c r="P22" s="2">
        <f t="shared" si="14"/>
        <v>0.5</v>
      </c>
      <c r="Q22" s="2">
        <f t="shared" si="15"/>
        <v>0.59068950026099198</v>
      </c>
      <c r="R22" s="2">
        <f t="shared" si="16"/>
        <v>0.5</v>
      </c>
      <c r="S22" s="2">
        <f t="shared" si="17"/>
        <v>0.59068950026099198</v>
      </c>
      <c r="T22" s="2">
        <f t="shared" si="18"/>
        <v>0.5</v>
      </c>
      <c r="U22" s="2">
        <f t="shared" si="19"/>
        <v>0.59068950026099198</v>
      </c>
      <c r="V22" s="2">
        <f t="shared" si="20"/>
        <v>0.5</v>
      </c>
      <c r="W22" s="2">
        <f t="shared" si="21"/>
        <v>0.59068950026099198</v>
      </c>
      <c r="X22" s="2">
        <f t="shared" si="22"/>
        <v>0.5</v>
      </c>
      <c r="Y22" s="2">
        <f t="shared" si="23"/>
        <v>0.59068950026099198</v>
      </c>
      <c r="Z22" s="2">
        <f t="shared" si="24"/>
        <v>0.5</v>
      </c>
      <c r="AA22" s="2">
        <f t="shared" si="25"/>
        <v>0.59068950026099198</v>
      </c>
      <c r="AB22" s="2">
        <f t="shared" si="26"/>
        <v>0.5</v>
      </c>
      <c r="AC22" s="2">
        <f t="shared" si="27"/>
        <v>0.59068950026099198</v>
      </c>
      <c r="AD22" s="2">
        <f t="shared" si="28"/>
        <v>0.5</v>
      </c>
      <c r="AE22" s="2">
        <f t="shared" si="29"/>
        <v>0.59068950026099198</v>
      </c>
      <c r="AF22" s="2">
        <f t="shared" si="30"/>
        <v>0.5</v>
      </c>
      <c r="AG22" s="2">
        <f t="shared" si="31"/>
        <v>0.59068950026099198</v>
      </c>
      <c r="AH22" s="2">
        <f t="shared" si="32"/>
        <v>0.5</v>
      </c>
    </row>
    <row r="23" spans="1:34">
      <c r="A23" t="str">
        <f t="shared" si="33"/>
        <v>Sorghum</v>
      </c>
      <c r="B23" t="str">
        <f t="shared" si="34"/>
        <v>M3</v>
      </c>
      <c r="C23" s="2">
        <f>INDEX(TargetProduction!$B$47:$H$61,MATCH($B23,TargetProduction!$A$47:$A$61,0),MATCH($A23,TargetProduction!$B$46:$H$46,0))</f>
        <v>0.704422893924185</v>
      </c>
      <c r="D23" s="2">
        <f>INDEX(TargetProduction!$I$47:$O$61,MATCH($B23,TargetProduction!$A$47:$A$61,0),MATCH($A23,TargetProduction!$I$46:$O$46,0))</f>
        <v>0.5</v>
      </c>
      <c r="E23" s="2">
        <f t="shared" si="3"/>
        <v>0.704422893924185</v>
      </c>
      <c r="F23" s="2">
        <f t="shared" si="4"/>
        <v>0.5</v>
      </c>
      <c r="G23" s="2">
        <f t="shared" si="5"/>
        <v>0.704422893924185</v>
      </c>
      <c r="H23" s="2">
        <f t="shared" si="6"/>
        <v>0.5</v>
      </c>
      <c r="I23" s="2">
        <f t="shared" si="7"/>
        <v>0.704422893924185</v>
      </c>
      <c r="J23" s="2">
        <f t="shared" si="8"/>
        <v>0.5</v>
      </c>
      <c r="K23" s="2">
        <f t="shared" si="9"/>
        <v>0.704422893924185</v>
      </c>
      <c r="L23" s="2">
        <f t="shared" si="10"/>
        <v>0.5</v>
      </c>
      <c r="M23" s="2">
        <f t="shared" si="11"/>
        <v>0.704422893924185</v>
      </c>
      <c r="N23" s="2">
        <f t="shared" si="12"/>
        <v>0.5</v>
      </c>
      <c r="O23" s="2">
        <f t="shared" si="13"/>
        <v>0.704422893924185</v>
      </c>
      <c r="P23" s="2">
        <f t="shared" si="14"/>
        <v>0.5</v>
      </c>
      <c r="Q23" s="2">
        <f t="shared" si="15"/>
        <v>0.704422893924185</v>
      </c>
      <c r="R23" s="2">
        <f t="shared" si="16"/>
        <v>0.5</v>
      </c>
      <c r="S23" s="2">
        <f t="shared" si="17"/>
        <v>0.704422893924185</v>
      </c>
      <c r="T23" s="2">
        <f t="shared" si="18"/>
        <v>0.5</v>
      </c>
      <c r="U23" s="2">
        <f t="shared" si="19"/>
        <v>0.704422893924185</v>
      </c>
      <c r="V23" s="2">
        <f t="shared" si="20"/>
        <v>0.5</v>
      </c>
      <c r="W23" s="2">
        <f t="shared" si="21"/>
        <v>0.704422893924185</v>
      </c>
      <c r="X23" s="2">
        <f t="shared" si="22"/>
        <v>0.5</v>
      </c>
      <c r="Y23" s="2">
        <f t="shared" si="23"/>
        <v>0.704422893924185</v>
      </c>
      <c r="Z23" s="2">
        <f t="shared" si="24"/>
        <v>0.5</v>
      </c>
      <c r="AA23" s="2">
        <f t="shared" si="25"/>
        <v>0.704422893924185</v>
      </c>
      <c r="AB23" s="2">
        <f t="shared" si="26"/>
        <v>0.5</v>
      </c>
      <c r="AC23" s="2">
        <f t="shared" si="27"/>
        <v>0.704422893924185</v>
      </c>
      <c r="AD23" s="2">
        <f t="shared" si="28"/>
        <v>0.5</v>
      </c>
      <c r="AE23" s="2">
        <f t="shared" si="29"/>
        <v>0.704422893924185</v>
      </c>
      <c r="AF23" s="2">
        <f t="shared" si="30"/>
        <v>0.5</v>
      </c>
      <c r="AG23" s="2">
        <f t="shared" si="31"/>
        <v>0.704422893924185</v>
      </c>
      <c r="AH23" s="2">
        <f t="shared" si="32"/>
        <v>0.5</v>
      </c>
    </row>
    <row r="24" spans="1:34">
      <c r="A24" t="str">
        <f t="shared" si="33"/>
        <v>Sorghum</v>
      </c>
      <c r="B24" t="str">
        <f t="shared" si="34"/>
        <v>M5</v>
      </c>
      <c r="C24" s="2">
        <f>INDEX(TargetProduction!$B$47:$H$61,MATCH($B24,TargetProduction!$A$47:$A$61,0),MATCH($A24,TargetProduction!$B$46:$H$46,0))</f>
        <v>0.66892835650981397</v>
      </c>
      <c r="D24" s="2">
        <f>INDEX(TargetProduction!$I$47:$O$61,MATCH($B24,TargetProduction!$A$47:$A$61,0),MATCH($A24,TargetProduction!$I$46:$O$46,0))</f>
        <v>0.5</v>
      </c>
      <c r="E24" s="2">
        <f t="shared" si="3"/>
        <v>0.66892835650981397</v>
      </c>
      <c r="F24" s="2">
        <f t="shared" si="4"/>
        <v>0.5</v>
      </c>
      <c r="G24" s="2">
        <f t="shared" si="5"/>
        <v>0.66892835650981397</v>
      </c>
      <c r="H24" s="2">
        <f t="shared" si="6"/>
        <v>0.5</v>
      </c>
      <c r="I24" s="2">
        <f t="shared" si="7"/>
        <v>0.66892835650981397</v>
      </c>
      <c r="J24" s="2">
        <f t="shared" si="8"/>
        <v>0.5</v>
      </c>
      <c r="K24" s="2">
        <f t="shared" si="9"/>
        <v>0.66892835650981397</v>
      </c>
      <c r="L24" s="2">
        <f t="shared" si="10"/>
        <v>0.5</v>
      </c>
      <c r="M24" s="2">
        <f t="shared" si="11"/>
        <v>0.66892835650981397</v>
      </c>
      <c r="N24" s="2">
        <f t="shared" si="12"/>
        <v>0.5</v>
      </c>
      <c r="O24" s="2">
        <f t="shared" si="13"/>
        <v>0.66892835650981397</v>
      </c>
      <c r="P24" s="2">
        <f t="shared" si="14"/>
        <v>0.5</v>
      </c>
      <c r="Q24" s="2">
        <f t="shared" si="15"/>
        <v>0.66892835650981397</v>
      </c>
      <c r="R24" s="2">
        <f t="shared" si="16"/>
        <v>0.5</v>
      </c>
      <c r="S24" s="2">
        <f t="shared" si="17"/>
        <v>0.66892835650981397</v>
      </c>
      <c r="T24" s="2">
        <f t="shared" si="18"/>
        <v>0.5</v>
      </c>
      <c r="U24" s="2">
        <f t="shared" si="19"/>
        <v>0.66892835650981397</v>
      </c>
      <c r="V24" s="2">
        <f t="shared" si="20"/>
        <v>0.5</v>
      </c>
      <c r="W24" s="2">
        <f t="shared" si="21"/>
        <v>0.66892835650981397</v>
      </c>
      <c r="X24" s="2">
        <f t="shared" si="22"/>
        <v>0.5</v>
      </c>
      <c r="Y24" s="2">
        <f t="shared" si="23"/>
        <v>0.66892835650981397</v>
      </c>
      <c r="Z24" s="2">
        <f t="shared" si="24"/>
        <v>0.5</v>
      </c>
      <c r="AA24" s="2">
        <f t="shared" si="25"/>
        <v>0.66892835650981397</v>
      </c>
      <c r="AB24" s="2">
        <f t="shared" si="26"/>
        <v>0.5</v>
      </c>
      <c r="AC24" s="2">
        <f t="shared" si="27"/>
        <v>0.66892835650981397</v>
      </c>
      <c r="AD24" s="2">
        <f t="shared" si="28"/>
        <v>0.5</v>
      </c>
      <c r="AE24" s="2">
        <f t="shared" si="29"/>
        <v>0.66892835650981397</v>
      </c>
      <c r="AF24" s="2">
        <f t="shared" si="30"/>
        <v>0.5</v>
      </c>
      <c r="AG24" s="2">
        <f t="shared" si="31"/>
        <v>0.66892835650981397</v>
      </c>
      <c r="AH24" s="2">
        <f t="shared" si="32"/>
        <v>0.5</v>
      </c>
    </row>
    <row r="25" spans="1:34">
      <c r="A25" t="str">
        <f t="shared" si="33"/>
        <v>Sorghum</v>
      </c>
      <c r="B25" t="str">
        <f t="shared" si="34"/>
        <v>SA1</v>
      </c>
      <c r="C25" s="2">
        <f>INDEX(TargetProduction!$B$47:$H$61,MATCH($B25,TargetProduction!$A$47:$A$61,0),MATCH($A25,TargetProduction!$B$46:$H$46,0))</f>
        <v>0.65602772552438104</v>
      </c>
      <c r="D25" s="2">
        <f>INDEX(TargetProduction!$I$47:$O$61,MATCH($B25,TargetProduction!$A$47:$A$61,0),MATCH($A25,TargetProduction!$I$46:$O$46,0))</f>
        <v>0.5</v>
      </c>
      <c r="E25" s="2">
        <f t="shared" si="3"/>
        <v>0.65602772552438104</v>
      </c>
      <c r="F25" s="2">
        <f t="shared" si="4"/>
        <v>0.5</v>
      </c>
      <c r="G25" s="2">
        <f t="shared" si="5"/>
        <v>0.65602772552438104</v>
      </c>
      <c r="H25" s="2">
        <f t="shared" si="6"/>
        <v>0.5</v>
      </c>
      <c r="I25" s="2">
        <f t="shared" si="7"/>
        <v>0.65602772552438104</v>
      </c>
      <c r="J25" s="2">
        <f t="shared" si="8"/>
        <v>0.5</v>
      </c>
      <c r="K25" s="2">
        <f t="shared" si="9"/>
        <v>0.65602772552438104</v>
      </c>
      <c r="L25" s="2">
        <f t="shared" si="10"/>
        <v>0.5</v>
      </c>
      <c r="M25" s="2">
        <f t="shared" si="11"/>
        <v>0.65602772552438104</v>
      </c>
      <c r="N25" s="2">
        <f t="shared" si="12"/>
        <v>0.5</v>
      </c>
      <c r="O25" s="2">
        <f t="shared" si="13"/>
        <v>0.65602772552438104</v>
      </c>
      <c r="P25" s="2">
        <f t="shared" si="14"/>
        <v>0.5</v>
      </c>
      <c r="Q25" s="2">
        <f t="shared" si="15"/>
        <v>0.65602772552438104</v>
      </c>
      <c r="R25" s="2">
        <f t="shared" si="16"/>
        <v>0.5</v>
      </c>
      <c r="S25" s="2">
        <f t="shared" si="17"/>
        <v>0.65602772552438104</v>
      </c>
      <c r="T25" s="2">
        <f t="shared" si="18"/>
        <v>0.5</v>
      </c>
      <c r="U25" s="2">
        <f t="shared" si="19"/>
        <v>0.65602772552438104</v>
      </c>
      <c r="V25" s="2">
        <f t="shared" si="20"/>
        <v>0.5</v>
      </c>
      <c r="W25" s="2">
        <f t="shared" si="21"/>
        <v>0.65602772552438104</v>
      </c>
      <c r="X25" s="2">
        <f t="shared" si="22"/>
        <v>0.5</v>
      </c>
      <c r="Y25" s="2">
        <f t="shared" si="23"/>
        <v>0.65602772552438104</v>
      </c>
      <c r="Z25" s="2">
        <f t="shared" si="24"/>
        <v>0.5</v>
      </c>
      <c r="AA25" s="2">
        <f t="shared" si="25"/>
        <v>0.65602772552438104</v>
      </c>
      <c r="AB25" s="2">
        <f t="shared" si="26"/>
        <v>0.5</v>
      </c>
      <c r="AC25" s="2">
        <f t="shared" si="27"/>
        <v>0.65602772552438104</v>
      </c>
      <c r="AD25" s="2">
        <f t="shared" si="28"/>
        <v>0.5</v>
      </c>
      <c r="AE25" s="2">
        <f t="shared" si="29"/>
        <v>0.65602772552438104</v>
      </c>
      <c r="AF25" s="2">
        <f t="shared" si="30"/>
        <v>0.5</v>
      </c>
      <c r="AG25" s="2">
        <f t="shared" si="31"/>
        <v>0.65602772552438104</v>
      </c>
      <c r="AH25" s="2">
        <f t="shared" si="32"/>
        <v>0.5</v>
      </c>
    </row>
    <row r="26" spans="1:34">
      <c r="A26" t="str">
        <f t="shared" si="33"/>
        <v>Sorghum</v>
      </c>
      <c r="B26" t="str">
        <f t="shared" si="34"/>
        <v>SA3</v>
      </c>
      <c r="C26" s="2">
        <f>INDEX(TargetProduction!$B$47:$H$61,MATCH($B26,TargetProduction!$A$47:$A$61,0),MATCH($A26,TargetProduction!$B$46:$H$46,0))</f>
        <v>0.55423927635132497</v>
      </c>
      <c r="D26" s="2">
        <f>INDEX(TargetProduction!$I$47:$O$61,MATCH($B26,TargetProduction!$A$47:$A$61,0),MATCH($A26,TargetProduction!$I$46:$O$46,0))</f>
        <v>0.5</v>
      </c>
      <c r="E26" s="2">
        <f t="shared" si="3"/>
        <v>0.55423927635132497</v>
      </c>
      <c r="F26" s="2">
        <f t="shared" si="4"/>
        <v>0.5</v>
      </c>
      <c r="G26" s="2">
        <f t="shared" si="5"/>
        <v>0.55423927635132497</v>
      </c>
      <c r="H26" s="2">
        <f t="shared" si="6"/>
        <v>0.5</v>
      </c>
      <c r="I26" s="2">
        <f t="shared" si="7"/>
        <v>0.55423927635132497</v>
      </c>
      <c r="J26" s="2">
        <f t="shared" si="8"/>
        <v>0.5</v>
      </c>
      <c r="K26" s="2">
        <f t="shared" si="9"/>
        <v>0.55423927635132497</v>
      </c>
      <c r="L26" s="2">
        <f t="shared" si="10"/>
        <v>0.5</v>
      </c>
      <c r="M26" s="2">
        <f t="shared" si="11"/>
        <v>0.55423927635132497</v>
      </c>
      <c r="N26" s="2">
        <f t="shared" si="12"/>
        <v>0.5</v>
      </c>
      <c r="O26" s="2">
        <f t="shared" si="13"/>
        <v>0.55423927635132497</v>
      </c>
      <c r="P26" s="2">
        <f t="shared" si="14"/>
        <v>0.5</v>
      </c>
      <c r="Q26" s="2">
        <f t="shared" si="15"/>
        <v>0.55423927635132497</v>
      </c>
      <c r="R26" s="2">
        <f t="shared" si="16"/>
        <v>0.5</v>
      </c>
      <c r="S26" s="2">
        <f t="shared" si="17"/>
        <v>0.55423927635132497</v>
      </c>
      <c r="T26" s="2">
        <f t="shared" si="18"/>
        <v>0.5</v>
      </c>
      <c r="U26" s="2">
        <f t="shared" si="19"/>
        <v>0.55423927635132497</v>
      </c>
      <c r="V26" s="2">
        <f t="shared" si="20"/>
        <v>0.5</v>
      </c>
      <c r="W26" s="2">
        <f t="shared" si="21"/>
        <v>0.55423927635132497</v>
      </c>
      <c r="X26" s="2">
        <f t="shared" si="22"/>
        <v>0.5</v>
      </c>
      <c r="Y26" s="2">
        <f t="shared" si="23"/>
        <v>0.55423927635132497</v>
      </c>
      <c r="Z26" s="2">
        <f t="shared" si="24"/>
        <v>0.5</v>
      </c>
      <c r="AA26" s="2">
        <f t="shared" si="25"/>
        <v>0.55423927635132497</v>
      </c>
      <c r="AB26" s="2">
        <f t="shared" si="26"/>
        <v>0.5</v>
      </c>
      <c r="AC26" s="2">
        <f t="shared" si="27"/>
        <v>0.55423927635132497</v>
      </c>
      <c r="AD26" s="2">
        <f t="shared" si="28"/>
        <v>0.5</v>
      </c>
      <c r="AE26" s="2">
        <f t="shared" si="29"/>
        <v>0.55423927635132497</v>
      </c>
      <c r="AF26" s="2">
        <f t="shared" si="30"/>
        <v>0.5</v>
      </c>
      <c r="AG26" s="2">
        <f t="shared" si="31"/>
        <v>0.55423927635132497</v>
      </c>
      <c r="AH26" s="2">
        <f t="shared" si="32"/>
        <v>0.5</v>
      </c>
    </row>
    <row r="27" spans="1:34">
      <c r="A27" t="str">
        <f t="shared" si="33"/>
        <v>Sorghum</v>
      </c>
      <c r="B27" t="str">
        <f t="shared" si="34"/>
        <v>SH1</v>
      </c>
      <c r="C27" s="2">
        <f>INDEX(TargetProduction!$B$47:$H$61,MATCH($B27,TargetProduction!$A$47:$A$61,0),MATCH($A27,TargetProduction!$B$46:$H$46,0))</f>
        <v>0.91062071142326295</v>
      </c>
      <c r="D27" s="2">
        <f>INDEX(TargetProduction!$I$47:$O$61,MATCH($B27,TargetProduction!$A$47:$A$61,0),MATCH($A27,TargetProduction!$I$46:$O$46,0))</f>
        <v>0.5</v>
      </c>
      <c r="E27" s="2">
        <f t="shared" si="3"/>
        <v>0.91062071142326295</v>
      </c>
      <c r="F27" s="2">
        <f t="shared" si="4"/>
        <v>0.5</v>
      </c>
      <c r="G27" s="2">
        <f t="shared" si="5"/>
        <v>0.91062071142326295</v>
      </c>
      <c r="H27" s="2">
        <f t="shared" si="6"/>
        <v>0.5</v>
      </c>
      <c r="I27" s="2">
        <f t="shared" si="7"/>
        <v>0.91062071142326295</v>
      </c>
      <c r="J27" s="2">
        <f t="shared" si="8"/>
        <v>0.5</v>
      </c>
      <c r="K27" s="2">
        <f t="shared" si="9"/>
        <v>0.91062071142326295</v>
      </c>
      <c r="L27" s="2">
        <f t="shared" si="10"/>
        <v>0.5</v>
      </c>
      <c r="M27" s="2">
        <f t="shared" si="11"/>
        <v>0.91062071142326295</v>
      </c>
      <c r="N27" s="2">
        <f t="shared" si="12"/>
        <v>0.5</v>
      </c>
      <c r="O27" s="2">
        <f t="shared" si="13"/>
        <v>0.91062071142326295</v>
      </c>
      <c r="P27" s="2">
        <f t="shared" si="14"/>
        <v>0.5</v>
      </c>
      <c r="Q27" s="2">
        <f t="shared" si="15"/>
        <v>0.91062071142326295</v>
      </c>
      <c r="R27" s="2">
        <f t="shared" si="16"/>
        <v>0.5</v>
      </c>
      <c r="S27" s="2">
        <f t="shared" si="17"/>
        <v>0.91062071142326295</v>
      </c>
      <c r="T27" s="2">
        <f t="shared" si="18"/>
        <v>0.5</v>
      </c>
      <c r="U27" s="2">
        <f t="shared" si="19"/>
        <v>0.91062071142326295</v>
      </c>
      <c r="V27" s="2">
        <f t="shared" si="20"/>
        <v>0.5</v>
      </c>
      <c r="W27" s="2">
        <f t="shared" si="21"/>
        <v>0.91062071142326295</v>
      </c>
      <c r="X27" s="2">
        <f t="shared" si="22"/>
        <v>0.5</v>
      </c>
      <c r="Y27" s="2">
        <f t="shared" si="23"/>
        <v>0.91062071142326295</v>
      </c>
      <c r="Z27" s="2">
        <f t="shared" si="24"/>
        <v>0.5</v>
      </c>
      <c r="AA27" s="2">
        <f t="shared" si="25"/>
        <v>0.91062071142326295</v>
      </c>
      <c r="AB27" s="2">
        <f t="shared" si="26"/>
        <v>0.5</v>
      </c>
      <c r="AC27" s="2">
        <f t="shared" si="27"/>
        <v>0.91062071142326295</v>
      </c>
      <c r="AD27" s="2">
        <f t="shared" si="28"/>
        <v>0.5</v>
      </c>
      <c r="AE27" s="2">
        <f t="shared" si="29"/>
        <v>0.91062071142326295</v>
      </c>
      <c r="AF27" s="2">
        <f t="shared" si="30"/>
        <v>0.5</v>
      </c>
      <c r="AG27" s="2">
        <f t="shared" si="31"/>
        <v>0.91062071142326295</v>
      </c>
      <c r="AH27" s="2">
        <f t="shared" si="32"/>
        <v>0.5</v>
      </c>
    </row>
    <row r="28" spans="1:34">
      <c r="A28" t="str">
        <f t="shared" si="33"/>
        <v>Sorghum</v>
      </c>
      <c r="B28" t="str">
        <f t="shared" si="34"/>
        <v>SH3</v>
      </c>
      <c r="C28" s="2">
        <f>INDEX(TargetProduction!$B$47:$H$61,MATCH($B28,TargetProduction!$A$47:$A$61,0),MATCH($A28,TargetProduction!$B$46:$H$46,0))</f>
        <v>0.87751305505603405</v>
      </c>
      <c r="D28" s="2">
        <f>INDEX(TargetProduction!$I$47:$O$61,MATCH($B28,TargetProduction!$A$47:$A$61,0),MATCH($A28,TargetProduction!$I$46:$O$46,0))</f>
        <v>0.5</v>
      </c>
      <c r="E28" s="2">
        <f t="shared" si="3"/>
        <v>0.87751305505603405</v>
      </c>
      <c r="F28" s="2">
        <f t="shared" si="4"/>
        <v>0.5</v>
      </c>
      <c r="G28" s="2">
        <f t="shared" si="5"/>
        <v>0.87751305505603405</v>
      </c>
      <c r="H28" s="2">
        <f t="shared" si="6"/>
        <v>0.5</v>
      </c>
      <c r="I28" s="2">
        <f t="shared" si="7"/>
        <v>0.87751305505603405</v>
      </c>
      <c r="J28" s="2">
        <f t="shared" si="8"/>
        <v>0.5</v>
      </c>
      <c r="K28" s="2">
        <f t="shared" si="9"/>
        <v>0.87751305505603405</v>
      </c>
      <c r="L28" s="2">
        <f t="shared" si="10"/>
        <v>0.5</v>
      </c>
      <c r="M28" s="2">
        <f t="shared" si="11"/>
        <v>0.87751305505603405</v>
      </c>
      <c r="N28" s="2">
        <f t="shared" si="12"/>
        <v>0.5</v>
      </c>
      <c r="O28" s="2">
        <f t="shared" si="13"/>
        <v>0.87751305505603405</v>
      </c>
      <c r="P28" s="2">
        <f t="shared" si="14"/>
        <v>0.5</v>
      </c>
      <c r="Q28" s="2">
        <f t="shared" si="15"/>
        <v>0.87751305505603405</v>
      </c>
      <c r="R28" s="2">
        <f t="shared" si="16"/>
        <v>0.5</v>
      </c>
      <c r="S28" s="2">
        <f t="shared" si="17"/>
        <v>0.87751305505603405</v>
      </c>
      <c r="T28" s="2">
        <f t="shared" si="18"/>
        <v>0.5</v>
      </c>
      <c r="U28" s="2">
        <f t="shared" si="19"/>
        <v>0.87751305505603405</v>
      </c>
      <c r="V28" s="2">
        <f t="shared" si="20"/>
        <v>0.5</v>
      </c>
      <c r="W28" s="2">
        <f t="shared" si="21"/>
        <v>0.87751305505603405</v>
      </c>
      <c r="X28" s="2">
        <f t="shared" si="22"/>
        <v>0.5</v>
      </c>
      <c r="Y28" s="2">
        <f t="shared" si="23"/>
        <v>0.87751305505603405</v>
      </c>
      <c r="Z28" s="2">
        <f t="shared" si="24"/>
        <v>0.5</v>
      </c>
      <c r="AA28" s="2">
        <f t="shared" si="25"/>
        <v>0.87751305505603405</v>
      </c>
      <c r="AB28" s="2">
        <f t="shared" si="26"/>
        <v>0.5</v>
      </c>
      <c r="AC28" s="2">
        <f t="shared" si="27"/>
        <v>0.87751305505603405</v>
      </c>
      <c r="AD28" s="2">
        <f t="shared" si="28"/>
        <v>0.5</v>
      </c>
      <c r="AE28" s="2">
        <f t="shared" si="29"/>
        <v>0.87751305505603405</v>
      </c>
      <c r="AF28" s="2">
        <f t="shared" si="30"/>
        <v>0.5</v>
      </c>
      <c r="AG28" s="2">
        <f t="shared" si="31"/>
        <v>0.87751305505603405</v>
      </c>
      <c r="AH28" s="2">
        <f t="shared" si="32"/>
        <v>0.5</v>
      </c>
    </row>
    <row r="29" spans="1:34">
      <c r="A29" t="str">
        <f t="shared" si="33"/>
        <v>Sorghum</v>
      </c>
      <c r="B29" t="str">
        <f t="shared" si="34"/>
        <v>SM2</v>
      </c>
      <c r="C29" s="2">
        <f>INDEX(TargetProduction!$B$47:$H$61,MATCH($B29,TargetProduction!$A$47:$A$61,0),MATCH($A29,TargetProduction!$B$46:$H$46,0))</f>
        <v>0.27380441657849502</v>
      </c>
      <c r="D29" s="2">
        <f>INDEX(TargetProduction!$I$47:$O$61,MATCH($B29,TargetProduction!$A$47:$A$61,0),MATCH($A29,TargetProduction!$I$46:$O$46,0))</f>
        <v>0.5</v>
      </c>
      <c r="E29" s="2">
        <f t="shared" si="3"/>
        <v>0.27380441657849502</v>
      </c>
      <c r="F29" s="2">
        <f t="shared" si="4"/>
        <v>0.5</v>
      </c>
      <c r="G29" s="2">
        <f t="shared" si="5"/>
        <v>0.27380441657849502</v>
      </c>
      <c r="H29" s="2">
        <f t="shared" si="6"/>
        <v>0.5</v>
      </c>
      <c r="I29" s="2">
        <f t="shared" si="7"/>
        <v>0.27380441657849502</v>
      </c>
      <c r="J29" s="2">
        <f t="shared" si="8"/>
        <v>0.5</v>
      </c>
      <c r="K29" s="2">
        <f t="shared" si="9"/>
        <v>0.27380441657849502</v>
      </c>
      <c r="L29" s="2">
        <f t="shared" si="10"/>
        <v>0.5</v>
      </c>
      <c r="M29" s="2">
        <f t="shared" si="11"/>
        <v>0.27380441657849502</v>
      </c>
      <c r="N29" s="2">
        <f t="shared" si="12"/>
        <v>0.5</v>
      </c>
      <c r="O29" s="2">
        <f t="shared" si="13"/>
        <v>0.27380441657849502</v>
      </c>
      <c r="P29" s="2">
        <f t="shared" si="14"/>
        <v>0.5</v>
      </c>
      <c r="Q29" s="2">
        <f t="shared" si="15"/>
        <v>0.27380441657849502</v>
      </c>
      <c r="R29" s="2">
        <f t="shared" si="16"/>
        <v>0.5</v>
      </c>
      <c r="S29" s="2">
        <f t="shared" si="17"/>
        <v>0.27380441657849502</v>
      </c>
      <c r="T29" s="2">
        <f t="shared" si="18"/>
        <v>0.5</v>
      </c>
      <c r="U29" s="2">
        <f t="shared" si="19"/>
        <v>0.27380441657849502</v>
      </c>
      <c r="V29" s="2">
        <f t="shared" si="20"/>
        <v>0.5</v>
      </c>
      <c r="W29" s="2">
        <f t="shared" si="21"/>
        <v>0.27380441657849502</v>
      </c>
      <c r="X29" s="2">
        <f t="shared" si="22"/>
        <v>0.5</v>
      </c>
      <c r="Y29" s="2">
        <f t="shared" si="23"/>
        <v>0.27380441657849502</v>
      </c>
      <c r="Z29" s="2">
        <f t="shared" si="24"/>
        <v>0.5</v>
      </c>
      <c r="AA29" s="2">
        <f t="shared" si="25"/>
        <v>0.27380441657849502</v>
      </c>
      <c r="AB29" s="2">
        <f t="shared" si="26"/>
        <v>0.5</v>
      </c>
      <c r="AC29" s="2">
        <f t="shared" si="27"/>
        <v>0.27380441657849502</v>
      </c>
      <c r="AD29" s="2">
        <f t="shared" si="28"/>
        <v>0.5</v>
      </c>
      <c r="AE29" s="2">
        <f t="shared" si="29"/>
        <v>0.27380441657849502</v>
      </c>
      <c r="AF29" s="2">
        <f t="shared" si="30"/>
        <v>0.5</v>
      </c>
      <c r="AG29" s="2">
        <f t="shared" si="31"/>
        <v>0.27380441657849502</v>
      </c>
      <c r="AH29" s="2">
        <f t="shared" si="32"/>
        <v>0.5</v>
      </c>
    </row>
    <row r="30" spans="1:34">
      <c r="A30" t="str">
        <f t="shared" si="33"/>
        <v>Sorghum</v>
      </c>
      <c r="B30" t="str">
        <f t="shared" si="34"/>
        <v>SM2N</v>
      </c>
      <c r="C30" s="2">
        <f>INDEX(TargetProduction!$B$47:$H$61,MATCH($B30,TargetProduction!$A$47:$A$61,0),MATCH($A30,TargetProduction!$B$46:$H$46,0))</f>
        <v>0.33822670619724898</v>
      </c>
      <c r="D30" s="2">
        <f>INDEX(TargetProduction!$I$47:$O$61,MATCH($B30,TargetProduction!$A$47:$A$61,0),MATCH($A30,TargetProduction!$I$46:$O$46,0))</f>
        <v>0.5</v>
      </c>
      <c r="E30" s="2">
        <f t="shared" si="3"/>
        <v>0.33822670619724898</v>
      </c>
      <c r="F30" s="2">
        <f t="shared" si="4"/>
        <v>0.5</v>
      </c>
      <c r="G30" s="2">
        <f t="shared" si="5"/>
        <v>0.33822670619724898</v>
      </c>
      <c r="H30" s="2">
        <f t="shared" si="6"/>
        <v>0.5</v>
      </c>
      <c r="I30" s="2">
        <f t="shared" si="7"/>
        <v>0.33822670619724898</v>
      </c>
      <c r="J30" s="2">
        <f t="shared" si="8"/>
        <v>0.5</v>
      </c>
      <c r="K30" s="2">
        <f t="shared" si="9"/>
        <v>0.33822670619724898</v>
      </c>
      <c r="L30" s="2">
        <f t="shared" si="10"/>
        <v>0.5</v>
      </c>
      <c r="M30" s="2">
        <f t="shared" si="11"/>
        <v>0.33822670619724898</v>
      </c>
      <c r="N30" s="2">
        <f t="shared" si="12"/>
        <v>0.5</v>
      </c>
      <c r="O30" s="2">
        <f t="shared" si="13"/>
        <v>0.33822670619724898</v>
      </c>
      <c r="P30" s="2">
        <f t="shared" si="14"/>
        <v>0.5</v>
      </c>
      <c r="Q30" s="2">
        <f t="shared" si="15"/>
        <v>0.33822670619724898</v>
      </c>
      <c r="R30" s="2">
        <f t="shared" si="16"/>
        <v>0.5</v>
      </c>
      <c r="S30" s="2">
        <f t="shared" si="17"/>
        <v>0.33822670619724898</v>
      </c>
      <c r="T30" s="2">
        <f t="shared" si="18"/>
        <v>0.5</v>
      </c>
      <c r="U30" s="2">
        <f t="shared" si="19"/>
        <v>0.33822670619724898</v>
      </c>
      <c r="V30" s="2">
        <f t="shared" si="20"/>
        <v>0.5</v>
      </c>
      <c r="W30" s="2">
        <f t="shared" si="21"/>
        <v>0.33822670619724898</v>
      </c>
      <c r="X30" s="2">
        <f t="shared" si="22"/>
        <v>0.5</v>
      </c>
      <c r="Y30" s="2">
        <f t="shared" si="23"/>
        <v>0.33822670619724898</v>
      </c>
      <c r="Z30" s="2">
        <f t="shared" si="24"/>
        <v>0.5</v>
      </c>
      <c r="AA30" s="2">
        <f t="shared" si="25"/>
        <v>0.33822670619724898</v>
      </c>
      <c r="AB30" s="2">
        <f t="shared" si="26"/>
        <v>0.5</v>
      </c>
      <c r="AC30" s="2">
        <f t="shared" si="27"/>
        <v>0.33822670619724898</v>
      </c>
      <c r="AD30" s="2">
        <f t="shared" si="28"/>
        <v>0.5</v>
      </c>
      <c r="AE30" s="2">
        <f t="shared" si="29"/>
        <v>0.33822670619724898</v>
      </c>
      <c r="AF30" s="2">
        <f t="shared" si="30"/>
        <v>0.5</v>
      </c>
      <c r="AG30" s="2">
        <f t="shared" si="31"/>
        <v>0.33822670619724898</v>
      </c>
      <c r="AH30" s="2">
        <f t="shared" si="32"/>
        <v>0.5</v>
      </c>
    </row>
    <row r="31" spans="1:34">
      <c r="A31" t="str">
        <f t="shared" si="33"/>
        <v>Maize</v>
      </c>
      <c r="B31" t="str">
        <f t="shared" si="34"/>
        <v>A1</v>
      </c>
      <c r="C31" s="2">
        <f>INDEX(TargetProduction!$B$47:$H$61,MATCH($B31,TargetProduction!$A$47:$A$61,0),MATCH($A31,TargetProduction!$B$46:$H$46,0))</f>
        <v>5.4472072324512396E-3</v>
      </c>
      <c r="D31" s="2">
        <f>INDEX(TargetProduction!$I$47:$O$61,MATCH($B31,TargetProduction!$A$47:$A$61,0),MATCH($A31,TargetProduction!$I$46:$O$46,0))</f>
        <v>0.5</v>
      </c>
      <c r="E31" s="2">
        <f t="shared" si="3"/>
        <v>5.4472072324512396E-3</v>
      </c>
      <c r="F31" s="2">
        <f t="shared" si="4"/>
        <v>0.5</v>
      </c>
      <c r="G31" s="2">
        <f t="shared" si="5"/>
        <v>5.4472072324512396E-3</v>
      </c>
      <c r="H31" s="2">
        <f t="shared" si="6"/>
        <v>0.5</v>
      </c>
      <c r="I31" s="2">
        <f t="shared" si="7"/>
        <v>5.4472072324512396E-3</v>
      </c>
      <c r="J31" s="2">
        <f t="shared" si="8"/>
        <v>0.5</v>
      </c>
      <c r="K31" s="2">
        <f t="shared" si="9"/>
        <v>5.4472072324512396E-3</v>
      </c>
      <c r="L31" s="2">
        <f t="shared" si="10"/>
        <v>0.5</v>
      </c>
      <c r="M31" s="2">
        <f t="shared" si="11"/>
        <v>5.4472072324512396E-3</v>
      </c>
      <c r="N31" s="2">
        <f t="shared" si="12"/>
        <v>0.5</v>
      </c>
      <c r="O31" s="2">
        <f t="shared" si="13"/>
        <v>5.4472072324512396E-3</v>
      </c>
      <c r="P31" s="2">
        <f t="shared" si="14"/>
        <v>0.5</v>
      </c>
      <c r="Q31" s="2">
        <f t="shared" si="15"/>
        <v>5.4472072324512396E-3</v>
      </c>
      <c r="R31" s="2">
        <f t="shared" si="16"/>
        <v>0.5</v>
      </c>
      <c r="S31" s="2">
        <f t="shared" si="17"/>
        <v>5.4472072324512396E-3</v>
      </c>
      <c r="T31" s="2">
        <f t="shared" si="18"/>
        <v>0.5</v>
      </c>
      <c r="U31" s="2">
        <f t="shared" si="19"/>
        <v>5.4472072324512396E-3</v>
      </c>
      <c r="V31" s="2">
        <f t="shared" si="20"/>
        <v>0.5</v>
      </c>
      <c r="W31" s="2">
        <f t="shared" si="21"/>
        <v>5.4472072324512396E-3</v>
      </c>
      <c r="X31" s="2">
        <f t="shared" si="22"/>
        <v>0.5</v>
      </c>
      <c r="Y31" s="2">
        <f t="shared" si="23"/>
        <v>5.4472072324512396E-3</v>
      </c>
      <c r="Z31" s="2">
        <f t="shared" si="24"/>
        <v>0.5</v>
      </c>
      <c r="AA31" s="2">
        <f t="shared" si="25"/>
        <v>5.4472072324512396E-3</v>
      </c>
      <c r="AB31" s="2">
        <f t="shared" si="26"/>
        <v>0.5</v>
      </c>
      <c r="AC31" s="2">
        <f t="shared" si="27"/>
        <v>5.4472072324512396E-3</v>
      </c>
      <c r="AD31" s="2">
        <f t="shared" si="28"/>
        <v>0.5</v>
      </c>
      <c r="AE31" s="2">
        <f t="shared" si="29"/>
        <v>5.4472072324512396E-3</v>
      </c>
      <c r="AF31" s="2">
        <f t="shared" si="30"/>
        <v>0.5</v>
      </c>
      <c r="AG31" s="2">
        <f t="shared" si="31"/>
        <v>5.4472072324512396E-3</v>
      </c>
      <c r="AH31" s="2">
        <f t="shared" si="32"/>
        <v>0.5</v>
      </c>
    </row>
    <row r="32" spans="1:34">
      <c r="A32" t="str">
        <f t="shared" si="33"/>
        <v>Maize</v>
      </c>
      <c r="B32" t="str">
        <f t="shared" si="34"/>
        <v>H2</v>
      </c>
      <c r="C32" s="2">
        <f>INDEX(TargetProduction!$B$47:$H$61,MATCH($B32,TargetProduction!$A$47:$A$61,0),MATCH($A32,TargetProduction!$B$46:$H$46,0))</f>
        <v>0.69388892415182601</v>
      </c>
      <c r="D32" s="2">
        <f>INDEX(TargetProduction!$I$47:$O$61,MATCH($B32,TargetProduction!$A$47:$A$61,0),MATCH($A32,TargetProduction!$I$46:$O$46,0))</f>
        <v>0.5</v>
      </c>
      <c r="E32" s="2">
        <f t="shared" si="3"/>
        <v>0.69388892415182601</v>
      </c>
      <c r="F32" s="2">
        <f t="shared" si="4"/>
        <v>0.5</v>
      </c>
      <c r="G32" s="2">
        <f t="shared" si="5"/>
        <v>0.69388892415182601</v>
      </c>
      <c r="H32" s="2">
        <f t="shared" si="6"/>
        <v>0.5</v>
      </c>
      <c r="I32" s="2">
        <f t="shared" si="7"/>
        <v>0.69388892415182601</v>
      </c>
      <c r="J32" s="2">
        <f t="shared" si="8"/>
        <v>0.5</v>
      </c>
      <c r="K32" s="2">
        <f t="shared" si="9"/>
        <v>0.69388892415182601</v>
      </c>
      <c r="L32" s="2">
        <f t="shared" si="10"/>
        <v>0.5</v>
      </c>
      <c r="M32" s="2">
        <f t="shared" si="11"/>
        <v>0.69388892415182601</v>
      </c>
      <c r="N32" s="2">
        <f t="shared" si="12"/>
        <v>0.5</v>
      </c>
      <c r="O32" s="2">
        <f t="shared" si="13"/>
        <v>0.69388892415182601</v>
      </c>
      <c r="P32" s="2">
        <f t="shared" si="14"/>
        <v>0.5</v>
      </c>
      <c r="Q32" s="2">
        <f t="shared" si="15"/>
        <v>0.69388892415182601</v>
      </c>
      <c r="R32" s="2">
        <f t="shared" si="16"/>
        <v>0.5</v>
      </c>
      <c r="S32" s="2">
        <f t="shared" si="17"/>
        <v>0.69388892415182601</v>
      </c>
      <c r="T32" s="2">
        <f t="shared" si="18"/>
        <v>0.5</v>
      </c>
      <c r="U32" s="2">
        <f t="shared" si="19"/>
        <v>0.69388892415182601</v>
      </c>
      <c r="V32" s="2">
        <f t="shared" si="20"/>
        <v>0.5</v>
      </c>
      <c r="W32" s="2">
        <f t="shared" si="21"/>
        <v>0.69388892415182601</v>
      </c>
      <c r="X32" s="2">
        <f t="shared" si="22"/>
        <v>0.5</v>
      </c>
      <c r="Y32" s="2">
        <f t="shared" si="23"/>
        <v>0.69388892415182601</v>
      </c>
      <c r="Z32" s="2">
        <f t="shared" si="24"/>
        <v>0.5</v>
      </c>
      <c r="AA32" s="2">
        <f t="shared" si="25"/>
        <v>0.69388892415182601</v>
      </c>
      <c r="AB32" s="2">
        <f t="shared" si="26"/>
        <v>0.5</v>
      </c>
      <c r="AC32" s="2">
        <f t="shared" si="27"/>
        <v>0.69388892415182601</v>
      </c>
      <c r="AD32" s="2">
        <f t="shared" si="28"/>
        <v>0.5</v>
      </c>
      <c r="AE32" s="2">
        <f t="shared" si="29"/>
        <v>0.69388892415182601</v>
      </c>
      <c r="AF32" s="2">
        <f t="shared" si="30"/>
        <v>0.5</v>
      </c>
      <c r="AG32" s="2">
        <f t="shared" si="31"/>
        <v>0.69388892415182601</v>
      </c>
      <c r="AH32" s="2">
        <f t="shared" si="32"/>
        <v>0.5</v>
      </c>
    </row>
    <row r="33" spans="1:34">
      <c r="A33" t="str">
        <f t="shared" si="33"/>
        <v>Maize</v>
      </c>
      <c r="B33" t="str">
        <f t="shared" si="34"/>
        <v>H3</v>
      </c>
      <c r="C33" s="2">
        <f>INDEX(TargetProduction!$B$47:$H$61,MATCH($B33,TargetProduction!$A$47:$A$61,0),MATCH($A33,TargetProduction!$B$46:$H$46,0))</f>
        <v>0.49983690047959101</v>
      </c>
      <c r="D33" s="2">
        <f>INDEX(TargetProduction!$I$47:$O$61,MATCH($B33,TargetProduction!$A$47:$A$61,0),MATCH($A33,TargetProduction!$I$46:$O$46,0))</f>
        <v>0.5</v>
      </c>
      <c r="E33" s="2">
        <f t="shared" si="3"/>
        <v>0.49983690047959101</v>
      </c>
      <c r="F33" s="2">
        <f t="shared" si="4"/>
        <v>0.5</v>
      </c>
      <c r="G33" s="2">
        <f t="shared" si="5"/>
        <v>0.49983690047959101</v>
      </c>
      <c r="H33" s="2">
        <f t="shared" si="6"/>
        <v>0.5</v>
      </c>
      <c r="I33" s="2">
        <f t="shared" si="7"/>
        <v>0.49983690047959101</v>
      </c>
      <c r="J33" s="2">
        <f t="shared" si="8"/>
        <v>0.5</v>
      </c>
      <c r="K33" s="2">
        <f t="shared" si="9"/>
        <v>0.49983690047959101</v>
      </c>
      <c r="L33" s="2">
        <f t="shared" si="10"/>
        <v>0.5</v>
      </c>
      <c r="M33" s="2">
        <f t="shared" si="11"/>
        <v>0.49983690047959101</v>
      </c>
      <c r="N33" s="2">
        <f t="shared" si="12"/>
        <v>0.5</v>
      </c>
      <c r="O33" s="2">
        <f t="shared" si="13"/>
        <v>0.49983690047959101</v>
      </c>
      <c r="P33" s="2">
        <f t="shared" si="14"/>
        <v>0.5</v>
      </c>
      <c r="Q33" s="2">
        <f t="shared" si="15"/>
        <v>0.49983690047959101</v>
      </c>
      <c r="R33" s="2">
        <f t="shared" si="16"/>
        <v>0.5</v>
      </c>
      <c r="S33" s="2">
        <f t="shared" si="17"/>
        <v>0.49983690047959101</v>
      </c>
      <c r="T33" s="2">
        <f t="shared" si="18"/>
        <v>0.5</v>
      </c>
      <c r="U33" s="2">
        <f t="shared" si="19"/>
        <v>0.49983690047959101</v>
      </c>
      <c r="V33" s="2">
        <f t="shared" si="20"/>
        <v>0.5</v>
      </c>
      <c r="W33" s="2">
        <f t="shared" si="21"/>
        <v>0.49983690047959101</v>
      </c>
      <c r="X33" s="2">
        <f t="shared" si="22"/>
        <v>0.5</v>
      </c>
      <c r="Y33" s="2">
        <f t="shared" si="23"/>
        <v>0.49983690047959101</v>
      </c>
      <c r="Z33" s="2">
        <f t="shared" si="24"/>
        <v>0.5</v>
      </c>
      <c r="AA33" s="2">
        <f t="shared" si="25"/>
        <v>0.49983690047959101</v>
      </c>
      <c r="AB33" s="2">
        <f t="shared" si="26"/>
        <v>0.5</v>
      </c>
      <c r="AC33" s="2">
        <f t="shared" si="27"/>
        <v>0.49983690047959101</v>
      </c>
      <c r="AD33" s="2">
        <f t="shared" si="28"/>
        <v>0.5</v>
      </c>
      <c r="AE33" s="2">
        <f t="shared" si="29"/>
        <v>0.49983690047959101</v>
      </c>
      <c r="AF33" s="2">
        <f t="shared" si="30"/>
        <v>0.5</v>
      </c>
      <c r="AG33" s="2">
        <f t="shared" si="31"/>
        <v>0.49983690047959101</v>
      </c>
      <c r="AH33" s="2">
        <f t="shared" si="32"/>
        <v>0.5</v>
      </c>
    </row>
    <row r="34" spans="1:34">
      <c r="A34" t="str">
        <f t="shared" si="33"/>
        <v>Maize</v>
      </c>
      <c r="B34" t="str">
        <f t="shared" si="34"/>
        <v>H4</v>
      </c>
      <c r="C34" s="2">
        <f>INDEX(TargetProduction!$B$47:$H$61,MATCH($B34,TargetProduction!$A$47:$A$61,0),MATCH($A34,TargetProduction!$B$46:$H$46,0))</f>
        <v>0.19497882241247599</v>
      </c>
      <c r="D34" s="2">
        <f>INDEX(TargetProduction!$I$47:$O$61,MATCH($B34,TargetProduction!$A$47:$A$61,0),MATCH($A34,TargetProduction!$I$46:$O$46,0))</f>
        <v>0.5</v>
      </c>
      <c r="E34" s="2">
        <f t="shared" si="3"/>
        <v>0.19497882241247599</v>
      </c>
      <c r="F34" s="2">
        <f t="shared" si="4"/>
        <v>0.5</v>
      </c>
      <c r="G34" s="2">
        <f t="shared" si="5"/>
        <v>0.19497882241247599</v>
      </c>
      <c r="H34" s="2">
        <f t="shared" si="6"/>
        <v>0.5</v>
      </c>
      <c r="I34" s="2">
        <f t="shared" si="7"/>
        <v>0.19497882241247599</v>
      </c>
      <c r="J34" s="2">
        <f t="shared" si="8"/>
        <v>0.5</v>
      </c>
      <c r="K34" s="2">
        <f t="shared" si="9"/>
        <v>0.19497882241247599</v>
      </c>
      <c r="L34" s="2">
        <f t="shared" si="10"/>
        <v>0.5</v>
      </c>
      <c r="M34" s="2">
        <f t="shared" si="11"/>
        <v>0.19497882241247599</v>
      </c>
      <c r="N34" s="2">
        <f t="shared" si="12"/>
        <v>0.5</v>
      </c>
      <c r="O34" s="2">
        <f t="shared" si="13"/>
        <v>0.19497882241247599</v>
      </c>
      <c r="P34" s="2">
        <f t="shared" si="14"/>
        <v>0.5</v>
      </c>
      <c r="Q34" s="2">
        <f t="shared" si="15"/>
        <v>0.19497882241247599</v>
      </c>
      <c r="R34" s="2">
        <f t="shared" si="16"/>
        <v>0.5</v>
      </c>
      <c r="S34" s="2">
        <f t="shared" si="17"/>
        <v>0.19497882241247599</v>
      </c>
      <c r="T34" s="2">
        <f t="shared" si="18"/>
        <v>0.5</v>
      </c>
      <c r="U34" s="2">
        <f t="shared" si="19"/>
        <v>0.19497882241247599</v>
      </c>
      <c r="V34" s="2">
        <f t="shared" si="20"/>
        <v>0.5</v>
      </c>
      <c r="W34" s="2">
        <f t="shared" si="21"/>
        <v>0.19497882241247599</v>
      </c>
      <c r="X34" s="2">
        <f t="shared" si="22"/>
        <v>0.5</v>
      </c>
      <c r="Y34" s="2">
        <f t="shared" si="23"/>
        <v>0.19497882241247599</v>
      </c>
      <c r="Z34" s="2">
        <f t="shared" si="24"/>
        <v>0.5</v>
      </c>
      <c r="AA34" s="2">
        <f t="shared" si="25"/>
        <v>0.19497882241247599</v>
      </c>
      <c r="AB34" s="2">
        <f t="shared" si="26"/>
        <v>0.5</v>
      </c>
      <c r="AC34" s="2">
        <f t="shared" si="27"/>
        <v>0.19497882241247599</v>
      </c>
      <c r="AD34" s="2">
        <f t="shared" si="28"/>
        <v>0.5</v>
      </c>
      <c r="AE34" s="2">
        <f t="shared" si="29"/>
        <v>0.19497882241247599</v>
      </c>
      <c r="AF34" s="2">
        <f t="shared" si="30"/>
        <v>0.5</v>
      </c>
      <c r="AG34" s="2">
        <f t="shared" si="31"/>
        <v>0.19497882241247599</v>
      </c>
      <c r="AH34" s="2">
        <f t="shared" si="32"/>
        <v>0.5</v>
      </c>
    </row>
    <row r="35" spans="1:34">
      <c r="A35" t="str">
        <f t="shared" si="33"/>
        <v>Maize</v>
      </c>
      <c r="B35" t="str">
        <f t="shared" si="34"/>
        <v>H5</v>
      </c>
      <c r="C35" s="2">
        <f>INDEX(TargetProduction!$B$47:$H$61,MATCH($B35,TargetProduction!$A$47:$A$61,0),MATCH($A35,TargetProduction!$B$46:$H$46,0))</f>
        <v>0.118087364172504</v>
      </c>
      <c r="D35" s="2">
        <f>INDEX(TargetProduction!$I$47:$O$61,MATCH($B35,TargetProduction!$A$47:$A$61,0),MATCH($A35,TargetProduction!$I$46:$O$46,0))</f>
        <v>0.5</v>
      </c>
      <c r="E35" s="2">
        <f t="shared" si="3"/>
        <v>0.118087364172504</v>
      </c>
      <c r="F35" s="2">
        <f t="shared" si="4"/>
        <v>0.5</v>
      </c>
      <c r="G35" s="2">
        <f t="shared" si="5"/>
        <v>0.118087364172504</v>
      </c>
      <c r="H35" s="2">
        <f t="shared" si="6"/>
        <v>0.5</v>
      </c>
      <c r="I35" s="2">
        <f t="shared" si="7"/>
        <v>0.118087364172504</v>
      </c>
      <c r="J35" s="2">
        <f t="shared" si="8"/>
        <v>0.5</v>
      </c>
      <c r="K35" s="2">
        <f t="shared" si="9"/>
        <v>0.118087364172504</v>
      </c>
      <c r="L35" s="2">
        <f t="shared" si="10"/>
        <v>0.5</v>
      </c>
      <c r="M35" s="2">
        <f t="shared" si="11"/>
        <v>0.118087364172504</v>
      </c>
      <c r="N35" s="2">
        <f t="shared" si="12"/>
        <v>0.5</v>
      </c>
      <c r="O35" s="2">
        <f t="shared" si="13"/>
        <v>0.118087364172504</v>
      </c>
      <c r="P35" s="2">
        <f t="shared" si="14"/>
        <v>0.5</v>
      </c>
      <c r="Q35" s="2">
        <f t="shared" si="15"/>
        <v>0.118087364172504</v>
      </c>
      <c r="R35" s="2">
        <f t="shared" si="16"/>
        <v>0.5</v>
      </c>
      <c r="S35" s="2">
        <f t="shared" si="17"/>
        <v>0.118087364172504</v>
      </c>
      <c r="T35" s="2">
        <f t="shared" si="18"/>
        <v>0.5</v>
      </c>
      <c r="U35" s="2">
        <f t="shared" si="19"/>
        <v>0.118087364172504</v>
      </c>
      <c r="V35" s="2">
        <f t="shared" si="20"/>
        <v>0.5</v>
      </c>
      <c r="W35" s="2">
        <f t="shared" si="21"/>
        <v>0.118087364172504</v>
      </c>
      <c r="X35" s="2">
        <f t="shared" si="22"/>
        <v>0.5</v>
      </c>
      <c r="Y35" s="2">
        <f t="shared" si="23"/>
        <v>0.118087364172504</v>
      </c>
      <c r="Z35" s="2">
        <f t="shared" si="24"/>
        <v>0.5</v>
      </c>
      <c r="AA35" s="2">
        <f t="shared" si="25"/>
        <v>0.118087364172504</v>
      </c>
      <c r="AB35" s="2">
        <f t="shared" si="26"/>
        <v>0.5</v>
      </c>
      <c r="AC35" s="2">
        <f t="shared" si="27"/>
        <v>0.118087364172504</v>
      </c>
      <c r="AD35" s="2">
        <f t="shared" si="28"/>
        <v>0.5</v>
      </c>
      <c r="AE35" s="2">
        <f t="shared" si="29"/>
        <v>0.118087364172504</v>
      </c>
      <c r="AF35" s="2">
        <f t="shared" si="30"/>
        <v>0.5</v>
      </c>
      <c r="AG35" s="2">
        <f t="shared" si="31"/>
        <v>0.118087364172504</v>
      </c>
      <c r="AH35" s="2">
        <f t="shared" si="32"/>
        <v>0.5</v>
      </c>
    </row>
    <row r="36" spans="1:34">
      <c r="A36" t="str">
        <f t="shared" si="33"/>
        <v>Maize</v>
      </c>
      <c r="B36" t="str">
        <f t="shared" si="34"/>
        <v>M1</v>
      </c>
      <c r="C36" s="2">
        <f>INDEX(TargetProduction!$B$47:$H$61,MATCH($B36,TargetProduction!$A$47:$A$61,0),MATCH($A36,TargetProduction!$B$46:$H$46,0))</f>
        <v>0.33345864146585202</v>
      </c>
      <c r="D36" s="2">
        <f>INDEX(TargetProduction!$I$47:$O$61,MATCH($B36,TargetProduction!$A$47:$A$61,0),MATCH($A36,TargetProduction!$I$46:$O$46,0))</f>
        <v>0.5</v>
      </c>
      <c r="E36" s="2">
        <f t="shared" si="3"/>
        <v>0.33345864146585202</v>
      </c>
      <c r="F36" s="2">
        <f t="shared" si="4"/>
        <v>0.5</v>
      </c>
      <c r="G36" s="2">
        <f t="shared" si="5"/>
        <v>0.33345864146585202</v>
      </c>
      <c r="H36" s="2">
        <f t="shared" si="6"/>
        <v>0.5</v>
      </c>
      <c r="I36" s="2">
        <f t="shared" si="7"/>
        <v>0.33345864146585202</v>
      </c>
      <c r="J36" s="2">
        <f t="shared" si="8"/>
        <v>0.5</v>
      </c>
      <c r="K36" s="2">
        <f t="shared" si="9"/>
        <v>0.33345864146585202</v>
      </c>
      <c r="L36" s="2">
        <f t="shared" si="10"/>
        <v>0.5</v>
      </c>
      <c r="M36" s="2">
        <f t="shared" si="11"/>
        <v>0.33345864146585202</v>
      </c>
      <c r="N36" s="2">
        <f t="shared" si="12"/>
        <v>0.5</v>
      </c>
      <c r="O36" s="2">
        <f t="shared" si="13"/>
        <v>0.33345864146585202</v>
      </c>
      <c r="P36" s="2">
        <f t="shared" si="14"/>
        <v>0.5</v>
      </c>
      <c r="Q36" s="2">
        <f t="shared" si="15"/>
        <v>0.33345864146585202</v>
      </c>
      <c r="R36" s="2">
        <f t="shared" si="16"/>
        <v>0.5</v>
      </c>
      <c r="S36" s="2">
        <f t="shared" si="17"/>
        <v>0.33345864146585202</v>
      </c>
      <c r="T36" s="2">
        <f t="shared" si="18"/>
        <v>0.5</v>
      </c>
      <c r="U36" s="2">
        <f t="shared" si="19"/>
        <v>0.33345864146585202</v>
      </c>
      <c r="V36" s="2">
        <f t="shared" si="20"/>
        <v>0.5</v>
      </c>
      <c r="W36" s="2">
        <f t="shared" si="21"/>
        <v>0.33345864146585202</v>
      </c>
      <c r="X36" s="2">
        <f t="shared" si="22"/>
        <v>0.5</v>
      </c>
      <c r="Y36" s="2">
        <f t="shared" si="23"/>
        <v>0.33345864146585202</v>
      </c>
      <c r="Z36" s="2">
        <f t="shared" si="24"/>
        <v>0.5</v>
      </c>
      <c r="AA36" s="2">
        <f t="shared" si="25"/>
        <v>0.33345864146585202</v>
      </c>
      <c r="AB36" s="2">
        <f t="shared" si="26"/>
        <v>0.5</v>
      </c>
      <c r="AC36" s="2">
        <f t="shared" si="27"/>
        <v>0.33345864146585202</v>
      </c>
      <c r="AD36" s="2">
        <f t="shared" si="28"/>
        <v>0.5</v>
      </c>
      <c r="AE36" s="2">
        <f t="shared" si="29"/>
        <v>0.33345864146585202</v>
      </c>
      <c r="AF36" s="2">
        <f t="shared" si="30"/>
        <v>0.5</v>
      </c>
      <c r="AG36" s="2">
        <f t="shared" si="31"/>
        <v>0.33345864146585202</v>
      </c>
      <c r="AH36" s="2">
        <f t="shared" si="32"/>
        <v>0.5</v>
      </c>
    </row>
    <row r="37" spans="1:34">
      <c r="A37" t="str">
        <f t="shared" si="33"/>
        <v>Maize</v>
      </c>
      <c r="B37" t="str">
        <f t="shared" si="34"/>
        <v>M3</v>
      </c>
      <c r="C37" s="2">
        <f>INDEX(TargetProduction!$B$47:$H$61,MATCH($B37,TargetProduction!$A$47:$A$61,0),MATCH($A37,TargetProduction!$B$46:$H$46,0))</f>
        <v>0.42363466475878703</v>
      </c>
      <c r="D37" s="2">
        <f>INDEX(TargetProduction!$I$47:$O$61,MATCH($B37,TargetProduction!$A$47:$A$61,0),MATCH($A37,TargetProduction!$I$46:$O$46,0))</f>
        <v>0.5</v>
      </c>
      <c r="E37" s="2">
        <f t="shared" si="3"/>
        <v>0.42363466475878703</v>
      </c>
      <c r="F37" s="2">
        <f t="shared" si="4"/>
        <v>0.5</v>
      </c>
      <c r="G37" s="2">
        <f t="shared" si="5"/>
        <v>0.42363466475878703</v>
      </c>
      <c r="H37" s="2">
        <f t="shared" si="6"/>
        <v>0.5</v>
      </c>
      <c r="I37" s="2">
        <f t="shared" si="7"/>
        <v>0.42363466475878703</v>
      </c>
      <c r="J37" s="2">
        <f t="shared" si="8"/>
        <v>0.5</v>
      </c>
      <c r="K37" s="2">
        <f t="shared" si="9"/>
        <v>0.42363466475878703</v>
      </c>
      <c r="L37" s="2">
        <f t="shared" si="10"/>
        <v>0.5</v>
      </c>
      <c r="M37" s="2">
        <f t="shared" si="11"/>
        <v>0.42363466475878703</v>
      </c>
      <c r="N37" s="2">
        <f t="shared" si="12"/>
        <v>0.5</v>
      </c>
      <c r="O37" s="2">
        <f t="shared" si="13"/>
        <v>0.42363466475878703</v>
      </c>
      <c r="P37" s="2">
        <f t="shared" si="14"/>
        <v>0.5</v>
      </c>
      <c r="Q37" s="2">
        <f t="shared" si="15"/>
        <v>0.42363466475878703</v>
      </c>
      <c r="R37" s="2">
        <f t="shared" si="16"/>
        <v>0.5</v>
      </c>
      <c r="S37" s="2">
        <f t="shared" si="17"/>
        <v>0.42363466475878703</v>
      </c>
      <c r="T37" s="2">
        <f t="shared" si="18"/>
        <v>0.5</v>
      </c>
      <c r="U37" s="2">
        <f t="shared" si="19"/>
        <v>0.42363466475878703</v>
      </c>
      <c r="V37" s="2">
        <f t="shared" si="20"/>
        <v>0.5</v>
      </c>
      <c r="W37" s="2">
        <f t="shared" si="21"/>
        <v>0.42363466475878703</v>
      </c>
      <c r="X37" s="2">
        <f t="shared" si="22"/>
        <v>0.5</v>
      </c>
      <c r="Y37" s="2">
        <f t="shared" si="23"/>
        <v>0.42363466475878703</v>
      </c>
      <c r="Z37" s="2">
        <f t="shared" si="24"/>
        <v>0.5</v>
      </c>
      <c r="AA37" s="2">
        <f t="shared" si="25"/>
        <v>0.42363466475878703</v>
      </c>
      <c r="AB37" s="2">
        <f t="shared" si="26"/>
        <v>0.5</v>
      </c>
      <c r="AC37" s="2">
        <f t="shared" si="27"/>
        <v>0.42363466475878703</v>
      </c>
      <c r="AD37" s="2">
        <f t="shared" si="28"/>
        <v>0.5</v>
      </c>
      <c r="AE37" s="2">
        <f t="shared" si="29"/>
        <v>0.42363466475878703</v>
      </c>
      <c r="AF37" s="2">
        <f t="shared" si="30"/>
        <v>0.5</v>
      </c>
      <c r="AG37" s="2">
        <f t="shared" si="31"/>
        <v>0.42363466475878703</v>
      </c>
      <c r="AH37" s="2">
        <f t="shared" si="32"/>
        <v>0.5</v>
      </c>
    </row>
    <row r="38" spans="1:34">
      <c r="A38" t="str">
        <f t="shared" si="33"/>
        <v>Maize</v>
      </c>
      <c r="B38" t="str">
        <f t="shared" si="34"/>
        <v>M5</v>
      </c>
      <c r="C38" s="2">
        <f>INDEX(TargetProduction!$B$47:$H$61,MATCH($B38,TargetProduction!$A$47:$A$61,0),MATCH($A38,TargetProduction!$B$46:$H$46,0))</f>
        <v>0.41452272438478399</v>
      </c>
      <c r="D38" s="2">
        <f>INDEX(TargetProduction!$I$47:$O$61,MATCH($B38,TargetProduction!$A$47:$A$61,0),MATCH($A38,TargetProduction!$I$46:$O$46,0))</f>
        <v>0.5</v>
      </c>
      <c r="E38" s="2">
        <f t="shared" si="3"/>
        <v>0.41452272438478399</v>
      </c>
      <c r="F38" s="2">
        <f t="shared" si="4"/>
        <v>0.5</v>
      </c>
      <c r="G38" s="2">
        <f t="shared" si="5"/>
        <v>0.41452272438478399</v>
      </c>
      <c r="H38" s="2">
        <f t="shared" si="6"/>
        <v>0.5</v>
      </c>
      <c r="I38" s="2">
        <f t="shared" si="7"/>
        <v>0.41452272438478399</v>
      </c>
      <c r="J38" s="2">
        <f t="shared" si="8"/>
        <v>0.5</v>
      </c>
      <c r="K38" s="2">
        <f t="shared" si="9"/>
        <v>0.41452272438478399</v>
      </c>
      <c r="L38" s="2">
        <f t="shared" si="10"/>
        <v>0.5</v>
      </c>
      <c r="M38" s="2">
        <f t="shared" si="11"/>
        <v>0.41452272438478399</v>
      </c>
      <c r="N38" s="2">
        <f t="shared" si="12"/>
        <v>0.5</v>
      </c>
      <c r="O38" s="2">
        <f t="shared" si="13"/>
        <v>0.41452272438478399</v>
      </c>
      <c r="P38" s="2">
        <f t="shared" si="14"/>
        <v>0.5</v>
      </c>
      <c r="Q38" s="2">
        <f t="shared" si="15"/>
        <v>0.41452272438478399</v>
      </c>
      <c r="R38" s="2">
        <f t="shared" si="16"/>
        <v>0.5</v>
      </c>
      <c r="S38" s="2">
        <f t="shared" si="17"/>
        <v>0.41452272438478399</v>
      </c>
      <c r="T38" s="2">
        <f t="shared" si="18"/>
        <v>0.5</v>
      </c>
      <c r="U38" s="2">
        <f t="shared" si="19"/>
        <v>0.41452272438478399</v>
      </c>
      <c r="V38" s="2">
        <f t="shared" si="20"/>
        <v>0.5</v>
      </c>
      <c r="W38" s="2">
        <f t="shared" si="21"/>
        <v>0.41452272438478399</v>
      </c>
      <c r="X38" s="2">
        <f t="shared" si="22"/>
        <v>0.5</v>
      </c>
      <c r="Y38" s="2">
        <f t="shared" si="23"/>
        <v>0.41452272438478399</v>
      </c>
      <c r="Z38" s="2">
        <f t="shared" si="24"/>
        <v>0.5</v>
      </c>
      <c r="AA38" s="2">
        <f t="shared" si="25"/>
        <v>0.41452272438478399</v>
      </c>
      <c r="AB38" s="2">
        <f t="shared" si="26"/>
        <v>0.5</v>
      </c>
      <c r="AC38" s="2">
        <f t="shared" si="27"/>
        <v>0.41452272438478399</v>
      </c>
      <c r="AD38" s="2">
        <f t="shared" si="28"/>
        <v>0.5</v>
      </c>
      <c r="AE38" s="2">
        <f t="shared" si="29"/>
        <v>0.41452272438478399</v>
      </c>
      <c r="AF38" s="2">
        <f t="shared" si="30"/>
        <v>0.5</v>
      </c>
      <c r="AG38" s="2">
        <f t="shared" si="31"/>
        <v>0.41452272438478399</v>
      </c>
      <c r="AH38" s="2">
        <f t="shared" si="32"/>
        <v>0.5</v>
      </c>
    </row>
    <row r="39" spans="1:34">
      <c r="A39" t="str">
        <f t="shared" si="33"/>
        <v>Maize</v>
      </c>
      <c r="B39" t="str">
        <f t="shared" si="34"/>
        <v>SA1</v>
      </c>
      <c r="C39" s="2">
        <f>INDEX(TargetProduction!$B$47:$H$61,MATCH($B39,TargetProduction!$A$47:$A$61,0),MATCH($A39,TargetProduction!$B$46:$H$46,0))</f>
        <v>0.36111498408857301</v>
      </c>
      <c r="D39" s="2">
        <f>INDEX(TargetProduction!$I$47:$O$61,MATCH($B39,TargetProduction!$A$47:$A$61,0),MATCH($A39,TargetProduction!$I$46:$O$46,0))</f>
        <v>0.5</v>
      </c>
      <c r="E39" s="2">
        <f t="shared" si="3"/>
        <v>0.36111498408857301</v>
      </c>
      <c r="F39" s="2">
        <f t="shared" si="4"/>
        <v>0.5</v>
      </c>
      <c r="G39" s="2">
        <f t="shared" si="5"/>
        <v>0.36111498408857301</v>
      </c>
      <c r="H39" s="2">
        <f t="shared" si="6"/>
        <v>0.5</v>
      </c>
      <c r="I39" s="2">
        <f t="shared" si="7"/>
        <v>0.36111498408857301</v>
      </c>
      <c r="J39" s="2">
        <f t="shared" si="8"/>
        <v>0.5</v>
      </c>
      <c r="K39" s="2">
        <f t="shared" si="9"/>
        <v>0.36111498408857301</v>
      </c>
      <c r="L39" s="2">
        <f t="shared" si="10"/>
        <v>0.5</v>
      </c>
      <c r="M39" s="2">
        <f t="shared" si="11"/>
        <v>0.36111498408857301</v>
      </c>
      <c r="N39" s="2">
        <f t="shared" si="12"/>
        <v>0.5</v>
      </c>
      <c r="O39" s="2">
        <f t="shared" si="13"/>
        <v>0.36111498408857301</v>
      </c>
      <c r="P39" s="2">
        <f t="shared" si="14"/>
        <v>0.5</v>
      </c>
      <c r="Q39" s="2">
        <f t="shared" si="15"/>
        <v>0.36111498408857301</v>
      </c>
      <c r="R39" s="2">
        <f t="shared" si="16"/>
        <v>0.5</v>
      </c>
      <c r="S39" s="2">
        <f t="shared" si="17"/>
        <v>0.36111498408857301</v>
      </c>
      <c r="T39" s="2">
        <f t="shared" si="18"/>
        <v>0.5</v>
      </c>
      <c r="U39" s="2">
        <f t="shared" si="19"/>
        <v>0.36111498408857301</v>
      </c>
      <c r="V39" s="2">
        <f t="shared" si="20"/>
        <v>0.5</v>
      </c>
      <c r="W39" s="2">
        <f t="shared" si="21"/>
        <v>0.36111498408857301</v>
      </c>
      <c r="X39" s="2">
        <f t="shared" si="22"/>
        <v>0.5</v>
      </c>
      <c r="Y39" s="2">
        <f t="shared" si="23"/>
        <v>0.36111498408857301</v>
      </c>
      <c r="Z39" s="2">
        <f t="shared" si="24"/>
        <v>0.5</v>
      </c>
      <c r="AA39" s="2">
        <f t="shared" si="25"/>
        <v>0.36111498408857301</v>
      </c>
      <c r="AB39" s="2">
        <f t="shared" si="26"/>
        <v>0.5</v>
      </c>
      <c r="AC39" s="2">
        <f t="shared" si="27"/>
        <v>0.36111498408857301</v>
      </c>
      <c r="AD39" s="2">
        <f t="shared" si="28"/>
        <v>0.5</v>
      </c>
      <c r="AE39" s="2">
        <f t="shared" si="29"/>
        <v>0.36111498408857301</v>
      </c>
      <c r="AF39" s="2">
        <f t="shared" si="30"/>
        <v>0.5</v>
      </c>
      <c r="AG39" s="2">
        <f t="shared" si="31"/>
        <v>0.36111498408857301</v>
      </c>
      <c r="AH39" s="2">
        <f t="shared" si="32"/>
        <v>0.5</v>
      </c>
    </row>
    <row r="40" spans="1:34">
      <c r="A40" t="str">
        <f t="shared" si="33"/>
        <v>Maize</v>
      </c>
      <c r="B40" t="str">
        <f t="shared" si="34"/>
        <v>SA3</v>
      </c>
      <c r="C40" s="2">
        <f>INDEX(TargetProduction!$B$47:$H$61,MATCH($B40,TargetProduction!$A$47:$A$61,0),MATCH($A40,TargetProduction!$B$46:$H$46,0))</f>
        <v>0.24991379301348199</v>
      </c>
      <c r="D40" s="2">
        <f>INDEX(TargetProduction!$I$47:$O$61,MATCH($B40,TargetProduction!$A$47:$A$61,0),MATCH($A40,TargetProduction!$I$46:$O$46,0))</f>
        <v>0.5</v>
      </c>
      <c r="E40" s="2">
        <f t="shared" si="3"/>
        <v>0.24991379301348199</v>
      </c>
      <c r="F40" s="2">
        <f t="shared" si="4"/>
        <v>0.5</v>
      </c>
      <c r="G40" s="2">
        <f t="shared" si="5"/>
        <v>0.24991379301348199</v>
      </c>
      <c r="H40" s="2">
        <f t="shared" si="6"/>
        <v>0.5</v>
      </c>
      <c r="I40" s="2">
        <f t="shared" si="7"/>
        <v>0.24991379301348199</v>
      </c>
      <c r="J40" s="2">
        <f t="shared" si="8"/>
        <v>0.5</v>
      </c>
      <c r="K40" s="2">
        <f t="shared" si="9"/>
        <v>0.24991379301348199</v>
      </c>
      <c r="L40" s="2">
        <f t="shared" si="10"/>
        <v>0.5</v>
      </c>
      <c r="M40" s="2">
        <f t="shared" si="11"/>
        <v>0.24991379301348199</v>
      </c>
      <c r="N40" s="2">
        <f t="shared" si="12"/>
        <v>0.5</v>
      </c>
      <c r="O40" s="2">
        <f t="shared" si="13"/>
        <v>0.24991379301348199</v>
      </c>
      <c r="P40" s="2">
        <f t="shared" si="14"/>
        <v>0.5</v>
      </c>
      <c r="Q40" s="2">
        <f t="shared" si="15"/>
        <v>0.24991379301348199</v>
      </c>
      <c r="R40" s="2">
        <f t="shared" si="16"/>
        <v>0.5</v>
      </c>
      <c r="S40" s="2">
        <f t="shared" si="17"/>
        <v>0.24991379301348199</v>
      </c>
      <c r="T40" s="2">
        <f t="shared" si="18"/>
        <v>0.5</v>
      </c>
      <c r="U40" s="2">
        <f t="shared" si="19"/>
        <v>0.24991379301348199</v>
      </c>
      <c r="V40" s="2">
        <f t="shared" si="20"/>
        <v>0.5</v>
      </c>
      <c r="W40" s="2">
        <f t="shared" si="21"/>
        <v>0.24991379301348199</v>
      </c>
      <c r="X40" s="2">
        <f t="shared" si="22"/>
        <v>0.5</v>
      </c>
      <c r="Y40" s="2">
        <f t="shared" si="23"/>
        <v>0.24991379301348199</v>
      </c>
      <c r="Z40" s="2">
        <f t="shared" si="24"/>
        <v>0.5</v>
      </c>
      <c r="AA40" s="2">
        <f t="shared" si="25"/>
        <v>0.24991379301348199</v>
      </c>
      <c r="AB40" s="2">
        <f t="shared" si="26"/>
        <v>0.5</v>
      </c>
      <c r="AC40" s="2">
        <f t="shared" si="27"/>
        <v>0.24991379301348199</v>
      </c>
      <c r="AD40" s="2">
        <f t="shared" si="28"/>
        <v>0.5</v>
      </c>
      <c r="AE40" s="2">
        <f t="shared" si="29"/>
        <v>0.24991379301348199</v>
      </c>
      <c r="AF40" s="2">
        <f t="shared" si="30"/>
        <v>0.5</v>
      </c>
      <c r="AG40" s="2">
        <f t="shared" si="31"/>
        <v>0.24991379301348199</v>
      </c>
      <c r="AH40" s="2">
        <f t="shared" si="32"/>
        <v>0.5</v>
      </c>
    </row>
    <row r="41" spans="1:34">
      <c r="A41" t="str">
        <f t="shared" si="33"/>
        <v>Maize</v>
      </c>
      <c r="B41" t="str">
        <f t="shared" si="34"/>
        <v>SH1</v>
      </c>
      <c r="C41" s="2">
        <f>INDEX(TargetProduction!$B$47:$H$61,MATCH($B41,TargetProduction!$A$47:$A$61,0),MATCH($A41,TargetProduction!$B$46:$H$46,0))</f>
        <v>0.78654163379205999</v>
      </c>
      <c r="D41" s="2">
        <f>INDEX(TargetProduction!$I$47:$O$61,MATCH($B41,TargetProduction!$A$47:$A$61,0),MATCH($A41,TargetProduction!$I$46:$O$46,0))</f>
        <v>0.5</v>
      </c>
      <c r="E41" s="2">
        <f t="shared" si="3"/>
        <v>0.78654163379205999</v>
      </c>
      <c r="F41" s="2">
        <f t="shared" si="4"/>
        <v>0.5</v>
      </c>
      <c r="G41" s="2">
        <f t="shared" si="5"/>
        <v>0.78654163379205999</v>
      </c>
      <c r="H41" s="2">
        <f t="shared" si="6"/>
        <v>0.5</v>
      </c>
      <c r="I41" s="2">
        <f t="shared" si="7"/>
        <v>0.78654163379205999</v>
      </c>
      <c r="J41" s="2">
        <f t="shared" si="8"/>
        <v>0.5</v>
      </c>
      <c r="K41" s="2">
        <f t="shared" si="9"/>
        <v>0.78654163379205999</v>
      </c>
      <c r="L41" s="2">
        <f t="shared" si="10"/>
        <v>0.5</v>
      </c>
      <c r="M41" s="2">
        <f t="shared" si="11"/>
        <v>0.78654163379205999</v>
      </c>
      <c r="N41" s="2">
        <f t="shared" si="12"/>
        <v>0.5</v>
      </c>
      <c r="O41" s="2">
        <f t="shared" si="13"/>
        <v>0.78654163379205999</v>
      </c>
      <c r="P41" s="2">
        <f t="shared" si="14"/>
        <v>0.5</v>
      </c>
      <c r="Q41" s="2">
        <f t="shared" si="15"/>
        <v>0.78654163379205999</v>
      </c>
      <c r="R41" s="2">
        <f t="shared" si="16"/>
        <v>0.5</v>
      </c>
      <c r="S41" s="2">
        <f t="shared" si="17"/>
        <v>0.78654163379205999</v>
      </c>
      <c r="T41" s="2">
        <f t="shared" si="18"/>
        <v>0.5</v>
      </c>
      <c r="U41" s="2">
        <f t="shared" si="19"/>
        <v>0.78654163379205999</v>
      </c>
      <c r="V41" s="2">
        <f t="shared" si="20"/>
        <v>0.5</v>
      </c>
      <c r="W41" s="2">
        <f t="shared" si="21"/>
        <v>0.78654163379205999</v>
      </c>
      <c r="X41" s="2">
        <f t="shared" si="22"/>
        <v>0.5</v>
      </c>
      <c r="Y41" s="2">
        <f t="shared" si="23"/>
        <v>0.78654163379205999</v>
      </c>
      <c r="Z41" s="2">
        <f t="shared" si="24"/>
        <v>0.5</v>
      </c>
      <c r="AA41" s="2">
        <f t="shared" si="25"/>
        <v>0.78654163379205999</v>
      </c>
      <c r="AB41" s="2">
        <f t="shared" si="26"/>
        <v>0.5</v>
      </c>
      <c r="AC41" s="2">
        <f t="shared" si="27"/>
        <v>0.78654163379205999</v>
      </c>
      <c r="AD41" s="2">
        <f t="shared" si="28"/>
        <v>0.5</v>
      </c>
      <c r="AE41" s="2">
        <f t="shared" si="29"/>
        <v>0.78654163379205999</v>
      </c>
      <c r="AF41" s="2">
        <f t="shared" si="30"/>
        <v>0.5</v>
      </c>
      <c r="AG41" s="2">
        <f t="shared" si="31"/>
        <v>0.78654163379205999</v>
      </c>
      <c r="AH41" s="2">
        <f t="shared" si="32"/>
        <v>0.5</v>
      </c>
    </row>
    <row r="42" spans="1:34">
      <c r="A42" t="str">
        <f t="shared" si="33"/>
        <v>Maize</v>
      </c>
      <c r="B42" t="str">
        <f t="shared" si="34"/>
        <v>SH3</v>
      </c>
      <c r="C42" s="2">
        <f>INDEX(TargetProduction!$B$47:$H$61,MATCH($B42,TargetProduction!$A$47:$A$61,0),MATCH($A42,TargetProduction!$B$46:$H$46,0))</f>
        <v>0.72098471118339502</v>
      </c>
      <c r="D42" s="2">
        <f>INDEX(TargetProduction!$I$47:$O$61,MATCH($B42,TargetProduction!$A$47:$A$61,0),MATCH($A42,TargetProduction!$I$46:$O$46,0))</f>
        <v>0.5</v>
      </c>
      <c r="E42" s="2">
        <f t="shared" si="3"/>
        <v>0.72098471118339502</v>
      </c>
      <c r="F42" s="2">
        <f t="shared" si="4"/>
        <v>0.5</v>
      </c>
      <c r="G42" s="2">
        <f t="shared" si="5"/>
        <v>0.72098471118339502</v>
      </c>
      <c r="H42" s="2">
        <f t="shared" si="6"/>
        <v>0.5</v>
      </c>
      <c r="I42" s="2">
        <f t="shared" si="7"/>
        <v>0.72098471118339502</v>
      </c>
      <c r="J42" s="2">
        <f t="shared" si="8"/>
        <v>0.5</v>
      </c>
      <c r="K42" s="2">
        <f t="shared" si="9"/>
        <v>0.72098471118339502</v>
      </c>
      <c r="L42" s="2">
        <f t="shared" si="10"/>
        <v>0.5</v>
      </c>
      <c r="M42" s="2">
        <f t="shared" si="11"/>
        <v>0.72098471118339502</v>
      </c>
      <c r="N42" s="2">
        <f t="shared" si="12"/>
        <v>0.5</v>
      </c>
      <c r="O42" s="2">
        <f t="shared" si="13"/>
        <v>0.72098471118339502</v>
      </c>
      <c r="P42" s="2">
        <f t="shared" si="14"/>
        <v>0.5</v>
      </c>
      <c r="Q42" s="2">
        <f t="shared" si="15"/>
        <v>0.72098471118339502</v>
      </c>
      <c r="R42" s="2">
        <f t="shared" si="16"/>
        <v>0.5</v>
      </c>
      <c r="S42" s="2">
        <f t="shared" si="17"/>
        <v>0.72098471118339502</v>
      </c>
      <c r="T42" s="2">
        <f t="shared" si="18"/>
        <v>0.5</v>
      </c>
      <c r="U42" s="2">
        <f t="shared" si="19"/>
        <v>0.72098471118339502</v>
      </c>
      <c r="V42" s="2">
        <f t="shared" si="20"/>
        <v>0.5</v>
      </c>
      <c r="W42" s="2">
        <f t="shared" si="21"/>
        <v>0.72098471118339502</v>
      </c>
      <c r="X42" s="2">
        <f t="shared" si="22"/>
        <v>0.5</v>
      </c>
      <c r="Y42" s="2">
        <f t="shared" si="23"/>
        <v>0.72098471118339502</v>
      </c>
      <c r="Z42" s="2">
        <f t="shared" si="24"/>
        <v>0.5</v>
      </c>
      <c r="AA42" s="2">
        <f t="shared" si="25"/>
        <v>0.72098471118339502</v>
      </c>
      <c r="AB42" s="2">
        <f t="shared" si="26"/>
        <v>0.5</v>
      </c>
      <c r="AC42" s="2">
        <f t="shared" si="27"/>
        <v>0.72098471118339502</v>
      </c>
      <c r="AD42" s="2">
        <f t="shared" si="28"/>
        <v>0.5</v>
      </c>
      <c r="AE42" s="2">
        <f t="shared" si="29"/>
        <v>0.72098471118339502</v>
      </c>
      <c r="AF42" s="2">
        <f t="shared" si="30"/>
        <v>0.5</v>
      </c>
      <c r="AG42" s="2">
        <f t="shared" si="31"/>
        <v>0.72098471118339502</v>
      </c>
      <c r="AH42" s="2">
        <f t="shared" si="32"/>
        <v>0.5</v>
      </c>
    </row>
    <row r="43" spans="1:34">
      <c r="A43" t="str">
        <f t="shared" si="33"/>
        <v>Maize</v>
      </c>
      <c r="B43" t="str">
        <f t="shared" si="34"/>
        <v>SM2</v>
      </c>
      <c r="C43" s="2">
        <f>INDEX(TargetProduction!$B$47:$H$61,MATCH($B43,TargetProduction!$A$47:$A$61,0),MATCH($A43,TargetProduction!$B$46:$H$46,0))</f>
        <v>8.6358133164734403E-3</v>
      </c>
      <c r="D43" s="2">
        <f>INDEX(TargetProduction!$I$47:$O$61,MATCH($B43,TargetProduction!$A$47:$A$61,0),MATCH($A43,TargetProduction!$I$46:$O$46,0))</f>
        <v>0.5</v>
      </c>
      <c r="E43" s="2">
        <f t="shared" si="3"/>
        <v>8.6358133164734403E-3</v>
      </c>
      <c r="F43" s="2">
        <f t="shared" si="4"/>
        <v>0.5</v>
      </c>
      <c r="G43" s="2">
        <f t="shared" si="5"/>
        <v>8.6358133164734403E-3</v>
      </c>
      <c r="H43" s="2">
        <f t="shared" si="6"/>
        <v>0.5</v>
      </c>
      <c r="I43" s="2">
        <f t="shared" si="7"/>
        <v>8.6358133164734403E-3</v>
      </c>
      <c r="J43" s="2">
        <f t="shared" si="8"/>
        <v>0.5</v>
      </c>
      <c r="K43" s="2">
        <f t="shared" si="9"/>
        <v>8.6358133164734403E-3</v>
      </c>
      <c r="L43" s="2">
        <f t="shared" si="10"/>
        <v>0.5</v>
      </c>
      <c r="M43" s="2">
        <f t="shared" si="11"/>
        <v>8.6358133164734403E-3</v>
      </c>
      <c r="N43" s="2">
        <f t="shared" si="12"/>
        <v>0.5</v>
      </c>
      <c r="O43" s="2">
        <f t="shared" si="13"/>
        <v>8.6358133164734403E-3</v>
      </c>
      <c r="P43" s="2">
        <f t="shared" si="14"/>
        <v>0.5</v>
      </c>
      <c r="Q43" s="2">
        <f t="shared" si="15"/>
        <v>8.6358133164734403E-3</v>
      </c>
      <c r="R43" s="2">
        <f t="shared" si="16"/>
        <v>0.5</v>
      </c>
      <c r="S43" s="2">
        <f t="shared" si="17"/>
        <v>8.6358133164734403E-3</v>
      </c>
      <c r="T43" s="2">
        <f t="shared" si="18"/>
        <v>0.5</v>
      </c>
      <c r="U43" s="2">
        <f t="shared" si="19"/>
        <v>8.6358133164734403E-3</v>
      </c>
      <c r="V43" s="2">
        <f t="shared" si="20"/>
        <v>0.5</v>
      </c>
      <c r="W43" s="2">
        <f t="shared" si="21"/>
        <v>8.6358133164734403E-3</v>
      </c>
      <c r="X43" s="2">
        <f t="shared" si="22"/>
        <v>0.5</v>
      </c>
      <c r="Y43" s="2">
        <f t="shared" si="23"/>
        <v>8.6358133164734403E-3</v>
      </c>
      <c r="Z43" s="2">
        <f t="shared" si="24"/>
        <v>0.5</v>
      </c>
      <c r="AA43" s="2">
        <f t="shared" si="25"/>
        <v>8.6358133164734403E-3</v>
      </c>
      <c r="AB43" s="2">
        <f t="shared" si="26"/>
        <v>0.5</v>
      </c>
      <c r="AC43" s="2">
        <f t="shared" si="27"/>
        <v>8.6358133164734403E-3</v>
      </c>
      <c r="AD43" s="2">
        <f t="shared" si="28"/>
        <v>0.5</v>
      </c>
      <c r="AE43" s="2">
        <f t="shared" si="29"/>
        <v>8.6358133164734403E-3</v>
      </c>
      <c r="AF43" s="2">
        <f t="shared" si="30"/>
        <v>0.5</v>
      </c>
      <c r="AG43" s="2">
        <f t="shared" si="31"/>
        <v>8.6358133164734403E-3</v>
      </c>
      <c r="AH43" s="2">
        <f t="shared" si="32"/>
        <v>0.5</v>
      </c>
    </row>
    <row r="44" spans="1:34">
      <c r="A44" t="str">
        <f t="shared" si="33"/>
        <v>Maize</v>
      </c>
      <c r="B44" t="str">
        <f t="shared" si="34"/>
        <v>SM2N</v>
      </c>
      <c r="C44" s="2">
        <f>INDEX(TargetProduction!$B$47:$H$61,MATCH($B44,TargetProduction!$A$47:$A$61,0),MATCH($A44,TargetProduction!$B$46:$H$46,0))</f>
        <v>4.9596940108719803E-2</v>
      </c>
      <c r="D44" s="2">
        <f>INDEX(TargetProduction!$I$47:$O$61,MATCH($B44,TargetProduction!$A$47:$A$61,0),MATCH($A44,TargetProduction!$I$46:$O$46,0))</f>
        <v>0.5</v>
      </c>
      <c r="E44" s="2">
        <f t="shared" si="3"/>
        <v>4.9596940108719803E-2</v>
      </c>
      <c r="F44" s="2">
        <f t="shared" si="4"/>
        <v>0.5</v>
      </c>
      <c r="G44" s="2">
        <f t="shared" si="5"/>
        <v>4.9596940108719803E-2</v>
      </c>
      <c r="H44" s="2">
        <f t="shared" si="6"/>
        <v>0.5</v>
      </c>
      <c r="I44" s="2">
        <f t="shared" si="7"/>
        <v>4.9596940108719803E-2</v>
      </c>
      <c r="J44" s="2">
        <f t="shared" si="8"/>
        <v>0.5</v>
      </c>
      <c r="K44" s="2">
        <f t="shared" si="9"/>
        <v>4.9596940108719803E-2</v>
      </c>
      <c r="L44" s="2">
        <f t="shared" si="10"/>
        <v>0.5</v>
      </c>
      <c r="M44" s="2">
        <f t="shared" si="11"/>
        <v>4.9596940108719803E-2</v>
      </c>
      <c r="N44" s="2">
        <f t="shared" si="12"/>
        <v>0.5</v>
      </c>
      <c r="O44" s="2">
        <f t="shared" si="13"/>
        <v>4.9596940108719803E-2</v>
      </c>
      <c r="P44" s="2">
        <f t="shared" si="14"/>
        <v>0.5</v>
      </c>
      <c r="Q44" s="2">
        <f t="shared" si="15"/>
        <v>4.9596940108719803E-2</v>
      </c>
      <c r="R44" s="2">
        <f t="shared" si="16"/>
        <v>0.5</v>
      </c>
      <c r="S44" s="2">
        <f t="shared" si="17"/>
        <v>4.9596940108719803E-2</v>
      </c>
      <c r="T44" s="2">
        <f t="shared" si="18"/>
        <v>0.5</v>
      </c>
      <c r="U44" s="2">
        <f t="shared" si="19"/>
        <v>4.9596940108719803E-2</v>
      </c>
      <c r="V44" s="2">
        <f t="shared" si="20"/>
        <v>0.5</v>
      </c>
      <c r="W44" s="2">
        <f t="shared" si="21"/>
        <v>4.9596940108719803E-2</v>
      </c>
      <c r="X44" s="2">
        <f t="shared" si="22"/>
        <v>0.5</v>
      </c>
      <c r="Y44" s="2">
        <f t="shared" si="23"/>
        <v>4.9596940108719803E-2</v>
      </c>
      <c r="Z44" s="2">
        <f t="shared" si="24"/>
        <v>0.5</v>
      </c>
      <c r="AA44" s="2">
        <f t="shared" si="25"/>
        <v>4.9596940108719803E-2</v>
      </c>
      <c r="AB44" s="2">
        <f t="shared" si="26"/>
        <v>0.5</v>
      </c>
      <c r="AC44" s="2">
        <f t="shared" si="27"/>
        <v>4.9596940108719803E-2</v>
      </c>
      <c r="AD44" s="2">
        <f t="shared" si="28"/>
        <v>0.5</v>
      </c>
      <c r="AE44" s="2">
        <f t="shared" si="29"/>
        <v>4.9596940108719803E-2</v>
      </c>
      <c r="AF44" s="2">
        <f t="shared" si="30"/>
        <v>0.5</v>
      </c>
      <c r="AG44" s="2">
        <f t="shared" si="31"/>
        <v>4.9596940108719803E-2</v>
      </c>
      <c r="AH44" s="2">
        <f t="shared" si="32"/>
        <v>0.5</v>
      </c>
    </row>
    <row r="45" spans="1:34">
      <c r="A45" t="str">
        <f t="shared" si="33"/>
        <v>Lentils</v>
      </c>
      <c r="B45" t="str">
        <f t="shared" si="34"/>
        <v>A1</v>
      </c>
      <c r="C45" s="2">
        <f>INDEX(TargetProduction!$B$47:$H$61,MATCH($B45,TargetProduction!$A$47:$A$61,0),MATCH($A45,TargetProduction!$B$46:$H$46,0))</f>
        <v>0.160685350834222</v>
      </c>
      <c r="D45" s="2">
        <f>INDEX(TargetProduction!$I$47:$O$61,MATCH($B45,TargetProduction!$A$47:$A$61,0),MATCH($A45,TargetProduction!$I$46:$O$46,0))</f>
        <v>0.5</v>
      </c>
      <c r="E45" s="2">
        <f t="shared" si="3"/>
        <v>0.160685350834222</v>
      </c>
      <c r="F45" s="2">
        <f t="shared" si="4"/>
        <v>0.5</v>
      </c>
      <c r="G45" s="2">
        <f t="shared" si="5"/>
        <v>0.160685350834222</v>
      </c>
      <c r="H45" s="2">
        <f t="shared" si="6"/>
        <v>0.5</v>
      </c>
      <c r="I45" s="2">
        <f t="shared" si="7"/>
        <v>0.160685350834222</v>
      </c>
      <c r="J45" s="2">
        <f t="shared" si="8"/>
        <v>0.5</v>
      </c>
      <c r="K45" s="2">
        <f t="shared" si="9"/>
        <v>0.160685350834222</v>
      </c>
      <c r="L45" s="2">
        <f t="shared" si="10"/>
        <v>0.5</v>
      </c>
      <c r="M45" s="2">
        <f t="shared" si="11"/>
        <v>0.160685350834222</v>
      </c>
      <c r="N45" s="2">
        <f t="shared" si="12"/>
        <v>0.5</v>
      </c>
      <c r="O45" s="2">
        <f t="shared" si="13"/>
        <v>0.160685350834222</v>
      </c>
      <c r="P45" s="2">
        <f t="shared" si="14"/>
        <v>0.5</v>
      </c>
      <c r="Q45" s="2">
        <f t="shared" si="15"/>
        <v>0.160685350834222</v>
      </c>
      <c r="R45" s="2">
        <f t="shared" si="16"/>
        <v>0.5</v>
      </c>
      <c r="S45" s="2">
        <f t="shared" si="17"/>
        <v>0.160685350834222</v>
      </c>
      <c r="T45" s="2">
        <f t="shared" si="18"/>
        <v>0.5</v>
      </c>
      <c r="U45" s="2">
        <f t="shared" si="19"/>
        <v>0.160685350834222</v>
      </c>
      <c r="V45" s="2">
        <f t="shared" si="20"/>
        <v>0.5</v>
      </c>
      <c r="W45" s="2">
        <f t="shared" si="21"/>
        <v>0.160685350834222</v>
      </c>
      <c r="X45" s="2">
        <f t="shared" si="22"/>
        <v>0.5</v>
      </c>
      <c r="Y45" s="2">
        <f t="shared" si="23"/>
        <v>0.160685350834222</v>
      </c>
      <c r="Z45" s="2">
        <f t="shared" si="24"/>
        <v>0.5</v>
      </c>
      <c r="AA45" s="2">
        <f t="shared" si="25"/>
        <v>0.160685350834222</v>
      </c>
      <c r="AB45" s="2">
        <f t="shared" si="26"/>
        <v>0.5</v>
      </c>
      <c r="AC45" s="2">
        <f t="shared" si="27"/>
        <v>0.160685350834222</v>
      </c>
      <c r="AD45" s="2">
        <f t="shared" si="28"/>
        <v>0.5</v>
      </c>
      <c r="AE45" s="2">
        <f t="shared" si="29"/>
        <v>0.160685350834222</v>
      </c>
      <c r="AF45" s="2">
        <f t="shared" si="30"/>
        <v>0.5</v>
      </c>
      <c r="AG45" s="2">
        <f t="shared" si="31"/>
        <v>0.160685350834222</v>
      </c>
      <c r="AH45" s="2">
        <f t="shared" si="32"/>
        <v>0.5</v>
      </c>
    </row>
    <row r="46" spans="1:34">
      <c r="A46" t="str">
        <f t="shared" si="33"/>
        <v>Lentils</v>
      </c>
      <c r="B46" t="str">
        <f t="shared" si="34"/>
        <v>H2</v>
      </c>
      <c r="C46" s="2">
        <f>INDEX(TargetProduction!$B$47:$H$61,MATCH($B46,TargetProduction!$A$47:$A$61,0),MATCH($A46,TargetProduction!$B$46:$H$46,0))</f>
        <v>0.93755634866461801</v>
      </c>
      <c r="D46" s="2">
        <f>INDEX(TargetProduction!$I$47:$O$61,MATCH($B46,TargetProduction!$A$47:$A$61,0),MATCH($A46,TargetProduction!$I$46:$O$46,0))</f>
        <v>0.5</v>
      </c>
      <c r="E46" s="2">
        <f t="shared" si="3"/>
        <v>0.93755634866461801</v>
      </c>
      <c r="F46" s="2">
        <f t="shared" si="4"/>
        <v>0.5</v>
      </c>
      <c r="G46" s="2">
        <f t="shared" si="5"/>
        <v>0.93755634866461801</v>
      </c>
      <c r="H46" s="2">
        <f t="shared" si="6"/>
        <v>0.5</v>
      </c>
      <c r="I46" s="2">
        <f t="shared" si="7"/>
        <v>0.93755634866461801</v>
      </c>
      <c r="J46" s="2">
        <f t="shared" si="8"/>
        <v>0.5</v>
      </c>
      <c r="K46" s="2">
        <f t="shared" si="9"/>
        <v>0.93755634866461801</v>
      </c>
      <c r="L46" s="2">
        <f t="shared" si="10"/>
        <v>0.5</v>
      </c>
      <c r="M46" s="2">
        <f t="shared" si="11"/>
        <v>0.93755634866461801</v>
      </c>
      <c r="N46" s="2">
        <f t="shared" si="12"/>
        <v>0.5</v>
      </c>
      <c r="O46" s="2">
        <f t="shared" si="13"/>
        <v>0.93755634866461801</v>
      </c>
      <c r="P46" s="2">
        <f t="shared" si="14"/>
        <v>0.5</v>
      </c>
      <c r="Q46" s="2">
        <f t="shared" si="15"/>
        <v>0.93755634866461801</v>
      </c>
      <c r="R46" s="2">
        <f t="shared" si="16"/>
        <v>0.5</v>
      </c>
      <c r="S46" s="2">
        <f t="shared" si="17"/>
        <v>0.93755634866461801</v>
      </c>
      <c r="T46" s="2">
        <f t="shared" si="18"/>
        <v>0.5</v>
      </c>
      <c r="U46" s="2">
        <f t="shared" si="19"/>
        <v>0.93755634866461801</v>
      </c>
      <c r="V46" s="2">
        <f t="shared" si="20"/>
        <v>0.5</v>
      </c>
      <c r="W46" s="2">
        <f t="shared" si="21"/>
        <v>0.93755634866461801</v>
      </c>
      <c r="X46" s="2">
        <f t="shared" si="22"/>
        <v>0.5</v>
      </c>
      <c r="Y46" s="2">
        <f t="shared" si="23"/>
        <v>0.93755634866461801</v>
      </c>
      <c r="Z46" s="2">
        <f t="shared" si="24"/>
        <v>0.5</v>
      </c>
      <c r="AA46" s="2">
        <f t="shared" si="25"/>
        <v>0.93755634866461801</v>
      </c>
      <c r="AB46" s="2">
        <f t="shared" si="26"/>
        <v>0.5</v>
      </c>
      <c r="AC46" s="2">
        <f t="shared" si="27"/>
        <v>0.93755634866461801</v>
      </c>
      <c r="AD46" s="2">
        <f t="shared" si="28"/>
        <v>0.5</v>
      </c>
      <c r="AE46" s="2">
        <f t="shared" si="29"/>
        <v>0.93755634866461801</v>
      </c>
      <c r="AF46" s="2">
        <f t="shared" si="30"/>
        <v>0.5</v>
      </c>
      <c r="AG46" s="2">
        <f t="shared" si="31"/>
        <v>0.93755634866461801</v>
      </c>
      <c r="AH46" s="2">
        <f t="shared" si="32"/>
        <v>0.5</v>
      </c>
    </row>
    <row r="47" spans="1:34">
      <c r="A47" t="str">
        <f t="shared" si="33"/>
        <v>Lentils</v>
      </c>
      <c r="B47" t="str">
        <f t="shared" si="34"/>
        <v>H3</v>
      </c>
      <c r="C47" s="2">
        <f>INDEX(TargetProduction!$B$47:$H$61,MATCH($B47,TargetProduction!$A$47:$A$61,0),MATCH($A47,TargetProduction!$B$46:$H$46,0))</f>
        <v>0.78741109585561198</v>
      </c>
      <c r="D47" s="2">
        <f>INDEX(TargetProduction!$I$47:$O$61,MATCH($B47,TargetProduction!$A$47:$A$61,0),MATCH($A47,TargetProduction!$I$46:$O$46,0))</f>
        <v>0.5</v>
      </c>
      <c r="E47" s="2">
        <f t="shared" si="3"/>
        <v>0.78741109585561198</v>
      </c>
      <c r="F47" s="2">
        <f t="shared" si="4"/>
        <v>0.5</v>
      </c>
      <c r="G47" s="2">
        <f t="shared" si="5"/>
        <v>0.78741109585561198</v>
      </c>
      <c r="H47" s="2">
        <f t="shared" si="6"/>
        <v>0.5</v>
      </c>
      <c r="I47" s="2">
        <f t="shared" si="7"/>
        <v>0.78741109585561198</v>
      </c>
      <c r="J47" s="2">
        <f t="shared" si="8"/>
        <v>0.5</v>
      </c>
      <c r="K47" s="2">
        <f t="shared" si="9"/>
        <v>0.78741109585561198</v>
      </c>
      <c r="L47" s="2">
        <f t="shared" si="10"/>
        <v>0.5</v>
      </c>
      <c r="M47" s="2">
        <f t="shared" si="11"/>
        <v>0.78741109585561198</v>
      </c>
      <c r="N47" s="2">
        <f t="shared" si="12"/>
        <v>0.5</v>
      </c>
      <c r="O47" s="2">
        <f t="shared" si="13"/>
        <v>0.78741109585561198</v>
      </c>
      <c r="P47" s="2">
        <f t="shared" si="14"/>
        <v>0.5</v>
      </c>
      <c r="Q47" s="2">
        <f t="shared" si="15"/>
        <v>0.78741109585561198</v>
      </c>
      <c r="R47" s="2">
        <f t="shared" si="16"/>
        <v>0.5</v>
      </c>
      <c r="S47" s="2">
        <f t="shared" si="17"/>
        <v>0.78741109585561198</v>
      </c>
      <c r="T47" s="2">
        <f t="shared" si="18"/>
        <v>0.5</v>
      </c>
      <c r="U47" s="2">
        <f t="shared" si="19"/>
        <v>0.78741109585561198</v>
      </c>
      <c r="V47" s="2">
        <f t="shared" si="20"/>
        <v>0.5</v>
      </c>
      <c r="W47" s="2">
        <f t="shared" si="21"/>
        <v>0.78741109585561198</v>
      </c>
      <c r="X47" s="2">
        <f t="shared" si="22"/>
        <v>0.5</v>
      </c>
      <c r="Y47" s="2">
        <f t="shared" si="23"/>
        <v>0.78741109585561198</v>
      </c>
      <c r="Z47" s="2">
        <f t="shared" si="24"/>
        <v>0.5</v>
      </c>
      <c r="AA47" s="2">
        <f t="shared" si="25"/>
        <v>0.78741109585561198</v>
      </c>
      <c r="AB47" s="2">
        <f t="shared" si="26"/>
        <v>0.5</v>
      </c>
      <c r="AC47" s="2">
        <f t="shared" si="27"/>
        <v>0.78741109585561198</v>
      </c>
      <c r="AD47" s="2">
        <f t="shared" si="28"/>
        <v>0.5</v>
      </c>
      <c r="AE47" s="2">
        <f t="shared" si="29"/>
        <v>0.78741109585561198</v>
      </c>
      <c r="AF47" s="2">
        <f t="shared" si="30"/>
        <v>0.5</v>
      </c>
      <c r="AG47" s="2">
        <f t="shared" si="31"/>
        <v>0.78741109585561198</v>
      </c>
      <c r="AH47" s="2">
        <f t="shared" si="32"/>
        <v>0.5</v>
      </c>
    </row>
    <row r="48" spans="1:34">
      <c r="A48" t="str">
        <f t="shared" si="33"/>
        <v>Lentils</v>
      </c>
      <c r="B48" t="str">
        <f t="shared" si="34"/>
        <v>H4</v>
      </c>
      <c r="C48" s="2">
        <f>INDEX(TargetProduction!$B$47:$H$61,MATCH($B48,TargetProduction!$A$47:$A$61,0),MATCH($A48,TargetProduction!$B$46:$H$46,0))</f>
        <v>0.66509907394740198</v>
      </c>
      <c r="D48" s="2">
        <f>INDEX(TargetProduction!$I$47:$O$61,MATCH($B48,TargetProduction!$A$47:$A$61,0),MATCH($A48,TargetProduction!$I$46:$O$46,0))</f>
        <v>0.5</v>
      </c>
      <c r="E48" s="2">
        <f t="shared" si="3"/>
        <v>0.66509907394740198</v>
      </c>
      <c r="F48" s="2">
        <f t="shared" si="4"/>
        <v>0.5</v>
      </c>
      <c r="G48" s="2">
        <f t="shared" si="5"/>
        <v>0.66509907394740198</v>
      </c>
      <c r="H48" s="2">
        <f t="shared" si="6"/>
        <v>0.5</v>
      </c>
      <c r="I48" s="2">
        <f t="shared" si="7"/>
        <v>0.66509907394740198</v>
      </c>
      <c r="J48" s="2">
        <f t="shared" si="8"/>
        <v>0.5</v>
      </c>
      <c r="K48" s="2">
        <f t="shared" si="9"/>
        <v>0.66509907394740198</v>
      </c>
      <c r="L48" s="2">
        <f t="shared" si="10"/>
        <v>0.5</v>
      </c>
      <c r="M48" s="2">
        <f t="shared" si="11"/>
        <v>0.66509907394740198</v>
      </c>
      <c r="N48" s="2">
        <f t="shared" si="12"/>
        <v>0.5</v>
      </c>
      <c r="O48" s="2">
        <f t="shared" si="13"/>
        <v>0.66509907394740198</v>
      </c>
      <c r="P48" s="2">
        <f t="shared" si="14"/>
        <v>0.5</v>
      </c>
      <c r="Q48" s="2">
        <f t="shared" si="15"/>
        <v>0.66509907394740198</v>
      </c>
      <c r="R48" s="2">
        <f t="shared" si="16"/>
        <v>0.5</v>
      </c>
      <c r="S48" s="2">
        <f t="shared" si="17"/>
        <v>0.66509907394740198</v>
      </c>
      <c r="T48" s="2">
        <f t="shared" si="18"/>
        <v>0.5</v>
      </c>
      <c r="U48" s="2">
        <f t="shared" si="19"/>
        <v>0.66509907394740198</v>
      </c>
      <c r="V48" s="2">
        <f t="shared" si="20"/>
        <v>0.5</v>
      </c>
      <c r="W48" s="2">
        <f t="shared" si="21"/>
        <v>0.66509907394740198</v>
      </c>
      <c r="X48" s="2">
        <f t="shared" si="22"/>
        <v>0.5</v>
      </c>
      <c r="Y48" s="2">
        <f t="shared" si="23"/>
        <v>0.66509907394740198</v>
      </c>
      <c r="Z48" s="2">
        <f t="shared" si="24"/>
        <v>0.5</v>
      </c>
      <c r="AA48" s="2">
        <f t="shared" si="25"/>
        <v>0.66509907394740198</v>
      </c>
      <c r="AB48" s="2">
        <f t="shared" si="26"/>
        <v>0.5</v>
      </c>
      <c r="AC48" s="2">
        <f t="shared" si="27"/>
        <v>0.66509907394740198</v>
      </c>
      <c r="AD48" s="2">
        <f t="shared" si="28"/>
        <v>0.5</v>
      </c>
      <c r="AE48" s="2">
        <f t="shared" si="29"/>
        <v>0.66509907394740198</v>
      </c>
      <c r="AF48" s="2">
        <f t="shared" si="30"/>
        <v>0.5</v>
      </c>
      <c r="AG48" s="2">
        <f t="shared" si="31"/>
        <v>0.66509907394740198</v>
      </c>
      <c r="AH48" s="2">
        <f t="shared" si="32"/>
        <v>0.5</v>
      </c>
    </row>
    <row r="49" spans="1:34">
      <c r="A49" t="str">
        <f t="shared" ref="A49:A80" si="35">INDEX(Food,MATCH(A35,Food,0)+1)</f>
        <v>Lentils</v>
      </c>
      <c r="B49" t="str">
        <f t="shared" ref="B49:B80" si="36">B35</f>
        <v>H5</v>
      </c>
      <c r="C49" s="2">
        <f>INDEX(TargetProduction!$B$47:$H$61,MATCH($B49,TargetProduction!$A$47:$A$61,0),MATCH($A49,TargetProduction!$B$46:$H$46,0))</f>
        <v>0.56980205089492297</v>
      </c>
      <c r="D49" s="2">
        <f>INDEX(TargetProduction!$I$47:$O$61,MATCH($B49,TargetProduction!$A$47:$A$61,0),MATCH($A49,TargetProduction!$I$46:$O$46,0))</f>
        <v>0.5</v>
      </c>
      <c r="E49" s="2">
        <f t="shared" si="3"/>
        <v>0.56980205089492297</v>
      </c>
      <c r="F49" s="2">
        <f t="shared" si="4"/>
        <v>0.5</v>
      </c>
      <c r="G49" s="2">
        <f t="shared" si="5"/>
        <v>0.56980205089492297</v>
      </c>
      <c r="H49" s="2">
        <f t="shared" si="6"/>
        <v>0.5</v>
      </c>
      <c r="I49" s="2">
        <f t="shared" si="7"/>
        <v>0.56980205089492297</v>
      </c>
      <c r="J49" s="2">
        <f t="shared" si="8"/>
        <v>0.5</v>
      </c>
      <c r="K49" s="2">
        <f t="shared" si="9"/>
        <v>0.56980205089492297</v>
      </c>
      <c r="L49" s="2">
        <f t="shared" si="10"/>
        <v>0.5</v>
      </c>
      <c r="M49" s="2">
        <f t="shared" si="11"/>
        <v>0.56980205089492297</v>
      </c>
      <c r="N49" s="2">
        <f t="shared" si="12"/>
        <v>0.5</v>
      </c>
      <c r="O49" s="2">
        <f t="shared" si="13"/>
        <v>0.56980205089492297</v>
      </c>
      <c r="P49" s="2">
        <f t="shared" si="14"/>
        <v>0.5</v>
      </c>
      <c r="Q49" s="2">
        <f t="shared" si="15"/>
        <v>0.56980205089492297</v>
      </c>
      <c r="R49" s="2">
        <f t="shared" si="16"/>
        <v>0.5</v>
      </c>
      <c r="S49" s="2">
        <f t="shared" si="17"/>
        <v>0.56980205089492297</v>
      </c>
      <c r="T49" s="2">
        <f t="shared" si="18"/>
        <v>0.5</v>
      </c>
      <c r="U49" s="2">
        <f t="shared" si="19"/>
        <v>0.56980205089492297</v>
      </c>
      <c r="V49" s="2">
        <f t="shared" si="20"/>
        <v>0.5</v>
      </c>
      <c r="W49" s="2">
        <f t="shared" si="21"/>
        <v>0.56980205089492297</v>
      </c>
      <c r="X49" s="2">
        <f t="shared" si="22"/>
        <v>0.5</v>
      </c>
      <c r="Y49" s="2">
        <f t="shared" si="23"/>
        <v>0.56980205089492297</v>
      </c>
      <c r="Z49" s="2">
        <f t="shared" si="24"/>
        <v>0.5</v>
      </c>
      <c r="AA49" s="2">
        <f t="shared" si="25"/>
        <v>0.56980205089492297</v>
      </c>
      <c r="AB49" s="2">
        <f t="shared" si="26"/>
        <v>0.5</v>
      </c>
      <c r="AC49" s="2">
        <f t="shared" si="27"/>
        <v>0.56980205089492297</v>
      </c>
      <c r="AD49" s="2">
        <f t="shared" si="28"/>
        <v>0.5</v>
      </c>
      <c r="AE49" s="2">
        <f t="shared" si="29"/>
        <v>0.56980205089492297</v>
      </c>
      <c r="AF49" s="2">
        <f t="shared" si="30"/>
        <v>0.5</v>
      </c>
      <c r="AG49" s="2">
        <f t="shared" si="31"/>
        <v>0.56980205089492297</v>
      </c>
      <c r="AH49" s="2">
        <f t="shared" si="32"/>
        <v>0.5</v>
      </c>
    </row>
    <row r="50" spans="1:34">
      <c r="A50" t="str">
        <f t="shared" si="35"/>
        <v>Lentils</v>
      </c>
      <c r="B50" t="str">
        <f t="shared" si="36"/>
        <v>M1</v>
      </c>
      <c r="C50" s="2">
        <f>INDEX(TargetProduction!$B$47:$H$61,MATCH($B50,TargetProduction!$A$47:$A$61,0),MATCH($A50,TargetProduction!$B$46:$H$46,0))</f>
        <v>0.584232313562557</v>
      </c>
      <c r="D50" s="2">
        <f>INDEX(TargetProduction!$I$47:$O$61,MATCH($B50,TargetProduction!$A$47:$A$61,0),MATCH($A50,TargetProduction!$I$46:$O$46,0))</f>
        <v>0.5</v>
      </c>
      <c r="E50" s="2">
        <f t="shared" si="3"/>
        <v>0.584232313562557</v>
      </c>
      <c r="F50" s="2">
        <f t="shared" si="4"/>
        <v>0.5</v>
      </c>
      <c r="G50" s="2">
        <f t="shared" si="5"/>
        <v>0.584232313562557</v>
      </c>
      <c r="H50" s="2">
        <f t="shared" si="6"/>
        <v>0.5</v>
      </c>
      <c r="I50" s="2">
        <f t="shared" si="7"/>
        <v>0.584232313562557</v>
      </c>
      <c r="J50" s="2">
        <f t="shared" si="8"/>
        <v>0.5</v>
      </c>
      <c r="K50" s="2">
        <f t="shared" si="9"/>
        <v>0.584232313562557</v>
      </c>
      <c r="L50" s="2">
        <f t="shared" si="10"/>
        <v>0.5</v>
      </c>
      <c r="M50" s="2">
        <f t="shared" si="11"/>
        <v>0.584232313562557</v>
      </c>
      <c r="N50" s="2">
        <f t="shared" si="12"/>
        <v>0.5</v>
      </c>
      <c r="O50" s="2">
        <f t="shared" si="13"/>
        <v>0.584232313562557</v>
      </c>
      <c r="P50" s="2">
        <f t="shared" si="14"/>
        <v>0.5</v>
      </c>
      <c r="Q50" s="2">
        <f t="shared" si="15"/>
        <v>0.584232313562557</v>
      </c>
      <c r="R50" s="2">
        <f t="shared" si="16"/>
        <v>0.5</v>
      </c>
      <c r="S50" s="2">
        <f t="shared" si="17"/>
        <v>0.584232313562557</v>
      </c>
      <c r="T50" s="2">
        <f t="shared" si="18"/>
        <v>0.5</v>
      </c>
      <c r="U50" s="2">
        <f t="shared" si="19"/>
        <v>0.584232313562557</v>
      </c>
      <c r="V50" s="2">
        <f t="shared" si="20"/>
        <v>0.5</v>
      </c>
      <c r="W50" s="2">
        <f t="shared" si="21"/>
        <v>0.584232313562557</v>
      </c>
      <c r="X50" s="2">
        <f t="shared" si="22"/>
        <v>0.5</v>
      </c>
      <c r="Y50" s="2">
        <f t="shared" si="23"/>
        <v>0.584232313562557</v>
      </c>
      <c r="Z50" s="2">
        <f t="shared" si="24"/>
        <v>0.5</v>
      </c>
      <c r="AA50" s="2">
        <f t="shared" si="25"/>
        <v>0.584232313562557</v>
      </c>
      <c r="AB50" s="2">
        <f t="shared" si="26"/>
        <v>0.5</v>
      </c>
      <c r="AC50" s="2">
        <f t="shared" si="27"/>
        <v>0.584232313562557</v>
      </c>
      <c r="AD50" s="2">
        <f t="shared" si="28"/>
        <v>0.5</v>
      </c>
      <c r="AE50" s="2">
        <f t="shared" si="29"/>
        <v>0.584232313562557</v>
      </c>
      <c r="AF50" s="2">
        <f t="shared" si="30"/>
        <v>0.5</v>
      </c>
      <c r="AG50" s="2">
        <f t="shared" si="31"/>
        <v>0.584232313562557</v>
      </c>
      <c r="AH50" s="2">
        <f t="shared" si="32"/>
        <v>0.5</v>
      </c>
    </row>
    <row r="51" spans="1:34">
      <c r="A51" t="str">
        <f t="shared" si="35"/>
        <v>Lentils</v>
      </c>
      <c r="B51" t="str">
        <f t="shared" si="36"/>
        <v>M3</v>
      </c>
      <c r="C51" s="2">
        <f>INDEX(TargetProduction!$B$47:$H$61,MATCH($B51,TargetProduction!$A$47:$A$61,0),MATCH($A51,TargetProduction!$B$46:$H$46,0))</f>
        <v>0.683543254897236</v>
      </c>
      <c r="D51" s="2">
        <f>INDEX(TargetProduction!$I$47:$O$61,MATCH($B51,TargetProduction!$A$47:$A$61,0),MATCH($A51,TargetProduction!$I$46:$O$46,0))</f>
        <v>0.5</v>
      </c>
      <c r="E51" s="2">
        <f t="shared" si="3"/>
        <v>0.683543254897236</v>
      </c>
      <c r="F51" s="2">
        <f t="shared" si="4"/>
        <v>0.5</v>
      </c>
      <c r="G51" s="2">
        <f t="shared" si="5"/>
        <v>0.683543254897236</v>
      </c>
      <c r="H51" s="2">
        <f t="shared" si="6"/>
        <v>0.5</v>
      </c>
      <c r="I51" s="2">
        <f t="shared" si="7"/>
        <v>0.683543254897236</v>
      </c>
      <c r="J51" s="2">
        <f t="shared" si="8"/>
        <v>0.5</v>
      </c>
      <c r="K51" s="2">
        <f t="shared" si="9"/>
        <v>0.683543254897236</v>
      </c>
      <c r="L51" s="2">
        <f t="shared" si="10"/>
        <v>0.5</v>
      </c>
      <c r="M51" s="2">
        <f t="shared" si="11"/>
        <v>0.683543254897236</v>
      </c>
      <c r="N51" s="2">
        <f t="shared" si="12"/>
        <v>0.5</v>
      </c>
      <c r="O51" s="2">
        <f t="shared" si="13"/>
        <v>0.683543254897236</v>
      </c>
      <c r="P51" s="2">
        <f t="shared" si="14"/>
        <v>0.5</v>
      </c>
      <c r="Q51" s="2">
        <f t="shared" si="15"/>
        <v>0.683543254897236</v>
      </c>
      <c r="R51" s="2">
        <f t="shared" si="16"/>
        <v>0.5</v>
      </c>
      <c r="S51" s="2">
        <f t="shared" si="17"/>
        <v>0.683543254897236</v>
      </c>
      <c r="T51" s="2">
        <f t="shared" si="18"/>
        <v>0.5</v>
      </c>
      <c r="U51" s="2">
        <f t="shared" si="19"/>
        <v>0.683543254897236</v>
      </c>
      <c r="V51" s="2">
        <f t="shared" si="20"/>
        <v>0.5</v>
      </c>
      <c r="W51" s="2">
        <f t="shared" si="21"/>
        <v>0.683543254897236</v>
      </c>
      <c r="X51" s="2">
        <f t="shared" si="22"/>
        <v>0.5</v>
      </c>
      <c r="Y51" s="2">
        <f t="shared" si="23"/>
        <v>0.683543254897236</v>
      </c>
      <c r="Z51" s="2">
        <f t="shared" si="24"/>
        <v>0.5</v>
      </c>
      <c r="AA51" s="2">
        <f t="shared" si="25"/>
        <v>0.683543254897236</v>
      </c>
      <c r="AB51" s="2">
        <f t="shared" si="26"/>
        <v>0.5</v>
      </c>
      <c r="AC51" s="2">
        <f t="shared" si="27"/>
        <v>0.683543254897236</v>
      </c>
      <c r="AD51" s="2">
        <f t="shared" si="28"/>
        <v>0.5</v>
      </c>
      <c r="AE51" s="2">
        <f t="shared" si="29"/>
        <v>0.683543254897236</v>
      </c>
      <c r="AF51" s="2">
        <f t="shared" si="30"/>
        <v>0.5</v>
      </c>
      <c r="AG51" s="2">
        <f t="shared" si="31"/>
        <v>0.683543254897236</v>
      </c>
      <c r="AH51" s="2">
        <f t="shared" si="32"/>
        <v>0.5</v>
      </c>
    </row>
    <row r="52" spans="1:34">
      <c r="A52" t="str">
        <f t="shared" si="35"/>
        <v>Lentils</v>
      </c>
      <c r="B52" t="str">
        <f t="shared" si="36"/>
        <v>M5</v>
      </c>
      <c r="C52" s="2">
        <f>INDEX(TargetProduction!$B$47:$H$61,MATCH($B52,TargetProduction!$A$47:$A$61,0),MATCH($A52,TargetProduction!$B$46:$H$46,0))</f>
        <v>0.64264847889827603</v>
      </c>
      <c r="D52" s="2">
        <f>INDEX(TargetProduction!$I$47:$O$61,MATCH($B52,TargetProduction!$A$47:$A$61,0),MATCH($A52,TargetProduction!$I$46:$O$46,0))</f>
        <v>0.5</v>
      </c>
      <c r="E52" s="2">
        <f t="shared" si="3"/>
        <v>0.64264847889827603</v>
      </c>
      <c r="F52" s="2">
        <f t="shared" si="4"/>
        <v>0.5</v>
      </c>
      <c r="G52" s="2">
        <f t="shared" si="5"/>
        <v>0.64264847889827603</v>
      </c>
      <c r="H52" s="2">
        <f t="shared" si="6"/>
        <v>0.5</v>
      </c>
      <c r="I52" s="2">
        <f t="shared" si="7"/>
        <v>0.64264847889827603</v>
      </c>
      <c r="J52" s="2">
        <f t="shared" si="8"/>
        <v>0.5</v>
      </c>
      <c r="K52" s="2">
        <f t="shared" si="9"/>
        <v>0.64264847889827603</v>
      </c>
      <c r="L52" s="2">
        <f t="shared" si="10"/>
        <v>0.5</v>
      </c>
      <c r="M52" s="2">
        <f t="shared" si="11"/>
        <v>0.64264847889827603</v>
      </c>
      <c r="N52" s="2">
        <f t="shared" si="12"/>
        <v>0.5</v>
      </c>
      <c r="O52" s="2">
        <f t="shared" si="13"/>
        <v>0.64264847889827603</v>
      </c>
      <c r="P52" s="2">
        <f t="shared" si="14"/>
        <v>0.5</v>
      </c>
      <c r="Q52" s="2">
        <f t="shared" si="15"/>
        <v>0.64264847889827603</v>
      </c>
      <c r="R52" s="2">
        <f t="shared" si="16"/>
        <v>0.5</v>
      </c>
      <c r="S52" s="2">
        <f t="shared" si="17"/>
        <v>0.64264847889827603</v>
      </c>
      <c r="T52" s="2">
        <f t="shared" si="18"/>
        <v>0.5</v>
      </c>
      <c r="U52" s="2">
        <f t="shared" si="19"/>
        <v>0.64264847889827603</v>
      </c>
      <c r="V52" s="2">
        <f t="shared" si="20"/>
        <v>0.5</v>
      </c>
      <c r="W52" s="2">
        <f t="shared" si="21"/>
        <v>0.64264847889827603</v>
      </c>
      <c r="X52" s="2">
        <f t="shared" si="22"/>
        <v>0.5</v>
      </c>
      <c r="Y52" s="2">
        <f t="shared" si="23"/>
        <v>0.64264847889827603</v>
      </c>
      <c r="Z52" s="2">
        <f t="shared" si="24"/>
        <v>0.5</v>
      </c>
      <c r="AA52" s="2">
        <f t="shared" si="25"/>
        <v>0.64264847889827603</v>
      </c>
      <c r="AB52" s="2">
        <f t="shared" si="26"/>
        <v>0.5</v>
      </c>
      <c r="AC52" s="2">
        <f t="shared" si="27"/>
        <v>0.64264847889827603</v>
      </c>
      <c r="AD52" s="2">
        <f t="shared" si="28"/>
        <v>0.5</v>
      </c>
      <c r="AE52" s="2">
        <f t="shared" si="29"/>
        <v>0.64264847889827603</v>
      </c>
      <c r="AF52" s="2">
        <f t="shared" si="30"/>
        <v>0.5</v>
      </c>
      <c r="AG52" s="2">
        <f t="shared" si="31"/>
        <v>0.64264847889827603</v>
      </c>
      <c r="AH52" s="2">
        <f t="shared" si="32"/>
        <v>0.5</v>
      </c>
    </row>
    <row r="53" spans="1:34">
      <c r="A53" t="str">
        <f t="shared" si="35"/>
        <v>Lentils</v>
      </c>
      <c r="B53" t="str">
        <f t="shared" si="36"/>
        <v>SA1</v>
      </c>
      <c r="C53" s="2">
        <f>INDEX(TargetProduction!$B$47:$H$61,MATCH($B53,TargetProduction!$A$47:$A$61,0),MATCH($A53,TargetProduction!$B$46:$H$46,0))</f>
        <v>0.71174761154864596</v>
      </c>
      <c r="D53" s="2">
        <f>INDEX(TargetProduction!$I$47:$O$61,MATCH($B53,TargetProduction!$A$47:$A$61,0),MATCH($A53,TargetProduction!$I$46:$O$46,0))</f>
        <v>0.5</v>
      </c>
      <c r="E53" s="2">
        <f t="shared" si="3"/>
        <v>0.71174761154864596</v>
      </c>
      <c r="F53" s="2">
        <f t="shared" si="4"/>
        <v>0.5</v>
      </c>
      <c r="G53" s="2">
        <f t="shared" si="5"/>
        <v>0.71174761154864596</v>
      </c>
      <c r="H53" s="2">
        <f t="shared" si="6"/>
        <v>0.5</v>
      </c>
      <c r="I53" s="2">
        <f t="shared" si="7"/>
        <v>0.71174761154864596</v>
      </c>
      <c r="J53" s="2">
        <f t="shared" si="8"/>
        <v>0.5</v>
      </c>
      <c r="K53" s="2">
        <f t="shared" si="9"/>
        <v>0.71174761154864596</v>
      </c>
      <c r="L53" s="2">
        <f t="shared" si="10"/>
        <v>0.5</v>
      </c>
      <c r="M53" s="2">
        <f t="shared" si="11"/>
        <v>0.71174761154864596</v>
      </c>
      <c r="N53" s="2">
        <f t="shared" si="12"/>
        <v>0.5</v>
      </c>
      <c r="O53" s="2">
        <f t="shared" si="13"/>
        <v>0.71174761154864596</v>
      </c>
      <c r="P53" s="2">
        <f t="shared" si="14"/>
        <v>0.5</v>
      </c>
      <c r="Q53" s="2">
        <f t="shared" si="15"/>
        <v>0.71174761154864596</v>
      </c>
      <c r="R53" s="2">
        <f t="shared" si="16"/>
        <v>0.5</v>
      </c>
      <c r="S53" s="2">
        <f t="shared" si="17"/>
        <v>0.71174761154864596</v>
      </c>
      <c r="T53" s="2">
        <f t="shared" si="18"/>
        <v>0.5</v>
      </c>
      <c r="U53" s="2">
        <f t="shared" si="19"/>
        <v>0.71174761154864596</v>
      </c>
      <c r="V53" s="2">
        <f t="shared" si="20"/>
        <v>0.5</v>
      </c>
      <c r="W53" s="2">
        <f t="shared" si="21"/>
        <v>0.71174761154864596</v>
      </c>
      <c r="X53" s="2">
        <f t="shared" si="22"/>
        <v>0.5</v>
      </c>
      <c r="Y53" s="2">
        <f t="shared" si="23"/>
        <v>0.71174761154864596</v>
      </c>
      <c r="Z53" s="2">
        <f t="shared" si="24"/>
        <v>0.5</v>
      </c>
      <c r="AA53" s="2">
        <f t="shared" si="25"/>
        <v>0.71174761154864596</v>
      </c>
      <c r="AB53" s="2">
        <f t="shared" si="26"/>
        <v>0.5</v>
      </c>
      <c r="AC53" s="2">
        <f t="shared" si="27"/>
        <v>0.71174761154864596</v>
      </c>
      <c r="AD53" s="2">
        <f t="shared" si="28"/>
        <v>0.5</v>
      </c>
      <c r="AE53" s="2">
        <f t="shared" si="29"/>
        <v>0.71174761154864596</v>
      </c>
      <c r="AF53" s="2">
        <f t="shared" si="30"/>
        <v>0.5</v>
      </c>
      <c r="AG53" s="2">
        <f t="shared" si="31"/>
        <v>0.71174761154864596</v>
      </c>
      <c r="AH53" s="2">
        <f t="shared" si="32"/>
        <v>0.5</v>
      </c>
    </row>
    <row r="54" spans="1:34">
      <c r="A54" t="str">
        <f t="shared" si="35"/>
        <v>Lentils</v>
      </c>
      <c r="B54" t="str">
        <f t="shared" si="36"/>
        <v>SA3</v>
      </c>
      <c r="C54" s="2">
        <f>INDEX(TargetProduction!$B$47:$H$61,MATCH($B54,TargetProduction!$A$47:$A$61,0),MATCH($A54,TargetProduction!$B$46:$H$46,0))</f>
        <v>0.50111873512189697</v>
      </c>
      <c r="D54" s="2">
        <f>INDEX(TargetProduction!$I$47:$O$61,MATCH($B54,TargetProduction!$A$47:$A$61,0),MATCH($A54,TargetProduction!$I$46:$O$46,0))</f>
        <v>0.5</v>
      </c>
      <c r="E54" s="2">
        <f t="shared" si="3"/>
        <v>0.50111873512189697</v>
      </c>
      <c r="F54" s="2">
        <f t="shared" si="4"/>
        <v>0.5</v>
      </c>
      <c r="G54" s="2">
        <f t="shared" si="5"/>
        <v>0.50111873512189697</v>
      </c>
      <c r="H54" s="2">
        <f t="shared" si="6"/>
        <v>0.5</v>
      </c>
      <c r="I54" s="2">
        <f t="shared" si="7"/>
        <v>0.50111873512189697</v>
      </c>
      <c r="J54" s="2">
        <f t="shared" si="8"/>
        <v>0.5</v>
      </c>
      <c r="K54" s="2">
        <f t="shared" si="9"/>
        <v>0.50111873512189697</v>
      </c>
      <c r="L54" s="2">
        <f t="shared" si="10"/>
        <v>0.5</v>
      </c>
      <c r="M54" s="2">
        <f t="shared" si="11"/>
        <v>0.50111873512189697</v>
      </c>
      <c r="N54" s="2">
        <f t="shared" si="12"/>
        <v>0.5</v>
      </c>
      <c r="O54" s="2">
        <f t="shared" si="13"/>
        <v>0.50111873512189697</v>
      </c>
      <c r="P54" s="2">
        <f t="shared" si="14"/>
        <v>0.5</v>
      </c>
      <c r="Q54" s="2">
        <f t="shared" si="15"/>
        <v>0.50111873512189697</v>
      </c>
      <c r="R54" s="2">
        <f t="shared" si="16"/>
        <v>0.5</v>
      </c>
      <c r="S54" s="2">
        <f t="shared" si="17"/>
        <v>0.50111873512189697</v>
      </c>
      <c r="T54" s="2">
        <f t="shared" si="18"/>
        <v>0.5</v>
      </c>
      <c r="U54" s="2">
        <f t="shared" si="19"/>
        <v>0.50111873512189697</v>
      </c>
      <c r="V54" s="2">
        <f t="shared" si="20"/>
        <v>0.5</v>
      </c>
      <c r="W54" s="2">
        <f t="shared" si="21"/>
        <v>0.50111873512189697</v>
      </c>
      <c r="X54" s="2">
        <f t="shared" si="22"/>
        <v>0.5</v>
      </c>
      <c r="Y54" s="2">
        <f t="shared" si="23"/>
        <v>0.50111873512189697</v>
      </c>
      <c r="Z54" s="2">
        <f t="shared" si="24"/>
        <v>0.5</v>
      </c>
      <c r="AA54" s="2">
        <f t="shared" si="25"/>
        <v>0.50111873512189697</v>
      </c>
      <c r="AB54" s="2">
        <f t="shared" si="26"/>
        <v>0.5</v>
      </c>
      <c r="AC54" s="2">
        <f t="shared" si="27"/>
        <v>0.50111873512189697</v>
      </c>
      <c r="AD54" s="2">
        <f t="shared" si="28"/>
        <v>0.5</v>
      </c>
      <c r="AE54" s="2">
        <f t="shared" si="29"/>
        <v>0.50111873512189697</v>
      </c>
      <c r="AF54" s="2">
        <f t="shared" si="30"/>
        <v>0.5</v>
      </c>
      <c r="AG54" s="2">
        <f t="shared" si="31"/>
        <v>0.50111873512189697</v>
      </c>
      <c r="AH54" s="2">
        <f t="shared" si="32"/>
        <v>0.5</v>
      </c>
    </row>
    <row r="55" spans="1:34">
      <c r="A55" t="str">
        <f t="shared" si="35"/>
        <v>Lentils</v>
      </c>
      <c r="B55" t="str">
        <f t="shared" si="36"/>
        <v>SH1</v>
      </c>
      <c r="C55" s="2">
        <f>INDEX(TargetProduction!$B$47:$H$61,MATCH($B55,TargetProduction!$A$47:$A$61,0),MATCH($A55,TargetProduction!$B$46:$H$46,0))</f>
        <v>0.93067727381444498</v>
      </c>
      <c r="D55" s="2">
        <f>INDEX(TargetProduction!$I$47:$O$61,MATCH($B55,TargetProduction!$A$47:$A$61,0),MATCH($A55,TargetProduction!$I$46:$O$46,0))</f>
        <v>0.5</v>
      </c>
      <c r="E55" s="2">
        <f t="shared" si="3"/>
        <v>0.93067727381444498</v>
      </c>
      <c r="F55" s="2">
        <f t="shared" si="4"/>
        <v>0.5</v>
      </c>
      <c r="G55" s="2">
        <f t="shared" si="5"/>
        <v>0.93067727381444498</v>
      </c>
      <c r="H55" s="2">
        <f t="shared" si="6"/>
        <v>0.5</v>
      </c>
      <c r="I55" s="2">
        <f t="shared" si="7"/>
        <v>0.93067727381444498</v>
      </c>
      <c r="J55" s="2">
        <f t="shared" si="8"/>
        <v>0.5</v>
      </c>
      <c r="K55" s="2">
        <f t="shared" si="9"/>
        <v>0.93067727381444498</v>
      </c>
      <c r="L55" s="2">
        <f t="shared" si="10"/>
        <v>0.5</v>
      </c>
      <c r="M55" s="2">
        <f t="shared" si="11"/>
        <v>0.93067727381444498</v>
      </c>
      <c r="N55" s="2">
        <f t="shared" si="12"/>
        <v>0.5</v>
      </c>
      <c r="O55" s="2">
        <f t="shared" si="13"/>
        <v>0.93067727381444498</v>
      </c>
      <c r="P55" s="2">
        <f t="shared" si="14"/>
        <v>0.5</v>
      </c>
      <c r="Q55" s="2">
        <f t="shared" si="15"/>
        <v>0.93067727381444498</v>
      </c>
      <c r="R55" s="2">
        <f t="shared" si="16"/>
        <v>0.5</v>
      </c>
      <c r="S55" s="2">
        <f t="shared" si="17"/>
        <v>0.93067727381444498</v>
      </c>
      <c r="T55" s="2">
        <f t="shared" si="18"/>
        <v>0.5</v>
      </c>
      <c r="U55" s="2">
        <f t="shared" si="19"/>
        <v>0.93067727381444498</v>
      </c>
      <c r="V55" s="2">
        <f t="shared" si="20"/>
        <v>0.5</v>
      </c>
      <c r="W55" s="2">
        <f t="shared" si="21"/>
        <v>0.93067727381444498</v>
      </c>
      <c r="X55" s="2">
        <f t="shared" si="22"/>
        <v>0.5</v>
      </c>
      <c r="Y55" s="2">
        <f t="shared" si="23"/>
        <v>0.93067727381444498</v>
      </c>
      <c r="Z55" s="2">
        <f t="shared" si="24"/>
        <v>0.5</v>
      </c>
      <c r="AA55" s="2">
        <f t="shared" si="25"/>
        <v>0.93067727381444498</v>
      </c>
      <c r="AB55" s="2">
        <f t="shared" si="26"/>
        <v>0.5</v>
      </c>
      <c r="AC55" s="2">
        <f t="shared" si="27"/>
        <v>0.93067727381444498</v>
      </c>
      <c r="AD55" s="2">
        <f t="shared" si="28"/>
        <v>0.5</v>
      </c>
      <c r="AE55" s="2">
        <f t="shared" si="29"/>
        <v>0.93067727381444498</v>
      </c>
      <c r="AF55" s="2">
        <f t="shared" si="30"/>
        <v>0.5</v>
      </c>
      <c r="AG55" s="2">
        <f t="shared" si="31"/>
        <v>0.93067727381444498</v>
      </c>
      <c r="AH55" s="2">
        <f t="shared" si="32"/>
        <v>0.5</v>
      </c>
    </row>
    <row r="56" spans="1:34">
      <c r="A56" t="str">
        <f t="shared" si="35"/>
        <v>Lentils</v>
      </c>
      <c r="B56" t="str">
        <f t="shared" si="36"/>
        <v>SH3</v>
      </c>
      <c r="C56" s="2">
        <f>INDEX(TargetProduction!$B$47:$H$61,MATCH($B56,TargetProduction!$A$47:$A$61,0),MATCH($A56,TargetProduction!$B$46:$H$46,0))</f>
        <v>0.88122333823997701</v>
      </c>
      <c r="D56" s="2">
        <f>INDEX(TargetProduction!$I$47:$O$61,MATCH($B56,TargetProduction!$A$47:$A$61,0),MATCH($A56,TargetProduction!$I$46:$O$46,0))</f>
        <v>0.5</v>
      </c>
      <c r="E56" s="2">
        <f t="shared" si="3"/>
        <v>0.88122333823997701</v>
      </c>
      <c r="F56" s="2">
        <f t="shared" si="4"/>
        <v>0.5</v>
      </c>
      <c r="G56" s="2">
        <f t="shared" si="5"/>
        <v>0.88122333823997701</v>
      </c>
      <c r="H56" s="2">
        <f t="shared" si="6"/>
        <v>0.5</v>
      </c>
      <c r="I56" s="2">
        <f t="shared" si="7"/>
        <v>0.88122333823997701</v>
      </c>
      <c r="J56" s="2">
        <f t="shared" si="8"/>
        <v>0.5</v>
      </c>
      <c r="K56" s="2">
        <f t="shared" si="9"/>
        <v>0.88122333823997701</v>
      </c>
      <c r="L56" s="2">
        <f t="shared" si="10"/>
        <v>0.5</v>
      </c>
      <c r="M56" s="2">
        <f t="shared" si="11"/>
        <v>0.88122333823997701</v>
      </c>
      <c r="N56" s="2">
        <f t="shared" si="12"/>
        <v>0.5</v>
      </c>
      <c r="O56" s="2">
        <f t="shared" si="13"/>
        <v>0.88122333823997701</v>
      </c>
      <c r="P56" s="2">
        <f t="shared" si="14"/>
        <v>0.5</v>
      </c>
      <c r="Q56" s="2">
        <f t="shared" si="15"/>
        <v>0.88122333823997701</v>
      </c>
      <c r="R56" s="2">
        <f t="shared" si="16"/>
        <v>0.5</v>
      </c>
      <c r="S56" s="2">
        <f t="shared" si="17"/>
        <v>0.88122333823997701</v>
      </c>
      <c r="T56" s="2">
        <f t="shared" si="18"/>
        <v>0.5</v>
      </c>
      <c r="U56" s="2">
        <f t="shared" si="19"/>
        <v>0.88122333823997701</v>
      </c>
      <c r="V56" s="2">
        <f t="shared" si="20"/>
        <v>0.5</v>
      </c>
      <c r="W56" s="2">
        <f t="shared" si="21"/>
        <v>0.88122333823997701</v>
      </c>
      <c r="X56" s="2">
        <f t="shared" si="22"/>
        <v>0.5</v>
      </c>
      <c r="Y56" s="2">
        <f t="shared" si="23"/>
        <v>0.88122333823997701</v>
      </c>
      <c r="Z56" s="2">
        <f t="shared" si="24"/>
        <v>0.5</v>
      </c>
      <c r="AA56" s="2">
        <f t="shared" si="25"/>
        <v>0.88122333823997701</v>
      </c>
      <c r="AB56" s="2">
        <f t="shared" si="26"/>
        <v>0.5</v>
      </c>
      <c r="AC56" s="2">
        <f t="shared" si="27"/>
        <v>0.88122333823997701</v>
      </c>
      <c r="AD56" s="2">
        <f t="shared" si="28"/>
        <v>0.5</v>
      </c>
      <c r="AE56" s="2">
        <f t="shared" si="29"/>
        <v>0.88122333823997701</v>
      </c>
      <c r="AF56" s="2">
        <f t="shared" si="30"/>
        <v>0.5</v>
      </c>
      <c r="AG56" s="2">
        <f t="shared" si="31"/>
        <v>0.88122333823997701</v>
      </c>
      <c r="AH56" s="2">
        <f t="shared" si="32"/>
        <v>0.5</v>
      </c>
    </row>
    <row r="57" spans="1:34">
      <c r="A57" t="str">
        <f t="shared" si="35"/>
        <v>Lentils</v>
      </c>
      <c r="B57" t="str">
        <f t="shared" si="36"/>
        <v>SM2</v>
      </c>
      <c r="C57" s="2">
        <f>INDEX(TargetProduction!$B$47:$H$61,MATCH($B57,TargetProduction!$A$47:$A$61,0),MATCH($A57,TargetProduction!$B$46:$H$46,0))</f>
        <v>0.25554986401883001</v>
      </c>
      <c r="D57" s="2">
        <f>INDEX(TargetProduction!$I$47:$O$61,MATCH($B57,TargetProduction!$A$47:$A$61,0),MATCH($A57,TargetProduction!$I$46:$O$46,0))</f>
        <v>0.5</v>
      </c>
      <c r="E57" s="2">
        <f t="shared" si="3"/>
        <v>0.25554986401883001</v>
      </c>
      <c r="F57" s="2">
        <f t="shared" si="4"/>
        <v>0.5</v>
      </c>
      <c r="G57" s="2">
        <f t="shared" si="5"/>
        <v>0.25554986401883001</v>
      </c>
      <c r="H57" s="2">
        <f t="shared" si="6"/>
        <v>0.5</v>
      </c>
      <c r="I57" s="2">
        <f t="shared" si="7"/>
        <v>0.25554986401883001</v>
      </c>
      <c r="J57" s="2">
        <f t="shared" si="8"/>
        <v>0.5</v>
      </c>
      <c r="K57" s="2">
        <f t="shared" si="9"/>
        <v>0.25554986401883001</v>
      </c>
      <c r="L57" s="2">
        <f t="shared" si="10"/>
        <v>0.5</v>
      </c>
      <c r="M57" s="2">
        <f t="shared" si="11"/>
        <v>0.25554986401883001</v>
      </c>
      <c r="N57" s="2">
        <f t="shared" si="12"/>
        <v>0.5</v>
      </c>
      <c r="O57" s="2">
        <f t="shared" si="13"/>
        <v>0.25554986401883001</v>
      </c>
      <c r="P57" s="2">
        <f t="shared" si="14"/>
        <v>0.5</v>
      </c>
      <c r="Q57" s="2">
        <f t="shared" si="15"/>
        <v>0.25554986401883001</v>
      </c>
      <c r="R57" s="2">
        <f t="shared" si="16"/>
        <v>0.5</v>
      </c>
      <c r="S57" s="2">
        <f t="shared" si="17"/>
        <v>0.25554986401883001</v>
      </c>
      <c r="T57" s="2">
        <f t="shared" si="18"/>
        <v>0.5</v>
      </c>
      <c r="U57" s="2">
        <f t="shared" si="19"/>
        <v>0.25554986401883001</v>
      </c>
      <c r="V57" s="2">
        <f t="shared" si="20"/>
        <v>0.5</v>
      </c>
      <c r="W57" s="2">
        <f t="shared" si="21"/>
        <v>0.25554986401883001</v>
      </c>
      <c r="X57" s="2">
        <f t="shared" si="22"/>
        <v>0.5</v>
      </c>
      <c r="Y57" s="2">
        <f t="shared" si="23"/>
        <v>0.25554986401883001</v>
      </c>
      <c r="Z57" s="2">
        <f t="shared" si="24"/>
        <v>0.5</v>
      </c>
      <c r="AA57" s="2">
        <f t="shared" si="25"/>
        <v>0.25554986401883001</v>
      </c>
      <c r="AB57" s="2">
        <f t="shared" si="26"/>
        <v>0.5</v>
      </c>
      <c r="AC57" s="2">
        <f t="shared" si="27"/>
        <v>0.25554986401883001</v>
      </c>
      <c r="AD57" s="2">
        <f t="shared" si="28"/>
        <v>0.5</v>
      </c>
      <c r="AE57" s="2">
        <f t="shared" si="29"/>
        <v>0.25554986401883001</v>
      </c>
      <c r="AF57" s="2">
        <f t="shared" si="30"/>
        <v>0.5</v>
      </c>
      <c r="AG57" s="2">
        <f t="shared" si="31"/>
        <v>0.25554986401883001</v>
      </c>
      <c r="AH57" s="2">
        <f t="shared" si="32"/>
        <v>0.5</v>
      </c>
    </row>
    <row r="58" spans="1:34">
      <c r="A58" t="str">
        <f t="shared" si="35"/>
        <v>Lentils</v>
      </c>
      <c r="B58" t="str">
        <f t="shared" si="36"/>
        <v>SM2N</v>
      </c>
      <c r="C58" s="2">
        <f>INDEX(TargetProduction!$B$47:$H$61,MATCH($B58,TargetProduction!$A$47:$A$61,0),MATCH($A58,TargetProduction!$B$46:$H$46,0))</f>
        <v>0.28034260304213698</v>
      </c>
      <c r="D58" s="2">
        <f>INDEX(TargetProduction!$I$47:$O$61,MATCH($B58,TargetProduction!$A$47:$A$61,0),MATCH($A58,TargetProduction!$I$46:$O$46,0))</f>
        <v>0.5</v>
      </c>
      <c r="E58" s="2">
        <f t="shared" si="3"/>
        <v>0.28034260304213698</v>
      </c>
      <c r="F58" s="2">
        <f t="shared" si="4"/>
        <v>0.5</v>
      </c>
      <c r="G58" s="2">
        <f t="shared" si="5"/>
        <v>0.28034260304213698</v>
      </c>
      <c r="H58" s="2">
        <f t="shared" si="6"/>
        <v>0.5</v>
      </c>
      <c r="I58" s="2">
        <f t="shared" si="7"/>
        <v>0.28034260304213698</v>
      </c>
      <c r="J58" s="2">
        <f t="shared" si="8"/>
        <v>0.5</v>
      </c>
      <c r="K58" s="2">
        <f t="shared" si="9"/>
        <v>0.28034260304213698</v>
      </c>
      <c r="L58" s="2">
        <f t="shared" si="10"/>
        <v>0.5</v>
      </c>
      <c r="M58" s="2">
        <f t="shared" si="11"/>
        <v>0.28034260304213698</v>
      </c>
      <c r="N58" s="2">
        <f t="shared" si="12"/>
        <v>0.5</v>
      </c>
      <c r="O58" s="2">
        <f t="shared" si="13"/>
        <v>0.28034260304213698</v>
      </c>
      <c r="P58" s="2">
        <f t="shared" si="14"/>
        <v>0.5</v>
      </c>
      <c r="Q58" s="2">
        <f t="shared" si="15"/>
        <v>0.28034260304213698</v>
      </c>
      <c r="R58" s="2">
        <f t="shared" si="16"/>
        <v>0.5</v>
      </c>
      <c r="S58" s="2">
        <f t="shared" si="17"/>
        <v>0.28034260304213698</v>
      </c>
      <c r="T58" s="2">
        <f t="shared" si="18"/>
        <v>0.5</v>
      </c>
      <c r="U58" s="2">
        <f t="shared" si="19"/>
        <v>0.28034260304213698</v>
      </c>
      <c r="V58" s="2">
        <f t="shared" si="20"/>
        <v>0.5</v>
      </c>
      <c r="W58" s="2">
        <f t="shared" si="21"/>
        <v>0.28034260304213698</v>
      </c>
      <c r="X58" s="2">
        <f t="shared" si="22"/>
        <v>0.5</v>
      </c>
      <c r="Y58" s="2">
        <f t="shared" si="23"/>
        <v>0.28034260304213698</v>
      </c>
      <c r="Z58" s="2">
        <f t="shared" si="24"/>
        <v>0.5</v>
      </c>
      <c r="AA58" s="2">
        <f t="shared" si="25"/>
        <v>0.28034260304213698</v>
      </c>
      <c r="AB58" s="2">
        <f t="shared" si="26"/>
        <v>0.5</v>
      </c>
      <c r="AC58" s="2">
        <f t="shared" si="27"/>
        <v>0.28034260304213698</v>
      </c>
      <c r="AD58" s="2">
        <f t="shared" si="28"/>
        <v>0.5</v>
      </c>
      <c r="AE58" s="2">
        <f t="shared" si="29"/>
        <v>0.28034260304213698</v>
      </c>
      <c r="AF58" s="2">
        <f t="shared" si="30"/>
        <v>0.5</v>
      </c>
      <c r="AG58" s="2">
        <f t="shared" si="31"/>
        <v>0.28034260304213698</v>
      </c>
      <c r="AH58" s="2">
        <f t="shared" si="32"/>
        <v>0.5</v>
      </c>
    </row>
    <row r="59" spans="1:34">
      <c r="A59" t="str">
        <f t="shared" si="35"/>
        <v>Wheat</v>
      </c>
      <c r="B59" t="str">
        <f t="shared" si="36"/>
        <v>A1</v>
      </c>
      <c r="C59" s="2">
        <f>INDEX(TargetProduction!$B$47:$H$61,MATCH($B59,TargetProduction!$A$47:$A$61,0),MATCH($A59,TargetProduction!$B$46:$H$46,0))</f>
        <v>2.92756747718463E-2</v>
      </c>
      <c r="D59" s="2">
        <f>INDEX(TargetProduction!$I$47:$O$61,MATCH($B59,TargetProduction!$A$47:$A$61,0),MATCH($A59,TargetProduction!$I$46:$O$46,0))</f>
        <v>0.5</v>
      </c>
      <c r="E59" s="2">
        <f t="shared" si="3"/>
        <v>2.92756747718463E-2</v>
      </c>
      <c r="F59" s="2">
        <f t="shared" si="4"/>
        <v>0.5</v>
      </c>
      <c r="G59" s="2">
        <f t="shared" si="5"/>
        <v>2.92756747718463E-2</v>
      </c>
      <c r="H59" s="2">
        <f t="shared" si="6"/>
        <v>0.5</v>
      </c>
      <c r="I59" s="2">
        <f t="shared" si="7"/>
        <v>2.92756747718463E-2</v>
      </c>
      <c r="J59" s="2">
        <f t="shared" si="8"/>
        <v>0.5</v>
      </c>
      <c r="K59" s="2">
        <f t="shared" si="9"/>
        <v>2.92756747718463E-2</v>
      </c>
      <c r="L59" s="2">
        <f t="shared" si="10"/>
        <v>0.5</v>
      </c>
      <c r="M59" s="2">
        <f t="shared" si="11"/>
        <v>2.92756747718463E-2</v>
      </c>
      <c r="N59" s="2">
        <f t="shared" si="12"/>
        <v>0.5</v>
      </c>
      <c r="O59" s="2">
        <f t="shared" si="13"/>
        <v>2.92756747718463E-2</v>
      </c>
      <c r="P59" s="2">
        <f t="shared" si="14"/>
        <v>0.5</v>
      </c>
      <c r="Q59" s="2">
        <f t="shared" si="15"/>
        <v>2.92756747718463E-2</v>
      </c>
      <c r="R59" s="2">
        <f t="shared" si="16"/>
        <v>0.5</v>
      </c>
      <c r="S59" s="2">
        <f t="shared" si="17"/>
        <v>2.92756747718463E-2</v>
      </c>
      <c r="T59" s="2">
        <f t="shared" si="18"/>
        <v>0.5</v>
      </c>
      <c r="U59" s="2">
        <f t="shared" si="19"/>
        <v>2.92756747718463E-2</v>
      </c>
      <c r="V59" s="2">
        <f t="shared" si="20"/>
        <v>0.5</v>
      </c>
      <c r="W59" s="2">
        <f t="shared" si="21"/>
        <v>2.92756747718463E-2</v>
      </c>
      <c r="X59" s="2">
        <f t="shared" si="22"/>
        <v>0.5</v>
      </c>
      <c r="Y59" s="2">
        <f t="shared" si="23"/>
        <v>2.92756747718463E-2</v>
      </c>
      <c r="Z59" s="2">
        <f t="shared" si="24"/>
        <v>0.5</v>
      </c>
      <c r="AA59" s="2">
        <f t="shared" si="25"/>
        <v>2.92756747718463E-2</v>
      </c>
      <c r="AB59" s="2">
        <f t="shared" si="26"/>
        <v>0.5</v>
      </c>
      <c r="AC59" s="2">
        <f t="shared" si="27"/>
        <v>2.92756747718463E-2</v>
      </c>
      <c r="AD59" s="2">
        <f t="shared" si="28"/>
        <v>0.5</v>
      </c>
      <c r="AE59" s="2">
        <f t="shared" si="29"/>
        <v>2.92756747718463E-2</v>
      </c>
      <c r="AF59" s="2">
        <f t="shared" si="30"/>
        <v>0.5</v>
      </c>
      <c r="AG59" s="2">
        <f t="shared" si="31"/>
        <v>2.92756747718463E-2</v>
      </c>
      <c r="AH59" s="2">
        <f t="shared" si="32"/>
        <v>0.5</v>
      </c>
    </row>
    <row r="60" spans="1:34">
      <c r="A60" t="str">
        <f t="shared" si="35"/>
        <v>Wheat</v>
      </c>
      <c r="B60" t="str">
        <f t="shared" si="36"/>
        <v>H2</v>
      </c>
      <c r="C60" s="2">
        <f>INDEX(TargetProduction!$B$47:$H$61,MATCH($B60,TargetProduction!$A$47:$A$61,0),MATCH($A60,TargetProduction!$B$46:$H$46,0))</f>
        <v>0.89356697062900603</v>
      </c>
      <c r="D60" s="2">
        <f>INDEX(TargetProduction!$I$47:$O$61,MATCH($B60,TargetProduction!$A$47:$A$61,0),MATCH($A60,TargetProduction!$I$46:$O$46,0))</f>
        <v>0.5</v>
      </c>
      <c r="E60" s="2">
        <f t="shared" si="3"/>
        <v>0.89356697062900603</v>
      </c>
      <c r="F60" s="2">
        <f t="shared" si="4"/>
        <v>0.5</v>
      </c>
      <c r="G60" s="2">
        <f t="shared" si="5"/>
        <v>0.89356697062900603</v>
      </c>
      <c r="H60" s="2">
        <f t="shared" si="6"/>
        <v>0.5</v>
      </c>
      <c r="I60" s="2">
        <f t="shared" si="7"/>
        <v>0.89356697062900603</v>
      </c>
      <c r="J60" s="2">
        <f t="shared" si="8"/>
        <v>0.5</v>
      </c>
      <c r="K60" s="2">
        <f t="shared" si="9"/>
        <v>0.89356697062900603</v>
      </c>
      <c r="L60" s="2">
        <f t="shared" si="10"/>
        <v>0.5</v>
      </c>
      <c r="M60" s="2">
        <f t="shared" si="11"/>
        <v>0.89356697062900603</v>
      </c>
      <c r="N60" s="2">
        <f t="shared" si="12"/>
        <v>0.5</v>
      </c>
      <c r="O60" s="2">
        <f t="shared" si="13"/>
        <v>0.89356697062900603</v>
      </c>
      <c r="P60" s="2">
        <f t="shared" si="14"/>
        <v>0.5</v>
      </c>
      <c r="Q60" s="2">
        <f t="shared" si="15"/>
        <v>0.89356697062900603</v>
      </c>
      <c r="R60" s="2">
        <f t="shared" si="16"/>
        <v>0.5</v>
      </c>
      <c r="S60" s="2">
        <f t="shared" si="17"/>
        <v>0.89356697062900603</v>
      </c>
      <c r="T60" s="2">
        <f t="shared" si="18"/>
        <v>0.5</v>
      </c>
      <c r="U60" s="2">
        <f t="shared" si="19"/>
        <v>0.89356697062900603</v>
      </c>
      <c r="V60" s="2">
        <f t="shared" si="20"/>
        <v>0.5</v>
      </c>
      <c r="W60" s="2">
        <f t="shared" si="21"/>
        <v>0.89356697062900603</v>
      </c>
      <c r="X60" s="2">
        <f t="shared" si="22"/>
        <v>0.5</v>
      </c>
      <c r="Y60" s="2">
        <f t="shared" si="23"/>
        <v>0.89356697062900603</v>
      </c>
      <c r="Z60" s="2">
        <f t="shared" si="24"/>
        <v>0.5</v>
      </c>
      <c r="AA60" s="2">
        <f t="shared" si="25"/>
        <v>0.89356697062900603</v>
      </c>
      <c r="AB60" s="2">
        <f t="shared" si="26"/>
        <v>0.5</v>
      </c>
      <c r="AC60" s="2">
        <f t="shared" si="27"/>
        <v>0.89356697062900603</v>
      </c>
      <c r="AD60" s="2">
        <f t="shared" si="28"/>
        <v>0.5</v>
      </c>
      <c r="AE60" s="2">
        <f t="shared" si="29"/>
        <v>0.89356697062900603</v>
      </c>
      <c r="AF60" s="2">
        <f t="shared" si="30"/>
        <v>0.5</v>
      </c>
      <c r="AG60" s="2">
        <f t="shared" si="31"/>
        <v>0.89356697062900603</v>
      </c>
      <c r="AH60" s="2">
        <f t="shared" si="32"/>
        <v>0.5</v>
      </c>
    </row>
    <row r="61" spans="1:34">
      <c r="A61" t="str">
        <f t="shared" si="35"/>
        <v>Wheat</v>
      </c>
      <c r="B61" t="str">
        <f t="shared" si="36"/>
        <v>H3</v>
      </c>
      <c r="C61" s="2">
        <f>INDEX(TargetProduction!$B$47:$H$61,MATCH($B61,TargetProduction!$A$47:$A$61,0),MATCH($A61,TargetProduction!$B$46:$H$46,0))</f>
        <v>0.68988988026231401</v>
      </c>
      <c r="D61" s="2">
        <f>INDEX(TargetProduction!$I$47:$O$61,MATCH($B61,TargetProduction!$A$47:$A$61,0),MATCH($A61,TargetProduction!$I$46:$O$46,0))</f>
        <v>0.5</v>
      </c>
      <c r="E61" s="2">
        <f t="shared" si="3"/>
        <v>0.68988988026231401</v>
      </c>
      <c r="F61" s="2">
        <f t="shared" si="4"/>
        <v>0.5</v>
      </c>
      <c r="G61" s="2">
        <f t="shared" si="5"/>
        <v>0.68988988026231401</v>
      </c>
      <c r="H61" s="2">
        <f t="shared" si="6"/>
        <v>0.5</v>
      </c>
      <c r="I61" s="2">
        <f t="shared" si="7"/>
        <v>0.68988988026231401</v>
      </c>
      <c r="J61" s="2">
        <f t="shared" si="8"/>
        <v>0.5</v>
      </c>
      <c r="K61" s="2">
        <f t="shared" si="9"/>
        <v>0.68988988026231401</v>
      </c>
      <c r="L61" s="2">
        <f t="shared" si="10"/>
        <v>0.5</v>
      </c>
      <c r="M61" s="2">
        <f t="shared" si="11"/>
        <v>0.68988988026231401</v>
      </c>
      <c r="N61" s="2">
        <f t="shared" si="12"/>
        <v>0.5</v>
      </c>
      <c r="O61" s="2">
        <f t="shared" si="13"/>
        <v>0.68988988026231401</v>
      </c>
      <c r="P61" s="2">
        <f t="shared" si="14"/>
        <v>0.5</v>
      </c>
      <c r="Q61" s="2">
        <f t="shared" si="15"/>
        <v>0.68988988026231401</v>
      </c>
      <c r="R61" s="2">
        <f t="shared" si="16"/>
        <v>0.5</v>
      </c>
      <c r="S61" s="2">
        <f t="shared" si="17"/>
        <v>0.68988988026231401</v>
      </c>
      <c r="T61" s="2">
        <f t="shared" si="18"/>
        <v>0.5</v>
      </c>
      <c r="U61" s="2">
        <f t="shared" si="19"/>
        <v>0.68988988026231401</v>
      </c>
      <c r="V61" s="2">
        <f t="shared" si="20"/>
        <v>0.5</v>
      </c>
      <c r="W61" s="2">
        <f t="shared" si="21"/>
        <v>0.68988988026231401</v>
      </c>
      <c r="X61" s="2">
        <f t="shared" si="22"/>
        <v>0.5</v>
      </c>
      <c r="Y61" s="2">
        <f t="shared" si="23"/>
        <v>0.68988988026231401</v>
      </c>
      <c r="Z61" s="2">
        <f t="shared" si="24"/>
        <v>0.5</v>
      </c>
      <c r="AA61" s="2">
        <f t="shared" si="25"/>
        <v>0.68988988026231401</v>
      </c>
      <c r="AB61" s="2">
        <f t="shared" si="26"/>
        <v>0.5</v>
      </c>
      <c r="AC61" s="2">
        <f t="shared" si="27"/>
        <v>0.68988988026231401</v>
      </c>
      <c r="AD61" s="2">
        <f t="shared" si="28"/>
        <v>0.5</v>
      </c>
      <c r="AE61" s="2">
        <f t="shared" si="29"/>
        <v>0.68988988026231401</v>
      </c>
      <c r="AF61" s="2">
        <f t="shared" si="30"/>
        <v>0.5</v>
      </c>
      <c r="AG61" s="2">
        <f t="shared" si="31"/>
        <v>0.68988988026231401</v>
      </c>
      <c r="AH61" s="2">
        <f t="shared" si="32"/>
        <v>0.5</v>
      </c>
    </row>
    <row r="62" spans="1:34">
      <c r="A62" t="str">
        <f t="shared" si="35"/>
        <v>Wheat</v>
      </c>
      <c r="B62" t="str">
        <f t="shared" si="36"/>
        <v>H4</v>
      </c>
      <c r="C62" s="2">
        <f>INDEX(TargetProduction!$B$47:$H$61,MATCH($B62,TargetProduction!$A$47:$A$61,0),MATCH($A62,TargetProduction!$B$46:$H$46,0))</f>
        <v>0.52088711298005597</v>
      </c>
      <c r="D62" s="2">
        <f>INDEX(TargetProduction!$I$47:$O$61,MATCH($B62,TargetProduction!$A$47:$A$61,0),MATCH($A62,TargetProduction!$I$46:$O$46,0))</f>
        <v>0.5</v>
      </c>
      <c r="E62" s="2">
        <f t="shared" si="3"/>
        <v>0.52088711298005597</v>
      </c>
      <c r="F62" s="2">
        <f t="shared" si="4"/>
        <v>0.5</v>
      </c>
      <c r="G62" s="2">
        <f t="shared" si="5"/>
        <v>0.52088711298005597</v>
      </c>
      <c r="H62" s="2">
        <f t="shared" si="6"/>
        <v>0.5</v>
      </c>
      <c r="I62" s="2">
        <f t="shared" si="7"/>
        <v>0.52088711298005597</v>
      </c>
      <c r="J62" s="2">
        <f t="shared" si="8"/>
        <v>0.5</v>
      </c>
      <c r="K62" s="2">
        <f t="shared" si="9"/>
        <v>0.52088711298005597</v>
      </c>
      <c r="L62" s="2">
        <f t="shared" si="10"/>
        <v>0.5</v>
      </c>
      <c r="M62" s="2">
        <f t="shared" si="11"/>
        <v>0.52088711298005597</v>
      </c>
      <c r="N62" s="2">
        <f t="shared" si="12"/>
        <v>0.5</v>
      </c>
      <c r="O62" s="2">
        <f t="shared" si="13"/>
        <v>0.52088711298005597</v>
      </c>
      <c r="P62" s="2">
        <f t="shared" si="14"/>
        <v>0.5</v>
      </c>
      <c r="Q62" s="2">
        <f t="shared" si="15"/>
        <v>0.52088711298005597</v>
      </c>
      <c r="R62" s="2">
        <f t="shared" si="16"/>
        <v>0.5</v>
      </c>
      <c r="S62" s="2">
        <f t="shared" si="17"/>
        <v>0.52088711298005597</v>
      </c>
      <c r="T62" s="2">
        <f t="shared" si="18"/>
        <v>0.5</v>
      </c>
      <c r="U62" s="2">
        <f t="shared" si="19"/>
        <v>0.52088711298005597</v>
      </c>
      <c r="V62" s="2">
        <f t="shared" si="20"/>
        <v>0.5</v>
      </c>
      <c r="W62" s="2">
        <f t="shared" si="21"/>
        <v>0.52088711298005597</v>
      </c>
      <c r="X62" s="2">
        <f t="shared" si="22"/>
        <v>0.5</v>
      </c>
      <c r="Y62" s="2">
        <f t="shared" si="23"/>
        <v>0.52088711298005597</v>
      </c>
      <c r="Z62" s="2">
        <f t="shared" si="24"/>
        <v>0.5</v>
      </c>
      <c r="AA62" s="2">
        <f t="shared" si="25"/>
        <v>0.52088711298005597</v>
      </c>
      <c r="AB62" s="2">
        <f t="shared" si="26"/>
        <v>0.5</v>
      </c>
      <c r="AC62" s="2">
        <f t="shared" si="27"/>
        <v>0.52088711298005597</v>
      </c>
      <c r="AD62" s="2">
        <f t="shared" si="28"/>
        <v>0.5</v>
      </c>
      <c r="AE62" s="2">
        <f t="shared" si="29"/>
        <v>0.52088711298005597</v>
      </c>
      <c r="AF62" s="2">
        <f t="shared" si="30"/>
        <v>0.5</v>
      </c>
      <c r="AG62" s="2">
        <f t="shared" si="31"/>
        <v>0.52088711298005597</v>
      </c>
      <c r="AH62" s="2">
        <f t="shared" si="32"/>
        <v>0.5</v>
      </c>
    </row>
    <row r="63" spans="1:34">
      <c r="A63" t="str">
        <f t="shared" si="35"/>
        <v>Wheat</v>
      </c>
      <c r="B63" t="str">
        <f t="shared" si="36"/>
        <v>H5</v>
      </c>
      <c r="C63" s="2">
        <f>INDEX(TargetProduction!$B$47:$H$61,MATCH($B63,TargetProduction!$A$47:$A$61,0),MATCH($A63,TargetProduction!$B$46:$H$46,0))</f>
        <v>0.39366198525608798</v>
      </c>
      <c r="D63" s="2">
        <f>INDEX(TargetProduction!$I$47:$O$61,MATCH($B63,TargetProduction!$A$47:$A$61,0),MATCH($A63,TargetProduction!$I$46:$O$46,0))</f>
        <v>0.5</v>
      </c>
      <c r="E63" s="2">
        <f t="shared" si="3"/>
        <v>0.39366198525608798</v>
      </c>
      <c r="F63" s="2">
        <f t="shared" si="4"/>
        <v>0.5</v>
      </c>
      <c r="G63" s="2">
        <f t="shared" si="5"/>
        <v>0.39366198525608798</v>
      </c>
      <c r="H63" s="2">
        <f t="shared" si="6"/>
        <v>0.5</v>
      </c>
      <c r="I63" s="2">
        <f t="shared" si="7"/>
        <v>0.39366198525608798</v>
      </c>
      <c r="J63" s="2">
        <f t="shared" si="8"/>
        <v>0.5</v>
      </c>
      <c r="K63" s="2">
        <f t="shared" si="9"/>
        <v>0.39366198525608798</v>
      </c>
      <c r="L63" s="2">
        <f t="shared" si="10"/>
        <v>0.5</v>
      </c>
      <c r="M63" s="2">
        <f t="shared" si="11"/>
        <v>0.39366198525608798</v>
      </c>
      <c r="N63" s="2">
        <f t="shared" si="12"/>
        <v>0.5</v>
      </c>
      <c r="O63" s="2">
        <f t="shared" si="13"/>
        <v>0.39366198525608798</v>
      </c>
      <c r="P63" s="2">
        <f t="shared" si="14"/>
        <v>0.5</v>
      </c>
      <c r="Q63" s="2">
        <f t="shared" si="15"/>
        <v>0.39366198525608798</v>
      </c>
      <c r="R63" s="2">
        <f t="shared" si="16"/>
        <v>0.5</v>
      </c>
      <c r="S63" s="2">
        <f t="shared" si="17"/>
        <v>0.39366198525608798</v>
      </c>
      <c r="T63" s="2">
        <f t="shared" si="18"/>
        <v>0.5</v>
      </c>
      <c r="U63" s="2">
        <f t="shared" si="19"/>
        <v>0.39366198525608798</v>
      </c>
      <c r="V63" s="2">
        <f t="shared" si="20"/>
        <v>0.5</v>
      </c>
      <c r="W63" s="2">
        <f t="shared" si="21"/>
        <v>0.39366198525608798</v>
      </c>
      <c r="X63" s="2">
        <f t="shared" si="22"/>
        <v>0.5</v>
      </c>
      <c r="Y63" s="2">
        <f t="shared" si="23"/>
        <v>0.39366198525608798</v>
      </c>
      <c r="Z63" s="2">
        <f t="shared" si="24"/>
        <v>0.5</v>
      </c>
      <c r="AA63" s="2">
        <f t="shared" si="25"/>
        <v>0.39366198525608798</v>
      </c>
      <c r="AB63" s="2">
        <f t="shared" si="26"/>
        <v>0.5</v>
      </c>
      <c r="AC63" s="2">
        <f t="shared" si="27"/>
        <v>0.39366198525608798</v>
      </c>
      <c r="AD63" s="2">
        <f t="shared" si="28"/>
        <v>0.5</v>
      </c>
      <c r="AE63" s="2">
        <f t="shared" si="29"/>
        <v>0.39366198525608798</v>
      </c>
      <c r="AF63" s="2">
        <f t="shared" si="30"/>
        <v>0.5</v>
      </c>
      <c r="AG63" s="2">
        <f t="shared" si="31"/>
        <v>0.39366198525608798</v>
      </c>
      <c r="AH63" s="2">
        <f t="shared" si="32"/>
        <v>0.5</v>
      </c>
    </row>
    <row r="64" spans="1:34">
      <c r="A64" t="str">
        <f t="shared" si="35"/>
        <v>Wheat</v>
      </c>
      <c r="B64" t="str">
        <f t="shared" si="36"/>
        <v>M1</v>
      </c>
      <c r="C64" s="2">
        <f>INDEX(TargetProduction!$B$47:$H$61,MATCH($B64,TargetProduction!$A$47:$A$61,0),MATCH($A64,TargetProduction!$B$46:$H$46,0))</f>
        <v>0.44284670120841901</v>
      </c>
      <c r="D64" s="2">
        <f>INDEX(TargetProduction!$I$47:$O$61,MATCH($B64,TargetProduction!$A$47:$A$61,0),MATCH($A64,TargetProduction!$I$46:$O$46,0))</f>
        <v>0.5</v>
      </c>
      <c r="E64" s="2">
        <f t="shared" ref="E64" si="37">C64</f>
        <v>0.44284670120841901</v>
      </c>
      <c r="F64" s="2">
        <f t="shared" ref="F64" si="38">D64</f>
        <v>0.5</v>
      </c>
      <c r="G64" s="2">
        <f t="shared" ref="G64" si="39">E64</f>
        <v>0.44284670120841901</v>
      </c>
      <c r="H64" s="2">
        <f t="shared" ref="H64" si="40">F64</f>
        <v>0.5</v>
      </c>
      <c r="I64" s="2">
        <f t="shared" ref="I64" si="41">G64</f>
        <v>0.44284670120841901</v>
      </c>
      <c r="J64" s="2">
        <f t="shared" ref="J64" si="42">H64</f>
        <v>0.5</v>
      </c>
      <c r="K64" s="2">
        <f t="shared" ref="K64" si="43">I64</f>
        <v>0.44284670120841901</v>
      </c>
      <c r="L64" s="2">
        <f t="shared" ref="L64" si="44">J64</f>
        <v>0.5</v>
      </c>
      <c r="M64" s="2">
        <f t="shared" ref="M64" si="45">K64</f>
        <v>0.44284670120841901</v>
      </c>
      <c r="N64" s="2">
        <f t="shared" ref="N64" si="46">L64</f>
        <v>0.5</v>
      </c>
      <c r="O64" s="2">
        <f t="shared" ref="O64" si="47">M64</f>
        <v>0.44284670120841901</v>
      </c>
      <c r="P64" s="2">
        <f t="shared" ref="P64" si="48">N64</f>
        <v>0.5</v>
      </c>
      <c r="Q64" s="2">
        <f t="shared" ref="Q64" si="49">O64</f>
        <v>0.44284670120841901</v>
      </c>
      <c r="R64" s="2">
        <f t="shared" ref="R64" si="50">P64</f>
        <v>0.5</v>
      </c>
      <c r="S64" s="2">
        <f t="shared" ref="S64" si="51">Q64</f>
        <v>0.44284670120841901</v>
      </c>
      <c r="T64" s="2">
        <f t="shared" ref="T64" si="52">R64</f>
        <v>0.5</v>
      </c>
      <c r="U64" s="2">
        <f t="shared" ref="U64" si="53">S64</f>
        <v>0.44284670120841901</v>
      </c>
      <c r="V64" s="2">
        <f t="shared" ref="V64" si="54">T64</f>
        <v>0.5</v>
      </c>
      <c r="W64" s="2">
        <f t="shared" ref="W64" si="55">U64</f>
        <v>0.44284670120841901</v>
      </c>
      <c r="X64" s="2">
        <f t="shared" ref="X64" si="56">V64</f>
        <v>0.5</v>
      </c>
      <c r="Y64" s="2">
        <f t="shared" ref="Y64" si="57">W64</f>
        <v>0.44284670120841901</v>
      </c>
      <c r="Z64" s="2">
        <f t="shared" ref="Z64" si="58">X64</f>
        <v>0.5</v>
      </c>
      <c r="AA64" s="2">
        <f t="shared" ref="AA64" si="59">Y64</f>
        <v>0.44284670120841901</v>
      </c>
      <c r="AB64" s="2">
        <f t="shared" ref="AB64" si="60">Z64</f>
        <v>0.5</v>
      </c>
      <c r="AC64" s="2">
        <f t="shared" ref="AC64" si="61">AA64</f>
        <v>0.44284670120841901</v>
      </c>
      <c r="AD64" s="2">
        <f t="shared" ref="AD64" si="62">AB64</f>
        <v>0.5</v>
      </c>
      <c r="AE64" s="2">
        <f t="shared" ref="AE64" si="63">AC64</f>
        <v>0.44284670120841901</v>
      </c>
      <c r="AF64" s="2">
        <f t="shared" ref="AF64" si="64">AD64</f>
        <v>0.5</v>
      </c>
      <c r="AG64" s="2">
        <f t="shared" ref="AG64" si="65">AE64</f>
        <v>0.44284670120841901</v>
      </c>
      <c r="AH64" s="2">
        <f t="shared" ref="AH64" si="66">AF64</f>
        <v>0.5</v>
      </c>
    </row>
    <row r="65" spans="1:34">
      <c r="A65" t="str">
        <f t="shared" si="35"/>
        <v>Wheat</v>
      </c>
      <c r="B65" t="str">
        <f t="shared" si="36"/>
        <v>M3</v>
      </c>
      <c r="C65" s="2">
        <f>INDEX(TargetProduction!$B$47:$H$61,MATCH($B65,TargetProduction!$A$47:$A$61,0),MATCH($A65,TargetProduction!$B$46:$H$46,0))</f>
        <v>0.54260785428611402</v>
      </c>
      <c r="D65" s="2">
        <f>INDEX(TargetProduction!$I$47:$O$61,MATCH($B65,TargetProduction!$A$47:$A$61,0),MATCH($A65,TargetProduction!$I$46:$O$46,0))</f>
        <v>0.5</v>
      </c>
      <c r="E65" s="2">
        <f t="shared" ref="E65:E86" si="67">C65</f>
        <v>0.54260785428611402</v>
      </c>
      <c r="F65" s="2">
        <f t="shared" ref="F65:F86" si="68">D65</f>
        <v>0.5</v>
      </c>
      <c r="G65" s="2">
        <f t="shared" ref="G65:G86" si="69">E65</f>
        <v>0.54260785428611402</v>
      </c>
      <c r="H65" s="2">
        <f t="shared" ref="H65:H86" si="70">F65</f>
        <v>0.5</v>
      </c>
      <c r="I65" s="2">
        <f t="shared" ref="I65:I86" si="71">G65</f>
        <v>0.54260785428611402</v>
      </c>
      <c r="J65" s="2">
        <f t="shared" ref="J65:J86" si="72">H65</f>
        <v>0.5</v>
      </c>
      <c r="K65" s="2">
        <f t="shared" ref="K65:K86" si="73">I65</f>
        <v>0.54260785428611402</v>
      </c>
      <c r="L65" s="2">
        <f t="shared" ref="L65:L86" si="74">J65</f>
        <v>0.5</v>
      </c>
      <c r="M65" s="2">
        <f t="shared" ref="M65:M86" si="75">K65</f>
        <v>0.54260785428611402</v>
      </c>
      <c r="N65" s="2">
        <f t="shared" ref="N65:N86" si="76">L65</f>
        <v>0.5</v>
      </c>
      <c r="O65" s="2">
        <f t="shared" ref="O65:O86" si="77">M65</f>
        <v>0.54260785428611402</v>
      </c>
      <c r="P65" s="2">
        <f t="shared" ref="P65:P86" si="78">N65</f>
        <v>0.5</v>
      </c>
      <c r="Q65" s="2">
        <f t="shared" ref="Q65:Q86" si="79">O65</f>
        <v>0.54260785428611402</v>
      </c>
      <c r="R65" s="2">
        <f t="shared" ref="R65:R86" si="80">P65</f>
        <v>0.5</v>
      </c>
      <c r="S65" s="2">
        <f t="shared" ref="S65:S86" si="81">Q65</f>
        <v>0.54260785428611402</v>
      </c>
      <c r="T65" s="2">
        <f t="shared" ref="T65:T86" si="82">R65</f>
        <v>0.5</v>
      </c>
      <c r="U65" s="2">
        <f t="shared" ref="U65:U86" si="83">S65</f>
        <v>0.54260785428611402</v>
      </c>
      <c r="V65" s="2">
        <f t="shared" ref="V65:V86" si="84">T65</f>
        <v>0.5</v>
      </c>
      <c r="W65" s="2">
        <f t="shared" ref="W65:W86" si="85">U65</f>
        <v>0.54260785428611402</v>
      </c>
      <c r="X65" s="2">
        <f t="shared" ref="X65:X86" si="86">V65</f>
        <v>0.5</v>
      </c>
      <c r="Y65" s="2">
        <f t="shared" ref="Y65:Y86" si="87">W65</f>
        <v>0.54260785428611402</v>
      </c>
      <c r="Z65" s="2">
        <f t="shared" ref="Z65:Z86" si="88">X65</f>
        <v>0.5</v>
      </c>
      <c r="AA65" s="2">
        <f t="shared" ref="AA65:AA86" si="89">Y65</f>
        <v>0.54260785428611402</v>
      </c>
      <c r="AB65" s="2">
        <f t="shared" ref="AB65:AB86" si="90">Z65</f>
        <v>0.5</v>
      </c>
      <c r="AC65" s="2">
        <f t="shared" ref="AC65:AC86" si="91">AA65</f>
        <v>0.54260785428611402</v>
      </c>
      <c r="AD65" s="2">
        <f t="shared" ref="AD65:AD86" si="92">AB65</f>
        <v>0.5</v>
      </c>
      <c r="AE65" s="2">
        <f t="shared" ref="AE65:AE86" si="93">AC65</f>
        <v>0.54260785428611402</v>
      </c>
      <c r="AF65" s="2">
        <f t="shared" ref="AF65:AF86" si="94">AD65</f>
        <v>0.5</v>
      </c>
      <c r="AG65" s="2">
        <f t="shared" ref="AG65:AG86" si="95">AE65</f>
        <v>0.54260785428611402</v>
      </c>
      <c r="AH65" s="2">
        <f t="shared" ref="AH65:AH86" si="96">AF65</f>
        <v>0.5</v>
      </c>
    </row>
    <row r="66" spans="1:34">
      <c r="A66" t="str">
        <f t="shared" si="35"/>
        <v>Wheat</v>
      </c>
      <c r="B66" t="str">
        <f t="shared" si="36"/>
        <v>M5</v>
      </c>
      <c r="C66" s="2">
        <f>INDEX(TargetProduction!$B$47:$H$61,MATCH($B66,TargetProduction!$A$47:$A$61,0),MATCH($A66,TargetProduction!$B$46:$H$46,0))</f>
        <v>0.485424180172849</v>
      </c>
      <c r="D66" s="2">
        <f>INDEX(TargetProduction!$I$47:$O$61,MATCH($B66,TargetProduction!$A$47:$A$61,0),MATCH($A66,TargetProduction!$I$46:$O$46,0))</f>
        <v>0.5</v>
      </c>
      <c r="E66" s="2">
        <f t="shared" si="67"/>
        <v>0.485424180172849</v>
      </c>
      <c r="F66" s="2">
        <f t="shared" si="68"/>
        <v>0.5</v>
      </c>
      <c r="G66" s="2">
        <f t="shared" si="69"/>
        <v>0.485424180172849</v>
      </c>
      <c r="H66" s="2">
        <f t="shared" si="70"/>
        <v>0.5</v>
      </c>
      <c r="I66" s="2">
        <f t="shared" si="71"/>
        <v>0.485424180172849</v>
      </c>
      <c r="J66" s="2">
        <f t="shared" si="72"/>
        <v>0.5</v>
      </c>
      <c r="K66" s="2">
        <f t="shared" si="73"/>
        <v>0.485424180172849</v>
      </c>
      <c r="L66" s="2">
        <f t="shared" si="74"/>
        <v>0.5</v>
      </c>
      <c r="M66" s="2">
        <f t="shared" si="75"/>
        <v>0.485424180172849</v>
      </c>
      <c r="N66" s="2">
        <f t="shared" si="76"/>
        <v>0.5</v>
      </c>
      <c r="O66" s="2">
        <f t="shared" si="77"/>
        <v>0.485424180172849</v>
      </c>
      <c r="P66" s="2">
        <f t="shared" si="78"/>
        <v>0.5</v>
      </c>
      <c r="Q66" s="2">
        <f t="shared" si="79"/>
        <v>0.485424180172849</v>
      </c>
      <c r="R66" s="2">
        <f t="shared" si="80"/>
        <v>0.5</v>
      </c>
      <c r="S66" s="2">
        <f t="shared" si="81"/>
        <v>0.485424180172849</v>
      </c>
      <c r="T66" s="2">
        <f t="shared" si="82"/>
        <v>0.5</v>
      </c>
      <c r="U66" s="2">
        <f t="shared" si="83"/>
        <v>0.485424180172849</v>
      </c>
      <c r="V66" s="2">
        <f t="shared" si="84"/>
        <v>0.5</v>
      </c>
      <c r="W66" s="2">
        <f t="shared" si="85"/>
        <v>0.485424180172849</v>
      </c>
      <c r="X66" s="2">
        <f t="shared" si="86"/>
        <v>0.5</v>
      </c>
      <c r="Y66" s="2">
        <f t="shared" si="87"/>
        <v>0.485424180172849</v>
      </c>
      <c r="Z66" s="2">
        <f t="shared" si="88"/>
        <v>0.5</v>
      </c>
      <c r="AA66" s="2">
        <f t="shared" si="89"/>
        <v>0.485424180172849</v>
      </c>
      <c r="AB66" s="2">
        <f t="shared" si="90"/>
        <v>0.5</v>
      </c>
      <c r="AC66" s="2">
        <f t="shared" si="91"/>
        <v>0.485424180172849</v>
      </c>
      <c r="AD66" s="2">
        <f t="shared" si="92"/>
        <v>0.5</v>
      </c>
      <c r="AE66" s="2">
        <f t="shared" si="93"/>
        <v>0.485424180172849</v>
      </c>
      <c r="AF66" s="2">
        <f t="shared" si="94"/>
        <v>0.5</v>
      </c>
      <c r="AG66" s="2">
        <f t="shared" si="95"/>
        <v>0.485424180172849</v>
      </c>
      <c r="AH66" s="2">
        <f t="shared" si="96"/>
        <v>0.5</v>
      </c>
    </row>
    <row r="67" spans="1:34">
      <c r="A67" t="str">
        <f t="shared" si="35"/>
        <v>Wheat</v>
      </c>
      <c r="B67" t="str">
        <f t="shared" si="36"/>
        <v>SA1</v>
      </c>
      <c r="C67" s="2">
        <f>INDEX(TargetProduction!$B$47:$H$61,MATCH($B67,TargetProduction!$A$47:$A$61,0),MATCH($A67,TargetProduction!$B$46:$H$46,0))</f>
        <v>0.62185879368390096</v>
      </c>
      <c r="D67" s="2">
        <f>INDEX(TargetProduction!$I$47:$O$61,MATCH($B67,TargetProduction!$A$47:$A$61,0),MATCH($A67,TargetProduction!$I$46:$O$46,0))</f>
        <v>0.5</v>
      </c>
      <c r="E67" s="2">
        <f t="shared" si="67"/>
        <v>0.62185879368390096</v>
      </c>
      <c r="F67" s="2">
        <f t="shared" si="68"/>
        <v>0.5</v>
      </c>
      <c r="G67" s="2">
        <f t="shared" si="69"/>
        <v>0.62185879368390096</v>
      </c>
      <c r="H67" s="2">
        <f t="shared" si="70"/>
        <v>0.5</v>
      </c>
      <c r="I67" s="2">
        <f t="shared" si="71"/>
        <v>0.62185879368390096</v>
      </c>
      <c r="J67" s="2">
        <f t="shared" si="72"/>
        <v>0.5</v>
      </c>
      <c r="K67" s="2">
        <f t="shared" si="73"/>
        <v>0.62185879368390096</v>
      </c>
      <c r="L67" s="2">
        <f t="shared" si="74"/>
        <v>0.5</v>
      </c>
      <c r="M67" s="2">
        <f t="shared" si="75"/>
        <v>0.62185879368390096</v>
      </c>
      <c r="N67" s="2">
        <f t="shared" si="76"/>
        <v>0.5</v>
      </c>
      <c r="O67" s="2">
        <f t="shared" si="77"/>
        <v>0.62185879368390096</v>
      </c>
      <c r="P67" s="2">
        <f t="shared" si="78"/>
        <v>0.5</v>
      </c>
      <c r="Q67" s="2">
        <f t="shared" si="79"/>
        <v>0.62185879368390096</v>
      </c>
      <c r="R67" s="2">
        <f t="shared" si="80"/>
        <v>0.5</v>
      </c>
      <c r="S67" s="2">
        <f t="shared" si="81"/>
        <v>0.62185879368390096</v>
      </c>
      <c r="T67" s="2">
        <f t="shared" si="82"/>
        <v>0.5</v>
      </c>
      <c r="U67" s="2">
        <f t="shared" si="83"/>
        <v>0.62185879368390096</v>
      </c>
      <c r="V67" s="2">
        <f t="shared" si="84"/>
        <v>0.5</v>
      </c>
      <c r="W67" s="2">
        <f t="shared" si="85"/>
        <v>0.62185879368390096</v>
      </c>
      <c r="X67" s="2">
        <f t="shared" si="86"/>
        <v>0.5</v>
      </c>
      <c r="Y67" s="2">
        <f t="shared" si="87"/>
        <v>0.62185879368390096</v>
      </c>
      <c r="Z67" s="2">
        <f t="shared" si="88"/>
        <v>0.5</v>
      </c>
      <c r="AA67" s="2">
        <f t="shared" si="89"/>
        <v>0.62185879368390096</v>
      </c>
      <c r="AB67" s="2">
        <f t="shared" si="90"/>
        <v>0.5</v>
      </c>
      <c r="AC67" s="2">
        <f t="shared" si="91"/>
        <v>0.62185879368390096</v>
      </c>
      <c r="AD67" s="2">
        <f t="shared" si="92"/>
        <v>0.5</v>
      </c>
      <c r="AE67" s="2">
        <f t="shared" si="93"/>
        <v>0.62185879368390096</v>
      </c>
      <c r="AF67" s="2">
        <f t="shared" si="94"/>
        <v>0.5</v>
      </c>
      <c r="AG67" s="2">
        <f t="shared" si="95"/>
        <v>0.62185879368390096</v>
      </c>
      <c r="AH67" s="2">
        <f t="shared" si="96"/>
        <v>0.5</v>
      </c>
    </row>
    <row r="68" spans="1:34">
      <c r="A68" t="str">
        <f t="shared" si="35"/>
        <v>Wheat</v>
      </c>
      <c r="B68" t="str">
        <f t="shared" si="36"/>
        <v>SA3</v>
      </c>
      <c r="C68" s="2">
        <f>INDEX(TargetProduction!$B$47:$H$61,MATCH($B68,TargetProduction!$A$47:$A$61,0),MATCH($A68,TargetProduction!$B$46:$H$46,0))</f>
        <v>0.32645851528980302</v>
      </c>
      <c r="D68" s="2">
        <f>INDEX(TargetProduction!$I$47:$O$61,MATCH($B68,TargetProduction!$A$47:$A$61,0),MATCH($A68,TargetProduction!$I$46:$O$46,0))</f>
        <v>0.5</v>
      </c>
      <c r="E68" s="2">
        <f t="shared" si="67"/>
        <v>0.32645851528980302</v>
      </c>
      <c r="F68" s="2">
        <f t="shared" si="68"/>
        <v>0.5</v>
      </c>
      <c r="G68" s="2">
        <f t="shared" si="69"/>
        <v>0.32645851528980302</v>
      </c>
      <c r="H68" s="2">
        <f t="shared" si="70"/>
        <v>0.5</v>
      </c>
      <c r="I68" s="2">
        <f t="shared" si="71"/>
        <v>0.32645851528980302</v>
      </c>
      <c r="J68" s="2">
        <f t="shared" si="72"/>
        <v>0.5</v>
      </c>
      <c r="K68" s="2">
        <f t="shared" si="73"/>
        <v>0.32645851528980302</v>
      </c>
      <c r="L68" s="2">
        <f t="shared" si="74"/>
        <v>0.5</v>
      </c>
      <c r="M68" s="2">
        <f t="shared" si="75"/>
        <v>0.32645851528980302</v>
      </c>
      <c r="N68" s="2">
        <f t="shared" si="76"/>
        <v>0.5</v>
      </c>
      <c r="O68" s="2">
        <f t="shared" si="77"/>
        <v>0.32645851528980302</v>
      </c>
      <c r="P68" s="2">
        <f t="shared" si="78"/>
        <v>0.5</v>
      </c>
      <c r="Q68" s="2">
        <f t="shared" si="79"/>
        <v>0.32645851528980302</v>
      </c>
      <c r="R68" s="2">
        <f t="shared" si="80"/>
        <v>0.5</v>
      </c>
      <c r="S68" s="2">
        <f t="shared" si="81"/>
        <v>0.32645851528980302</v>
      </c>
      <c r="T68" s="2">
        <f t="shared" si="82"/>
        <v>0.5</v>
      </c>
      <c r="U68" s="2">
        <f t="shared" si="83"/>
        <v>0.32645851528980302</v>
      </c>
      <c r="V68" s="2">
        <f t="shared" si="84"/>
        <v>0.5</v>
      </c>
      <c r="W68" s="2">
        <f t="shared" si="85"/>
        <v>0.32645851528980302</v>
      </c>
      <c r="X68" s="2">
        <f t="shared" si="86"/>
        <v>0.5</v>
      </c>
      <c r="Y68" s="2">
        <f t="shared" si="87"/>
        <v>0.32645851528980302</v>
      </c>
      <c r="Z68" s="2">
        <f t="shared" si="88"/>
        <v>0.5</v>
      </c>
      <c r="AA68" s="2">
        <f t="shared" si="89"/>
        <v>0.32645851528980302</v>
      </c>
      <c r="AB68" s="2">
        <f t="shared" si="90"/>
        <v>0.5</v>
      </c>
      <c r="AC68" s="2">
        <f t="shared" si="91"/>
        <v>0.32645851528980302</v>
      </c>
      <c r="AD68" s="2">
        <f t="shared" si="92"/>
        <v>0.5</v>
      </c>
      <c r="AE68" s="2">
        <f t="shared" si="93"/>
        <v>0.32645851528980302</v>
      </c>
      <c r="AF68" s="2">
        <f t="shared" si="94"/>
        <v>0.5</v>
      </c>
      <c r="AG68" s="2">
        <f t="shared" si="95"/>
        <v>0.32645851528980302</v>
      </c>
      <c r="AH68" s="2">
        <f t="shared" si="96"/>
        <v>0.5</v>
      </c>
    </row>
    <row r="69" spans="1:34">
      <c r="A69" t="str">
        <f t="shared" si="35"/>
        <v>Wheat</v>
      </c>
      <c r="B69" t="str">
        <f t="shared" si="36"/>
        <v>SH1</v>
      </c>
      <c r="C69" s="2">
        <f>INDEX(TargetProduction!$B$47:$H$61,MATCH($B69,TargetProduction!$A$47:$A$61,0),MATCH($A69,TargetProduction!$B$46:$H$46,0))</f>
        <v>0.88272546543697505</v>
      </c>
      <c r="D69" s="2">
        <f>INDEX(TargetProduction!$I$47:$O$61,MATCH($B69,TargetProduction!$A$47:$A$61,0),MATCH($A69,TargetProduction!$I$46:$O$46,0))</f>
        <v>0.5</v>
      </c>
      <c r="E69" s="2">
        <f t="shared" si="67"/>
        <v>0.88272546543697505</v>
      </c>
      <c r="F69" s="2">
        <f t="shared" si="68"/>
        <v>0.5</v>
      </c>
      <c r="G69" s="2">
        <f t="shared" si="69"/>
        <v>0.88272546543697505</v>
      </c>
      <c r="H69" s="2">
        <f t="shared" si="70"/>
        <v>0.5</v>
      </c>
      <c r="I69" s="2">
        <f t="shared" si="71"/>
        <v>0.88272546543697505</v>
      </c>
      <c r="J69" s="2">
        <f t="shared" si="72"/>
        <v>0.5</v>
      </c>
      <c r="K69" s="2">
        <f t="shared" si="73"/>
        <v>0.88272546543697505</v>
      </c>
      <c r="L69" s="2">
        <f t="shared" si="74"/>
        <v>0.5</v>
      </c>
      <c r="M69" s="2">
        <f t="shared" si="75"/>
        <v>0.88272546543697505</v>
      </c>
      <c r="N69" s="2">
        <f t="shared" si="76"/>
        <v>0.5</v>
      </c>
      <c r="O69" s="2">
        <f t="shared" si="77"/>
        <v>0.88272546543697505</v>
      </c>
      <c r="P69" s="2">
        <f t="shared" si="78"/>
        <v>0.5</v>
      </c>
      <c r="Q69" s="2">
        <f t="shared" si="79"/>
        <v>0.88272546543697505</v>
      </c>
      <c r="R69" s="2">
        <f t="shared" si="80"/>
        <v>0.5</v>
      </c>
      <c r="S69" s="2">
        <f t="shared" si="81"/>
        <v>0.88272546543697505</v>
      </c>
      <c r="T69" s="2">
        <f t="shared" si="82"/>
        <v>0.5</v>
      </c>
      <c r="U69" s="2">
        <f t="shared" si="83"/>
        <v>0.88272546543697505</v>
      </c>
      <c r="V69" s="2">
        <f t="shared" si="84"/>
        <v>0.5</v>
      </c>
      <c r="W69" s="2">
        <f t="shared" si="85"/>
        <v>0.88272546543697505</v>
      </c>
      <c r="X69" s="2">
        <f t="shared" si="86"/>
        <v>0.5</v>
      </c>
      <c r="Y69" s="2">
        <f t="shared" si="87"/>
        <v>0.88272546543697505</v>
      </c>
      <c r="Z69" s="2">
        <f t="shared" si="88"/>
        <v>0.5</v>
      </c>
      <c r="AA69" s="2">
        <f t="shared" si="89"/>
        <v>0.88272546543697505</v>
      </c>
      <c r="AB69" s="2">
        <f t="shared" si="90"/>
        <v>0.5</v>
      </c>
      <c r="AC69" s="2">
        <f t="shared" si="91"/>
        <v>0.88272546543697505</v>
      </c>
      <c r="AD69" s="2">
        <f t="shared" si="92"/>
        <v>0.5</v>
      </c>
      <c r="AE69" s="2">
        <f t="shared" si="93"/>
        <v>0.88272546543697505</v>
      </c>
      <c r="AF69" s="2">
        <f t="shared" si="94"/>
        <v>0.5</v>
      </c>
      <c r="AG69" s="2">
        <f t="shared" si="95"/>
        <v>0.88272546543697505</v>
      </c>
      <c r="AH69" s="2">
        <f t="shared" si="96"/>
        <v>0.5</v>
      </c>
    </row>
    <row r="70" spans="1:34">
      <c r="A70" t="str">
        <f t="shared" si="35"/>
        <v>Wheat</v>
      </c>
      <c r="B70" t="str">
        <f t="shared" si="36"/>
        <v>SH3</v>
      </c>
      <c r="C70" s="2">
        <f>INDEX(TargetProduction!$B$47:$H$61,MATCH($B70,TargetProduction!$A$47:$A$61,0),MATCH($A70,TargetProduction!$B$46:$H$46,0))</f>
        <v>0.81930886670883896</v>
      </c>
      <c r="D70" s="2">
        <f>INDEX(TargetProduction!$I$47:$O$61,MATCH($B70,TargetProduction!$A$47:$A$61,0),MATCH($A70,TargetProduction!$I$46:$O$46,0))</f>
        <v>0.5</v>
      </c>
      <c r="E70" s="2">
        <f t="shared" si="67"/>
        <v>0.81930886670883896</v>
      </c>
      <c r="F70" s="2">
        <f t="shared" si="68"/>
        <v>0.5</v>
      </c>
      <c r="G70" s="2">
        <f t="shared" si="69"/>
        <v>0.81930886670883896</v>
      </c>
      <c r="H70" s="2">
        <f t="shared" si="70"/>
        <v>0.5</v>
      </c>
      <c r="I70" s="2">
        <f t="shared" si="71"/>
        <v>0.81930886670883896</v>
      </c>
      <c r="J70" s="2">
        <f t="shared" si="72"/>
        <v>0.5</v>
      </c>
      <c r="K70" s="2">
        <f t="shared" si="73"/>
        <v>0.81930886670883896</v>
      </c>
      <c r="L70" s="2">
        <f t="shared" si="74"/>
        <v>0.5</v>
      </c>
      <c r="M70" s="2">
        <f t="shared" si="75"/>
        <v>0.81930886670883896</v>
      </c>
      <c r="N70" s="2">
        <f t="shared" si="76"/>
        <v>0.5</v>
      </c>
      <c r="O70" s="2">
        <f t="shared" si="77"/>
        <v>0.81930886670883896</v>
      </c>
      <c r="P70" s="2">
        <f t="shared" si="78"/>
        <v>0.5</v>
      </c>
      <c r="Q70" s="2">
        <f t="shared" si="79"/>
        <v>0.81930886670883896</v>
      </c>
      <c r="R70" s="2">
        <f t="shared" si="80"/>
        <v>0.5</v>
      </c>
      <c r="S70" s="2">
        <f t="shared" si="81"/>
        <v>0.81930886670883896</v>
      </c>
      <c r="T70" s="2">
        <f t="shared" si="82"/>
        <v>0.5</v>
      </c>
      <c r="U70" s="2">
        <f t="shared" si="83"/>
        <v>0.81930886670883896</v>
      </c>
      <c r="V70" s="2">
        <f t="shared" si="84"/>
        <v>0.5</v>
      </c>
      <c r="W70" s="2">
        <f t="shared" si="85"/>
        <v>0.81930886670883896</v>
      </c>
      <c r="X70" s="2">
        <f t="shared" si="86"/>
        <v>0.5</v>
      </c>
      <c r="Y70" s="2">
        <f t="shared" si="87"/>
        <v>0.81930886670883896</v>
      </c>
      <c r="Z70" s="2">
        <f t="shared" si="88"/>
        <v>0.5</v>
      </c>
      <c r="AA70" s="2">
        <f t="shared" si="89"/>
        <v>0.81930886670883896</v>
      </c>
      <c r="AB70" s="2">
        <f t="shared" si="90"/>
        <v>0.5</v>
      </c>
      <c r="AC70" s="2">
        <f t="shared" si="91"/>
        <v>0.81930886670883896</v>
      </c>
      <c r="AD70" s="2">
        <f t="shared" si="92"/>
        <v>0.5</v>
      </c>
      <c r="AE70" s="2">
        <f t="shared" si="93"/>
        <v>0.81930886670883896</v>
      </c>
      <c r="AF70" s="2">
        <f t="shared" si="94"/>
        <v>0.5</v>
      </c>
      <c r="AG70" s="2">
        <f t="shared" si="95"/>
        <v>0.81930886670883896</v>
      </c>
      <c r="AH70" s="2">
        <f t="shared" si="96"/>
        <v>0.5</v>
      </c>
    </row>
    <row r="71" spans="1:34">
      <c r="A71" t="str">
        <f t="shared" si="35"/>
        <v>Wheat</v>
      </c>
      <c r="B71" t="str">
        <f t="shared" si="36"/>
        <v>SM2</v>
      </c>
      <c r="C71" s="2">
        <f>INDEX(TargetProduction!$B$47:$H$61,MATCH($B71,TargetProduction!$A$47:$A$61,0),MATCH($A71,TargetProduction!$B$46:$H$46,0))</f>
        <v>6.0036139721452102E-2</v>
      </c>
      <c r="D71" s="2">
        <f>INDEX(TargetProduction!$I$47:$O$61,MATCH($B71,TargetProduction!$A$47:$A$61,0),MATCH($A71,TargetProduction!$I$46:$O$46,0))</f>
        <v>0.5</v>
      </c>
      <c r="E71" s="2">
        <f t="shared" si="67"/>
        <v>6.0036139721452102E-2</v>
      </c>
      <c r="F71" s="2">
        <f t="shared" si="68"/>
        <v>0.5</v>
      </c>
      <c r="G71" s="2">
        <f t="shared" si="69"/>
        <v>6.0036139721452102E-2</v>
      </c>
      <c r="H71" s="2">
        <f t="shared" si="70"/>
        <v>0.5</v>
      </c>
      <c r="I71" s="2">
        <f t="shared" si="71"/>
        <v>6.0036139721452102E-2</v>
      </c>
      <c r="J71" s="2">
        <f t="shared" si="72"/>
        <v>0.5</v>
      </c>
      <c r="K71" s="2">
        <f t="shared" si="73"/>
        <v>6.0036139721452102E-2</v>
      </c>
      <c r="L71" s="2">
        <f t="shared" si="74"/>
        <v>0.5</v>
      </c>
      <c r="M71" s="2">
        <f t="shared" si="75"/>
        <v>6.0036139721452102E-2</v>
      </c>
      <c r="N71" s="2">
        <f t="shared" si="76"/>
        <v>0.5</v>
      </c>
      <c r="O71" s="2">
        <f t="shared" si="77"/>
        <v>6.0036139721452102E-2</v>
      </c>
      <c r="P71" s="2">
        <f t="shared" si="78"/>
        <v>0.5</v>
      </c>
      <c r="Q71" s="2">
        <f t="shared" si="79"/>
        <v>6.0036139721452102E-2</v>
      </c>
      <c r="R71" s="2">
        <f t="shared" si="80"/>
        <v>0.5</v>
      </c>
      <c r="S71" s="2">
        <f t="shared" si="81"/>
        <v>6.0036139721452102E-2</v>
      </c>
      <c r="T71" s="2">
        <f t="shared" si="82"/>
        <v>0.5</v>
      </c>
      <c r="U71" s="2">
        <f t="shared" si="83"/>
        <v>6.0036139721452102E-2</v>
      </c>
      <c r="V71" s="2">
        <f t="shared" si="84"/>
        <v>0.5</v>
      </c>
      <c r="W71" s="2">
        <f t="shared" si="85"/>
        <v>6.0036139721452102E-2</v>
      </c>
      <c r="X71" s="2">
        <f t="shared" si="86"/>
        <v>0.5</v>
      </c>
      <c r="Y71" s="2">
        <f t="shared" si="87"/>
        <v>6.0036139721452102E-2</v>
      </c>
      <c r="Z71" s="2">
        <f t="shared" si="88"/>
        <v>0.5</v>
      </c>
      <c r="AA71" s="2">
        <f t="shared" si="89"/>
        <v>6.0036139721452102E-2</v>
      </c>
      <c r="AB71" s="2">
        <f t="shared" si="90"/>
        <v>0.5</v>
      </c>
      <c r="AC71" s="2">
        <f t="shared" si="91"/>
        <v>6.0036139721452102E-2</v>
      </c>
      <c r="AD71" s="2">
        <f t="shared" si="92"/>
        <v>0.5</v>
      </c>
      <c r="AE71" s="2">
        <f t="shared" si="93"/>
        <v>6.0036139721452102E-2</v>
      </c>
      <c r="AF71" s="2">
        <f t="shared" si="94"/>
        <v>0.5</v>
      </c>
      <c r="AG71" s="2">
        <f t="shared" si="95"/>
        <v>6.0036139721452102E-2</v>
      </c>
      <c r="AH71" s="2">
        <f t="shared" si="96"/>
        <v>0.5</v>
      </c>
    </row>
    <row r="72" spans="1:34">
      <c r="A72" t="str">
        <f t="shared" si="35"/>
        <v>Wheat</v>
      </c>
      <c r="B72" t="str">
        <f t="shared" si="36"/>
        <v>SM2N</v>
      </c>
      <c r="C72" s="2">
        <f>INDEX(TargetProduction!$B$47:$H$61,MATCH($B72,TargetProduction!$A$47:$A$61,0),MATCH($A72,TargetProduction!$B$46:$H$46,0))</f>
        <v>8.8751831576456705E-2</v>
      </c>
      <c r="D72" s="2">
        <f>INDEX(TargetProduction!$I$47:$O$61,MATCH($B72,TargetProduction!$A$47:$A$61,0),MATCH($A72,TargetProduction!$I$46:$O$46,0))</f>
        <v>0.5</v>
      </c>
      <c r="E72" s="2">
        <f t="shared" si="67"/>
        <v>8.8751831576456705E-2</v>
      </c>
      <c r="F72" s="2">
        <f t="shared" si="68"/>
        <v>0.5</v>
      </c>
      <c r="G72" s="2">
        <f t="shared" si="69"/>
        <v>8.8751831576456705E-2</v>
      </c>
      <c r="H72" s="2">
        <f t="shared" si="70"/>
        <v>0.5</v>
      </c>
      <c r="I72" s="2">
        <f t="shared" si="71"/>
        <v>8.8751831576456705E-2</v>
      </c>
      <c r="J72" s="2">
        <f t="shared" si="72"/>
        <v>0.5</v>
      </c>
      <c r="K72" s="2">
        <f t="shared" si="73"/>
        <v>8.8751831576456705E-2</v>
      </c>
      <c r="L72" s="2">
        <f t="shared" si="74"/>
        <v>0.5</v>
      </c>
      <c r="M72" s="2">
        <f t="shared" si="75"/>
        <v>8.8751831576456705E-2</v>
      </c>
      <c r="N72" s="2">
        <f t="shared" si="76"/>
        <v>0.5</v>
      </c>
      <c r="O72" s="2">
        <f t="shared" si="77"/>
        <v>8.8751831576456705E-2</v>
      </c>
      <c r="P72" s="2">
        <f t="shared" si="78"/>
        <v>0.5</v>
      </c>
      <c r="Q72" s="2">
        <f t="shared" si="79"/>
        <v>8.8751831576456705E-2</v>
      </c>
      <c r="R72" s="2">
        <f t="shared" si="80"/>
        <v>0.5</v>
      </c>
      <c r="S72" s="2">
        <f t="shared" si="81"/>
        <v>8.8751831576456705E-2</v>
      </c>
      <c r="T72" s="2">
        <f t="shared" si="82"/>
        <v>0.5</v>
      </c>
      <c r="U72" s="2">
        <f t="shared" si="83"/>
        <v>8.8751831576456705E-2</v>
      </c>
      <c r="V72" s="2">
        <f t="shared" si="84"/>
        <v>0.5</v>
      </c>
      <c r="W72" s="2">
        <f t="shared" si="85"/>
        <v>8.8751831576456705E-2</v>
      </c>
      <c r="X72" s="2">
        <f t="shared" si="86"/>
        <v>0.5</v>
      </c>
      <c r="Y72" s="2">
        <f t="shared" si="87"/>
        <v>8.8751831576456705E-2</v>
      </c>
      <c r="Z72" s="2">
        <f t="shared" si="88"/>
        <v>0.5</v>
      </c>
      <c r="AA72" s="2">
        <f t="shared" si="89"/>
        <v>8.8751831576456705E-2</v>
      </c>
      <c r="AB72" s="2">
        <f t="shared" si="90"/>
        <v>0.5</v>
      </c>
      <c r="AC72" s="2">
        <f t="shared" si="91"/>
        <v>8.8751831576456705E-2</v>
      </c>
      <c r="AD72" s="2">
        <f t="shared" si="92"/>
        <v>0.5</v>
      </c>
      <c r="AE72" s="2">
        <f t="shared" si="93"/>
        <v>8.8751831576456705E-2</v>
      </c>
      <c r="AF72" s="2">
        <f t="shared" si="94"/>
        <v>0.5</v>
      </c>
      <c r="AG72" s="2">
        <f t="shared" si="95"/>
        <v>8.8751831576456705E-2</v>
      </c>
      <c r="AH72" s="2">
        <f t="shared" si="96"/>
        <v>0.5</v>
      </c>
    </row>
    <row r="73" spans="1:34">
      <c r="A73" t="str">
        <f t="shared" si="35"/>
        <v>Vegetables</v>
      </c>
      <c r="B73" t="str">
        <f t="shared" si="36"/>
        <v>A1</v>
      </c>
      <c r="C73" s="2">
        <f>INDEX(TargetProduction!$B$47:$H$61,MATCH($B73,TargetProduction!$A$47:$A$61,0),MATCH($A73,TargetProduction!$B$46:$H$46,0))</f>
        <v>0.11189352835817612</v>
      </c>
      <c r="D73" s="2">
        <f>INDEX(TargetProduction!$I$47:$O$61,MATCH($B73,TargetProduction!$A$47:$A$61,0),MATCH($A73,TargetProduction!$I$46:$O$46,0))</f>
        <v>0.5</v>
      </c>
      <c r="E73" s="2">
        <f t="shared" si="67"/>
        <v>0.11189352835817612</v>
      </c>
      <c r="F73" s="2">
        <f t="shared" si="68"/>
        <v>0.5</v>
      </c>
      <c r="G73" s="2">
        <f t="shared" si="69"/>
        <v>0.11189352835817612</v>
      </c>
      <c r="H73" s="2">
        <f t="shared" si="70"/>
        <v>0.5</v>
      </c>
      <c r="I73" s="2">
        <f t="shared" si="71"/>
        <v>0.11189352835817612</v>
      </c>
      <c r="J73" s="2">
        <f t="shared" si="72"/>
        <v>0.5</v>
      </c>
      <c r="K73" s="2">
        <f t="shared" si="73"/>
        <v>0.11189352835817612</v>
      </c>
      <c r="L73" s="2">
        <f t="shared" si="74"/>
        <v>0.5</v>
      </c>
      <c r="M73" s="2">
        <f t="shared" si="75"/>
        <v>0.11189352835817612</v>
      </c>
      <c r="N73" s="2">
        <f t="shared" si="76"/>
        <v>0.5</v>
      </c>
      <c r="O73" s="2">
        <f t="shared" si="77"/>
        <v>0.11189352835817612</v>
      </c>
      <c r="P73" s="2">
        <f t="shared" si="78"/>
        <v>0.5</v>
      </c>
      <c r="Q73" s="2">
        <f t="shared" si="79"/>
        <v>0.11189352835817612</v>
      </c>
      <c r="R73" s="2">
        <f t="shared" si="80"/>
        <v>0.5</v>
      </c>
      <c r="S73" s="2">
        <f t="shared" si="81"/>
        <v>0.11189352835817612</v>
      </c>
      <c r="T73" s="2">
        <f t="shared" si="82"/>
        <v>0.5</v>
      </c>
      <c r="U73" s="2">
        <f t="shared" si="83"/>
        <v>0.11189352835817612</v>
      </c>
      <c r="V73" s="2">
        <f t="shared" si="84"/>
        <v>0.5</v>
      </c>
      <c r="W73" s="2">
        <f t="shared" si="85"/>
        <v>0.11189352835817612</v>
      </c>
      <c r="X73" s="2">
        <f t="shared" si="86"/>
        <v>0.5</v>
      </c>
      <c r="Y73" s="2">
        <f t="shared" si="87"/>
        <v>0.11189352835817612</v>
      </c>
      <c r="Z73" s="2">
        <f t="shared" si="88"/>
        <v>0.5</v>
      </c>
      <c r="AA73" s="2">
        <f t="shared" si="89"/>
        <v>0.11189352835817612</v>
      </c>
      <c r="AB73" s="2">
        <f t="shared" si="90"/>
        <v>0.5</v>
      </c>
      <c r="AC73" s="2">
        <f t="shared" si="91"/>
        <v>0.11189352835817612</v>
      </c>
      <c r="AD73" s="2">
        <f t="shared" si="92"/>
        <v>0.5</v>
      </c>
      <c r="AE73" s="2">
        <f t="shared" si="93"/>
        <v>0.11189352835817612</v>
      </c>
      <c r="AF73" s="2">
        <f t="shared" si="94"/>
        <v>0.5</v>
      </c>
      <c r="AG73" s="2">
        <f t="shared" si="95"/>
        <v>0.11189352835817612</v>
      </c>
      <c r="AH73" s="2">
        <f t="shared" si="96"/>
        <v>0.5</v>
      </c>
    </row>
    <row r="74" spans="1:34">
      <c r="A74" t="str">
        <f t="shared" si="35"/>
        <v>Vegetables</v>
      </c>
      <c r="B74" t="str">
        <f t="shared" si="36"/>
        <v>H2</v>
      </c>
      <c r="C74" s="2">
        <f>INDEX(TargetProduction!$B$47:$H$61,MATCH($B74,TargetProduction!$A$47:$A$61,0),MATCH($A74,TargetProduction!$B$46:$H$46,0))</f>
        <v>0.8661439517419135</v>
      </c>
      <c r="D74" s="2">
        <f>INDEX(TargetProduction!$I$47:$O$61,MATCH($B74,TargetProduction!$A$47:$A$61,0),MATCH($A74,TargetProduction!$I$46:$O$46,0))</f>
        <v>0.5</v>
      </c>
      <c r="E74" s="2">
        <f t="shared" si="67"/>
        <v>0.8661439517419135</v>
      </c>
      <c r="F74" s="2">
        <f t="shared" si="68"/>
        <v>0.5</v>
      </c>
      <c r="G74" s="2">
        <f t="shared" si="69"/>
        <v>0.8661439517419135</v>
      </c>
      <c r="H74" s="2">
        <f t="shared" si="70"/>
        <v>0.5</v>
      </c>
      <c r="I74" s="2">
        <f t="shared" si="71"/>
        <v>0.8661439517419135</v>
      </c>
      <c r="J74" s="2">
        <f t="shared" si="72"/>
        <v>0.5</v>
      </c>
      <c r="K74" s="2">
        <f t="shared" si="73"/>
        <v>0.8661439517419135</v>
      </c>
      <c r="L74" s="2">
        <f t="shared" si="74"/>
        <v>0.5</v>
      </c>
      <c r="M74" s="2">
        <f t="shared" si="75"/>
        <v>0.8661439517419135</v>
      </c>
      <c r="N74" s="2">
        <f t="shared" si="76"/>
        <v>0.5</v>
      </c>
      <c r="O74" s="2">
        <f t="shared" si="77"/>
        <v>0.8661439517419135</v>
      </c>
      <c r="P74" s="2">
        <f t="shared" si="78"/>
        <v>0.5</v>
      </c>
      <c r="Q74" s="2">
        <f t="shared" si="79"/>
        <v>0.8661439517419135</v>
      </c>
      <c r="R74" s="2">
        <f t="shared" si="80"/>
        <v>0.5</v>
      </c>
      <c r="S74" s="2">
        <f t="shared" si="81"/>
        <v>0.8661439517419135</v>
      </c>
      <c r="T74" s="2">
        <f t="shared" si="82"/>
        <v>0.5</v>
      </c>
      <c r="U74" s="2">
        <f t="shared" si="83"/>
        <v>0.8661439517419135</v>
      </c>
      <c r="V74" s="2">
        <f t="shared" si="84"/>
        <v>0.5</v>
      </c>
      <c r="W74" s="2">
        <f t="shared" si="85"/>
        <v>0.8661439517419135</v>
      </c>
      <c r="X74" s="2">
        <f t="shared" si="86"/>
        <v>0.5</v>
      </c>
      <c r="Y74" s="2">
        <f t="shared" si="87"/>
        <v>0.8661439517419135</v>
      </c>
      <c r="Z74" s="2">
        <f t="shared" si="88"/>
        <v>0.5</v>
      </c>
      <c r="AA74" s="2">
        <f t="shared" si="89"/>
        <v>0.8661439517419135</v>
      </c>
      <c r="AB74" s="2">
        <f t="shared" si="90"/>
        <v>0.5</v>
      </c>
      <c r="AC74" s="2">
        <f t="shared" si="91"/>
        <v>0.8661439517419135</v>
      </c>
      <c r="AD74" s="2">
        <f t="shared" si="92"/>
        <v>0.5</v>
      </c>
      <c r="AE74" s="2">
        <f t="shared" si="93"/>
        <v>0.8661439517419135</v>
      </c>
      <c r="AF74" s="2">
        <f t="shared" si="94"/>
        <v>0.5</v>
      </c>
      <c r="AG74" s="2">
        <f t="shared" si="95"/>
        <v>0.8661439517419135</v>
      </c>
      <c r="AH74" s="2">
        <f t="shared" si="96"/>
        <v>0.5</v>
      </c>
    </row>
    <row r="75" spans="1:34">
      <c r="A75" t="str">
        <f t="shared" si="35"/>
        <v>Vegetables</v>
      </c>
      <c r="B75" t="str">
        <f t="shared" si="36"/>
        <v>H3</v>
      </c>
      <c r="C75" s="2">
        <f>INDEX(TargetProduction!$B$47:$H$61,MATCH($B75,TargetProduction!$A$47:$A$61,0),MATCH($A75,TargetProduction!$B$46:$H$46,0))</f>
        <v>0.70690844308185419</v>
      </c>
      <c r="D75" s="2">
        <f>INDEX(TargetProduction!$I$47:$O$61,MATCH($B75,TargetProduction!$A$47:$A$61,0),MATCH($A75,TargetProduction!$I$46:$O$46,0))</f>
        <v>0.5</v>
      </c>
      <c r="E75" s="2">
        <f t="shared" si="67"/>
        <v>0.70690844308185419</v>
      </c>
      <c r="F75" s="2">
        <f t="shared" si="68"/>
        <v>0.5</v>
      </c>
      <c r="G75" s="2">
        <f t="shared" si="69"/>
        <v>0.70690844308185419</v>
      </c>
      <c r="H75" s="2">
        <f t="shared" si="70"/>
        <v>0.5</v>
      </c>
      <c r="I75" s="2">
        <f t="shared" si="71"/>
        <v>0.70690844308185419</v>
      </c>
      <c r="J75" s="2">
        <f t="shared" si="72"/>
        <v>0.5</v>
      </c>
      <c r="K75" s="2">
        <f t="shared" si="73"/>
        <v>0.70690844308185419</v>
      </c>
      <c r="L75" s="2">
        <f t="shared" si="74"/>
        <v>0.5</v>
      </c>
      <c r="M75" s="2">
        <f t="shared" si="75"/>
        <v>0.70690844308185419</v>
      </c>
      <c r="N75" s="2">
        <f t="shared" si="76"/>
        <v>0.5</v>
      </c>
      <c r="O75" s="2">
        <f t="shared" si="77"/>
        <v>0.70690844308185419</v>
      </c>
      <c r="P75" s="2">
        <f t="shared" si="78"/>
        <v>0.5</v>
      </c>
      <c r="Q75" s="2">
        <f t="shared" si="79"/>
        <v>0.70690844308185419</v>
      </c>
      <c r="R75" s="2">
        <f t="shared" si="80"/>
        <v>0.5</v>
      </c>
      <c r="S75" s="2">
        <f t="shared" si="81"/>
        <v>0.70690844308185419</v>
      </c>
      <c r="T75" s="2">
        <f t="shared" si="82"/>
        <v>0.5</v>
      </c>
      <c r="U75" s="2">
        <f t="shared" si="83"/>
        <v>0.70690844308185419</v>
      </c>
      <c r="V75" s="2">
        <f t="shared" si="84"/>
        <v>0.5</v>
      </c>
      <c r="W75" s="2">
        <f t="shared" si="85"/>
        <v>0.70690844308185419</v>
      </c>
      <c r="X75" s="2">
        <f t="shared" si="86"/>
        <v>0.5</v>
      </c>
      <c r="Y75" s="2">
        <f t="shared" si="87"/>
        <v>0.70690844308185419</v>
      </c>
      <c r="Z75" s="2">
        <f t="shared" si="88"/>
        <v>0.5</v>
      </c>
      <c r="AA75" s="2">
        <f t="shared" si="89"/>
        <v>0.70690844308185419</v>
      </c>
      <c r="AB75" s="2">
        <f t="shared" si="90"/>
        <v>0.5</v>
      </c>
      <c r="AC75" s="2">
        <f t="shared" si="91"/>
        <v>0.70690844308185419</v>
      </c>
      <c r="AD75" s="2">
        <f t="shared" si="92"/>
        <v>0.5</v>
      </c>
      <c r="AE75" s="2">
        <f t="shared" si="93"/>
        <v>0.70690844308185419</v>
      </c>
      <c r="AF75" s="2">
        <f t="shared" si="94"/>
        <v>0.5</v>
      </c>
      <c r="AG75" s="2">
        <f t="shared" si="95"/>
        <v>0.70690844308185419</v>
      </c>
      <c r="AH75" s="2">
        <f t="shared" si="96"/>
        <v>0.5</v>
      </c>
    </row>
    <row r="76" spans="1:34">
      <c r="A76" t="str">
        <f t="shared" si="35"/>
        <v>Vegetables</v>
      </c>
      <c r="B76" t="str">
        <f t="shared" si="36"/>
        <v>H4</v>
      </c>
      <c r="C76" s="2">
        <f>INDEX(TargetProduction!$B$47:$H$61,MATCH($B76,TargetProduction!$A$47:$A$61,0),MATCH($A76,TargetProduction!$B$46:$H$46,0))</f>
        <v>0.54183996306873095</v>
      </c>
      <c r="D76" s="2">
        <f>INDEX(TargetProduction!$I$47:$O$61,MATCH($B76,TargetProduction!$A$47:$A$61,0),MATCH($A76,TargetProduction!$I$46:$O$46,0))</f>
        <v>0.5</v>
      </c>
      <c r="E76" s="2">
        <f t="shared" si="67"/>
        <v>0.54183996306873095</v>
      </c>
      <c r="F76" s="2">
        <f t="shared" si="68"/>
        <v>0.5</v>
      </c>
      <c r="G76" s="2">
        <f t="shared" si="69"/>
        <v>0.54183996306873095</v>
      </c>
      <c r="H76" s="2">
        <f t="shared" si="70"/>
        <v>0.5</v>
      </c>
      <c r="I76" s="2">
        <f t="shared" si="71"/>
        <v>0.54183996306873095</v>
      </c>
      <c r="J76" s="2">
        <f t="shared" si="72"/>
        <v>0.5</v>
      </c>
      <c r="K76" s="2">
        <f t="shared" si="73"/>
        <v>0.54183996306873095</v>
      </c>
      <c r="L76" s="2">
        <f t="shared" si="74"/>
        <v>0.5</v>
      </c>
      <c r="M76" s="2">
        <f t="shared" si="75"/>
        <v>0.54183996306873095</v>
      </c>
      <c r="N76" s="2">
        <f t="shared" si="76"/>
        <v>0.5</v>
      </c>
      <c r="O76" s="2">
        <f t="shared" si="77"/>
        <v>0.54183996306873095</v>
      </c>
      <c r="P76" s="2">
        <f t="shared" si="78"/>
        <v>0.5</v>
      </c>
      <c r="Q76" s="2">
        <f t="shared" si="79"/>
        <v>0.54183996306873095</v>
      </c>
      <c r="R76" s="2">
        <f t="shared" si="80"/>
        <v>0.5</v>
      </c>
      <c r="S76" s="2">
        <f t="shared" si="81"/>
        <v>0.54183996306873095</v>
      </c>
      <c r="T76" s="2">
        <f t="shared" si="82"/>
        <v>0.5</v>
      </c>
      <c r="U76" s="2">
        <f t="shared" si="83"/>
        <v>0.54183996306873095</v>
      </c>
      <c r="V76" s="2">
        <f t="shared" si="84"/>
        <v>0.5</v>
      </c>
      <c r="W76" s="2">
        <f t="shared" si="85"/>
        <v>0.54183996306873095</v>
      </c>
      <c r="X76" s="2">
        <f t="shared" si="86"/>
        <v>0.5</v>
      </c>
      <c r="Y76" s="2">
        <f t="shared" si="87"/>
        <v>0.54183996306873095</v>
      </c>
      <c r="Z76" s="2">
        <f t="shared" si="88"/>
        <v>0.5</v>
      </c>
      <c r="AA76" s="2">
        <f t="shared" si="89"/>
        <v>0.54183996306873095</v>
      </c>
      <c r="AB76" s="2">
        <f t="shared" si="90"/>
        <v>0.5</v>
      </c>
      <c r="AC76" s="2">
        <f t="shared" si="91"/>
        <v>0.54183996306873095</v>
      </c>
      <c r="AD76" s="2">
        <f t="shared" si="92"/>
        <v>0.5</v>
      </c>
      <c r="AE76" s="2">
        <f t="shared" si="93"/>
        <v>0.54183996306873095</v>
      </c>
      <c r="AF76" s="2">
        <f t="shared" si="94"/>
        <v>0.5</v>
      </c>
      <c r="AG76" s="2">
        <f t="shared" si="95"/>
        <v>0.54183996306873095</v>
      </c>
      <c r="AH76" s="2">
        <f t="shared" si="96"/>
        <v>0.5</v>
      </c>
    </row>
    <row r="77" spans="1:34">
      <c r="A77" t="str">
        <f t="shared" si="35"/>
        <v>Vegetables</v>
      </c>
      <c r="B77" t="str">
        <f t="shared" si="36"/>
        <v>H5</v>
      </c>
      <c r="C77" s="2">
        <f>INDEX(TargetProduction!$B$47:$H$61,MATCH($B77,TargetProduction!$A$47:$A$61,0),MATCH($A77,TargetProduction!$B$46:$H$46,0))</f>
        <v>0.44945309158412855</v>
      </c>
      <c r="D77" s="2">
        <f>INDEX(TargetProduction!$I$47:$O$61,MATCH($B77,TargetProduction!$A$47:$A$61,0),MATCH($A77,TargetProduction!$I$46:$O$46,0))</f>
        <v>0.5</v>
      </c>
      <c r="E77" s="2">
        <f t="shared" si="67"/>
        <v>0.44945309158412855</v>
      </c>
      <c r="F77" s="2">
        <f t="shared" si="68"/>
        <v>0.5</v>
      </c>
      <c r="G77" s="2">
        <f t="shared" si="69"/>
        <v>0.44945309158412855</v>
      </c>
      <c r="H77" s="2">
        <f t="shared" si="70"/>
        <v>0.5</v>
      </c>
      <c r="I77" s="2">
        <f t="shared" si="71"/>
        <v>0.44945309158412855</v>
      </c>
      <c r="J77" s="2">
        <f t="shared" si="72"/>
        <v>0.5</v>
      </c>
      <c r="K77" s="2">
        <f t="shared" si="73"/>
        <v>0.44945309158412855</v>
      </c>
      <c r="L77" s="2">
        <f t="shared" si="74"/>
        <v>0.5</v>
      </c>
      <c r="M77" s="2">
        <f t="shared" si="75"/>
        <v>0.44945309158412855</v>
      </c>
      <c r="N77" s="2">
        <f t="shared" si="76"/>
        <v>0.5</v>
      </c>
      <c r="O77" s="2">
        <f t="shared" si="77"/>
        <v>0.44945309158412855</v>
      </c>
      <c r="P77" s="2">
        <f t="shared" si="78"/>
        <v>0.5</v>
      </c>
      <c r="Q77" s="2">
        <f t="shared" si="79"/>
        <v>0.44945309158412855</v>
      </c>
      <c r="R77" s="2">
        <f t="shared" si="80"/>
        <v>0.5</v>
      </c>
      <c r="S77" s="2">
        <f t="shared" si="81"/>
        <v>0.44945309158412855</v>
      </c>
      <c r="T77" s="2">
        <f t="shared" si="82"/>
        <v>0.5</v>
      </c>
      <c r="U77" s="2">
        <f t="shared" si="83"/>
        <v>0.44945309158412855</v>
      </c>
      <c r="V77" s="2">
        <f t="shared" si="84"/>
        <v>0.5</v>
      </c>
      <c r="W77" s="2">
        <f t="shared" si="85"/>
        <v>0.44945309158412855</v>
      </c>
      <c r="X77" s="2">
        <f t="shared" si="86"/>
        <v>0.5</v>
      </c>
      <c r="Y77" s="2">
        <f t="shared" si="87"/>
        <v>0.44945309158412855</v>
      </c>
      <c r="Z77" s="2">
        <f t="shared" si="88"/>
        <v>0.5</v>
      </c>
      <c r="AA77" s="2">
        <f t="shared" si="89"/>
        <v>0.44945309158412855</v>
      </c>
      <c r="AB77" s="2">
        <f t="shared" si="90"/>
        <v>0.5</v>
      </c>
      <c r="AC77" s="2">
        <f t="shared" si="91"/>
        <v>0.44945309158412855</v>
      </c>
      <c r="AD77" s="2">
        <f t="shared" si="92"/>
        <v>0.5</v>
      </c>
      <c r="AE77" s="2">
        <f t="shared" si="93"/>
        <v>0.44945309158412855</v>
      </c>
      <c r="AF77" s="2">
        <f t="shared" si="94"/>
        <v>0.5</v>
      </c>
      <c r="AG77" s="2">
        <f t="shared" si="95"/>
        <v>0.44945309158412855</v>
      </c>
      <c r="AH77" s="2">
        <f t="shared" si="96"/>
        <v>0.5</v>
      </c>
    </row>
    <row r="78" spans="1:34">
      <c r="A78" t="str">
        <f t="shared" si="35"/>
        <v>Vegetables</v>
      </c>
      <c r="B78" t="str">
        <f t="shared" si="36"/>
        <v>M1</v>
      </c>
      <c r="C78" s="2">
        <f>INDEX(TargetProduction!$B$47:$H$61,MATCH($B78,TargetProduction!$A$47:$A$61,0),MATCH($A78,TargetProduction!$B$46:$H$46,0))</f>
        <v>0.51195066677824663</v>
      </c>
      <c r="D78" s="2">
        <f>INDEX(TargetProduction!$I$47:$O$61,MATCH($B78,TargetProduction!$A$47:$A$61,0),MATCH($A78,TargetProduction!$I$46:$O$46,0))</f>
        <v>0.5</v>
      </c>
      <c r="E78" s="2">
        <f t="shared" si="67"/>
        <v>0.51195066677824663</v>
      </c>
      <c r="F78" s="2">
        <f t="shared" si="68"/>
        <v>0.5</v>
      </c>
      <c r="G78" s="2">
        <f t="shared" si="69"/>
        <v>0.51195066677824663</v>
      </c>
      <c r="H78" s="2">
        <f t="shared" si="70"/>
        <v>0.5</v>
      </c>
      <c r="I78" s="2">
        <f t="shared" si="71"/>
        <v>0.51195066677824663</v>
      </c>
      <c r="J78" s="2">
        <f t="shared" si="72"/>
        <v>0.5</v>
      </c>
      <c r="K78" s="2">
        <f t="shared" si="73"/>
        <v>0.51195066677824663</v>
      </c>
      <c r="L78" s="2">
        <f t="shared" si="74"/>
        <v>0.5</v>
      </c>
      <c r="M78" s="2">
        <f t="shared" si="75"/>
        <v>0.51195066677824663</v>
      </c>
      <c r="N78" s="2">
        <f t="shared" si="76"/>
        <v>0.5</v>
      </c>
      <c r="O78" s="2">
        <f t="shared" si="77"/>
        <v>0.51195066677824663</v>
      </c>
      <c r="P78" s="2">
        <f t="shared" si="78"/>
        <v>0.5</v>
      </c>
      <c r="Q78" s="2">
        <f t="shared" si="79"/>
        <v>0.51195066677824663</v>
      </c>
      <c r="R78" s="2">
        <f t="shared" si="80"/>
        <v>0.5</v>
      </c>
      <c r="S78" s="2">
        <f t="shared" si="81"/>
        <v>0.51195066677824663</v>
      </c>
      <c r="T78" s="2">
        <f t="shared" si="82"/>
        <v>0.5</v>
      </c>
      <c r="U78" s="2">
        <f t="shared" si="83"/>
        <v>0.51195066677824663</v>
      </c>
      <c r="V78" s="2">
        <f t="shared" si="84"/>
        <v>0.5</v>
      </c>
      <c r="W78" s="2">
        <f t="shared" si="85"/>
        <v>0.51195066677824663</v>
      </c>
      <c r="X78" s="2">
        <f t="shared" si="86"/>
        <v>0.5</v>
      </c>
      <c r="Y78" s="2">
        <f t="shared" si="87"/>
        <v>0.51195066677824663</v>
      </c>
      <c r="Z78" s="2">
        <f t="shared" si="88"/>
        <v>0.5</v>
      </c>
      <c r="AA78" s="2">
        <f t="shared" si="89"/>
        <v>0.51195066677824663</v>
      </c>
      <c r="AB78" s="2">
        <f t="shared" si="90"/>
        <v>0.5</v>
      </c>
      <c r="AC78" s="2">
        <f t="shared" si="91"/>
        <v>0.51195066677824663</v>
      </c>
      <c r="AD78" s="2">
        <f t="shared" si="92"/>
        <v>0.5</v>
      </c>
      <c r="AE78" s="2">
        <f t="shared" si="93"/>
        <v>0.51195066677824663</v>
      </c>
      <c r="AF78" s="2">
        <f t="shared" si="94"/>
        <v>0.5</v>
      </c>
      <c r="AG78" s="2">
        <f t="shared" si="95"/>
        <v>0.51195066677824663</v>
      </c>
      <c r="AH78" s="2">
        <f t="shared" si="96"/>
        <v>0.5</v>
      </c>
    </row>
    <row r="79" spans="1:34">
      <c r="A79" t="str">
        <f t="shared" si="35"/>
        <v>Vegetables</v>
      </c>
      <c r="B79" t="str">
        <f t="shared" si="36"/>
        <v>M3</v>
      </c>
      <c r="C79" s="2">
        <f>INDEX(TargetProduction!$B$47:$H$61,MATCH($B79,TargetProduction!$A$47:$A$61,0),MATCH($A79,TargetProduction!$B$46:$H$46,0))</f>
        <v>0.61394748337379923</v>
      </c>
      <c r="D79" s="2">
        <f>INDEX(TargetProduction!$I$47:$O$61,MATCH($B79,TargetProduction!$A$47:$A$61,0),MATCH($A79,TargetProduction!$I$46:$O$46,0))</f>
        <v>0.5</v>
      </c>
      <c r="E79" s="2">
        <f t="shared" si="67"/>
        <v>0.61394748337379923</v>
      </c>
      <c r="F79" s="2">
        <f t="shared" si="68"/>
        <v>0.5</v>
      </c>
      <c r="G79" s="2">
        <f t="shared" si="69"/>
        <v>0.61394748337379923</v>
      </c>
      <c r="H79" s="2">
        <f t="shared" si="70"/>
        <v>0.5</v>
      </c>
      <c r="I79" s="2">
        <f t="shared" si="71"/>
        <v>0.61394748337379923</v>
      </c>
      <c r="J79" s="2">
        <f t="shared" si="72"/>
        <v>0.5</v>
      </c>
      <c r="K79" s="2">
        <f t="shared" si="73"/>
        <v>0.61394748337379923</v>
      </c>
      <c r="L79" s="2">
        <f t="shared" si="74"/>
        <v>0.5</v>
      </c>
      <c r="M79" s="2">
        <f t="shared" si="75"/>
        <v>0.61394748337379923</v>
      </c>
      <c r="N79" s="2">
        <f t="shared" si="76"/>
        <v>0.5</v>
      </c>
      <c r="O79" s="2">
        <f t="shared" si="77"/>
        <v>0.61394748337379923</v>
      </c>
      <c r="P79" s="2">
        <f t="shared" si="78"/>
        <v>0.5</v>
      </c>
      <c r="Q79" s="2">
        <f t="shared" si="79"/>
        <v>0.61394748337379923</v>
      </c>
      <c r="R79" s="2">
        <f t="shared" si="80"/>
        <v>0.5</v>
      </c>
      <c r="S79" s="2">
        <f t="shared" si="81"/>
        <v>0.61394748337379923</v>
      </c>
      <c r="T79" s="2">
        <f t="shared" si="82"/>
        <v>0.5</v>
      </c>
      <c r="U79" s="2">
        <f t="shared" si="83"/>
        <v>0.61394748337379923</v>
      </c>
      <c r="V79" s="2">
        <f t="shared" si="84"/>
        <v>0.5</v>
      </c>
      <c r="W79" s="2">
        <f t="shared" si="85"/>
        <v>0.61394748337379923</v>
      </c>
      <c r="X79" s="2">
        <f t="shared" si="86"/>
        <v>0.5</v>
      </c>
      <c r="Y79" s="2">
        <f t="shared" si="87"/>
        <v>0.61394748337379923</v>
      </c>
      <c r="Z79" s="2">
        <f t="shared" si="88"/>
        <v>0.5</v>
      </c>
      <c r="AA79" s="2">
        <f t="shared" si="89"/>
        <v>0.61394748337379923</v>
      </c>
      <c r="AB79" s="2">
        <f t="shared" si="90"/>
        <v>0.5</v>
      </c>
      <c r="AC79" s="2">
        <f t="shared" si="91"/>
        <v>0.61394748337379923</v>
      </c>
      <c r="AD79" s="2">
        <f t="shared" si="92"/>
        <v>0.5</v>
      </c>
      <c r="AE79" s="2">
        <f t="shared" si="93"/>
        <v>0.61394748337379923</v>
      </c>
      <c r="AF79" s="2">
        <f t="shared" si="94"/>
        <v>0.5</v>
      </c>
      <c r="AG79" s="2">
        <f t="shared" si="95"/>
        <v>0.61394748337379923</v>
      </c>
      <c r="AH79" s="2">
        <f t="shared" si="96"/>
        <v>0.5</v>
      </c>
    </row>
    <row r="80" spans="1:34">
      <c r="A80" t="str">
        <f t="shared" si="35"/>
        <v>Vegetables</v>
      </c>
      <c r="B80" t="str">
        <f t="shared" si="36"/>
        <v>M5</v>
      </c>
      <c r="C80" s="2">
        <f>INDEX(TargetProduction!$B$47:$H$61,MATCH($B80,TargetProduction!$A$47:$A$61,0),MATCH($A80,TargetProduction!$B$46:$H$46,0))</f>
        <v>0.57365144063926621</v>
      </c>
      <c r="D80" s="2">
        <f>INDEX(TargetProduction!$I$47:$O$61,MATCH($B80,TargetProduction!$A$47:$A$61,0),MATCH($A80,TargetProduction!$I$46:$O$46,0))</f>
        <v>0.5</v>
      </c>
      <c r="E80" s="2">
        <f t="shared" si="67"/>
        <v>0.57365144063926621</v>
      </c>
      <c r="F80" s="2">
        <f t="shared" si="68"/>
        <v>0.5</v>
      </c>
      <c r="G80" s="2">
        <f t="shared" si="69"/>
        <v>0.57365144063926621</v>
      </c>
      <c r="H80" s="2">
        <f t="shared" si="70"/>
        <v>0.5</v>
      </c>
      <c r="I80" s="2">
        <f t="shared" si="71"/>
        <v>0.57365144063926621</v>
      </c>
      <c r="J80" s="2">
        <f t="shared" si="72"/>
        <v>0.5</v>
      </c>
      <c r="K80" s="2">
        <f t="shared" si="73"/>
        <v>0.57365144063926621</v>
      </c>
      <c r="L80" s="2">
        <f t="shared" si="74"/>
        <v>0.5</v>
      </c>
      <c r="M80" s="2">
        <f t="shared" si="75"/>
        <v>0.57365144063926621</v>
      </c>
      <c r="N80" s="2">
        <f t="shared" si="76"/>
        <v>0.5</v>
      </c>
      <c r="O80" s="2">
        <f t="shared" si="77"/>
        <v>0.57365144063926621</v>
      </c>
      <c r="P80" s="2">
        <f t="shared" si="78"/>
        <v>0.5</v>
      </c>
      <c r="Q80" s="2">
        <f t="shared" si="79"/>
        <v>0.57365144063926621</v>
      </c>
      <c r="R80" s="2">
        <f t="shared" si="80"/>
        <v>0.5</v>
      </c>
      <c r="S80" s="2">
        <f t="shared" si="81"/>
        <v>0.57365144063926621</v>
      </c>
      <c r="T80" s="2">
        <f t="shared" si="82"/>
        <v>0.5</v>
      </c>
      <c r="U80" s="2">
        <f t="shared" si="83"/>
        <v>0.57365144063926621</v>
      </c>
      <c r="V80" s="2">
        <f t="shared" si="84"/>
        <v>0.5</v>
      </c>
      <c r="W80" s="2">
        <f t="shared" si="85"/>
        <v>0.57365144063926621</v>
      </c>
      <c r="X80" s="2">
        <f t="shared" si="86"/>
        <v>0.5</v>
      </c>
      <c r="Y80" s="2">
        <f t="shared" si="87"/>
        <v>0.57365144063926621</v>
      </c>
      <c r="Z80" s="2">
        <f t="shared" si="88"/>
        <v>0.5</v>
      </c>
      <c r="AA80" s="2">
        <f t="shared" si="89"/>
        <v>0.57365144063926621</v>
      </c>
      <c r="AB80" s="2">
        <f t="shared" si="90"/>
        <v>0.5</v>
      </c>
      <c r="AC80" s="2">
        <f t="shared" si="91"/>
        <v>0.57365144063926621</v>
      </c>
      <c r="AD80" s="2">
        <f t="shared" si="92"/>
        <v>0.5</v>
      </c>
      <c r="AE80" s="2">
        <f t="shared" si="93"/>
        <v>0.57365144063926621</v>
      </c>
      <c r="AF80" s="2">
        <f t="shared" si="94"/>
        <v>0.5</v>
      </c>
      <c r="AG80" s="2">
        <f t="shared" si="95"/>
        <v>0.57365144063926621</v>
      </c>
      <c r="AH80" s="2">
        <f t="shared" si="96"/>
        <v>0.5</v>
      </c>
    </row>
    <row r="81" spans="1:34">
      <c r="A81" t="str">
        <f t="shared" ref="A81:A100" si="97">INDEX(Food,MATCH(A67,Food,0)+1)</f>
        <v>Vegetables</v>
      </c>
      <c r="B81" t="str">
        <f t="shared" ref="B81:B100" si="98">B67</f>
        <v>SA1</v>
      </c>
      <c r="C81" s="2">
        <f>INDEX(TargetProduction!$B$47:$H$61,MATCH($B81,TargetProduction!$A$47:$A$61,0),MATCH($A81,TargetProduction!$B$46:$H$46,0))</f>
        <v>0.60902701278208082</v>
      </c>
      <c r="D81" s="2">
        <f>INDEX(TargetProduction!$I$47:$O$61,MATCH($B81,TargetProduction!$A$47:$A$61,0),MATCH($A81,TargetProduction!$I$46:$O$46,0))</f>
        <v>0.5</v>
      </c>
      <c r="E81" s="2">
        <f t="shared" si="67"/>
        <v>0.60902701278208082</v>
      </c>
      <c r="F81" s="2">
        <f t="shared" si="68"/>
        <v>0.5</v>
      </c>
      <c r="G81" s="2">
        <f t="shared" si="69"/>
        <v>0.60902701278208082</v>
      </c>
      <c r="H81" s="2">
        <f t="shared" si="70"/>
        <v>0.5</v>
      </c>
      <c r="I81" s="2">
        <f t="shared" si="71"/>
        <v>0.60902701278208082</v>
      </c>
      <c r="J81" s="2">
        <f t="shared" si="72"/>
        <v>0.5</v>
      </c>
      <c r="K81" s="2">
        <f t="shared" si="73"/>
        <v>0.60902701278208082</v>
      </c>
      <c r="L81" s="2">
        <f t="shared" si="74"/>
        <v>0.5</v>
      </c>
      <c r="M81" s="2">
        <f t="shared" si="75"/>
        <v>0.60902701278208082</v>
      </c>
      <c r="N81" s="2">
        <f t="shared" si="76"/>
        <v>0.5</v>
      </c>
      <c r="O81" s="2">
        <f t="shared" si="77"/>
        <v>0.60902701278208082</v>
      </c>
      <c r="P81" s="2">
        <f t="shared" si="78"/>
        <v>0.5</v>
      </c>
      <c r="Q81" s="2">
        <f t="shared" si="79"/>
        <v>0.60902701278208082</v>
      </c>
      <c r="R81" s="2">
        <f t="shared" si="80"/>
        <v>0.5</v>
      </c>
      <c r="S81" s="2">
        <f t="shared" si="81"/>
        <v>0.60902701278208082</v>
      </c>
      <c r="T81" s="2">
        <f t="shared" si="82"/>
        <v>0.5</v>
      </c>
      <c r="U81" s="2">
        <f t="shared" si="83"/>
        <v>0.60902701278208082</v>
      </c>
      <c r="V81" s="2">
        <f t="shared" si="84"/>
        <v>0.5</v>
      </c>
      <c r="W81" s="2">
        <f t="shared" si="85"/>
        <v>0.60902701278208082</v>
      </c>
      <c r="X81" s="2">
        <f t="shared" si="86"/>
        <v>0.5</v>
      </c>
      <c r="Y81" s="2">
        <f t="shared" si="87"/>
        <v>0.60902701278208082</v>
      </c>
      <c r="Z81" s="2">
        <f t="shared" si="88"/>
        <v>0.5</v>
      </c>
      <c r="AA81" s="2">
        <f t="shared" si="89"/>
        <v>0.60902701278208082</v>
      </c>
      <c r="AB81" s="2">
        <f t="shared" si="90"/>
        <v>0.5</v>
      </c>
      <c r="AC81" s="2">
        <f t="shared" si="91"/>
        <v>0.60902701278208082</v>
      </c>
      <c r="AD81" s="2">
        <f t="shared" si="92"/>
        <v>0.5</v>
      </c>
      <c r="AE81" s="2">
        <f t="shared" si="93"/>
        <v>0.60902701278208082</v>
      </c>
      <c r="AF81" s="2">
        <f t="shared" si="94"/>
        <v>0.5</v>
      </c>
      <c r="AG81" s="2">
        <f t="shared" si="95"/>
        <v>0.60902701278208082</v>
      </c>
      <c r="AH81" s="2">
        <f t="shared" si="96"/>
        <v>0.5</v>
      </c>
    </row>
    <row r="82" spans="1:34">
      <c r="A82" t="str">
        <f t="shared" si="97"/>
        <v>Vegetables</v>
      </c>
      <c r="B82" t="str">
        <f t="shared" si="98"/>
        <v>SA3</v>
      </c>
      <c r="C82" s="2">
        <f>INDEX(TargetProduction!$B$47:$H$61,MATCH($B82,TargetProduction!$A$47:$A$61,0),MATCH($A82,TargetProduction!$B$46:$H$46,0))</f>
        <v>0.42937296601490627</v>
      </c>
      <c r="D82" s="2">
        <f>INDEX(TargetProduction!$I$47:$O$61,MATCH($B82,TargetProduction!$A$47:$A$61,0),MATCH($A82,TargetProduction!$I$46:$O$46,0))</f>
        <v>0.5</v>
      </c>
      <c r="E82" s="2">
        <f t="shared" si="67"/>
        <v>0.42937296601490627</v>
      </c>
      <c r="F82" s="2">
        <f t="shared" si="68"/>
        <v>0.5</v>
      </c>
      <c r="G82" s="2">
        <f t="shared" si="69"/>
        <v>0.42937296601490627</v>
      </c>
      <c r="H82" s="2">
        <f t="shared" si="70"/>
        <v>0.5</v>
      </c>
      <c r="I82" s="2">
        <f t="shared" si="71"/>
        <v>0.42937296601490627</v>
      </c>
      <c r="J82" s="2">
        <f t="shared" si="72"/>
        <v>0.5</v>
      </c>
      <c r="K82" s="2">
        <f t="shared" si="73"/>
        <v>0.42937296601490627</v>
      </c>
      <c r="L82" s="2">
        <f t="shared" si="74"/>
        <v>0.5</v>
      </c>
      <c r="M82" s="2">
        <f t="shared" si="75"/>
        <v>0.42937296601490627</v>
      </c>
      <c r="N82" s="2">
        <f t="shared" si="76"/>
        <v>0.5</v>
      </c>
      <c r="O82" s="2">
        <f t="shared" si="77"/>
        <v>0.42937296601490627</v>
      </c>
      <c r="P82" s="2">
        <f t="shared" si="78"/>
        <v>0.5</v>
      </c>
      <c r="Q82" s="2">
        <f t="shared" si="79"/>
        <v>0.42937296601490627</v>
      </c>
      <c r="R82" s="2">
        <f t="shared" si="80"/>
        <v>0.5</v>
      </c>
      <c r="S82" s="2">
        <f t="shared" si="81"/>
        <v>0.42937296601490627</v>
      </c>
      <c r="T82" s="2">
        <f t="shared" si="82"/>
        <v>0.5</v>
      </c>
      <c r="U82" s="2">
        <f t="shared" si="83"/>
        <v>0.42937296601490627</v>
      </c>
      <c r="V82" s="2">
        <f t="shared" si="84"/>
        <v>0.5</v>
      </c>
      <c r="W82" s="2">
        <f t="shared" si="85"/>
        <v>0.42937296601490627</v>
      </c>
      <c r="X82" s="2">
        <f t="shared" si="86"/>
        <v>0.5</v>
      </c>
      <c r="Y82" s="2">
        <f t="shared" si="87"/>
        <v>0.42937296601490627</v>
      </c>
      <c r="Z82" s="2">
        <f t="shared" si="88"/>
        <v>0.5</v>
      </c>
      <c r="AA82" s="2">
        <f t="shared" si="89"/>
        <v>0.42937296601490627</v>
      </c>
      <c r="AB82" s="2">
        <f t="shared" si="90"/>
        <v>0.5</v>
      </c>
      <c r="AC82" s="2">
        <f t="shared" si="91"/>
        <v>0.42937296601490627</v>
      </c>
      <c r="AD82" s="2">
        <f t="shared" si="92"/>
        <v>0.5</v>
      </c>
      <c r="AE82" s="2">
        <f t="shared" si="93"/>
        <v>0.42937296601490627</v>
      </c>
      <c r="AF82" s="2">
        <f t="shared" si="94"/>
        <v>0.5</v>
      </c>
      <c r="AG82" s="2">
        <f t="shared" si="95"/>
        <v>0.42937296601490627</v>
      </c>
      <c r="AH82" s="2">
        <f t="shared" si="96"/>
        <v>0.5</v>
      </c>
    </row>
    <row r="83" spans="1:34">
      <c r="A83" t="str">
        <f t="shared" si="97"/>
        <v>Vegetables</v>
      </c>
      <c r="B83" t="str">
        <f t="shared" si="98"/>
        <v>SH1</v>
      </c>
      <c r="C83" s="2">
        <f>INDEX(TargetProduction!$B$47:$H$61,MATCH($B83,TargetProduction!$A$47:$A$61,0),MATCH($A83,TargetProduction!$B$46:$H$46,0))</f>
        <v>0.88842891865181139</v>
      </c>
      <c r="D83" s="2">
        <f>INDEX(TargetProduction!$I$47:$O$61,MATCH($B83,TargetProduction!$A$47:$A$61,0),MATCH($A83,TargetProduction!$I$46:$O$46,0))</f>
        <v>0.5</v>
      </c>
      <c r="E83" s="2">
        <f t="shared" si="67"/>
        <v>0.88842891865181139</v>
      </c>
      <c r="F83" s="2">
        <f t="shared" si="68"/>
        <v>0.5</v>
      </c>
      <c r="G83" s="2">
        <f t="shared" si="69"/>
        <v>0.88842891865181139</v>
      </c>
      <c r="H83" s="2">
        <f t="shared" si="70"/>
        <v>0.5</v>
      </c>
      <c r="I83" s="2">
        <f t="shared" si="71"/>
        <v>0.88842891865181139</v>
      </c>
      <c r="J83" s="2">
        <f t="shared" si="72"/>
        <v>0.5</v>
      </c>
      <c r="K83" s="2">
        <f t="shared" si="73"/>
        <v>0.88842891865181139</v>
      </c>
      <c r="L83" s="2">
        <f t="shared" si="74"/>
        <v>0.5</v>
      </c>
      <c r="M83" s="2">
        <f t="shared" si="75"/>
        <v>0.88842891865181139</v>
      </c>
      <c r="N83" s="2">
        <f t="shared" si="76"/>
        <v>0.5</v>
      </c>
      <c r="O83" s="2">
        <f t="shared" si="77"/>
        <v>0.88842891865181139</v>
      </c>
      <c r="P83" s="2">
        <f t="shared" si="78"/>
        <v>0.5</v>
      </c>
      <c r="Q83" s="2">
        <f t="shared" si="79"/>
        <v>0.88842891865181139</v>
      </c>
      <c r="R83" s="2">
        <f t="shared" si="80"/>
        <v>0.5</v>
      </c>
      <c r="S83" s="2">
        <f t="shared" si="81"/>
        <v>0.88842891865181139</v>
      </c>
      <c r="T83" s="2">
        <f t="shared" si="82"/>
        <v>0.5</v>
      </c>
      <c r="U83" s="2">
        <f t="shared" si="83"/>
        <v>0.88842891865181139</v>
      </c>
      <c r="V83" s="2">
        <f t="shared" si="84"/>
        <v>0.5</v>
      </c>
      <c r="W83" s="2">
        <f t="shared" si="85"/>
        <v>0.88842891865181139</v>
      </c>
      <c r="X83" s="2">
        <f t="shared" si="86"/>
        <v>0.5</v>
      </c>
      <c r="Y83" s="2">
        <f t="shared" si="87"/>
        <v>0.88842891865181139</v>
      </c>
      <c r="Z83" s="2">
        <f t="shared" si="88"/>
        <v>0.5</v>
      </c>
      <c r="AA83" s="2">
        <f t="shared" si="89"/>
        <v>0.88842891865181139</v>
      </c>
      <c r="AB83" s="2">
        <f t="shared" si="90"/>
        <v>0.5</v>
      </c>
      <c r="AC83" s="2">
        <f t="shared" si="91"/>
        <v>0.88842891865181139</v>
      </c>
      <c r="AD83" s="2">
        <f t="shared" si="92"/>
        <v>0.5</v>
      </c>
      <c r="AE83" s="2">
        <f t="shared" si="93"/>
        <v>0.88842891865181139</v>
      </c>
      <c r="AF83" s="2">
        <f t="shared" si="94"/>
        <v>0.5</v>
      </c>
      <c r="AG83" s="2">
        <f t="shared" si="95"/>
        <v>0.88842891865181139</v>
      </c>
      <c r="AH83" s="2">
        <f t="shared" si="96"/>
        <v>0.5</v>
      </c>
    </row>
    <row r="84" spans="1:34">
      <c r="A84" t="str">
        <f t="shared" si="97"/>
        <v>Vegetables</v>
      </c>
      <c r="B84" t="str">
        <f t="shared" si="98"/>
        <v>SH3</v>
      </c>
      <c r="C84" s="2">
        <f>INDEX(TargetProduction!$B$47:$H$61,MATCH($B84,TargetProduction!$A$47:$A$61,0),MATCH($A84,TargetProduction!$B$46:$H$46,0))</f>
        <v>0.83761349345047553</v>
      </c>
      <c r="D84" s="2">
        <f>INDEX(TargetProduction!$I$47:$O$61,MATCH($B84,TargetProduction!$A$47:$A$61,0),MATCH($A84,TargetProduction!$I$46:$O$46,0))</f>
        <v>0.5</v>
      </c>
      <c r="E84" s="2">
        <f t="shared" si="67"/>
        <v>0.83761349345047553</v>
      </c>
      <c r="F84" s="2">
        <f t="shared" si="68"/>
        <v>0.5</v>
      </c>
      <c r="G84" s="2">
        <f t="shared" si="69"/>
        <v>0.83761349345047553</v>
      </c>
      <c r="H84" s="2">
        <f t="shared" si="70"/>
        <v>0.5</v>
      </c>
      <c r="I84" s="2">
        <f t="shared" si="71"/>
        <v>0.83761349345047553</v>
      </c>
      <c r="J84" s="2">
        <f t="shared" si="72"/>
        <v>0.5</v>
      </c>
      <c r="K84" s="2">
        <f t="shared" si="73"/>
        <v>0.83761349345047553</v>
      </c>
      <c r="L84" s="2">
        <f t="shared" si="74"/>
        <v>0.5</v>
      </c>
      <c r="M84" s="2">
        <f t="shared" si="75"/>
        <v>0.83761349345047553</v>
      </c>
      <c r="N84" s="2">
        <f t="shared" si="76"/>
        <v>0.5</v>
      </c>
      <c r="O84" s="2">
        <f t="shared" si="77"/>
        <v>0.83761349345047553</v>
      </c>
      <c r="P84" s="2">
        <f t="shared" si="78"/>
        <v>0.5</v>
      </c>
      <c r="Q84" s="2">
        <f t="shared" si="79"/>
        <v>0.83761349345047553</v>
      </c>
      <c r="R84" s="2">
        <f t="shared" si="80"/>
        <v>0.5</v>
      </c>
      <c r="S84" s="2">
        <f t="shared" si="81"/>
        <v>0.83761349345047553</v>
      </c>
      <c r="T84" s="2">
        <f t="shared" si="82"/>
        <v>0.5</v>
      </c>
      <c r="U84" s="2">
        <f t="shared" si="83"/>
        <v>0.83761349345047553</v>
      </c>
      <c r="V84" s="2">
        <f t="shared" si="84"/>
        <v>0.5</v>
      </c>
      <c r="W84" s="2">
        <f t="shared" si="85"/>
        <v>0.83761349345047553</v>
      </c>
      <c r="X84" s="2">
        <f t="shared" si="86"/>
        <v>0.5</v>
      </c>
      <c r="Y84" s="2">
        <f t="shared" si="87"/>
        <v>0.83761349345047553</v>
      </c>
      <c r="Z84" s="2">
        <f t="shared" si="88"/>
        <v>0.5</v>
      </c>
      <c r="AA84" s="2">
        <f t="shared" si="89"/>
        <v>0.83761349345047553</v>
      </c>
      <c r="AB84" s="2">
        <f t="shared" si="90"/>
        <v>0.5</v>
      </c>
      <c r="AC84" s="2">
        <f t="shared" si="91"/>
        <v>0.83761349345047553</v>
      </c>
      <c r="AD84" s="2">
        <f t="shared" si="92"/>
        <v>0.5</v>
      </c>
      <c r="AE84" s="2">
        <f t="shared" si="93"/>
        <v>0.83761349345047553</v>
      </c>
      <c r="AF84" s="2">
        <f t="shared" si="94"/>
        <v>0.5</v>
      </c>
      <c r="AG84" s="2">
        <f t="shared" si="95"/>
        <v>0.83761349345047553</v>
      </c>
      <c r="AH84" s="2">
        <f t="shared" si="96"/>
        <v>0.5</v>
      </c>
    </row>
    <row r="85" spans="1:34">
      <c r="A85" t="str">
        <f t="shared" si="97"/>
        <v>Vegetables</v>
      </c>
      <c r="B85" t="str">
        <f t="shared" si="98"/>
        <v>SM2</v>
      </c>
      <c r="C85" s="2">
        <f>INDEX(TargetProduction!$B$47:$H$61,MATCH($B85,TargetProduction!$A$47:$A$61,0),MATCH($A85,TargetProduction!$B$46:$H$46,0))</f>
        <v>0.18068177519595655</v>
      </c>
      <c r="D85" s="2">
        <f>INDEX(TargetProduction!$I$47:$O$61,MATCH($B85,TargetProduction!$A$47:$A$61,0),MATCH($A85,TargetProduction!$I$46:$O$46,0))</f>
        <v>0.5</v>
      </c>
      <c r="E85" s="2">
        <f t="shared" si="67"/>
        <v>0.18068177519595655</v>
      </c>
      <c r="F85" s="2">
        <f t="shared" si="68"/>
        <v>0.5</v>
      </c>
      <c r="G85" s="2">
        <f t="shared" si="69"/>
        <v>0.18068177519595655</v>
      </c>
      <c r="H85" s="2">
        <f t="shared" si="70"/>
        <v>0.5</v>
      </c>
      <c r="I85" s="2">
        <f t="shared" si="71"/>
        <v>0.18068177519595655</v>
      </c>
      <c r="J85" s="2">
        <f t="shared" si="72"/>
        <v>0.5</v>
      </c>
      <c r="K85" s="2">
        <f t="shared" si="73"/>
        <v>0.18068177519595655</v>
      </c>
      <c r="L85" s="2">
        <f t="shared" si="74"/>
        <v>0.5</v>
      </c>
      <c r="M85" s="2">
        <f t="shared" si="75"/>
        <v>0.18068177519595655</v>
      </c>
      <c r="N85" s="2">
        <f t="shared" si="76"/>
        <v>0.5</v>
      </c>
      <c r="O85" s="2">
        <f t="shared" si="77"/>
        <v>0.18068177519595655</v>
      </c>
      <c r="P85" s="2">
        <f t="shared" si="78"/>
        <v>0.5</v>
      </c>
      <c r="Q85" s="2">
        <f t="shared" si="79"/>
        <v>0.18068177519595655</v>
      </c>
      <c r="R85" s="2">
        <f t="shared" si="80"/>
        <v>0.5</v>
      </c>
      <c r="S85" s="2">
        <f t="shared" si="81"/>
        <v>0.18068177519595655</v>
      </c>
      <c r="T85" s="2">
        <f t="shared" si="82"/>
        <v>0.5</v>
      </c>
      <c r="U85" s="2">
        <f t="shared" si="83"/>
        <v>0.18068177519595655</v>
      </c>
      <c r="V85" s="2">
        <f t="shared" si="84"/>
        <v>0.5</v>
      </c>
      <c r="W85" s="2">
        <f t="shared" si="85"/>
        <v>0.18068177519595655</v>
      </c>
      <c r="X85" s="2">
        <f t="shared" si="86"/>
        <v>0.5</v>
      </c>
      <c r="Y85" s="2">
        <f t="shared" si="87"/>
        <v>0.18068177519595655</v>
      </c>
      <c r="Z85" s="2">
        <f t="shared" si="88"/>
        <v>0.5</v>
      </c>
      <c r="AA85" s="2">
        <f t="shared" si="89"/>
        <v>0.18068177519595655</v>
      </c>
      <c r="AB85" s="2">
        <f t="shared" si="90"/>
        <v>0.5</v>
      </c>
      <c r="AC85" s="2">
        <f t="shared" si="91"/>
        <v>0.18068177519595655</v>
      </c>
      <c r="AD85" s="2">
        <f t="shared" si="92"/>
        <v>0.5</v>
      </c>
      <c r="AE85" s="2">
        <f t="shared" si="93"/>
        <v>0.18068177519595655</v>
      </c>
      <c r="AF85" s="2">
        <f t="shared" si="94"/>
        <v>0.5</v>
      </c>
      <c r="AG85" s="2">
        <f t="shared" si="95"/>
        <v>0.18068177519595655</v>
      </c>
      <c r="AH85" s="2">
        <f t="shared" si="96"/>
        <v>0.5</v>
      </c>
    </row>
    <row r="86" spans="1:34">
      <c r="A86" t="str">
        <f t="shared" si="97"/>
        <v>Vegetables</v>
      </c>
      <c r="B86" t="str">
        <f t="shared" si="98"/>
        <v>SM2N</v>
      </c>
      <c r="C86" s="2">
        <f>INDEX(TargetProduction!$B$47:$H$61,MATCH($B86,TargetProduction!$A$47:$A$61,0),MATCH($A86,TargetProduction!$B$46:$H$46,0))</f>
        <v>0.20878536618246471</v>
      </c>
      <c r="D86" s="2">
        <f>INDEX(TargetProduction!$I$47:$O$61,MATCH($B86,TargetProduction!$A$47:$A$61,0),MATCH($A86,TargetProduction!$I$46:$O$46,0))</f>
        <v>0.5</v>
      </c>
      <c r="E86" s="2">
        <f t="shared" si="67"/>
        <v>0.20878536618246471</v>
      </c>
      <c r="F86" s="2">
        <f t="shared" si="68"/>
        <v>0.5</v>
      </c>
      <c r="G86" s="2">
        <f t="shared" si="69"/>
        <v>0.20878536618246471</v>
      </c>
      <c r="H86" s="2">
        <f t="shared" si="70"/>
        <v>0.5</v>
      </c>
      <c r="I86" s="2">
        <f t="shared" si="71"/>
        <v>0.20878536618246471</v>
      </c>
      <c r="J86" s="2">
        <f t="shared" si="72"/>
        <v>0.5</v>
      </c>
      <c r="K86" s="2">
        <f t="shared" si="73"/>
        <v>0.20878536618246471</v>
      </c>
      <c r="L86" s="2">
        <f t="shared" si="74"/>
        <v>0.5</v>
      </c>
      <c r="M86" s="2">
        <f t="shared" si="75"/>
        <v>0.20878536618246471</v>
      </c>
      <c r="N86" s="2">
        <f t="shared" si="76"/>
        <v>0.5</v>
      </c>
      <c r="O86" s="2">
        <f t="shared" si="77"/>
        <v>0.20878536618246471</v>
      </c>
      <c r="P86" s="2">
        <f t="shared" si="78"/>
        <v>0.5</v>
      </c>
      <c r="Q86" s="2">
        <f t="shared" si="79"/>
        <v>0.20878536618246471</v>
      </c>
      <c r="R86" s="2">
        <f t="shared" si="80"/>
        <v>0.5</v>
      </c>
      <c r="S86" s="2">
        <f t="shared" si="81"/>
        <v>0.20878536618246471</v>
      </c>
      <c r="T86" s="2">
        <f t="shared" si="82"/>
        <v>0.5</v>
      </c>
      <c r="U86" s="2">
        <f t="shared" si="83"/>
        <v>0.20878536618246471</v>
      </c>
      <c r="V86" s="2">
        <f t="shared" si="84"/>
        <v>0.5</v>
      </c>
      <c r="W86" s="2">
        <f t="shared" si="85"/>
        <v>0.20878536618246471</v>
      </c>
      <c r="X86" s="2">
        <f t="shared" si="86"/>
        <v>0.5</v>
      </c>
      <c r="Y86" s="2">
        <f t="shared" si="87"/>
        <v>0.20878536618246471</v>
      </c>
      <c r="Z86" s="2">
        <f t="shared" si="88"/>
        <v>0.5</v>
      </c>
      <c r="AA86" s="2">
        <f t="shared" si="89"/>
        <v>0.20878536618246471</v>
      </c>
      <c r="AB86" s="2">
        <f t="shared" si="90"/>
        <v>0.5</v>
      </c>
      <c r="AC86" s="2">
        <f t="shared" si="91"/>
        <v>0.20878536618246471</v>
      </c>
      <c r="AD86" s="2">
        <f t="shared" si="92"/>
        <v>0.5</v>
      </c>
      <c r="AE86" s="2">
        <f t="shared" si="93"/>
        <v>0.20878536618246471</v>
      </c>
      <c r="AF86" s="2">
        <f t="shared" si="94"/>
        <v>0.5</v>
      </c>
      <c r="AG86" s="2">
        <f t="shared" si="95"/>
        <v>0.20878536618246471</v>
      </c>
      <c r="AH86" s="2">
        <f t="shared" si="96"/>
        <v>0.5</v>
      </c>
    </row>
    <row r="87" spans="1:34">
      <c r="A87" t="str">
        <f t="shared" si="97"/>
        <v>CashCrop</v>
      </c>
      <c r="B87" t="str">
        <f t="shared" si="98"/>
        <v>A1</v>
      </c>
      <c r="C87" s="2">
        <f>INDEX(TargetProduction!$B$47:$H$61,MATCH($B87,TargetProduction!$A$47:$A$61,0),MATCH($A87,TargetProduction!$B$46:$H$46,0))</f>
        <v>0.11189352835817612</v>
      </c>
      <c r="D87" s="2">
        <f>INDEX(TargetProduction!$I$47:$O$61,MATCH($B87,TargetProduction!$A$47:$A$61,0),MATCH($A87,TargetProduction!$I$46:$O$46,0))</f>
        <v>0.5</v>
      </c>
      <c r="E87" s="2">
        <f t="shared" ref="E87:E100" si="99">C87</f>
        <v>0.11189352835817612</v>
      </c>
      <c r="F87" s="2">
        <f t="shared" ref="F87:F100" si="100">D87</f>
        <v>0.5</v>
      </c>
      <c r="G87" s="2">
        <f t="shared" ref="G87:G100" si="101">E87</f>
        <v>0.11189352835817612</v>
      </c>
      <c r="H87" s="2">
        <f t="shared" ref="H87:H100" si="102">F87</f>
        <v>0.5</v>
      </c>
      <c r="I87" s="2">
        <f t="shared" ref="I87:I100" si="103">G87</f>
        <v>0.11189352835817612</v>
      </c>
      <c r="J87" s="2">
        <f t="shared" ref="J87:J100" si="104">H87</f>
        <v>0.5</v>
      </c>
      <c r="K87" s="2">
        <f t="shared" ref="K87:K100" si="105">I87</f>
        <v>0.11189352835817612</v>
      </c>
      <c r="L87" s="2">
        <f t="shared" ref="L87:L100" si="106">J87</f>
        <v>0.5</v>
      </c>
      <c r="M87" s="2">
        <f t="shared" ref="M87:M100" si="107">K87</f>
        <v>0.11189352835817612</v>
      </c>
      <c r="N87" s="2">
        <f t="shared" ref="N87:N100" si="108">L87</f>
        <v>0.5</v>
      </c>
      <c r="O87" s="2">
        <f t="shared" ref="O87:O100" si="109">M87</f>
        <v>0.11189352835817612</v>
      </c>
      <c r="P87" s="2">
        <f t="shared" ref="P87:P100" si="110">N87</f>
        <v>0.5</v>
      </c>
      <c r="Q87" s="2">
        <f t="shared" ref="Q87:Q100" si="111">O87</f>
        <v>0.11189352835817612</v>
      </c>
      <c r="R87" s="2">
        <f t="shared" ref="R87:R100" si="112">P87</f>
        <v>0.5</v>
      </c>
      <c r="S87" s="2">
        <f t="shared" ref="S87:S100" si="113">Q87</f>
        <v>0.11189352835817612</v>
      </c>
      <c r="T87" s="2">
        <f t="shared" ref="T87:T100" si="114">R87</f>
        <v>0.5</v>
      </c>
      <c r="U87" s="2">
        <f t="shared" ref="U87:U100" si="115">S87</f>
        <v>0.11189352835817612</v>
      </c>
      <c r="V87" s="2">
        <f t="shared" ref="V87:V100" si="116">T87</f>
        <v>0.5</v>
      </c>
      <c r="W87" s="2">
        <f t="shared" ref="W87:W100" si="117">U87</f>
        <v>0.11189352835817612</v>
      </c>
      <c r="X87" s="2">
        <f t="shared" ref="X87:X100" si="118">V87</f>
        <v>0.5</v>
      </c>
      <c r="Y87" s="2">
        <f t="shared" ref="Y87:Y100" si="119">W87</f>
        <v>0.11189352835817612</v>
      </c>
      <c r="Z87" s="2">
        <f t="shared" ref="Z87:Z100" si="120">X87</f>
        <v>0.5</v>
      </c>
      <c r="AA87" s="2">
        <f t="shared" ref="AA87:AA100" si="121">Y87</f>
        <v>0.11189352835817612</v>
      </c>
      <c r="AB87" s="2">
        <f t="shared" ref="AB87:AB100" si="122">Z87</f>
        <v>0.5</v>
      </c>
      <c r="AC87" s="2">
        <f t="shared" ref="AC87:AC100" si="123">AA87</f>
        <v>0.11189352835817612</v>
      </c>
      <c r="AD87" s="2">
        <f t="shared" ref="AD87:AD100" si="124">AB87</f>
        <v>0.5</v>
      </c>
      <c r="AE87" s="2">
        <f t="shared" ref="AE87:AE100" si="125">AC87</f>
        <v>0.11189352835817612</v>
      </c>
      <c r="AF87" s="2">
        <f t="shared" ref="AF87:AF100" si="126">AD87</f>
        <v>0.5</v>
      </c>
      <c r="AG87" s="2">
        <f t="shared" ref="AG87:AG100" si="127">AE87</f>
        <v>0.11189352835817612</v>
      </c>
      <c r="AH87" s="2">
        <f t="shared" ref="AH87:AH100" si="128">AF87</f>
        <v>0.5</v>
      </c>
    </row>
    <row r="88" spans="1:34">
      <c r="A88" t="str">
        <f t="shared" si="97"/>
        <v>CashCrop</v>
      </c>
      <c r="B88" t="str">
        <f t="shared" si="98"/>
        <v>H2</v>
      </c>
      <c r="C88" s="2">
        <f>INDEX(TargetProduction!$B$47:$H$61,MATCH($B88,TargetProduction!$A$47:$A$61,0),MATCH($A88,TargetProduction!$B$46:$H$46,0))</f>
        <v>0.8661439517419135</v>
      </c>
      <c r="D88" s="2">
        <f>INDEX(TargetProduction!$I$47:$O$61,MATCH($B88,TargetProduction!$A$47:$A$61,0),MATCH($A88,TargetProduction!$I$46:$O$46,0))</f>
        <v>0.5</v>
      </c>
      <c r="E88" s="2">
        <f t="shared" si="99"/>
        <v>0.8661439517419135</v>
      </c>
      <c r="F88" s="2">
        <f t="shared" si="100"/>
        <v>0.5</v>
      </c>
      <c r="G88" s="2">
        <f t="shared" si="101"/>
        <v>0.8661439517419135</v>
      </c>
      <c r="H88" s="2">
        <f t="shared" si="102"/>
        <v>0.5</v>
      </c>
      <c r="I88" s="2">
        <f t="shared" si="103"/>
        <v>0.8661439517419135</v>
      </c>
      <c r="J88" s="2">
        <f t="shared" si="104"/>
        <v>0.5</v>
      </c>
      <c r="K88" s="2">
        <f t="shared" si="105"/>
        <v>0.8661439517419135</v>
      </c>
      <c r="L88" s="2">
        <f t="shared" si="106"/>
        <v>0.5</v>
      </c>
      <c r="M88" s="2">
        <f t="shared" si="107"/>
        <v>0.8661439517419135</v>
      </c>
      <c r="N88" s="2">
        <f t="shared" si="108"/>
        <v>0.5</v>
      </c>
      <c r="O88" s="2">
        <f t="shared" si="109"/>
        <v>0.8661439517419135</v>
      </c>
      <c r="P88" s="2">
        <f t="shared" si="110"/>
        <v>0.5</v>
      </c>
      <c r="Q88" s="2">
        <f t="shared" si="111"/>
        <v>0.8661439517419135</v>
      </c>
      <c r="R88" s="2">
        <f t="shared" si="112"/>
        <v>0.5</v>
      </c>
      <c r="S88" s="2">
        <f t="shared" si="113"/>
        <v>0.8661439517419135</v>
      </c>
      <c r="T88" s="2">
        <f t="shared" si="114"/>
        <v>0.5</v>
      </c>
      <c r="U88" s="2">
        <f t="shared" si="115"/>
        <v>0.8661439517419135</v>
      </c>
      <c r="V88" s="2">
        <f t="shared" si="116"/>
        <v>0.5</v>
      </c>
      <c r="W88" s="2">
        <f t="shared" si="117"/>
        <v>0.8661439517419135</v>
      </c>
      <c r="X88" s="2">
        <f t="shared" si="118"/>
        <v>0.5</v>
      </c>
      <c r="Y88" s="2">
        <f t="shared" si="119"/>
        <v>0.8661439517419135</v>
      </c>
      <c r="Z88" s="2">
        <f t="shared" si="120"/>
        <v>0.5</v>
      </c>
      <c r="AA88" s="2">
        <f t="shared" si="121"/>
        <v>0.8661439517419135</v>
      </c>
      <c r="AB88" s="2">
        <f t="shared" si="122"/>
        <v>0.5</v>
      </c>
      <c r="AC88" s="2">
        <f t="shared" si="123"/>
        <v>0.8661439517419135</v>
      </c>
      <c r="AD88" s="2">
        <f t="shared" si="124"/>
        <v>0.5</v>
      </c>
      <c r="AE88" s="2">
        <f t="shared" si="125"/>
        <v>0.8661439517419135</v>
      </c>
      <c r="AF88" s="2">
        <f t="shared" si="126"/>
        <v>0.5</v>
      </c>
      <c r="AG88" s="2">
        <f t="shared" si="127"/>
        <v>0.8661439517419135</v>
      </c>
      <c r="AH88" s="2">
        <f t="shared" si="128"/>
        <v>0.5</v>
      </c>
    </row>
    <row r="89" spans="1:34">
      <c r="A89" t="str">
        <f t="shared" si="97"/>
        <v>CashCrop</v>
      </c>
      <c r="B89" t="str">
        <f t="shared" si="98"/>
        <v>H3</v>
      </c>
      <c r="C89" s="2">
        <f>INDEX(TargetProduction!$B$47:$H$61,MATCH($B89,TargetProduction!$A$47:$A$61,0),MATCH($A89,TargetProduction!$B$46:$H$46,0))</f>
        <v>0.70690844308185419</v>
      </c>
      <c r="D89" s="2">
        <f>INDEX(TargetProduction!$I$47:$O$61,MATCH($B89,TargetProduction!$A$47:$A$61,0),MATCH($A89,TargetProduction!$I$46:$O$46,0))</f>
        <v>0.5</v>
      </c>
      <c r="E89" s="2">
        <f t="shared" si="99"/>
        <v>0.70690844308185419</v>
      </c>
      <c r="F89" s="2">
        <f t="shared" si="100"/>
        <v>0.5</v>
      </c>
      <c r="G89" s="2">
        <f t="shared" si="101"/>
        <v>0.70690844308185419</v>
      </c>
      <c r="H89" s="2">
        <f t="shared" si="102"/>
        <v>0.5</v>
      </c>
      <c r="I89" s="2">
        <f t="shared" si="103"/>
        <v>0.70690844308185419</v>
      </c>
      <c r="J89" s="2">
        <f t="shared" si="104"/>
        <v>0.5</v>
      </c>
      <c r="K89" s="2">
        <f t="shared" si="105"/>
        <v>0.70690844308185419</v>
      </c>
      <c r="L89" s="2">
        <f t="shared" si="106"/>
        <v>0.5</v>
      </c>
      <c r="M89" s="2">
        <f t="shared" si="107"/>
        <v>0.70690844308185419</v>
      </c>
      <c r="N89" s="2">
        <f t="shared" si="108"/>
        <v>0.5</v>
      </c>
      <c r="O89" s="2">
        <f t="shared" si="109"/>
        <v>0.70690844308185419</v>
      </c>
      <c r="P89" s="2">
        <f t="shared" si="110"/>
        <v>0.5</v>
      </c>
      <c r="Q89" s="2">
        <f t="shared" si="111"/>
        <v>0.70690844308185419</v>
      </c>
      <c r="R89" s="2">
        <f t="shared" si="112"/>
        <v>0.5</v>
      </c>
      <c r="S89" s="2">
        <f t="shared" si="113"/>
        <v>0.70690844308185419</v>
      </c>
      <c r="T89" s="2">
        <f t="shared" si="114"/>
        <v>0.5</v>
      </c>
      <c r="U89" s="2">
        <f t="shared" si="115"/>
        <v>0.70690844308185419</v>
      </c>
      <c r="V89" s="2">
        <f t="shared" si="116"/>
        <v>0.5</v>
      </c>
      <c r="W89" s="2">
        <f t="shared" si="117"/>
        <v>0.70690844308185419</v>
      </c>
      <c r="X89" s="2">
        <f t="shared" si="118"/>
        <v>0.5</v>
      </c>
      <c r="Y89" s="2">
        <f t="shared" si="119"/>
        <v>0.70690844308185419</v>
      </c>
      <c r="Z89" s="2">
        <f t="shared" si="120"/>
        <v>0.5</v>
      </c>
      <c r="AA89" s="2">
        <f t="shared" si="121"/>
        <v>0.70690844308185419</v>
      </c>
      <c r="AB89" s="2">
        <f t="shared" si="122"/>
        <v>0.5</v>
      </c>
      <c r="AC89" s="2">
        <f t="shared" si="123"/>
        <v>0.70690844308185419</v>
      </c>
      <c r="AD89" s="2">
        <f t="shared" si="124"/>
        <v>0.5</v>
      </c>
      <c r="AE89" s="2">
        <f t="shared" si="125"/>
        <v>0.70690844308185419</v>
      </c>
      <c r="AF89" s="2">
        <f t="shared" si="126"/>
        <v>0.5</v>
      </c>
      <c r="AG89" s="2">
        <f t="shared" si="127"/>
        <v>0.70690844308185419</v>
      </c>
      <c r="AH89" s="2">
        <f t="shared" si="128"/>
        <v>0.5</v>
      </c>
    </row>
    <row r="90" spans="1:34">
      <c r="A90" t="str">
        <f t="shared" si="97"/>
        <v>CashCrop</v>
      </c>
      <c r="B90" t="str">
        <f t="shared" si="98"/>
        <v>H4</v>
      </c>
      <c r="C90" s="2">
        <f>INDEX(TargetProduction!$B$47:$H$61,MATCH($B90,TargetProduction!$A$47:$A$61,0),MATCH($A90,TargetProduction!$B$46:$H$46,0))</f>
        <v>0.54183996306873095</v>
      </c>
      <c r="D90" s="2">
        <f>INDEX(TargetProduction!$I$47:$O$61,MATCH($B90,TargetProduction!$A$47:$A$61,0),MATCH($A90,TargetProduction!$I$46:$O$46,0))</f>
        <v>0.5</v>
      </c>
      <c r="E90" s="2">
        <f t="shared" si="99"/>
        <v>0.54183996306873095</v>
      </c>
      <c r="F90" s="2">
        <f t="shared" si="100"/>
        <v>0.5</v>
      </c>
      <c r="G90" s="2">
        <f t="shared" si="101"/>
        <v>0.54183996306873095</v>
      </c>
      <c r="H90" s="2">
        <f t="shared" si="102"/>
        <v>0.5</v>
      </c>
      <c r="I90" s="2">
        <f t="shared" si="103"/>
        <v>0.54183996306873095</v>
      </c>
      <c r="J90" s="2">
        <f t="shared" si="104"/>
        <v>0.5</v>
      </c>
      <c r="K90" s="2">
        <f t="shared" si="105"/>
        <v>0.54183996306873095</v>
      </c>
      <c r="L90" s="2">
        <f t="shared" si="106"/>
        <v>0.5</v>
      </c>
      <c r="M90" s="2">
        <f t="shared" si="107"/>
        <v>0.54183996306873095</v>
      </c>
      <c r="N90" s="2">
        <f t="shared" si="108"/>
        <v>0.5</v>
      </c>
      <c r="O90" s="2">
        <f t="shared" si="109"/>
        <v>0.54183996306873095</v>
      </c>
      <c r="P90" s="2">
        <f t="shared" si="110"/>
        <v>0.5</v>
      </c>
      <c r="Q90" s="2">
        <f t="shared" si="111"/>
        <v>0.54183996306873095</v>
      </c>
      <c r="R90" s="2">
        <f t="shared" si="112"/>
        <v>0.5</v>
      </c>
      <c r="S90" s="2">
        <f t="shared" si="113"/>
        <v>0.54183996306873095</v>
      </c>
      <c r="T90" s="2">
        <f t="shared" si="114"/>
        <v>0.5</v>
      </c>
      <c r="U90" s="2">
        <f t="shared" si="115"/>
        <v>0.54183996306873095</v>
      </c>
      <c r="V90" s="2">
        <f t="shared" si="116"/>
        <v>0.5</v>
      </c>
      <c r="W90" s="2">
        <f t="shared" si="117"/>
        <v>0.54183996306873095</v>
      </c>
      <c r="X90" s="2">
        <f t="shared" si="118"/>
        <v>0.5</v>
      </c>
      <c r="Y90" s="2">
        <f t="shared" si="119"/>
        <v>0.54183996306873095</v>
      </c>
      <c r="Z90" s="2">
        <f t="shared" si="120"/>
        <v>0.5</v>
      </c>
      <c r="AA90" s="2">
        <f t="shared" si="121"/>
        <v>0.54183996306873095</v>
      </c>
      <c r="AB90" s="2">
        <f t="shared" si="122"/>
        <v>0.5</v>
      </c>
      <c r="AC90" s="2">
        <f t="shared" si="123"/>
        <v>0.54183996306873095</v>
      </c>
      <c r="AD90" s="2">
        <f t="shared" si="124"/>
        <v>0.5</v>
      </c>
      <c r="AE90" s="2">
        <f t="shared" si="125"/>
        <v>0.54183996306873095</v>
      </c>
      <c r="AF90" s="2">
        <f t="shared" si="126"/>
        <v>0.5</v>
      </c>
      <c r="AG90" s="2">
        <f t="shared" si="127"/>
        <v>0.54183996306873095</v>
      </c>
      <c r="AH90" s="2">
        <f t="shared" si="128"/>
        <v>0.5</v>
      </c>
    </row>
    <row r="91" spans="1:34">
      <c r="A91" t="str">
        <f t="shared" si="97"/>
        <v>CashCrop</v>
      </c>
      <c r="B91" t="str">
        <f t="shared" si="98"/>
        <v>H5</v>
      </c>
      <c r="C91" s="2">
        <f>INDEX(TargetProduction!$B$47:$H$61,MATCH($B91,TargetProduction!$A$47:$A$61,0),MATCH($A91,TargetProduction!$B$46:$H$46,0))</f>
        <v>0.44945309158412855</v>
      </c>
      <c r="D91" s="2">
        <f>INDEX(TargetProduction!$I$47:$O$61,MATCH($B91,TargetProduction!$A$47:$A$61,0),MATCH($A91,TargetProduction!$I$46:$O$46,0))</f>
        <v>0.5</v>
      </c>
      <c r="E91" s="2">
        <f t="shared" si="99"/>
        <v>0.44945309158412855</v>
      </c>
      <c r="F91" s="2">
        <f t="shared" si="100"/>
        <v>0.5</v>
      </c>
      <c r="G91" s="2">
        <f t="shared" si="101"/>
        <v>0.44945309158412855</v>
      </c>
      <c r="H91" s="2">
        <f t="shared" si="102"/>
        <v>0.5</v>
      </c>
      <c r="I91" s="2">
        <f t="shared" si="103"/>
        <v>0.44945309158412855</v>
      </c>
      <c r="J91" s="2">
        <f t="shared" si="104"/>
        <v>0.5</v>
      </c>
      <c r="K91" s="2">
        <f t="shared" si="105"/>
        <v>0.44945309158412855</v>
      </c>
      <c r="L91" s="2">
        <f t="shared" si="106"/>
        <v>0.5</v>
      </c>
      <c r="M91" s="2">
        <f t="shared" si="107"/>
        <v>0.44945309158412855</v>
      </c>
      <c r="N91" s="2">
        <f t="shared" si="108"/>
        <v>0.5</v>
      </c>
      <c r="O91" s="2">
        <f t="shared" si="109"/>
        <v>0.44945309158412855</v>
      </c>
      <c r="P91" s="2">
        <f t="shared" si="110"/>
        <v>0.5</v>
      </c>
      <c r="Q91" s="2">
        <f t="shared" si="111"/>
        <v>0.44945309158412855</v>
      </c>
      <c r="R91" s="2">
        <f t="shared" si="112"/>
        <v>0.5</v>
      </c>
      <c r="S91" s="2">
        <f t="shared" si="113"/>
        <v>0.44945309158412855</v>
      </c>
      <c r="T91" s="2">
        <f t="shared" si="114"/>
        <v>0.5</v>
      </c>
      <c r="U91" s="2">
        <f t="shared" si="115"/>
        <v>0.44945309158412855</v>
      </c>
      <c r="V91" s="2">
        <f t="shared" si="116"/>
        <v>0.5</v>
      </c>
      <c r="W91" s="2">
        <f t="shared" si="117"/>
        <v>0.44945309158412855</v>
      </c>
      <c r="X91" s="2">
        <f t="shared" si="118"/>
        <v>0.5</v>
      </c>
      <c r="Y91" s="2">
        <f t="shared" si="119"/>
        <v>0.44945309158412855</v>
      </c>
      <c r="Z91" s="2">
        <f t="shared" si="120"/>
        <v>0.5</v>
      </c>
      <c r="AA91" s="2">
        <f t="shared" si="121"/>
        <v>0.44945309158412855</v>
      </c>
      <c r="AB91" s="2">
        <f t="shared" si="122"/>
        <v>0.5</v>
      </c>
      <c r="AC91" s="2">
        <f t="shared" si="123"/>
        <v>0.44945309158412855</v>
      </c>
      <c r="AD91" s="2">
        <f t="shared" si="124"/>
        <v>0.5</v>
      </c>
      <c r="AE91" s="2">
        <f t="shared" si="125"/>
        <v>0.44945309158412855</v>
      </c>
      <c r="AF91" s="2">
        <f t="shared" si="126"/>
        <v>0.5</v>
      </c>
      <c r="AG91" s="2">
        <f t="shared" si="127"/>
        <v>0.44945309158412855</v>
      </c>
      <c r="AH91" s="2">
        <f t="shared" si="128"/>
        <v>0.5</v>
      </c>
    </row>
    <row r="92" spans="1:34">
      <c r="A92" t="str">
        <f t="shared" si="97"/>
        <v>CashCrop</v>
      </c>
      <c r="B92" t="str">
        <f t="shared" si="98"/>
        <v>M1</v>
      </c>
      <c r="C92" s="2">
        <f>INDEX(TargetProduction!$B$47:$H$61,MATCH($B92,TargetProduction!$A$47:$A$61,0),MATCH($A92,TargetProduction!$B$46:$H$46,0))</f>
        <v>0.51195066677824663</v>
      </c>
      <c r="D92" s="2">
        <f>INDEX(TargetProduction!$I$47:$O$61,MATCH($B92,TargetProduction!$A$47:$A$61,0),MATCH($A92,TargetProduction!$I$46:$O$46,0))</f>
        <v>0.5</v>
      </c>
      <c r="E92" s="2">
        <f t="shared" si="99"/>
        <v>0.51195066677824663</v>
      </c>
      <c r="F92" s="2">
        <f t="shared" si="100"/>
        <v>0.5</v>
      </c>
      <c r="G92" s="2">
        <f t="shared" si="101"/>
        <v>0.51195066677824663</v>
      </c>
      <c r="H92" s="2">
        <f t="shared" si="102"/>
        <v>0.5</v>
      </c>
      <c r="I92" s="2">
        <f t="shared" si="103"/>
        <v>0.51195066677824663</v>
      </c>
      <c r="J92" s="2">
        <f t="shared" si="104"/>
        <v>0.5</v>
      </c>
      <c r="K92" s="2">
        <f t="shared" si="105"/>
        <v>0.51195066677824663</v>
      </c>
      <c r="L92" s="2">
        <f t="shared" si="106"/>
        <v>0.5</v>
      </c>
      <c r="M92" s="2">
        <f t="shared" si="107"/>
        <v>0.51195066677824663</v>
      </c>
      <c r="N92" s="2">
        <f t="shared" si="108"/>
        <v>0.5</v>
      </c>
      <c r="O92" s="2">
        <f t="shared" si="109"/>
        <v>0.51195066677824663</v>
      </c>
      <c r="P92" s="2">
        <f t="shared" si="110"/>
        <v>0.5</v>
      </c>
      <c r="Q92" s="2">
        <f t="shared" si="111"/>
        <v>0.51195066677824663</v>
      </c>
      <c r="R92" s="2">
        <f t="shared" si="112"/>
        <v>0.5</v>
      </c>
      <c r="S92" s="2">
        <f t="shared" si="113"/>
        <v>0.51195066677824663</v>
      </c>
      <c r="T92" s="2">
        <f t="shared" si="114"/>
        <v>0.5</v>
      </c>
      <c r="U92" s="2">
        <f t="shared" si="115"/>
        <v>0.51195066677824663</v>
      </c>
      <c r="V92" s="2">
        <f t="shared" si="116"/>
        <v>0.5</v>
      </c>
      <c r="W92" s="2">
        <f t="shared" si="117"/>
        <v>0.51195066677824663</v>
      </c>
      <c r="X92" s="2">
        <f t="shared" si="118"/>
        <v>0.5</v>
      </c>
      <c r="Y92" s="2">
        <f t="shared" si="119"/>
        <v>0.51195066677824663</v>
      </c>
      <c r="Z92" s="2">
        <f t="shared" si="120"/>
        <v>0.5</v>
      </c>
      <c r="AA92" s="2">
        <f t="shared" si="121"/>
        <v>0.51195066677824663</v>
      </c>
      <c r="AB92" s="2">
        <f t="shared" si="122"/>
        <v>0.5</v>
      </c>
      <c r="AC92" s="2">
        <f t="shared" si="123"/>
        <v>0.51195066677824663</v>
      </c>
      <c r="AD92" s="2">
        <f t="shared" si="124"/>
        <v>0.5</v>
      </c>
      <c r="AE92" s="2">
        <f t="shared" si="125"/>
        <v>0.51195066677824663</v>
      </c>
      <c r="AF92" s="2">
        <f t="shared" si="126"/>
        <v>0.5</v>
      </c>
      <c r="AG92" s="2">
        <f t="shared" si="127"/>
        <v>0.51195066677824663</v>
      </c>
      <c r="AH92" s="2">
        <f t="shared" si="128"/>
        <v>0.5</v>
      </c>
    </row>
    <row r="93" spans="1:34">
      <c r="A93" t="str">
        <f t="shared" si="97"/>
        <v>CashCrop</v>
      </c>
      <c r="B93" t="str">
        <f t="shared" si="98"/>
        <v>M3</v>
      </c>
      <c r="C93" s="2">
        <f>INDEX(TargetProduction!$B$47:$H$61,MATCH($B93,TargetProduction!$A$47:$A$61,0),MATCH($A93,TargetProduction!$B$46:$H$46,0))</f>
        <v>0.61394748337379923</v>
      </c>
      <c r="D93" s="2">
        <f>INDEX(TargetProduction!$I$47:$O$61,MATCH($B93,TargetProduction!$A$47:$A$61,0),MATCH($A93,TargetProduction!$I$46:$O$46,0))</f>
        <v>0.5</v>
      </c>
      <c r="E93" s="2">
        <f t="shared" si="99"/>
        <v>0.61394748337379923</v>
      </c>
      <c r="F93" s="2">
        <f t="shared" si="100"/>
        <v>0.5</v>
      </c>
      <c r="G93" s="2">
        <f t="shared" si="101"/>
        <v>0.61394748337379923</v>
      </c>
      <c r="H93" s="2">
        <f t="shared" si="102"/>
        <v>0.5</v>
      </c>
      <c r="I93" s="2">
        <f t="shared" si="103"/>
        <v>0.61394748337379923</v>
      </c>
      <c r="J93" s="2">
        <f t="shared" si="104"/>
        <v>0.5</v>
      </c>
      <c r="K93" s="2">
        <f t="shared" si="105"/>
        <v>0.61394748337379923</v>
      </c>
      <c r="L93" s="2">
        <f t="shared" si="106"/>
        <v>0.5</v>
      </c>
      <c r="M93" s="2">
        <f t="shared" si="107"/>
        <v>0.61394748337379923</v>
      </c>
      <c r="N93" s="2">
        <f t="shared" si="108"/>
        <v>0.5</v>
      </c>
      <c r="O93" s="2">
        <f t="shared" si="109"/>
        <v>0.61394748337379923</v>
      </c>
      <c r="P93" s="2">
        <f t="shared" si="110"/>
        <v>0.5</v>
      </c>
      <c r="Q93" s="2">
        <f t="shared" si="111"/>
        <v>0.61394748337379923</v>
      </c>
      <c r="R93" s="2">
        <f t="shared" si="112"/>
        <v>0.5</v>
      </c>
      <c r="S93" s="2">
        <f t="shared" si="113"/>
        <v>0.61394748337379923</v>
      </c>
      <c r="T93" s="2">
        <f t="shared" si="114"/>
        <v>0.5</v>
      </c>
      <c r="U93" s="2">
        <f t="shared" si="115"/>
        <v>0.61394748337379923</v>
      </c>
      <c r="V93" s="2">
        <f t="shared" si="116"/>
        <v>0.5</v>
      </c>
      <c r="W93" s="2">
        <f t="shared" si="117"/>
        <v>0.61394748337379923</v>
      </c>
      <c r="X93" s="2">
        <f t="shared" si="118"/>
        <v>0.5</v>
      </c>
      <c r="Y93" s="2">
        <f t="shared" si="119"/>
        <v>0.61394748337379923</v>
      </c>
      <c r="Z93" s="2">
        <f t="shared" si="120"/>
        <v>0.5</v>
      </c>
      <c r="AA93" s="2">
        <f t="shared" si="121"/>
        <v>0.61394748337379923</v>
      </c>
      <c r="AB93" s="2">
        <f t="shared" si="122"/>
        <v>0.5</v>
      </c>
      <c r="AC93" s="2">
        <f t="shared" si="123"/>
        <v>0.61394748337379923</v>
      </c>
      <c r="AD93" s="2">
        <f t="shared" si="124"/>
        <v>0.5</v>
      </c>
      <c r="AE93" s="2">
        <f t="shared" si="125"/>
        <v>0.61394748337379923</v>
      </c>
      <c r="AF93" s="2">
        <f t="shared" si="126"/>
        <v>0.5</v>
      </c>
      <c r="AG93" s="2">
        <f t="shared" si="127"/>
        <v>0.61394748337379923</v>
      </c>
      <c r="AH93" s="2">
        <f t="shared" si="128"/>
        <v>0.5</v>
      </c>
    </row>
    <row r="94" spans="1:34">
      <c r="A94" t="str">
        <f t="shared" si="97"/>
        <v>CashCrop</v>
      </c>
      <c r="B94" t="str">
        <f t="shared" si="98"/>
        <v>M5</v>
      </c>
      <c r="C94" s="2">
        <f>INDEX(TargetProduction!$B$47:$H$61,MATCH($B94,TargetProduction!$A$47:$A$61,0),MATCH($A94,TargetProduction!$B$46:$H$46,0))</f>
        <v>0.57365144063926621</v>
      </c>
      <c r="D94" s="2">
        <f>INDEX(TargetProduction!$I$47:$O$61,MATCH($B94,TargetProduction!$A$47:$A$61,0),MATCH($A94,TargetProduction!$I$46:$O$46,0))</f>
        <v>0.5</v>
      </c>
      <c r="E94" s="2">
        <f t="shared" si="99"/>
        <v>0.57365144063926621</v>
      </c>
      <c r="F94" s="2">
        <f t="shared" si="100"/>
        <v>0.5</v>
      </c>
      <c r="G94" s="2">
        <f t="shared" si="101"/>
        <v>0.57365144063926621</v>
      </c>
      <c r="H94" s="2">
        <f t="shared" si="102"/>
        <v>0.5</v>
      </c>
      <c r="I94" s="2">
        <f t="shared" si="103"/>
        <v>0.57365144063926621</v>
      </c>
      <c r="J94" s="2">
        <f t="shared" si="104"/>
        <v>0.5</v>
      </c>
      <c r="K94" s="2">
        <f t="shared" si="105"/>
        <v>0.57365144063926621</v>
      </c>
      <c r="L94" s="2">
        <f t="shared" si="106"/>
        <v>0.5</v>
      </c>
      <c r="M94" s="2">
        <f t="shared" si="107"/>
        <v>0.57365144063926621</v>
      </c>
      <c r="N94" s="2">
        <f t="shared" si="108"/>
        <v>0.5</v>
      </c>
      <c r="O94" s="2">
        <f t="shared" si="109"/>
        <v>0.57365144063926621</v>
      </c>
      <c r="P94" s="2">
        <f t="shared" si="110"/>
        <v>0.5</v>
      </c>
      <c r="Q94" s="2">
        <f t="shared" si="111"/>
        <v>0.57365144063926621</v>
      </c>
      <c r="R94" s="2">
        <f t="shared" si="112"/>
        <v>0.5</v>
      </c>
      <c r="S94" s="2">
        <f t="shared" si="113"/>
        <v>0.57365144063926621</v>
      </c>
      <c r="T94" s="2">
        <f t="shared" si="114"/>
        <v>0.5</v>
      </c>
      <c r="U94" s="2">
        <f t="shared" si="115"/>
        <v>0.57365144063926621</v>
      </c>
      <c r="V94" s="2">
        <f t="shared" si="116"/>
        <v>0.5</v>
      </c>
      <c r="W94" s="2">
        <f t="shared" si="117"/>
        <v>0.57365144063926621</v>
      </c>
      <c r="X94" s="2">
        <f t="shared" si="118"/>
        <v>0.5</v>
      </c>
      <c r="Y94" s="2">
        <f t="shared" si="119"/>
        <v>0.57365144063926621</v>
      </c>
      <c r="Z94" s="2">
        <f t="shared" si="120"/>
        <v>0.5</v>
      </c>
      <c r="AA94" s="2">
        <f t="shared" si="121"/>
        <v>0.57365144063926621</v>
      </c>
      <c r="AB94" s="2">
        <f t="shared" si="122"/>
        <v>0.5</v>
      </c>
      <c r="AC94" s="2">
        <f t="shared" si="123"/>
        <v>0.57365144063926621</v>
      </c>
      <c r="AD94" s="2">
        <f t="shared" si="124"/>
        <v>0.5</v>
      </c>
      <c r="AE94" s="2">
        <f t="shared" si="125"/>
        <v>0.57365144063926621</v>
      </c>
      <c r="AF94" s="2">
        <f t="shared" si="126"/>
        <v>0.5</v>
      </c>
      <c r="AG94" s="2">
        <f t="shared" si="127"/>
        <v>0.57365144063926621</v>
      </c>
      <c r="AH94" s="2">
        <f t="shared" si="128"/>
        <v>0.5</v>
      </c>
    </row>
    <row r="95" spans="1:34">
      <c r="A95" t="str">
        <f t="shared" si="97"/>
        <v>CashCrop</v>
      </c>
      <c r="B95" t="str">
        <f t="shared" si="98"/>
        <v>SA1</v>
      </c>
      <c r="C95" s="2">
        <f>INDEX(TargetProduction!$B$47:$H$61,MATCH($B95,TargetProduction!$A$47:$A$61,0),MATCH($A95,TargetProduction!$B$46:$H$46,0))</f>
        <v>0.60902701278208082</v>
      </c>
      <c r="D95" s="2">
        <f>INDEX(TargetProduction!$I$47:$O$61,MATCH($B95,TargetProduction!$A$47:$A$61,0),MATCH($A95,TargetProduction!$I$46:$O$46,0))</f>
        <v>0.5</v>
      </c>
      <c r="E95" s="2">
        <f t="shared" si="99"/>
        <v>0.60902701278208082</v>
      </c>
      <c r="F95" s="2">
        <f t="shared" si="100"/>
        <v>0.5</v>
      </c>
      <c r="G95" s="2">
        <f t="shared" si="101"/>
        <v>0.60902701278208082</v>
      </c>
      <c r="H95" s="2">
        <f t="shared" si="102"/>
        <v>0.5</v>
      </c>
      <c r="I95" s="2">
        <f t="shared" si="103"/>
        <v>0.60902701278208082</v>
      </c>
      <c r="J95" s="2">
        <f t="shared" si="104"/>
        <v>0.5</v>
      </c>
      <c r="K95" s="2">
        <f t="shared" si="105"/>
        <v>0.60902701278208082</v>
      </c>
      <c r="L95" s="2">
        <f t="shared" si="106"/>
        <v>0.5</v>
      </c>
      <c r="M95" s="2">
        <f t="shared" si="107"/>
        <v>0.60902701278208082</v>
      </c>
      <c r="N95" s="2">
        <f t="shared" si="108"/>
        <v>0.5</v>
      </c>
      <c r="O95" s="2">
        <f t="shared" si="109"/>
        <v>0.60902701278208082</v>
      </c>
      <c r="P95" s="2">
        <f t="shared" si="110"/>
        <v>0.5</v>
      </c>
      <c r="Q95" s="2">
        <f t="shared" si="111"/>
        <v>0.60902701278208082</v>
      </c>
      <c r="R95" s="2">
        <f t="shared" si="112"/>
        <v>0.5</v>
      </c>
      <c r="S95" s="2">
        <f t="shared" si="113"/>
        <v>0.60902701278208082</v>
      </c>
      <c r="T95" s="2">
        <f t="shared" si="114"/>
        <v>0.5</v>
      </c>
      <c r="U95" s="2">
        <f t="shared" si="115"/>
        <v>0.60902701278208082</v>
      </c>
      <c r="V95" s="2">
        <f t="shared" si="116"/>
        <v>0.5</v>
      </c>
      <c r="W95" s="2">
        <f t="shared" si="117"/>
        <v>0.60902701278208082</v>
      </c>
      <c r="X95" s="2">
        <f t="shared" si="118"/>
        <v>0.5</v>
      </c>
      <c r="Y95" s="2">
        <f t="shared" si="119"/>
        <v>0.60902701278208082</v>
      </c>
      <c r="Z95" s="2">
        <f t="shared" si="120"/>
        <v>0.5</v>
      </c>
      <c r="AA95" s="2">
        <f t="shared" si="121"/>
        <v>0.60902701278208082</v>
      </c>
      <c r="AB95" s="2">
        <f t="shared" si="122"/>
        <v>0.5</v>
      </c>
      <c r="AC95" s="2">
        <f t="shared" si="123"/>
        <v>0.60902701278208082</v>
      </c>
      <c r="AD95" s="2">
        <f t="shared" si="124"/>
        <v>0.5</v>
      </c>
      <c r="AE95" s="2">
        <f t="shared" si="125"/>
        <v>0.60902701278208082</v>
      </c>
      <c r="AF95" s="2">
        <f t="shared" si="126"/>
        <v>0.5</v>
      </c>
      <c r="AG95" s="2">
        <f t="shared" si="127"/>
        <v>0.60902701278208082</v>
      </c>
      <c r="AH95" s="2">
        <f t="shared" si="128"/>
        <v>0.5</v>
      </c>
    </row>
    <row r="96" spans="1:34">
      <c r="A96" t="str">
        <f t="shared" si="97"/>
        <v>CashCrop</v>
      </c>
      <c r="B96" t="str">
        <f t="shared" si="98"/>
        <v>SA3</v>
      </c>
      <c r="C96" s="2">
        <f>INDEX(TargetProduction!$B$47:$H$61,MATCH($B96,TargetProduction!$A$47:$A$61,0),MATCH($A96,TargetProduction!$B$46:$H$46,0))</f>
        <v>0.42937296601490621</v>
      </c>
      <c r="D96" s="2">
        <f>INDEX(TargetProduction!$I$47:$O$61,MATCH($B96,TargetProduction!$A$47:$A$61,0),MATCH($A96,TargetProduction!$I$46:$O$46,0))</f>
        <v>0.5</v>
      </c>
      <c r="E96" s="2">
        <f t="shared" si="99"/>
        <v>0.42937296601490621</v>
      </c>
      <c r="F96" s="2">
        <f t="shared" si="100"/>
        <v>0.5</v>
      </c>
      <c r="G96" s="2">
        <f t="shared" si="101"/>
        <v>0.42937296601490621</v>
      </c>
      <c r="H96" s="2">
        <f t="shared" si="102"/>
        <v>0.5</v>
      </c>
      <c r="I96" s="2">
        <f t="shared" si="103"/>
        <v>0.42937296601490621</v>
      </c>
      <c r="J96" s="2">
        <f t="shared" si="104"/>
        <v>0.5</v>
      </c>
      <c r="K96" s="2">
        <f t="shared" si="105"/>
        <v>0.42937296601490621</v>
      </c>
      <c r="L96" s="2">
        <f t="shared" si="106"/>
        <v>0.5</v>
      </c>
      <c r="M96" s="2">
        <f t="shared" si="107"/>
        <v>0.42937296601490621</v>
      </c>
      <c r="N96" s="2">
        <f t="shared" si="108"/>
        <v>0.5</v>
      </c>
      <c r="O96" s="2">
        <f t="shared" si="109"/>
        <v>0.42937296601490621</v>
      </c>
      <c r="P96" s="2">
        <f t="shared" si="110"/>
        <v>0.5</v>
      </c>
      <c r="Q96" s="2">
        <f t="shared" si="111"/>
        <v>0.42937296601490621</v>
      </c>
      <c r="R96" s="2">
        <f t="shared" si="112"/>
        <v>0.5</v>
      </c>
      <c r="S96" s="2">
        <f t="shared" si="113"/>
        <v>0.42937296601490621</v>
      </c>
      <c r="T96" s="2">
        <f t="shared" si="114"/>
        <v>0.5</v>
      </c>
      <c r="U96" s="2">
        <f t="shared" si="115"/>
        <v>0.42937296601490621</v>
      </c>
      <c r="V96" s="2">
        <f t="shared" si="116"/>
        <v>0.5</v>
      </c>
      <c r="W96" s="2">
        <f t="shared" si="117"/>
        <v>0.42937296601490621</v>
      </c>
      <c r="X96" s="2">
        <f t="shared" si="118"/>
        <v>0.5</v>
      </c>
      <c r="Y96" s="2">
        <f t="shared" si="119"/>
        <v>0.42937296601490621</v>
      </c>
      <c r="Z96" s="2">
        <f t="shared" si="120"/>
        <v>0.5</v>
      </c>
      <c r="AA96" s="2">
        <f t="shared" si="121"/>
        <v>0.42937296601490621</v>
      </c>
      <c r="AB96" s="2">
        <f t="shared" si="122"/>
        <v>0.5</v>
      </c>
      <c r="AC96" s="2">
        <f t="shared" si="123"/>
        <v>0.42937296601490621</v>
      </c>
      <c r="AD96" s="2">
        <f t="shared" si="124"/>
        <v>0.5</v>
      </c>
      <c r="AE96" s="2">
        <f t="shared" si="125"/>
        <v>0.42937296601490621</v>
      </c>
      <c r="AF96" s="2">
        <f t="shared" si="126"/>
        <v>0.5</v>
      </c>
      <c r="AG96" s="2">
        <f t="shared" si="127"/>
        <v>0.42937296601490621</v>
      </c>
      <c r="AH96" s="2">
        <f t="shared" si="128"/>
        <v>0.5</v>
      </c>
    </row>
    <row r="97" spans="1:34">
      <c r="A97" t="str">
        <f t="shared" si="97"/>
        <v>CashCrop</v>
      </c>
      <c r="B97" t="str">
        <f t="shared" si="98"/>
        <v>SH1</v>
      </c>
      <c r="C97" s="2">
        <f>INDEX(TargetProduction!$B$47:$H$61,MATCH($B97,TargetProduction!$A$47:$A$61,0),MATCH($A97,TargetProduction!$B$46:$H$46,0))</f>
        <v>0.88842891865181139</v>
      </c>
      <c r="D97" s="2">
        <f>INDEX(TargetProduction!$I$47:$O$61,MATCH($B97,TargetProduction!$A$47:$A$61,0),MATCH($A97,TargetProduction!$I$46:$O$46,0))</f>
        <v>0.5</v>
      </c>
      <c r="E97" s="2">
        <f t="shared" si="99"/>
        <v>0.88842891865181139</v>
      </c>
      <c r="F97" s="2">
        <f t="shared" si="100"/>
        <v>0.5</v>
      </c>
      <c r="G97" s="2">
        <f t="shared" si="101"/>
        <v>0.88842891865181139</v>
      </c>
      <c r="H97" s="2">
        <f t="shared" si="102"/>
        <v>0.5</v>
      </c>
      <c r="I97" s="2">
        <f t="shared" si="103"/>
        <v>0.88842891865181139</v>
      </c>
      <c r="J97" s="2">
        <f t="shared" si="104"/>
        <v>0.5</v>
      </c>
      <c r="K97" s="2">
        <f t="shared" si="105"/>
        <v>0.88842891865181139</v>
      </c>
      <c r="L97" s="2">
        <f t="shared" si="106"/>
        <v>0.5</v>
      </c>
      <c r="M97" s="2">
        <f t="shared" si="107"/>
        <v>0.88842891865181139</v>
      </c>
      <c r="N97" s="2">
        <f t="shared" si="108"/>
        <v>0.5</v>
      </c>
      <c r="O97" s="2">
        <f t="shared" si="109"/>
        <v>0.88842891865181139</v>
      </c>
      <c r="P97" s="2">
        <f t="shared" si="110"/>
        <v>0.5</v>
      </c>
      <c r="Q97" s="2">
        <f t="shared" si="111"/>
        <v>0.88842891865181139</v>
      </c>
      <c r="R97" s="2">
        <f t="shared" si="112"/>
        <v>0.5</v>
      </c>
      <c r="S97" s="2">
        <f t="shared" si="113"/>
        <v>0.88842891865181139</v>
      </c>
      <c r="T97" s="2">
        <f t="shared" si="114"/>
        <v>0.5</v>
      </c>
      <c r="U97" s="2">
        <f t="shared" si="115"/>
        <v>0.88842891865181139</v>
      </c>
      <c r="V97" s="2">
        <f t="shared" si="116"/>
        <v>0.5</v>
      </c>
      <c r="W97" s="2">
        <f t="shared" si="117"/>
        <v>0.88842891865181139</v>
      </c>
      <c r="X97" s="2">
        <f t="shared" si="118"/>
        <v>0.5</v>
      </c>
      <c r="Y97" s="2">
        <f t="shared" si="119"/>
        <v>0.88842891865181139</v>
      </c>
      <c r="Z97" s="2">
        <f t="shared" si="120"/>
        <v>0.5</v>
      </c>
      <c r="AA97" s="2">
        <f t="shared" si="121"/>
        <v>0.88842891865181139</v>
      </c>
      <c r="AB97" s="2">
        <f t="shared" si="122"/>
        <v>0.5</v>
      </c>
      <c r="AC97" s="2">
        <f t="shared" si="123"/>
        <v>0.88842891865181139</v>
      </c>
      <c r="AD97" s="2">
        <f t="shared" si="124"/>
        <v>0.5</v>
      </c>
      <c r="AE97" s="2">
        <f t="shared" si="125"/>
        <v>0.88842891865181139</v>
      </c>
      <c r="AF97" s="2">
        <f t="shared" si="126"/>
        <v>0.5</v>
      </c>
      <c r="AG97" s="2">
        <f t="shared" si="127"/>
        <v>0.88842891865181139</v>
      </c>
      <c r="AH97" s="2">
        <f t="shared" si="128"/>
        <v>0.5</v>
      </c>
    </row>
    <row r="98" spans="1:34">
      <c r="A98" t="str">
        <f t="shared" si="97"/>
        <v>CashCrop</v>
      </c>
      <c r="B98" t="str">
        <f t="shared" si="98"/>
        <v>SH3</v>
      </c>
      <c r="C98" s="2">
        <f>INDEX(TargetProduction!$B$47:$H$61,MATCH($B98,TargetProduction!$A$47:$A$61,0),MATCH($A98,TargetProduction!$B$46:$H$46,0))</f>
        <v>0.83761349345047542</v>
      </c>
      <c r="D98" s="2">
        <f>INDEX(TargetProduction!$I$47:$O$61,MATCH($B98,TargetProduction!$A$47:$A$61,0),MATCH($A98,TargetProduction!$I$46:$O$46,0))</f>
        <v>0.5</v>
      </c>
      <c r="E98" s="2">
        <f t="shared" si="99"/>
        <v>0.83761349345047542</v>
      </c>
      <c r="F98" s="2">
        <f t="shared" si="100"/>
        <v>0.5</v>
      </c>
      <c r="G98" s="2">
        <f t="shared" si="101"/>
        <v>0.83761349345047542</v>
      </c>
      <c r="H98" s="2">
        <f t="shared" si="102"/>
        <v>0.5</v>
      </c>
      <c r="I98" s="2">
        <f t="shared" si="103"/>
        <v>0.83761349345047542</v>
      </c>
      <c r="J98" s="2">
        <f t="shared" si="104"/>
        <v>0.5</v>
      </c>
      <c r="K98" s="2">
        <f t="shared" si="105"/>
        <v>0.83761349345047542</v>
      </c>
      <c r="L98" s="2">
        <f t="shared" si="106"/>
        <v>0.5</v>
      </c>
      <c r="M98" s="2">
        <f t="shared" si="107"/>
        <v>0.83761349345047542</v>
      </c>
      <c r="N98" s="2">
        <f t="shared" si="108"/>
        <v>0.5</v>
      </c>
      <c r="O98" s="2">
        <f t="shared" si="109"/>
        <v>0.83761349345047542</v>
      </c>
      <c r="P98" s="2">
        <f t="shared" si="110"/>
        <v>0.5</v>
      </c>
      <c r="Q98" s="2">
        <f t="shared" si="111"/>
        <v>0.83761349345047542</v>
      </c>
      <c r="R98" s="2">
        <f t="shared" si="112"/>
        <v>0.5</v>
      </c>
      <c r="S98" s="2">
        <f t="shared" si="113"/>
        <v>0.83761349345047542</v>
      </c>
      <c r="T98" s="2">
        <f t="shared" si="114"/>
        <v>0.5</v>
      </c>
      <c r="U98" s="2">
        <f t="shared" si="115"/>
        <v>0.83761349345047542</v>
      </c>
      <c r="V98" s="2">
        <f t="shared" si="116"/>
        <v>0.5</v>
      </c>
      <c r="W98" s="2">
        <f t="shared" si="117"/>
        <v>0.83761349345047542</v>
      </c>
      <c r="X98" s="2">
        <f t="shared" si="118"/>
        <v>0.5</v>
      </c>
      <c r="Y98" s="2">
        <f t="shared" si="119"/>
        <v>0.83761349345047542</v>
      </c>
      <c r="Z98" s="2">
        <f t="shared" si="120"/>
        <v>0.5</v>
      </c>
      <c r="AA98" s="2">
        <f t="shared" si="121"/>
        <v>0.83761349345047542</v>
      </c>
      <c r="AB98" s="2">
        <f t="shared" si="122"/>
        <v>0.5</v>
      </c>
      <c r="AC98" s="2">
        <f t="shared" si="123"/>
        <v>0.83761349345047542</v>
      </c>
      <c r="AD98" s="2">
        <f t="shared" si="124"/>
        <v>0.5</v>
      </c>
      <c r="AE98" s="2">
        <f t="shared" si="125"/>
        <v>0.83761349345047542</v>
      </c>
      <c r="AF98" s="2">
        <f t="shared" si="126"/>
        <v>0.5</v>
      </c>
      <c r="AG98" s="2">
        <f t="shared" si="127"/>
        <v>0.83761349345047542</v>
      </c>
      <c r="AH98" s="2">
        <f t="shared" si="128"/>
        <v>0.5</v>
      </c>
    </row>
    <row r="99" spans="1:34">
      <c r="A99" t="str">
        <f t="shared" si="97"/>
        <v>CashCrop</v>
      </c>
      <c r="B99" t="str">
        <f t="shared" si="98"/>
        <v>SM2</v>
      </c>
      <c r="C99" s="2">
        <f>INDEX(TargetProduction!$B$47:$H$61,MATCH($B99,TargetProduction!$A$47:$A$61,0),MATCH($A99,TargetProduction!$B$46:$H$46,0))</f>
        <v>0.18068177519595655</v>
      </c>
      <c r="D99" s="2">
        <f>INDEX(TargetProduction!$I$47:$O$61,MATCH($B99,TargetProduction!$A$47:$A$61,0),MATCH($A99,TargetProduction!$I$46:$O$46,0))</f>
        <v>0.5</v>
      </c>
      <c r="E99" s="2">
        <f t="shared" si="99"/>
        <v>0.18068177519595655</v>
      </c>
      <c r="F99" s="2">
        <f t="shared" si="100"/>
        <v>0.5</v>
      </c>
      <c r="G99" s="2">
        <f t="shared" si="101"/>
        <v>0.18068177519595655</v>
      </c>
      <c r="H99" s="2">
        <f t="shared" si="102"/>
        <v>0.5</v>
      </c>
      <c r="I99" s="2">
        <f t="shared" si="103"/>
        <v>0.18068177519595655</v>
      </c>
      <c r="J99" s="2">
        <f t="shared" si="104"/>
        <v>0.5</v>
      </c>
      <c r="K99" s="2">
        <f t="shared" si="105"/>
        <v>0.18068177519595655</v>
      </c>
      <c r="L99" s="2">
        <f t="shared" si="106"/>
        <v>0.5</v>
      </c>
      <c r="M99" s="2">
        <f t="shared" si="107"/>
        <v>0.18068177519595655</v>
      </c>
      <c r="N99" s="2">
        <f t="shared" si="108"/>
        <v>0.5</v>
      </c>
      <c r="O99" s="2">
        <f t="shared" si="109"/>
        <v>0.18068177519595655</v>
      </c>
      <c r="P99" s="2">
        <f t="shared" si="110"/>
        <v>0.5</v>
      </c>
      <c r="Q99" s="2">
        <f t="shared" si="111"/>
        <v>0.18068177519595655</v>
      </c>
      <c r="R99" s="2">
        <f t="shared" si="112"/>
        <v>0.5</v>
      </c>
      <c r="S99" s="2">
        <f t="shared" si="113"/>
        <v>0.18068177519595655</v>
      </c>
      <c r="T99" s="2">
        <f t="shared" si="114"/>
        <v>0.5</v>
      </c>
      <c r="U99" s="2">
        <f t="shared" si="115"/>
        <v>0.18068177519595655</v>
      </c>
      <c r="V99" s="2">
        <f t="shared" si="116"/>
        <v>0.5</v>
      </c>
      <c r="W99" s="2">
        <f t="shared" si="117"/>
        <v>0.18068177519595655</v>
      </c>
      <c r="X99" s="2">
        <f t="shared" si="118"/>
        <v>0.5</v>
      </c>
      <c r="Y99" s="2">
        <f t="shared" si="119"/>
        <v>0.18068177519595655</v>
      </c>
      <c r="Z99" s="2">
        <f t="shared" si="120"/>
        <v>0.5</v>
      </c>
      <c r="AA99" s="2">
        <f t="shared" si="121"/>
        <v>0.18068177519595655</v>
      </c>
      <c r="AB99" s="2">
        <f t="shared" si="122"/>
        <v>0.5</v>
      </c>
      <c r="AC99" s="2">
        <f t="shared" si="123"/>
        <v>0.18068177519595655</v>
      </c>
      <c r="AD99" s="2">
        <f t="shared" si="124"/>
        <v>0.5</v>
      </c>
      <c r="AE99" s="2">
        <f t="shared" si="125"/>
        <v>0.18068177519595655</v>
      </c>
      <c r="AF99" s="2">
        <f t="shared" si="126"/>
        <v>0.5</v>
      </c>
      <c r="AG99" s="2">
        <f t="shared" si="127"/>
        <v>0.18068177519595655</v>
      </c>
      <c r="AH99" s="2">
        <f t="shared" si="128"/>
        <v>0.5</v>
      </c>
    </row>
    <row r="100" spans="1:34">
      <c r="A100" t="str">
        <f t="shared" si="97"/>
        <v>CashCrop</v>
      </c>
      <c r="B100" t="str">
        <f t="shared" si="98"/>
        <v>SM2N</v>
      </c>
      <c r="C100" s="2">
        <f>INDEX(TargetProduction!$B$47:$H$61,MATCH($B100,TargetProduction!$A$47:$A$61,0),MATCH($A100,TargetProduction!$B$46:$H$46,0))</f>
        <v>0.20878536618246471</v>
      </c>
      <c r="D100" s="2">
        <f>INDEX(TargetProduction!$I$47:$O$61,MATCH($B100,TargetProduction!$A$47:$A$61,0),MATCH($A100,TargetProduction!$I$46:$O$46,0))</f>
        <v>0.5</v>
      </c>
      <c r="E100" s="2">
        <f t="shared" si="99"/>
        <v>0.20878536618246471</v>
      </c>
      <c r="F100" s="2">
        <f t="shared" si="100"/>
        <v>0.5</v>
      </c>
      <c r="G100" s="2">
        <f t="shared" si="101"/>
        <v>0.20878536618246471</v>
      </c>
      <c r="H100" s="2">
        <f t="shared" si="102"/>
        <v>0.5</v>
      </c>
      <c r="I100" s="2">
        <f t="shared" si="103"/>
        <v>0.20878536618246471</v>
      </c>
      <c r="J100" s="2">
        <f t="shared" si="104"/>
        <v>0.5</v>
      </c>
      <c r="K100" s="2">
        <f t="shared" si="105"/>
        <v>0.20878536618246471</v>
      </c>
      <c r="L100" s="2">
        <f t="shared" si="106"/>
        <v>0.5</v>
      </c>
      <c r="M100" s="2">
        <f t="shared" si="107"/>
        <v>0.20878536618246471</v>
      </c>
      <c r="N100" s="2">
        <f t="shared" si="108"/>
        <v>0.5</v>
      </c>
      <c r="O100" s="2">
        <f t="shared" si="109"/>
        <v>0.20878536618246471</v>
      </c>
      <c r="P100" s="2">
        <f t="shared" si="110"/>
        <v>0.5</v>
      </c>
      <c r="Q100" s="2">
        <f t="shared" si="111"/>
        <v>0.20878536618246471</v>
      </c>
      <c r="R100" s="2">
        <f t="shared" si="112"/>
        <v>0.5</v>
      </c>
      <c r="S100" s="2">
        <f t="shared" si="113"/>
        <v>0.20878536618246471</v>
      </c>
      <c r="T100" s="2">
        <f t="shared" si="114"/>
        <v>0.5</v>
      </c>
      <c r="U100" s="2">
        <f t="shared" si="115"/>
        <v>0.20878536618246471</v>
      </c>
      <c r="V100" s="2">
        <f t="shared" si="116"/>
        <v>0.5</v>
      </c>
      <c r="W100" s="2">
        <f t="shared" si="117"/>
        <v>0.20878536618246471</v>
      </c>
      <c r="X100" s="2">
        <f t="shared" si="118"/>
        <v>0.5</v>
      </c>
      <c r="Y100" s="2">
        <f t="shared" si="119"/>
        <v>0.20878536618246471</v>
      </c>
      <c r="Z100" s="2">
        <f t="shared" si="120"/>
        <v>0.5</v>
      </c>
      <c r="AA100" s="2">
        <f t="shared" si="121"/>
        <v>0.20878536618246471</v>
      </c>
      <c r="AB100" s="2">
        <f t="shared" si="122"/>
        <v>0.5</v>
      </c>
      <c r="AC100" s="2">
        <f t="shared" si="123"/>
        <v>0.20878536618246471</v>
      </c>
      <c r="AD100" s="2">
        <f t="shared" si="124"/>
        <v>0.5</v>
      </c>
      <c r="AE100" s="2">
        <f t="shared" si="125"/>
        <v>0.20878536618246471</v>
      </c>
      <c r="AF100" s="2">
        <f t="shared" si="126"/>
        <v>0.5</v>
      </c>
      <c r="AG100" s="2">
        <f t="shared" si="127"/>
        <v>0.20878536618246471</v>
      </c>
      <c r="AH100" s="2">
        <f t="shared" si="128"/>
        <v>0.5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2:AP176"/>
  <sheetViews>
    <sheetView topLeftCell="A113" zoomScale="85" zoomScaleNormal="85" workbookViewId="0">
      <selection activeCell="B142" sqref="B142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  <col min="26" max="26" width="10.75" bestFit="1" customWidth="1"/>
  </cols>
  <sheetData>
    <row r="2" spans="1:2">
      <c r="A2" t="s">
        <v>134</v>
      </c>
      <c r="B2">
        <v>0</v>
      </c>
    </row>
    <row r="3" spans="1:2">
      <c r="A3" t="s">
        <v>135</v>
      </c>
      <c r="B3">
        <v>0</v>
      </c>
    </row>
    <row r="4" spans="1:2">
      <c r="A4" t="s">
        <v>136</v>
      </c>
      <c r="B4">
        <v>0</v>
      </c>
    </row>
    <row r="5" spans="1:2">
      <c r="A5" t="s">
        <v>137</v>
      </c>
      <c r="B5">
        <v>0</v>
      </c>
    </row>
    <row r="6" spans="1:2">
      <c r="A6" t="s">
        <v>138</v>
      </c>
      <c r="B6">
        <v>0</v>
      </c>
    </row>
    <row r="7" spans="1:2">
      <c r="A7" t="s">
        <v>139</v>
      </c>
      <c r="B7">
        <v>0</v>
      </c>
    </row>
    <row r="8" spans="1:2">
      <c r="A8" t="s">
        <v>140</v>
      </c>
      <c r="B8">
        <v>0</v>
      </c>
    </row>
    <row r="9" spans="1:2">
      <c r="A9" t="s">
        <v>141</v>
      </c>
      <c r="B9">
        <v>0</v>
      </c>
    </row>
    <row r="10" spans="1:2">
      <c r="A10" t="s">
        <v>142</v>
      </c>
      <c r="B10">
        <v>0</v>
      </c>
    </row>
    <row r="11" spans="1:2">
      <c r="A11" t="s">
        <v>143</v>
      </c>
      <c r="B11">
        <v>0</v>
      </c>
    </row>
    <row r="12" spans="1:2">
      <c r="A12" t="s">
        <v>144</v>
      </c>
      <c r="B12">
        <v>0</v>
      </c>
    </row>
    <row r="13" spans="1:2">
      <c r="A13" t="s">
        <v>145</v>
      </c>
      <c r="B13">
        <v>0</v>
      </c>
    </row>
    <row r="14" spans="1:2">
      <c r="A14" t="s">
        <v>146</v>
      </c>
      <c r="B14">
        <v>0</v>
      </c>
    </row>
    <row r="15" spans="1:2">
      <c r="A15" t="s">
        <v>148</v>
      </c>
      <c r="B15">
        <v>0</v>
      </c>
    </row>
    <row r="16" spans="1:2">
      <c r="A16" t="s">
        <v>147</v>
      </c>
      <c r="B16">
        <v>0</v>
      </c>
    </row>
    <row r="22" spans="1:2">
      <c r="A22" t="s">
        <v>134</v>
      </c>
      <c r="B22">
        <v>0</v>
      </c>
    </row>
    <row r="23" spans="1:2">
      <c r="A23" t="s">
        <v>135</v>
      </c>
      <c r="B23">
        <v>0</v>
      </c>
    </row>
    <row r="24" spans="1:2">
      <c r="A24" t="s">
        <v>136</v>
      </c>
      <c r="B24">
        <v>0</v>
      </c>
    </row>
    <row r="25" spans="1:2">
      <c r="A25" t="s">
        <v>137</v>
      </c>
      <c r="B25">
        <v>0</v>
      </c>
    </row>
    <row r="26" spans="1:2">
      <c r="A26" t="s">
        <v>138</v>
      </c>
      <c r="B26">
        <v>0</v>
      </c>
    </row>
    <row r="27" spans="1:2">
      <c r="A27" t="s">
        <v>139</v>
      </c>
      <c r="B27">
        <v>0</v>
      </c>
    </row>
    <row r="28" spans="1:2">
      <c r="A28" t="s">
        <v>140</v>
      </c>
      <c r="B28">
        <v>0</v>
      </c>
    </row>
    <row r="29" spans="1:2">
      <c r="A29" t="s">
        <v>141</v>
      </c>
      <c r="B29">
        <v>0</v>
      </c>
    </row>
    <row r="30" spans="1:2">
      <c r="A30" t="s">
        <v>142</v>
      </c>
      <c r="B30">
        <v>0</v>
      </c>
    </row>
    <row r="31" spans="1:2">
      <c r="A31" t="s">
        <v>143</v>
      </c>
      <c r="B31">
        <v>0</v>
      </c>
    </row>
    <row r="32" spans="1:2">
      <c r="A32" t="s">
        <v>144</v>
      </c>
      <c r="B32">
        <v>0</v>
      </c>
    </row>
    <row r="33" spans="1:2">
      <c r="A33" t="s">
        <v>145</v>
      </c>
      <c r="B33">
        <v>0</v>
      </c>
    </row>
    <row r="34" spans="1:2">
      <c r="A34" t="s">
        <v>146</v>
      </c>
      <c r="B34">
        <v>0</v>
      </c>
    </row>
    <row r="35" spans="1:2">
      <c r="A35" t="s">
        <v>148</v>
      </c>
      <c r="B35">
        <v>0</v>
      </c>
    </row>
    <row r="36" spans="1:2">
      <c r="A36" t="s">
        <v>147</v>
      </c>
      <c r="B36">
        <v>0</v>
      </c>
    </row>
    <row r="42" spans="1:2">
      <c r="A42" t="s">
        <v>134</v>
      </c>
      <c r="B42">
        <v>0.4</v>
      </c>
    </row>
    <row r="43" spans="1:2">
      <c r="A43" t="s">
        <v>135</v>
      </c>
      <c r="B43">
        <v>0.4</v>
      </c>
    </row>
    <row r="44" spans="1:2">
      <c r="A44" t="s">
        <v>136</v>
      </c>
      <c r="B44">
        <v>0.4</v>
      </c>
    </row>
    <row r="45" spans="1:2">
      <c r="A45" t="s">
        <v>137</v>
      </c>
      <c r="B45">
        <v>0.4</v>
      </c>
    </row>
    <row r="46" spans="1:2">
      <c r="A46" t="s">
        <v>138</v>
      </c>
      <c r="B46">
        <v>0.4</v>
      </c>
    </row>
    <row r="47" spans="1:2">
      <c r="A47" t="s">
        <v>139</v>
      </c>
      <c r="B47">
        <v>0.4</v>
      </c>
    </row>
    <row r="48" spans="1:2">
      <c r="A48" t="s">
        <v>140</v>
      </c>
      <c r="B48">
        <v>0.4</v>
      </c>
    </row>
    <row r="49" spans="1:2">
      <c r="A49" t="s">
        <v>141</v>
      </c>
      <c r="B49">
        <v>0.4</v>
      </c>
    </row>
    <row r="50" spans="1:2">
      <c r="A50" t="s">
        <v>142</v>
      </c>
      <c r="B50">
        <v>0.4</v>
      </c>
    </row>
    <row r="51" spans="1:2">
      <c r="A51" t="s">
        <v>143</v>
      </c>
      <c r="B51">
        <v>0.4</v>
      </c>
    </row>
    <row r="52" spans="1:2">
      <c r="A52" t="s">
        <v>144</v>
      </c>
      <c r="B52">
        <v>0.4</v>
      </c>
    </row>
    <row r="53" spans="1:2">
      <c r="A53" t="s">
        <v>145</v>
      </c>
      <c r="B53">
        <v>0.4</v>
      </c>
    </row>
    <row r="54" spans="1:2">
      <c r="A54" t="s">
        <v>146</v>
      </c>
      <c r="B54">
        <v>0.4</v>
      </c>
    </row>
    <row r="55" spans="1:2">
      <c r="A55" t="s">
        <v>148</v>
      </c>
      <c r="B55">
        <v>0.4</v>
      </c>
    </row>
    <row r="56" spans="1:2">
      <c r="A56" t="s">
        <v>147</v>
      </c>
      <c r="B56">
        <v>0</v>
      </c>
    </row>
    <row r="62" spans="1:2">
      <c r="A62" t="s">
        <v>134</v>
      </c>
      <c r="B62">
        <v>0.1</v>
      </c>
    </row>
    <row r="63" spans="1:2">
      <c r="A63" t="s">
        <v>135</v>
      </c>
      <c r="B63">
        <v>0.1</v>
      </c>
    </row>
    <row r="64" spans="1:2">
      <c r="A64" t="s">
        <v>136</v>
      </c>
      <c r="B64">
        <v>0.1</v>
      </c>
    </row>
    <row r="65" spans="1:2">
      <c r="A65" t="s">
        <v>137</v>
      </c>
      <c r="B65">
        <v>0.1</v>
      </c>
    </row>
    <row r="66" spans="1:2">
      <c r="A66" t="s">
        <v>138</v>
      </c>
      <c r="B66">
        <v>0.1</v>
      </c>
    </row>
    <row r="67" spans="1:2">
      <c r="A67" t="s">
        <v>139</v>
      </c>
      <c r="B67">
        <v>0.1</v>
      </c>
    </row>
    <row r="68" spans="1:2">
      <c r="A68" t="s">
        <v>140</v>
      </c>
      <c r="B68">
        <v>0.1</v>
      </c>
    </row>
    <row r="69" spans="1:2">
      <c r="A69" t="s">
        <v>141</v>
      </c>
      <c r="B69">
        <v>0.1</v>
      </c>
    </row>
    <row r="70" spans="1:2">
      <c r="A70" t="s">
        <v>142</v>
      </c>
      <c r="B70">
        <v>0.1</v>
      </c>
    </row>
    <row r="71" spans="1:2">
      <c r="A71" t="s">
        <v>143</v>
      </c>
      <c r="B71">
        <v>0.1</v>
      </c>
    </row>
    <row r="72" spans="1:2">
      <c r="A72" t="s">
        <v>144</v>
      </c>
      <c r="B72">
        <v>0.1</v>
      </c>
    </row>
    <row r="73" spans="1:2">
      <c r="A73" t="s">
        <v>145</v>
      </c>
      <c r="B73">
        <v>0.1</v>
      </c>
    </row>
    <row r="74" spans="1:2">
      <c r="A74" t="s">
        <v>146</v>
      </c>
      <c r="B74">
        <v>0.1</v>
      </c>
    </row>
    <row r="75" spans="1:2">
      <c r="A75" t="s">
        <v>148</v>
      </c>
      <c r="B75">
        <v>0.1</v>
      </c>
    </row>
    <row r="76" spans="1:2">
      <c r="A76" t="s">
        <v>147</v>
      </c>
      <c r="B76">
        <v>0</v>
      </c>
    </row>
    <row r="82" spans="1:2">
      <c r="A82" t="s">
        <v>134</v>
      </c>
      <c r="B82">
        <v>20</v>
      </c>
    </row>
    <row r="83" spans="1:2">
      <c r="A83" t="s">
        <v>135</v>
      </c>
      <c r="B83">
        <v>20</v>
      </c>
    </row>
    <row r="84" spans="1:2">
      <c r="A84" t="s">
        <v>136</v>
      </c>
      <c r="B84">
        <v>20</v>
      </c>
    </row>
    <row r="85" spans="1:2">
      <c r="A85" t="s">
        <v>137</v>
      </c>
      <c r="B85">
        <v>20</v>
      </c>
    </row>
    <row r="86" spans="1:2">
      <c r="A86" t="s">
        <v>138</v>
      </c>
      <c r="B86">
        <v>20</v>
      </c>
    </row>
    <row r="87" spans="1:2">
      <c r="A87" t="s">
        <v>139</v>
      </c>
      <c r="B87">
        <v>20</v>
      </c>
    </row>
    <row r="88" spans="1:2">
      <c r="A88" t="s">
        <v>140</v>
      </c>
      <c r="B88">
        <v>20</v>
      </c>
    </row>
    <row r="89" spans="1:2">
      <c r="A89" t="s">
        <v>141</v>
      </c>
      <c r="B89">
        <v>20</v>
      </c>
    </row>
    <row r="90" spans="1:2">
      <c r="A90" t="s">
        <v>142</v>
      </c>
      <c r="B90">
        <v>20</v>
      </c>
    </row>
    <row r="91" spans="1:2">
      <c r="A91" t="s">
        <v>143</v>
      </c>
      <c r="B91">
        <v>20</v>
      </c>
    </row>
    <row r="92" spans="1:2">
      <c r="A92" t="s">
        <v>144</v>
      </c>
      <c r="B92">
        <v>20</v>
      </c>
    </row>
    <row r="93" spans="1:2">
      <c r="A93" t="s">
        <v>145</v>
      </c>
      <c r="B93">
        <v>20</v>
      </c>
    </row>
    <row r="94" spans="1:2">
      <c r="A94" t="s">
        <v>146</v>
      </c>
      <c r="B94">
        <v>20</v>
      </c>
    </row>
    <row r="95" spans="1:2">
      <c r="A95" t="s">
        <v>148</v>
      </c>
      <c r="B95">
        <v>20</v>
      </c>
    </row>
    <row r="96" spans="1:2">
      <c r="A96" t="s">
        <v>147</v>
      </c>
      <c r="B96">
        <v>0</v>
      </c>
    </row>
    <row r="101" spans="1:16">
      <c r="B101" t="s">
        <v>134</v>
      </c>
      <c r="C101" t="s">
        <v>135</v>
      </c>
      <c r="D101" t="s">
        <v>136</v>
      </c>
      <c r="E101" t="s">
        <v>137</v>
      </c>
      <c r="F101" t="s">
        <v>138</v>
      </c>
      <c r="G101" t="s">
        <v>139</v>
      </c>
      <c r="H101" t="s">
        <v>140</v>
      </c>
      <c r="I101" t="s">
        <v>141</v>
      </c>
      <c r="J101" t="s">
        <v>142</v>
      </c>
      <c r="K101" t="s">
        <v>143</v>
      </c>
      <c r="L101" t="s">
        <v>144</v>
      </c>
      <c r="M101" t="s">
        <v>145</v>
      </c>
      <c r="N101" t="s">
        <v>146</v>
      </c>
      <c r="O101" t="s">
        <v>148</v>
      </c>
      <c r="P101" t="s">
        <v>147</v>
      </c>
    </row>
    <row r="102" spans="1:16">
      <c r="A102" t="s">
        <v>134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  <c r="M102">
        <v>0.1</v>
      </c>
      <c r="N102">
        <v>0.1</v>
      </c>
      <c r="O102">
        <v>0.1</v>
      </c>
      <c r="P102">
        <v>0.1</v>
      </c>
    </row>
    <row r="103" spans="1:16">
      <c r="A103" t="s">
        <v>135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  <c r="M103">
        <v>0.1</v>
      </c>
      <c r="N103">
        <v>0.1</v>
      </c>
      <c r="O103">
        <v>0.1</v>
      </c>
      <c r="P103">
        <v>0.1</v>
      </c>
    </row>
    <row r="104" spans="1:16">
      <c r="A104" t="s">
        <v>136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  <c r="M104">
        <v>0.1</v>
      </c>
      <c r="N104">
        <v>0.1</v>
      </c>
      <c r="O104">
        <v>0.1</v>
      </c>
      <c r="P104">
        <v>0.1</v>
      </c>
    </row>
    <row r="105" spans="1:16">
      <c r="A105" t="s">
        <v>137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  <c r="M105">
        <v>0.1</v>
      </c>
      <c r="N105">
        <v>0.1</v>
      </c>
      <c r="O105">
        <v>0.1</v>
      </c>
      <c r="P105">
        <v>0.1</v>
      </c>
    </row>
    <row r="106" spans="1:16">
      <c r="A106" t="s">
        <v>138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  <c r="M106">
        <v>0.1</v>
      </c>
      <c r="N106">
        <v>0.1</v>
      </c>
      <c r="O106">
        <v>0.1</v>
      </c>
      <c r="P106">
        <v>0.1</v>
      </c>
    </row>
    <row r="107" spans="1:16">
      <c r="A107" t="s">
        <v>139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  <c r="M107">
        <v>0.1</v>
      </c>
      <c r="N107">
        <v>0.1</v>
      </c>
      <c r="O107">
        <v>0.1</v>
      </c>
      <c r="P107">
        <v>0.1</v>
      </c>
    </row>
    <row r="108" spans="1:16">
      <c r="A108" t="s">
        <v>140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  <c r="M108">
        <v>0.1</v>
      </c>
      <c r="N108">
        <v>0.1</v>
      </c>
      <c r="O108">
        <v>0.1</v>
      </c>
      <c r="P108">
        <v>0.1</v>
      </c>
    </row>
    <row r="109" spans="1:16">
      <c r="A109" t="s">
        <v>141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  <c r="M109">
        <v>0.1</v>
      </c>
      <c r="N109">
        <v>0.1</v>
      </c>
      <c r="O109">
        <v>0.1</v>
      </c>
      <c r="P109">
        <v>0.1</v>
      </c>
    </row>
    <row r="110" spans="1:16">
      <c r="A110" t="s">
        <v>142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  <c r="M110">
        <v>0.1</v>
      </c>
      <c r="N110">
        <v>0.1</v>
      </c>
      <c r="O110">
        <v>0.1</v>
      </c>
      <c r="P110">
        <v>0.1</v>
      </c>
    </row>
    <row r="111" spans="1:16">
      <c r="A111" t="s">
        <v>143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  <c r="M111">
        <v>0.1</v>
      </c>
      <c r="N111">
        <v>0.1</v>
      </c>
      <c r="O111">
        <v>0.1</v>
      </c>
      <c r="P111">
        <v>0.1</v>
      </c>
    </row>
    <row r="112" spans="1:16">
      <c r="A112" t="s">
        <v>144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  <c r="M112">
        <v>0.1</v>
      </c>
      <c r="N112">
        <v>0.1</v>
      </c>
      <c r="O112">
        <v>0.1</v>
      </c>
      <c r="P112">
        <v>0.1</v>
      </c>
    </row>
    <row r="113" spans="1:16">
      <c r="A113" t="s">
        <v>145</v>
      </c>
      <c r="B113">
        <v>0.1</v>
      </c>
      <c r="C113">
        <v>0.1</v>
      </c>
      <c r="D113">
        <v>0.1</v>
      </c>
      <c r="E113">
        <v>0.1</v>
      </c>
      <c r="F113">
        <v>0.1</v>
      </c>
      <c r="G113">
        <v>0.1</v>
      </c>
      <c r="H113">
        <v>0.1</v>
      </c>
      <c r="I113">
        <v>0.1</v>
      </c>
      <c r="J113">
        <v>0.1</v>
      </c>
      <c r="K113">
        <v>0.1</v>
      </c>
      <c r="L113">
        <v>0.1</v>
      </c>
      <c r="M113">
        <v>0.1</v>
      </c>
      <c r="N113">
        <v>0.1</v>
      </c>
      <c r="O113">
        <v>0.1</v>
      </c>
      <c r="P113">
        <v>0.1</v>
      </c>
    </row>
    <row r="114" spans="1:16">
      <c r="A114" t="s">
        <v>146</v>
      </c>
      <c r="B114">
        <v>0.1</v>
      </c>
      <c r="C114">
        <v>0.1</v>
      </c>
      <c r="D114">
        <v>0.1</v>
      </c>
      <c r="E114">
        <v>0.1</v>
      </c>
      <c r="F114">
        <v>0.1</v>
      </c>
      <c r="G114">
        <v>0.1</v>
      </c>
      <c r="H114">
        <v>0.1</v>
      </c>
      <c r="I114">
        <v>0.1</v>
      </c>
      <c r="J114">
        <v>0.1</v>
      </c>
      <c r="K114">
        <v>0.1</v>
      </c>
      <c r="L114">
        <v>0.1</v>
      </c>
      <c r="M114">
        <v>0.1</v>
      </c>
      <c r="N114">
        <v>0.1</v>
      </c>
      <c r="O114">
        <v>0.1</v>
      </c>
      <c r="P114">
        <v>0.1</v>
      </c>
    </row>
    <row r="115" spans="1:16">
      <c r="A115" t="s">
        <v>148</v>
      </c>
      <c r="B115">
        <v>0.1</v>
      </c>
      <c r="C115">
        <v>0.1</v>
      </c>
      <c r="D115">
        <v>0.1</v>
      </c>
      <c r="E115">
        <v>0.1</v>
      </c>
      <c r="F115">
        <v>0.1</v>
      </c>
      <c r="G115">
        <v>0.1</v>
      </c>
      <c r="H115">
        <v>0.1</v>
      </c>
      <c r="I115">
        <v>0.1</v>
      </c>
      <c r="J115">
        <v>0.1</v>
      </c>
      <c r="K115">
        <v>0.1</v>
      </c>
      <c r="L115">
        <v>0.1</v>
      </c>
      <c r="M115">
        <v>0.1</v>
      </c>
      <c r="N115">
        <v>0.1</v>
      </c>
      <c r="O115">
        <v>0.1</v>
      </c>
      <c r="P115">
        <v>0.1</v>
      </c>
    </row>
    <row r="116" spans="1:16">
      <c r="A116" t="s">
        <v>147</v>
      </c>
      <c r="B116">
        <v>0.1</v>
      </c>
      <c r="C116">
        <v>0.1</v>
      </c>
      <c r="D116">
        <v>0.1</v>
      </c>
      <c r="E116">
        <v>0.1</v>
      </c>
      <c r="F116">
        <v>0.1</v>
      </c>
      <c r="G116">
        <v>0.1</v>
      </c>
      <c r="H116">
        <v>0.1</v>
      </c>
      <c r="I116">
        <v>0.1</v>
      </c>
      <c r="J116">
        <v>0.1</v>
      </c>
      <c r="K116">
        <v>0.1</v>
      </c>
      <c r="L116">
        <v>0.1</v>
      </c>
      <c r="M116">
        <v>0.1</v>
      </c>
      <c r="N116">
        <v>0.1</v>
      </c>
      <c r="O116">
        <v>0.1</v>
      </c>
      <c r="P116">
        <v>0.1</v>
      </c>
    </row>
    <row r="121" spans="1:16">
      <c r="A121" t="s">
        <v>134</v>
      </c>
      <c r="B121">
        <v>0</v>
      </c>
      <c r="F121" t="s">
        <v>134</v>
      </c>
      <c r="G121">
        <v>0</v>
      </c>
      <c r="K121" t="s">
        <v>134</v>
      </c>
      <c r="L121">
        <v>0</v>
      </c>
    </row>
    <row r="122" spans="1:16">
      <c r="A122" t="s">
        <v>135</v>
      </c>
      <c r="B122">
        <v>0</v>
      </c>
      <c r="F122" t="s">
        <v>135</v>
      </c>
      <c r="G122">
        <v>0</v>
      </c>
      <c r="K122" t="s">
        <v>135</v>
      </c>
      <c r="L122">
        <v>0</v>
      </c>
    </row>
    <row r="123" spans="1:16">
      <c r="A123" t="s">
        <v>136</v>
      </c>
      <c r="B123">
        <v>0</v>
      </c>
      <c r="F123" t="s">
        <v>136</v>
      </c>
      <c r="G123">
        <v>0</v>
      </c>
      <c r="K123" t="s">
        <v>136</v>
      </c>
      <c r="L123">
        <v>0</v>
      </c>
    </row>
    <row r="124" spans="1:16">
      <c r="A124" t="s">
        <v>137</v>
      </c>
      <c r="B124">
        <v>0</v>
      </c>
      <c r="F124" t="s">
        <v>137</v>
      </c>
      <c r="G124">
        <v>0</v>
      </c>
      <c r="K124" t="s">
        <v>137</v>
      </c>
      <c r="L124">
        <v>0</v>
      </c>
    </row>
    <row r="125" spans="1:16">
      <c r="A125" t="s">
        <v>138</v>
      </c>
      <c r="B125">
        <v>0</v>
      </c>
      <c r="F125" t="s">
        <v>138</v>
      </c>
      <c r="G125">
        <v>0</v>
      </c>
      <c r="K125" t="s">
        <v>138</v>
      </c>
      <c r="L125">
        <v>0</v>
      </c>
    </row>
    <row r="126" spans="1:16">
      <c r="A126" t="s">
        <v>139</v>
      </c>
      <c r="B126">
        <v>0</v>
      </c>
      <c r="F126" t="s">
        <v>139</v>
      </c>
      <c r="G126">
        <v>0</v>
      </c>
      <c r="K126" t="s">
        <v>139</v>
      </c>
      <c r="L126">
        <v>0</v>
      </c>
    </row>
    <row r="127" spans="1:16">
      <c r="A127" t="s">
        <v>140</v>
      </c>
      <c r="B127">
        <v>0</v>
      </c>
      <c r="F127" t="s">
        <v>140</v>
      </c>
      <c r="G127">
        <v>0</v>
      </c>
      <c r="K127" t="s">
        <v>140</v>
      </c>
      <c r="L127">
        <v>0</v>
      </c>
    </row>
    <row r="128" spans="1:16">
      <c r="A128" t="s">
        <v>141</v>
      </c>
      <c r="B128">
        <v>0</v>
      </c>
      <c r="F128" t="s">
        <v>141</v>
      </c>
      <c r="G128">
        <v>0</v>
      </c>
      <c r="K128" t="s">
        <v>141</v>
      </c>
      <c r="L128">
        <v>0</v>
      </c>
    </row>
    <row r="129" spans="1:42">
      <c r="A129" t="s">
        <v>142</v>
      </c>
      <c r="B129">
        <v>0</v>
      </c>
      <c r="F129" t="s">
        <v>142</v>
      </c>
      <c r="G129">
        <v>0</v>
      </c>
      <c r="K129" t="s">
        <v>142</v>
      </c>
      <c r="L129">
        <v>0</v>
      </c>
    </row>
    <row r="130" spans="1:42">
      <c r="A130" t="s">
        <v>143</v>
      </c>
      <c r="B130">
        <v>0</v>
      </c>
      <c r="F130" t="s">
        <v>143</v>
      </c>
      <c r="G130">
        <v>0</v>
      </c>
      <c r="K130" t="s">
        <v>143</v>
      </c>
      <c r="L130">
        <v>0</v>
      </c>
    </row>
    <row r="131" spans="1:42">
      <c r="A131" t="s">
        <v>144</v>
      </c>
      <c r="B131">
        <v>0</v>
      </c>
      <c r="F131" t="s">
        <v>144</v>
      </c>
      <c r="G131">
        <v>0</v>
      </c>
      <c r="K131" t="s">
        <v>144</v>
      </c>
      <c r="L131">
        <v>0</v>
      </c>
    </row>
    <row r="132" spans="1:42">
      <c r="A132" t="s">
        <v>145</v>
      </c>
      <c r="B132">
        <v>0</v>
      </c>
      <c r="F132" t="s">
        <v>145</v>
      </c>
      <c r="G132">
        <v>0</v>
      </c>
      <c r="K132" t="s">
        <v>145</v>
      </c>
      <c r="L132">
        <v>0</v>
      </c>
    </row>
    <row r="133" spans="1:42">
      <c r="A133" t="s">
        <v>146</v>
      </c>
      <c r="B133">
        <v>0</v>
      </c>
      <c r="F133" t="s">
        <v>146</v>
      </c>
      <c r="G133">
        <v>0</v>
      </c>
      <c r="K133" t="s">
        <v>146</v>
      </c>
      <c r="L133">
        <v>0</v>
      </c>
    </row>
    <row r="134" spans="1:42">
      <c r="A134" t="s">
        <v>148</v>
      </c>
      <c r="B134">
        <v>0</v>
      </c>
      <c r="F134" t="s">
        <v>148</v>
      </c>
      <c r="G134">
        <v>0</v>
      </c>
      <c r="K134" t="s">
        <v>148</v>
      </c>
      <c r="L134">
        <v>0</v>
      </c>
    </row>
    <row r="135" spans="1:42">
      <c r="A135" t="s">
        <v>147</v>
      </c>
      <c r="B135">
        <v>0</v>
      </c>
      <c r="F135" t="s">
        <v>147</v>
      </c>
      <c r="G135">
        <v>0</v>
      </c>
      <c r="K135" t="s">
        <v>147</v>
      </c>
      <c r="L135">
        <v>0</v>
      </c>
    </row>
    <row r="141" spans="1:42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  <c r="Z141" t="s">
        <v>22</v>
      </c>
      <c r="AA141">
        <f t="array" ref="AA141:AP141">TRANSPOSE(Years)</f>
        <v>2015</v>
      </c>
      <c r="AB141">
        <v>2016</v>
      </c>
      <c r="AC141">
        <v>2017</v>
      </c>
      <c r="AD141">
        <v>2018</v>
      </c>
      <c r="AE141">
        <v>2019</v>
      </c>
      <c r="AF141">
        <v>2020</v>
      </c>
      <c r="AG141">
        <v>2021</v>
      </c>
      <c r="AH141">
        <v>2022</v>
      </c>
      <c r="AI141">
        <v>2023</v>
      </c>
      <c r="AJ141">
        <v>2024</v>
      </c>
      <c r="AK141">
        <v>2025</v>
      </c>
      <c r="AL141">
        <v>2026</v>
      </c>
      <c r="AM141">
        <v>2027</v>
      </c>
      <c r="AN141">
        <v>2028</v>
      </c>
      <c r="AO141">
        <v>2029</v>
      </c>
      <c r="AP141">
        <v>2030</v>
      </c>
    </row>
    <row r="142" spans="1:42">
      <c r="A142" t="s">
        <v>134</v>
      </c>
      <c r="B142" s="2">
        <v>0.69071891324212731</v>
      </c>
      <c r="C142" s="2">
        <f>B142</f>
        <v>0.69071891324212731</v>
      </c>
      <c r="D142" s="2">
        <f t="shared" ref="D142:Q142" si="0">C142</f>
        <v>0.69071891324212731</v>
      </c>
      <c r="E142" s="2">
        <f t="shared" si="0"/>
        <v>0.69071891324212731</v>
      </c>
      <c r="F142" s="2">
        <f t="shared" si="0"/>
        <v>0.69071891324212731</v>
      </c>
      <c r="G142" s="2">
        <f t="shared" si="0"/>
        <v>0.69071891324212731</v>
      </c>
      <c r="H142" s="2">
        <f t="shared" si="0"/>
        <v>0.69071891324212731</v>
      </c>
      <c r="I142" s="2">
        <f t="shared" si="0"/>
        <v>0.69071891324212731</v>
      </c>
      <c r="J142" s="2">
        <f t="shared" si="0"/>
        <v>0.69071891324212731</v>
      </c>
      <c r="K142" s="2">
        <f t="shared" si="0"/>
        <v>0.69071891324212731</v>
      </c>
      <c r="L142" s="2">
        <f t="shared" si="0"/>
        <v>0.69071891324212731</v>
      </c>
      <c r="M142" s="2">
        <f t="shared" si="0"/>
        <v>0.69071891324212731</v>
      </c>
      <c r="N142" s="2">
        <f t="shared" si="0"/>
        <v>0.69071891324212731</v>
      </c>
      <c r="O142" s="2">
        <f t="shared" si="0"/>
        <v>0.69071891324212731</v>
      </c>
      <c r="P142" s="2">
        <f t="shared" si="0"/>
        <v>0.69071891324212731</v>
      </c>
      <c r="Q142" s="2">
        <f t="shared" si="0"/>
        <v>0.69071891324212731</v>
      </c>
      <c r="Z142" t="str">
        <f t="array" ref="Z142:Z152">Nodes</f>
        <v>AddisAbaba</v>
      </c>
      <c r="AA142" s="2">
        <f>$G121*B142</f>
        <v>0</v>
      </c>
      <c r="AB142" s="2">
        <f t="shared" ref="AB142:AP142" si="1">$G121*C142</f>
        <v>0</v>
      </c>
      <c r="AC142" s="2">
        <f t="shared" si="1"/>
        <v>0</v>
      </c>
      <c r="AD142" s="2">
        <f t="shared" si="1"/>
        <v>0</v>
      </c>
      <c r="AE142" s="2">
        <f t="shared" si="1"/>
        <v>0</v>
      </c>
      <c r="AF142" s="2">
        <f t="shared" si="1"/>
        <v>0</v>
      </c>
      <c r="AG142" s="2">
        <f t="shared" si="1"/>
        <v>0</v>
      </c>
      <c r="AH142" s="2">
        <f t="shared" si="1"/>
        <v>0</v>
      </c>
      <c r="AI142" s="2">
        <f t="shared" si="1"/>
        <v>0</v>
      </c>
      <c r="AJ142" s="2">
        <f t="shared" si="1"/>
        <v>0</v>
      </c>
      <c r="AK142" s="2">
        <f t="shared" si="1"/>
        <v>0</v>
      </c>
      <c r="AL142" s="2">
        <f t="shared" si="1"/>
        <v>0</v>
      </c>
      <c r="AM142" s="2">
        <f t="shared" si="1"/>
        <v>0</v>
      </c>
      <c r="AN142" s="2">
        <f t="shared" si="1"/>
        <v>0</v>
      </c>
      <c r="AO142" s="2">
        <f t="shared" si="1"/>
        <v>0</v>
      </c>
      <c r="AP142" s="2">
        <f t="shared" si="1"/>
        <v>0</v>
      </c>
    </row>
    <row r="143" spans="1:42">
      <c r="A143" t="s">
        <v>135</v>
      </c>
      <c r="B143" s="2">
        <v>0.57588253539838885</v>
      </c>
      <c r="C143" s="2">
        <f t="shared" ref="C143:C156" si="2">B143</f>
        <v>0.57588253539838885</v>
      </c>
      <c r="D143" s="2">
        <f t="shared" ref="D143:Q143" si="3">C143</f>
        <v>0.57588253539838885</v>
      </c>
      <c r="E143" s="2">
        <f t="shared" si="3"/>
        <v>0.57588253539838885</v>
      </c>
      <c r="F143" s="2">
        <f t="shared" si="3"/>
        <v>0.57588253539838885</v>
      </c>
      <c r="G143" s="2">
        <f t="shared" si="3"/>
        <v>0.57588253539838885</v>
      </c>
      <c r="H143" s="2">
        <f t="shared" si="3"/>
        <v>0.57588253539838885</v>
      </c>
      <c r="I143" s="2">
        <f t="shared" si="3"/>
        <v>0.57588253539838885</v>
      </c>
      <c r="J143" s="2">
        <f t="shared" si="3"/>
        <v>0.57588253539838885</v>
      </c>
      <c r="K143" s="2">
        <f t="shared" si="3"/>
        <v>0.57588253539838885</v>
      </c>
      <c r="L143" s="2">
        <f t="shared" si="3"/>
        <v>0.57588253539838885</v>
      </c>
      <c r="M143" s="2">
        <f t="shared" si="3"/>
        <v>0.57588253539838885</v>
      </c>
      <c r="N143" s="2">
        <f t="shared" si="3"/>
        <v>0.57588253539838885</v>
      </c>
      <c r="O143" s="2">
        <f t="shared" si="3"/>
        <v>0.57588253539838885</v>
      </c>
      <c r="P143" s="2">
        <f t="shared" si="3"/>
        <v>0.57588253539838885</v>
      </c>
      <c r="Q143" s="2">
        <f t="shared" si="3"/>
        <v>0.57588253539838885</v>
      </c>
      <c r="Z143" t="str">
        <v>Semera</v>
      </c>
      <c r="AA143" s="2">
        <f t="shared" ref="AA143:AA152" si="4">$G122*B143</f>
        <v>0</v>
      </c>
      <c r="AB143" s="2">
        <f t="shared" ref="AB143:AB152" si="5">$G122*C143</f>
        <v>0</v>
      </c>
      <c r="AC143" s="2">
        <f t="shared" ref="AC143:AC152" si="6">$G122*D143</f>
        <v>0</v>
      </c>
      <c r="AD143" s="2">
        <f t="shared" ref="AD143:AD152" si="7">$G122*E143</f>
        <v>0</v>
      </c>
      <c r="AE143" s="2">
        <f t="shared" ref="AE143:AE152" si="8">$G122*F143</f>
        <v>0</v>
      </c>
      <c r="AF143" s="2">
        <f t="shared" ref="AF143:AF152" si="9">$G122*G143</f>
        <v>0</v>
      </c>
      <c r="AG143" s="2">
        <f t="shared" ref="AG143:AG152" si="10">$G122*H143</f>
        <v>0</v>
      </c>
      <c r="AH143" s="2">
        <f t="shared" ref="AH143:AH152" si="11">$G122*I143</f>
        <v>0</v>
      </c>
      <c r="AI143" s="2">
        <f t="shared" ref="AI143:AI152" si="12">$G122*J143</f>
        <v>0</v>
      </c>
      <c r="AJ143" s="2">
        <f t="shared" ref="AJ143:AJ152" si="13">$G122*K143</f>
        <v>0</v>
      </c>
      <c r="AK143" s="2">
        <f t="shared" ref="AK143:AK152" si="14">$G122*L143</f>
        <v>0</v>
      </c>
      <c r="AL143" s="2">
        <f t="shared" ref="AL143:AL152" si="15">$G122*M143</f>
        <v>0</v>
      </c>
      <c r="AM143" s="2">
        <f t="shared" ref="AM143:AM152" si="16">$G122*N143</f>
        <v>0</v>
      </c>
      <c r="AN143" s="2">
        <f t="shared" ref="AN143:AN152" si="17">$G122*O143</f>
        <v>0</v>
      </c>
      <c r="AO143" s="2">
        <f t="shared" ref="AO143:AO152" si="18">$G122*P143</f>
        <v>0</v>
      </c>
      <c r="AP143" s="2">
        <f t="shared" ref="AP143:AP152" si="19">$G122*Q143</f>
        <v>0</v>
      </c>
    </row>
    <row r="144" spans="1:42">
      <c r="A144" t="s">
        <v>136</v>
      </c>
      <c r="B144" s="2">
        <v>0.65772172442067822</v>
      </c>
      <c r="C144" s="2">
        <f t="shared" si="2"/>
        <v>0.65772172442067822</v>
      </c>
      <c r="D144" s="2">
        <f t="shared" ref="D144:Q144" si="20">C144</f>
        <v>0.65772172442067822</v>
      </c>
      <c r="E144" s="2">
        <f t="shared" si="20"/>
        <v>0.65772172442067822</v>
      </c>
      <c r="F144" s="2">
        <f t="shared" si="20"/>
        <v>0.65772172442067822</v>
      </c>
      <c r="G144" s="2">
        <f t="shared" si="20"/>
        <v>0.65772172442067822</v>
      </c>
      <c r="H144" s="2">
        <f t="shared" si="20"/>
        <v>0.65772172442067822</v>
      </c>
      <c r="I144" s="2">
        <f t="shared" si="20"/>
        <v>0.65772172442067822</v>
      </c>
      <c r="J144" s="2">
        <f t="shared" si="20"/>
        <v>0.65772172442067822</v>
      </c>
      <c r="K144" s="2">
        <f t="shared" si="20"/>
        <v>0.65772172442067822</v>
      </c>
      <c r="L144" s="2">
        <f t="shared" si="20"/>
        <v>0.65772172442067822</v>
      </c>
      <c r="M144" s="2">
        <f t="shared" si="20"/>
        <v>0.65772172442067822</v>
      </c>
      <c r="N144" s="2">
        <f t="shared" si="20"/>
        <v>0.65772172442067822</v>
      </c>
      <c r="O144" s="2">
        <f t="shared" si="20"/>
        <v>0.65772172442067822</v>
      </c>
      <c r="P144" s="2">
        <f t="shared" si="20"/>
        <v>0.65772172442067822</v>
      </c>
      <c r="Q144" s="2">
        <f t="shared" si="20"/>
        <v>0.65772172442067822</v>
      </c>
      <c r="Z144" t="str">
        <v>BahirDar</v>
      </c>
      <c r="AA144" s="2">
        <f t="shared" si="4"/>
        <v>0</v>
      </c>
      <c r="AB144" s="2">
        <f t="shared" si="5"/>
        <v>0</v>
      </c>
      <c r="AC144" s="2">
        <f t="shared" si="6"/>
        <v>0</v>
      </c>
      <c r="AD144" s="2">
        <f t="shared" si="7"/>
        <v>0</v>
      </c>
      <c r="AE144" s="2">
        <f t="shared" si="8"/>
        <v>0</v>
      </c>
      <c r="AF144" s="2">
        <f t="shared" si="9"/>
        <v>0</v>
      </c>
      <c r="AG144" s="2">
        <f t="shared" si="10"/>
        <v>0</v>
      </c>
      <c r="AH144" s="2">
        <f t="shared" si="11"/>
        <v>0</v>
      </c>
      <c r="AI144" s="2">
        <f t="shared" si="12"/>
        <v>0</v>
      </c>
      <c r="AJ144" s="2">
        <f t="shared" si="13"/>
        <v>0</v>
      </c>
      <c r="AK144" s="2">
        <f t="shared" si="14"/>
        <v>0</v>
      </c>
      <c r="AL144" s="2">
        <f t="shared" si="15"/>
        <v>0</v>
      </c>
      <c r="AM144" s="2">
        <f t="shared" si="16"/>
        <v>0</v>
      </c>
      <c r="AN144" s="2">
        <f t="shared" si="17"/>
        <v>0</v>
      </c>
      <c r="AO144" s="2">
        <f t="shared" si="18"/>
        <v>0</v>
      </c>
      <c r="AP144" s="2">
        <f t="shared" si="19"/>
        <v>0</v>
      </c>
    </row>
    <row r="145" spans="1:42">
      <c r="A145" t="s">
        <v>137</v>
      </c>
      <c r="B145" s="2">
        <v>0.62147524452124991</v>
      </c>
      <c r="C145" s="2">
        <f t="shared" si="2"/>
        <v>0.62147524452124991</v>
      </c>
      <c r="D145" s="2">
        <f t="shared" ref="D145:Q145" si="21">C145</f>
        <v>0.62147524452124991</v>
      </c>
      <c r="E145" s="2">
        <f t="shared" si="21"/>
        <v>0.62147524452124991</v>
      </c>
      <c r="F145" s="2">
        <f t="shared" si="21"/>
        <v>0.62147524452124991</v>
      </c>
      <c r="G145" s="2">
        <f t="shared" si="21"/>
        <v>0.62147524452124991</v>
      </c>
      <c r="H145" s="2">
        <f t="shared" si="21"/>
        <v>0.62147524452124991</v>
      </c>
      <c r="I145" s="2">
        <f t="shared" si="21"/>
        <v>0.62147524452124991</v>
      </c>
      <c r="J145" s="2">
        <f t="shared" si="21"/>
        <v>0.62147524452124991</v>
      </c>
      <c r="K145" s="2">
        <f t="shared" si="21"/>
        <v>0.62147524452124991</v>
      </c>
      <c r="L145" s="2">
        <f t="shared" si="21"/>
        <v>0.62147524452124991</v>
      </c>
      <c r="M145" s="2">
        <f t="shared" si="21"/>
        <v>0.62147524452124991</v>
      </c>
      <c r="N145" s="2">
        <f t="shared" si="21"/>
        <v>0.62147524452124991</v>
      </c>
      <c r="O145" s="2">
        <f t="shared" si="21"/>
        <v>0.62147524452124991</v>
      </c>
      <c r="P145" s="2">
        <f t="shared" si="21"/>
        <v>0.62147524452124991</v>
      </c>
      <c r="Q145" s="2">
        <f t="shared" si="21"/>
        <v>0.62147524452124991</v>
      </c>
      <c r="Z145" t="str">
        <v>Asosa</v>
      </c>
      <c r="AA145" s="2">
        <f t="shared" si="4"/>
        <v>0</v>
      </c>
      <c r="AB145" s="2">
        <f t="shared" si="5"/>
        <v>0</v>
      </c>
      <c r="AC145" s="2">
        <f t="shared" si="6"/>
        <v>0</v>
      </c>
      <c r="AD145" s="2">
        <f t="shared" si="7"/>
        <v>0</v>
      </c>
      <c r="AE145" s="2">
        <f t="shared" si="8"/>
        <v>0</v>
      </c>
      <c r="AF145" s="2">
        <f t="shared" si="9"/>
        <v>0</v>
      </c>
      <c r="AG145" s="2">
        <f t="shared" si="10"/>
        <v>0</v>
      </c>
      <c r="AH145" s="2">
        <f t="shared" si="11"/>
        <v>0</v>
      </c>
      <c r="AI145" s="2">
        <f t="shared" si="12"/>
        <v>0</v>
      </c>
      <c r="AJ145" s="2">
        <f t="shared" si="13"/>
        <v>0</v>
      </c>
      <c r="AK145" s="2">
        <f t="shared" si="14"/>
        <v>0</v>
      </c>
      <c r="AL145" s="2">
        <f t="shared" si="15"/>
        <v>0</v>
      </c>
      <c r="AM145" s="2">
        <f t="shared" si="16"/>
        <v>0</v>
      </c>
      <c r="AN145" s="2">
        <f t="shared" si="17"/>
        <v>0</v>
      </c>
      <c r="AO145" s="2">
        <f t="shared" si="18"/>
        <v>0</v>
      </c>
      <c r="AP145" s="2">
        <f t="shared" si="19"/>
        <v>0</v>
      </c>
    </row>
    <row r="146" spans="1:42">
      <c r="A146" t="s">
        <v>138</v>
      </c>
      <c r="B146" s="2">
        <v>0.64734996069093709</v>
      </c>
      <c r="C146" s="2">
        <f t="shared" si="2"/>
        <v>0.64734996069093709</v>
      </c>
      <c r="D146" s="2">
        <f t="shared" ref="D146:Q146" si="22">C146</f>
        <v>0.64734996069093709</v>
      </c>
      <c r="E146" s="2">
        <f t="shared" si="22"/>
        <v>0.64734996069093709</v>
      </c>
      <c r="F146" s="2">
        <f t="shared" si="22"/>
        <v>0.64734996069093709</v>
      </c>
      <c r="G146" s="2">
        <f t="shared" si="22"/>
        <v>0.64734996069093709</v>
      </c>
      <c r="H146" s="2">
        <f t="shared" si="22"/>
        <v>0.64734996069093709</v>
      </c>
      <c r="I146" s="2">
        <f t="shared" si="22"/>
        <v>0.64734996069093709</v>
      </c>
      <c r="J146" s="2">
        <f t="shared" si="22"/>
        <v>0.64734996069093709</v>
      </c>
      <c r="K146" s="2">
        <f t="shared" si="22"/>
        <v>0.64734996069093709</v>
      </c>
      <c r="L146" s="2">
        <f t="shared" si="22"/>
        <v>0.64734996069093709</v>
      </c>
      <c r="M146" s="2">
        <f t="shared" si="22"/>
        <v>0.64734996069093709</v>
      </c>
      <c r="N146" s="2">
        <f t="shared" si="22"/>
        <v>0.64734996069093709</v>
      </c>
      <c r="O146" s="2">
        <f t="shared" si="22"/>
        <v>0.64734996069093709</v>
      </c>
      <c r="P146" s="2">
        <f t="shared" si="22"/>
        <v>0.64734996069093709</v>
      </c>
      <c r="Q146" s="2">
        <f t="shared" si="22"/>
        <v>0.64734996069093709</v>
      </c>
      <c r="Z146" t="str">
        <v>DireDawa</v>
      </c>
      <c r="AA146" s="2">
        <f t="shared" si="4"/>
        <v>0</v>
      </c>
      <c r="AB146" s="2">
        <f t="shared" si="5"/>
        <v>0</v>
      </c>
      <c r="AC146" s="2">
        <f t="shared" si="6"/>
        <v>0</v>
      </c>
      <c r="AD146" s="2">
        <f t="shared" si="7"/>
        <v>0</v>
      </c>
      <c r="AE146" s="2">
        <f t="shared" si="8"/>
        <v>0</v>
      </c>
      <c r="AF146" s="2">
        <f t="shared" si="9"/>
        <v>0</v>
      </c>
      <c r="AG146" s="2">
        <f t="shared" si="10"/>
        <v>0</v>
      </c>
      <c r="AH146" s="2">
        <f t="shared" si="11"/>
        <v>0</v>
      </c>
      <c r="AI146" s="2">
        <f t="shared" si="12"/>
        <v>0</v>
      </c>
      <c r="AJ146" s="2">
        <f t="shared" si="13"/>
        <v>0</v>
      </c>
      <c r="AK146" s="2">
        <f t="shared" si="14"/>
        <v>0</v>
      </c>
      <c r="AL146" s="2">
        <f t="shared" si="15"/>
        <v>0</v>
      </c>
      <c r="AM146" s="2">
        <f t="shared" si="16"/>
        <v>0</v>
      </c>
      <c r="AN146" s="2">
        <f t="shared" si="17"/>
        <v>0</v>
      </c>
      <c r="AO146" s="2">
        <f t="shared" si="18"/>
        <v>0</v>
      </c>
      <c r="AP146" s="2">
        <f t="shared" si="19"/>
        <v>0</v>
      </c>
    </row>
    <row r="147" spans="1:42">
      <c r="A147" t="s">
        <v>139</v>
      </c>
      <c r="B147" s="2">
        <v>0.61248990268462133</v>
      </c>
      <c r="C147" s="2">
        <f t="shared" si="2"/>
        <v>0.61248990268462133</v>
      </c>
      <c r="D147" s="2">
        <f t="shared" ref="D147:Q147" si="23">C147</f>
        <v>0.61248990268462133</v>
      </c>
      <c r="E147" s="2">
        <f t="shared" si="23"/>
        <v>0.61248990268462133</v>
      </c>
      <c r="F147" s="2">
        <f t="shared" si="23"/>
        <v>0.61248990268462133</v>
      </c>
      <c r="G147" s="2">
        <f t="shared" si="23"/>
        <v>0.61248990268462133</v>
      </c>
      <c r="H147" s="2">
        <f t="shared" si="23"/>
        <v>0.61248990268462133</v>
      </c>
      <c r="I147" s="2">
        <f t="shared" si="23"/>
        <v>0.61248990268462133</v>
      </c>
      <c r="J147" s="2">
        <f t="shared" si="23"/>
        <v>0.61248990268462133</v>
      </c>
      <c r="K147" s="2">
        <f t="shared" si="23"/>
        <v>0.61248990268462133</v>
      </c>
      <c r="L147" s="2">
        <f t="shared" si="23"/>
        <v>0.61248990268462133</v>
      </c>
      <c r="M147" s="2">
        <f t="shared" si="23"/>
        <v>0.61248990268462133</v>
      </c>
      <c r="N147" s="2">
        <f t="shared" si="23"/>
        <v>0.61248990268462133</v>
      </c>
      <c r="O147" s="2">
        <f t="shared" si="23"/>
        <v>0.61248990268462133</v>
      </c>
      <c r="P147" s="2">
        <f t="shared" si="23"/>
        <v>0.61248990268462133</v>
      </c>
      <c r="Q147" s="2">
        <f t="shared" si="23"/>
        <v>0.61248990268462133</v>
      </c>
      <c r="Z147" t="str">
        <v>Gambela</v>
      </c>
      <c r="AA147" s="2">
        <f t="shared" si="4"/>
        <v>0</v>
      </c>
      <c r="AB147" s="2">
        <f t="shared" si="5"/>
        <v>0</v>
      </c>
      <c r="AC147" s="2">
        <f t="shared" si="6"/>
        <v>0</v>
      </c>
      <c r="AD147" s="2">
        <f t="shared" si="7"/>
        <v>0</v>
      </c>
      <c r="AE147" s="2">
        <f t="shared" si="8"/>
        <v>0</v>
      </c>
      <c r="AF147" s="2">
        <f t="shared" si="9"/>
        <v>0</v>
      </c>
      <c r="AG147" s="2">
        <f t="shared" si="10"/>
        <v>0</v>
      </c>
      <c r="AH147" s="2">
        <f t="shared" si="11"/>
        <v>0</v>
      </c>
      <c r="AI147" s="2">
        <f t="shared" si="12"/>
        <v>0</v>
      </c>
      <c r="AJ147" s="2">
        <f t="shared" si="13"/>
        <v>0</v>
      </c>
      <c r="AK147" s="2">
        <f t="shared" si="14"/>
        <v>0</v>
      </c>
      <c r="AL147" s="2">
        <f t="shared" si="15"/>
        <v>0</v>
      </c>
      <c r="AM147" s="2">
        <f t="shared" si="16"/>
        <v>0</v>
      </c>
      <c r="AN147" s="2">
        <f t="shared" si="17"/>
        <v>0</v>
      </c>
      <c r="AO147" s="2">
        <f t="shared" si="18"/>
        <v>0</v>
      </c>
      <c r="AP147" s="2">
        <f t="shared" si="19"/>
        <v>0</v>
      </c>
    </row>
    <row r="148" spans="1:42">
      <c r="A148" t="s">
        <v>140</v>
      </c>
      <c r="B148" s="2">
        <v>0.6888292233816673</v>
      </c>
      <c r="C148" s="2">
        <f t="shared" si="2"/>
        <v>0.6888292233816673</v>
      </c>
      <c r="D148" s="2">
        <f t="shared" ref="D148:Q148" si="24">C148</f>
        <v>0.6888292233816673</v>
      </c>
      <c r="E148" s="2">
        <f t="shared" si="24"/>
        <v>0.6888292233816673</v>
      </c>
      <c r="F148" s="2">
        <f t="shared" si="24"/>
        <v>0.6888292233816673</v>
      </c>
      <c r="G148" s="2">
        <f t="shared" si="24"/>
        <v>0.6888292233816673</v>
      </c>
      <c r="H148" s="2">
        <f t="shared" si="24"/>
        <v>0.6888292233816673</v>
      </c>
      <c r="I148" s="2">
        <f t="shared" si="24"/>
        <v>0.6888292233816673</v>
      </c>
      <c r="J148" s="2">
        <f t="shared" si="24"/>
        <v>0.6888292233816673</v>
      </c>
      <c r="K148" s="2">
        <f t="shared" si="24"/>
        <v>0.6888292233816673</v>
      </c>
      <c r="L148" s="2">
        <f t="shared" si="24"/>
        <v>0.6888292233816673</v>
      </c>
      <c r="M148" s="2">
        <f t="shared" si="24"/>
        <v>0.6888292233816673</v>
      </c>
      <c r="N148" s="2">
        <f t="shared" si="24"/>
        <v>0.6888292233816673</v>
      </c>
      <c r="O148" s="2">
        <f t="shared" si="24"/>
        <v>0.6888292233816673</v>
      </c>
      <c r="P148" s="2">
        <f t="shared" si="24"/>
        <v>0.6888292233816673</v>
      </c>
      <c r="Q148" s="2">
        <f t="shared" si="24"/>
        <v>0.6888292233816673</v>
      </c>
      <c r="Z148" t="str">
        <v>Harar</v>
      </c>
      <c r="AA148" s="2">
        <f t="shared" si="4"/>
        <v>0</v>
      </c>
      <c r="AB148" s="2">
        <f t="shared" si="5"/>
        <v>0</v>
      </c>
      <c r="AC148" s="2">
        <f t="shared" si="6"/>
        <v>0</v>
      </c>
      <c r="AD148" s="2">
        <f t="shared" si="7"/>
        <v>0</v>
      </c>
      <c r="AE148" s="2">
        <f t="shared" si="8"/>
        <v>0</v>
      </c>
      <c r="AF148" s="2">
        <f t="shared" si="9"/>
        <v>0</v>
      </c>
      <c r="AG148" s="2">
        <f t="shared" si="10"/>
        <v>0</v>
      </c>
      <c r="AH148" s="2">
        <f t="shared" si="11"/>
        <v>0</v>
      </c>
      <c r="AI148" s="2">
        <f t="shared" si="12"/>
        <v>0</v>
      </c>
      <c r="AJ148" s="2">
        <f t="shared" si="13"/>
        <v>0</v>
      </c>
      <c r="AK148" s="2">
        <f t="shared" si="14"/>
        <v>0</v>
      </c>
      <c r="AL148" s="2">
        <f t="shared" si="15"/>
        <v>0</v>
      </c>
      <c r="AM148" s="2">
        <f t="shared" si="16"/>
        <v>0</v>
      </c>
      <c r="AN148" s="2">
        <f t="shared" si="17"/>
        <v>0</v>
      </c>
      <c r="AO148" s="2">
        <f t="shared" si="18"/>
        <v>0</v>
      </c>
      <c r="AP148" s="2">
        <f t="shared" si="19"/>
        <v>0</v>
      </c>
    </row>
    <row r="149" spans="1:42">
      <c r="A149" t="s">
        <v>141</v>
      </c>
      <c r="B149" s="2">
        <v>0.64334060504376389</v>
      </c>
      <c r="C149" s="2">
        <f t="shared" si="2"/>
        <v>0.64334060504376389</v>
      </c>
      <c r="D149" s="2">
        <f t="shared" ref="D149:Q149" si="25">C149</f>
        <v>0.64334060504376389</v>
      </c>
      <c r="E149" s="2">
        <f t="shared" si="25"/>
        <v>0.64334060504376389</v>
      </c>
      <c r="F149" s="2">
        <f t="shared" si="25"/>
        <v>0.64334060504376389</v>
      </c>
      <c r="G149" s="2">
        <f t="shared" si="25"/>
        <v>0.64334060504376389</v>
      </c>
      <c r="H149" s="2">
        <f t="shared" si="25"/>
        <v>0.64334060504376389</v>
      </c>
      <c r="I149" s="2">
        <f t="shared" si="25"/>
        <v>0.64334060504376389</v>
      </c>
      <c r="J149" s="2">
        <f t="shared" si="25"/>
        <v>0.64334060504376389</v>
      </c>
      <c r="K149" s="2">
        <f t="shared" si="25"/>
        <v>0.64334060504376389</v>
      </c>
      <c r="L149" s="2">
        <f t="shared" si="25"/>
        <v>0.64334060504376389</v>
      </c>
      <c r="M149" s="2">
        <f t="shared" si="25"/>
        <v>0.64334060504376389</v>
      </c>
      <c r="N149" s="2">
        <f t="shared" si="25"/>
        <v>0.64334060504376389</v>
      </c>
      <c r="O149" s="2">
        <f t="shared" si="25"/>
        <v>0.64334060504376389</v>
      </c>
      <c r="P149" s="2">
        <f t="shared" si="25"/>
        <v>0.64334060504376389</v>
      </c>
      <c r="Q149" s="2">
        <f t="shared" si="25"/>
        <v>0.64334060504376389</v>
      </c>
      <c r="Z149" t="str">
        <v>Jijiga</v>
      </c>
      <c r="AA149" s="2">
        <f t="shared" si="4"/>
        <v>0</v>
      </c>
      <c r="AB149" s="2">
        <f t="shared" si="5"/>
        <v>0</v>
      </c>
      <c r="AC149" s="2">
        <f t="shared" si="6"/>
        <v>0</v>
      </c>
      <c r="AD149" s="2">
        <f t="shared" si="7"/>
        <v>0</v>
      </c>
      <c r="AE149" s="2">
        <f t="shared" si="8"/>
        <v>0</v>
      </c>
      <c r="AF149" s="2">
        <f t="shared" si="9"/>
        <v>0</v>
      </c>
      <c r="AG149" s="2">
        <f t="shared" si="10"/>
        <v>0</v>
      </c>
      <c r="AH149" s="2">
        <f t="shared" si="11"/>
        <v>0</v>
      </c>
      <c r="AI149" s="2">
        <f t="shared" si="12"/>
        <v>0</v>
      </c>
      <c r="AJ149" s="2">
        <f t="shared" si="13"/>
        <v>0</v>
      </c>
      <c r="AK149" s="2">
        <f t="shared" si="14"/>
        <v>0</v>
      </c>
      <c r="AL149" s="2">
        <f t="shared" si="15"/>
        <v>0</v>
      </c>
      <c r="AM149" s="2">
        <f t="shared" si="16"/>
        <v>0</v>
      </c>
      <c r="AN149" s="2">
        <f t="shared" si="17"/>
        <v>0</v>
      </c>
      <c r="AO149" s="2">
        <f t="shared" si="18"/>
        <v>0</v>
      </c>
      <c r="AP149" s="2">
        <f t="shared" si="19"/>
        <v>0</v>
      </c>
    </row>
    <row r="150" spans="1:42">
      <c r="A150" t="s">
        <v>142</v>
      </c>
      <c r="B150" s="2">
        <v>0.66235779354203539</v>
      </c>
      <c r="C150" s="2">
        <f t="shared" si="2"/>
        <v>0.66235779354203539</v>
      </c>
      <c r="D150" s="2">
        <f t="shared" ref="D150:Q150" si="26">C150</f>
        <v>0.66235779354203539</v>
      </c>
      <c r="E150" s="2">
        <f t="shared" si="26"/>
        <v>0.66235779354203539</v>
      </c>
      <c r="F150" s="2">
        <f t="shared" si="26"/>
        <v>0.66235779354203539</v>
      </c>
      <c r="G150" s="2">
        <f t="shared" si="26"/>
        <v>0.66235779354203539</v>
      </c>
      <c r="H150" s="2">
        <f t="shared" si="26"/>
        <v>0.66235779354203539</v>
      </c>
      <c r="I150" s="2">
        <f t="shared" si="26"/>
        <v>0.66235779354203539</v>
      </c>
      <c r="J150" s="2">
        <f t="shared" si="26"/>
        <v>0.66235779354203539</v>
      </c>
      <c r="K150" s="2">
        <f t="shared" si="26"/>
        <v>0.66235779354203539</v>
      </c>
      <c r="L150" s="2">
        <f t="shared" si="26"/>
        <v>0.66235779354203539</v>
      </c>
      <c r="M150" s="2">
        <f t="shared" si="26"/>
        <v>0.66235779354203539</v>
      </c>
      <c r="N150" s="2">
        <f t="shared" si="26"/>
        <v>0.66235779354203539</v>
      </c>
      <c r="O150" s="2">
        <f t="shared" si="26"/>
        <v>0.66235779354203539</v>
      </c>
      <c r="P150" s="2">
        <f t="shared" si="26"/>
        <v>0.66235779354203539</v>
      </c>
      <c r="Q150" s="2">
        <f t="shared" si="26"/>
        <v>0.66235779354203539</v>
      </c>
      <c r="Z150" t="str">
        <v>Awasa</v>
      </c>
      <c r="AA150" s="2">
        <f t="shared" si="4"/>
        <v>0</v>
      </c>
      <c r="AB150" s="2">
        <f t="shared" si="5"/>
        <v>0</v>
      </c>
      <c r="AC150" s="2">
        <f t="shared" si="6"/>
        <v>0</v>
      </c>
      <c r="AD150" s="2">
        <f t="shared" si="7"/>
        <v>0</v>
      </c>
      <c r="AE150" s="2">
        <f t="shared" si="8"/>
        <v>0</v>
      </c>
      <c r="AF150" s="2">
        <f t="shared" si="9"/>
        <v>0</v>
      </c>
      <c r="AG150" s="2">
        <f t="shared" si="10"/>
        <v>0</v>
      </c>
      <c r="AH150" s="2">
        <f t="shared" si="11"/>
        <v>0</v>
      </c>
      <c r="AI150" s="2">
        <f t="shared" si="12"/>
        <v>0</v>
      </c>
      <c r="AJ150" s="2">
        <f t="shared" si="13"/>
        <v>0</v>
      </c>
      <c r="AK150" s="2">
        <f t="shared" si="14"/>
        <v>0</v>
      </c>
      <c r="AL150" s="2">
        <f t="shared" si="15"/>
        <v>0</v>
      </c>
      <c r="AM150" s="2">
        <f t="shared" si="16"/>
        <v>0</v>
      </c>
      <c r="AN150" s="2">
        <f t="shared" si="17"/>
        <v>0</v>
      </c>
      <c r="AO150" s="2">
        <f t="shared" si="18"/>
        <v>0</v>
      </c>
      <c r="AP150" s="2">
        <f t="shared" si="19"/>
        <v>0</v>
      </c>
    </row>
    <row r="151" spans="1:42">
      <c r="A151" t="s">
        <v>143</v>
      </c>
      <c r="B151" s="2">
        <v>0.59164942321790825</v>
      </c>
      <c r="C151" s="2">
        <f t="shared" si="2"/>
        <v>0.59164942321790825</v>
      </c>
      <c r="D151" s="2">
        <f t="shared" ref="D151:Q151" si="27">C151</f>
        <v>0.59164942321790825</v>
      </c>
      <c r="E151" s="2">
        <f t="shared" si="27"/>
        <v>0.59164942321790825</v>
      </c>
      <c r="F151" s="2">
        <f t="shared" si="27"/>
        <v>0.59164942321790825</v>
      </c>
      <c r="G151" s="2">
        <f t="shared" si="27"/>
        <v>0.59164942321790825</v>
      </c>
      <c r="H151" s="2">
        <f t="shared" si="27"/>
        <v>0.59164942321790825</v>
      </c>
      <c r="I151" s="2">
        <f t="shared" si="27"/>
        <v>0.59164942321790825</v>
      </c>
      <c r="J151" s="2">
        <f t="shared" si="27"/>
        <v>0.59164942321790825</v>
      </c>
      <c r="K151" s="2">
        <f t="shared" si="27"/>
        <v>0.59164942321790825</v>
      </c>
      <c r="L151" s="2">
        <f t="shared" si="27"/>
        <v>0.59164942321790825</v>
      </c>
      <c r="M151" s="2">
        <f t="shared" si="27"/>
        <v>0.59164942321790825</v>
      </c>
      <c r="N151" s="2">
        <f t="shared" si="27"/>
        <v>0.59164942321790825</v>
      </c>
      <c r="O151" s="2">
        <f t="shared" si="27"/>
        <v>0.59164942321790825</v>
      </c>
      <c r="P151" s="2">
        <f t="shared" si="27"/>
        <v>0.59164942321790825</v>
      </c>
      <c r="Q151" s="2">
        <f t="shared" si="27"/>
        <v>0.59164942321790825</v>
      </c>
      <c r="Z151" t="str">
        <v>Mekelle</v>
      </c>
      <c r="AA151" s="2">
        <f t="shared" si="4"/>
        <v>0</v>
      </c>
      <c r="AB151" s="2">
        <f t="shared" si="5"/>
        <v>0</v>
      </c>
      <c r="AC151" s="2">
        <f t="shared" si="6"/>
        <v>0</v>
      </c>
      <c r="AD151" s="2">
        <f t="shared" si="7"/>
        <v>0</v>
      </c>
      <c r="AE151" s="2">
        <f t="shared" si="8"/>
        <v>0</v>
      </c>
      <c r="AF151" s="2">
        <f t="shared" si="9"/>
        <v>0</v>
      </c>
      <c r="AG151" s="2">
        <f t="shared" si="10"/>
        <v>0</v>
      </c>
      <c r="AH151" s="2">
        <f t="shared" si="11"/>
        <v>0</v>
      </c>
      <c r="AI151" s="2">
        <f t="shared" si="12"/>
        <v>0</v>
      </c>
      <c r="AJ151" s="2">
        <f t="shared" si="13"/>
        <v>0</v>
      </c>
      <c r="AK151" s="2">
        <f t="shared" si="14"/>
        <v>0</v>
      </c>
      <c r="AL151" s="2">
        <f t="shared" si="15"/>
        <v>0</v>
      </c>
      <c r="AM151" s="2">
        <f t="shared" si="16"/>
        <v>0</v>
      </c>
      <c r="AN151" s="2">
        <f t="shared" si="17"/>
        <v>0</v>
      </c>
      <c r="AO151" s="2">
        <f t="shared" si="18"/>
        <v>0</v>
      </c>
      <c r="AP151" s="2">
        <f t="shared" si="19"/>
        <v>0</v>
      </c>
    </row>
    <row r="152" spans="1:42">
      <c r="A152" t="s">
        <v>144</v>
      </c>
      <c r="B152" s="2">
        <v>0.57355343736380759</v>
      </c>
      <c r="C152" s="2">
        <f t="shared" si="2"/>
        <v>0.57355343736380759</v>
      </c>
      <c r="D152" s="2">
        <f t="shared" ref="D152:Q152" si="28">C152</f>
        <v>0.57355343736380759</v>
      </c>
      <c r="E152" s="2">
        <f t="shared" si="28"/>
        <v>0.57355343736380759</v>
      </c>
      <c r="F152" s="2">
        <f t="shared" si="28"/>
        <v>0.57355343736380759</v>
      </c>
      <c r="G152" s="2">
        <f t="shared" si="28"/>
        <v>0.57355343736380759</v>
      </c>
      <c r="H152" s="2">
        <f t="shared" si="28"/>
        <v>0.57355343736380759</v>
      </c>
      <c r="I152" s="2">
        <f t="shared" si="28"/>
        <v>0.57355343736380759</v>
      </c>
      <c r="J152" s="2">
        <f t="shared" si="28"/>
        <v>0.57355343736380759</v>
      </c>
      <c r="K152" s="2">
        <f t="shared" si="28"/>
        <v>0.57355343736380759</v>
      </c>
      <c r="L152" s="2">
        <f t="shared" si="28"/>
        <v>0.57355343736380759</v>
      </c>
      <c r="M152" s="2">
        <f t="shared" si="28"/>
        <v>0.57355343736380759</v>
      </c>
      <c r="N152" s="2">
        <f t="shared" si="28"/>
        <v>0.57355343736380759</v>
      </c>
      <c r="O152" s="2">
        <f t="shared" si="28"/>
        <v>0.57355343736380759</v>
      </c>
      <c r="P152" s="2">
        <f t="shared" si="28"/>
        <v>0.57355343736380759</v>
      </c>
      <c r="Q152" s="2">
        <f t="shared" si="28"/>
        <v>0.57355343736380759</v>
      </c>
      <c r="Z152" t="str">
        <v>Gondar</v>
      </c>
      <c r="AA152" s="2">
        <f t="shared" si="4"/>
        <v>0</v>
      </c>
      <c r="AB152" s="2">
        <f t="shared" si="5"/>
        <v>0</v>
      </c>
      <c r="AC152" s="2">
        <f t="shared" si="6"/>
        <v>0</v>
      </c>
      <c r="AD152" s="2">
        <f t="shared" si="7"/>
        <v>0</v>
      </c>
      <c r="AE152" s="2">
        <f t="shared" si="8"/>
        <v>0</v>
      </c>
      <c r="AF152" s="2">
        <f t="shared" si="9"/>
        <v>0</v>
      </c>
      <c r="AG152" s="2">
        <f t="shared" si="10"/>
        <v>0</v>
      </c>
      <c r="AH152" s="2">
        <f t="shared" si="11"/>
        <v>0</v>
      </c>
      <c r="AI152" s="2">
        <f t="shared" si="12"/>
        <v>0</v>
      </c>
      <c r="AJ152" s="2">
        <f t="shared" si="13"/>
        <v>0</v>
      </c>
      <c r="AK152" s="2">
        <f t="shared" si="14"/>
        <v>0</v>
      </c>
      <c r="AL152" s="2">
        <f t="shared" si="15"/>
        <v>0</v>
      </c>
      <c r="AM152" s="2">
        <f t="shared" si="16"/>
        <v>0</v>
      </c>
      <c r="AN152" s="2">
        <f t="shared" si="17"/>
        <v>0</v>
      </c>
      <c r="AO152" s="2">
        <f t="shared" si="18"/>
        <v>0</v>
      </c>
      <c r="AP152" s="2">
        <f t="shared" si="19"/>
        <v>0</v>
      </c>
    </row>
    <row r="153" spans="1:42">
      <c r="A153" t="s">
        <v>145</v>
      </c>
      <c r="B153" s="2">
        <v>0.62147524452124991</v>
      </c>
      <c r="C153" s="2">
        <f t="shared" si="2"/>
        <v>0.62147524452124991</v>
      </c>
      <c r="D153" s="2">
        <f t="shared" ref="D153:Q153" si="29">C153</f>
        <v>0.62147524452124991</v>
      </c>
      <c r="E153" s="2">
        <f t="shared" si="29"/>
        <v>0.62147524452124991</v>
      </c>
      <c r="F153" s="2">
        <f t="shared" si="29"/>
        <v>0.62147524452124991</v>
      </c>
      <c r="G153" s="2">
        <f t="shared" si="29"/>
        <v>0.62147524452124991</v>
      </c>
      <c r="H153" s="2">
        <f t="shared" si="29"/>
        <v>0.62147524452124991</v>
      </c>
      <c r="I153" s="2">
        <f t="shared" si="29"/>
        <v>0.62147524452124991</v>
      </c>
      <c r="J153" s="2">
        <f t="shared" si="29"/>
        <v>0.62147524452124991</v>
      </c>
      <c r="K153" s="2">
        <f t="shared" si="29"/>
        <v>0.62147524452124991</v>
      </c>
      <c r="L153" s="2">
        <f t="shared" si="29"/>
        <v>0.62147524452124991</v>
      </c>
      <c r="M153" s="2">
        <f t="shared" si="29"/>
        <v>0.62147524452124991</v>
      </c>
      <c r="N153" s="2">
        <f t="shared" si="29"/>
        <v>0.62147524452124991</v>
      </c>
      <c r="O153" s="2">
        <f t="shared" si="29"/>
        <v>0.62147524452124991</v>
      </c>
      <c r="P153" s="2">
        <f t="shared" si="29"/>
        <v>0.62147524452124991</v>
      </c>
      <c r="Q153" s="2">
        <f t="shared" si="29"/>
        <v>0.62147524452124991</v>
      </c>
      <c r="Z153" s="1" t="s">
        <v>83</v>
      </c>
      <c r="AA153" s="29">
        <f>SUM(AA142:AA152)</f>
        <v>0</v>
      </c>
      <c r="AB153" s="29">
        <f t="shared" ref="AB153:AP153" si="30">SUM(AB142:AB152)</f>
        <v>0</v>
      </c>
      <c r="AC153" s="29">
        <f t="shared" si="30"/>
        <v>0</v>
      </c>
      <c r="AD153" s="29">
        <f t="shared" si="30"/>
        <v>0</v>
      </c>
      <c r="AE153" s="29">
        <f t="shared" si="30"/>
        <v>0</v>
      </c>
      <c r="AF153" s="29">
        <f t="shared" si="30"/>
        <v>0</v>
      </c>
      <c r="AG153" s="29">
        <f t="shared" si="30"/>
        <v>0</v>
      </c>
      <c r="AH153" s="29">
        <f t="shared" si="30"/>
        <v>0</v>
      </c>
      <c r="AI153" s="29">
        <f t="shared" si="30"/>
        <v>0</v>
      </c>
      <c r="AJ153" s="29">
        <f t="shared" si="30"/>
        <v>0</v>
      </c>
      <c r="AK153" s="29">
        <f t="shared" si="30"/>
        <v>0</v>
      </c>
      <c r="AL153" s="29">
        <f t="shared" si="30"/>
        <v>0</v>
      </c>
      <c r="AM153" s="29">
        <f t="shared" si="30"/>
        <v>0</v>
      </c>
      <c r="AN153" s="29">
        <f t="shared" si="30"/>
        <v>0</v>
      </c>
      <c r="AO153" s="29">
        <f t="shared" si="30"/>
        <v>0</v>
      </c>
      <c r="AP153" s="29">
        <f t="shared" si="30"/>
        <v>0</v>
      </c>
    </row>
    <row r="154" spans="1:42">
      <c r="A154" t="s">
        <v>146</v>
      </c>
      <c r="B154" s="2">
        <v>0.64734996069093709</v>
      </c>
      <c r="C154" s="2">
        <f t="shared" si="2"/>
        <v>0.64734996069093709</v>
      </c>
      <c r="D154" s="2">
        <f t="shared" ref="D154:Q154" si="31">C154</f>
        <v>0.64734996069093709</v>
      </c>
      <c r="E154" s="2">
        <f t="shared" si="31"/>
        <v>0.64734996069093709</v>
      </c>
      <c r="F154" s="2">
        <f t="shared" si="31"/>
        <v>0.64734996069093709</v>
      </c>
      <c r="G154" s="2">
        <f t="shared" si="31"/>
        <v>0.64734996069093709</v>
      </c>
      <c r="H154" s="2">
        <f t="shared" si="31"/>
        <v>0.64734996069093709</v>
      </c>
      <c r="I154" s="2">
        <f t="shared" si="31"/>
        <v>0.64734996069093709</v>
      </c>
      <c r="J154" s="2">
        <f t="shared" si="31"/>
        <v>0.64734996069093709</v>
      </c>
      <c r="K154" s="2">
        <f t="shared" si="31"/>
        <v>0.64734996069093709</v>
      </c>
      <c r="L154" s="2">
        <f t="shared" si="31"/>
        <v>0.64734996069093709</v>
      </c>
      <c r="M154" s="2">
        <f t="shared" si="31"/>
        <v>0.64734996069093709</v>
      </c>
      <c r="N154" s="2">
        <f t="shared" si="31"/>
        <v>0.64734996069093709</v>
      </c>
      <c r="O154" s="2">
        <f t="shared" si="31"/>
        <v>0.64734996069093709</v>
      </c>
      <c r="P154" s="2">
        <f t="shared" si="31"/>
        <v>0.64734996069093709</v>
      </c>
      <c r="Q154" s="2">
        <f t="shared" si="31"/>
        <v>0.64734996069093709</v>
      </c>
    </row>
    <row r="155" spans="1:42">
      <c r="A155" t="s">
        <v>148</v>
      </c>
      <c r="B155" s="2">
        <v>0.61248990268462133</v>
      </c>
      <c r="C155" s="2">
        <f t="shared" si="2"/>
        <v>0.61248990268462133</v>
      </c>
      <c r="D155" s="2">
        <f t="shared" ref="D155:Q155" si="32">C155</f>
        <v>0.61248990268462133</v>
      </c>
      <c r="E155" s="2">
        <f t="shared" si="32"/>
        <v>0.61248990268462133</v>
      </c>
      <c r="F155" s="2">
        <f t="shared" si="32"/>
        <v>0.61248990268462133</v>
      </c>
      <c r="G155" s="2">
        <f t="shared" si="32"/>
        <v>0.61248990268462133</v>
      </c>
      <c r="H155" s="2">
        <f t="shared" si="32"/>
        <v>0.61248990268462133</v>
      </c>
      <c r="I155" s="2">
        <f t="shared" si="32"/>
        <v>0.61248990268462133</v>
      </c>
      <c r="J155" s="2">
        <f t="shared" si="32"/>
        <v>0.61248990268462133</v>
      </c>
      <c r="K155" s="2">
        <f t="shared" si="32"/>
        <v>0.61248990268462133</v>
      </c>
      <c r="L155" s="2">
        <f t="shared" si="32"/>
        <v>0.61248990268462133</v>
      </c>
      <c r="M155" s="2">
        <f t="shared" si="32"/>
        <v>0.61248990268462133</v>
      </c>
      <c r="N155" s="2">
        <f t="shared" si="32"/>
        <v>0.61248990268462133</v>
      </c>
      <c r="O155" s="2">
        <f t="shared" si="32"/>
        <v>0.61248990268462133</v>
      </c>
      <c r="P155" s="2">
        <f t="shared" si="32"/>
        <v>0.61248990268462133</v>
      </c>
      <c r="Q155" s="2">
        <f t="shared" si="32"/>
        <v>0.61248990268462133</v>
      </c>
    </row>
    <row r="156" spans="1:42">
      <c r="A156" t="s">
        <v>147</v>
      </c>
      <c r="B156" s="2">
        <v>0</v>
      </c>
      <c r="C156" s="2">
        <f t="shared" si="2"/>
        <v>0</v>
      </c>
      <c r="D156" s="2">
        <f t="shared" ref="D156:Q156" si="33">C156</f>
        <v>0</v>
      </c>
      <c r="E156" s="2">
        <f t="shared" si="33"/>
        <v>0</v>
      </c>
      <c r="F156" s="2">
        <f t="shared" si="33"/>
        <v>0</v>
      </c>
      <c r="G156" s="2">
        <f t="shared" si="33"/>
        <v>0</v>
      </c>
      <c r="H156" s="2">
        <f t="shared" si="33"/>
        <v>0</v>
      </c>
      <c r="I156" s="2">
        <f t="shared" si="33"/>
        <v>0</v>
      </c>
      <c r="J156" s="2">
        <f t="shared" si="33"/>
        <v>0</v>
      </c>
      <c r="K156" s="2">
        <f t="shared" si="33"/>
        <v>0</v>
      </c>
      <c r="L156" s="2">
        <f t="shared" si="33"/>
        <v>0</v>
      </c>
      <c r="M156" s="2">
        <f t="shared" si="33"/>
        <v>0</v>
      </c>
      <c r="N156" s="2">
        <f t="shared" si="33"/>
        <v>0</v>
      </c>
      <c r="O156" s="2">
        <f t="shared" si="33"/>
        <v>0</v>
      </c>
      <c r="P156" s="2">
        <f t="shared" si="33"/>
        <v>0</v>
      </c>
      <c r="Q156" s="2">
        <f t="shared" si="33"/>
        <v>0</v>
      </c>
    </row>
    <row r="161" spans="1:42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  <c r="Z161" t="s">
        <v>23</v>
      </c>
      <c r="AA161">
        <f t="array" ref="AA161:AP161">TRANSPOSE(Years)</f>
        <v>2015</v>
      </c>
      <c r="AB161">
        <v>2016</v>
      </c>
      <c r="AC161">
        <v>2017</v>
      </c>
      <c r="AD161">
        <v>2018</v>
      </c>
      <c r="AE161">
        <v>2019</v>
      </c>
      <c r="AF161">
        <v>2020</v>
      </c>
      <c r="AG161">
        <v>2021</v>
      </c>
      <c r="AH161">
        <v>2022</v>
      </c>
      <c r="AI161">
        <v>2023</v>
      </c>
      <c r="AJ161">
        <v>2024</v>
      </c>
      <c r="AK161">
        <v>2025</v>
      </c>
      <c r="AL161">
        <v>2026</v>
      </c>
      <c r="AM161">
        <v>2027</v>
      </c>
      <c r="AN161">
        <v>2028</v>
      </c>
      <c r="AO161">
        <v>2029</v>
      </c>
      <c r="AP161">
        <v>2030</v>
      </c>
    </row>
    <row r="162" spans="1:42">
      <c r="A162" t="s">
        <v>134</v>
      </c>
      <c r="B162" s="2">
        <f>B142+0.1-COLUMN()/50</f>
        <v>0.75071891324212725</v>
      </c>
      <c r="C162" s="2">
        <f t="shared" ref="C162:Q176" si="34">B162</f>
        <v>0.75071891324212725</v>
      </c>
      <c r="D162" s="2">
        <f t="shared" si="34"/>
        <v>0.75071891324212725</v>
      </c>
      <c r="E162" s="2">
        <f t="shared" si="34"/>
        <v>0.75071891324212725</v>
      </c>
      <c r="F162" s="2">
        <f t="shared" si="34"/>
        <v>0.75071891324212725</v>
      </c>
      <c r="G162" s="2">
        <f t="shared" si="34"/>
        <v>0.75071891324212725</v>
      </c>
      <c r="H162" s="2">
        <f t="shared" si="34"/>
        <v>0.75071891324212725</v>
      </c>
      <c r="I162" s="2">
        <f t="shared" si="34"/>
        <v>0.75071891324212725</v>
      </c>
      <c r="J162" s="2">
        <f t="shared" si="34"/>
        <v>0.75071891324212725</v>
      </c>
      <c r="K162" s="2">
        <f t="shared" si="34"/>
        <v>0.75071891324212725</v>
      </c>
      <c r="L162" s="2">
        <f t="shared" si="34"/>
        <v>0.75071891324212725</v>
      </c>
      <c r="M162" s="2">
        <f t="shared" si="34"/>
        <v>0.75071891324212725</v>
      </c>
      <c r="N162" s="2">
        <f t="shared" si="34"/>
        <v>0.75071891324212725</v>
      </c>
      <c r="O162" s="2">
        <f t="shared" si="34"/>
        <v>0.75071891324212725</v>
      </c>
      <c r="P162" s="2">
        <f t="shared" si="34"/>
        <v>0.75071891324212725</v>
      </c>
      <c r="Q162" s="2">
        <f t="shared" si="34"/>
        <v>0.75071891324212725</v>
      </c>
      <c r="Z162" t="str">
        <f t="array" ref="Z162:Z172">Nodes</f>
        <v>AddisAbaba</v>
      </c>
      <c r="AA162" s="2">
        <f>$G121*B162</f>
        <v>0</v>
      </c>
      <c r="AB162" s="2">
        <f t="shared" ref="AB162:AP162" si="35">$G121*C162</f>
        <v>0</v>
      </c>
      <c r="AC162" s="2">
        <f t="shared" si="35"/>
        <v>0</v>
      </c>
      <c r="AD162" s="2">
        <f t="shared" si="35"/>
        <v>0</v>
      </c>
      <c r="AE162" s="2">
        <f t="shared" si="35"/>
        <v>0</v>
      </c>
      <c r="AF162" s="2">
        <f t="shared" si="35"/>
        <v>0</v>
      </c>
      <c r="AG162" s="2">
        <f t="shared" si="35"/>
        <v>0</v>
      </c>
      <c r="AH162" s="2">
        <f t="shared" si="35"/>
        <v>0</v>
      </c>
      <c r="AI162" s="2">
        <f t="shared" si="35"/>
        <v>0</v>
      </c>
      <c r="AJ162" s="2">
        <f t="shared" si="35"/>
        <v>0</v>
      </c>
      <c r="AK162" s="2">
        <f t="shared" si="35"/>
        <v>0</v>
      </c>
      <c r="AL162" s="2">
        <f t="shared" si="35"/>
        <v>0</v>
      </c>
      <c r="AM162" s="2">
        <f t="shared" si="35"/>
        <v>0</v>
      </c>
      <c r="AN162" s="2">
        <f t="shared" si="35"/>
        <v>0</v>
      </c>
      <c r="AO162" s="2">
        <f t="shared" si="35"/>
        <v>0</v>
      </c>
      <c r="AP162" s="2">
        <f t="shared" si="35"/>
        <v>0</v>
      </c>
    </row>
    <row r="163" spans="1:42">
      <c r="A163" t="s">
        <v>135</v>
      </c>
      <c r="B163" s="2">
        <f t="shared" ref="B163" si="36">B143+0.1-COLUMN()/50</f>
        <v>0.63588253539838879</v>
      </c>
      <c r="C163" s="2">
        <f t="shared" si="34"/>
        <v>0.63588253539838879</v>
      </c>
      <c r="D163" s="2">
        <f t="shared" si="34"/>
        <v>0.63588253539838879</v>
      </c>
      <c r="E163" s="2">
        <f t="shared" si="34"/>
        <v>0.63588253539838879</v>
      </c>
      <c r="F163" s="2">
        <f t="shared" si="34"/>
        <v>0.63588253539838879</v>
      </c>
      <c r="G163" s="2">
        <f t="shared" si="34"/>
        <v>0.63588253539838879</v>
      </c>
      <c r="H163" s="2">
        <f t="shared" si="34"/>
        <v>0.63588253539838879</v>
      </c>
      <c r="I163" s="2">
        <f t="shared" si="34"/>
        <v>0.63588253539838879</v>
      </c>
      <c r="J163" s="2">
        <f t="shared" si="34"/>
        <v>0.63588253539838879</v>
      </c>
      <c r="K163" s="2">
        <f t="shared" si="34"/>
        <v>0.63588253539838879</v>
      </c>
      <c r="L163" s="2">
        <f t="shared" si="34"/>
        <v>0.63588253539838879</v>
      </c>
      <c r="M163" s="2">
        <f t="shared" si="34"/>
        <v>0.63588253539838879</v>
      </c>
      <c r="N163" s="2">
        <f t="shared" si="34"/>
        <v>0.63588253539838879</v>
      </c>
      <c r="O163" s="2">
        <f t="shared" si="34"/>
        <v>0.63588253539838879</v>
      </c>
      <c r="P163" s="2">
        <f t="shared" si="34"/>
        <v>0.63588253539838879</v>
      </c>
      <c r="Q163" s="2">
        <f t="shared" si="34"/>
        <v>0.63588253539838879</v>
      </c>
      <c r="Z163" t="str">
        <v>Semera</v>
      </c>
      <c r="AA163" s="2">
        <f t="shared" ref="AA163:AA172" si="37">$G122*B163</f>
        <v>0</v>
      </c>
      <c r="AB163" s="2">
        <f t="shared" ref="AB163:AB172" si="38">$G122*C163</f>
        <v>0</v>
      </c>
      <c r="AC163" s="2">
        <f t="shared" ref="AC163:AC172" si="39">$G122*D163</f>
        <v>0</v>
      </c>
      <c r="AD163" s="2">
        <f t="shared" ref="AD163:AD172" si="40">$G122*E163</f>
        <v>0</v>
      </c>
      <c r="AE163" s="2">
        <f t="shared" ref="AE163:AE172" si="41">$G122*F163</f>
        <v>0</v>
      </c>
      <c r="AF163" s="2">
        <f t="shared" ref="AF163:AF172" si="42">$G122*G163</f>
        <v>0</v>
      </c>
      <c r="AG163" s="2">
        <f t="shared" ref="AG163:AG172" si="43">$G122*H163</f>
        <v>0</v>
      </c>
      <c r="AH163" s="2">
        <f t="shared" ref="AH163:AH172" si="44">$G122*I163</f>
        <v>0</v>
      </c>
      <c r="AI163" s="2">
        <f t="shared" ref="AI163:AI172" si="45">$G122*J163</f>
        <v>0</v>
      </c>
      <c r="AJ163" s="2">
        <f t="shared" ref="AJ163:AJ172" si="46">$G122*K163</f>
        <v>0</v>
      </c>
      <c r="AK163" s="2">
        <f t="shared" ref="AK163:AK172" si="47">$G122*L163</f>
        <v>0</v>
      </c>
      <c r="AL163" s="2">
        <f t="shared" ref="AL163:AL172" si="48">$G122*M163</f>
        <v>0</v>
      </c>
      <c r="AM163" s="2">
        <f t="shared" ref="AM163:AM172" si="49">$G122*N163</f>
        <v>0</v>
      </c>
      <c r="AN163" s="2">
        <f t="shared" ref="AN163:AN172" si="50">$G122*O163</f>
        <v>0</v>
      </c>
      <c r="AO163" s="2">
        <f t="shared" ref="AO163:AO172" si="51">$G122*P163</f>
        <v>0</v>
      </c>
      <c r="AP163" s="2">
        <f t="shared" ref="AP163:AP172" si="52">$G122*Q163</f>
        <v>0</v>
      </c>
    </row>
    <row r="164" spans="1:42">
      <c r="A164" t="s">
        <v>136</v>
      </c>
      <c r="B164" s="2">
        <f t="shared" ref="B164" si="53">B144+0.1-COLUMN()/50</f>
        <v>0.71772172442067816</v>
      </c>
      <c r="C164" s="2">
        <f t="shared" si="34"/>
        <v>0.71772172442067816</v>
      </c>
      <c r="D164" s="2">
        <f t="shared" si="34"/>
        <v>0.71772172442067816</v>
      </c>
      <c r="E164" s="2">
        <f t="shared" si="34"/>
        <v>0.71772172442067816</v>
      </c>
      <c r="F164" s="2">
        <f t="shared" si="34"/>
        <v>0.71772172442067816</v>
      </c>
      <c r="G164" s="2">
        <f t="shared" si="34"/>
        <v>0.71772172442067816</v>
      </c>
      <c r="H164" s="2">
        <f t="shared" si="34"/>
        <v>0.71772172442067816</v>
      </c>
      <c r="I164" s="2">
        <f t="shared" si="34"/>
        <v>0.71772172442067816</v>
      </c>
      <c r="J164" s="2">
        <f t="shared" si="34"/>
        <v>0.71772172442067816</v>
      </c>
      <c r="K164" s="2">
        <f t="shared" si="34"/>
        <v>0.71772172442067816</v>
      </c>
      <c r="L164" s="2">
        <f t="shared" si="34"/>
        <v>0.71772172442067816</v>
      </c>
      <c r="M164" s="2">
        <f t="shared" si="34"/>
        <v>0.71772172442067816</v>
      </c>
      <c r="N164" s="2">
        <f t="shared" si="34"/>
        <v>0.71772172442067816</v>
      </c>
      <c r="O164" s="2">
        <f t="shared" si="34"/>
        <v>0.71772172442067816</v>
      </c>
      <c r="P164" s="2">
        <f t="shared" si="34"/>
        <v>0.71772172442067816</v>
      </c>
      <c r="Q164" s="2">
        <f t="shared" si="34"/>
        <v>0.71772172442067816</v>
      </c>
      <c r="Z164" t="str">
        <v>BahirDar</v>
      </c>
      <c r="AA164" s="2">
        <f t="shared" si="37"/>
        <v>0</v>
      </c>
      <c r="AB164" s="2">
        <f t="shared" si="38"/>
        <v>0</v>
      </c>
      <c r="AC164" s="2">
        <f t="shared" si="39"/>
        <v>0</v>
      </c>
      <c r="AD164" s="2">
        <f t="shared" si="40"/>
        <v>0</v>
      </c>
      <c r="AE164" s="2">
        <f t="shared" si="41"/>
        <v>0</v>
      </c>
      <c r="AF164" s="2">
        <f t="shared" si="42"/>
        <v>0</v>
      </c>
      <c r="AG164" s="2">
        <f t="shared" si="43"/>
        <v>0</v>
      </c>
      <c r="AH164" s="2">
        <f t="shared" si="44"/>
        <v>0</v>
      </c>
      <c r="AI164" s="2">
        <f t="shared" si="45"/>
        <v>0</v>
      </c>
      <c r="AJ164" s="2">
        <f t="shared" si="46"/>
        <v>0</v>
      </c>
      <c r="AK164" s="2">
        <f t="shared" si="47"/>
        <v>0</v>
      </c>
      <c r="AL164" s="2">
        <f t="shared" si="48"/>
        <v>0</v>
      </c>
      <c r="AM164" s="2">
        <f t="shared" si="49"/>
        <v>0</v>
      </c>
      <c r="AN164" s="2">
        <f t="shared" si="50"/>
        <v>0</v>
      </c>
      <c r="AO164" s="2">
        <f t="shared" si="51"/>
        <v>0</v>
      </c>
      <c r="AP164" s="2">
        <f t="shared" si="52"/>
        <v>0</v>
      </c>
    </row>
    <row r="165" spans="1:42">
      <c r="A165" t="s">
        <v>137</v>
      </c>
      <c r="B165" s="2">
        <f t="shared" ref="B165" si="54">B145+0.1-COLUMN()/50</f>
        <v>0.68147524452124986</v>
      </c>
      <c r="C165" s="2">
        <f t="shared" si="34"/>
        <v>0.68147524452124986</v>
      </c>
      <c r="D165" s="2">
        <f t="shared" si="34"/>
        <v>0.68147524452124986</v>
      </c>
      <c r="E165" s="2">
        <f t="shared" si="34"/>
        <v>0.68147524452124986</v>
      </c>
      <c r="F165" s="2">
        <f t="shared" si="34"/>
        <v>0.68147524452124986</v>
      </c>
      <c r="G165" s="2">
        <f t="shared" si="34"/>
        <v>0.68147524452124986</v>
      </c>
      <c r="H165" s="2">
        <f t="shared" si="34"/>
        <v>0.68147524452124986</v>
      </c>
      <c r="I165" s="2">
        <f t="shared" si="34"/>
        <v>0.68147524452124986</v>
      </c>
      <c r="J165" s="2">
        <f t="shared" si="34"/>
        <v>0.68147524452124986</v>
      </c>
      <c r="K165" s="2">
        <f t="shared" si="34"/>
        <v>0.68147524452124986</v>
      </c>
      <c r="L165" s="2">
        <f t="shared" si="34"/>
        <v>0.68147524452124986</v>
      </c>
      <c r="M165" s="2">
        <f t="shared" si="34"/>
        <v>0.68147524452124986</v>
      </c>
      <c r="N165" s="2">
        <f t="shared" si="34"/>
        <v>0.68147524452124986</v>
      </c>
      <c r="O165" s="2">
        <f t="shared" si="34"/>
        <v>0.68147524452124986</v>
      </c>
      <c r="P165" s="2">
        <f t="shared" si="34"/>
        <v>0.68147524452124986</v>
      </c>
      <c r="Q165" s="2">
        <f t="shared" si="34"/>
        <v>0.68147524452124986</v>
      </c>
      <c r="Z165" t="str">
        <v>Asosa</v>
      </c>
      <c r="AA165" s="2">
        <f t="shared" si="37"/>
        <v>0</v>
      </c>
      <c r="AB165" s="2">
        <f t="shared" si="38"/>
        <v>0</v>
      </c>
      <c r="AC165" s="2">
        <f t="shared" si="39"/>
        <v>0</v>
      </c>
      <c r="AD165" s="2">
        <f t="shared" si="40"/>
        <v>0</v>
      </c>
      <c r="AE165" s="2">
        <f t="shared" si="41"/>
        <v>0</v>
      </c>
      <c r="AF165" s="2">
        <f t="shared" si="42"/>
        <v>0</v>
      </c>
      <c r="AG165" s="2">
        <f t="shared" si="43"/>
        <v>0</v>
      </c>
      <c r="AH165" s="2">
        <f t="shared" si="44"/>
        <v>0</v>
      </c>
      <c r="AI165" s="2">
        <f t="shared" si="45"/>
        <v>0</v>
      </c>
      <c r="AJ165" s="2">
        <f t="shared" si="46"/>
        <v>0</v>
      </c>
      <c r="AK165" s="2">
        <f t="shared" si="47"/>
        <v>0</v>
      </c>
      <c r="AL165" s="2">
        <f t="shared" si="48"/>
        <v>0</v>
      </c>
      <c r="AM165" s="2">
        <f t="shared" si="49"/>
        <v>0</v>
      </c>
      <c r="AN165" s="2">
        <f t="shared" si="50"/>
        <v>0</v>
      </c>
      <c r="AO165" s="2">
        <f t="shared" si="51"/>
        <v>0</v>
      </c>
      <c r="AP165" s="2">
        <f t="shared" si="52"/>
        <v>0</v>
      </c>
    </row>
    <row r="166" spans="1:42">
      <c r="A166" t="s">
        <v>138</v>
      </c>
      <c r="B166" s="2">
        <f t="shared" ref="B166" si="55">B146+0.1-COLUMN()/50</f>
        <v>0.70734996069093703</v>
      </c>
      <c r="C166" s="2">
        <f t="shared" si="34"/>
        <v>0.70734996069093703</v>
      </c>
      <c r="D166" s="2">
        <f t="shared" si="34"/>
        <v>0.70734996069093703</v>
      </c>
      <c r="E166" s="2">
        <f t="shared" si="34"/>
        <v>0.70734996069093703</v>
      </c>
      <c r="F166" s="2">
        <f t="shared" si="34"/>
        <v>0.70734996069093703</v>
      </c>
      <c r="G166" s="2">
        <f t="shared" si="34"/>
        <v>0.70734996069093703</v>
      </c>
      <c r="H166" s="2">
        <f t="shared" si="34"/>
        <v>0.70734996069093703</v>
      </c>
      <c r="I166" s="2">
        <f t="shared" si="34"/>
        <v>0.70734996069093703</v>
      </c>
      <c r="J166" s="2">
        <f t="shared" si="34"/>
        <v>0.70734996069093703</v>
      </c>
      <c r="K166" s="2">
        <f t="shared" si="34"/>
        <v>0.70734996069093703</v>
      </c>
      <c r="L166" s="2">
        <f t="shared" si="34"/>
        <v>0.70734996069093703</v>
      </c>
      <c r="M166" s="2">
        <f t="shared" si="34"/>
        <v>0.70734996069093703</v>
      </c>
      <c r="N166" s="2">
        <f t="shared" si="34"/>
        <v>0.70734996069093703</v>
      </c>
      <c r="O166" s="2">
        <f t="shared" si="34"/>
        <v>0.70734996069093703</v>
      </c>
      <c r="P166" s="2">
        <f t="shared" si="34"/>
        <v>0.70734996069093703</v>
      </c>
      <c r="Q166" s="2">
        <f t="shared" si="34"/>
        <v>0.70734996069093703</v>
      </c>
      <c r="Z166" t="str">
        <v>DireDawa</v>
      </c>
      <c r="AA166" s="2">
        <f t="shared" si="37"/>
        <v>0</v>
      </c>
      <c r="AB166" s="2">
        <f t="shared" si="38"/>
        <v>0</v>
      </c>
      <c r="AC166" s="2">
        <f t="shared" si="39"/>
        <v>0</v>
      </c>
      <c r="AD166" s="2">
        <f t="shared" si="40"/>
        <v>0</v>
      </c>
      <c r="AE166" s="2">
        <f t="shared" si="41"/>
        <v>0</v>
      </c>
      <c r="AF166" s="2">
        <f t="shared" si="42"/>
        <v>0</v>
      </c>
      <c r="AG166" s="2">
        <f t="shared" si="43"/>
        <v>0</v>
      </c>
      <c r="AH166" s="2">
        <f t="shared" si="44"/>
        <v>0</v>
      </c>
      <c r="AI166" s="2">
        <f t="shared" si="45"/>
        <v>0</v>
      </c>
      <c r="AJ166" s="2">
        <f t="shared" si="46"/>
        <v>0</v>
      </c>
      <c r="AK166" s="2">
        <f t="shared" si="47"/>
        <v>0</v>
      </c>
      <c r="AL166" s="2">
        <f t="shared" si="48"/>
        <v>0</v>
      </c>
      <c r="AM166" s="2">
        <f t="shared" si="49"/>
        <v>0</v>
      </c>
      <c r="AN166" s="2">
        <f t="shared" si="50"/>
        <v>0</v>
      </c>
      <c r="AO166" s="2">
        <f t="shared" si="51"/>
        <v>0</v>
      </c>
      <c r="AP166" s="2">
        <f t="shared" si="52"/>
        <v>0</v>
      </c>
    </row>
    <row r="167" spans="1:42">
      <c r="A167" t="s">
        <v>139</v>
      </c>
      <c r="B167" s="2">
        <f t="shared" ref="B167" si="56">B147+0.1-COLUMN()/50</f>
        <v>0.67248990268462128</v>
      </c>
      <c r="C167" s="2">
        <f t="shared" si="34"/>
        <v>0.67248990268462128</v>
      </c>
      <c r="D167" s="2">
        <f t="shared" si="34"/>
        <v>0.67248990268462128</v>
      </c>
      <c r="E167" s="2">
        <f t="shared" si="34"/>
        <v>0.67248990268462128</v>
      </c>
      <c r="F167" s="2">
        <f t="shared" si="34"/>
        <v>0.67248990268462128</v>
      </c>
      <c r="G167" s="2">
        <f t="shared" si="34"/>
        <v>0.67248990268462128</v>
      </c>
      <c r="H167" s="2">
        <f t="shared" si="34"/>
        <v>0.67248990268462128</v>
      </c>
      <c r="I167" s="2">
        <f t="shared" si="34"/>
        <v>0.67248990268462128</v>
      </c>
      <c r="J167" s="2">
        <f t="shared" si="34"/>
        <v>0.67248990268462128</v>
      </c>
      <c r="K167" s="2">
        <f t="shared" si="34"/>
        <v>0.67248990268462128</v>
      </c>
      <c r="L167" s="2">
        <f t="shared" si="34"/>
        <v>0.67248990268462128</v>
      </c>
      <c r="M167" s="2">
        <f t="shared" si="34"/>
        <v>0.67248990268462128</v>
      </c>
      <c r="N167" s="2">
        <f t="shared" si="34"/>
        <v>0.67248990268462128</v>
      </c>
      <c r="O167" s="2">
        <f t="shared" si="34"/>
        <v>0.67248990268462128</v>
      </c>
      <c r="P167" s="2">
        <f t="shared" si="34"/>
        <v>0.67248990268462128</v>
      </c>
      <c r="Q167" s="2">
        <f t="shared" si="34"/>
        <v>0.67248990268462128</v>
      </c>
      <c r="Z167" t="str">
        <v>Gambela</v>
      </c>
      <c r="AA167" s="2">
        <f t="shared" si="37"/>
        <v>0</v>
      </c>
      <c r="AB167" s="2">
        <f t="shared" si="38"/>
        <v>0</v>
      </c>
      <c r="AC167" s="2">
        <f t="shared" si="39"/>
        <v>0</v>
      </c>
      <c r="AD167" s="2">
        <f t="shared" si="40"/>
        <v>0</v>
      </c>
      <c r="AE167" s="2">
        <f t="shared" si="41"/>
        <v>0</v>
      </c>
      <c r="AF167" s="2">
        <f t="shared" si="42"/>
        <v>0</v>
      </c>
      <c r="AG167" s="2">
        <f t="shared" si="43"/>
        <v>0</v>
      </c>
      <c r="AH167" s="2">
        <f t="shared" si="44"/>
        <v>0</v>
      </c>
      <c r="AI167" s="2">
        <f t="shared" si="45"/>
        <v>0</v>
      </c>
      <c r="AJ167" s="2">
        <f t="shared" si="46"/>
        <v>0</v>
      </c>
      <c r="AK167" s="2">
        <f t="shared" si="47"/>
        <v>0</v>
      </c>
      <c r="AL167" s="2">
        <f t="shared" si="48"/>
        <v>0</v>
      </c>
      <c r="AM167" s="2">
        <f t="shared" si="49"/>
        <v>0</v>
      </c>
      <c r="AN167" s="2">
        <f t="shared" si="50"/>
        <v>0</v>
      </c>
      <c r="AO167" s="2">
        <f t="shared" si="51"/>
        <v>0</v>
      </c>
      <c r="AP167" s="2">
        <f t="shared" si="52"/>
        <v>0</v>
      </c>
    </row>
    <row r="168" spans="1:42">
      <c r="A168" t="s">
        <v>140</v>
      </c>
      <c r="B168" s="2">
        <f t="shared" ref="B168" si="57">B148+0.1-COLUMN()/50</f>
        <v>0.74882922338166724</v>
      </c>
      <c r="C168" s="2">
        <f t="shared" si="34"/>
        <v>0.74882922338166724</v>
      </c>
      <c r="D168" s="2">
        <f t="shared" si="34"/>
        <v>0.74882922338166724</v>
      </c>
      <c r="E168" s="2">
        <f t="shared" si="34"/>
        <v>0.74882922338166724</v>
      </c>
      <c r="F168" s="2">
        <f t="shared" si="34"/>
        <v>0.74882922338166724</v>
      </c>
      <c r="G168" s="2">
        <f t="shared" si="34"/>
        <v>0.74882922338166724</v>
      </c>
      <c r="H168" s="2">
        <f t="shared" si="34"/>
        <v>0.74882922338166724</v>
      </c>
      <c r="I168" s="2">
        <f t="shared" si="34"/>
        <v>0.74882922338166724</v>
      </c>
      <c r="J168" s="2">
        <f t="shared" si="34"/>
        <v>0.74882922338166724</v>
      </c>
      <c r="K168" s="2">
        <f t="shared" si="34"/>
        <v>0.74882922338166724</v>
      </c>
      <c r="L168" s="2">
        <f t="shared" si="34"/>
        <v>0.74882922338166724</v>
      </c>
      <c r="M168" s="2">
        <f t="shared" si="34"/>
        <v>0.74882922338166724</v>
      </c>
      <c r="N168" s="2">
        <f t="shared" si="34"/>
        <v>0.74882922338166724</v>
      </c>
      <c r="O168" s="2">
        <f t="shared" si="34"/>
        <v>0.74882922338166724</v>
      </c>
      <c r="P168" s="2">
        <f t="shared" si="34"/>
        <v>0.74882922338166724</v>
      </c>
      <c r="Q168" s="2">
        <f t="shared" si="34"/>
        <v>0.74882922338166724</v>
      </c>
      <c r="Z168" t="str">
        <v>Harar</v>
      </c>
      <c r="AA168" s="2">
        <f t="shared" si="37"/>
        <v>0</v>
      </c>
      <c r="AB168" s="2">
        <f t="shared" si="38"/>
        <v>0</v>
      </c>
      <c r="AC168" s="2">
        <f t="shared" si="39"/>
        <v>0</v>
      </c>
      <c r="AD168" s="2">
        <f t="shared" si="40"/>
        <v>0</v>
      </c>
      <c r="AE168" s="2">
        <f t="shared" si="41"/>
        <v>0</v>
      </c>
      <c r="AF168" s="2">
        <f t="shared" si="42"/>
        <v>0</v>
      </c>
      <c r="AG168" s="2">
        <f t="shared" si="43"/>
        <v>0</v>
      </c>
      <c r="AH168" s="2">
        <f t="shared" si="44"/>
        <v>0</v>
      </c>
      <c r="AI168" s="2">
        <f t="shared" si="45"/>
        <v>0</v>
      </c>
      <c r="AJ168" s="2">
        <f t="shared" si="46"/>
        <v>0</v>
      </c>
      <c r="AK168" s="2">
        <f t="shared" si="47"/>
        <v>0</v>
      </c>
      <c r="AL168" s="2">
        <f t="shared" si="48"/>
        <v>0</v>
      </c>
      <c r="AM168" s="2">
        <f t="shared" si="49"/>
        <v>0</v>
      </c>
      <c r="AN168" s="2">
        <f t="shared" si="50"/>
        <v>0</v>
      </c>
      <c r="AO168" s="2">
        <f t="shared" si="51"/>
        <v>0</v>
      </c>
      <c r="AP168" s="2">
        <f t="shared" si="52"/>
        <v>0</v>
      </c>
    </row>
    <row r="169" spans="1:42">
      <c r="A169" t="s">
        <v>141</v>
      </c>
      <c r="B169" s="2">
        <f t="shared" ref="B169" si="58">B149+0.1-COLUMN()/50</f>
        <v>0.70334060504376383</v>
      </c>
      <c r="C169" s="2">
        <f t="shared" si="34"/>
        <v>0.70334060504376383</v>
      </c>
      <c r="D169" s="2">
        <f t="shared" si="34"/>
        <v>0.70334060504376383</v>
      </c>
      <c r="E169" s="2">
        <f t="shared" si="34"/>
        <v>0.70334060504376383</v>
      </c>
      <c r="F169" s="2">
        <f t="shared" si="34"/>
        <v>0.70334060504376383</v>
      </c>
      <c r="G169" s="2">
        <f t="shared" si="34"/>
        <v>0.70334060504376383</v>
      </c>
      <c r="H169" s="2">
        <f t="shared" si="34"/>
        <v>0.70334060504376383</v>
      </c>
      <c r="I169" s="2">
        <f t="shared" si="34"/>
        <v>0.70334060504376383</v>
      </c>
      <c r="J169" s="2">
        <f t="shared" si="34"/>
        <v>0.70334060504376383</v>
      </c>
      <c r="K169" s="2">
        <f t="shared" si="34"/>
        <v>0.70334060504376383</v>
      </c>
      <c r="L169" s="2">
        <f t="shared" si="34"/>
        <v>0.70334060504376383</v>
      </c>
      <c r="M169" s="2">
        <f t="shared" si="34"/>
        <v>0.70334060504376383</v>
      </c>
      <c r="N169" s="2">
        <f t="shared" si="34"/>
        <v>0.70334060504376383</v>
      </c>
      <c r="O169" s="2">
        <f t="shared" si="34"/>
        <v>0.70334060504376383</v>
      </c>
      <c r="P169" s="2">
        <f t="shared" si="34"/>
        <v>0.70334060504376383</v>
      </c>
      <c r="Q169" s="2">
        <f t="shared" si="34"/>
        <v>0.70334060504376383</v>
      </c>
      <c r="Z169" t="str">
        <v>Jijiga</v>
      </c>
      <c r="AA169" s="2">
        <f t="shared" si="37"/>
        <v>0</v>
      </c>
      <c r="AB169" s="2">
        <f t="shared" si="38"/>
        <v>0</v>
      </c>
      <c r="AC169" s="2">
        <f t="shared" si="39"/>
        <v>0</v>
      </c>
      <c r="AD169" s="2">
        <f t="shared" si="40"/>
        <v>0</v>
      </c>
      <c r="AE169" s="2">
        <f t="shared" si="41"/>
        <v>0</v>
      </c>
      <c r="AF169" s="2">
        <f t="shared" si="42"/>
        <v>0</v>
      </c>
      <c r="AG169" s="2">
        <f t="shared" si="43"/>
        <v>0</v>
      </c>
      <c r="AH169" s="2">
        <f t="shared" si="44"/>
        <v>0</v>
      </c>
      <c r="AI169" s="2">
        <f t="shared" si="45"/>
        <v>0</v>
      </c>
      <c r="AJ169" s="2">
        <f t="shared" si="46"/>
        <v>0</v>
      </c>
      <c r="AK169" s="2">
        <f t="shared" si="47"/>
        <v>0</v>
      </c>
      <c r="AL169" s="2">
        <f t="shared" si="48"/>
        <v>0</v>
      </c>
      <c r="AM169" s="2">
        <f t="shared" si="49"/>
        <v>0</v>
      </c>
      <c r="AN169" s="2">
        <f t="shared" si="50"/>
        <v>0</v>
      </c>
      <c r="AO169" s="2">
        <f t="shared" si="51"/>
        <v>0</v>
      </c>
      <c r="AP169" s="2">
        <f t="shared" si="52"/>
        <v>0</v>
      </c>
    </row>
    <row r="170" spans="1:42">
      <c r="A170" t="s">
        <v>142</v>
      </c>
      <c r="B170" s="2">
        <f t="shared" ref="B170" si="59">B150+0.1-COLUMN()/50</f>
        <v>0.72235779354203533</v>
      </c>
      <c r="C170" s="2">
        <f t="shared" si="34"/>
        <v>0.72235779354203533</v>
      </c>
      <c r="D170" s="2">
        <f t="shared" si="34"/>
        <v>0.72235779354203533</v>
      </c>
      <c r="E170" s="2">
        <f t="shared" si="34"/>
        <v>0.72235779354203533</v>
      </c>
      <c r="F170" s="2">
        <f t="shared" si="34"/>
        <v>0.72235779354203533</v>
      </c>
      <c r="G170" s="2">
        <f t="shared" si="34"/>
        <v>0.72235779354203533</v>
      </c>
      <c r="H170" s="2">
        <f t="shared" si="34"/>
        <v>0.72235779354203533</v>
      </c>
      <c r="I170" s="2">
        <f t="shared" si="34"/>
        <v>0.72235779354203533</v>
      </c>
      <c r="J170" s="2">
        <f t="shared" si="34"/>
        <v>0.72235779354203533</v>
      </c>
      <c r="K170" s="2">
        <f t="shared" si="34"/>
        <v>0.72235779354203533</v>
      </c>
      <c r="L170" s="2">
        <f t="shared" si="34"/>
        <v>0.72235779354203533</v>
      </c>
      <c r="M170" s="2">
        <f t="shared" si="34"/>
        <v>0.72235779354203533</v>
      </c>
      <c r="N170" s="2">
        <f t="shared" si="34"/>
        <v>0.72235779354203533</v>
      </c>
      <c r="O170" s="2">
        <f t="shared" si="34"/>
        <v>0.72235779354203533</v>
      </c>
      <c r="P170" s="2">
        <f t="shared" si="34"/>
        <v>0.72235779354203533</v>
      </c>
      <c r="Q170" s="2">
        <f t="shared" si="34"/>
        <v>0.72235779354203533</v>
      </c>
      <c r="Z170" t="str">
        <v>Awasa</v>
      </c>
      <c r="AA170" s="2">
        <f t="shared" si="37"/>
        <v>0</v>
      </c>
      <c r="AB170" s="2">
        <f t="shared" si="38"/>
        <v>0</v>
      </c>
      <c r="AC170" s="2">
        <f t="shared" si="39"/>
        <v>0</v>
      </c>
      <c r="AD170" s="2">
        <f t="shared" si="40"/>
        <v>0</v>
      </c>
      <c r="AE170" s="2">
        <f t="shared" si="41"/>
        <v>0</v>
      </c>
      <c r="AF170" s="2">
        <f t="shared" si="42"/>
        <v>0</v>
      </c>
      <c r="AG170" s="2">
        <f t="shared" si="43"/>
        <v>0</v>
      </c>
      <c r="AH170" s="2">
        <f t="shared" si="44"/>
        <v>0</v>
      </c>
      <c r="AI170" s="2">
        <f t="shared" si="45"/>
        <v>0</v>
      </c>
      <c r="AJ170" s="2">
        <f t="shared" si="46"/>
        <v>0</v>
      </c>
      <c r="AK170" s="2">
        <f t="shared" si="47"/>
        <v>0</v>
      </c>
      <c r="AL170" s="2">
        <f t="shared" si="48"/>
        <v>0</v>
      </c>
      <c r="AM170" s="2">
        <f t="shared" si="49"/>
        <v>0</v>
      </c>
      <c r="AN170" s="2">
        <f t="shared" si="50"/>
        <v>0</v>
      </c>
      <c r="AO170" s="2">
        <f t="shared" si="51"/>
        <v>0</v>
      </c>
      <c r="AP170" s="2">
        <f t="shared" si="52"/>
        <v>0</v>
      </c>
    </row>
    <row r="171" spans="1:42">
      <c r="A171" t="s">
        <v>143</v>
      </c>
      <c r="B171" s="2">
        <f t="shared" ref="B171" si="60">B151+0.1-COLUMN()/50</f>
        <v>0.6516494232179082</v>
      </c>
      <c r="C171" s="2">
        <f t="shared" si="34"/>
        <v>0.6516494232179082</v>
      </c>
      <c r="D171" s="2">
        <f t="shared" si="34"/>
        <v>0.6516494232179082</v>
      </c>
      <c r="E171" s="2">
        <f t="shared" si="34"/>
        <v>0.6516494232179082</v>
      </c>
      <c r="F171" s="2">
        <f t="shared" si="34"/>
        <v>0.6516494232179082</v>
      </c>
      <c r="G171" s="2">
        <f t="shared" si="34"/>
        <v>0.6516494232179082</v>
      </c>
      <c r="H171" s="2">
        <f t="shared" si="34"/>
        <v>0.6516494232179082</v>
      </c>
      <c r="I171" s="2">
        <f t="shared" si="34"/>
        <v>0.6516494232179082</v>
      </c>
      <c r="J171" s="2">
        <f t="shared" si="34"/>
        <v>0.6516494232179082</v>
      </c>
      <c r="K171" s="2">
        <f t="shared" si="34"/>
        <v>0.6516494232179082</v>
      </c>
      <c r="L171" s="2">
        <f t="shared" si="34"/>
        <v>0.6516494232179082</v>
      </c>
      <c r="M171" s="2">
        <f t="shared" si="34"/>
        <v>0.6516494232179082</v>
      </c>
      <c r="N171" s="2">
        <f t="shared" si="34"/>
        <v>0.6516494232179082</v>
      </c>
      <c r="O171" s="2">
        <f t="shared" si="34"/>
        <v>0.6516494232179082</v>
      </c>
      <c r="P171" s="2">
        <f t="shared" si="34"/>
        <v>0.6516494232179082</v>
      </c>
      <c r="Q171" s="2">
        <f t="shared" si="34"/>
        <v>0.6516494232179082</v>
      </c>
      <c r="Z171" t="str">
        <v>Mekelle</v>
      </c>
      <c r="AA171" s="2">
        <f t="shared" si="37"/>
        <v>0</v>
      </c>
      <c r="AB171" s="2">
        <f t="shared" si="38"/>
        <v>0</v>
      </c>
      <c r="AC171" s="2">
        <f t="shared" si="39"/>
        <v>0</v>
      </c>
      <c r="AD171" s="2">
        <f t="shared" si="40"/>
        <v>0</v>
      </c>
      <c r="AE171" s="2">
        <f t="shared" si="41"/>
        <v>0</v>
      </c>
      <c r="AF171" s="2">
        <f t="shared" si="42"/>
        <v>0</v>
      </c>
      <c r="AG171" s="2">
        <f t="shared" si="43"/>
        <v>0</v>
      </c>
      <c r="AH171" s="2">
        <f t="shared" si="44"/>
        <v>0</v>
      </c>
      <c r="AI171" s="2">
        <f t="shared" si="45"/>
        <v>0</v>
      </c>
      <c r="AJ171" s="2">
        <f t="shared" si="46"/>
        <v>0</v>
      </c>
      <c r="AK171" s="2">
        <f t="shared" si="47"/>
        <v>0</v>
      </c>
      <c r="AL171" s="2">
        <f t="shared" si="48"/>
        <v>0</v>
      </c>
      <c r="AM171" s="2">
        <f t="shared" si="49"/>
        <v>0</v>
      </c>
      <c r="AN171" s="2">
        <f t="shared" si="50"/>
        <v>0</v>
      </c>
      <c r="AO171" s="2">
        <f t="shared" si="51"/>
        <v>0</v>
      </c>
      <c r="AP171" s="2">
        <f t="shared" si="52"/>
        <v>0</v>
      </c>
    </row>
    <row r="172" spans="1:42">
      <c r="A172" t="s">
        <v>144</v>
      </c>
      <c r="B172" s="2">
        <f t="shared" ref="B172" si="61">B152+0.1-COLUMN()/50</f>
        <v>0.63355343736380754</v>
      </c>
      <c r="C172" s="2">
        <f t="shared" si="34"/>
        <v>0.63355343736380754</v>
      </c>
      <c r="D172" s="2">
        <f t="shared" si="34"/>
        <v>0.63355343736380754</v>
      </c>
      <c r="E172" s="2">
        <f t="shared" si="34"/>
        <v>0.63355343736380754</v>
      </c>
      <c r="F172" s="2">
        <f t="shared" si="34"/>
        <v>0.63355343736380754</v>
      </c>
      <c r="G172" s="2">
        <f t="shared" si="34"/>
        <v>0.63355343736380754</v>
      </c>
      <c r="H172" s="2">
        <f t="shared" si="34"/>
        <v>0.63355343736380754</v>
      </c>
      <c r="I172" s="2">
        <f t="shared" si="34"/>
        <v>0.63355343736380754</v>
      </c>
      <c r="J172" s="2">
        <f t="shared" si="34"/>
        <v>0.63355343736380754</v>
      </c>
      <c r="K172" s="2">
        <f t="shared" si="34"/>
        <v>0.63355343736380754</v>
      </c>
      <c r="L172" s="2">
        <f t="shared" si="34"/>
        <v>0.63355343736380754</v>
      </c>
      <c r="M172" s="2">
        <f t="shared" si="34"/>
        <v>0.63355343736380754</v>
      </c>
      <c r="N172" s="2">
        <f t="shared" si="34"/>
        <v>0.63355343736380754</v>
      </c>
      <c r="O172" s="2">
        <f t="shared" si="34"/>
        <v>0.63355343736380754</v>
      </c>
      <c r="P172" s="2">
        <f t="shared" si="34"/>
        <v>0.63355343736380754</v>
      </c>
      <c r="Q172" s="2">
        <f t="shared" si="34"/>
        <v>0.63355343736380754</v>
      </c>
      <c r="Z172" t="str">
        <v>Gondar</v>
      </c>
      <c r="AA172" s="2">
        <f t="shared" si="37"/>
        <v>0</v>
      </c>
      <c r="AB172" s="2">
        <f t="shared" si="38"/>
        <v>0</v>
      </c>
      <c r="AC172" s="2">
        <f t="shared" si="39"/>
        <v>0</v>
      </c>
      <c r="AD172" s="2">
        <f t="shared" si="40"/>
        <v>0</v>
      </c>
      <c r="AE172" s="2">
        <f t="shared" si="41"/>
        <v>0</v>
      </c>
      <c r="AF172" s="2">
        <f t="shared" si="42"/>
        <v>0</v>
      </c>
      <c r="AG172" s="2">
        <f t="shared" si="43"/>
        <v>0</v>
      </c>
      <c r="AH172" s="2">
        <f t="shared" si="44"/>
        <v>0</v>
      </c>
      <c r="AI172" s="2">
        <f t="shared" si="45"/>
        <v>0</v>
      </c>
      <c r="AJ172" s="2">
        <f t="shared" si="46"/>
        <v>0</v>
      </c>
      <c r="AK172" s="2">
        <f t="shared" si="47"/>
        <v>0</v>
      </c>
      <c r="AL172" s="2">
        <f t="shared" si="48"/>
        <v>0</v>
      </c>
      <c r="AM172" s="2">
        <f t="shared" si="49"/>
        <v>0</v>
      </c>
      <c r="AN172" s="2">
        <f t="shared" si="50"/>
        <v>0</v>
      </c>
      <c r="AO172" s="2">
        <f t="shared" si="51"/>
        <v>0</v>
      </c>
      <c r="AP172" s="2">
        <f t="shared" si="52"/>
        <v>0</v>
      </c>
    </row>
    <row r="173" spans="1:42">
      <c r="A173" t="s">
        <v>145</v>
      </c>
      <c r="B173" s="2">
        <f t="shared" ref="B173" si="62">B153+0.1-COLUMN()/50</f>
        <v>0.68147524452124986</v>
      </c>
      <c r="C173" s="2">
        <f t="shared" si="34"/>
        <v>0.68147524452124986</v>
      </c>
      <c r="D173" s="2">
        <f t="shared" si="34"/>
        <v>0.68147524452124986</v>
      </c>
      <c r="E173" s="2">
        <f t="shared" si="34"/>
        <v>0.68147524452124986</v>
      </c>
      <c r="F173" s="2">
        <f t="shared" si="34"/>
        <v>0.68147524452124986</v>
      </c>
      <c r="G173" s="2">
        <f t="shared" si="34"/>
        <v>0.68147524452124986</v>
      </c>
      <c r="H173" s="2">
        <f t="shared" si="34"/>
        <v>0.68147524452124986</v>
      </c>
      <c r="I173" s="2">
        <f t="shared" si="34"/>
        <v>0.68147524452124986</v>
      </c>
      <c r="J173" s="2">
        <f t="shared" si="34"/>
        <v>0.68147524452124986</v>
      </c>
      <c r="K173" s="2">
        <f t="shared" si="34"/>
        <v>0.68147524452124986</v>
      </c>
      <c r="L173" s="2">
        <f t="shared" si="34"/>
        <v>0.68147524452124986</v>
      </c>
      <c r="M173" s="2">
        <f t="shared" si="34"/>
        <v>0.68147524452124986</v>
      </c>
      <c r="N173" s="2">
        <f t="shared" si="34"/>
        <v>0.68147524452124986</v>
      </c>
      <c r="O173" s="2">
        <f t="shared" si="34"/>
        <v>0.68147524452124986</v>
      </c>
      <c r="P173" s="2">
        <f t="shared" si="34"/>
        <v>0.68147524452124986</v>
      </c>
      <c r="Q173" s="2">
        <f t="shared" si="34"/>
        <v>0.68147524452124986</v>
      </c>
      <c r="Z173" s="1" t="s">
        <v>83</v>
      </c>
      <c r="AA173" s="29">
        <f>SUM(AA162:AA172)</f>
        <v>0</v>
      </c>
      <c r="AB173" s="29">
        <f t="shared" ref="AB173" si="63">SUM(AB162:AB172)</f>
        <v>0</v>
      </c>
      <c r="AC173" s="29">
        <f t="shared" ref="AC173" si="64">SUM(AC162:AC172)</f>
        <v>0</v>
      </c>
      <c r="AD173" s="29">
        <f t="shared" ref="AD173" si="65">SUM(AD162:AD172)</f>
        <v>0</v>
      </c>
      <c r="AE173" s="29">
        <f t="shared" ref="AE173" si="66">SUM(AE162:AE172)</f>
        <v>0</v>
      </c>
      <c r="AF173" s="29">
        <f t="shared" ref="AF173" si="67">SUM(AF162:AF172)</f>
        <v>0</v>
      </c>
      <c r="AG173" s="29">
        <f t="shared" ref="AG173" si="68">SUM(AG162:AG172)</f>
        <v>0</v>
      </c>
      <c r="AH173" s="29">
        <f t="shared" ref="AH173" si="69">SUM(AH162:AH172)</f>
        <v>0</v>
      </c>
      <c r="AI173" s="29">
        <f t="shared" ref="AI173" si="70">SUM(AI162:AI172)</f>
        <v>0</v>
      </c>
      <c r="AJ173" s="29">
        <f t="shared" ref="AJ173" si="71">SUM(AJ162:AJ172)</f>
        <v>0</v>
      </c>
      <c r="AK173" s="29">
        <f t="shared" ref="AK173" si="72">SUM(AK162:AK172)</f>
        <v>0</v>
      </c>
      <c r="AL173" s="29">
        <f t="shared" ref="AL173" si="73">SUM(AL162:AL172)</f>
        <v>0</v>
      </c>
      <c r="AM173" s="29">
        <f t="shared" ref="AM173" si="74">SUM(AM162:AM172)</f>
        <v>0</v>
      </c>
      <c r="AN173" s="29">
        <f t="shared" ref="AN173" si="75">SUM(AN162:AN172)</f>
        <v>0</v>
      </c>
      <c r="AO173" s="29">
        <f t="shared" ref="AO173" si="76">SUM(AO162:AO172)</f>
        <v>0</v>
      </c>
      <c r="AP173" s="29">
        <f t="shared" ref="AP173" si="77">SUM(AP162:AP172)</f>
        <v>0</v>
      </c>
    </row>
    <row r="174" spans="1:42">
      <c r="A174" t="s">
        <v>146</v>
      </c>
      <c r="B174" s="2">
        <f t="shared" ref="B174" si="78">B154+0.1-COLUMN()/50</f>
        <v>0.70734996069093703</v>
      </c>
      <c r="C174" s="2">
        <f t="shared" si="34"/>
        <v>0.70734996069093703</v>
      </c>
      <c r="D174" s="2">
        <f t="shared" si="34"/>
        <v>0.70734996069093703</v>
      </c>
      <c r="E174" s="2">
        <f t="shared" si="34"/>
        <v>0.70734996069093703</v>
      </c>
      <c r="F174" s="2">
        <f t="shared" si="34"/>
        <v>0.70734996069093703</v>
      </c>
      <c r="G174" s="2">
        <f t="shared" si="34"/>
        <v>0.70734996069093703</v>
      </c>
      <c r="H174" s="2">
        <f t="shared" si="34"/>
        <v>0.70734996069093703</v>
      </c>
      <c r="I174" s="2">
        <f t="shared" si="34"/>
        <v>0.70734996069093703</v>
      </c>
      <c r="J174" s="2">
        <f t="shared" si="34"/>
        <v>0.70734996069093703</v>
      </c>
      <c r="K174" s="2">
        <f t="shared" si="34"/>
        <v>0.70734996069093703</v>
      </c>
      <c r="L174" s="2">
        <f t="shared" si="34"/>
        <v>0.70734996069093703</v>
      </c>
      <c r="M174" s="2">
        <f t="shared" si="34"/>
        <v>0.70734996069093703</v>
      </c>
      <c r="N174" s="2">
        <f t="shared" si="34"/>
        <v>0.70734996069093703</v>
      </c>
      <c r="O174" s="2">
        <f t="shared" si="34"/>
        <v>0.70734996069093703</v>
      </c>
      <c r="P174" s="2">
        <f t="shared" si="34"/>
        <v>0.70734996069093703</v>
      </c>
      <c r="Q174" s="2">
        <f t="shared" si="34"/>
        <v>0.70734996069093703</v>
      </c>
    </row>
    <row r="175" spans="1:42">
      <c r="A175" t="s">
        <v>148</v>
      </c>
      <c r="B175" s="2">
        <f t="shared" ref="B175" si="79">B155+0.1-COLUMN()/50</f>
        <v>0.67248990268462128</v>
      </c>
      <c r="C175" s="2">
        <f t="shared" si="34"/>
        <v>0.67248990268462128</v>
      </c>
      <c r="D175" s="2">
        <f t="shared" si="34"/>
        <v>0.67248990268462128</v>
      </c>
      <c r="E175" s="2">
        <f t="shared" si="34"/>
        <v>0.67248990268462128</v>
      </c>
      <c r="F175" s="2">
        <f t="shared" si="34"/>
        <v>0.67248990268462128</v>
      </c>
      <c r="G175" s="2">
        <f t="shared" si="34"/>
        <v>0.67248990268462128</v>
      </c>
      <c r="H175" s="2">
        <f t="shared" si="34"/>
        <v>0.67248990268462128</v>
      </c>
      <c r="I175" s="2">
        <f t="shared" si="34"/>
        <v>0.67248990268462128</v>
      </c>
      <c r="J175" s="2">
        <f t="shared" si="34"/>
        <v>0.67248990268462128</v>
      </c>
      <c r="K175" s="2">
        <f t="shared" si="34"/>
        <v>0.67248990268462128</v>
      </c>
      <c r="L175" s="2">
        <f t="shared" si="34"/>
        <v>0.67248990268462128</v>
      </c>
      <c r="M175" s="2">
        <f t="shared" si="34"/>
        <v>0.67248990268462128</v>
      </c>
      <c r="N175" s="2">
        <f t="shared" si="34"/>
        <v>0.67248990268462128</v>
      </c>
      <c r="O175" s="2">
        <f t="shared" si="34"/>
        <v>0.67248990268462128</v>
      </c>
      <c r="P175" s="2">
        <f t="shared" si="34"/>
        <v>0.67248990268462128</v>
      </c>
      <c r="Q175" s="2">
        <f t="shared" si="34"/>
        <v>0.67248990268462128</v>
      </c>
    </row>
    <row r="176" spans="1:42">
      <c r="A176" t="s">
        <v>147</v>
      </c>
      <c r="B176" s="2">
        <v>0</v>
      </c>
      <c r="C176" s="2">
        <f t="shared" si="34"/>
        <v>0</v>
      </c>
      <c r="D176" s="2">
        <f t="shared" si="34"/>
        <v>0</v>
      </c>
      <c r="E176" s="2">
        <f t="shared" si="34"/>
        <v>0</v>
      </c>
      <c r="F176" s="2">
        <f t="shared" si="34"/>
        <v>0</v>
      </c>
      <c r="G176" s="2">
        <f t="shared" si="34"/>
        <v>0</v>
      </c>
      <c r="H176" s="2">
        <f t="shared" si="34"/>
        <v>0</v>
      </c>
      <c r="I176" s="2">
        <f t="shared" si="34"/>
        <v>0</v>
      </c>
      <c r="J176" s="2">
        <f t="shared" si="34"/>
        <v>0</v>
      </c>
      <c r="K176" s="2">
        <f t="shared" si="34"/>
        <v>0</v>
      </c>
      <c r="L176" s="2">
        <f t="shared" si="34"/>
        <v>0</v>
      </c>
      <c r="M176" s="2">
        <f t="shared" si="34"/>
        <v>0</v>
      </c>
      <c r="N176" s="2">
        <f t="shared" si="34"/>
        <v>0</v>
      </c>
      <c r="O176" s="2">
        <f t="shared" si="34"/>
        <v>0</v>
      </c>
      <c r="P176" s="2">
        <f t="shared" si="34"/>
        <v>0</v>
      </c>
      <c r="Q176" s="2">
        <f t="shared" si="34"/>
        <v>0</v>
      </c>
    </row>
  </sheetData>
  <pageMargins left="0.75" right="0.75" top="1" bottom="1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N216"/>
  <sheetViews>
    <sheetView topLeftCell="W1" zoomScale="85" zoomScaleNormal="85" workbookViewId="0">
      <selection activeCell="W1" sqref="W1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  <col min="7" max="7" width="11" bestFit="1" customWidth="1"/>
    <col min="9" max="9" width="11" bestFit="1" customWidth="1"/>
    <col min="13" max="13" width="11" bestFit="1" customWidth="1"/>
    <col min="16" max="16" width="11" bestFit="1" customWidth="1"/>
    <col min="19" max="19" width="11" bestFit="1" customWidth="1"/>
    <col min="22" max="23" width="11.5" bestFit="1" customWidth="1"/>
    <col min="24" max="24" width="5.75" bestFit="1" customWidth="1"/>
    <col min="25" max="25" width="7.75" customWidth="1"/>
    <col min="26" max="26" width="7.125" customWidth="1"/>
    <col min="27" max="27" width="9.375" bestFit="1" customWidth="1"/>
    <col min="28" max="28" width="8.625" customWidth="1"/>
    <col min="29" max="29" width="6.25" customWidth="1"/>
    <col min="30" max="30" width="7.375" customWidth="1"/>
    <col min="31" max="31" width="6.75" customWidth="1"/>
    <col min="32" max="32" width="6.875" customWidth="1"/>
    <col min="33" max="48" width="6.25" customWidth="1"/>
    <col min="50" max="51" width="11.5" bestFit="1" customWidth="1"/>
    <col min="52" max="52" width="6.75" customWidth="1"/>
    <col min="53" max="53" width="7.75" bestFit="1" customWidth="1"/>
    <col min="54" max="54" width="7.125" bestFit="1" customWidth="1"/>
    <col min="55" max="55" width="9.375" bestFit="1" customWidth="1"/>
    <col min="56" max="56" width="8.625" bestFit="1" customWidth="1"/>
    <col min="57" max="57" width="6.75" customWidth="1"/>
    <col min="58" max="58" width="7.375" bestFit="1" customWidth="1"/>
    <col min="59" max="59" width="6.75" customWidth="1"/>
    <col min="60" max="60" width="6.875" bestFit="1" customWidth="1"/>
    <col min="61" max="61" width="6.75" customWidth="1"/>
  </cols>
  <sheetData>
    <row r="1" spans="1:61" s="1" customFormat="1">
      <c r="B1" s="1" t="s">
        <v>5</v>
      </c>
      <c r="C1" s="1" t="s">
        <v>157</v>
      </c>
      <c r="D1" s="1" t="s">
        <v>158</v>
      </c>
      <c r="E1" s="1" t="s">
        <v>159</v>
      </c>
      <c r="F1" s="1" t="s">
        <v>9</v>
      </c>
      <c r="G1" s="1" t="s">
        <v>10</v>
      </c>
      <c r="H1" s="1" t="s">
        <v>160</v>
      </c>
      <c r="I1" s="1" t="s">
        <v>161</v>
      </c>
      <c r="J1" s="1" t="s">
        <v>162</v>
      </c>
      <c r="K1" s="1" t="s">
        <v>163</v>
      </c>
      <c r="L1" s="1" t="s">
        <v>164</v>
      </c>
      <c r="M1" s="1" t="s">
        <v>165</v>
      </c>
      <c r="N1" s="1" t="s">
        <v>166</v>
      </c>
      <c r="O1" s="1" t="s">
        <v>167</v>
      </c>
      <c r="P1" s="1" t="s">
        <v>147</v>
      </c>
      <c r="W1" s="1" t="s">
        <v>5</v>
      </c>
      <c r="X1" s="1" t="s">
        <v>157</v>
      </c>
      <c r="Y1" s="1" t="s">
        <v>158</v>
      </c>
      <c r="Z1" s="1" t="s">
        <v>159</v>
      </c>
      <c r="AA1" s="1" t="s">
        <v>9</v>
      </c>
      <c r="AB1" s="1" t="s">
        <v>10</v>
      </c>
      <c r="AC1" s="1" t="s">
        <v>160</v>
      </c>
      <c r="AD1" s="1" t="s">
        <v>161</v>
      </c>
      <c r="AE1" s="1" t="s">
        <v>162</v>
      </c>
      <c r="AF1" s="1" t="s">
        <v>163</v>
      </c>
      <c r="AG1" s="1" t="s">
        <v>164</v>
      </c>
      <c r="AH1" s="1" t="s">
        <v>165</v>
      </c>
      <c r="AI1" s="1" t="s">
        <v>166</v>
      </c>
      <c r="AJ1" s="1" t="s">
        <v>167</v>
      </c>
      <c r="AK1" s="1" t="s">
        <v>147</v>
      </c>
      <c r="AY1" s="1" t="s">
        <v>5</v>
      </c>
      <c r="AZ1" s="1" t="s">
        <v>6</v>
      </c>
      <c r="BA1" s="1" t="s">
        <v>7</v>
      </c>
      <c r="BB1" s="1" t="s">
        <v>8</v>
      </c>
      <c r="BC1" s="1" t="s">
        <v>9</v>
      </c>
      <c r="BD1" s="1" t="s">
        <v>10</v>
      </c>
      <c r="BE1" s="1" t="s">
        <v>11</v>
      </c>
      <c r="BF1" s="1" t="s">
        <v>12</v>
      </c>
      <c r="BG1" s="1" t="s">
        <v>13</v>
      </c>
      <c r="BH1" s="1" t="s">
        <v>19</v>
      </c>
      <c r="BI1" s="1" t="s">
        <v>14</v>
      </c>
    </row>
    <row r="2" spans="1:61">
      <c r="A2" s="1" t="s">
        <v>5</v>
      </c>
      <c r="B2" s="4" t="str">
        <f t="shared" ref="B2:B12" si="0">IF(ISERROR(MATCH($A2,D$24:D$332,0)),"No","Yes")</f>
        <v>No</v>
      </c>
      <c r="C2" s="4" t="str">
        <f t="shared" ref="C2:C12" si="1">IF(ISERROR(MATCH($A2,E$24:E$332,0)),"No","Yes")</f>
        <v>No</v>
      </c>
      <c r="D2" s="4" t="str">
        <f t="shared" ref="D2:D12" si="2">IF(ISERROR(MATCH($A2,F$24:F$332,0)),"No","Yes")</f>
        <v>Yes</v>
      </c>
      <c r="E2" s="4" t="str">
        <f t="shared" ref="E2:E12" si="3">IF(ISERROR(MATCH($A2,G$24:G$332,0)),"No","Yes")</f>
        <v>No</v>
      </c>
      <c r="F2" s="4" t="str">
        <f t="shared" ref="F2:F12" si="4">IF(ISERROR(MATCH($A2,H$24:H$332,0)),"No","Yes")</f>
        <v>Yes</v>
      </c>
      <c r="G2" s="4" t="str">
        <f t="shared" ref="G2:G12" si="5">IF(ISERROR(MATCH($A2,I$24:I$332,0)),"No","Yes")</f>
        <v>No</v>
      </c>
      <c r="H2" s="4" t="str">
        <f t="shared" ref="H2:H12" si="6">IF(ISERROR(MATCH($A2,J$24:J$332,0)),"No","Yes")</f>
        <v>Yes</v>
      </c>
      <c r="I2" s="4" t="str">
        <f t="shared" ref="I2:I12" si="7">IF(ISERROR(MATCH($A2,K$24:K$332,0)),"No","Yes")</f>
        <v>No</v>
      </c>
      <c r="J2" s="4" t="str">
        <f t="shared" ref="J2:J12" si="8">IF(ISERROR(MATCH($A2,L$24:L$332,0)),"No","Yes")</f>
        <v>Yes</v>
      </c>
      <c r="K2" s="4" t="str">
        <f t="shared" ref="K2:K12" si="9">IF(ISERROR(MATCH($A2,M$24:M$332,0)),"No","Yes")</f>
        <v>No</v>
      </c>
      <c r="L2" s="4" t="str">
        <f t="shared" ref="L2:L12" si="10">IF(ISERROR(MATCH($A2,N$24:N$332,0)),"No","Yes")</f>
        <v>No</v>
      </c>
      <c r="M2" s="4" t="str">
        <f t="shared" ref="M2:P12" si="11">IF(ISERROR(MATCH($A2,O$24:O$332,0)),"No","Yes")</f>
        <v>Yes</v>
      </c>
      <c r="N2" s="4" t="str">
        <f t="shared" si="11"/>
        <v>No</v>
      </c>
      <c r="O2" s="4" t="str">
        <f t="shared" si="11"/>
        <v>No</v>
      </c>
      <c r="P2" s="4" t="str">
        <f t="shared" si="11"/>
        <v>Yes</v>
      </c>
      <c r="Q2" s="4"/>
      <c r="R2" s="4"/>
      <c r="V2" s="1" t="s">
        <v>5</v>
      </c>
      <c r="W2" s="2" t="str">
        <f>IF(B2="Yes",W24,"")</f>
        <v/>
      </c>
      <c r="X2" s="2" t="str">
        <f t="shared" ref="X2:AK2" si="12">IF(C2="Yes",X24,"")</f>
        <v/>
      </c>
      <c r="Y2" s="2">
        <f t="shared" si="12"/>
        <v>10</v>
      </c>
      <c r="Z2" s="2" t="str">
        <f t="shared" si="12"/>
        <v/>
      </c>
      <c r="AA2" s="2">
        <f t="shared" si="12"/>
        <v>10</v>
      </c>
      <c r="AB2" s="2" t="str">
        <f t="shared" si="12"/>
        <v/>
      </c>
      <c r="AC2" s="2">
        <f t="shared" si="12"/>
        <v>10</v>
      </c>
      <c r="AD2" s="2" t="str">
        <f t="shared" si="12"/>
        <v/>
      </c>
      <c r="AE2" s="2">
        <f t="shared" si="12"/>
        <v>10</v>
      </c>
      <c r="AF2" s="2" t="str">
        <f t="shared" si="12"/>
        <v/>
      </c>
      <c r="AG2" s="2" t="str">
        <f t="shared" si="12"/>
        <v/>
      </c>
      <c r="AH2" s="2">
        <f t="shared" si="12"/>
        <v>10</v>
      </c>
      <c r="AI2" s="2" t="str">
        <f t="shared" si="12"/>
        <v/>
      </c>
      <c r="AJ2" s="2" t="str">
        <f t="shared" si="12"/>
        <v/>
      </c>
      <c r="AK2" s="2">
        <f t="shared" si="12"/>
        <v>10</v>
      </c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X2" s="1" t="s">
        <v>5</v>
      </c>
      <c r="AY2" s="2" t="str">
        <f t="shared" ref="AY2:AY12" si="13">IF(B2="Yes",AY24,"")</f>
        <v/>
      </c>
      <c r="AZ2" s="2" t="str">
        <f t="shared" ref="AZ2:AZ12" si="14">IF(C2="Yes",AZ24,"")</f>
        <v/>
      </c>
      <c r="BA2" s="2">
        <f t="shared" ref="BA2:BA12" si="15">IF(D2="Yes",BA24,"")</f>
        <v>0</v>
      </c>
      <c r="BB2" s="2" t="str">
        <f t="shared" ref="BB2:BB12" si="16">IF(E2="Yes",BB24,"")</f>
        <v/>
      </c>
      <c r="BC2" s="2">
        <f t="shared" ref="BC2:BC12" si="17">IF(F2="Yes",BC24,"")</f>
        <v>0</v>
      </c>
      <c r="BD2" s="2" t="str">
        <f t="shared" ref="BD2:BD12" si="18">IF(G2="Yes",BD24,"")</f>
        <v/>
      </c>
      <c r="BE2" s="2">
        <f t="shared" ref="BE2:BE12" si="19">IF(H2="Yes",BE24,"")</f>
        <v>0</v>
      </c>
      <c r="BF2" s="2" t="str">
        <f t="shared" ref="BF2:BF12" si="20">IF(I2="Yes",BF24,"")</f>
        <v/>
      </c>
      <c r="BG2" s="2">
        <f t="shared" ref="BG2:BG12" si="21">IF(J2="Yes",BG24,"")</f>
        <v>0</v>
      </c>
      <c r="BH2" s="2" t="str">
        <f t="shared" ref="BH2:BH12" si="22">IF(K2="Yes",BH24,"")</f>
        <v/>
      </c>
      <c r="BI2" s="2" t="str">
        <f t="shared" ref="BI2:BI12" si="23">IF(L2="Yes",BI24,"")</f>
        <v/>
      </c>
    </row>
    <row r="3" spans="1:61">
      <c r="A3" s="1" t="s">
        <v>157</v>
      </c>
      <c r="B3" s="4" t="str">
        <f t="shared" si="0"/>
        <v>No</v>
      </c>
      <c r="C3" s="4" t="str">
        <f t="shared" si="1"/>
        <v>No</v>
      </c>
      <c r="D3" s="4" t="str">
        <f t="shared" si="2"/>
        <v>No</v>
      </c>
      <c r="E3" s="4" t="str">
        <f t="shared" si="3"/>
        <v>No</v>
      </c>
      <c r="F3" s="4" t="str">
        <f t="shared" si="4"/>
        <v>Yes</v>
      </c>
      <c r="G3" s="4" t="str">
        <f t="shared" si="5"/>
        <v>No</v>
      </c>
      <c r="H3" s="4" t="str">
        <f t="shared" si="6"/>
        <v>No</v>
      </c>
      <c r="I3" s="4" t="str">
        <f t="shared" si="7"/>
        <v>No</v>
      </c>
      <c r="J3" s="4" t="str">
        <f t="shared" si="8"/>
        <v>No</v>
      </c>
      <c r="K3" s="4" t="str">
        <f t="shared" si="9"/>
        <v>Yes</v>
      </c>
      <c r="L3" s="4" t="str">
        <f t="shared" si="10"/>
        <v>No</v>
      </c>
      <c r="M3" s="4" t="str">
        <f t="shared" si="11"/>
        <v>No</v>
      </c>
      <c r="N3" s="4" t="str">
        <f t="shared" si="11"/>
        <v>No</v>
      </c>
      <c r="O3" s="4" t="str">
        <f t="shared" si="11"/>
        <v>No</v>
      </c>
      <c r="P3" s="4" t="str">
        <f t="shared" si="11"/>
        <v>No</v>
      </c>
      <c r="Q3" s="4"/>
      <c r="R3" s="4"/>
      <c r="V3" s="1" t="s">
        <v>157</v>
      </c>
      <c r="W3" s="2" t="str">
        <f t="shared" ref="W3:W16" si="24">IF(B3="Yes",W25,"")</f>
        <v/>
      </c>
      <c r="X3" s="2" t="str">
        <f t="shared" ref="X3:X16" si="25">IF(C3="Yes",X25,"")</f>
        <v/>
      </c>
      <c r="Y3" s="2" t="str">
        <f t="shared" ref="Y3:Y16" si="26">IF(D3="Yes",Y25,"")</f>
        <v/>
      </c>
      <c r="Z3" s="2" t="str">
        <f t="shared" ref="Z3:Z16" si="27">IF(E3="Yes",Z25,"")</f>
        <v/>
      </c>
      <c r="AA3" s="2">
        <f t="shared" ref="AA3:AA16" si="28">IF(F3="Yes",AA25,"")</f>
        <v>10</v>
      </c>
      <c r="AB3" s="2" t="str">
        <f t="shared" ref="AB3:AB16" si="29">IF(G3="Yes",AB25,"")</f>
        <v/>
      </c>
      <c r="AC3" s="2" t="str">
        <f t="shared" ref="AC3:AC16" si="30">IF(H3="Yes",AC25,"")</f>
        <v/>
      </c>
      <c r="AD3" s="2" t="str">
        <f t="shared" ref="AD3:AD16" si="31">IF(I3="Yes",AD25,"")</f>
        <v/>
      </c>
      <c r="AE3" s="2" t="str">
        <f t="shared" ref="AE3:AE16" si="32">IF(J3="Yes",AE25,"")</f>
        <v/>
      </c>
      <c r="AF3" s="2">
        <f t="shared" ref="AF3:AF16" si="33">IF(K3="Yes",AF25,"")</f>
        <v>10</v>
      </c>
      <c r="AG3" s="2" t="str">
        <f t="shared" ref="AG3:AG16" si="34">IF(L3="Yes",AG25,"")</f>
        <v/>
      </c>
      <c r="AH3" s="2" t="str">
        <f t="shared" ref="AH3:AH16" si="35">IF(M3="Yes",AH25,"")</f>
        <v/>
      </c>
      <c r="AI3" s="2" t="str">
        <f t="shared" ref="AI3:AI16" si="36">IF(N3="Yes",AI25,"")</f>
        <v/>
      </c>
      <c r="AJ3" s="2" t="str">
        <f t="shared" ref="AJ3:AJ16" si="37">IF(O3="Yes",AJ25,"")</f>
        <v/>
      </c>
      <c r="AK3" s="2" t="str">
        <f t="shared" ref="AK3:AK16" si="38">IF(P3="Yes",AK25,"")</f>
        <v/>
      </c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X3" s="1" t="s">
        <v>6</v>
      </c>
      <c r="AY3" s="2" t="str">
        <f t="shared" si="13"/>
        <v/>
      </c>
      <c r="AZ3" s="2" t="str">
        <f t="shared" si="14"/>
        <v/>
      </c>
      <c r="BA3" s="2" t="str">
        <f t="shared" si="15"/>
        <v/>
      </c>
      <c r="BB3" s="2" t="str">
        <f t="shared" si="16"/>
        <v/>
      </c>
      <c r="BC3" s="2">
        <f t="shared" si="17"/>
        <v>0</v>
      </c>
      <c r="BD3" s="2" t="str">
        <f t="shared" si="18"/>
        <v/>
      </c>
      <c r="BE3" s="2" t="str">
        <f t="shared" si="19"/>
        <v/>
      </c>
      <c r="BF3" s="2" t="str">
        <f t="shared" si="20"/>
        <v/>
      </c>
      <c r="BG3" s="2" t="str">
        <f t="shared" si="21"/>
        <v/>
      </c>
      <c r="BH3" s="2">
        <f t="shared" si="22"/>
        <v>0</v>
      </c>
      <c r="BI3" s="2" t="str">
        <f t="shared" si="23"/>
        <v/>
      </c>
    </row>
    <row r="4" spans="1:61">
      <c r="A4" s="1" t="s">
        <v>158</v>
      </c>
      <c r="B4" s="4" t="str">
        <f t="shared" si="0"/>
        <v>Yes</v>
      </c>
      <c r="C4" s="4" t="str">
        <f t="shared" si="1"/>
        <v>No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No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M4" s="4" t="str">
        <f t="shared" si="11"/>
        <v>No</v>
      </c>
      <c r="N4" s="4" t="str">
        <f t="shared" si="11"/>
        <v>No</v>
      </c>
      <c r="O4" s="4" t="str">
        <f t="shared" si="11"/>
        <v>No</v>
      </c>
      <c r="P4" s="4" t="str">
        <f t="shared" si="11"/>
        <v>No</v>
      </c>
      <c r="Q4" s="4"/>
      <c r="R4" s="4"/>
      <c r="V4" s="1" t="s">
        <v>158</v>
      </c>
      <c r="W4" s="2">
        <f t="shared" si="24"/>
        <v>10</v>
      </c>
      <c r="X4" s="2" t="str">
        <f t="shared" si="25"/>
        <v/>
      </c>
      <c r="Y4" s="2" t="str">
        <f t="shared" si="26"/>
        <v/>
      </c>
      <c r="Z4" s="2">
        <f t="shared" si="27"/>
        <v>10</v>
      </c>
      <c r="AA4" s="2" t="str">
        <f t="shared" si="28"/>
        <v/>
      </c>
      <c r="AB4" s="2" t="str">
        <f t="shared" si="29"/>
        <v/>
      </c>
      <c r="AC4" s="2" t="str">
        <f t="shared" si="30"/>
        <v/>
      </c>
      <c r="AD4" s="2" t="str">
        <f t="shared" si="31"/>
        <v/>
      </c>
      <c r="AE4" s="2" t="str">
        <f t="shared" si="32"/>
        <v/>
      </c>
      <c r="AF4" s="2" t="str">
        <f t="shared" si="33"/>
        <v/>
      </c>
      <c r="AG4" s="2">
        <f t="shared" si="34"/>
        <v>10</v>
      </c>
      <c r="AH4" s="2" t="str">
        <f t="shared" si="35"/>
        <v/>
      </c>
      <c r="AI4" s="2" t="str">
        <f t="shared" si="36"/>
        <v/>
      </c>
      <c r="AJ4" s="2" t="str">
        <f t="shared" si="37"/>
        <v/>
      </c>
      <c r="AK4" s="2" t="str">
        <f t="shared" si="38"/>
        <v/>
      </c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X4" s="1" t="s">
        <v>7</v>
      </c>
      <c r="AY4" s="2">
        <f t="shared" si="13"/>
        <v>0</v>
      </c>
      <c r="AZ4" s="2" t="str">
        <f t="shared" si="14"/>
        <v/>
      </c>
      <c r="BA4" s="2" t="str">
        <f t="shared" si="15"/>
        <v/>
      </c>
      <c r="BB4" s="2">
        <f t="shared" si="16"/>
        <v>0</v>
      </c>
      <c r="BC4" s="2" t="str">
        <f t="shared" si="17"/>
        <v/>
      </c>
      <c r="BD4" s="2" t="str">
        <f t="shared" si="18"/>
        <v/>
      </c>
      <c r="BE4" s="2" t="str">
        <f t="shared" si="19"/>
        <v/>
      </c>
      <c r="BF4" s="2" t="str">
        <f t="shared" si="20"/>
        <v/>
      </c>
      <c r="BG4" s="2" t="str">
        <f t="shared" si="21"/>
        <v/>
      </c>
      <c r="BH4" s="2" t="str">
        <f t="shared" si="22"/>
        <v/>
      </c>
      <c r="BI4" s="2">
        <f t="shared" si="23"/>
        <v>0</v>
      </c>
    </row>
    <row r="5" spans="1:61">
      <c r="A5" s="1" t="s">
        <v>159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Yes</v>
      </c>
      <c r="H5" s="4" t="str">
        <f t="shared" si="6"/>
        <v>No</v>
      </c>
      <c r="I5" s="4" t="str">
        <f t="shared" si="7"/>
        <v>No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M5" s="4" t="str">
        <f t="shared" si="11"/>
        <v>No</v>
      </c>
      <c r="N5" s="4" t="str">
        <f t="shared" si="11"/>
        <v>No</v>
      </c>
      <c r="O5" s="4" t="str">
        <f t="shared" si="11"/>
        <v>No</v>
      </c>
      <c r="P5" s="4" t="str">
        <f t="shared" si="11"/>
        <v>No</v>
      </c>
      <c r="Q5" s="4"/>
      <c r="R5" s="4"/>
      <c r="V5" s="1" t="s">
        <v>159</v>
      </c>
      <c r="W5" s="2" t="str">
        <f t="shared" si="24"/>
        <v/>
      </c>
      <c r="X5" s="2" t="str">
        <f t="shared" si="25"/>
        <v/>
      </c>
      <c r="Y5" s="2">
        <f t="shared" si="26"/>
        <v>10</v>
      </c>
      <c r="Z5" s="2" t="str">
        <f t="shared" si="27"/>
        <v/>
      </c>
      <c r="AA5" s="2" t="str">
        <f t="shared" si="28"/>
        <v/>
      </c>
      <c r="AB5" s="2">
        <f t="shared" si="29"/>
        <v>10</v>
      </c>
      <c r="AC5" s="2" t="str">
        <f t="shared" si="30"/>
        <v/>
      </c>
      <c r="AD5" s="2" t="str">
        <f t="shared" si="31"/>
        <v/>
      </c>
      <c r="AE5" s="2" t="str">
        <f t="shared" si="32"/>
        <v/>
      </c>
      <c r="AF5" s="2" t="str">
        <f t="shared" si="33"/>
        <v/>
      </c>
      <c r="AG5" s="2" t="str">
        <f t="shared" si="34"/>
        <v/>
      </c>
      <c r="AH5" s="2" t="str">
        <f t="shared" si="35"/>
        <v/>
      </c>
      <c r="AI5" s="2" t="str">
        <f t="shared" si="36"/>
        <v/>
      </c>
      <c r="AJ5" s="2" t="str">
        <f t="shared" si="37"/>
        <v/>
      </c>
      <c r="AK5" s="2" t="str">
        <f t="shared" si="38"/>
        <v/>
      </c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X5" s="1" t="s">
        <v>8</v>
      </c>
      <c r="AY5" s="2" t="str">
        <f t="shared" si="13"/>
        <v/>
      </c>
      <c r="AZ5" s="2" t="str">
        <f t="shared" si="14"/>
        <v/>
      </c>
      <c r="BA5" s="2">
        <f t="shared" si="15"/>
        <v>0</v>
      </c>
      <c r="BB5" s="2" t="str">
        <f t="shared" si="16"/>
        <v/>
      </c>
      <c r="BC5" s="2" t="str">
        <f t="shared" si="17"/>
        <v/>
      </c>
      <c r="BD5" s="2">
        <f t="shared" si="18"/>
        <v>0</v>
      </c>
      <c r="BE5" s="2" t="str">
        <f t="shared" si="19"/>
        <v/>
      </c>
      <c r="BF5" s="2" t="str">
        <f t="shared" si="20"/>
        <v/>
      </c>
      <c r="BG5" s="2" t="str">
        <f t="shared" si="21"/>
        <v/>
      </c>
      <c r="BH5" s="2" t="str">
        <f t="shared" si="22"/>
        <v/>
      </c>
      <c r="BI5" s="2" t="str">
        <f t="shared" si="23"/>
        <v/>
      </c>
    </row>
    <row r="6" spans="1:61">
      <c r="A6" s="1" t="s">
        <v>9</v>
      </c>
      <c r="B6" s="4" t="str">
        <f t="shared" si="0"/>
        <v>Yes</v>
      </c>
      <c r="C6" s="4" t="str">
        <f t="shared" si="1"/>
        <v>Yes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No</v>
      </c>
      <c r="K6" s="4" t="str">
        <f t="shared" si="9"/>
        <v>No</v>
      </c>
      <c r="L6" s="4" t="str">
        <f t="shared" si="10"/>
        <v>No</v>
      </c>
      <c r="M6" s="4" t="str">
        <f t="shared" si="11"/>
        <v>No</v>
      </c>
      <c r="N6" s="4" t="str">
        <f t="shared" si="11"/>
        <v>No</v>
      </c>
      <c r="O6" s="4" t="str">
        <f t="shared" si="11"/>
        <v>No</v>
      </c>
      <c r="P6" s="4" t="str">
        <f t="shared" si="11"/>
        <v>No</v>
      </c>
      <c r="Q6" s="4"/>
      <c r="R6" s="4"/>
      <c r="V6" s="1" t="s">
        <v>9</v>
      </c>
      <c r="W6" s="2">
        <f t="shared" si="24"/>
        <v>10</v>
      </c>
      <c r="X6" s="2">
        <f t="shared" si="25"/>
        <v>10</v>
      </c>
      <c r="Y6" s="2" t="str">
        <f t="shared" si="26"/>
        <v/>
      </c>
      <c r="Z6" s="2" t="str">
        <f t="shared" si="27"/>
        <v/>
      </c>
      <c r="AA6" s="2" t="str">
        <f t="shared" si="28"/>
        <v/>
      </c>
      <c r="AB6" s="2" t="str">
        <f t="shared" si="29"/>
        <v/>
      </c>
      <c r="AC6" s="2">
        <f t="shared" si="30"/>
        <v>10</v>
      </c>
      <c r="AD6" s="2">
        <f t="shared" si="31"/>
        <v>10</v>
      </c>
      <c r="AE6" s="2" t="str">
        <f t="shared" si="32"/>
        <v/>
      </c>
      <c r="AF6" s="2" t="str">
        <f t="shared" si="33"/>
        <v/>
      </c>
      <c r="AG6" s="2" t="str">
        <f t="shared" si="34"/>
        <v/>
      </c>
      <c r="AH6" s="2" t="str">
        <f t="shared" si="35"/>
        <v/>
      </c>
      <c r="AI6" s="2" t="str">
        <f t="shared" si="36"/>
        <v/>
      </c>
      <c r="AJ6" s="2" t="str">
        <f t="shared" si="37"/>
        <v/>
      </c>
      <c r="AK6" s="2" t="str">
        <f t="shared" si="38"/>
        <v/>
      </c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X6" s="1" t="s">
        <v>9</v>
      </c>
      <c r="AY6" s="2">
        <f t="shared" si="13"/>
        <v>0</v>
      </c>
      <c r="AZ6" s="2">
        <f t="shared" si="14"/>
        <v>0</v>
      </c>
      <c r="BA6" s="2" t="str">
        <f t="shared" si="15"/>
        <v/>
      </c>
      <c r="BB6" s="2" t="str">
        <f t="shared" si="16"/>
        <v/>
      </c>
      <c r="BC6" s="2" t="str">
        <f t="shared" si="17"/>
        <v/>
      </c>
      <c r="BD6" s="2" t="str">
        <f t="shared" si="18"/>
        <v/>
      </c>
      <c r="BE6" s="2">
        <f t="shared" si="19"/>
        <v>0</v>
      </c>
      <c r="BF6" s="2">
        <f t="shared" si="20"/>
        <v>0</v>
      </c>
      <c r="BG6" s="2" t="str">
        <f t="shared" si="21"/>
        <v/>
      </c>
      <c r="BH6" s="2" t="str">
        <f t="shared" si="22"/>
        <v/>
      </c>
      <c r="BI6" s="2" t="str">
        <f t="shared" si="23"/>
        <v/>
      </c>
    </row>
    <row r="7" spans="1:6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Yes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No</v>
      </c>
      <c r="J7" s="4" t="str">
        <f t="shared" si="8"/>
        <v>No</v>
      </c>
      <c r="K7" s="4" t="str">
        <f t="shared" si="9"/>
        <v>No</v>
      </c>
      <c r="L7" s="4" t="str">
        <f t="shared" si="10"/>
        <v>No</v>
      </c>
      <c r="M7" s="4" t="str">
        <f t="shared" si="11"/>
        <v>Yes</v>
      </c>
      <c r="N7" s="4" t="str">
        <f t="shared" si="11"/>
        <v>No</v>
      </c>
      <c r="O7" s="4" t="str">
        <f t="shared" si="11"/>
        <v>No</v>
      </c>
      <c r="P7" s="4" t="str">
        <f t="shared" si="11"/>
        <v>No</v>
      </c>
      <c r="Q7" s="4"/>
      <c r="R7" s="4"/>
      <c r="V7" s="1" t="s">
        <v>10</v>
      </c>
      <c r="W7" s="2" t="str">
        <f t="shared" si="24"/>
        <v/>
      </c>
      <c r="X7" s="2" t="str">
        <f t="shared" si="25"/>
        <v/>
      </c>
      <c r="Y7" s="2" t="str">
        <f t="shared" si="26"/>
        <v/>
      </c>
      <c r="Z7" s="2">
        <f t="shared" si="27"/>
        <v>10</v>
      </c>
      <c r="AA7" s="2" t="str">
        <f t="shared" si="28"/>
        <v/>
      </c>
      <c r="AB7" s="2" t="str">
        <f t="shared" si="29"/>
        <v/>
      </c>
      <c r="AC7" s="2" t="str">
        <f t="shared" si="30"/>
        <v/>
      </c>
      <c r="AD7" s="2" t="str">
        <f t="shared" si="31"/>
        <v/>
      </c>
      <c r="AE7" s="2" t="str">
        <f t="shared" si="32"/>
        <v/>
      </c>
      <c r="AF7" s="2" t="str">
        <f t="shared" si="33"/>
        <v/>
      </c>
      <c r="AG7" s="2" t="str">
        <f t="shared" si="34"/>
        <v/>
      </c>
      <c r="AH7" s="2">
        <f t="shared" si="35"/>
        <v>10</v>
      </c>
      <c r="AI7" s="2" t="str">
        <f t="shared" si="36"/>
        <v/>
      </c>
      <c r="AJ7" s="2" t="str">
        <f t="shared" si="37"/>
        <v/>
      </c>
      <c r="AK7" s="2" t="str">
        <f t="shared" si="38"/>
        <v/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X7" s="1" t="s">
        <v>10</v>
      </c>
      <c r="AY7" s="2" t="str">
        <f t="shared" si="13"/>
        <v/>
      </c>
      <c r="AZ7" s="2" t="str">
        <f t="shared" si="14"/>
        <v/>
      </c>
      <c r="BA7" s="2" t="str">
        <f t="shared" si="15"/>
        <v/>
      </c>
      <c r="BB7" s="2">
        <f t="shared" si="16"/>
        <v>0</v>
      </c>
      <c r="BC7" s="2" t="str">
        <f t="shared" si="17"/>
        <v/>
      </c>
      <c r="BD7" s="2" t="str">
        <f t="shared" si="18"/>
        <v/>
      </c>
      <c r="BE7" s="2" t="str">
        <f t="shared" si="19"/>
        <v/>
      </c>
      <c r="BF7" s="2" t="str">
        <f t="shared" si="20"/>
        <v/>
      </c>
      <c r="BG7" s="2" t="str">
        <f t="shared" si="21"/>
        <v/>
      </c>
      <c r="BH7" s="2" t="str">
        <f t="shared" si="22"/>
        <v/>
      </c>
      <c r="BI7" s="2" t="str">
        <f t="shared" si="23"/>
        <v/>
      </c>
    </row>
    <row r="8" spans="1:61">
      <c r="A8" s="1" t="s">
        <v>160</v>
      </c>
      <c r="B8" s="4" t="str">
        <f t="shared" si="0"/>
        <v>Yes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No</v>
      </c>
      <c r="K8" s="4" t="str">
        <f t="shared" si="9"/>
        <v>No</v>
      </c>
      <c r="L8" s="4" t="str">
        <f t="shared" si="10"/>
        <v>No</v>
      </c>
      <c r="M8" s="4" t="str">
        <f t="shared" si="11"/>
        <v>No</v>
      </c>
      <c r="N8" s="4" t="str">
        <f t="shared" si="11"/>
        <v>Yes</v>
      </c>
      <c r="O8" s="4" t="str">
        <f t="shared" si="11"/>
        <v>No</v>
      </c>
      <c r="P8" s="4" t="str">
        <f t="shared" si="11"/>
        <v>No</v>
      </c>
      <c r="Q8" s="4"/>
      <c r="R8" s="4"/>
      <c r="V8" s="1" t="s">
        <v>160</v>
      </c>
      <c r="W8" s="2">
        <f t="shared" si="24"/>
        <v>10</v>
      </c>
      <c r="X8" s="2" t="str">
        <f t="shared" si="25"/>
        <v/>
      </c>
      <c r="Y8" s="2" t="str">
        <f t="shared" si="26"/>
        <v/>
      </c>
      <c r="Z8" s="2" t="str">
        <f t="shared" si="27"/>
        <v/>
      </c>
      <c r="AA8" s="2">
        <f t="shared" si="28"/>
        <v>10</v>
      </c>
      <c r="AB8" s="2" t="str">
        <f t="shared" si="29"/>
        <v/>
      </c>
      <c r="AC8" s="2" t="str">
        <f t="shared" si="30"/>
        <v/>
      </c>
      <c r="AD8" s="2">
        <f t="shared" si="31"/>
        <v>10</v>
      </c>
      <c r="AE8" s="2" t="str">
        <f t="shared" si="32"/>
        <v/>
      </c>
      <c r="AF8" s="2" t="str">
        <f t="shared" si="33"/>
        <v/>
      </c>
      <c r="AG8" s="2" t="str">
        <f t="shared" si="34"/>
        <v/>
      </c>
      <c r="AH8" s="2" t="str">
        <f t="shared" si="35"/>
        <v/>
      </c>
      <c r="AI8" s="2">
        <f t="shared" si="36"/>
        <v>10</v>
      </c>
      <c r="AJ8" s="2" t="str">
        <f t="shared" si="37"/>
        <v/>
      </c>
      <c r="AK8" s="2" t="str">
        <f t="shared" si="38"/>
        <v/>
      </c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X8" s="1" t="s">
        <v>11</v>
      </c>
      <c r="AY8" s="2">
        <f t="shared" si="13"/>
        <v>0</v>
      </c>
      <c r="AZ8" s="2" t="str">
        <f t="shared" si="14"/>
        <v/>
      </c>
      <c r="BA8" s="2" t="str">
        <f t="shared" si="15"/>
        <v/>
      </c>
      <c r="BB8" s="2" t="str">
        <f t="shared" si="16"/>
        <v/>
      </c>
      <c r="BC8" s="2">
        <f t="shared" si="17"/>
        <v>0</v>
      </c>
      <c r="BD8" s="2" t="str">
        <f t="shared" si="18"/>
        <v/>
      </c>
      <c r="BE8" s="2" t="str">
        <f t="shared" si="19"/>
        <v/>
      </c>
      <c r="BF8" s="2">
        <f t="shared" si="20"/>
        <v>0</v>
      </c>
      <c r="BG8" s="2" t="str">
        <f t="shared" si="21"/>
        <v/>
      </c>
      <c r="BH8" s="2" t="str">
        <f t="shared" si="22"/>
        <v/>
      </c>
      <c r="BI8" s="2" t="str">
        <f t="shared" si="23"/>
        <v/>
      </c>
    </row>
    <row r="9" spans="1:61">
      <c r="A9" s="1" t="s">
        <v>161</v>
      </c>
      <c r="B9" s="4" t="str">
        <f t="shared" si="0"/>
        <v>No</v>
      </c>
      <c r="C9" s="4" t="str">
        <f t="shared" si="1"/>
        <v>No</v>
      </c>
      <c r="D9" s="4" t="str">
        <f t="shared" si="2"/>
        <v>No</v>
      </c>
      <c r="E9" s="4" t="str">
        <f t="shared" si="3"/>
        <v>No</v>
      </c>
      <c r="F9" s="4" t="str">
        <f t="shared" si="4"/>
        <v>Yes</v>
      </c>
      <c r="G9" s="4" t="str">
        <f t="shared" si="5"/>
        <v>No</v>
      </c>
      <c r="H9" s="4" t="str">
        <f t="shared" si="6"/>
        <v>Yes</v>
      </c>
      <c r="I9" s="4" t="str">
        <f t="shared" si="7"/>
        <v>No</v>
      </c>
      <c r="J9" s="4" t="str">
        <f t="shared" si="8"/>
        <v>No</v>
      </c>
      <c r="K9" s="4" t="str">
        <f t="shared" si="9"/>
        <v>No</v>
      </c>
      <c r="L9" s="4" t="str">
        <f t="shared" si="10"/>
        <v>No</v>
      </c>
      <c r="M9" s="4" t="str">
        <f t="shared" si="11"/>
        <v>No</v>
      </c>
      <c r="N9" s="4" t="str">
        <f t="shared" si="11"/>
        <v>Yes</v>
      </c>
      <c r="O9" s="4" t="str">
        <f t="shared" si="11"/>
        <v>No</v>
      </c>
      <c r="P9" s="4" t="str">
        <f t="shared" si="11"/>
        <v>No</v>
      </c>
      <c r="Q9" s="4"/>
      <c r="R9" s="4"/>
      <c r="V9" s="1" t="s">
        <v>161</v>
      </c>
      <c r="W9" s="2" t="str">
        <f t="shared" si="24"/>
        <v/>
      </c>
      <c r="X9" s="2" t="str">
        <f t="shared" si="25"/>
        <v/>
      </c>
      <c r="Y9" s="2" t="str">
        <f t="shared" si="26"/>
        <v/>
      </c>
      <c r="Z9" s="2" t="str">
        <f t="shared" si="27"/>
        <v/>
      </c>
      <c r="AA9" s="2">
        <f t="shared" si="28"/>
        <v>10</v>
      </c>
      <c r="AB9" s="2" t="str">
        <f t="shared" si="29"/>
        <v/>
      </c>
      <c r="AC9" s="2">
        <f t="shared" si="30"/>
        <v>10</v>
      </c>
      <c r="AD9" s="2" t="str">
        <f t="shared" si="31"/>
        <v/>
      </c>
      <c r="AE9" s="2" t="str">
        <f t="shared" si="32"/>
        <v/>
      </c>
      <c r="AF9" s="2" t="str">
        <f t="shared" si="33"/>
        <v/>
      </c>
      <c r="AG9" s="2" t="str">
        <f t="shared" si="34"/>
        <v/>
      </c>
      <c r="AH9" s="2" t="str">
        <f t="shared" si="35"/>
        <v/>
      </c>
      <c r="AI9" s="2">
        <f t="shared" si="36"/>
        <v>10</v>
      </c>
      <c r="AJ9" s="2" t="str">
        <f t="shared" si="37"/>
        <v/>
      </c>
      <c r="AK9" s="2" t="str">
        <f t="shared" si="38"/>
        <v/>
      </c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X9" s="1" t="s">
        <v>12</v>
      </c>
      <c r="AY9" s="2" t="str">
        <f t="shared" si="13"/>
        <v/>
      </c>
      <c r="AZ9" s="2" t="str">
        <f t="shared" si="14"/>
        <v/>
      </c>
      <c r="BA9" s="2" t="str">
        <f t="shared" si="15"/>
        <v/>
      </c>
      <c r="BB9" s="2" t="str">
        <f t="shared" si="16"/>
        <v/>
      </c>
      <c r="BC9" s="2">
        <f t="shared" si="17"/>
        <v>0</v>
      </c>
      <c r="BD9" s="2" t="str">
        <f t="shared" si="18"/>
        <v/>
      </c>
      <c r="BE9" s="2">
        <f t="shared" si="19"/>
        <v>0</v>
      </c>
      <c r="BF9" s="2" t="str">
        <f t="shared" si="20"/>
        <v/>
      </c>
      <c r="BG9" s="2" t="str">
        <f t="shared" si="21"/>
        <v/>
      </c>
      <c r="BH9" s="2" t="str">
        <f t="shared" si="22"/>
        <v/>
      </c>
      <c r="BI9" s="2" t="str">
        <f t="shared" si="23"/>
        <v/>
      </c>
    </row>
    <row r="10" spans="1:61">
      <c r="A10" s="1" t="s">
        <v>162</v>
      </c>
      <c r="B10" s="4" t="str">
        <f t="shared" si="0"/>
        <v>Yes</v>
      </c>
      <c r="C10" s="4" t="str">
        <f t="shared" si="1"/>
        <v>No</v>
      </c>
      <c r="D10" s="4" t="str">
        <f t="shared" si="2"/>
        <v>No</v>
      </c>
      <c r="E10" s="4" t="str">
        <f t="shared" si="3"/>
        <v>No</v>
      </c>
      <c r="F10" s="4" t="str">
        <f t="shared" si="4"/>
        <v>No</v>
      </c>
      <c r="G10" s="4" t="str">
        <f t="shared" si="5"/>
        <v>No</v>
      </c>
      <c r="H10" s="4" t="str">
        <f t="shared" si="6"/>
        <v>No</v>
      </c>
      <c r="I10" s="4" t="str">
        <f t="shared" si="7"/>
        <v>No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M10" s="4" t="str">
        <f t="shared" si="11"/>
        <v>Yes</v>
      </c>
      <c r="N10" s="4" t="str">
        <f t="shared" si="11"/>
        <v>No</v>
      </c>
      <c r="O10" s="4" t="str">
        <f t="shared" si="11"/>
        <v>Yes</v>
      </c>
      <c r="P10" s="4" t="str">
        <f t="shared" si="11"/>
        <v>No</v>
      </c>
      <c r="Q10" s="4"/>
      <c r="R10" s="4"/>
      <c r="V10" s="1" t="s">
        <v>162</v>
      </c>
      <c r="W10" s="2">
        <f t="shared" si="24"/>
        <v>10</v>
      </c>
      <c r="X10" s="2" t="str">
        <f t="shared" si="25"/>
        <v/>
      </c>
      <c r="Y10" s="2" t="str">
        <f t="shared" si="26"/>
        <v/>
      </c>
      <c r="Z10" s="2" t="str">
        <f t="shared" si="27"/>
        <v/>
      </c>
      <c r="AA10" s="2" t="str">
        <f t="shared" si="28"/>
        <v/>
      </c>
      <c r="AB10" s="2" t="str">
        <f t="shared" si="29"/>
        <v/>
      </c>
      <c r="AC10" s="2" t="str">
        <f t="shared" si="30"/>
        <v/>
      </c>
      <c r="AD10" s="2" t="str">
        <f t="shared" si="31"/>
        <v/>
      </c>
      <c r="AE10" s="2" t="str">
        <f t="shared" si="32"/>
        <v/>
      </c>
      <c r="AF10" s="2" t="str">
        <f t="shared" si="33"/>
        <v/>
      </c>
      <c r="AG10" s="2" t="str">
        <f t="shared" si="34"/>
        <v/>
      </c>
      <c r="AH10" s="2">
        <f t="shared" si="35"/>
        <v>10</v>
      </c>
      <c r="AI10" s="2" t="str">
        <f t="shared" si="36"/>
        <v/>
      </c>
      <c r="AJ10" s="2">
        <f t="shared" si="37"/>
        <v>10</v>
      </c>
      <c r="AK10" s="2" t="str">
        <f t="shared" si="38"/>
        <v/>
      </c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X10" s="1" t="s">
        <v>13</v>
      </c>
      <c r="AY10" s="2">
        <f t="shared" si="13"/>
        <v>0</v>
      </c>
      <c r="AZ10" s="2" t="str">
        <f t="shared" si="14"/>
        <v/>
      </c>
      <c r="BA10" s="2" t="str">
        <f t="shared" si="15"/>
        <v/>
      </c>
      <c r="BB10" s="2" t="str">
        <f t="shared" si="16"/>
        <v/>
      </c>
      <c r="BC10" s="2" t="str">
        <f t="shared" si="17"/>
        <v/>
      </c>
      <c r="BD10" s="2" t="str">
        <f t="shared" si="18"/>
        <v/>
      </c>
      <c r="BE10" s="2" t="str">
        <f t="shared" si="19"/>
        <v/>
      </c>
      <c r="BF10" s="2" t="str">
        <f t="shared" si="20"/>
        <v/>
      </c>
      <c r="BG10" s="2" t="str">
        <f t="shared" si="21"/>
        <v/>
      </c>
      <c r="BH10" s="2" t="str">
        <f t="shared" si="22"/>
        <v/>
      </c>
      <c r="BI10" s="2" t="str">
        <f t="shared" si="23"/>
        <v/>
      </c>
    </row>
    <row r="11" spans="1:61">
      <c r="A11" s="1" t="s">
        <v>163</v>
      </c>
      <c r="B11" s="4" t="str">
        <f t="shared" si="0"/>
        <v>No</v>
      </c>
      <c r="C11" s="4" t="str">
        <f t="shared" si="1"/>
        <v>Yes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No</v>
      </c>
      <c r="H11" s="4" t="str">
        <f t="shared" si="6"/>
        <v>No</v>
      </c>
      <c r="I11" s="4" t="str">
        <f t="shared" si="7"/>
        <v>No</v>
      </c>
      <c r="J11" s="4" t="str">
        <f t="shared" si="8"/>
        <v>No</v>
      </c>
      <c r="K11" s="4" t="str">
        <f t="shared" si="9"/>
        <v>No</v>
      </c>
      <c r="L11" s="4" t="str">
        <f t="shared" si="10"/>
        <v>Yes</v>
      </c>
      <c r="M11" s="4" t="str">
        <f t="shared" si="11"/>
        <v>No</v>
      </c>
      <c r="N11" s="4" t="str">
        <f t="shared" si="11"/>
        <v>No</v>
      </c>
      <c r="O11" s="4" t="str">
        <f t="shared" si="11"/>
        <v>No</v>
      </c>
      <c r="P11" s="4" t="str">
        <f t="shared" si="11"/>
        <v>No</v>
      </c>
      <c r="Q11" s="4"/>
      <c r="R11" s="4"/>
      <c r="V11" s="1" t="s">
        <v>163</v>
      </c>
      <c r="W11" s="2" t="str">
        <f t="shared" si="24"/>
        <v/>
      </c>
      <c r="X11" s="2">
        <f t="shared" si="25"/>
        <v>10</v>
      </c>
      <c r="Y11" s="2" t="str">
        <f t="shared" si="26"/>
        <v/>
      </c>
      <c r="Z11" s="2" t="str">
        <f t="shared" si="27"/>
        <v/>
      </c>
      <c r="AA11" s="2" t="str">
        <f t="shared" si="28"/>
        <v/>
      </c>
      <c r="AB11" s="2" t="str">
        <f t="shared" si="29"/>
        <v/>
      </c>
      <c r="AC11" s="2" t="str">
        <f t="shared" si="30"/>
        <v/>
      </c>
      <c r="AD11" s="2" t="str">
        <f t="shared" si="31"/>
        <v/>
      </c>
      <c r="AE11" s="2" t="str">
        <f t="shared" si="32"/>
        <v/>
      </c>
      <c r="AF11" s="2" t="str">
        <f t="shared" si="33"/>
        <v/>
      </c>
      <c r="AG11" s="2">
        <f t="shared" si="34"/>
        <v>10</v>
      </c>
      <c r="AH11" s="2" t="str">
        <f t="shared" si="35"/>
        <v/>
      </c>
      <c r="AI11" s="2" t="str">
        <f t="shared" si="36"/>
        <v/>
      </c>
      <c r="AJ11" s="2" t="str">
        <f t="shared" si="37"/>
        <v/>
      </c>
      <c r="AK11" s="2" t="str">
        <f t="shared" si="38"/>
        <v/>
      </c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X11" s="1" t="s">
        <v>19</v>
      </c>
      <c r="AY11" s="2" t="str">
        <f t="shared" si="13"/>
        <v/>
      </c>
      <c r="AZ11" s="2">
        <f t="shared" si="14"/>
        <v>0</v>
      </c>
      <c r="BA11" s="2" t="str">
        <f t="shared" si="15"/>
        <v/>
      </c>
      <c r="BB11" s="2" t="str">
        <f t="shared" si="16"/>
        <v/>
      </c>
      <c r="BC11" s="2" t="str">
        <f t="shared" si="17"/>
        <v/>
      </c>
      <c r="BD11" s="2" t="str">
        <f t="shared" si="18"/>
        <v/>
      </c>
      <c r="BE11" s="2" t="str">
        <f t="shared" si="19"/>
        <v/>
      </c>
      <c r="BF11" s="2" t="str">
        <f t="shared" si="20"/>
        <v/>
      </c>
      <c r="BG11" s="2" t="str">
        <f t="shared" si="21"/>
        <v/>
      </c>
      <c r="BH11" s="2" t="str">
        <f t="shared" si="22"/>
        <v/>
      </c>
      <c r="BI11" s="2">
        <f t="shared" si="23"/>
        <v>0</v>
      </c>
    </row>
    <row r="12" spans="1:61">
      <c r="A12" s="1" t="s">
        <v>164</v>
      </c>
      <c r="B12" s="4" t="str">
        <f t="shared" si="0"/>
        <v>No</v>
      </c>
      <c r="C12" s="4" t="str">
        <f t="shared" si="1"/>
        <v>No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Yes</v>
      </c>
      <c r="L12" s="4" t="str">
        <f t="shared" si="10"/>
        <v>No</v>
      </c>
      <c r="M12" s="4" t="str">
        <f t="shared" si="11"/>
        <v>No</v>
      </c>
      <c r="N12" s="4" t="str">
        <f t="shared" si="11"/>
        <v>No</v>
      </c>
      <c r="O12" s="4" t="str">
        <f t="shared" si="11"/>
        <v>No</v>
      </c>
      <c r="P12" s="4" t="str">
        <f t="shared" si="11"/>
        <v>No</v>
      </c>
      <c r="Q12" s="4"/>
      <c r="R12" s="4"/>
      <c r="V12" s="1" t="s">
        <v>164</v>
      </c>
      <c r="W12" s="2" t="str">
        <f t="shared" si="24"/>
        <v/>
      </c>
      <c r="X12" s="2" t="str">
        <f t="shared" si="25"/>
        <v/>
      </c>
      <c r="Y12" s="2">
        <f t="shared" si="26"/>
        <v>10</v>
      </c>
      <c r="Z12" s="2" t="str">
        <f t="shared" si="27"/>
        <v/>
      </c>
      <c r="AA12" s="2" t="str">
        <f t="shared" si="28"/>
        <v/>
      </c>
      <c r="AB12" s="2" t="str">
        <f t="shared" si="29"/>
        <v/>
      </c>
      <c r="AC12" s="2" t="str">
        <f t="shared" si="30"/>
        <v/>
      </c>
      <c r="AD12" s="2" t="str">
        <f t="shared" si="31"/>
        <v/>
      </c>
      <c r="AE12" s="2" t="str">
        <f t="shared" si="32"/>
        <v/>
      </c>
      <c r="AF12" s="2">
        <f t="shared" si="33"/>
        <v>10</v>
      </c>
      <c r="AG12" s="2" t="str">
        <f t="shared" si="34"/>
        <v/>
      </c>
      <c r="AH12" s="2" t="str">
        <f t="shared" si="35"/>
        <v/>
      </c>
      <c r="AI12" s="2" t="str">
        <f t="shared" si="36"/>
        <v/>
      </c>
      <c r="AJ12" s="2" t="str">
        <f t="shared" si="37"/>
        <v/>
      </c>
      <c r="AK12" s="2" t="str">
        <f t="shared" si="38"/>
        <v/>
      </c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X12" s="1" t="s">
        <v>14</v>
      </c>
      <c r="AY12" s="2" t="str">
        <f t="shared" si="13"/>
        <v/>
      </c>
      <c r="AZ12" s="2" t="str">
        <f t="shared" si="14"/>
        <v/>
      </c>
      <c r="BA12" s="2">
        <f t="shared" si="15"/>
        <v>0</v>
      </c>
      <c r="BB12" s="2" t="str">
        <f t="shared" si="16"/>
        <v/>
      </c>
      <c r="BC12" s="2" t="str">
        <f t="shared" si="17"/>
        <v/>
      </c>
      <c r="BD12" s="2" t="str">
        <f t="shared" si="18"/>
        <v/>
      </c>
      <c r="BE12" s="2" t="str">
        <f t="shared" si="19"/>
        <v/>
      </c>
      <c r="BF12" s="2" t="str">
        <f t="shared" si="20"/>
        <v/>
      </c>
      <c r="BG12" s="2" t="str">
        <f t="shared" si="21"/>
        <v/>
      </c>
      <c r="BH12" s="2">
        <f t="shared" si="22"/>
        <v>0</v>
      </c>
      <c r="BI12" s="2" t="str">
        <f t="shared" si="23"/>
        <v/>
      </c>
    </row>
    <row r="13" spans="1:61">
      <c r="A13" s="1" t="s">
        <v>165</v>
      </c>
      <c r="B13" s="4" t="str">
        <f t="shared" ref="B13:B16" si="39">IF(ISERROR(MATCH($A13,D$24:D$332,0)),"No","Yes")</f>
        <v>Yes</v>
      </c>
      <c r="C13" s="4" t="str">
        <f t="shared" ref="C13:C16" si="40">IF(ISERROR(MATCH($A13,E$24:E$332,0)),"No","Yes")</f>
        <v>No</v>
      </c>
      <c r="D13" s="4" t="str">
        <f t="shared" ref="D13:D16" si="41">IF(ISERROR(MATCH($A13,F$24:F$332,0)),"No","Yes")</f>
        <v>No</v>
      </c>
      <c r="E13" s="4" t="str">
        <f t="shared" ref="E13:E16" si="42">IF(ISERROR(MATCH($A13,G$24:G$332,0)),"No","Yes")</f>
        <v>No</v>
      </c>
      <c r="F13" s="4" t="str">
        <f t="shared" ref="F13:F16" si="43">IF(ISERROR(MATCH($A13,H$24:H$332,0)),"No","Yes")</f>
        <v>No</v>
      </c>
      <c r="G13" s="4" t="str">
        <f t="shared" ref="G13:G16" si="44">IF(ISERROR(MATCH($A13,I$24:I$332,0)),"No","Yes")</f>
        <v>Yes</v>
      </c>
      <c r="H13" s="4" t="str">
        <f t="shared" ref="H13:H16" si="45">IF(ISERROR(MATCH($A13,J$24:J$332,0)),"No","Yes")</f>
        <v>No</v>
      </c>
      <c r="I13" s="4" t="str">
        <f t="shared" ref="I13:I16" si="46">IF(ISERROR(MATCH($A13,K$24:K$332,0)),"No","Yes")</f>
        <v>No</v>
      </c>
      <c r="J13" s="4" t="str">
        <f t="shared" ref="J13:J16" si="47">IF(ISERROR(MATCH($A13,L$24:L$332,0)),"No","Yes")</f>
        <v>Yes</v>
      </c>
      <c r="K13" s="4" t="str">
        <f t="shared" ref="K13:K16" si="48">IF(ISERROR(MATCH($A13,M$24:M$332,0)),"No","Yes")</f>
        <v>No</v>
      </c>
      <c r="L13" s="4" t="str">
        <f t="shared" ref="L13:L16" si="49">IF(ISERROR(MATCH($A13,N$24:N$332,0)),"No","Yes")</f>
        <v>No</v>
      </c>
      <c r="M13" s="4" t="str">
        <f t="shared" ref="M13:M16" si="50">IF(ISERROR(MATCH($A13,O$24:O$332,0)),"No","Yes")</f>
        <v>No</v>
      </c>
      <c r="N13" s="4" t="str">
        <f t="shared" ref="N13:N16" si="51">IF(ISERROR(MATCH($A13,P$24:P$332,0)),"No","Yes")</f>
        <v>No</v>
      </c>
      <c r="O13" s="4" t="str">
        <f t="shared" ref="O13:O16" si="52">IF(ISERROR(MATCH($A13,Q$24:Q$332,0)),"No","Yes")</f>
        <v>No</v>
      </c>
      <c r="P13" s="4" t="str">
        <f t="shared" ref="P13:P16" si="53">IF(ISERROR(MATCH($A13,R$24:R$332,0)),"No","Yes")</f>
        <v>No</v>
      </c>
      <c r="Q13" s="4"/>
      <c r="R13" s="4"/>
      <c r="V13" s="1" t="s">
        <v>165</v>
      </c>
      <c r="W13" s="2">
        <f t="shared" si="24"/>
        <v>10</v>
      </c>
      <c r="X13" s="2" t="str">
        <f t="shared" si="25"/>
        <v/>
      </c>
      <c r="Y13" s="2" t="str">
        <f t="shared" si="26"/>
        <v/>
      </c>
      <c r="Z13" s="2" t="str">
        <f t="shared" si="27"/>
        <v/>
      </c>
      <c r="AA13" s="2" t="str">
        <f t="shared" si="28"/>
        <v/>
      </c>
      <c r="AB13" s="2">
        <f t="shared" si="29"/>
        <v>10</v>
      </c>
      <c r="AC13" s="2" t="str">
        <f t="shared" si="30"/>
        <v/>
      </c>
      <c r="AD13" s="2" t="str">
        <f t="shared" si="31"/>
        <v/>
      </c>
      <c r="AE13" s="2">
        <f t="shared" si="32"/>
        <v>10</v>
      </c>
      <c r="AF13" s="2" t="str">
        <f t="shared" si="33"/>
        <v/>
      </c>
      <c r="AG13" s="2" t="str">
        <f t="shared" si="34"/>
        <v/>
      </c>
      <c r="AH13" s="2" t="str">
        <f t="shared" si="35"/>
        <v/>
      </c>
      <c r="AI13" s="2" t="str">
        <f t="shared" si="36"/>
        <v/>
      </c>
      <c r="AJ13" s="2" t="str">
        <f t="shared" si="37"/>
        <v/>
      </c>
      <c r="AK13" s="2" t="str">
        <f t="shared" si="38"/>
        <v/>
      </c>
      <c r="AL13" s="2"/>
    </row>
    <row r="14" spans="1:61">
      <c r="A14" s="1" t="s">
        <v>166</v>
      </c>
      <c r="B14" s="4" t="str">
        <f t="shared" si="39"/>
        <v>No</v>
      </c>
      <c r="C14" s="4" t="str">
        <f t="shared" si="40"/>
        <v>No</v>
      </c>
      <c r="D14" s="4" t="str">
        <f t="shared" si="41"/>
        <v>No</v>
      </c>
      <c r="E14" s="4" t="str">
        <f t="shared" si="42"/>
        <v>No</v>
      </c>
      <c r="F14" s="4" t="str">
        <f t="shared" si="43"/>
        <v>No</v>
      </c>
      <c r="G14" s="4" t="str">
        <f t="shared" si="44"/>
        <v>No</v>
      </c>
      <c r="H14" s="4" t="str">
        <f t="shared" si="45"/>
        <v>Yes</v>
      </c>
      <c r="I14" s="4" t="str">
        <f t="shared" si="46"/>
        <v>Yes</v>
      </c>
      <c r="J14" s="4" t="str">
        <f t="shared" si="47"/>
        <v>No</v>
      </c>
      <c r="K14" s="4" t="str">
        <f t="shared" si="48"/>
        <v>No</v>
      </c>
      <c r="L14" s="4" t="str">
        <f t="shared" si="49"/>
        <v>No</v>
      </c>
      <c r="M14" s="4" t="str">
        <f t="shared" si="50"/>
        <v>No</v>
      </c>
      <c r="N14" s="4" t="str">
        <f t="shared" si="51"/>
        <v>No</v>
      </c>
      <c r="O14" s="4" t="str">
        <f t="shared" si="52"/>
        <v>Yes</v>
      </c>
      <c r="P14" s="4" t="str">
        <f t="shared" si="53"/>
        <v>No</v>
      </c>
      <c r="Q14" s="4"/>
      <c r="R14" s="4"/>
      <c r="V14" s="1" t="s">
        <v>166</v>
      </c>
      <c r="W14" s="2" t="str">
        <f t="shared" si="24"/>
        <v/>
      </c>
      <c r="X14" s="2" t="str">
        <f t="shared" si="25"/>
        <v/>
      </c>
      <c r="Y14" s="2" t="str">
        <f t="shared" si="26"/>
        <v/>
      </c>
      <c r="Z14" s="2" t="str">
        <f t="shared" si="27"/>
        <v/>
      </c>
      <c r="AA14" s="2" t="str">
        <f t="shared" si="28"/>
        <v/>
      </c>
      <c r="AB14" s="2" t="str">
        <f t="shared" si="29"/>
        <v/>
      </c>
      <c r="AC14" s="2">
        <f t="shared" si="30"/>
        <v>10</v>
      </c>
      <c r="AD14" s="2">
        <f t="shared" si="31"/>
        <v>10</v>
      </c>
      <c r="AE14" s="2" t="str">
        <f t="shared" si="32"/>
        <v/>
      </c>
      <c r="AF14" s="2" t="str">
        <f t="shared" si="33"/>
        <v/>
      </c>
      <c r="AG14" s="2" t="str">
        <f t="shared" si="34"/>
        <v/>
      </c>
      <c r="AH14" s="2" t="str">
        <f t="shared" si="35"/>
        <v/>
      </c>
      <c r="AI14" s="2" t="str">
        <f t="shared" si="36"/>
        <v/>
      </c>
      <c r="AJ14" s="2">
        <f t="shared" si="37"/>
        <v>10</v>
      </c>
      <c r="AK14" s="2" t="str">
        <f t="shared" si="38"/>
        <v/>
      </c>
      <c r="AL14" s="2"/>
    </row>
    <row r="15" spans="1:61">
      <c r="A15" s="1" t="s">
        <v>167</v>
      </c>
      <c r="B15" s="4" t="str">
        <f t="shared" si="39"/>
        <v>No</v>
      </c>
      <c r="C15" s="4" t="str">
        <f t="shared" si="40"/>
        <v>No</v>
      </c>
      <c r="D15" s="4" t="str">
        <f t="shared" si="41"/>
        <v>No</v>
      </c>
      <c r="E15" s="4" t="str">
        <f t="shared" si="42"/>
        <v>No</v>
      </c>
      <c r="F15" s="4" t="str">
        <f t="shared" si="43"/>
        <v>No</v>
      </c>
      <c r="G15" s="4" t="str">
        <f t="shared" si="44"/>
        <v>No</v>
      </c>
      <c r="H15" s="4" t="str">
        <f t="shared" si="45"/>
        <v>No</v>
      </c>
      <c r="I15" s="4" t="str">
        <f t="shared" si="46"/>
        <v>No</v>
      </c>
      <c r="J15" s="4" t="str">
        <f t="shared" si="47"/>
        <v>Yes</v>
      </c>
      <c r="K15" s="4" t="str">
        <f t="shared" si="48"/>
        <v>No</v>
      </c>
      <c r="L15" s="4" t="str">
        <f t="shared" si="49"/>
        <v>No</v>
      </c>
      <c r="M15" s="4" t="str">
        <f t="shared" si="50"/>
        <v>No</v>
      </c>
      <c r="N15" s="4" t="str">
        <f t="shared" si="51"/>
        <v>Yes</v>
      </c>
      <c r="O15" s="4" t="str">
        <f t="shared" si="52"/>
        <v>No</v>
      </c>
      <c r="P15" s="4" t="str">
        <f t="shared" si="53"/>
        <v>No</v>
      </c>
      <c r="Q15" s="4"/>
      <c r="R15" s="4"/>
      <c r="V15" s="1" t="s">
        <v>167</v>
      </c>
      <c r="W15" s="2" t="str">
        <f t="shared" si="24"/>
        <v/>
      </c>
      <c r="X15" s="2" t="str">
        <f t="shared" si="25"/>
        <v/>
      </c>
      <c r="Y15" s="2" t="str">
        <f t="shared" si="26"/>
        <v/>
      </c>
      <c r="Z15" s="2" t="str">
        <f t="shared" si="27"/>
        <v/>
      </c>
      <c r="AA15" s="2" t="str">
        <f t="shared" si="28"/>
        <v/>
      </c>
      <c r="AB15" s="2" t="str">
        <f t="shared" si="29"/>
        <v/>
      </c>
      <c r="AC15" s="2" t="str">
        <f t="shared" si="30"/>
        <v/>
      </c>
      <c r="AD15" s="2" t="str">
        <f t="shared" si="31"/>
        <v/>
      </c>
      <c r="AE15" s="2">
        <f t="shared" si="32"/>
        <v>10</v>
      </c>
      <c r="AF15" s="2" t="str">
        <f t="shared" si="33"/>
        <v/>
      </c>
      <c r="AG15" s="2" t="str">
        <f t="shared" si="34"/>
        <v/>
      </c>
      <c r="AH15" s="2" t="str">
        <f t="shared" si="35"/>
        <v/>
      </c>
      <c r="AI15" s="2">
        <f t="shared" si="36"/>
        <v>10</v>
      </c>
      <c r="AJ15" s="2" t="str">
        <f t="shared" si="37"/>
        <v/>
      </c>
      <c r="AK15" s="2" t="str">
        <f t="shared" si="38"/>
        <v/>
      </c>
      <c r="AL15" s="2"/>
    </row>
    <row r="16" spans="1:61">
      <c r="A16" s="1" t="s">
        <v>147</v>
      </c>
      <c r="B16" s="4" t="str">
        <f t="shared" si="39"/>
        <v>Yes</v>
      </c>
      <c r="C16" s="4" t="str">
        <f t="shared" si="40"/>
        <v>No</v>
      </c>
      <c r="D16" s="4" t="str">
        <f t="shared" si="41"/>
        <v>No</v>
      </c>
      <c r="E16" s="4" t="str">
        <f t="shared" si="42"/>
        <v>No</v>
      </c>
      <c r="F16" s="4" t="str">
        <f t="shared" si="43"/>
        <v>No</v>
      </c>
      <c r="G16" s="4" t="str">
        <f t="shared" si="44"/>
        <v>No</v>
      </c>
      <c r="H16" s="4" t="str">
        <f t="shared" si="45"/>
        <v>No</v>
      </c>
      <c r="I16" s="4" t="str">
        <f t="shared" si="46"/>
        <v>No</v>
      </c>
      <c r="J16" s="4" t="str">
        <f t="shared" si="47"/>
        <v>No</v>
      </c>
      <c r="K16" s="4" t="str">
        <f t="shared" si="48"/>
        <v>No</v>
      </c>
      <c r="L16" s="4" t="str">
        <f t="shared" si="49"/>
        <v>No</v>
      </c>
      <c r="M16" s="4" t="str">
        <f t="shared" si="50"/>
        <v>No</v>
      </c>
      <c r="N16" s="4" t="str">
        <f t="shared" si="51"/>
        <v>No</v>
      </c>
      <c r="O16" s="4" t="str">
        <f t="shared" si="52"/>
        <v>No</v>
      </c>
      <c r="P16" s="4" t="str">
        <f t="shared" si="53"/>
        <v>No</v>
      </c>
      <c r="Q16" s="4"/>
      <c r="R16" s="4"/>
      <c r="V16" s="1" t="s">
        <v>147</v>
      </c>
      <c r="W16" s="2">
        <f t="shared" si="24"/>
        <v>10</v>
      </c>
      <c r="X16" s="2" t="str">
        <f t="shared" si="25"/>
        <v/>
      </c>
      <c r="Y16" s="2" t="str">
        <f t="shared" si="26"/>
        <v/>
      </c>
      <c r="Z16" s="2" t="str">
        <f t="shared" si="27"/>
        <v/>
      </c>
      <c r="AA16" s="2" t="str">
        <f t="shared" si="28"/>
        <v/>
      </c>
      <c r="AB16" s="2" t="str">
        <f t="shared" si="29"/>
        <v/>
      </c>
      <c r="AC16" s="2" t="str">
        <f t="shared" si="30"/>
        <v/>
      </c>
      <c r="AD16" s="2" t="str">
        <f t="shared" si="31"/>
        <v/>
      </c>
      <c r="AE16" s="2" t="str">
        <f t="shared" si="32"/>
        <v/>
      </c>
      <c r="AF16" s="2" t="str">
        <f t="shared" si="33"/>
        <v/>
      </c>
      <c r="AG16" s="2" t="str">
        <f t="shared" si="34"/>
        <v/>
      </c>
      <c r="AH16" s="2" t="str">
        <f t="shared" si="35"/>
        <v/>
      </c>
      <c r="AI16" s="2" t="str">
        <f t="shared" si="36"/>
        <v/>
      </c>
      <c r="AJ16" s="2" t="str">
        <f t="shared" si="37"/>
        <v/>
      </c>
      <c r="AK16" s="2" t="str">
        <f t="shared" si="38"/>
        <v/>
      </c>
      <c r="AL16" s="2"/>
    </row>
    <row r="17" spans="1:66">
      <c r="A17" s="1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66">
      <c r="A18" s="1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66">
      <c r="A19" s="1"/>
    </row>
    <row r="21" spans="1:66">
      <c r="A21">
        <f>COUNTIF(B2:Q17,"Yes")</f>
        <v>42</v>
      </c>
      <c r="B21">
        <f>COUNTA(B24:B4700)</f>
        <v>42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3" spans="1:66">
      <c r="A23" s="1" t="s">
        <v>43</v>
      </c>
      <c r="B23" s="1" t="s">
        <v>44</v>
      </c>
      <c r="C23" s="6"/>
      <c r="D23" s="7" t="s">
        <v>5</v>
      </c>
      <c r="E23" s="7" t="s">
        <v>157</v>
      </c>
      <c r="F23" s="7" t="s">
        <v>158</v>
      </c>
      <c r="G23" s="7" t="s">
        <v>159</v>
      </c>
      <c r="H23" s="7" t="s">
        <v>9</v>
      </c>
      <c r="I23" s="7" t="s">
        <v>10</v>
      </c>
      <c r="J23" s="7" t="s">
        <v>160</v>
      </c>
      <c r="K23" s="7" t="s">
        <v>161</v>
      </c>
      <c r="L23" s="7" t="s">
        <v>162</v>
      </c>
      <c r="M23" s="7" t="s">
        <v>163</v>
      </c>
      <c r="N23" s="7" t="s">
        <v>164</v>
      </c>
      <c r="O23" s="7" t="s">
        <v>165</v>
      </c>
      <c r="P23" s="7" t="s">
        <v>166</v>
      </c>
      <c r="Q23" s="7" t="s">
        <v>167</v>
      </c>
      <c r="R23" s="7" t="s">
        <v>147</v>
      </c>
      <c r="S23" s="7"/>
      <c r="V23" s="1"/>
      <c r="W23" s="1" t="s">
        <v>5</v>
      </c>
      <c r="X23" s="1" t="s">
        <v>157</v>
      </c>
      <c r="Y23" s="1" t="s">
        <v>158</v>
      </c>
      <c r="Z23" s="1" t="s">
        <v>159</v>
      </c>
      <c r="AA23" s="1" t="s">
        <v>9</v>
      </c>
      <c r="AB23" s="1" t="s">
        <v>10</v>
      </c>
      <c r="AC23" s="1" t="s">
        <v>160</v>
      </c>
      <c r="AD23" s="1" t="s">
        <v>161</v>
      </c>
      <c r="AE23" s="1" t="s">
        <v>162</v>
      </c>
      <c r="AF23" s="1" t="s">
        <v>163</v>
      </c>
      <c r="AG23" s="1" t="s">
        <v>164</v>
      </c>
      <c r="AH23" s="1" t="s">
        <v>165</v>
      </c>
      <c r="AI23" s="1" t="s">
        <v>166</v>
      </c>
      <c r="AJ23" s="1" t="s">
        <v>167</v>
      </c>
      <c r="AK23" s="1" t="s">
        <v>147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X23" s="1"/>
      <c r="AY23" s="1" t="s">
        <v>156</v>
      </c>
      <c r="AZ23" s="1" t="s">
        <v>5</v>
      </c>
      <c r="BA23" s="1" t="s">
        <v>157</v>
      </c>
      <c r="BB23" s="1" t="s">
        <v>158</v>
      </c>
      <c r="BC23" s="1" t="s">
        <v>159</v>
      </c>
      <c r="BD23" s="1" t="s">
        <v>9</v>
      </c>
      <c r="BE23" s="1" t="s">
        <v>10</v>
      </c>
      <c r="BF23" s="1" t="s">
        <v>160</v>
      </c>
      <c r="BG23" s="1" t="s">
        <v>161</v>
      </c>
      <c r="BH23" s="1" t="s">
        <v>162</v>
      </c>
      <c r="BI23" s="1" t="s">
        <v>163</v>
      </c>
      <c r="BJ23" t="s">
        <v>164</v>
      </c>
      <c r="BK23" t="s">
        <v>165</v>
      </c>
      <c r="BL23" t="s">
        <v>166</v>
      </c>
      <c r="BM23" t="s">
        <v>167</v>
      </c>
      <c r="BN23" t="s">
        <v>147</v>
      </c>
    </row>
    <row r="24" spans="1:66">
      <c r="A24" s="5" t="s">
        <v>159</v>
      </c>
      <c r="B24" s="5" t="s">
        <v>158</v>
      </c>
      <c r="C24" s="6">
        <v>1</v>
      </c>
      <c r="D24" s="6" t="str">
        <f t="array" ref="D24">IFERROR(INDEX($B$24:$B$612,SMALL(IF($A$24:$A$612=D$23,ROW(Roads!$A$24:$A$612)),Roads!$C24)-ROW(RoadList)),"")</f>
        <v>Jimma</v>
      </c>
      <c r="E24" s="6" t="str">
        <f t="array" ref="E24">IFERROR(INDEX($B$24:$B$612,SMALL(IF($A$24:$A$612=E$23,ROW(Roads!$A$24:$A$612)),Roads!$C24)-ROW(RoadList)),"")</f>
        <v>Mekelle</v>
      </c>
      <c r="F24" s="6" t="str">
        <f t="array" ref="F24">IFERROR(INDEX($B$24:$B$612,SMALL(IF($A$24:$A$612=F$23,ROW(Roads!$A$24:$A$612)),Roads!$C24)-ROW(RoadList)),"")</f>
        <v>Asosa</v>
      </c>
      <c r="G24" s="6" t="str">
        <f t="array" ref="G24">IFERROR(INDEX($B$24:$B$612,SMALL(IF($A$24:$A$612=G$23,ROW(Roads!$A$24:$A$612)),Roads!$C24)-ROW(RoadList)),"")</f>
        <v>BahirDar</v>
      </c>
      <c r="H24" s="6" t="str">
        <f t="array" ref="H24">IFERROR(INDEX($B$24:$B$612,SMALL(IF($A$24:$A$612=H$23,ROW(Roads!$A$24:$A$612)),Roads!$C24)-ROW(RoadList)),"")</f>
        <v>Semera</v>
      </c>
      <c r="I24" s="6" t="str">
        <f t="array" ref="I24">IFERROR(INDEX($B$24:$B$612,SMALL(IF($A$24:$A$612=I$23,ROW(Roads!$A$24:$A$612)),Roads!$C24)-ROW(RoadList)),"")</f>
        <v>Asosa</v>
      </c>
      <c r="J24" s="6" t="str">
        <f t="array" ref="J24">IFERROR(INDEX($B$24:$B$612,SMALL(IF($A$24:$A$612=J$23,ROW(Roads!$A$24:$A$612)),Roads!$C24)-ROW(RoadList)),"")</f>
        <v>AddisAbaba</v>
      </c>
      <c r="K24" s="6" t="str">
        <f t="array" ref="K24">IFERROR(INDEX($B$24:$B$612,SMALL(IF($A$24:$A$612=K$23,ROW(Roads!$A$24:$A$612)),Roads!$C24)-ROW(RoadList)),"")</f>
        <v>DireDawa</v>
      </c>
      <c r="L24" s="6" t="str">
        <f t="array" ref="L24">IFERROR(INDEX($B$24:$B$612,SMALL(IF($A$24:$A$612=L$23,ROW(Roads!$A$24:$A$612)),Roads!$C24)-ROW(RoadList)),"")</f>
        <v>Jimma</v>
      </c>
      <c r="M24" s="6" t="str">
        <f t="array" ref="M24">IFERROR(INDEX($B$24:$B$612,SMALL(IF($A$24:$A$612=M$23,ROW(Roads!$A$24:$A$612)),Roads!$C24)-ROW(RoadList)),"")</f>
        <v>Gondar</v>
      </c>
      <c r="N24" s="6" t="str">
        <f t="array" ref="N24">IFERROR(INDEX($B$24:$B$612,SMALL(IF($A$24:$A$612=N$23,ROW(Roads!$A$24:$A$612)),Roads!$C24)-ROW(RoadList)),"")</f>
        <v>BahirDar</v>
      </c>
      <c r="O24" s="6" t="str">
        <f t="array" ref="O24">IFERROR(INDEX($B$24:$B$612,SMALL(IF($A$24:$A$612=O$23,ROW(Roads!$A$24:$A$612)),Roads!$C24)-ROW(RoadList)),"")</f>
        <v>Gambela</v>
      </c>
      <c r="P24" s="6" t="str">
        <f t="array" ref="P24">IFERROR(INDEX($B$24:$B$612,SMALL(IF($A$24:$A$612=P$23,ROW(Roads!$A$24:$A$612)),Roads!$C24)-ROW(RoadList)),"")</f>
        <v>Goba</v>
      </c>
      <c r="Q24" s="6" t="str">
        <f t="array" ref="Q24">IFERROR(INDEX($B$24:$B$612,SMALL(IF($A$24:$A$612=Q$23,ROW(Roads!$A$24:$A$612)),Roads!$C24)-ROW(RoadList)),"")</f>
        <v>Awasa</v>
      </c>
      <c r="R24" s="6" t="str">
        <f t="array" ref="R24">IFERROR(INDEX($B$24:$B$612,SMALL(IF($A$24:$A$612=R$23,ROW(Roads!$A$24:$A$612)),Roads!$C24)-ROW(RoadList)),"")</f>
        <v>AddisAbaba</v>
      </c>
      <c r="S24" s="6"/>
      <c r="V24" s="1" t="s">
        <v>5</v>
      </c>
      <c r="W24" s="3">
        <v>10</v>
      </c>
      <c r="X24" s="3">
        <v>10</v>
      </c>
      <c r="Y24" s="3">
        <v>10</v>
      </c>
      <c r="Z24" s="3">
        <v>10</v>
      </c>
      <c r="AA24" s="3">
        <v>10</v>
      </c>
      <c r="AB24" s="3">
        <v>10</v>
      </c>
      <c r="AC24" s="3">
        <v>10</v>
      </c>
      <c r="AD24" s="3">
        <v>10</v>
      </c>
      <c r="AE24" s="3">
        <v>10</v>
      </c>
      <c r="AF24" s="3">
        <v>10</v>
      </c>
      <c r="AG24" s="3">
        <v>10</v>
      </c>
      <c r="AH24" s="3">
        <v>10</v>
      </c>
      <c r="AI24" s="3">
        <v>10</v>
      </c>
      <c r="AJ24" s="3">
        <v>10</v>
      </c>
      <c r="AK24" s="3">
        <v>10</v>
      </c>
      <c r="AL24" s="3"/>
      <c r="AM24" s="2"/>
      <c r="AN24" s="2"/>
      <c r="AO24" s="2"/>
      <c r="AP24" s="2"/>
      <c r="AQ24" s="2"/>
      <c r="AR24" s="2"/>
      <c r="AS24" s="2"/>
      <c r="AT24" s="2"/>
      <c r="AU24" s="2"/>
      <c r="AV24" s="2"/>
      <c r="AX24" s="1" t="s">
        <v>156</v>
      </c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6">
      <c r="A25" s="5" t="s">
        <v>159</v>
      </c>
      <c r="B25" s="5" t="s">
        <v>10</v>
      </c>
      <c r="C25" s="6">
        <f>C24+1</f>
        <v>2</v>
      </c>
      <c r="D25" s="6" t="str">
        <f t="array" ref="D25">IFERROR(INDEX($B$24:$B$612,SMALL(IF($A$24:$A$612=D$23,ROW(Roads!$A$24:$A$612)),Roads!$C25)-ROW(RoadList)),"")</f>
        <v>BahirDar</v>
      </c>
      <c r="E25" s="6" t="str">
        <f t="array" ref="E25">IFERROR(INDEX($B$24:$B$612,SMALL(IF($A$24:$A$612=E$23,ROW(Roads!$A$24:$A$612)),Roads!$C25)-ROW(RoadList)),"")</f>
        <v>DireDawa</v>
      </c>
      <c r="F25" s="6" t="str">
        <f t="array" ref="F25">IFERROR(INDEX($B$24:$B$612,SMALL(IF($A$24:$A$612=F$23,ROW(Roads!$A$24:$A$612)),Roads!$C25)-ROW(RoadList)),"")</f>
        <v>Gondar</v>
      </c>
      <c r="G25" s="6" t="str">
        <f t="array" ref="G25">IFERROR(INDEX($B$24:$B$612,SMALL(IF($A$24:$A$612=G$23,ROW(Roads!$A$24:$A$612)),Roads!$C25)-ROW(RoadList)),"")</f>
        <v>Gambela</v>
      </c>
      <c r="H25" s="6" t="str">
        <f t="array" ref="H25">IFERROR(INDEX($B$24:$B$612,SMALL(IF($A$24:$A$612=H$23,ROW(Roads!$A$24:$A$612)),Roads!$C25)-ROW(RoadList)),"")</f>
        <v>AddisAbaba</v>
      </c>
      <c r="I25" s="6" t="str">
        <f t="array" ref="I25">IFERROR(INDEX($B$24:$B$612,SMALL(IF($A$24:$A$612=I$23,ROW(Roads!$A$24:$A$612)),Roads!$C25)-ROW(RoadList)),"")</f>
        <v>Jimma</v>
      </c>
      <c r="J25" s="6" t="str">
        <f t="array" ref="J25">IFERROR(INDEX($B$24:$B$612,SMALL(IF($A$24:$A$612=J$23,ROW(Roads!$A$24:$A$612)),Roads!$C25)-ROW(RoadList)),"")</f>
        <v>DireDawa</v>
      </c>
      <c r="K25" s="6" t="str">
        <f t="array" ref="K25">IFERROR(INDEX($B$24:$B$612,SMALL(IF($A$24:$A$612=K$23,ROW(Roads!$A$24:$A$612)),Roads!$C25)-ROW(RoadList)),"")</f>
        <v>Werder</v>
      </c>
      <c r="L25" s="6" t="str">
        <f t="array" ref="L25">IFERROR(INDEX($B$24:$B$612,SMALL(IF($A$24:$A$612=L$23,ROW(Roads!$A$24:$A$612)),Roads!$C25)-ROW(RoadList)),"")</f>
        <v>Goba</v>
      </c>
      <c r="M25" s="6" t="str">
        <f t="array" ref="M25">IFERROR(INDEX($B$24:$B$612,SMALL(IF($A$24:$A$612=M$23,ROW(Roads!$A$24:$A$612)),Roads!$C25)-ROW(RoadList)),"")</f>
        <v>Semera</v>
      </c>
      <c r="N25" s="6" t="str">
        <f t="array" ref="N25">IFERROR(INDEX($B$24:$B$612,SMALL(IF($A$24:$A$612=N$23,ROW(Roads!$A$24:$A$612)),Roads!$C25)-ROW(RoadList)),"")</f>
        <v>Mekelle</v>
      </c>
      <c r="O25" s="6" t="str">
        <f t="array" ref="O25">IFERROR(INDEX($B$24:$B$612,SMALL(IF($A$24:$A$612=O$23,ROW(Roads!$A$24:$A$612)),Roads!$C25)-ROW(RoadList)),"")</f>
        <v>Awasa</v>
      </c>
      <c r="P25" s="6" t="str">
        <f t="array" ref="P25">IFERROR(INDEX($B$24:$B$612,SMALL(IF($A$24:$A$612=P$23,ROW(Roads!$A$24:$A$612)),Roads!$C25)-ROW(RoadList)),"")</f>
        <v>Jijiga</v>
      </c>
      <c r="Q25" s="6" t="str">
        <f t="array" ref="Q25">IFERROR(INDEX($B$24:$B$612,SMALL(IF($A$24:$A$612=Q$23,ROW(Roads!$A$24:$A$612)),Roads!$C25)-ROW(RoadList)),"")</f>
        <v>Werder</v>
      </c>
      <c r="R25" s="6" t="str">
        <f t="array" ref="R25">IFERROR(INDEX($B$24:$B$612,SMALL(IF($A$24:$A$612=R$23,ROW(Roads!$A$24:$A$612)),Roads!$C25)-ROW(RoadList)),"")</f>
        <v/>
      </c>
      <c r="S25" s="6"/>
      <c r="V25" s="1" t="s">
        <v>157</v>
      </c>
      <c r="W25" s="3">
        <v>10</v>
      </c>
      <c r="X25" s="3">
        <v>10</v>
      </c>
      <c r="Y25" s="3">
        <v>10</v>
      </c>
      <c r="Z25" s="3">
        <v>10</v>
      </c>
      <c r="AA25" s="3">
        <v>10</v>
      </c>
      <c r="AB25" s="3">
        <v>10</v>
      </c>
      <c r="AC25" s="3">
        <v>10</v>
      </c>
      <c r="AD25" s="3">
        <v>10</v>
      </c>
      <c r="AE25" s="3">
        <v>10</v>
      </c>
      <c r="AF25" s="3">
        <v>10</v>
      </c>
      <c r="AG25" s="3">
        <v>10</v>
      </c>
      <c r="AH25" s="3">
        <v>10</v>
      </c>
      <c r="AI25" s="3">
        <v>10</v>
      </c>
      <c r="AJ25" s="3">
        <v>10</v>
      </c>
      <c r="AK25" s="3">
        <v>10</v>
      </c>
      <c r="AL25" s="3"/>
      <c r="AM25" s="2"/>
      <c r="AN25" s="2"/>
      <c r="AO25" s="2"/>
      <c r="AP25" s="2"/>
      <c r="AQ25" s="2"/>
      <c r="AR25" s="2"/>
      <c r="AS25" s="2"/>
      <c r="AT25" s="2"/>
      <c r="AU25" s="2"/>
      <c r="AV25" s="2"/>
      <c r="AX25" s="1" t="s">
        <v>5</v>
      </c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6">
      <c r="A26" s="5" t="s">
        <v>10</v>
      </c>
      <c r="B26" s="5" t="s">
        <v>159</v>
      </c>
      <c r="C26" s="6">
        <f t="shared" ref="C26:C44" si="54">C25+1</f>
        <v>3</v>
      </c>
      <c r="D26" s="6" t="str">
        <f t="array" ref="D26">IFERROR(INDEX($B$24:$B$612,SMALL(IF($A$24:$A$612=D$23,ROW(Roads!$A$24:$A$612)),Roads!$C26)-ROW(RoadList)),"")</f>
        <v>Awasa</v>
      </c>
      <c r="E26" s="6" t="str">
        <f t="array" ref="E26">IFERROR(INDEX($B$24:$B$612,SMALL(IF($A$24:$A$612=E$23,ROW(Roads!$A$24:$A$612)),Roads!$C26)-ROW(RoadList)),"")</f>
        <v/>
      </c>
      <c r="F26" s="6" t="str">
        <f t="array" ref="F26">IFERROR(INDEX($B$24:$B$612,SMALL(IF($A$24:$A$612=F$23,ROW(Roads!$A$24:$A$612)),Roads!$C26)-ROW(RoadList)),"")</f>
        <v>AddisAbaba</v>
      </c>
      <c r="G26" s="6" t="str">
        <f t="array" ref="G26">IFERROR(INDEX($B$24:$B$612,SMALL(IF($A$24:$A$612=G$23,ROW(Roads!$A$24:$A$612)),Roads!$C26)-ROW(RoadList)),"")</f>
        <v/>
      </c>
      <c r="H26" s="6" t="str">
        <f t="array" ref="H26">IFERROR(INDEX($B$24:$B$612,SMALL(IF($A$24:$A$612=H$23,ROW(Roads!$A$24:$A$612)),Roads!$C26)-ROW(RoadList)),"")</f>
        <v>Harar</v>
      </c>
      <c r="I26" s="6" t="str">
        <f t="array" ref="I26">IFERROR(INDEX($B$24:$B$612,SMALL(IF($A$24:$A$612=I$23,ROW(Roads!$A$24:$A$612)),Roads!$C26)-ROW(RoadList)),"")</f>
        <v/>
      </c>
      <c r="J26" s="6" t="str">
        <f t="array" ref="J26">IFERROR(INDEX($B$24:$B$612,SMALL(IF($A$24:$A$612=J$23,ROW(Roads!$A$24:$A$612)),Roads!$C26)-ROW(RoadList)),"")</f>
        <v>Jijiga</v>
      </c>
      <c r="K26" s="6" t="str">
        <f t="array" ref="K26">IFERROR(INDEX($B$24:$B$612,SMALL(IF($A$24:$A$612=K$23,ROW(Roads!$A$24:$A$612)),Roads!$C26)-ROW(RoadList)),"")</f>
        <v>Harar</v>
      </c>
      <c r="L26" s="6" t="str">
        <f t="array" ref="L26">IFERROR(INDEX($B$24:$B$612,SMALL(IF($A$24:$A$612=L$23,ROW(Roads!$A$24:$A$612)),Roads!$C26)-ROW(RoadList)),"")</f>
        <v>AddisAbaba</v>
      </c>
      <c r="M26" s="6" t="str">
        <f t="array" ref="M26">IFERROR(INDEX($B$24:$B$612,SMALL(IF($A$24:$A$612=M$23,ROW(Roads!$A$24:$A$612)),Roads!$C26)-ROW(RoadList)),"")</f>
        <v/>
      </c>
      <c r="N26" s="6" t="str">
        <f t="array" ref="N26">IFERROR(INDEX($B$24:$B$612,SMALL(IF($A$24:$A$612=N$23,ROW(Roads!$A$24:$A$612)),Roads!$C26)-ROW(RoadList)),"")</f>
        <v/>
      </c>
      <c r="O26" s="6" t="str">
        <f t="array" ref="O26">IFERROR(INDEX($B$24:$B$612,SMALL(IF($A$24:$A$612=O$23,ROW(Roads!$A$24:$A$612)),Roads!$C26)-ROW(RoadList)),"")</f>
        <v>AddisAbaba</v>
      </c>
      <c r="P26" s="6" t="str">
        <f t="array" ref="P26">IFERROR(INDEX($B$24:$B$612,SMALL(IF($A$24:$A$612=P$23,ROW(Roads!$A$24:$A$612)),Roads!$C26)-ROW(RoadList)),"")</f>
        <v>Harar</v>
      </c>
      <c r="Q26" s="6" t="str">
        <f t="array" ref="Q26">IFERROR(INDEX($B$24:$B$612,SMALL(IF($A$24:$A$612=Q$23,ROW(Roads!$A$24:$A$612)),Roads!$C26)-ROW(RoadList)),"")</f>
        <v/>
      </c>
      <c r="R26" s="6" t="str">
        <f t="array" ref="R26">IFERROR(INDEX($B$24:$B$612,SMALL(IF($A$24:$A$612=R$23,ROW(Roads!$A$24:$A$612)),Roads!$C26)-ROW(RoadList)),"")</f>
        <v/>
      </c>
      <c r="S26" s="6"/>
      <c r="V26" s="1" t="s">
        <v>158</v>
      </c>
      <c r="W26" s="3">
        <v>10</v>
      </c>
      <c r="X26" s="3">
        <v>10</v>
      </c>
      <c r="Y26" s="3">
        <v>10</v>
      </c>
      <c r="Z26" s="3">
        <v>10</v>
      </c>
      <c r="AA26" s="3">
        <v>10</v>
      </c>
      <c r="AB26" s="3">
        <v>10</v>
      </c>
      <c r="AC26" s="3">
        <v>10</v>
      </c>
      <c r="AD26" s="3">
        <v>10</v>
      </c>
      <c r="AE26" s="3">
        <v>10</v>
      </c>
      <c r="AF26" s="3">
        <v>10</v>
      </c>
      <c r="AG26" s="3">
        <v>10</v>
      </c>
      <c r="AH26" s="3">
        <v>10</v>
      </c>
      <c r="AI26" s="3">
        <v>10</v>
      </c>
      <c r="AJ26" s="3">
        <v>10</v>
      </c>
      <c r="AK26" s="3">
        <v>10</v>
      </c>
      <c r="AL26" s="3"/>
      <c r="AM26" s="2"/>
      <c r="AN26" s="2"/>
      <c r="AO26" s="2"/>
      <c r="AP26" s="2"/>
      <c r="AQ26" s="2"/>
      <c r="AR26" s="2"/>
      <c r="AS26" s="2"/>
      <c r="AT26" s="2"/>
      <c r="AU26" s="2"/>
      <c r="AV26" s="2"/>
      <c r="AX26" s="1" t="s">
        <v>157</v>
      </c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6">
      <c r="A27" s="5" t="s">
        <v>10</v>
      </c>
      <c r="B27" s="5" t="s">
        <v>165</v>
      </c>
      <c r="C27" s="6">
        <f t="shared" si="54"/>
        <v>4</v>
      </c>
      <c r="D27" s="6" t="str">
        <f t="array" ref="D27">IFERROR(INDEX($B$24:$B$612,SMALL(IF($A$24:$A$612=D$23,ROW(Roads!$A$24:$A$612)),Roads!$C27)-ROW(RoadList)),"")</f>
        <v>DireDawa</v>
      </c>
      <c r="E27" s="6" t="str">
        <f t="array" ref="E27">IFERROR(INDEX($B$24:$B$612,SMALL(IF($A$24:$A$612=E$23,ROW(Roads!$A$24:$A$612)),Roads!$C27)-ROW(RoadList)),"")</f>
        <v/>
      </c>
      <c r="F27" s="6" t="str">
        <f t="array" ref="F27">IFERROR(INDEX($B$24:$B$612,SMALL(IF($A$24:$A$612=F$23,ROW(Roads!$A$24:$A$612)),Roads!$C27)-ROW(RoadList)),"")</f>
        <v/>
      </c>
      <c r="G27" s="6" t="str">
        <f t="array" ref="G27">IFERROR(INDEX($B$24:$B$612,SMALL(IF($A$24:$A$612=G$23,ROW(Roads!$A$24:$A$612)),Roads!$C27)-ROW(RoadList)),"")</f>
        <v/>
      </c>
      <c r="H27" s="6" t="str">
        <f t="array" ref="H27">IFERROR(INDEX($B$24:$B$612,SMALL(IF($A$24:$A$612=H$23,ROW(Roads!$A$24:$A$612)),Roads!$C27)-ROW(RoadList)),"")</f>
        <v>Jijiga</v>
      </c>
      <c r="I27" s="6" t="str">
        <f t="array" ref="I27">IFERROR(INDEX($B$24:$B$612,SMALL(IF($A$24:$A$612=I$23,ROW(Roads!$A$24:$A$612)),Roads!$C27)-ROW(RoadList)),"")</f>
        <v/>
      </c>
      <c r="J27" s="6" t="str">
        <f t="array" ref="J27">IFERROR(INDEX($B$24:$B$612,SMALL(IF($A$24:$A$612=J$23,ROW(Roads!$A$24:$A$612)),Roads!$C27)-ROW(RoadList)),"")</f>
        <v>Werder</v>
      </c>
      <c r="K27" s="6" t="str">
        <f t="array" ref="K27">IFERROR(INDEX($B$24:$B$612,SMALL(IF($A$24:$A$612=K$23,ROW(Roads!$A$24:$A$612)),Roads!$C27)-ROW(RoadList)),"")</f>
        <v/>
      </c>
      <c r="L27" s="6" t="str">
        <f t="array" ref="L27">IFERROR(INDEX($B$24:$B$612,SMALL(IF($A$24:$A$612=L$23,ROW(Roads!$A$24:$A$612)),Roads!$C27)-ROW(RoadList)),"")</f>
        <v/>
      </c>
      <c r="M27" s="6" t="str">
        <f t="array" ref="M27">IFERROR(INDEX($B$24:$B$612,SMALL(IF($A$24:$A$612=M$23,ROW(Roads!$A$24:$A$612)),Roads!$C27)-ROW(RoadList)),"")</f>
        <v/>
      </c>
      <c r="N27" s="6" t="str">
        <f t="array" ref="N27">IFERROR(INDEX($B$24:$B$612,SMALL(IF($A$24:$A$612=N$23,ROW(Roads!$A$24:$A$612)),Roads!$C27)-ROW(RoadList)),"")</f>
        <v/>
      </c>
      <c r="O27" s="6" t="str">
        <f t="array" ref="O27">IFERROR(INDEX($B$24:$B$612,SMALL(IF($A$24:$A$612=O$23,ROW(Roads!$A$24:$A$612)),Roads!$C27)-ROW(RoadList)),"")</f>
        <v/>
      </c>
      <c r="P27" s="6" t="str">
        <f t="array" ref="P27">IFERROR(INDEX($B$24:$B$612,SMALL(IF($A$24:$A$612=P$23,ROW(Roads!$A$24:$A$612)),Roads!$C27)-ROW(RoadList)),"")</f>
        <v/>
      </c>
      <c r="Q27" s="6" t="str">
        <f t="array" ref="Q27">IFERROR(INDEX($B$24:$B$612,SMALL(IF($A$24:$A$612=Q$23,ROW(Roads!$A$24:$A$612)),Roads!$C27)-ROW(RoadList)),"")</f>
        <v/>
      </c>
      <c r="R27" s="6" t="str">
        <f t="array" ref="R27">IFERROR(INDEX($B$24:$B$612,SMALL(IF($A$24:$A$612=R$23,ROW(Roads!$A$24:$A$612)),Roads!$C27)-ROW(RoadList)),"")</f>
        <v/>
      </c>
      <c r="S27" s="6"/>
      <c r="V27" s="1" t="s">
        <v>159</v>
      </c>
      <c r="W27" s="3">
        <v>10</v>
      </c>
      <c r="X27" s="3">
        <v>10</v>
      </c>
      <c r="Y27" s="3">
        <v>10</v>
      </c>
      <c r="Z27" s="3">
        <v>10</v>
      </c>
      <c r="AA27" s="3">
        <v>10</v>
      </c>
      <c r="AB27" s="3">
        <v>10</v>
      </c>
      <c r="AC27" s="3">
        <v>10</v>
      </c>
      <c r="AD27" s="3">
        <v>10</v>
      </c>
      <c r="AE27" s="3">
        <v>10</v>
      </c>
      <c r="AF27" s="3">
        <v>10</v>
      </c>
      <c r="AG27" s="3">
        <v>10</v>
      </c>
      <c r="AH27" s="3">
        <v>10</v>
      </c>
      <c r="AI27" s="3">
        <v>10</v>
      </c>
      <c r="AJ27" s="3">
        <v>10</v>
      </c>
      <c r="AK27" s="3">
        <v>10</v>
      </c>
      <c r="AL27" s="3"/>
      <c r="AM27" s="2"/>
      <c r="AN27" s="2"/>
      <c r="AO27" s="2"/>
      <c r="AP27" s="2"/>
      <c r="AQ27" s="2"/>
      <c r="AR27" s="2"/>
      <c r="AS27" s="2"/>
      <c r="AT27" s="2"/>
      <c r="AU27" s="2"/>
      <c r="AV27" s="2"/>
      <c r="AX27" s="1" t="s">
        <v>158</v>
      </c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6">
      <c r="A28" s="5" t="s">
        <v>158</v>
      </c>
      <c r="B28" s="5" t="s">
        <v>159</v>
      </c>
      <c r="C28" s="6">
        <f t="shared" si="54"/>
        <v>5</v>
      </c>
      <c r="D28" s="6" t="str">
        <f t="array" ref="D28">IFERROR(INDEX($B$24:$B$612,SMALL(IF($A$24:$A$612=D$23,ROW(Roads!$A$24:$A$612)),Roads!$C28)-ROW(RoadList)),"")</f>
        <v>Harar</v>
      </c>
      <c r="E28" s="6" t="str">
        <f t="array" ref="E28">IFERROR(INDEX($B$24:$B$612,SMALL(IF($A$24:$A$612=E$23,ROW(Roads!$A$24:$A$612)),Roads!$C28)-ROW(RoadList)),"")</f>
        <v/>
      </c>
      <c r="F28" s="6" t="str">
        <f t="array" ref="F28">IFERROR(INDEX($B$24:$B$612,SMALL(IF($A$24:$A$612=F$23,ROW(Roads!$A$24:$A$612)),Roads!$C28)-ROW(RoadList)),"")</f>
        <v/>
      </c>
      <c r="G28" s="6" t="str">
        <f t="array" ref="G28">IFERROR(INDEX($B$24:$B$612,SMALL(IF($A$24:$A$612=G$23,ROW(Roads!$A$24:$A$612)),Roads!$C28)-ROW(RoadList)),"")</f>
        <v/>
      </c>
      <c r="H28" s="6" t="str">
        <f t="array" ref="H28">IFERROR(INDEX($B$24:$B$612,SMALL(IF($A$24:$A$612=H$23,ROW(Roads!$A$24:$A$612)),Roads!$C28)-ROW(RoadList)),"")</f>
        <v/>
      </c>
      <c r="I28" s="6" t="str">
        <f t="array" ref="I28">IFERROR(INDEX($B$24:$B$612,SMALL(IF($A$24:$A$612=I$23,ROW(Roads!$A$24:$A$612)),Roads!$C28)-ROW(RoadList)),"")</f>
        <v/>
      </c>
      <c r="J28" s="6" t="str">
        <f t="array" ref="J28">IFERROR(INDEX($B$24:$B$612,SMALL(IF($A$24:$A$612=J$23,ROW(Roads!$A$24:$A$612)),Roads!$C28)-ROW(RoadList)),"")</f>
        <v/>
      </c>
      <c r="K28" s="6" t="str">
        <f t="array" ref="K28">IFERROR(INDEX($B$24:$B$612,SMALL(IF($A$24:$A$612=K$23,ROW(Roads!$A$24:$A$612)),Roads!$C28)-ROW(RoadList)),"")</f>
        <v/>
      </c>
      <c r="L28" s="6" t="str">
        <f t="array" ref="L28">IFERROR(INDEX($B$24:$B$612,SMALL(IF($A$24:$A$612=L$23,ROW(Roads!$A$24:$A$612)),Roads!$C28)-ROW(RoadList)),"")</f>
        <v/>
      </c>
      <c r="M28" s="6" t="str">
        <f t="array" ref="M28">IFERROR(INDEX($B$24:$B$612,SMALL(IF($A$24:$A$612=M$23,ROW(Roads!$A$24:$A$612)),Roads!$C28)-ROW(RoadList)),"")</f>
        <v/>
      </c>
      <c r="N28" s="6" t="str">
        <f t="array" ref="N28">IFERROR(INDEX($B$24:$B$612,SMALL(IF($A$24:$A$612=N$23,ROW(Roads!$A$24:$A$612)),Roads!$C28)-ROW(RoadList)),"")</f>
        <v/>
      </c>
      <c r="O28" s="6" t="str">
        <f t="array" ref="O28">IFERROR(INDEX($B$24:$B$612,SMALL(IF($A$24:$A$612=O$23,ROW(Roads!$A$24:$A$612)),Roads!$C28)-ROW(RoadList)),"")</f>
        <v/>
      </c>
      <c r="P28" s="6" t="str">
        <f t="array" ref="P28">IFERROR(INDEX($B$24:$B$612,SMALL(IF($A$24:$A$612=P$23,ROW(Roads!$A$24:$A$612)),Roads!$C28)-ROW(RoadList)),"")</f>
        <v/>
      </c>
      <c r="Q28" s="6" t="str">
        <f t="array" ref="Q28">IFERROR(INDEX($B$24:$B$612,SMALL(IF($A$24:$A$612=Q$23,ROW(Roads!$A$24:$A$612)),Roads!$C28)-ROW(RoadList)),"")</f>
        <v/>
      </c>
      <c r="R28" s="6" t="str">
        <f t="array" ref="R28">IFERROR(INDEX($B$24:$B$612,SMALL(IF($A$24:$A$612=R$23,ROW(Roads!$A$24:$A$612)),Roads!$C28)-ROW(RoadList)),"")</f>
        <v/>
      </c>
      <c r="S28" s="6"/>
      <c r="V28" s="1" t="s">
        <v>9</v>
      </c>
      <c r="W28" s="3">
        <v>10</v>
      </c>
      <c r="X28" s="3">
        <v>10</v>
      </c>
      <c r="Y28" s="3">
        <v>10</v>
      </c>
      <c r="Z28" s="3">
        <v>10</v>
      </c>
      <c r="AA28" s="3">
        <v>10</v>
      </c>
      <c r="AB28" s="3">
        <v>10</v>
      </c>
      <c r="AC28" s="3">
        <v>10</v>
      </c>
      <c r="AD28" s="3">
        <v>10</v>
      </c>
      <c r="AE28" s="3">
        <v>10</v>
      </c>
      <c r="AF28" s="3">
        <v>10</v>
      </c>
      <c r="AG28" s="3">
        <v>10</v>
      </c>
      <c r="AH28" s="3">
        <v>10</v>
      </c>
      <c r="AI28" s="3">
        <v>10</v>
      </c>
      <c r="AJ28" s="3">
        <v>10</v>
      </c>
      <c r="AK28" s="3">
        <v>10</v>
      </c>
      <c r="AL28" s="3"/>
      <c r="AM28" s="2"/>
      <c r="AN28" s="2"/>
      <c r="AO28" s="2"/>
      <c r="AP28" s="2"/>
      <c r="AQ28" s="2"/>
      <c r="AR28" s="2"/>
      <c r="AS28" s="2"/>
      <c r="AT28" s="2"/>
      <c r="AU28" s="2"/>
      <c r="AV28" s="2"/>
      <c r="AX28" s="1" t="s">
        <v>159</v>
      </c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6">
      <c r="A29" s="5" t="s">
        <v>158</v>
      </c>
      <c r="B29" s="5" t="s">
        <v>164</v>
      </c>
      <c r="C29" s="6">
        <f t="shared" si="54"/>
        <v>6</v>
      </c>
      <c r="D29" s="6" t="str">
        <f t="array" ref="D29">IFERROR(INDEX($B$24:$B$612,SMALL(IF($A$24:$A$612=D$23,ROW(Roads!$A$24:$A$612)),Roads!$C29)-ROW(RoadList)),"")</f>
        <v>External</v>
      </c>
      <c r="E29" s="6" t="str">
        <f t="array" ref="E29">IFERROR(INDEX($B$24:$B$612,SMALL(IF($A$24:$A$612=E$23,ROW(Roads!$A$24:$A$612)),Roads!$C29)-ROW(RoadList)),"")</f>
        <v/>
      </c>
      <c r="F29" s="6" t="str">
        <f t="array" ref="F29">IFERROR(INDEX($B$24:$B$612,SMALL(IF($A$24:$A$612=F$23,ROW(Roads!$A$24:$A$612)),Roads!$C29)-ROW(RoadList)),"")</f>
        <v/>
      </c>
      <c r="G29" s="6" t="str">
        <f t="array" ref="G29">IFERROR(INDEX($B$24:$B$612,SMALL(IF($A$24:$A$612=G$23,ROW(Roads!$A$24:$A$612)),Roads!$C29)-ROW(RoadList)),"")</f>
        <v/>
      </c>
      <c r="H29" s="6" t="str">
        <f t="array" ref="H29">IFERROR(INDEX($B$24:$B$612,SMALL(IF($A$24:$A$612=H$23,ROW(Roads!$A$24:$A$612)),Roads!$C29)-ROW(RoadList)),"")</f>
        <v/>
      </c>
      <c r="I29" s="6" t="str">
        <f t="array" ref="I29">IFERROR(INDEX($B$24:$B$612,SMALL(IF($A$24:$A$612=I$23,ROW(Roads!$A$24:$A$612)),Roads!$C29)-ROW(RoadList)),"")</f>
        <v/>
      </c>
      <c r="J29" s="6" t="str">
        <f t="array" ref="J29">IFERROR(INDEX($B$24:$B$612,SMALL(IF($A$24:$A$612=J$23,ROW(Roads!$A$24:$A$612)),Roads!$C29)-ROW(RoadList)),"")</f>
        <v/>
      </c>
      <c r="K29" s="6" t="str">
        <f t="array" ref="K29">IFERROR(INDEX($B$24:$B$612,SMALL(IF($A$24:$A$612=K$23,ROW(Roads!$A$24:$A$612)),Roads!$C29)-ROW(RoadList)),"")</f>
        <v/>
      </c>
      <c r="L29" s="6" t="str">
        <f t="array" ref="L29">IFERROR(INDEX($B$24:$B$612,SMALL(IF($A$24:$A$612=L$23,ROW(Roads!$A$24:$A$612)),Roads!$C29)-ROW(RoadList)),"")</f>
        <v/>
      </c>
      <c r="M29" s="6" t="str">
        <f t="array" ref="M29">IFERROR(INDEX($B$24:$B$612,SMALL(IF($A$24:$A$612=M$23,ROW(Roads!$A$24:$A$612)),Roads!$C29)-ROW(RoadList)),"")</f>
        <v/>
      </c>
      <c r="N29" s="6" t="str">
        <f t="array" ref="N29">IFERROR(INDEX($B$24:$B$612,SMALL(IF($A$24:$A$612=N$23,ROW(Roads!$A$24:$A$612)),Roads!$C29)-ROW(RoadList)),"")</f>
        <v/>
      </c>
      <c r="O29" s="6" t="str">
        <f t="array" ref="O29">IFERROR(INDEX($B$24:$B$612,SMALL(IF($A$24:$A$612=O$23,ROW(Roads!$A$24:$A$612)),Roads!$C29)-ROW(RoadList)),"")</f>
        <v/>
      </c>
      <c r="P29" s="6" t="str">
        <f t="array" ref="P29">IFERROR(INDEX($B$24:$B$612,SMALL(IF($A$24:$A$612=P$23,ROW(Roads!$A$24:$A$612)),Roads!$C29)-ROW(RoadList)),"")</f>
        <v/>
      </c>
      <c r="Q29" s="6" t="str">
        <f t="array" ref="Q29">IFERROR(INDEX($B$24:$B$612,SMALL(IF($A$24:$A$612=Q$23,ROW(Roads!$A$24:$A$612)),Roads!$C29)-ROW(RoadList)),"")</f>
        <v/>
      </c>
      <c r="R29" s="6" t="str">
        <f t="array" ref="R29">IFERROR(INDEX($B$24:$B$612,SMALL(IF($A$24:$A$612=R$23,ROW(Roads!$A$24:$A$612)),Roads!$C29)-ROW(RoadList)),"")</f>
        <v/>
      </c>
      <c r="S29" s="6"/>
      <c r="V29" s="1" t="s">
        <v>10</v>
      </c>
      <c r="W29" s="3">
        <v>10</v>
      </c>
      <c r="X29" s="3">
        <v>10</v>
      </c>
      <c r="Y29" s="3">
        <v>10</v>
      </c>
      <c r="Z29" s="3">
        <v>10</v>
      </c>
      <c r="AA29" s="3">
        <v>10</v>
      </c>
      <c r="AB29" s="3">
        <v>10</v>
      </c>
      <c r="AC29" s="3">
        <v>10</v>
      </c>
      <c r="AD29" s="3">
        <v>10</v>
      </c>
      <c r="AE29" s="3">
        <v>10</v>
      </c>
      <c r="AF29" s="3">
        <v>10</v>
      </c>
      <c r="AG29" s="3">
        <v>10</v>
      </c>
      <c r="AH29" s="3">
        <v>10</v>
      </c>
      <c r="AI29" s="3">
        <v>10</v>
      </c>
      <c r="AJ29" s="3">
        <v>10</v>
      </c>
      <c r="AK29" s="3">
        <v>10</v>
      </c>
      <c r="AL29" s="3"/>
      <c r="AM29" s="2"/>
      <c r="AN29" s="2"/>
      <c r="AO29" s="2"/>
      <c r="AP29" s="2"/>
      <c r="AQ29" s="2"/>
      <c r="AR29" s="2"/>
      <c r="AS29" s="2"/>
      <c r="AT29" s="2"/>
      <c r="AU29" s="2"/>
      <c r="AV29" s="2"/>
      <c r="AX29" s="1" t="s">
        <v>9</v>
      </c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6">
      <c r="A30" s="5" t="s">
        <v>158</v>
      </c>
      <c r="B30" s="5" t="s">
        <v>5</v>
      </c>
      <c r="C30" s="6">
        <f t="shared" si="54"/>
        <v>7</v>
      </c>
      <c r="D30" s="6" t="str">
        <f t="array" ref="D30">IFERROR(INDEX($B$24:$B$612,SMALL(IF($A$24:$A$612=D$23,ROW(Roads!$A$24:$A$612)),Roads!$C30)-ROW(RoadList)),"")</f>
        <v/>
      </c>
      <c r="E30" s="6" t="str">
        <f t="array" ref="E30">IFERROR(INDEX($B$24:$B$612,SMALL(IF($A$24:$A$612=E$23,ROW(Roads!$A$24:$A$612)),Roads!$C30)-ROW(RoadList)),"")</f>
        <v/>
      </c>
      <c r="F30" s="6" t="str">
        <f t="array" ref="F30">IFERROR(INDEX($B$24:$B$612,SMALL(IF($A$24:$A$612=F$23,ROW(Roads!$A$24:$A$612)),Roads!$C30)-ROW(RoadList)),"")</f>
        <v/>
      </c>
      <c r="G30" s="6" t="str">
        <f t="array" ref="G30">IFERROR(INDEX($B$24:$B$612,SMALL(IF($A$24:$A$612=G$23,ROW(Roads!$A$24:$A$612)),Roads!$C30)-ROW(RoadList)),"")</f>
        <v/>
      </c>
      <c r="H30" s="6" t="str">
        <f t="array" ref="H30">IFERROR(INDEX($B$24:$B$612,SMALL(IF($A$24:$A$612=H$23,ROW(Roads!$A$24:$A$612)),Roads!$C30)-ROW(RoadList)),"")</f>
        <v/>
      </c>
      <c r="I30" s="6" t="str">
        <f t="array" ref="I30">IFERROR(INDEX($B$24:$B$612,SMALL(IF($A$24:$A$612=I$23,ROW(Roads!$A$24:$A$612)),Roads!$C30)-ROW(RoadList)),"")</f>
        <v/>
      </c>
      <c r="J30" s="6" t="str">
        <f t="array" ref="J30">IFERROR(INDEX($B$24:$B$612,SMALL(IF($A$24:$A$612=J$23,ROW(Roads!$A$24:$A$612)),Roads!$C30)-ROW(RoadList)),"")</f>
        <v/>
      </c>
      <c r="K30" s="6" t="str">
        <f t="array" ref="K30">IFERROR(INDEX($B$24:$B$612,SMALL(IF($A$24:$A$612=K$23,ROW(Roads!$A$24:$A$612)),Roads!$C30)-ROW(RoadList)),"")</f>
        <v/>
      </c>
      <c r="L30" s="6" t="str">
        <f t="array" ref="L30">IFERROR(INDEX($B$24:$B$612,SMALL(IF($A$24:$A$612=L$23,ROW(Roads!$A$24:$A$612)),Roads!$C30)-ROW(RoadList)),"")</f>
        <v/>
      </c>
      <c r="M30" s="6" t="str">
        <f t="array" ref="M30">IFERROR(INDEX($B$24:$B$612,SMALL(IF($A$24:$A$612=M$23,ROW(Roads!$A$24:$A$612)),Roads!$C30)-ROW(RoadList)),"")</f>
        <v/>
      </c>
      <c r="N30" s="6" t="str">
        <f t="array" ref="N30">IFERROR(INDEX($B$24:$B$612,SMALL(IF($A$24:$A$612=N$23,ROW(Roads!$A$24:$A$612)),Roads!$C30)-ROW(RoadList)),"")</f>
        <v/>
      </c>
      <c r="O30" s="6" t="str">
        <f t="array" ref="O30">IFERROR(INDEX($B$24:$B$612,SMALL(IF($A$24:$A$612=O$23,ROW(Roads!$A$24:$A$612)),Roads!$C30)-ROW(RoadList)),"")</f>
        <v/>
      </c>
      <c r="P30" s="6" t="str">
        <f t="array" ref="P30">IFERROR(INDEX($B$24:$B$612,SMALL(IF($A$24:$A$612=P$23,ROW(Roads!$A$24:$A$612)),Roads!$C30)-ROW(RoadList)),"")</f>
        <v/>
      </c>
      <c r="Q30" s="6" t="str">
        <f t="array" ref="Q30">IFERROR(INDEX($B$24:$B$612,SMALL(IF($A$24:$A$612=Q$23,ROW(Roads!$A$24:$A$612)),Roads!$C30)-ROW(RoadList)),"")</f>
        <v/>
      </c>
      <c r="R30" s="6" t="str">
        <f t="array" ref="R30">IFERROR(INDEX($B$24:$B$612,SMALL(IF($A$24:$A$612=R$23,ROW(Roads!$A$24:$A$612)),Roads!$C30)-ROW(RoadList)),"")</f>
        <v/>
      </c>
      <c r="S30" s="6"/>
      <c r="V30" s="1" t="s">
        <v>160</v>
      </c>
      <c r="W30" s="3">
        <v>10</v>
      </c>
      <c r="X30" s="3">
        <v>10</v>
      </c>
      <c r="Y30" s="3">
        <v>10</v>
      </c>
      <c r="Z30" s="3">
        <v>10</v>
      </c>
      <c r="AA30" s="3">
        <v>10</v>
      </c>
      <c r="AB30" s="3">
        <v>10</v>
      </c>
      <c r="AC30" s="3">
        <v>10</v>
      </c>
      <c r="AD30" s="3">
        <v>10</v>
      </c>
      <c r="AE30" s="3">
        <v>10</v>
      </c>
      <c r="AF30" s="3">
        <v>10</v>
      </c>
      <c r="AG30" s="3">
        <v>10</v>
      </c>
      <c r="AH30" s="3">
        <v>10</v>
      </c>
      <c r="AI30" s="3">
        <v>10</v>
      </c>
      <c r="AJ30" s="3">
        <v>10</v>
      </c>
      <c r="AK30" s="3">
        <v>10</v>
      </c>
      <c r="AL30" s="3"/>
      <c r="AM30" s="2"/>
      <c r="AN30" s="2"/>
      <c r="AO30" s="2"/>
      <c r="AP30" s="2"/>
      <c r="AQ30" s="2"/>
      <c r="AR30" s="2"/>
      <c r="AS30" s="2"/>
      <c r="AT30" s="2"/>
      <c r="AU30" s="2"/>
      <c r="AV30" s="2"/>
      <c r="AX30" s="1" t="s">
        <v>10</v>
      </c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6">
      <c r="A31" s="5" t="s">
        <v>164</v>
      </c>
      <c r="B31" s="5" t="s">
        <v>158</v>
      </c>
      <c r="C31" s="6">
        <f t="shared" si="54"/>
        <v>8</v>
      </c>
      <c r="D31" s="6" t="str">
        <f t="array" ref="D31">IFERROR(INDEX($B$24:$B$612,SMALL(IF($A$24:$A$612=D$23,ROW(Roads!$A$24:$A$612)),Roads!$C31)-ROW(RoadList)),"")</f>
        <v/>
      </c>
      <c r="E31" s="6" t="str">
        <f t="array" ref="E31">IFERROR(INDEX($B$24:$B$612,SMALL(IF($A$24:$A$612=E$23,ROW(Roads!$A$24:$A$612)),Roads!$C31)-ROW(RoadList)),"")</f>
        <v/>
      </c>
      <c r="F31" s="6" t="str">
        <f t="array" ref="F31">IFERROR(INDEX($B$24:$B$612,SMALL(IF($A$24:$A$612=F$23,ROW(Roads!$A$24:$A$612)),Roads!$C31)-ROW(RoadList)),"")</f>
        <v/>
      </c>
      <c r="G31" s="6" t="str">
        <f t="array" ref="G31">IFERROR(INDEX($B$24:$B$612,SMALL(IF($A$24:$A$612=G$23,ROW(Roads!$A$24:$A$612)),Roads!$C31)-ROW(RoadList)),"")</f>
        <v/>
      </c>
      <c r="H31" s="6" t="str">
        <f t="array" ref="H31">IFERROR(INDEX($B$24:$B$612,SMALL(IF($A$24:$A$612=H$23,ROW(Roads!$A$24:$A$612)),Roads!$C31)-ROW(RoadList)),"")</f>
        <v/>
      </c>
      <c r="I31" s="6" t="str">
        <f t="array" ref="I31">IFERROR(INDEX($B$24:$B$612,SMALL(IF($A$24:$A$612=I$23,ROW(Roads!$A$24:$A$612)),Roads!$C31)-ROW(RoadList)),"")</f>
        <v/>
      </c>
      <c r="J31" s="6" t="str">
        <f t="array" ref="J31">IFERROR(INDEX($B$24:$B$612,SMALL(IF($A$24:$A$612=J$23,ROW(Roads!$A$24:$A$612)),Roads!$C31)-ROW(RoadList)),"")</f>
        <v/>
      </c>
      <c r="K31" s="6" t="str">
        <f t="array" ref="K31">IFERROR(INDEX($B$24:$B$612,SMALL(IF($A$24:$A$612=K$23,ROW(Roads!$A$24:$A$612)),Roads!$C31)-ROW(RoadList)),"")</f>
        <v/>
      </c>
      <c r="L31" s="6" t="str">
        <f t="array" ref="L31">IFERROR(INDEX($B$24:$B$612,SMALL(IF($A$24:$A$612=L$23,ROW(Roads!$A$24:$A$612)),Roads!$C31)-ROW(RoadList)),"")</f>
        <v/>
      </c>
      <c r="M31" s="6" t="str">
        <f t="array" ref="M31">IFERROR(INDEX($B$24:$B$612,SMALL(IF($A$24:$A$612=M$23,ROW(Roads!$A$24:$A$612)),Roads!$C31)-ROW(RoadList)),"")</f>
        <v/>
      </c>
      <c r="N31" s="6" t="str">
        <f t="array" ref="N31">IFERROR(INDEX($B$24:$B$612,SMALL(IF($A$24:$A$612=N$23,ROW(Roads!$A$24:$A$612)),Roads!$C31)-ROW(RoadList)),"")</f>
        <v/>
      </c>
      <c r="O31" s="6" t="str">
        <f t="array" ref="O31">IFERROR(INDEX($B$24:$B$612,SMALL(IF($A$24:$A$612=O$23,ROW(Roads!$A$24:$A$612)),Roads!$C31)-ROW(RoadList)),"")</f>
        <v/>
      </c>
      <c r="P31" s="6" t="str">
        <f t="array" ref="P31">IFERROR(INDEX($B$24:$B$612,SMALL(IF($A$24:$A$612=P$23,ROW(Roads!$A$24:$A$612)),Roads!$C31)-ROW(RoadList)),"")</f>
        <v/>
      </c>
      <c r="Q31" s="6" t="str">
        <f t="array" ref="Q31">IFERROR(INDEX($B$24:$B$612,SMALL(IF($A$24:$A$612=Q$23,ROW(Roads!$A$24:$A$612)),Roads!$C31)-ROW(RoadList)),"")</f>
        <v/>
      </c>
      <c r="R31" s="6" t="str">
        <f t="array" ref="R31">IFERROR(INDEX($B$24:$B$612,SMALL(IF($A$24:$A$612=R$23,ROW(Roads!$A$24:$A$612)),Roads!$C31)-ROW(RoadList)),"")</f>
        <v/>
      </c>
      <c r="S31" s="6"/>
      <c r="V31" s="1" t="s">
        <v>161</v>
      </c>
      <c r="W31" s="3">
        <v>10</v>
      </c>
      <c r="X31" s="3">
        <v>10</v>
      </c>
      <c r="Y31" s="3">
        <v>10</v>
      </c>
      <c r="Z31" s="3">
        <v>10</v>
      </c>
      <c r="AA31" s="3">
        <v>10</v>
      </c>
      <c r="AB31" s="3">
        <v>10</v>
      </c>
      <c r="AC31" s="3">
        <v>10</v>
      </c>
      <c r="AD31" s="3">
        <v>10</v>
      </c>
      <c r="AE31" s="3">
        <v>10</v>
      </c>
      <c r="AF31" s="3">
        <v>10</v>
      </c>
      <c r="AG31" s="3">
        <v>10</v>
      </c>
      <c r="AH31" s="3">
        <v>10</v>
      </c>
      <c r="AI31" s="3">
        <v>10</v>
      </c>
      <c r="AJ31" s="3">
        <v>10</v>
      </c>
      <c r="AK31" s="3">
        <v>10</v>
      </c>
      <c r="AL31" s="3"/>
      <c r="AM31" s="2"/>
      <c r="AN31" s="2"/>
      <c r="AO31" s="2"/>
      <c r="AP31" s="2"/>
      <c r="AQ31" s="2"/>
      <c r="AR31" s="2"/>
      <c r="AS31" s="2"/>
      <c r="AT31" s="2"/>
      <c r="AU31" s="2"/>
      <c r="AV31" s="2"/>
      <c r="AX31" s="1" t="s">
        <v>160</v>
      </c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spans="1:66">
      <c r="A32" s="5" t="s">
        <v>164</v>
      </c>
      <c r="B32" s="5" t="s">
        <v>163</v>
      </c>
      <c r="C32" s="6">
        <f t="shared" si="54"/>
        <v>9</v>
      </c>
      <c r="D32" s="6" t="str">
        <f t="array" ref="D32">IFERROR(INDEX($B$24:$B$612,SMALL(IF($A$24:$A$612=D$23,ROW(Roads!$A$24:$A$612)),Roads!$C32)-ROW(RoadList)),"")</f>
        <v/>
      </c>
      <c r="E32" s="6" t="str">
        <f t="array" ref="E32">IFERROR(INDEX($B$24:$B$612,SMALL(IF($A$24:$A$612=E$23,ROW(Roads!$A$24:$A$612)),Roads!$C32)-ROW(RoadList)),"")</f>
        <v/>
      </c>
      <c r="F32" s="6" t="str">
        <f t="array" ref="F32">IFERROR(INDEX($B$24:$B$612,SMALL(IF($A$24:$A$612=F$23,ROW(Roads!$A$24:$A$612)),Roads!$C32)-ROW(RoadList)),"")</f>
        <v/>
      </c>
      <c r="G32" s="6" t="str">
        <f t="array" ref="G32">IFERROR(INDEX($B$24:$B$612,SMALL(IF($A$24:$A$612=G$23,ROW(Roads!$A$24:$A$612)),Roads!$C32)-ROW(RoadList)),"")</f>
        <v/>
      </c>
      <c r="H32" s="6" t="str">
        <f t="array" ref="H32">IFERROR(INDEX($B$24:$B$612,SMALL(IF($A$24:$A$612=H$23,ROW(Roads!$A$24:$A$612)),Roads!$C32)-ROW(RoadList)),"")</f>
        <v/>
      </c>
      <c r="I32" s="6" t="str">
        <f t="array" ref="I32">IFERROR(INDEX($B$24:$B$612,SMALL(IF($A$24:$A$612=I$23,ROW(Roads!$A$24:$A$612)),Roads!$C32)-ROW(RoadList)),"")</f>
        <v/>
      </c>
      <c r="J32" s="6" t="str">
        <f t="array" ref="J32">IFERROR(INDEX($B$24:$B$612,SMALL(IF($A$24:$A$612=J$23,ROW(Roads!$A$24:$A$612)),Roads!$C32)-ROW(RoadList)),"")</f>
        <v/>
      </c>
      <c r="K32" s="6" t="str">
        <f t="array" ref="K32">IFERROR(INDEX($B$24:$B$612,SMALL(IF($A$24:$A$612=K$23,ROW(Roads!$A$24:$A$612)),Roads!$C32)-ROW(RoadList)),"")</f>
        <v/>
      </c>
      <c r="L32" s="6" t="str">
        <f t="array" ref="L32">IFERROR(INDEX($B$24:$B$612,SMALL(IF($A$24:$A$612=L$23,ROW(Roads!$A$24:$A$612)),Roads!$C32)-ROW(RoadList)),"")</f>
        <v/>
      </c>
      <c r="M32" s="6" t="str">
        <f t="array" ref="M32">IFERROR(INDEX($B$24:$B$612,SMALL(IF($A$24:$A$612=M$23,ROW(Roads!$A$24:$A$612)),Roads!$C32)-ROW(RoadList)),"")</f>
        <v/>
      </c>
      <c r="N32" s="6" t="str">
        <f t="array" ref="N32">IFERROR(INDEX($B$24:$B$612,SMALL(IF($A$24:$A$612=N$23,ROW(Roads!$A$24:$A$612)),Roads!$C32)-ROW(RoadList)),"")</f>
        <v/>
      </c>
      <c r="O32" s="6" t="str">
        <f t="array" ref="O32">IFERROR(INDEX($B$24:$B$612,SMALL(IF($A$24:$A$612=O$23,ROW(Roads!$A$24:$A$612)),Roads!$C32)-ROW(RoadList)),"")</f>
        <v/>
      </c>
      <c r="P32" s="6" t="str">
        <f t="array" ref="P32">IFERROR(INDEX($B$24:$B$612,SMALL(IF($A$24:$A$612=P$23,ROW(Roads!$A$24:$A$612)),Roads!$C32)-ROW(RoadList)),"")</f>
        <v/>
      </c>
      <c r="Q32" s="6" t="str">
        <f t="array" ref="Q32">IFERROR(INDEX($B$24:$B$612,SMALL(IF($A$24:$A$612=Q$23,ROW(Roads!$A$24:$A$612)),Roads!$C32)-ROW(RoadList)),"")</f>
        <v/>
      </c>
      <c r="R32" s="6" t="str">
        <f t="array" ref="R32">IFERROR(INDEX($B$24:$B$612,SMALL(IF($A$24:$A$612=R$23,ROW(Roads!$A$24:$A$612)),Roads!$C32)-ROW(RoadList)),"")</f>
        <v/>
      </c>
      <c r="S32" s="6"/>
      <c r="V32" s="1" t="s">
        <v>162</v>
      </c>
      <c r="W32" s="3">
        <v>10</v>
      </c>
      <c r="X32" s="3">
        <v>10</v>
      </c>
      <c r="Y32" s="3">
        <v>10</v>
      </c>
      <c r="Z32" s="3">
        <v>10</v>
      </c>
      <c r="AA32" s="3">
        <v>10</v>
      </c>
      <c r="AB32" s="3">
        <v>10</v>
      </c>
      <c r="AC32" s="3">
        <v>10</v>
      </c>
      <c r="AD32" s="3">
        <v>10</v>
      </c>
      <c r="AE32" s="3">
        <v>10</v>
      </c>
      <c r="AF32" s="3">
        <v>10</v>
      </c>
      <c r="AG32" s="3">
        <v>10</v>
      </c>
      <c r="AH32" s="3">
        <v>10</v>
      </c>
      <c r="AI32" s="3">
        <v>10</v>
      </c>
      <c r="AJ32" s="3">
        <v>10</v>
      </c>
      <c r="AK32" s="3">
        <v>10</v>
      </c>
      <c r="AL32" s="3"/>
      <c r="AM32" s="2"/>
      <c r="AN32" s="2"/>
      <c r="AO32" s="2"/>
      <c r="AP32" s="2"/>
      <c r="AQ32" s="2"/>
      <c r="AR32" s="2"/>
      <c r="AS32" s="2"/>
      <c r="AT32" s="2"/>
      <c r="AU32" s="2"/>
      <c r="AV32" s="2"/>
      <c r="AX32" s="1" t="s">
        <v>161</v>
      </c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spans="1:61">
      <c r="A33" s="5" t="s">
        <v>165</v>
      </c>
      <c r="B33" s="5" t="s">
        <v>10</v>
      </c>
      <c r="C33" s="6">
        <f t="shared" si="54"/>
        <v>10</v>
      </c>
      <c r="D33" s="6" t="str">
        <f t="array" ref="D33">IFERROR(INDEX($B$24:$B$612,SMALL(IF($A$24:$A$612=D$23,ROW(Roads!$A$24:$A$612)),Roads!$C33)-ROW(RoadList)),"")</f>
        <v/>
      </c>
      <c r="E33" s="6" t="str">
        <f t="array" ref="E33">IFERROR(INDEX($B$24:$B$612,SMALL(IF($A$24:$A$612=E$23,ROW(Roads!$A$24:$A$612)),Roads!$C33)-ROW(RoadList)),"")</f>
        <v/>
      </c>
      <c r="F33" s="6" t="str">
        <f t="array" ref="F33">IFERROR(INDEX($B$24:$B$612,SMALL(IF($A$24:$A$612=F$23,ROW(Roads!$A$24:$A$612)),Roads!$C33)-ROW(RoadList)),"")</f>
        <v/>
      </c>
      <c r="G33" s="6" t="str">
        <f t="array" ref="G33">IFERROR(INDEX($B$24:$B$612,SMALL(IF($A$24:$A$612=G$23,ROW(Roads!$A$24:$A$612)),Roads!$C33)-ROW(RoadList)),"")</f>
        <v/>
      </c>
      <c r="H33" s="6" t="str">
        <f t="array" ref="H33">IFERROR(INDEX($B$24:$B$612,SMALL(IF($A$24:$A$612=H$23,ROW(Roads!$A$24:$A$612)),Roads!$C33)-ROW(RoadList)),"")</f>
        <v/>
      </c>
      <c r="I33" s="6" t="str">
        <f t="array" ref="I33">IFERROR(INDEX($B$24:$B$612,SMALL(IF($A$24:$A$612=I$23,ROW(Roads!$A$24:$A$612)),Roads!$C33)-ROW(RoadList)),"")</f>
        <v/>
      </c>
      <c r="J33" s="6" t="str">
        <f t="array" ref="J33">IFERROR(INDEX($B$24:$B$612,SMALL(IF($A$24:$A$612=J$23,ROW(Roads!$A$24:$A$612)),Roads!$C33)-ROW(RoadList)),"")</f>
        <v/>
      </c>
      <c r="K33" s="6" t="str">
        <f t="array" ref="K33">IFERROR(INDEX($B$24:$B$612,SMALL(IF($A$24:$A$612=K$23,ROW(Roads!$A$24:$A$612)),Roads!$C33)-ROW(RoadList)),"")</f>
        <v/>
      </c>
      <c r="L33" s="6" t="str">
        <f t="array" ref="L33">IFERROR(INDEX($B$24:$B$612,SMALL(IF($A$24:$A$612=L$23,ROW(Roads!$A$24:$A$612)),Roads!$C33)-ROW(RoadList)),"")</f>
        <v/>
      </c>
      <c r="M33" s="6" t="str">
        <f t="array" ref="M33">IFERROR(INDEX($B$24:$B$612,SMALL(IF($A$24:$A$612=M$23,ROW(Roads!$A$24:$A$612)),Roads!$C33)-ROW(RoadList)),"")</f>
        <v/>
      </c>
      <c r="N33" s="6" t="str">
        <f t="array" ref="N33">IFERROR(INDEX($B$24:$B$612,SMALL(IF($A$24:$A$612=N$23,ROW(Roads!$A$24:$A$612)),Roads!$C33)-ROW(RoadList)),"")</f>
        <v/>
      </c>
      <c r="O33" s="6" t="str">
        <f t="array" ref="O33">IFERROR(INDEX($B$24:$B$612,SMALL(IF($A$24:$A$612=O$23,ROW(Roads!$A$24:$A$612)),Roads!$C33)-ROW(RoadList)),"")</f>
        <v/>
      </c>
      <c r="P33" s="6" t="str">
        <f t="array" ref="P33">IFERROR(INDEX($B$24:$B$612,SMALL(IF($A$24:$A$612=P$23,ROW(Roads!$A$24:$A$612)),Roads!$C33)-ROW(RoadList)),"")</f>
        <v/>
      </c>
      <c r="Q33" s="6" t="str">
        <f t="array" ref="Q33">IFERROR(INDEX($B$24:$B$612,SMALL(IF($A$24:$A$612=Q$23,ROW(Roads!$A$24:$A$612)),Roads!$C33)-ROW(RoadList)),"")</f>
        <v/>
      </c>
      <c r="R33" s="6" t="str">
        <f t="array" ref="R33">IFERROR(INDEX($B$24:$B$612,SMALL(IF($A$24:$A$612=R$23,ROW(Roads!$A$24:$A$612)),Roads!$C33)-ROW(RoadList)),"")</f>
        <v/>
      </c>
      <c r="S33" s="6"/>
      <c r="V33" s="1" t="s">
        <v>163</v>
      </c>
      <c r="W33" s="3">
        <v>10</v>
      </c>
      <c r="X33" s="3">
        <v>10</v>
      </c>
      <c r="Y33" s="3">
        <v>10</v>
      </c>
      <c r="Z33" s="3">
        <v>10</v>
      </c>
      <c r="AA33" s="3">
        <v>10</v>
      </c>
      <c r="AB33" s="3">
        <v>10</v>
      </c>
      <c r="AC33" s="3">
        <v>10</v>
      </c>
      <c r="AD33" s="3">
        <v>10</v>
      </c>
      <c r="AE33" s="3">
        <v>10</v>
      </c>
      <c r="AF33" s="3">
        <v>10</v>
      </c>
      <c r="AG33" s="3">
        <v>10</v>
      </c>
      <c r="AH33" s="3">
        <v>10</v>
      </c>
      <c r="AI33" s="3">
        <v>10</v>
      </c>
      <c r="AJ33" s="3">
        <v>10</v>
      </c>
      <c r="AK33" s="3">
        <v>10</v>
      </c>
      <c r="AL33" s="3"/>
      <c r="AM33" s="2"/>
      <c r="AN33" s="2"/>
      <c r="AO33" s="2"/>
      <c r="AP33" s="2"/>
      <c r="AQ33" s="2"/>
      <c r="AR33" s="2"/>
      <c r="AS33" s="2"/>
      <c r="AT33" s="2"/>
      <c r="AU33" s="2"/>
      <c r="AV33" s="2"/>
      <c r="AX33" s="1" t="s">
        <v>162</v>
      </c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spans="1:61">
      <c r="A34" s="5" t="s">
        <v>165</v>
      </c>
      <c r="B34" s="5" t="s">
        <v>162</v>
      </c>
      <c r="C34" s="6">
        <f t="shared" si="54"/>
        <v>11</v>
      </c>
      <c r="D34" s="6" t="str">
        <f t="array" ref="D34">IFERROR(INDEX($B$24:$B$612,SMALL(IF($A$24:$A$612=D$23,ROW(Roads!$A$24:$A$612)),Roads!$C34)-ROW(RoadList)),"")</f>
        <v/>
      </c>
      <c r="E34" s="6" t="str">
        <f t="array" ref="E34">IFERROR(INDEX($B$24:$B$612,SMALL(IF($A$24:$A$612=E$23,ROW(Roads!$A$24:$A$612)),Roads!$C34)-ROW(RoadList)),"")</f>
        <v/>
      </c>
      <c r="F34" s="6" t="str">
        <f t="array" ref="F34">IFERROR(INDEX($B$24:$B$612,SMALL(IF($A$24:$A$612=F$23,ROW(Roads!$A$24:$A$612)),Roads!$C34)-ROW(RoadList)),"")</f>
        <v/>
      </c>
      <c r="G34" s="6" t="str">
        <f t="array" ref="G34">IFERROR(INDEX($B$24:$B$612,SMALL(IF($A$24:$A$612=G$23,ROW(Roads!$A$24:$A$612)),Roads!$C34)-ROW(RoadList)),"")</f>
        <v/>
      </c>
      <c r="H34" s="6" t="str">
        <f t="array" ref="H34">IFERROR(INDEX($B$24:$B$612,SMALL(IF($A$24:$A$612=H$23,ROW(Roads!$A$24:$A$612)),Roads!$C34)-ROW(RoadList)),"")</f>
        <v/>
      </c>
      <c r="I34" s="6" t="str">
        <f t="array" ref="I34">IFERROR(INDEX($B$24:$B$612,SMALL(IF($A$24:$A$612=I$23,ROW(Roads!$A$24:$A$612)),Roads!$C34)-ROW(RoadList)),"")</f>
        <v/>
      </c>
      <c r="J34" s="6" t="str">
        <f t="array" ref="J34">IFERROR(INDEX($B$24:$B$612,SMALL(IF($A$24:$A$612=J$23,ROW(Roads!$A$24:$A$612)),Roads!$C34)-ROW(RoadList)),"")</f>
        <v/>
      </c>
      <c r="K34" s="6" t="str">
        <f t="array" ref="K34">IFERROR(INDEX($B$24:$B$612,SMALL(IF($A$24:$A$612=K$23,ROW(Roads!$A$24:$A$612)),Roads!$C34)-ROW(RoadList)),"")</f>
        <v/>
      </c>
      <c r="L34" s="6" t="str">
        <f t="array" ref="L34">IFERROR(INDEX($B$24:$B$612,SMALL(IF($A$24:$A$612=L$23,ROW(Roads!$A$24:$A$612)),Roads!$C34)-ROW(RoadList)),"")</f>
        <v/>
      </c>
      <c r="M34" s="6" t="str">
        <f t="array" ref="M34">IFERROR(INDEX($B$24:$B$612,SMALL(IF($A$24:$A$612=M$23,ROW(Roads!$A$24:$A$612)),Roads!$C34)-ROW(RoadList)),"")</f>
        <v/>
      </c>
      <c r="N34" s="6" t="str">
        <f t="array" ref="N34">IFERROR(INDEX($B$24:$B$612,SMALL(IF($A$24:$A$612=N$23,ROW(Roads!$A$24:$A$612)),Roads!$C34)-ROW(RoadList)),"")</f>
        <v/>
      </c>
      <c r="O34" s="6" t="str">
        <f t="array" ref="O34">IFERROR(INDEX($B$24:$B$612,SMALL(IF($A$24:$A$612=O$23,ROW(Roads!$A$24:$A$612)),Roads!$C34)-ROW(RoadList)),"")</f>
        <v/>
      </c>
      <c r="P34" s="6" t="str">
        <f t="array" ref="P34">IFERROR(INDEX($B$24:$B$612,SMALL(IF($A$24:$A$612=P$23,ROW(Roads!$A$24:$A$612)),Roads!$C34)-ROW(RoadList)),"")</f>
        <v/>
      </c>
      <c r="Q34" s="6" t="str">
        <f t="array" ref="Q34">IFERROR(INDEX($B$24:$B$612,SMALL(IF($A$24:$A$612=Q$23,ROW(Roads!$A$24:$A$612)),Roads!$C34)-ROW(RoadList)),"")</f>
        <v/>
      </c>
      <c r="R34" s="6" t="str">
        <f t="array" ref="R34">IFERROR(INDEX($B$24:$B$612,SMALL(IF($A$24:$A$612=R$23,ROW(Roads!$A$24:$A$612)),Roads!$C34)-ROW(RoadList)),"")</f>
        <v/>
      </c>
      <c r="S34" s="6"/>
      <c r="V34" s="1" t="s">
        <v>164</v>
      </c>
      <c r="W34" s="3">
        <v>10</v>
      </c>
      <c r="X34" s="3">
        <v>10</v>
      </c>
      <c r="Y34" s="3">
        <v>10</v>
      </c>
      <c r="Z34" s="3">
        <v>10</v>
      </c>
      <c r="AA34" s="3">
        <v>10</v>
      </c>
      <c r="AB34" s="3">
        <v>10</v>
      </c>
      <c r="AC34" s="3">
        <v>10</v>
      </c>
      <c r="AD34" s="3">
        <v>10</v>
      </c>
      <c r="AE34" s="3">
        <v>10</v>
      </c>
      <c r="AF34" s="3">
        <v>10</v>
      </c>
      <c r="AG34" s="3">
        <v>10</v>
      </c>
      <c r="AH34" s="3">
        <v>10</v>
      </c>
      <c r="AI34" s="3">
        <v>10</v>
      </c>
      <c r="AJ34" s="3">
        <v>10</v>
      </c>
      <c r="AK34" s="3">
        <v>10</v>
      </c>
      <c r="AL34" s="3"/>
      <c r="AM34" s="2"/>
      <c r="AN34" s="2"/>
      <c r="AO34" s="2"/>
      <c r="AP34" s="2"/>
      <c r="AQ34" s="2"/>
      <c r="AR34" s="2"/>
      <c r="AS34" s="2"/>
      <c r="AT34" s="2"/>
      <c r="AU34" s="2"/>
      <c r="AV34" s="2"/>
      <c r="AX34" s="1" t="s">
        <v>163</v>
      </c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spans="1:61">
      <c r="A35" s="5" t="s">
        <v>165</v>
      </c>
      <c r="B35" s="5" t="s">
        <v>5</v>
      </c>
      <c r="C35" s="6">
        <f t="shared" si="54"/>
        <v>12</v>
      </c>
      <c r="D35" s="6" t="str">
        <f t="array" ref="D35">IFERROR(INDEX($B$24:$B$612,SMALL(IF($A$24:$A$612=D$23,ROW(Roads!$A$24:$A$612)),Roads!$C35)-ROW(RoadList)),"")</f>
        <v/>
      </c>
      <c r="E35" s="6" t="str">
        <f t="array" ref="E35">IFERROR(INDEX($B$24:$B$612,SMALL(IF($A$24:$A$612=E$23,ROW(Roads!$A$24:$A$612)),Roads!$C35)-ROW(RoadList)),"")</f>
        <v/>
      </c>
      <c r="F35" s="6" t="str">
        <f t="array" ref="F35">IFERROR(INDEX($B$24:$B$612,SMALL(IF($A$24:$A$612=F$23,ROW(Roads!$A$24:$A$612)),Roads!$C35)-ROW(RoadList)),"")</f>
        <v/>
      </c>
      <c r="G35" s="6" t="str">
        <f t="array" ref="G35">IFERROR(INDEX($B$24:$B$612,SMALL(IF($A$24:$A$612=G$23,ROW(Roads!$A$24:$A$612)),Roads!$C35)-ROW(RoadList)),"")</f>
        <v/>
      </c>
      <c r="H35" s="6" t="str">
        <f t="array" ref="H35">IFERROR(INDEX($B$24:$B$612,SMALL(IF($A$24:$A$612=H$23,ROW(Roads!$A$24:$A$612)),Roads!$C35)-ROW(RoadList)),"")</f>
        <v/>
      </c>
      <c r="I35" s="6" t="str">
        <f t="array" ref="I35">IFERROR(INDEX($B$24:$B$612,SMALL(IF($A$24:$A$612=I$23,ROW(Roads!$A$24:$A$612)),Roads!$C35)-ROW(RoadList)),"")</f>
        <v/>
      </c>
      <c r="J35" s="6" t="str">
        <f t="array" ref="J35">IFERROR(INDEX($B$24:$B$612,SMALL(IF($A$24:$A$612=J$23,ROW(Roads!$A$24:$A$612)),Roads!$C35)-ROW(RoadList)),"")</f>
        <v/>
      </c>
      <c r="K35" s="6" t="str">
        <f t="array" ref="K35">IFERROR(INDEX($B$24:$B$612,SMALL(IF($A$24:$A$612=K$23,ROW(Roads!$A$24:$A$612)),Roads!$C35)-ROW(RoadList)),"")</f>
        <v/>
      </c>
      <c r="L35" s="6" t="str">
        <f t="array" ref="L35">IFERROR(INDEX($B$24:$B$612,SMALL(IF($A$24:$A$612=L$23,ROW(Roads!$A$24:$A$612)),Roads!$C35)-ROW(RoadList)),"")</f>
        <v/>
      </c>
      <c r="M35" s="6" t="str">
        <f t="array" ref="M35">IFERROR(INDEX($B$24:$B$612,SMALL(IF($A$24:$A$612=M$23,ROW(Roads!$A$24:$A$612)),Roads!$C35)-ROW(RoadList)),"")</f>
        <v/>
      </c>
      <c r="N35" s="6" t="str">
        <f t="array" ref="N35">IFERROR(INDEX($B$24:$B$612,SMALL(IF($A$24:$A$612=N$23,ROW(Roads!$A$24:$A$612)),Roads!$C35)-ROW(RoadList)),"")</f>
        <v/>
      </c>
      <c r="O35" s="6" t="str">
        <f t="array" ref="O35">IFERROR(INDEX($B$24:$B$612,SMALL(IF($A$24:$A$612=O$23,ROW(Roads!$A$24:$A$612)),Roads!$C35)-ROW(RoadList)),"")</f>
        <v/>
      </c>
      <c r="P35" s="6" t="str">
        <f t="array" ref="P35">IFERROR(INDEX($B$24:$B$612,SMALL(IF($A$24:$A$612=P$23,ROW(Roads!$A$24:$A$612)),Roads!$C35)-ROW(RoadList)),"")</f>
        <v/>
      </c>
      <c r="Q35" s="6" t="str">
        <f t="array" ref="Q35">IFERROR(INDEX($B$24:$B$612,SMALL(IF($A$24:$A$612=Q$23,ROW(Roads!$A$24:$A$612)),Roads!$C35)-ROW(RoadList)),"")</f>
        <v/>
      </c>
      <c r="R35" s="6" t="str">
        <f t="array" ref="R35">IFERROR(INDEX($B$24:$B$612,SMALL(IF($A$24:$A$612=R$23,ROW(Roads!$A$24:$A$612)),Roads!$C35)-ROW(RoadList)),"")</f>
        <v/>
      </c>
      <c r="S35" s="6"/>
      <c r="V35" s="1" t="s">
        <v>165</v>
      </c>
      <c r="W35" s="3">
        <v>10</v>
      </c>
      <c r="X35" s="3">
        <v>10</v>
      </c>
      <c r="Y35" s="3">
        <v>10</v>
      </c>
      <c r="Z35" s="3">
        <v>10</v>
      </c>
      <c r="AA35" s="3">
        <v>10</v>
      </c>
      <c r="AB35" s="3">
        <v>10</v>
      </c>
      <c r="AC35" s="3">
        <v>10</v>
      </c>
      <c r="AD35" s="3">
        <v>10</v>
      </c>
      <c r="AE35" s="3">
        <v>10</v>
      </c>
      <c r="AF35" s="3">
        <v>10</v>
      </c>
      <c r="AG35" s="3">
        <v>10</v>
      </c>
      <c r="AH35" s="3">
        <v>10</v>
      </c>
      <c r="AI35" s="3">
        <v>10</v>
      </c>
      <c r="AJ35" s="3">
        <v>10</v>
      </c>
      <c r="AK35" s="3">
        <v>10</v>
      </c>
      <c r="AL35" s="3"/>
      <c r="AX35" t="s">
        <v>164</v>
      </c>
    </row>
    <row r="36" spans="1:61">
      <c r="A36" s="5" t="s">
        <v>5</v>
      </c>
      <c r="B36" s="5" t="s">
        <v>165</v>
      </c>
      <c r="C36" s="6">
        <f t="shared" si="54"/>
        <v>13</v>
      </c>
      <c r="D36" s="6" t="str">
        <f t="array" ref="D36">IFERROR(INDEX($B$24:$B$612,SMALL(IF($A$24:$A$612=D$23,ROW(Roads!$A$24:$A$612)),Roads!$C36)-ROW(RoadList)),"")</f>
        <v/>
      </c>
      <c r="E36" s="6" t="str">
        <f t="array" ref="E36">IFERROR(INDEX($B$24:$B$612,SMALL(IF($A$24:$A$612=E$23,ROW(Roads!$A$24:$A$612)),Roads!$C36)-ROW(RoadList)),"")</f>
        <v/>
      </c>
      <c r="F36" s="6" t="str">
        <f t="array" ref="F36">IFERROR(INDEX($B$24:$B$612,SMALL(IF($A$24:$A$612=F$23,ROW(Roads!$A$24:$A$612)),Roads!$C36)-ROW(RoadList)),"")</f>
        <v/>
      </c>
      <c r="G36" s="6" t="str">
        <f t="array" ref="G36">IFERROR(INDEX($B$24:$B$612,SMALL(IF($A$24:$A$612=G$23,ROW(Roads!$A$24:$A$612)),Roads!$C36)-ROW(RoadList)),"")</f>
        <v/>
      </c>
      <c r="H36" s="6" t="str">
        <f t="array" ref="H36">IFERROR(INDEX($B$24:$B$612,SMALL(IF($A$24:$A$612=H$23,ROW(Roads!$A$24:$A$612)),Roads!$C36)-ROW(RoadList)),"")</f>
        <v/>
      </c>
      <c r="I36" s="6" t="str">
        <f t="array" ref="I36">IFERROR(INDEX($B$24:$B$612,SMALL(IF($A$24:$A$612=I$23,ROW(Roads!$A$24:$A$612)),Roads!$C36)-ROW(RoadList)),"")</f>
        <v/>
      </c>
      <c r="J36" s="6" t="str">
        <f t="array" ref="J36">IFERROR(INDEX($B$24:$B$612,SMALL(IF($A$24:$A$612=J$23,ROW(Roads!$A$24:$A$612)),Roads!$C36)-ROW(RoadList)),"")</f>
        <v/>
      </c>
      <c r="K36" s="6" t="str">
        <f t="array" ref="K36">IFERROR(INDEX($B$24:$B$612,SMALL(IF($A$24:$A$612=K$23,ROW(Roads!$A$24:$A$612)),Roads!$C36)-ROW(RoadList)),"")</f>
        <v/>
      </c>
      <c r="L36" s="6" t="str">
        <f t="array" ref="L36">IFERROR(INDEX($B$24:$B$612,SMALL(IF($A$24:$A$612=L$23,ROW(Roads!$A$24:$A$612)),Roads!$C36)-ROW(RoadList)),"")</f>
        <v/>
      </c>
      <c r="M36" s="6" t="str">
        <f t="array" ref="M36">IFERROR(INDEX($B$24:$B$612,SMALL(IF($A$24:$A$612=M$23,ROW(Roads!$A$24:$A$612)),Roads!$C36)-ROW(RoadList)),"")</f>
        <v/>
      </c>
      <c r="N36" s="6" t="str">
        <f t="array" ref="N36">IFERROR(INDEX($B$24:$B$612,SMALL(IF($A$24:$A$612=N$23,ROW(Roads!$A$24:$A$612)),Roads!$C36)-ROW(RoadList)),"")</f>
        <v/>
      </c>
      <c r="O36" s="6" t="str">
        <f t="array" ref="O36">IFERROR(INDEX($B$24:$B$612,SMALL(IF($A$24:$A$612=O$23,ROW(Roads!$A$24:$A$612)),Roads!$C36)-ROW(RoadList)),"")</f>
        <v/>
      </c>
      <c r="P36" s="6" t="str">
        <f t="array" ref="P36">IFERROR(INDEX($B$24:$B$612,SMALL(IF($A$24:$A$612=P$23,ROW(Roads!$A$24:$A$612)),Roads!$C36)-ROW(RoadList)),"")</f>
        <v/>
      </c>
      <c r="Q36" s="6" t="str">
        <f t="array" ref="Q36">IFERROR(INDEX($B$24:$B$612,SMALL(IF($A$24:$A$612=Q$23,ROW(Roads!$A$24:$A$612)),Roads!$C36)-ROW(RoadList)),"")</f>
        <v/>
      </c>
      <c r="R36" s="6" t="str">
        <f t="array" ref="R36">IFERROR(INDEX($B$24:$B$612,SMALL(IF($A$24:$A$612=R$23,ROW(Roads!$A$24:$A$612)),Roads!$C36)-ROW(RoadList)),"")</f>
        <v/>
      </c>
      <c r="S36" s="6"/>
      <c r="V36" s="1" t="s">
        <v>166</v>
      </c>
      <c r="W36" s="3">
        <v>10</v>
      </c>
      <c r="X36" s="3">
        <v>10</v>
      </c>
      <c r="Y36" s="3">
        <v>10</v>
      </c>
      <c r="Z36" s="3">
        <v>10</v>
      </c>
      <c r="AA36" s="3">
        <v>10</v>
      </c>
      <c r="AB36" s="3">
        <v>10</v>
      </c>
      <c r="AC36" s="3">
        <v>10</v>
      </c>
      <c r="AD36" s="3">
        <v>10</v>
      </c>
      <c r="AE36" s="3">
        <v>10</v>
      </c>
      <c r="AF36" s="3">
        <v>10</v>
      </c>
      <c r="AG36" s="3">
        <v>10</v>
      </c>
      <c r="AH36" s="3">
        <v>10</v>
      </c>
      <c r="AI36" s="3">
        <v>10</v>
      </c>
      <c r="AJ36" s="3">
        <v>10</v>
      </c>
      <c r="AK36" s="3">
        <v>10</v>
      </c>
      <c r="AL36" s="3"/>
      <c r="AX36" t="s">
        <v>165</v>
      </c>
    </row>
    <row r="37" spans="1:61">
      <c r="A37" s="5" t="s">
        <v>5</v>
      </c>
      <c r="B37" s="5" t="s">
        <v>158</v>
      </c>
      <c r="C37" s="6">
        <f t="shared" si="54"/>
        <v>14</v>
      </c>
      <c r="D37" s="6" t="str">
        <f t="array" ref="D37">IFERROR(INDEX($B$24:$B$612,SMALL(IF($A$24:$A$612=D$23,ROW(Roads!$A$24:$A$612)),Roads!$C37)-ROW(RoadList)),"")</f>
        <v/>
      </c>
      <c r="E37" s="6" t="str">
        <f t="array" ref="E37">IFERROR(INDEX($B$24:$B$612,SMALL(IF($A$24:$A$612=E$23,ROW(Roads!$A$24:$A$612)),Roads!$C37)-ROW(RoadList)),"")</f>
        <v/>
      </c>
      <c r="F37" s="6" t="str">
        <f t="array" ref="F37">IFERROR(INDEX($B$24:$B$612,SMALL(IF($A$24:$A$612=F$23,ROW(Roads!$A$24:$A$612)),Roads!$C37)-ROW(RoadList)),"")</f>
        <v/>
      </c>
      <c r="G37" s="6" t="str">
        <f t="array" ref="G37">IFERROR(INDEX($B$24:$B$612,SMALL(IF($A$24:$A$612=G$23,ROW(Roads!$A$24:$A$612)),Roads!$C37)-ROW(RoadList)),"")</f>
        <v/>
      </c>
      <c r="H37" s="6" t="str">
        <f t="array" ref="H37">IFERROR(INDEX($B$24:$B$612,SMALL(IF($A$24:$A$612=H$23,ROW(Roads!$A$24:$A$612)),Roads!$C37)-ROW(RoadList)),"")</f>
        <v/>
      </c>
      <c r="I37" s="6" t="str">
        <f t="array" ref="I37">IFERROR(INDEX($B$24:$B$612,SMALL(IF($A$24:$A$612=I$23,ROW(Roads!$A$24:$A$612)),Roads!$C37)-ROW(RoadList)),"")</f>
        <v/>
      </c>
      <c r="J37" s="6" t="str">
        <f t="array" ref="J37">IFERROR(INDEX($B$24:$B$612,SMALL(IF($A$24:$A$612=J$23,ROW(Roads!$A$24:$A$612)),Roads!$C37)-ROW(RoadList)),"")</f>
        <v/>
      </c>
      <c r="K37" s="6" t="str">
        <f t="array" ref="K37">IFERROR(INDEX($B$24:$B$612,SMALL(IF($A$24:$A$612=K$23,ROW(Roads!$A$24:$A$612)),Roads!$C37)-ROW(RoadList)),"")</f>
        <v/>
      </c>
      <c r="L37" s="6" t="str">
        <f t="array" ref="L37">IFERROR(INDEX($B$24:$B$612,SMALL(IF($A$24:$A$612=L$23,ROW(Roads!$A$24:$A$612)),Roads!$C37)-ROW(RoadList)),"")</f>
        <v/>
      </c>
      <c r="M37" s="6" t="str">
        <f t="array" ref="M37">IFERROR(INDEX($B$24:$B$612,SMALL(IF($A$24:$A$612=M$23,ROW(Roads!$A$24:$A$612)),Roads!$C37)-ROW(RoadList)),"")</f>
        <v/>
      </c>
      <c r="N37" s="6" t="str">
        <f t="array" ref="N37">IFERROR(INDEX($B$24:$B$612,SMALL(IF($A$24:$A$612=N$23,ROW(Roads!$A$24:$A$612)),Roads!$C37)-ROW(RoadList)),"")</f>
        <v/>
      </c>
      <c r="O37" s="6" t="str">
        <f t="array" ref="O37">IFERROR(INDEX($B$24:$B$612,SMALL(IF($A$24:$A$612=O$23,ROW(Roads!$A$24:$A$612)),Roads!$C37)-ROW(RoadList)),"")</f>
        <v/>
      </c>
      <c r="P37" s="6" t="str">
        <f t="array" ref="P37">IFERROR(INDEX($B$24:$B$612,SMALL(IF($A$24:$A$612=P$23,ROW(Roads!$A$24:$A$612)),Roads!$C37)-ROW(RoadList)),"")</f>
        <v/>
      </c>
      <c r="Q37" s="6" t="str">
        <f t="array" ref="Q37">IFERROR(INDEX($B$24:$B$612,SMALL(IF($A$24:$A$612=Q$23,ROW(Roads!$A$24:$A$612)),Roads!$C37)-ROW(RoadList)),"")</f>
        <v/>
      </c>
      <c r="R37" s="6" t="str">
        <f t="array" ref="R37">IFERROR(INDEX($B$24:$B$612,SMALL(IF($A$24:$A$612=R$23,ROW(Roads!$A$24:$A$612)),Roads!$C37)-ROW(RoadList)),"")</f>
        <v/>
      </c>
      <c r="S37" s="6"/>
      <c r="V37" s="1" t="s">
        <v>167</v>
      </c>
      <c r="W37" s="3">
        <v>10</v>
      </c>
      <c r="X37" s="3">
        <v>10</v>
      </c>
      <c r="Y37" s="3">
        <v>10</v>
      </c>
      <c r="Z37" s="3">
        <v>10</v>
      </c>
      <c r="AA37" s="3">
        <v>10</v>
      </c>
      <c r="AB37" s="3">
        <v>10</v>
      </c>
      <c r="AC37" s="3">
        <v>10</v>
      </c>
      <c r="AD37" s="3">
        <v>10</v>
      </c>
      <c r="AE37" s="3">
        <v>10</v>
      </c>
      <c r="AF37" s="3">
        <v>10</v>
      </c>
      <c r="AG37" s="3">
        <v>10</v>
      </c>
      <c r="AH37" s="3">
        <v>10</v>
      </c>
      <c r="AI37" s="3">
        <v>10</v>
      </c>
      <c r="AJ37" s="3">
        <v>10</v>
      </c>
      <c r="AK37" s="3">
        <v>10</v>
      </c>
      <c r="AL37" s="3"/>
      <c r="AX37" t="s">
        <v>166</v>
      </c>
    </row>
    <row r="38" spans="1:61">
      <c r="A38" s="5" t="s">
        <v>5</v>
      </c>
      <c r="B38" s="5" t="s">
        <v>162</v>
      </c>
      <c r="C38" s="6">
        <f t="shared" si="54"/>
        <v>15</v>
      </c>
      <c r="D38" s="6" t="str">
        <f t="array" ref="D38">IFERROR(INDEX($B$24:$B$612,SMALL(IF($A$24:$A$612=D$23,ROW(Roads!$A$24:$A$612)),Roads!$C38)-ROW(RoadList)),"")</f>
        <v/>
      </c>
      <c r="E38" s="6" t="str">
        <f t="array" ref="E38">IFERROR(INDEX($B$24:$B$612,SMALL(IF($A$24:$A$612=E$23,ROW(Roads!$A$24:$A$612)),Roads!$C38)-ROW(RoadList)),"")</f>
        <v/>
      </c>
      <c r="F38" s="6" t="str">
        <f t="array" ref="F38">IFERROR(INDEX($B$24:$B$612,SMALL(IF($A$24:$A$612=F$23,ROW(Roads!$A$24:$A$612)),Roads!$C38)-ROW(RoadList)),"")</f>
        <v/>
      </c>
      <c r="G38" s="6" t="str">
        <f t="array" ref="G38">IFERROR(INDEX($B$24:$B$612,SMALL(IF($A$24:$A$612=G$23,ROW(Roads!$A$24:$A$612)),Roads!$C38)-ROW(RoadList)),"")</f>
        <v/>
      </c>
      <c r="H38" s="6" t="str">
        <f t="array" ref="H38">IFERROR(INDEX($B$24:$B$612,SMALL(IF($A$24:$A$612=H$23,ROW(Roads!$A$24:$A$612)),Roads!$C38)-ROW(RoadList)),"")</f>
        <v/>
      </c>
      <c r="I38" s="6" t="str">
        <f t="array" ref="I38">IFERROR(INDEX($B$24:$B$612,SMALL(IF($A$24:$A$612=I$23,ROW(Roads!$A$24:$A$612)),Roads!$C38)-ROW(RoadList)),"")</f>
        <v/>
      </c>
      <c r="J38" s="6" t="str">
        <f t="array" ref="J38">IFERROR(INDEX($B$24:$B$612,SMALL(IF($A$24:$A$612=J$23,ROW(Roads!$A$24:$A$612)),Roads!$C38)-ROW(RoadList)),"")</f>
        <v/>
      </c>
      <c r="K38" s="6" t="str">
        <f t="array" ref="K38">IFERROR(INDEX($B$24:$B$612,SMALL(IF($A$24:$A$612=K$23,ROW(Roads!$A$24:$A$612)),Roads!$C38)-ROW(RoadList)),"")</f>
        <v/>
      </c>
      <c r="L38" s="6" t="str">
        <f t="array" ref="L38">IFERROR(INDEX($B$24:$B$612,SMALL(IF($A$24:$A$612=L$23,ROW(Roads!$A$24:$A$612)),Roads!$C38)-ROW(RoadList)),"")</f>
        <v/>
      </c>
      <c r="M38" s="6" t="str">
        <f t="array" ref="M38">IFERROR(INDEX($B$24:$B$612,SMALL(IF($A$24:$A$612=M$23,ROW(Roads!$A$24:$A$612)),Roads!$C38)-ROW(RoadList)),"")</f>
        <v/>
      </c>
      <c r="N38" s="6" t="str">
        <f t="array" ref="N38">IFERROR(INDEX($B$24:$B$612,SMALL(IF($A$24:$A$612=N$23,ROW(Roads!$A$24:$A$612)),Roads!$C38)-ROW(RoadList)),"")</f>
        <v/>
      </c>
      <c r="O38" s="6" t="str">
        <f t="array" ref="O38">IFERROR(INDEX($B$24:$B$612,SMALL(IF($A$24:$A$612=O$23,ROW(Roads!$A$24:$A$612)),Roads!$C38)-ROW(RoadList)),"")</f>
        <v/>
      </c>
      <c r="P38" s="6" t="str">
        <f t="array" ref="P38">IFERROR(INDEX($B$24:$B$612,SMALL(IF($A$24:$A$612=P$23,ROW(Roads!$A$24:$A$612)),Roads!$C38)-ROW(RoadList)),"")</f>
        <v/>
      </c>
      <c r="Q38" s="6" t="str">
        <f t="array" ref="Q38">IFERROR(INDEX($B$24:$B$612,SMALL(IF($A$24:$A$612=Q$23,ROW(Roads!$A$24:$A$612)),Roads!$C38)-ROW(RoadList)),"")</f>
        <v/>
      </c>
      <c r="R38" s="6" t="str">
        <f t="array" ref="R38">IFERROR(INDEX($B$24:$B$612,SMALL(IF($A$24:$A$612=R$23,ROW(Roads!$A$24:$A$612)),Roads!$C38)-ROW(RoadList)),"")</f>
        <v/>
      </c>
      <c r="S38" s="6"/>
      <c r="V38" s="1" t="s">
        <v>147</v>
      </c>
      <c r="W38" s="3">
        <v>10</v>
      </c>
      <c r="X38" s="3">
        <v>10</v>
      </c>
      <c r="Y38" s="3">
        <v>10</v>
      </c>
      <c r="Z38" s="3">
        <v>10</v>
      </c>
      <c r="AA38" s="3">
        <v>10</v>
      </c>
      <c r="AB38" s="3">
        <v>10</v>
      </c>
      <c r="AC38" s="3">
        <v>10</v>
      </c>
      <c r="AD38" s="3">
        <v>10</v>
      </c>
      <c r="AE38" s="3">
        <v>10</v>
      </c>
      <c r="AF38" s="3">
        <v>10</v>
      </c>
      <c r="AG38" s="3">
        <v>10</v>
      </c>
      <c r="AH38" s="3">
        <v>10</v>
      </c>
      <c r="AI38" s="3">
        <v>10</v>
      </c>
      <c r="AJ38" s="3">
        <v>10</v>
      </c>
      <c r="AK38" s="3">
        <v>10</v>
      </c>
      <c r="AL38" s="3"/>
      <c r="AX38" t="s">
        <v>167</v>
      </c>
    </row>
    <row r="39" spans="1:61">
      <c r="A39" s="5" t="s">
        <v>5</v>
      </c>
      <c r="B39" s="5" t="s">
        <v>9</v>
      </c>
      <c r="C39" s="6">
        <f t="shared" si="54"/>
        <v>16</v>
      </c>
      <c r="D39" s="6" t="str">
        <f t="array" ref="D39">IFERROR(INDEX($B$24:$B$612,SMALL(IF($A$24:$A$612=D$23,ROW(Roads!$A$24:$A$612)),Roads!$C39)-ROW(RoadList)),"")</f>
        <v/>
      </c>
      <c r="E39" s="6" t="str">
        <f t="array" ref="E39">IFERROR(INDEX($B$24:$B$612,SMALL(IF($A$24:$A$612=E$23,ROW(Roads!$A$24:$A$612)),Roads!$C39)-ROW(RoadList)),"")</f>
        <v/>
      </c>
      <c r="F39" s="6" t="str">
        <f t="array" ref="F39">IFERROR(INDEX($B$24:$B$612,SMALL(IF($A$24:$A$612=F$23,ROW(Roads!$A$24:$A$612)),Roads!$C39)-ROW(RoadList)),"")</f>
        <v/>
      </c>
      <c r="G39" s="6" t="str">
        <f t="array" ref="G39">IFERROR(INDEX($B$24:$B$612,SMALL(IF($A$24:$A$612=G$23,ROW(Roads!$A$24:$A$612)),Roads!$C39)-ROW(RoadList)),"")</f>
        <v/>
      </c>
      <c r="H39" s="6" t="str">
        <f t="array" ref="H39">IFERROR(INDEX($B$24:$B$612,SMALL(IF($A$24:$A$612=H$23,ROW(Roads!$A$24:$A$612)),Roads!$C39)-ROW(RoadList)),"")</f>
        <v/>
      </c>
      <c r="I39" s="6" t="str">
        <f t="array" ref="I39">IFERROR(INDEX($B$24:$B$612,SMALL(IF($A$24:$A$612=I$23,ROW(Roads!$A$24:$A$612)),Roads!$C39)-ROW(RoadList)),"")</f>
        <v/>
      </c>
      <c r="J39" s="6" t="str">
        <f t="array" ref="J39">IFERROR(INDEX($B$24:$B$612,SMALL(IF($A$24:$A$612=J$23,ROW(Roads!$A$24:$A$612)),Roads!$C39)-ROW(RoadList)),"")</f>
        <v/>
      </c>
      <c r="K39" s="6" t="str">
        <f t="array" ref="K39">IFERROR(INDEX($B$24:$B$612,SMALL(IF($A$24:$A$612=K$23,ROW(Roads!$A$24:$A$612)),Roads!$C39)-ROW(RoadList)),"")</f>
        <v/>
      </c>
      <c r="L39" s="6" t="str">
        <f t="array" ref="L39">IFERROR(INDEX($B$24:$B$612,SMALL(IF($A$24:$A$612=L$23,ROW(Roads!$A$24:$A$612)),Roads!$C39)-ROW(RoadList)),"")</f>
        <v/>
      </c>
      <c r="M39" s="6" t="str">
        <f t="array" ref="M39">IFERROR(INDEX($B$24:$B$612,SMALL(IF($A$24:$A$612=M$23,ROW(Roads!$A$24:$A$612)),Roads!$C39)-ROW(RoadList)),"")</f>
        <v/>
      </c>
      <c r="N39" s="6" t="str">
        <f t="array" ref="N39">IFERROR(INDEX($B$24:$B$612,SMALL(IF($A$24:$A$612=N$23,ROW(Roads!$A$24:$A$612)),Roads!$C39)-ROW(RoadList)),"")</f>
        <v/>
      </c>
      <c r="O39" s="6" t="str">
        <f t="array" ref="O39">IFERROR(INDEX($B$24:$B$612,SMALL(IF($A$24:$A$612=O$23,ROW(Roads!$A$24:$A$612)),Roads!$C39)-ROW(RoadList)),"")</f>
        <v/>
      </c>
      <c r="P39" s="6" t="str">
        <f t="array" ref="P39">IFERROR(INDEX($B$24:$B$612,SMALL(IF($A$24:$A$612=P$23,ROW(Roads!$A$24:$A$612)),Roads!$C39)-ROW(RoadList)),"")</f>
        <v/>
      </c>
      <c r="Q39" s="6" t="str">
        <f t="array" ref="Q39">IFERROR(INDEX($B$24:$B$612,SMALL(IF($A$24:$A$612=Q$23,ROW(Roads!$A$24:$A$612)),Roads!$C39)-ROW(RoadList)),"")</f>
        <v/>
      </c>
      <c r="R39" s="6" t="str">
        <f t="array" ref="R39">IFERROR(INDEX($B$24:$B$612,SMALL(IF($A$24:$A$612=R$23,ROW(Roads!$A$24:$A$612)),Roads!$C39)-ROW(RoadList)),"")</f>
        <v/>
      </c>
      <c r="S39" s="6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X39" s="2" t="s">
        <v>147</v>
      </c>
    </row>
    <row r="40" spans="1:61">
      <c r="A40" s="5" t="s">
        <v>162</v>
      </c>
      <c r="B40" s="5" t="s">
        <v>165</v>
      </c>
      <c r="C40" s="6">
        <f t="shared" si="54"/>
        <v>17</v>
      </c>
      <c r="D40" s="6" t="str">
        <f t="array" ref="D40">IFERROR(INDEX($B$24:$B$612,SMALL(IF($A$24:$A$612=D$23,ROW(Roads!$A$24:$A$612)),Roads!$C40)-ROW(RoadList)),"")</f>
        <v/>
      </c>
      <c r="E40" s="6" t="str">
        <f t="array" ref="E40">IFERROR(INDEX($B$24:$B$612,SMALL(IF($A$24:$A$612=E$23,ROW(Roads!$A$24:$A$612)),Roads!$C40)-ROW(RoadList)),"")</f>
        <v/>
      </c>
      <c r="F40" s="6" t="str">
        <f t="array" ref="F40">IFERROR(INDEX($B$24:$B$612,SMALL(IF($A$24:$A$612=F$23,ROW(Roads!$A$24:$A$612)),Roads!$C40)-ROW(RoadList)),"")</f>
        <v/>
      </c>
      <c r="G40" s="6" t="str">
        <f t="array" ref="G40">IFERROR(INDEX($B$24:$B$612,SMALL(IF($A$24:$A$612=G$23,ROW(Roads!$A$24:$A$612)),Roads!$C40)-ROW(RoadList)),"")</f>
        <v/>
      </c>
      <c r="H40" s="6" t="str">
        <f t="array" ref="H40">IFERROR(INDEX($B$24:$B$612,SMALL(IF($A$24:$A$612=H$23,ROW(Roads!$A$24:$A$612)),Roads!$C40)-ROW(RoadList)),"")</f>
        <v/>
      </c>
      <c r="I40" s="6" t="str">
        <f t="array" ref="I40">IFERROR(INDEX($B$24:$B$612,SMALL(IF($A$24:$A$612=I$23,ROW(Roads!$A$24:$A$612)),Roads!$C40)-ROW(RoadList)),"")</f>
        <v/>
      </c>
      <c r="J40" s="6" t="str">
        <f t="array" ref="J40">IFERROR(INDEX($B$24:$B$612,SMALL(IF($A$24:$A$612=J$23,ROW(Roads!$A$24:$A$612)),Roads!$C40)-ROW(RoadList)),"")</f>
        <v/>
      </c>
      <c r="K40" s="6" t="str">
        <f t="array" ref="K40">IFERROR(INDEX($B$24:$B$612,SMALL(IF($A$24:$A$612=K$23,ROW(Roads!$A$24:$A$612)),Roads!$C40)-ROW(RoadList)),"")</f>
        <v/>
      </c>
      <c r="L40" s="6" t="str">
        <f t="array" ref="L40">IFERROR(INDEX($B$24:$B$612,SMALL(IF($A$24:$A$612=L$23,ROW(Roads!$A$24:$A$612)),Roads!$C40)-ROW(RoadList)),"")</f>
        <v/>
      </c>
      <c r="M40" s="6" t="str">
        <f t="array" ref="M40">IFERROR(INDEX($B$24:$B$612,SMALL(IF($A$24:$A$612=M$23,ROW(Roads!$A$24:$A$612)),Roads!$C40)-ROW(RoadList)),"")</f>
        <v/>
      </c>
      <c r="N40" s="6" t="str">
        <f t="array" ref="N40">IFERROR(INDEX($B$24:$B$612,SMALL(IF($A$24:$A$612=N$23,ROW(Roads!$A$24:$A$612)),Roads!$C40)-ROW(RoadList)),"")</f>
        <v/>
      </c>
      <c r="O40" s="6" t="str">
        <f t="array" ref="O40">IFERROR(INDEX($B$24:$B$612,SMALL(IF($A$24:$A$612=O$23,ROW(Roads!$A$24:$A$612)),Roads!$C40)-ROW(RoadList)),"")</f>
        <v/>
      </c>
      <c r="P40" s="6" t="str">
        <f t="array" ref="P40">IFERROR(INDEX($B$24:$B$612,SMALL(IF($A$24:$A$612=P$23,ROW(Roads!$A$24:$A$612)),Roads!$C40)-ROW(RoadList)),"")</f>
        <v/>
      </c>
      <c r="Q40" s="6" t="str">
        <f t="array" ref="Q40">IFERROR(INDEX($B$24:$B$612,SMALL(IF($A$24:$A$612=Q$23,ROW(Roads!$A$24:$A$612)),Roads!$C40)-ROW(RoadList)),"")</f>
        <v/>
      </c>
      <c r="R40" s="6" t="str">
        <f t="array" ref="R40">IFERROR(INDEX($B$24:$B$612,SMALL(IF($A$24:$A$612=R$23,ROW(Roads!$A$24:$A$612)),Roads!$C40)-ROW(RoadList)),"")</f>
        <v/>
      </c>
      <c r="S40" s="6"/>
    </row>
    <row r="41" spans="1:61">
      <c r="A41" s="5" t="s">
        <v>162</v>
      </c>
      <c r="B41" s="5" t="s">
        <v>167</v>
      </c>
      <c r="C41" s="6">
        <f t="shared" si="54"/>
        <v>18</v>
      </c>
      <c r="D41" s="6" t="str">
        <f t="array" ref="D41">IFERROR(INDEX($B$24:$B$612,SMALL(IF($A$24:$A$612=D$23,ROW(Roads!$A$24:$A$612)),Roads!$C41)-ROW(RoadList)),"")</f>
        <v/>
      </c>
      <c r="E41" s="6" t="str">
        <f t="array" ref="E41">IFERROR(INDEX($B$24:$B$612,SMALL(IF($A$24:$A$612=E$23,ROW(Roads!$A$24:$A$612)),Roads!$C41)-ROW(RoadList)),"")</f>
        <v/>
      </c>
      <c r="F41" s="6" t="str">
        <f t="array" ref="F41">IFERROR(INDEX($B$24:$B$612,SMALL(IF($A$24:$A$612=F$23,ROW(Roads!$A$24:$A$612)),Roads!$C41)-ROW(RoadList)),"")</f>
        <v/>
      </c>
      <c r="G41" s="6" t="str">
        <f t="array" ref="G41">IFERROR(INDEX($B$24:$B$612,SMALL(IF($A$24:$A$612=G$23,ROW(Roads!$A$24:$A$612)),Roads!$C41)-ROW(RoadList)),"")</f>
        <v/>
      </c>
      <c r="H41" s="6" t="str">
        <f t="array" ref="H41">IFERROR(INDEX($B$24:$B$612,SMALL(IF($A$24:$A$612=H$23,ROW(Roads!$A$24:$A$612)),Roads!$C41)-ROW(RoadList)),"")</f>
        <v/>
      </c>
      <c r="I41" s="6" t="str">
        <f t="array" ref="I41">IFERROR(INDEX($B$24:$B$612,SMALL(IF($A$24:$A$612=I$23,ROW(Roads!$A$24:$A$612)),Roads!$C41)-ROW(RoadList)),"")</f>
        <v/>
      </c>
      <c r="J41" s="6" t="str">
        <f t="array" ref="J41">IFERROR(INDEX($B$24:$B$612,SMALL(IF($A$24:$A$612=J$23,ROW(Roads!$A$24:$A$612)),Roads!$C41)-ROW(RoadList)),"")</f>
        <v/>
      </c>
      <c r="K41" s="6" t="str">
        <f t="array" ref="K41">IFERROR(INDEX($B$24:$B$612,SMALL(IF($A$24:$A$612=K$23,ROW(Roads!$A$24:$A$612)),Roads!$C41)-ROW(RoadList)),"")</f>
        <v/>
      </c>
      <c r="L41" s="6" t="str">
        <f t="array" ref="L41">IFERROR(INDEX($B$24:$B$612,SMALL(IF($A$24:$A$612=L$23,ROW(Roads!$A$24:$A$612)),Roads!$C41)-ROW(RoadList)),"")</f>
        <v/>
      </c>
      <c r="M41" s="6" t="str">
        <f t="array" ref="M41">IFERROR(INDEX($B$24:$B$612,SMALL(IF($A$24:$A$612=M$23,ROW(Roads!$A$24:$A$612)),Roads!$C41)-ROW(RoadList)),"")</f>
        <v/>
      </c>
      <c r="N41" s="6" t="str">
        <f t="array" ref="N41">IFERROR(INDEX($B$24:$B$612,SMALL(IF($A$24:$A$612=N$23,ROW(Roads!$A$24:$A$612)),Roads!$C41)-ROW(RoadList)),"")</f>
        <v/>
      </c>
      <c r="O41" s="6" t="str">
        <f t="array" ref="O41">IFERROR(INDEX($B$24:$B$612,SMALL(IF($A$24:$A$612=O$23,ROW(Roads!$A$24:$A$612)),Roads!$C41)-ROW(RoadList)),"")</f>
        <v/>
      </c>
      <c r="P41" s="6" t="str">
        <f t="array" ref="P41">IFERROR(INDEX($B$24:$B$612,SMALL(IF($A$24:$A$612=P$23,ROW(Roads!$A$24:$A$612)),Roads!$C41)-ROW(RoadList)),"")</f>
        <v/>
      </c>
      <c r="Q41" s="6" t="str">
        <f t="array" ref="Q41">IFERROR(INDEX($B$24:$B$612,SMALL(IF($A$24:$A$612=Q$23,ROW(Roads!$A$24:$A$612)),Roads!$C41)-ROW(RoadList)),"")</f>
        <v/>
      </c>
      <c r="R41" s="6" t="str">
        <f t="array" ref="R41">IFERROR(INDEX($B$24:$B$612,SMALL(IF($A$24:$A$612=R$23,ROW(Roads!$A$24:$A$612)),Roads!$C41)-ROW(RoadList)),"")</f>
        <v/>
      </c>
      <c r="S41" s="6"/>
    </row>
    <row r="42" spans="1:61">
      <c r="A42" s="5" t="s">
        <v>162</v>
      </c>
      <c r="B42" s="5" t="s">
        <v>5</v>
      </c>
      <c r="C42" s="6">
        <f t="shared" si="54"/>
        <v>19</v>
      </c>
      <c r="D42" s="6" t="str">
        <f t="array" ref="D42">IFERROR(INDEX($B$24:$B$612,SMALL(IF($A$24:$A$612=D$23,ROW(Roads!$A$24:$A$612)),Roads!$C42)-ROW(RoadList)),"")</f>
        <v/>
      </c>
      <c r="E42" s="6" t="str">
        <f t="array" ref="E42">IFERROR(INDEX($B$24:$B$612,SMALL(IF($A$24:$A$612=E$23,ROW(Roads!$A$24:$A$612)),Roads!$C42)-ROW(RoadList)),"")</f>
        <v/>
      </c>
      <c r="F42" s="6" t="str">
        <f t="array" ref="F42">IFERROR(INDEX($B$24:$B$612,SMALL(IF($A$24:$A$612=F$23,ROW(Roads!$A$24:$A$612)),Roads!$C42)-ROW(RoadList)),"")</f>
        <v/>
      </c>
      <c r="G42" s="6" t="str">
        <f t="array" ref="G42">IFERROR(INDEX($B$24:$B$612,SMALL(IF($A$24:$A$612=G$23,ROW(Roads!$A$24:$A$612)),Roads!$C42)-ROW(RoadList)),"")</f>
        <v/>
      </c>
      <c r="H42" s="6" t="str">
        <f t="array" ref="H42">IFERROR(INDEX($B$24:$B$612,SMALL(IF($A$24:$A$612=H$23,ROW(Roads!$A$24:$A$612)),Roads!$C42)-ROW(RoadList)),"")</f>
        <v/>
      </c>
      <c r="I42" s="6" t="str">
        <f t="array" ref="I42">IFERROR(INDEX($B$24:$B$612,SMALL(IF($A$24:$A$612=I$23,ROW(Roads!$A$24:$A$612)),Roads!$C42)-ROW(RoadList)),"")</f>
        <v/>
      </c>
      <c r="J42" s="6" t="str">
        <f t="array" ref="J42">IFERROR(INDEX($B$24:$B$612,SMALL(IF($A$24:$A$612=J$23,ROW(Roads!$A$24:$A$612)),Roads!$C42)-ROW(RoadList)),"")</f>
        <v/>
      </c>
      <c r="K42" s="6" t="str">
        <f t="array" ref="K42">IFERROR(INDEX($B$24:$B$612,SMALL(IF($A$24:$A$612=K$23,ROW(Roads!$A$24:$A$612)),Roads!$C42)-ROW(RoadList)),"")</f>
        <v/>
      </c>
      <c r="L42" s="6" t="str">
        <f t="array" ref="L42">IFERROR(INDEX($B$24:$B$612,SMALL(IF($A$24:$A$612=L$23,ROW(Roads!$A$24:$A$612)),Roads!$C42)-ROW(RoadList)),"")</f>
        <v/>
      </c>
      <c r="M42" s="6" t="str">
        <f t="array" ref="M42">IFERROR(INDEX($B$24:$B$612,SMALL(IF($A$24:$A$612=M$23,ROW(Roads!$A$24:$A$612)),Roads!$C42)-ROW(RoadList)),"")</f>
        <v/>
      </c>
      <c r="N42" s="6" t="str">
        <f t="array" ref="N42">IFERROR(INDEX($B$24:$B$612,SMALL(IF($A$24:$A$612=N$23,ROW(Roads!$A$24:$A$612)),Roads!$C42)-ROW(RoadList)),"")</f>
        <v/>
      </c>
      <c r="O42" s="6" t="str">
        <f t="array" ref="O42">IFERROR(INDEX($B$24:$B$612,SMALL(IF($A$24:$A$612=O$23,ROW(Roads!$A$24:$A$612)),Roads!$C42)-ROW(RoadList)),"")</f>
        <v/>
      </c>
      <c r="P42" s="6" t="str">
        <f t="array" ref="P42">IFERROR(INDEX($B$24:$B$612,SMALL(IF($A$24:$A$612=P$23,ROW(Roads!$A$24:$A$612)),Roads!$C42)-ROW(RoadList)),"")</f>
        <v/>
      </c>
      <c r="Q42" s="6" t="str">
        <f t="array" ref="Q42">IFERROR(INDEX($B$24:$B$612,SMALL(IF($A$24:$A$612=Q$23,ROW(Roads!$A$24:$A$612)),Roads!$C42)-ROW(RoadList)),"")</f>
        <v/>
      </c>
      <c r="R42" s="6" t="str">
        <f t="array" ref="R42">IFERROR(INDEX($B$24:$B$612,SMALL(IF($A$24:$A$612=R$23,ROW(Roads!$A$24:$A$612)),Roads!$C42)-ROW(RoadList)),"")</f>
        <v/>
      </c>
      <c r="S42" s="6"/>
    </row>
    <row r="43" spans="1:61">
      <c r="A43" s="5" t="s">
        <v>5</v>
      </c>
      <c r="B43" s="5" t="s">
        <v>160</v>
      </c>
      <c r="C43" s="6">
        <f t="shared" si="54"/>
        <v>20</v>
      </c>
      <c r="D43" s="6" t="str">
        <f t="array" ref="D43">IFERROR(INDEX($B$24:$B$612,SMALL(IF($A$24:$A$612=D$23,ROW(Roads!$A$24:$A$612)),Roads!$C43)-ROW(RoadList)),"")</f>
        <v/>
      </c>
      <c r="E43" s="6" t="str">
        <f t="array" ref="E43">IFERROR(INDEX($B$24:$B$612,SMALL(IF($A$24:$A$612=E$23,ROW(Roads!$A$24:$A$612)),Roads!$C43)-ROW(RoadList)),"")</f>
        <v/>
      </c>
      <c r="F43" s="6" t="str">
        <f t="array" ref="F43">IFERROR(INDEX($B$24:$B$612,SMALL(IF($A$24:$A$612=F$23,ROW(Roads!$A$24:$A$612)),Roads!$C43)-ROW(RoadList)),"")</f>
        <v/>
      </c>
      <c r="G43" s="6" t="str">
        <f t="array" ref="G43">IFERROR(INDEX($B$24:$B$612,SMALL(IF($A$24:$A$612=G$23,ROW(Roads!$A$24:$A$612)),Roads!$C43)-ROW(RoadList)),"")</f>
        <v/>
      </c>
      <c r="H43" s="6" t="str">
        <f t="array" ref="H43">IFERROR(INDEX($B$24:$B$612,SMALL(IF($A$24:$A$612=H$23,ROW(Roads!$A$24:$A$612)),Roads!$C43)-ROW(RoadList)),"")</f>
        <v/>
      </c>
      <c r="I43" s="6" t="str">
        <f t="array" ref="I43">IFERROR(INDEX($B$24:$B$612,SMALL(IF($A$24:$A$612=I$23,ROW(Roads!$A$24:$A$612)),Roads!$C43)-ROW(RoadList)),"")</f>
        <v/>
      </c>
      <c r="J43" s="6" t="str">
        <f t="array" ref="J43">IFERROR(INDEX($B$24:$B$612,SMALL(IF($A$24:$A$612=J$23,ROW(Roads!$A$24:$A$612)),Roads!$C43)-ROW(RoadList)),"")</f>
        <v/>
      </c>
      <c r="K43" s="6" t="str">
        <f t="array" ref="K43">IFERROR(INDEX($B$24:$B$612,SMALL(IF($A$24:$A$612=K$23,ROW(Roads!$A$24:$A$612)),Roads!$C43)-ROW(RoadList)),"")</f>
        <v/>
      </c>
      <c r="L43" s="6" t="str">
        <f t="array" ref="L43">IFERROR(INDEX($B$24:$B$612,SMALL(IF($A$24:$A$612=L$23,ROW(Roads!$A$24:$A$612)),Roads!$C43)-ROW(RoadList)),"")</f>
        <v/>
      </c>
      <c r="M43" s="6" t="str">
        <f t="array" ref="M43">IFERROR(INDEX($B$24:$B$612,SMALL(IF($A$24:$A$612=M$23,ROW(Roads!$A$24:$A$612)),Roads!$C43)-ROW(RoadList)),"")</f>
        <v/>
      </c>
      <c r="N43" s="6" t="str">
        <f t="array" ref="N43">IFERROR(INDEX($B$24:$B$612,SMALL(IF($A$24:$A$612=N$23,ROW(Roads!$A$24:$A$612)),Roads!$C43)-ROW(RoadList)),"")</f>
        <v/>
      </c>
      <c r="O43" s="6" t="str">
        <f t="array" ref="O43">IFERROR(INDEX($B$24:$B$612,SMALL(IF($A$24:$A$612=O$23,ROW(Roads!$A$24:$A$612)),Roads!$C43)-ROW(RoadList)),"")</f>
        <v/>
      </c>
      <c r="P43" s="6" t="str">
        <f t="array" ref="P43">IFERROR(INDEX($B$24:$B$612,SMALL(IF($A$24:$A$612=P$23,ROW(Roads!$A$24:$A$612)),Roads!$C43)-ROW(RoadList)),"")</f>
        <v/>
      </c>
      <c r="Q43" s="6" t="str">
        <f t="array" ref="Q43">IFERROR(INDEX($B$24:$B$612,SMALL(IF($A$24:$A$612=Q$23,ROW(Roads!$A$24:$A$612)),Roads!$C43)-ROW(RoadList)),"")</f>
        <v/>
      </c>
      <c r="R43" s="6" t="str">
        <f t="array" ref="R43">IFERROR(INDEX($B$24:$B$612,SMALL(IF($A$24:$A$612=R$23,ROW(Roads!$A$24:$A$612)),Roads!$C43)-ROW(RoadList)),"")</f>
        <v/>
      </c>
      <c r="S43" s="6"/>
    </row>
    <row r="44" spans="1:61">
      <c r="A44" s="5" t="s">
        <v>163</v>
      </c>
      <c r="B44" s="5" t="s">
        <v>164</v>
      </c>
      <c r="C44" s="6">
        <f t="shared" si="54"/>
        <v>21</v>
      </c>
      <c r="D44" s="6" t="str">
        <f t="array" ref="D44">IFERROR(INDEX($B$24:$B$612,SMALL(IF($A$24:$A$612=D$23,ROW(Roads!$A$24:$A$612)),Roads!$C44)-ROW(RoadList)),"")</f>
        <v/>
      </c>
      <c r="E44" s="6" t="str">
        <f t="array" ref="E44">IFERROR(INDEX($B$24:$B$612,SMALL(IF($A$24:$A$612=E$23,ROW(Roads!$A$24:$A$612)),Roads!$C44)-ROW(RoadList)),"")</f>
        <v/>
      </c>
      <c r="F44" s="6" t="str">
        <f t="array" ref="F44">IFERROR(INDEX($B$24:$B$612,SMALL(IF($A$24:$A$612=F$23,ROW(Roads!$A$24:$A$612)),Roads!$C44)-ROW(RoadList)),"")</f>
        <v/>
      </c>
      <c r="G44" s="6" t="str">
        <f t="array" ref="G44">IFERROR(INDEX($B$24:$B$612,SMALL(IF($A$24:$A$612=G$23,ROW(Roads!$A$24:$A$612)),Roads!$C44)-ROW(RoadList)),"")</f>
        <v/>
      </c>
      <c r="H44" s="6" t="str">
        <f t="array" ref="H44">IFERROR(INDEX($B$24:$B$612,SMALL(IF($A$24:$A$612=H$23,ROW(Roads!$A$24:$A$612)),Roads!$C44)-ROW(RoadList)),"")</f>
        <v/>
      </c>
      <c r="I44" s="6" t="str">
        <f t="array" ref="I44">IFERROR(INDEX($B$24:$B$612,SMALL(IF($A$24:$A$612=I$23,ROW(Roads!$A$24:$A$612)),Roads!$C44)-ROW(RoadList)),"")</f>
        <v/>
      </c>
      <c r="J44" s="6" t="str">
        <f t="array" ref="J44">IFERROR(INDEX($B$24:$B$612,SMALL(IF($A$24:$A$612=J$23,ROW(Roads!$A$24:$A$612)),Roads!$C44)-ROW(RoadList)),"")</f>
        <v/>
      </c>
      <c r="K44" s="6" t="str">
        <f t="array" ref="K44">IFERROR(INDEX($B$24:$B$612,SMALL(IF($A$24:$A$612=K$23,ROW(Roads!$A$24:$A$612)),Roads!$C44)-ROW(RoadList)),"")</f>
        <v/>
      </c>
      <c r="L44" s="6" t="str">
        <f t="array" ref="L44">IFERROR(INDEX($B$24:$B$612,SMALL(IF($A$24:$A$612=L$23,ROW(Roads!$A$24:$A$612)),Roads!$C44)-ROW(RoadList)),"")</f>
        <v/>
      </c>
      <c r="M44" s="6" t="str">
        <f t="array" ref="M44">IFERROR(INDEX($B$24:$B$612,SMALL(IF($A$24:$A$612=M$23,ROW(Roads!$A$24:$A$612)),Roads!$C44)-ROW(RoadList)),"")</f>
        <v/>
      </c>
      <c r="N44" s="6" t="str">
        <f t="array" ref="N44">IFERROR(INDEX($B$24:$B$612,SMALL(IF($A$24:$A$612=N$23,ROW(Roads!$A$24:$A$612)),Roads!$C44)-ROW(RoadList)),"")</f>
        <v/>
      </c>
      <c r="O44" s="6" t="str">
        <f t="array" ref="O44">IFERROR(INDEX($B$24:$B$612,SMALL(IF($A$24:$A$612=O$23,ROW(Roads!$A$24:$A$612)),Roads!$C44)-ROW(RoadList)),"")</f>
        <v/>
      </c>
      <c r="P44" s="6" t="str">
        <f t="array" ref="P44">IFERROR(INDEX($B$24:$B$612,SMALL(IF($A$24:$A$612=P$23,ROW(Roads!$A$24:$A$612)),Roads!$C44)-ROW(RoadList)),"")</f>
        <v/>
      </c>
      <c r="Q44" s="6" t="str">
        <f t="array" ref="Q44">IFERROR(INDEX($B$24:$B$612,SMALL(IF($A$24:$A$612=Q$23,ROW(Roads!$A$24:$A$612)),Roads!$C44)-ROW(RoadList)),"")</f>
        <v/>
      </c>
      <c r="R44" s="6" t="str">
        <f t="array" ref="R44">IFERROR(INDEX($B$24:$B$612,SMALL(IF($A$24:$A$612=R$23,ROW(Roads!$A$24:$A$612)),Roads!$C44)-ROW(RoadList)),"")</f>
        <v/>
      </c>
      <c r="S44" s="6"/>
    </row>
    <row r="45" spans="1:61">
      <c r="A45" s="5" t="s">
        <v>163</v>
      </c>
      <c r="B45" s="5" t="s">
        <v>157</v>
      </c>
    </row>
    <row r="46" spans="1:61">
      <c r="A46" s="5" t="s">
        <v>167</v>
      </c>
      <c r="B46" s="5" t="s">
        <v>162</v>
      </c>
    </row>
    <row r="47" spans="1:61">
      <c r="A47" s="5" t="s">
        <v>167</v>
      </c>
      <c r="B47" s="5" t="s">
        <v>166</v>
      </c>
    </row>
    <row r="48" spans="1:61">
      <c r="A48" s="5" t="s">
        <v>157</v>
      </c>
      <c r="B48" s="5" t="s">
        <v>163</v>
      </c>
    </row>
    <row r="49" spans="1:2">
      <c r="A49" s="5" t="s">
        <v>157</v>
      </c>
      <c r="B49" s="5" t="s">
        <v>9</v>
      </c>
    </row>
    <row r="50" spans="1:2">
      <c r="A50" s="5" t="s">
        <v>9</v>
      </c>
      <c r="B50" s="5" t="s">
        <v>157</v>
      </c>
    </row>
    <row r="51" spans="1:2">
      <c r="A51" s="5" t="s">
        <v>9</v>
      </c>
      <c r="B51" s="5" t="s">
        <v>5</v>
      </c>
    </row>
    <row r="52" spans="1:2">
      <c r="A52" s="5" t="s">
        <v>9</v>
      </c>
      <c r="B52" s="5" t="s">
        <v>160</v>
      </c>
    </row>
    <row r="53" spans="1:2">
      <c r="A53" s="5" t="s">
        <v>9</v>
      </c>
      <c r="B53" s="5" t="s">
        <v>161</v>
      </c>
    </row>
    <row r="54" spans="1:2">
      <c r="A54" s="5" t="s">
        <v>160</v>
      </c>
      <c r="B54" s="5" t="s">
        <v>5</v>
      </c>
    </row>
    <row r="55" spans="1:2">
      <c r="A55" s="5" t="s">
        <v>160</v>
      </c>
      <c r="B55" s="5" t="s">
        <v>9</v>
      </c>
    </row>
    <row r="56" spans="1:2">
      <c r="A56" s="5" t="s">
        <v>160</v>
      </c>
      <c r="B56" s="5" t="s">
        <v>161</v>
      </c>
    </row>
    <row r="57" spans="1:2">
      <c r="A57" s="5" t="s">
        <v>160</v>
      </c>
      <c r="B57" s="5" t="s">
        <v>166</v>
      </c>
    </row>
    <row r="58" spans="1:2">
      <c r="A58" s="5" t="s">
        <v>161</v>
      </c>
      <c r="B58" s="5" t="s">
        <v>9</v>
      </c>
    </row>
    <row r="59" spans="1:2">
      <c r="A59" s="5" t="s">
        <v>161</v>
      </c>
      <c r="B59" s="5" t="s">
        <v>166</v>
      </c>
    </row>
    <row r="60" spans="1:2">
      <c r="A60" s="5" t="s">
        <v>161</v>
      </c>
      <c r="B60" s="5" t="s">
        <v>160</v>
      </c>
    </row>
    <row r="61" spans="1:2">
      <c r="A61" s="5" t="s">
        <v>166</v>
      </c>
      <c r="B61" s="5" t="s">
        <v>167</v>
      </c>
    </row>
    <row r="62" spans="1:2">
      <c r="A62" s="5" t="s">
        <v>166</v>
      </c>
      <c r="B62" s="5" t="s">
        <v>161</v>
      </c>
    </row>
    <row r="63" spans="1:2">
      <c r="A63" s="5" t="s">
        <v>166</v>
      </c>
      <c r="B63" s="5" t="s">
        <v>160</v>
      </c>
    </row>
    <row r="64" spans="1:2">
      <c r="A64" s="5" t="s">
        <v>5</v>
      </c>
      <c r="B64" s="5" t="s">
        <v>147</v>
      </c>
    </row>
    <row r="65" spans="1:2">
      <c r="A65" s="5" t="s">
        <v>147</v>
      </c>
      <c r="B65" s="5" t="s">
        <v>5</v>
      </c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  <row r="215" spans="1:2">
      <c r="A215" s="5"/>
      <c r="B215" s="5"/>
    </row>
    <row r="216" spans="1:2">
      <c r="A216" s="5"/>
      <c r="B216" s="5"/>
    </row>
  </sheetData>
  <conditionalFormatting sqref="B2:R17 B18:Q18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H128"/>
  <sheetViews>
    <sheetView zoomScale="85" zoomScaleNormal="85" workbookViewId="0">
      <selection activeCell="D19" sqref="D19"/>
    </sheetView>
  </sheetViews>
  <sheetFormatPr defaultColWidth="8.875" defaultRowHeight="15.75"/>
  <cols>
    <col min="1" max="1" width="10.125" customWidth="1"/>
    <col min="2" max="2" width="10.25" customWidth="1"/>
    <col min="3" max="6" width="8.375" bestFit="1" customWidth="1"/>
    <col min="7" max="7" width="9.375" bestFit="1" customWidth="1"/>
    <col min="8" max="8" width="8.5" bestFit="1" customWidth="1"/>
    <col min="9" max="9" width="9.375" bestFit="1" customWidth="1"/>
    <col min="10" max="11" width="8.375" bestFit="1" customWidth="1"/>
    <col min="12" max="12" width="9.375" bestFit="1" customWidth="1"/>
    <col min="13" max="13" width="8.375" bestFit="1" customWidth="1"/>
    <col min="14" max="14" width="9.375" bestFit="1" customWidth="1"/>
    <col min="15" max="17" width="8.375" bestFit="1" customWidth="1"/>
  </cols>
  <sheetData>
    <row r="1" spans="1:34"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148</v>
      </c>
      <c r="Q1" t="s">
        <v>147</v>
      </c>
    </row>
    <row r="2" spans="1:34">
      <c r="A2" s="2" t="s">
        <v>3</v>
      </c>
      <c r="B2" s="2" t="str">
        <f t="array" ref="B2:B10">Food</f>
        <v>Teff</v>
      </c>
      <c r="C2" s="3">
        <f>INDEX(Prices!$M$8:$AA$27,MATCH($B2,Prices!$L$8:$L$17,0),MATCH(C$1,Prices!$M$7:$AA$7,0))+DemSlope!C2*INDEX(TargetConsumption!$C$2:$K$16,MATCH(C$1,TargetConsumption!$B$2:$B$16,0),MATCH($B2,TargetConsumption!$C$1:$K$1,0))</f>
        <v>3887.8560049645348</v>
      </c>
      <c r="D2" s="3">
        <f>INDEX(Prices!$M$8:$AA$27,MATCH($B2,Prices!$L$8:$L$17,0),MATCH(D$1,Prices!$M$7:$AA$7,0))+DemSlope!D2*INDEX(TargetConsumption!$C$2:$K$16,MATCH(D$1,TargetConsumption!$B$2:$B$16,0),MATCH($B2,TargetConsumption!$C$1:$K$1,0))</f>
        <v>1211.7796229596333</v>
      </c>
      <c r="E2" s="3">
        <f>INDEX(Prices!$M$8:$AA$27,MATCH($B2,Prices!$L$8:$L$17,0),MATCH(E$1,Prices!$M$7:$AA$7,0))+DemSlope!E2*INDEX(TargetConsumption!$C$2:$K$16,MATCH(E$1,TargetConsumption!$B$2:$B$16,0),MATCH($B2,TargetConsumption!$C$1:$K$1,0))</f>
        <v>6342.3701664564232</v>
      </c>
      <c r="F2" s="3">
        <f>INDEX(Prices!$M$8:$AA$27,MATCH($B2,Prices!$L$8:$L$17,0),MATCH(F$1,Prices!$M$7:$AA$7,0))+DemSlope!F2*INDEX(TargetConsumption!$C$2:$K$16,MATCH(F$1,TargetConsumption!$B$2:$B$16,0),MATCH($B2,TargetConsumption!$C$1:$K$1,0))</f>
        <v>1852.0180531114111</v>
      </c>
      <c r="G2" s="3">
        <f>INDEX(Prices!$M$8:$AA$27,MATCH($B2,Prices!$L$8:$L$17,0),MATCH(G$1,Prices!$M$7:$AA$7,0))+DemSlope!G2*INDEX(TargetConsumption!$C$2:$K$16,MATCH(G$1,TargetConsumption!$B$2:$B$16,0),MATCH($B2,TargetConsumption!$C$1:$K$1,0))</f>
        <v>721.30730350780846</v>
      </c>
      <c r="H2" s="3">
        <f>INDEX(Prices!$M$8:$AA$27,MATCH($B2,Prices!$L$8:$L$17,0),MATCH(H$1,Prices!$M$7:$AA$7,0))+DemSlope!H2*INDEX(TargetConsumption!$C$2:$K$16,MATCH(H$1,TargetConsumption!$B$2:$B$16,0),MATCH($B2,TargetConsumption!$C$1:$K$1,0))</f>
        <v>4206.509675410869</v>
      </c>
      <c r="I2" s="3">
        <f>INDEX(Prices!$M$8:$AA$27,MATCH($B2,Prices!$L$8:$L$17,0),MATCH(I$1,Prices!$M$7:$AA$7,0))+DemSlope!I2*INDEX(TargetConsumption!$C$2:$K$16,MATCH(I$1,TargetConsumption!$B$2:$B$16,0),MATCH($B2,TargetConsumption!$C$1:$K$1,0))</f>
        <v>47470.249353787651</v>
      </c>
      <c r="J2" s="3">
        <f>INDEX(Prices!$M$8:$AA$27,MATCH($B2,Prices!$L$8:$L$17,0),MATCH(J$1,Prices!$M$7:$AA$7,0))+DemSlope!J2*INDEX(TargetConsumption!$C$2:$K$16,MATCH(J$1,TargetConsumption!$B$2:$B$16,0),MATCH($B2,TargetConsumption!$C$1:$K$1,0))</f>
        <v>720.23577178325468</v>
      </c>
      <c r="K2" s="3">
        <f>INDEX(Prices!$M$8:$AA$27,MATCH($B2,Prices!$L$8:$L$17,0),MATCH(K$1,Prices!$M$7:$AA$7,0))+DemSlope!K2*INDEX(TargetConsumption!$C$2:$K$16,MATCH(K$1,TargetConsumption!$B$2:$B$16,0),MATCH($B2,TargetConsumption!$C$1:$K$1,0))</f>
        <v>748.73504177892767</v>
      </c>
      <c r="L2" s="3">
        <f>INDEX(Prices!$M$8:$AA$27,MATCH($B2,Prices!$L$8:$L$17,0),MATCH(L$1,Prices!$M$7:$AA$7,0))+DemSlope!L2*INDEX(TargetConsumption!$C$2:$K$16,MATCH(L$1,TargetConsumption!$B$2:$B$16,0),MATCH($B2,TargetConsumption!$C$1:$K$1,0))</f>
        <v>15613.992030478386</v>
      </c>
      <c r="M2" s="3">
        <f>INDEX(Prices!$M$8:$AA$27,MATCH($B2,Prices!$L$8:$L$17,0),MATCH(M$1,Prices!$M$7:$AA$7,0))+DemSlope!M2*INDEX(TargetConsumption!$C$2:$K$16,MATCH(M$1,TargetConsumption!$B$2:$B$16,0),MATCH($B2,TargetConsumption!$C$1:$K$1,0))</f>
        <v>5411.5859944455515</v>
      </c>
      <c r="N2" s="3">
        <f>INDEX(Prices!$M$8:$AA$27,MATCH($B2,Prices!$L$8:$L$17,0),MATCH(N$1,Prices!$M$7:$AA$7,0))+DemSlope!N2*INDEX(TargetConsumption!$C$2:$K$16,MATCH(N$1,TargetConsumption!$B$2:$B$16,0),MATCH($B2,TargetConsumption!$C$1:$K$1,0))</f>
        <v>29796.165971716211</v>
      </c>
      <c r="O2" s="3">
        <f>INDEX(Prices!$M$8:$AA$27,MATCH($B2,Prices!$L$8:$L$17,0),MATCH(O$1,Prices!$M$7:$AA$7,0))+DemSlope!O2*INDEX(TargetConsumption!$C$2:$K$16,MATCH(O$1,TargetConsumption!$B$2:$B$16,0),MATCH($B2,TargetConsumption!$C$1:$K$1,0))</f>
        <v>1141.3294414112647</v>
      </c>
      <c r="P2" s="3">
        <f>INDEX(Prices!$M$8:$AA$27,MATCH($B2,Prices!$L$8:$L$17,0),MATCH(P$1,Prices!$M$7:$AA$7,0))+DemSlope!P2*INDEX(TargetConsumption!$C$2:$K$16,MATCH(P$1,TargetConsumption!$B$2:$B$16,0),MATCH($B2,TargetConsumption!$C$1:$K$1,0))</f>
        <v>995.6681019959583</v>
      </c>
      <c r="Q2" s="3">
        <f>INDEX(Prices!$M$8:$AA$27,MATCH($B2,Prices!$L$8:$L$17,0),MATCH(Q$1,Prices!$M$7:$AA$7,0))+DemSlope!Q2*INDEX(TargetConsumption!$C$2:$K$16,MATCH(Q$1,TargetConsumption!$B$2:$B$16,0),MATCH($B2,TargetConsumption!$C$1:$K$1,0))</f>
        <v>717.83333333333337</v>
      </c>
      <c r="R2" s="2"/>
    </row>
    <row r="3" spans="1:34">
      <c r="A3" s="2" t="s">
        <v>3</v>
      </c>
      <c r="B3" s="2" t="str">
        <v>Sorghum</v>
      </c>
      <c r="C3" s="3">
        <f>INDEX(Prices!$M$8:$AA$27,MATCH($B3,Prices!$L$8:$L$17,0),MATCH(C$1,Prices!$M$7:$AA$7,0))+DemSlope!C3*INDEX(TargetConsumption!$C$2:$K$16,MATCH(C$1,TargetConsumption!$B$2:$B$16,0),MATCH($B3,TargetConsumption!$C$1:$K$1,0))</f>
        <v>6045.0638609323441</v>
      </c>
      <c r="D3" s="3">
        <f>INDEX(Prices!$M$8:$AA$27,MATCH($B3,Prices!$L$8:$L$17,0),MATCH(D$1,Prices!$M$7:$AA$7,0))+DemSlope!D3*INDEX(TargetConsumption!$C$2:$K$16,MATCH(D$1,TargetConsumption!$B$2:$B$16,0),MATCH($B3,TargetConsumption!$C$1:$K$1,0))</f>
        <v>1452.6593506679724</v>
      </c>
      <c r="E3" s="3">
        <f>INDEX(Prices!$M$8:$AA$27,MATCH($B3,Prices!$L$8:$L$17,0),MATCH(E$1,Prices!$M$7:$AA$7,0))+DemSlope!E3*INDEX(TargetConsumption!$C$2:$K$16,MATCH(E$1,TargetConsumption!$B$2:$B$16,0),MATCH($B3,TargetConsumption!$C$1:$K$1,0))</f>
        <v>10257.246286494543</v>
      </c>
      <c r="F3" s="3">
        <f>INDEX(Prices!$M$8:$AA$27,MATCH($B3,Prices!$L$8:$L$17,0),MATCH(F$1,Prices!$M$7:$AA$7,0))+DemSlope!F3*INDEX(TargetConsumption!$C$2:$K$16,MATCH(F$1,TargetConsumption!$B$2:$B$16,0),MATCH($B3,TargetConsumption!$C$1:$K$1,0))</f>
        <v>2551.3700877922984</v>
      </c>
      <c r="G3" s="3">
        <f>INDEX(Prices!$M$8:$AA$27,MATCH($B3,Prices!$L$8:$L$17,0),MATCH(G$1,Prices!$M$7:$AA$7,0))+DemSlope!G3*INDEX(TargetConsumption!$C$2:$K$16,MATCH(G$1,TargetConsumption!$B$2:$B$16,0),MATCH($B3,TargetConsumption!$C$1:$K$1,0))</f>
        <v>610.96166701558457</v>
      </c>
      <c r="H3" s="3">
        <f>INDEX(Prices!$M$8:$AA$27,MATCH($B3,Prices!$L$8:$L$17,0),MATCH(H$1,Prices!$M$7:$AA$7,0))+DemSlope!H3*INDEX(TargetConsumption!$C$2:$K$16,MATCH(H$1,TargetConsumption!$B$2:$B$16,0),MATCH($B3,TargetConsumption!$C$1:$K$1,0))</f>
        <v>6591.9042139246894</v>
      </c>
      <c r="I3" s="3">
        <f>INDEX(Prices!$M$8:$AA$27,MATCH($B3,Prices!$L$8:$L$17,0),MATCH(I$1,Prices!$M$7:$AA$7,0))+DemSlope!I3*INDEX(TargetConsumption!$C$2:$K$16,MATCH(I$1,TargetConsumption!$B$2:$B$16,0),MATCH($B3,TargetConsumption!$C$1:$K$1,0))</f>
        <v>80836.643476945173</v>
      </c>
      <c r="J3" s="3">
        <f>INDEX(Prices!$M$8:$AA$27,MATCH($B3,Prices!$L$8:$L$17,0),MATCH(J$1,Prices!$M$7:$AA$7,0))+DemSlope!J3*INDEX(TargetConsumption!$C$2:$K$16,MATCH(J$1,TargetConsumption!$B$2:$B$16,0),MATCH($B3,TargetConsumption!$C$1:$K$1,0))</f>
        <v>609.12281549481986</v>
      </c>
      <c r="K3" s="3">
        <f>INDEX(Prices!$M$8:$AA$27,MATCH($B3,Prices!$L$8:$L$17,0),MATCH(K$1,Prices!$M$7:$AA$7,0))+DemSlope!K3*INDEX(TargetConsumption!$C$2:$K$16,MATCH(K$1,TargetConsumption!$B$2:$B$16,0),MATCH($B3,TargetConsumption!$C$1:$K$1,0))</f>
        <v>658.03030443925559</v>
      </c>
      <c r="L3" s="3">
        <f>INDEX(Prices!$M$8:$AA$27,MATCH($B3,Prices!$L$8:$L$17,0),MATCH(L$1,Prices!$M$7:$AA$7,0))+DemSlope!L3*INDEX(TargetConsumption!$C$2:$K$16,MATCH(L$1,TargetConsumption!$B$2:$B$16,0),MATCH($B3,TargetConsumption!$C$1:$K$1,0))</f>
        <v>26168.24133585866</v>
      </c>
      <c r="M3" s="3">
        <f>INDEX(Prices!$M$8:$AA$27,MATCH($B3,Prices!$L$8:$L$17,0),MATCH(M$1,Prices!$M$7:$AA$7,0))+DemSlope!M3*INDEX(TargetConsumption!$C$2:$K$16,MATCH(M$1,TargetConsumption!$B$2:$B$16,0),MATCH($B3,TargetConsumption!$C$1:$K$1,0))</f>
        <v>8659.9311058183648</v>
      </c>
      <c r="N3" s="3">
        <f>INDEX(Prices!$M$8:$AA$27,MATCH($B3,Prices!$L$8:$L$17,0),MATCH(N$1,Prices!$M$7:$AA$7,0))+DemSlope!N3*INDEX(TargetConsumption!$C$2:$K$16,MATCH(N$1,TargetConsumption!$B$2:$B$16,0),MATCH($B3,TargetConsumption!$C$1:$K$1,0))</f>
        <v>50506.216145194689</v>
      </c>
      <c r="O3" s="3">
        <f>INDEX(Prices!$M$8:$AA$27,MATCH($B3,Prices!$L$8:$L$17,0),MATCH(O$1,Prices!$M$7:$AA$7,0))+DemSlope!O3*INDEX(TargetConsumption!$C$2:$K$16,MATCH(O$1,TargetConsumption!$B$2:$B$16,0),MATCH($B3,TargetConsumption!$C$1:$K$1,0))</f>
        <v>1331.7600618183465</v>
      </c>
      <c r="P3" s="3">
        <f>INDEX(Prices!$M$8:$AA$27,MATCH($B3,Prices!$L$8:$L$17,0),MATCH(P$1,Prices!$M$7:$AA$7,0))+DemSlope!P3*INDEX(TargetConsumption!$C$2:$K$16,MATCH(P$1,TargetConsumption!$B$2:$B$16,0),MATCH($B3,TargetConsumption!$C$1:$K$1,0))</f>
        <v>1081.79119075016</v>
      </c>
      <c r="Q3" s="3">
        <f>INDEX(Prices!$M$8:$AA$27,MATCH($B3,Prices!$L$8:$L$17,0),MATCH(Q$1,Prices!$M$7:$AA$7,0))+DemSlope!Q3*INDEX(TargetConsumption!$C$2:$K$16,MATCH(Q$1,TargetConsumption!$B$2:$B$16,0),MATCH($B3,TargetConsumption!$C$1:$K$1,0))</f>
        <v>605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3">
        <f>INDEX(Prices!$M$8:$AA$27,MATCH($B4,Prices!$L$8:$L$17,0),MATCH(C$1,Prices!$M$7:$AA$7,0))+DemSlope!C4*INDEX(TargetConsumption!$C$2:$K$16,MATCH(C$1,TargetConsumption!$B$2:$B$16,0),MATCH($B4,TargetConsumption!$C$1:$K$1,0))</f>
        <v>15559.023521626052</v>
      </c>
      <c r="D4" s="3">
        <f>INDEX(Prices!$M$8:$AA$27,MATCH($B4,Prices!$L$8:$L$17,0),MATCH(D$1,Prices!$M$7:$AA$7,0))+DemSlope!D4*INDEX(TargetConsumption!$C$2:$K$16,MATCH(D$1,TargetConsumption!$B$2:$B$16,0),MATCH($B4,TargetConsumption!$C$1:$K$1,0))</f>
        <v>2739.8171495270371</v>
      </c>
      <c r="E4" s="3">
        <f>INDEX(Prices!$M$8:$AA$27,MATCH($B4,Prices!$L$8:$L$17,0),MATCH(E$1,Prices!$M$7:$AA$7,0))+DemSlope!E4*INDEX(TargetConsumption!$C$2:$K$16,MATCH(E$1,TargetConsumption!$B$2:$B$16,0),MATCH($B4,TargetConsumption!$C$1:$K$1,0))</f>
        <v>27316.880580934179</v>
      </c>
      <c r="F4" s="3">
        <f>INDEX(Prices!$M$8:$AA$27,MATCH($B4,Prices!$L$8:$L$17,0),MATCH(F$1,Prices!$M$7:$AA$7,0))+DemSlope!F4*INDEX(TargetConsumption!$C$2:$K$16,MATCH(F$1,TargetConsumption!$B$2:$B$16,0),MATCH($B4,TargetConsumption!$C$1:$K$1,0))</f>
        <v>5806.750746286124</v>
      </c>
      <c r="G4" s="3">
        <f>INDEX(Prices!$M$8:$AA$27,MATCH($B4,Prices!$L$8:$L$17,0),MATCH(G$1,Prices!$M$7:$AA$7,0))+DemSlope!G4*INDEX(TargetConsumption!$C$2:$K$16,MATCH(G$1,TargetConsumption!$B$2:$B$16,0),MATCH($B4,TargetConsumption!$C$1:$K$1,0))</f>
        <v>390.30802298092442</v>
      </c>
      <c r="H4" s="3">
        <f>INDEX(Prices!$M$8:$AA$27,MATCH($B4,Prices!$L$8:$L$17,0),MATCH(H$1,Prices!$M$7:$AA$7,0))+DemSlope!H4*INDEX(TargetConsumption!$C$2:$K$16,MATCH(H$1,TargetConsumption!$B$2:$B$16,0),MATCH($B4,TargetConsumption!$C$1:$K$1,0))</f>
        <v>17085.469922837518</v>
      </c>
      <c r="I4" s="3">
        <f>INDEX(Prices!$M$8:$AA$27,MATCH($B4,Prices!$L$8:$L$17,0),MATCH(I$1,Prices!$M$7:$AA$7,0))+DemSlope!I4*INDEX(TargetConsumption!$C$2:$K$16,MATCH(I$1,TargetConsumption!$B$2:$B$16,0),MATCH($B4,TargetConsumption!$C$1:$K$1,0))</f>
        <v>224331.72458705315</v>
      </c>
      <c r="J4" s="3">
        <f>INDEX(Prices!$M$8:$AA$27,MATCH($B4,Prices!$L$8:$L$17,0),MATCH(J$1,Prices!$M$7:$AA$7,0))+DemSlope!J4*INDEX(TargetConsumption!$C$2:$K$16,MATCH(J$1,TargetConsumption!$B$2:$B$16,0),MATCH($B4,TargetConsumption!$C$1:$K$1,0))</f>
        <v>385.17506548999705</v>
      </c>
      <c r="K4" s="3">
        <f>INDEX(Prices!$M$8:$AA$27,MATCH($B4,Prices!$L$8:$L$17,0),MATCH(K$1,Prices!$M$7:$AA$7,0))+DemSlope!K4*INDEX(TargetConsumption!$C$2:$K$16,MATCH(K$1,TargetConsumption!$B$2:$B$16,0),MATCH($B4,TargetConsumption!$C$1:$K$1,0))</f>
        <v>521.69509383649415</v>
      </c>
      <c r="L4" s="3">
        <f>INDEX(Prices!$M$8:$AA$27,MATCH($B4,Prices!$L$8:$L$17,0),MATCH(L$1,Prices!$M$7:$AA$7,0))+DemSlope!L4*INDEX(TargetConsumption!$C$2:$K$16,MATCH(L$1,TargetConsumption!$B$2:$B$16,0),MATCH($B4,TargetConsumption!$C$1:$K$1,0))</f>
        <v>71730.722756065778</v>
      </c>
      <c r="M4" s="3">
        <f>INDEX(Prices!$M$8:$AA$27,MATCH($B4,Prices!$L$8:$L$17,0),MATCH(M$1,Prices!$M$7:$AA$7,0))+DemSlope!M4*INDEX(TargetConsumption!$C$2:$K$16,MATCH(M$1,TargetConsumption!$B$2:$B$16,0),MATCH($B4,TargetConsumption!$C$1:$K$1,0))</f>
        <v>22858.14596890067</v>
      </c>
      <c r="N4" s="3">
        <f>INDEX(Prices!$M$8:$AA$27,MATCH($B4,Prices!$L$8:$L$17,0),MATCH(N$1,Prices!$M$7:$AA$7,0))+DemSlope!N4*INDEX(TargetConsumption!$C$2:$K$16,MATCH(N$1,TargetConsumption!$B$2:$B$16,0),MATCH($B4,TargetConsumption!$C$1:$K$1,0))</f>
        <v>139667.57828839024</v>
      </c>
      <c r="O4" s="3">
        <f>INDEX(Prices!$M$8:$AA$27,MATCH($B4,Prices!$L$8:$L$17,0),MATCH(O$1,Prices!$M$7:$AA$7,0))+DemSlope!O4*INDEX(TargetConsumption!$C$2:$K$16,MATCH(O$1,TargetConsumption!$B$2:$B$16,0),MATCH($B4,TargetConsumption!$C$1:$K$1,0))</f>
        <v>2402.3397059483259</v>
      </c>
      <c r="P4" s="3">
        <f>INDEX(Prices!$M$8:$AA$27,MATCH($B4,Prices!$L$8:$L$17,0),MATCH(P$1,Prices!$M$7:$AA$7,0))+DemSlope!P4*INDEX(TargetConsumption!$C$2:$K$16,MATCH(P$1,TargetConsumption!$B$2:$B$16,0),MATCH($B4,TargetConsumption!$C$1:$K$1,0))</f>
        <v>1704.5783180606491</v>
      </c>
      <c r="Q4" s="3">
        <f>INDEX(Prices!$M$8:$AA$27,MATCH($B4,Prices!$L$8:$L$17,0),MATCH(Q$1,Prices!$M$7:$AA$7,0))+DemSlope!Q4*INDEX(TargetConsumption!$C$2:$K$16,MATCH(Q$1,TargetConsumption!$B$2:$B$16,0),MATCH($B4,TargetConsumption!$C$1:$K$1,0))</f>
        <v>373.66666666666669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3">
        <f>INDEX(Prices!$M$8:$AA$27,MATCH($B5,Prices!$L$8:$L$17,0),MATCH(C$1,Prices!$M$7:$AA$7,0))+DemSlope!C5*INDEX(TargetConsumption!$C$2:$K$16,MATCH(C$1,TargetConsumption!$B$2:$B$16,0),MATCH($B5,TargetConsumption!$C$1:$K$1,0))</f>
        <v>1909.0448519205327</v>
      </c>
      <c r="D5" s="3">
        <f>INDEX(Prices!$M$8:$AA$27,MATCH($B5,Prices!$L$8:$L$17,0),MATCH(D$1,Prices!$M$7:$AA$7,0))+DemSlope!D5*INDEX(TargetConsumption!$C$2:$K$16,MATCH(D$1,TargetConsumption!$B$2:$B$16,0),MATCH($B5,TargetConsumption!$C$1:$K$1,0))</f>
        <v>852.93518714938796</v>
      </c>
      <c r="E5" s="3">
        <f>INDEX(Prices!$M$8:$AA$27,MATCH($B5,Prices!$L$8:$L$17,0),MATCH(E$1,Prices!$M$7:$AA$7,0))+DemSlope!E5*INDEX(TargetConsumption!$C$2:$K$16,MATCH(E$1,TargetConsumption!$B$2:$B$16,0),MATCH($B5,TargetConsumption!$C$1:$K$1,0))</f>
        <v>2877.7153075549622</v>
      </c>
      <c r="F5" s="3">
        <f>INDEX(Prices!$M$8:$AA$27,MATCH($B5,Prices!$L$8:$L$17,0),MATCH(F$1,Prices!$M$7:$AA$7,0))+DemSlope!F5*INDEX(TargetConsumption!$C$2:$K$16,MATCH(F$1,TargetConsumption!$B$2:$B$16,0),MATCH($B5,TargetConsumption!$C$1:$K$1,0))</f>
        <v>1105.6043554840455</v>
      </c>
      <c r="G5" s="3">
        <f>INDEX(Prices!$M$8:$AA$27,MATCH($B5,Prices!$L$8:$L$17,0),MATCH(G$1,Prices!$M$7:$AA$7,0))+DemSlope!G5*INDEX(TargetConsumption!$C$2:$K$16,MATCH(G$1,TargetConsumption!$B$2:$B$16,0),MATCH($B5,TargetConsumption!$C$1:$K$1,0))</f>
        <v>659.37099729329896</v>
      </c>
      <c r="H5" s="3">
        <f>INDEX(Prices!$M$8:$AA$27,MATCH($B5,Prices!$L$8:$L$17,0),MATCH(H$1,Prices!$M$7:$AA$7,0))+DemSlope!H5*INDEX(TargetConsumption!$C$2:$K$16,MATCH(H$1,TargetConsumption!$B$2:$B$16,0),MATCH($B5,TargetConsumption!$C$1:$K$1,0))</f>
        <v>2034.8010610243412</v>
      </c>
      <c r="I5" s="3">
        <f>INDEX(Prices!$M$8:$AA$27,MATCH($B5,Prices!$L$8:$L$17,0),MATCH(I$1,Prices!$M$7:$AA$7,0))+DemSlope!I5*INDEX(TargetConsumption!$C$2:$K$16,MATCH(I$1,TargetConsumption!$B$2:$B$16,0),MATCH($B5,TargetConsumption!$C$1:$K$1,0))</f>
        <v>19108.773207605944</v>
      </c>
      <c r="J5" s="3">
        <f>INDEX(Prices!$M$8:$AA$27,MATCH($B5,Prices!$L$8:$L$17,0),MATCH(J$1,Prices!$M$7:$AA$7,0))+DemSlope!J5*INDEX(TargetConsumption!$C$2:$K$16,MATCH(J$1,TargetConsumption!$B$2:$B$16,0),MATCH($B5,TargetConsumption!$C$1:$K$1,0))</f>
        <v>658.94811885155491</v>
      </c>
      <c r="K5" s="3">
        <f>INDEX(Prices!$M$8:$AA$27,MATCH($B5,Prices!$L$8:$L$17,0),MATCH(K$1,Prices!$M$7:$AA$7,0))+DemSlope!K5*INDEX(TargetConsumption!$C$2:$K$16,MATCH(K$1,TargetConsumption!$B$2:$B$16,0),MATCH($B5,TargetConsumption!$C$1:$K$1,0))</f>
        <v>670.19531444124243</v>
      </c>
      <c r="L5" s="3">
        <f>INDEX(Prices!$M$8:$AA$27,MATCH($B5,Prices!$L$8:$L$17,0),MATCH(L$1,Prices!$M$7:$AA$7,0))+DemSlope!L5*INDEX(TargetConsumption!$C$2:$K$16,MATCH(L$1,TargetConsumption!$B$2:$B$16,0),MATCH($B5,TargetConsumption!$C$1:$K$1,0))</f>
        <v>6536.7474355396862</v>
      </c>
      <c r="M5" s="3">
        <f>INDEX(Prices!$M$8:$AA$27,MATCH($B5,Prices!$L$8:$L$17,0),MATCH(M$1,Prices!$M$7:$AA$7,0))+DemSlope!M5*INDEX(TargetConsumption!$C$2:$K$16,MATCH(M$1,TargetConsumption!$B$2:$B$16,0),MATCH($B5,TargetConsumption!$C$1:$K$1,0))</f>
        <v>2510.382683386656</v>
      </c>
      <c r="N5" s="3">
        <f>INDEX(Prices!$M$8:$AA$27,MATCH($B5,Prices!$L$8:$L$17,0),MATCH(N$1,Prices!$M$7:$AA$7,0))+DemSlope!N5*INDEX(TargetConsumption!$C$2:$K$16,MATCH(N$1,TargetConsumption!$B$2:$B$16,0),MATCH($B5,TargetConsumption!$C$1:$K$1,0))</f>
        <v>12133.721822192039</v>
      </c>
      <c r="O5" s="3">
        <f>INDEX(Prices!$M$8:$AA$27,MATCH($B5,Prices!$L$8:$L$17,0),MATCH(O$1,Prices!$M$7:$AA$7,0))+DemSlope!O5*INDEX(TargetConsumption!$C$2:$K$16,MATCH(O$1,TargetConsumption!$B$2:$B$16,0),MATCH($B5,TargetConsumption!$C$1:$K$1,0))</f>
        <v>825.13212512977111</v>
      </c>
      <c r="P5" s="3">
        <f>INDEX(Prices!$M$8:$AA$27,MATCH($B5,Prices!$L$8:$L$17,0),MATCH(P$1,Prices!$M$7:$AA$7,0))+DemSlope!P5*INDEX(TargetConsumption!$C$2:$K$16,MATCH(P$1,TargetConsumption!$B$2:$B$16,0),MATCH($B5,TargetConsumption!$C$1:$K$1,0))</f>
        <v>767.64708868818673</v>
      </c>
      <c r="Q5" s="3">
        <f>INDEX(Prices!$M$8:$AA$27,MATCH($B5,Prices!$L$8:$L$17,0),MATCH(Q$1,Prices!$M$7:$AA$7,0))+DemSlope!Q5*INDEX(TargetConsumption!$C$2:$K$16,MATCH(Q$1,TargetConsumption!$B$2:$B$16,0),MATCH($B5,TargetConsumption!$C$1:$K$1,0))</f>
        <v>658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3">
        <f>INDEX(Prices!$M$8:$AA$27,MATCH($B6,Prices!$L$8:$L$17,0),MATCH(C$1,Prices!$M$7:$AA$7,0))+DemSlope!C6*INDEX(TargetConsumption!$C$2:$K$16,MATCH(C$1,TargetConsumption!$B$2:$B$16,0),MATCH($B6,TargetConsumption!$C$1:$K$1,0))</f>
        <v>3537.8609060022277</v>
      </c>
      <c r="D6" s="3">
        <f>INDEX(Prices!$M$8:$AA$27,MATCH($B6,Prices!$L$8:$L$17,0),MATCH(D$1,Prices!$M$7:$AA$7,0))+DemSlope!D6*INDEX(TargetConsumption!$C$2:$K$16,MATCH(D$1,TargetConsumption!$B$2:$B$16,0),MATCH($B6,TargetConsumption!$C$1:$K$1,0))</f>
        <v>991.08094427023161</v>
      </c>
      <c r="E6" s="3">
        <f>INDEX(Prices!$M$8:$AA$27,MATCH($B6,Prices!$L$8:$L$17,0),MATCH(E$1,Prices!$M$7:$AA$7,0))+DemSlope!E6*INDEX(TargetConsumption!$C$2:$K$16,MATCH(E$1,TargetConsumption!$B$2:$B$16,0),MATCH($B6,TargetConsumption!$C$1:$K$1,0))</f>
        <v>5873.7835740957507</v>
      </c>
      <c r="F6" s="3">
        <f>INDEX(Prices!$M$8:$AA$27,MATCH($B6,Prices!$L$8:$L$17,0),MATCH(F$1,Prices!$M$7:$AA$7,0))+DemSlope!F6*INDEX(TargetConsumption!$C$2:$K$16,MATCH(F$1,TargetConsumption!$B$2:$B$16,0),MATCH($B6,TargetConsumption!$C$1:$K$1,0))</f>
        <v>1600.3858264499029</v>
      </c>
      <c r="G6" s="3">
        <f>INDEX(Prices!$M$8:$AA$27,MATCH($B6,Prices!$L$8:$L$17,0),MATCH(G$1,Prices!$M$7:$AA$7,0))+DemSlope!G6*INDEX(TargetConsumption!$C$2:$K$16,MATCH(G$1,TargetConsumption!$B$2:$B$16,0),MATCH($B6,TargetConsumption!$C$1:$K$1,0))</f>
        <v>524.30612298195297</v>
      </c>
      <c r="H6" s="3">
        <f>INDEX(Prices!$M$8:$AA$27,MATCH($B6,Prices!$L$8:$L$17,0),MATCH(H$1,Prices!$M$7:$AA$7,0))+DemSlope!H6*INDEX(TargetConsumption!$C$2:$K$16,MATCH(H$1,TargetConsumption!$B$2:$B$16,0),MATCH($B6,TargetConsumption!$C$1:$K$1,0))</f>
        <v>3841.1186112315045</v>
      </c>
      <c r="I6" s="3">
        <f>INDEX(Prices!$M$8:$AA$27,MATCH($B6,Prices!$L$8:$L$17,0),MATCH(I$1,Prices!$M$7:$AA$7,0))+DemSlope!I6*INDEX(TargetConsumption!$C$2:$K$16,MATCH(I$1,TargetConsumption!$B$2:$B$16,0),MATCH($B6,TargetConsumption!$C$1:$K$1,0))</f>
        <v>45014.541770375698</v>
      </c>
      <c r="J6" s="3">
        <f>INDEX(Prices!$M$8:$AA$27,MATCH($B6,Prices!$L$8:$L$17,0),MATCH(J$1,Prices!$M$7:$AA$7,0))+DemSlope!J6*INDEX(TargetConsumption!$C$2:$K$16,MATCH(J$1,TargetConsumption!$B$2:$B$16,0),MATCH($B6,TargetConsumption!$C$1:$K$1,0))</f>
        <v>523.28636302935797</v>
      </c>
      <c r="K6" s="3">
        <f>INDEX(Prices!$M$8:$AA$27,MATCH($B6,Prices!$L$8:$L$17,0),MATCH(K$1,Prices!$M$7:$AA$7,0))+DemSlope!K6*INDEX(TargetConsumption!$C$2:$K$16,MATCH(K$1,TargetConsumption!$B$2:$B$16,0),MATCH($B6,TargetConsumption!$C$1:$K$1,0))</f>
        <v>550.40867173363802</v>
      </c>
      <c r="L6" s="3">
        <f>INDEX(Prices!$M$8:$AA$27,MATCH($B6,Prices!$L$8:$L$17,0),MATCH(L$1,Prices!$M$7:$AA$7,0))+DemSlope!L6*INDEX(TargetConsumption!$C$2:$K$16,MATCH(L$1,TargetConsumption!$B$2:$B$16,0),MATCH($B6,TargetConsumption!$C$1:$K$1,0))</f>
        <v>14697.440826493315</v>
      </c>
      <c r="M6" s="3">
        <f>INDEX(Prices!$M$8:$AA$27,MATCH($B6,Prices!$L$8:$L$17,0),MATCH(M$1,Prices!$M$7:$AA$7,0))+DemSlope!M6*INDEX(TargetConsumption!$C$2:$K$16,MATCH(M$1,TargetConsumption!$B$2:$B$16,0),MATCH($B6,TargetConsumption!$C$1:$K$1,0))</f>
        <v>4987.9708619045432</v>
      </c>
      <c r="N6" s="3">
        <f>INDEX(Prices!$M$8:$AA$27,MATCH($B6,Prices!$L$8:$L$17,0),MATCH(N$1,Prices!$M$7:$AA$7,0))+DemSlope!N6*INDEX(TargetConsumption!$C$2:$K$16,MATCH(N$1,TargetConsumption!$B$2:$B$16,0),MATCH($B6,TargetConsumption!$C$1:$K$1,0))</f>
        <v>28194.393548105134</v>
      </c>
      <c r="O6" s="3">
        <f>INDEX(Prices!$M$8:$AA$27,MATCH($B6,Prices!$L$8:$L$17,0),MATCH(O$1,Prices!$M$7:$AA$7,0))+DemSlope!O6*INDEX(TargetConsumption!$C$2:$K$16,MATCH(O$1,TargetConsumption!$B$2:$B$16,0),MATCH($B6,TargetConsumption!$C$1:$K$1,0))</f>
        <v>924.03461036351973</v>
      </c>
      <c r="P6" s="3">
        <f>INDEX(Prices!$M$8:$AA$27,MATCH($B6,Prices!$L$8:$L$17,0),MATCH(P$1,Prices!$M$7:$AA$7,0))+DemSlope!P6*INDEX(TargetConsumption!$C$2:$K$16,MATCH(P$1,TargetConsumption!$B$2:$B$16,0),MATCH($B6,TargetConsumption!$C$1:$K$1,0))</f>
        <v>785.41099598670644</v>
      </c>
      <c r="Q6" s="3">
        <f>INDEX(Prices!$M$8:$AA$27,MATCH($B6,Prices!$L$8:$L$17,0),MATCH(Q$1,Prices!$M$7:$AA$7,0))+DemSlope!Q6*INDEX(TargetConsumption!$C$2:$K$16,MATCH(Q$1,TargetConsumption!$B$2:$B$16,0),MATCH($B6,TargetConsumption!$C$1:$K$1,0))</f>
        <v>521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3">
        <f>INDEX(Prices!$M$8:$AA$27,MATCH($B7,Prices!$L$8:$L$17,0),MATCH(C$1,Prices!$M$7:$AA$7,0))+DemSlope!C7*INDEX(TargetConsumption!$C$2:$K$16,MATCH(C$1,TargetConsumption!$B$2:$B$16,0),MATCH($B7,TargetConsumption!$C$1:$K$1,0))</f>
        <v>15374.499457364389</v>
      </c>
      <c r="D7" s="3">
        <f>INDEX(Prices!$M$8:$AA$27,MATCH($B7,Prices!$L$8:$L$17,0),MATCH(D$1,Prices!$M$7:$AA$7,0))+DemSlope!D7*INDEX(TargetConsumption!$C$2:$K$16,MATCH(D$1,TargetConsumption!$B$2:$B$16,0),MATCH($B7,TargetConsumption!$C$1:$K$1,0))</f>
        <v>2732.3360403791362</v>
      </c>
      <c r="E7" s="3">
        <f>INDEX(Prices!$M$8:$AA$27,MATCH($B7,Prices!$L$8:$L$17,0),MATCH(E$1,Prices!$M$7:$AA$7,0))+DemSlope!E7*INDEX(TargetConsumption!$C$2:$K$16,MATCH(E$1,TargetConsumption!$B$2:$B$16,0),MATCH($B7,TargetConsumption!$C$1:$K$1,0))</f>
        <v>26969.971599918568</v>
      </c>
      <c r="F7" s="3">
        <f>INDEX(Prices!$M$8:$AA$27,MATCH($B7,Prices!$L$8:$L$17,0),MATCH(F$1,Prices!$M$7:$AA$7,0))+DemSlope!F7*INDEX(TargetConsumption!$C$2:$K$16,MATCH(F$1,TargetConsumption!$B$2:$B$16,0),MATCH($B7,TargetConsumption!$C$1:$K$1,0))</f>
        <v>5756.9129598723293</v>
      </c>
      <c r="G7" s="3">
        <f>INDEX(Prices!$M$8:$AA$27,MATCH($B7,Prices!$L$8:$L$17,0),MATCH(G$1,Prices!$M$7:$AA$7,0))+DemSlope!G7*INDEX(TargetConsumption!$C$2:$K$16,MATCH(G$1,TargetConsumption!$B$2:$B$16,0),MATCH($B7,TargetConsumption!$C$1:$K$1,0))</f>
        <v>415.27541546069159</v>
      </c>
      <c r="H7" s="3">
        <f>INDEX(Prices!$M$8:$AA$27,MATCH($B7,Prices!$L$8:$L$17,0),MATCH(H$1,Prices!$M$7:$AA$7,0))+DemSlope!H7*INDEX(TargetConsumption!$C$2:$K$16,MATCH(H$1,TargetConsumption!$B$2:$B$16,0),MATCH($B7,TargetConsumption!$C$1:$K$1,0))</f>
        <v>16879.864476948253</v>
      </c>
      <c r="I7" s="3">
        <f>INDEX(Prices!$M$8:$AA$27,MATCH($B7,Prices!$L$8:$L$17,0),MATCH(I$1,Prices!$M$7:$AA$7,0))+DemSlope!I7*INDEX(TargetConsumption!$C$2:$K$16,MATCH(I$1,TargetConsumption!$B$2:$B$16,0),MATCH($B7,TargetConsumption!$C$1:$K$1,0))</f>
        <v>221263.8913013913</v>
      </c>
      <c r="J7" s="3">
        <f>INDEX(Prices!$M$8:$AA$27,MATCH($B7,Prices!$L$8:$L$17,0),MATCH(J$1,Prices!$M$7:$AA$7,0))+DemSlope!J7*INDEX(TargetConsumption!$C$2:$K$16,MATCH(J$1,TargetConsumption!$B$2:$B$16,0),MATCH($B7,TargetConsumption!$C$1:$K$1,0))</f>
        <v>410.21334800275764</v>
      </c>
      <c r="K7" s="3">
        <f>INDEX(Prices!$M$8:$AA$27,MATCH($B7,Prices!$L$8:$L$17,0),MATCH(K$1,Prices!$M$7:$AA$7,0))+DemSlope!K7*INDEX(TargetConsumption!$C$2:$K$16,MATCH(K$1,TargetConsumption!$B$2:$B$16,0),MATCH($B7,TargetConsumption!$C$1:$K$1,0))</f>
        <v>544.84793129523916</v>
      </c>
      <c r="L7" s="3">
        <f>INDEX(Prices!$M$8:$AA$27,MATCH($B7,Prices!$L$8:$L$17,0),MATCH(L$1,Prices!$M$7:$AA$7,0))+DemSlope!L7*INDEX(TargetConsumption!$C$2:$K$16,MATCH(L$1,TargetConsumption!$B$2:$B$16,0),MATCH($B7,TargetConsumption!$C$1:$K$1,0))</f>
        <v>70770.424955305789</v>
      </c>
      <c r="M7" s="3">
        <f>INDEX(Prices!$M$8:$AA$27,MATCH($B7,Prices!$L$8:$L$17,0),MATCH(M$1,Prices!$M$7:$AA$7,0))+DemSlope!M7*INDEX(TargetConsumption!$C$2:$K$16,MATCH(M$1,TargetConsumption!$B$2:$B$16,0),MATCH($B7,TargetConsumption!$C$1:$K$1,0))</f>
        <v>22572.815491956924</v>
      </c>
      <c r="N7" s="3">
        <f>INDEX(Prices!$M$8:$AA$27,MATCH($B7,Prices!$L$8:$L$17,0),MATCH(N$1,Prices!$M$7:$AA$7,0))+DemSlope!N7*INDEX(TargetConsumption!$C$2:$K$16,MATCH(N$1,TargetConsumption!$B$2:$B$16,0),MATCH($B7,TargetConsumption!$C$1:$K$1,0))</f>
        <v>137769.02102636147</v>
      </c>
      <c r="O7" s="3">
        <f>INDEX(Prices!$M$8:$AA$27,MATCH($B7,Prices!$L$8:$L$17,0),MATCH(O$1,Prices!$M$7:$AA$7,0))+DemSlope!O7*INDEX(TargetConsumption!$C$2:$K$16,MATCH(O$1,TargetConsumption!$B$2:$B$16,0),MATCH($B7,TargetConsumption!$C$1:$K$1,0))</f>
        <v>2399.5194160556216</v>
      </c>
      <c r="P7" s="3">
        <f>INDEX(Prices!$M$8:$AA$27,MATCH($B7,Prices!$L$8:$L$17,0),MATCH(P$1,Prices!$M$7:$AA$7,0))+DemSlope!P7*INDEX(TargetConsumption!$C$2:$K$16,MATCH(P$1,TargetConsumption!$B$2:$B$16,0),MATCH($B7,TargetConsumption!$C$1:$K$1,0))</f>
        <v>1711.3946417374691</v>
      </c>
      <c r="Q7" s="3">
        <f>INDEX(Prices!$M$8:$AA$27,MATCH($B7,Prices!$L$8:$L$17,0),MATCH(Q$1,Prices!$M$7:$AA$7,0))+DemSlope!Q7*INDEX(TargetConsumption!$C$2:$K$16,MATCH(Q$1,TargetConsumption!$B$2:$B$16,0),MATCH($B7,TargetConsumption!$C$1:$K$1,0))</f>
        <v>398.86388888888888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3">
        <f>INDEX(Prices!$M$8:$AA$27,MATCH($B8,Prices!$L$8:$L$17,0),MATCH(C$1,Prices!$M$7:$AA$7,0))+DemSlope!C8*INDEX(TargetConsumption!$C$2:$K$16,MATCH(C$1,TargetConsumption!$B$2:$B$16,0),MATCH($B8,TargetConsumption!$C$1:$K$1,0))</f>
        <v>771.07007459427291</v>
      </c>
      <c r="D8" s="3">
        <f>INDEX(Prices!$M$8:$AA$27,MATCH($B8,Prices!$L$8:$L$17,0),MATCH(D$1,Prices!$M$7:$AA$7,0))+DemSlope!D8*INDEX(TargetConsumption!$C$2:$K$16,MATCH(D$1,TargetConsumption!$B$2:$B$16,0),MATCH($B8,TargetConsumption!$C$1:$K$1,0))</f>
        <v>745.47206553457409</v>
      </c>
      <c r="E8" s="3">
        <f>INDEX(Prices!$M$8:$AA$27,MATCH($B8,Prices!$L$8:$L$17,0),MATCH(E$1,Prices!$M$7:$AA$7,0))+DemSlope!E8*INDEX(TargetConsumption!$C$2:$K$16,MATCH(E$1,TargetConsumption!$B$2:$B$16,0),MATCH($B8,TargetConsumption!$C$1:$K$1,0))</f>
        <v>794.54873019824936</v>
      </c>
      <c r="F8" s="3">
        <f>INDEX(Prices!$M$8:$AA$27,MATCH($B8,Prices!$L$8:$L$17,0),MATCH(F$1,Prices!$M$7:$AA$7,0))+DemSlope!F8*INDEX(TargetConsumption!$C$2:$K$16,MATCH(F$1,TargetConsumption!$B$2:$B$16,0),MATCH($B8,TargetConsumption!$C$1:$K$1,0))</f>
        <v>751.5962663404996</v>
      </c>
      <c r="G8" s="3">
        <f>INDEX(Prices!$M$8:$AA$27,MATCH($B8,Prices!$L$8:$L$17,0),MATCH(G$1,Prices!$M$7:$AA$7,0))+DemSlope!G8*INDEX(TargetConsumption!$C$2:$K$16,MATCH(G$1,TargetConsumption!$B$2:$B$16,0),MATCH($B8,TargetConsumption!$C$1:$K$1,0))</f>
        <v>740.78045248448132</v>
      </c>
      <c r="H8" s="3">
        <f>INDEX(Prices!$M$8:$AA$27,MATCH($B8,Prices!$L$8:$L$17,0),MATCH(H$1,Prices!$M$7:$AA$7,0))+DemSlope!H8*INDEX(TargetConsumption!$C$2:$K$16,MATCH(H$1,TargetConsumption!$B$2:$B$16,0),MATCH($B8,TargetConsumption!$C$1:$K$1,0))</f>
        <v>774.11815632984747</v>
      </c>
      <c r="I8" s="3">
        <f>INDEX(Prices!$M$8:$AA$27,MATCH($B8,Prices!$L$8:$L$17,0),MATCH(I$1,Prices!$M$7:$AA$7,0))+DemSlope!I8*INDEX(TargetConsumption!$C$2:$K$16,MATCH(I$1,TargetConsumption!$B$2:$B$16,0),MATCH($B8,TargetConsumption!$C$1:$K$1,0))</f>
        <v>1187.957465136808</v>
      </c>
      <c r="J8" s="3">
        <f>INDEX(Prices!$M$8:$AA$27,MATCH($B8,Prices!$L$8:$L$17,0),MATCH(J$1,Prices!$M$7:$AA$7,0))+DemSlope!J8*INDEX(TargetConsumption!$C$2:$K$16,MATCH(J$1,TargetConsumption!$B$2:$B$16,0),MATCH($B8,TargetConsumption!$C$1:$K$1,0))</f>
        <v>740.77020274759889</v>
      </c>
      <c r="K8" s="3">
        <f>INDEX(Prices!$M$8:$AA$27,MATCH($B8,Prices!$L$8:$L$17,0),MATCH(K$1,Prices!$M$7:$AA$7,0))+DemSlope!K8*INDEX(TargetConsumption!$C$2:$K$16,MATCH(K$1,TargetConsumption!$B$2:$B$16,0),MATCH($B8,TargetConsumption!$C$1:$K$1,0))</f>
        <v>741.0428125192966</v>
      </c>
      <c r="L8" s="3">
        <f>INDEX(Prices!$M$8:$AA$27,MATCH($B8,Prices!$L$8:$L$17,0),MATCH(L$1,Prices!$M$7:$AA$7,0))+DemSlope!L8*INDEX(TargetConsumption!$C$2:$K$16,MATCH(L$1,TargetConsumption!$B$2:$B$16,0),MATCH($B8,TargetConsumption!$C$1:$K$1,0))</f>
        <v>883.23643062013559</v>
      </c>
      <c r="M8" s="3">
        <f>INDEX(Prices!$M$8:$AA$27,MATCH($B8,Prices!$L$8:$L$17,0),MATCH(M$1,Prices!$M$7:$AA$7,0))+DemSlope!M8*INDEX(TargetConsumption!$C$2:$K$16,MATCH(M$1,TargetConsumption!$B$2:$B$16,0),MATCH($B8,TargetConsumption!$C$1:$K$1,0))</f>
        <v>785.64531405214223</v>
      </c>
      <c r="N8" s="3">
        <f>INDEX(Prices!$M$8:$AA$27,MATCH($B8,Prices!$L$8:$L$17,0),MATCH(N$1,Prices!$M$7:$AA$7,0))+DemSlope!N8*INDEX(TargetConsumption!$C$2:$K$16,MATCH(N$1,TargetConsumption!$B$2:$B$16,0),MATCH($B8,TargetConsumption!$C$1:$K$1,0))</f>
        <v>1018.8960177213252</v>
      </c>
      <c r="O8" s="3">
        <f>INDEX(Prices!$M$8:$AA$27,MATCH($B8,Prices!$L$8:$L$17,0),MATCH(O$1,Prices!$M$7:$AA$7,0))+DemSlope!O8*INDEX(TargetConsumption!$C$2:$K$16,MATCH(O$1,TargetConsumption!$B$2:$B$16,0),MATCH($B8,TargetConsumption!$C$1:$K$1,0))</f>
        <v>744.79817431171546</v>
      </c>
      <c r="P8" s="3">
        <f>INDEX(Prices!$M$8:$AA$27,MATCH($B8,Prices!$L$8:$L$17,0),MATCH(P$1,Prices!$M$7:$AA$7,0))+DemSlope!P8*INDEX(TargetConsumption!$C$2:$K$16,MATCH(P$1,TargetConsumption!$B$2:$B$16,0),MATCH($B8,TargetConsumption!$C$1:$K$1,0))</f>
        <v>743.40485074626201</v>
      </c>
      <c r="Q8" s="3">
        <f>INDEX(Prices!$M$8:$AA$27,MATCH($B8,Prices!$L$8:$L$17,0),MATCH(Q$1,Prices!$M$7:$AA$7,0))+DemSlope!Q8*INDEX(TargetConsumption!$C$2:$K$16,MATCH(Q$1,TargetConsumption!$B$2:$B$16,0),MATCH($B8,TargetConsumption!$C$1:$K$1,0))</f>
        <v>17021.902504613499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3">
        <f>INDEX(Prices!$M$8:$AA$27,MATCH($B9,Prices!$L$8:$L$17,0),MATCH(C$1,Prices!$M$7:$AA$7,0))+DemSlope!C9*INDEX(TargetConsumption!$C$2:$K$16,MATCH(C$1,TargetConsumption!$B$2:$B$16,0),MATCH($B9,TargetConsumption!$C$1:$K$1,0))</f>
        <v>666.67250000000001</v>
      </c>
      <c r="D9" s="3">
        <f>INDEX(Prices!$M$8:$AA$27,MATCH($B9,Prices!$L$8:$L$17,0),MATCH(D$1,Prices!$M$7:$AA$7,0))+DemSlope!D9*INDEX(TargetConsumption!$C$2:$K$16,MATCH(D$1,TargetConsumption!$B$2:$B$16,0),MATCH($B9,TargetConsumption!$C$1:$K$1,0))</f>
        <v>666.67250000000001</v>
      </c>
      <c r="E9" s="3">
        <f>INDEX(Prices!$M$8:$AA$27,MATCH($B9,Prices!$L$8:$L$17,0),MATCH(E$1,Prices!$M$7:$AA$7,0))+DemSlope!E9*INDEX(TargetConsumption!$C$2:$K$16,MATCH(E$1,TargetConsumption!$B$2:$B$16,0),MATCH($B9,TargetConsumption!$C$1:$K$1,0))</f>
        <v>666.67250000000001</v>
      </c>
      <c r="F9" s="3">
        <f>INDEX(Prices!$M$8:$AA$27,MATCH($B9,Prices!$L$8:$L$17,0),MATCH(F$1,Prices!$M$7:$AA$7,0))+DemSlope!F9*INDEX(TargetConsumption!$C$2:$K$16,MATCH(F$1,TargetConsumption!$B$2:$B$16,0),MATCH($B9,TargetConsumption!$C$1:$K$1,0))</f>
        <v>666.67250000000001</v>
      </c>
      <c r="G9" s="3">
        <f>INDEX(Prices!$M$8:$AA$27,MATCH($B9,Prices!$L$8:$L$17,0),MATCH(G$1,Prices!$M$7:$AA$7,0))+DemSlope!G9*INDEX(TargetConsumption!$C$2:$K$16,MATCH(G$1,TargetConsumption!$B$2:$B$16,0),MATCH($B9,TargetConsumption!$C$1:$K$1,0))</f>
        <v>666.67250000000001</v>
      </c>
      <c r="H9" s="3">
        <f>INDEX(Prices!$M$8:$AA$27,MATCH($B9,Prices!$L$8:$L$17,0),MATCH(H$1,Prices!$M$7:$AA$7,0))+DemSlope!H9*INDEX(TargetConsumption!$C$2:$K$16,MATCH(H$1,TargetConsumption!$B$2:$B$16,0),MATCH($B9,TargetConsumption!$C$1:$K$1,0))</f>
        <v>666.67250000000001</v>
      </c>
      <c r="I9" s="3">
        <f>INDEX(Prices!$M$8:$AA$27,MATCH($B9,Prices!$L$8:$L$17,0),MATCH(I$1,Prices!$M$7:$AA$7,0))+DemSlope!I9*INDEX(TargetConsumption!$C$2:$K$16,MATCH(I$1,TargetConsumption!$B$2:$B$16,0),MATCH($B9,TargetConsumption!$C$1:$K$1,0))</f>
        <v>666.67250000000001</v>
      </c>
      <c r="J9" s="3">
        <f>INDEX(Prices!$M$8:$AA$27,MATCH($B9,Prices!$L$8:$L$17,0),MATCH(J$1,Prices!$M$7:$AA$7,0))+DemSlope!J9*INDEX(TargetConsumption!$C$2:$K$16,MATCH(J$1,TargetConsumption!$B$2:$B$16,0),MATCH($B9,TargetConsumption!$C$1:$K$1,0))</f>
        <v>666.67250000000001</v>
      </c>
      <c r="K9" s="3">
        <f>INDEX(Prices!$M$8:$AA$27,MATCH($B9,Prices!$L$8:$L$17,0),MATCH(K$1,Prices!$M$7:$AA$7,0))+DemSlope!K9*INDEX(TargetConsumption!$C$2:$K$16,MATCH(K$1,TargetConsumption!$B$2:$B$16,0),MATCH($B9,TargetConsumption!$C$1:$K$1,0))</f>
        <v>666.67250000000001</v>
      </c>
      <c r="L9" s="3">
        <f>INDEX(Prices!$M$8:$AA$27,MATCH($B9,Prices!$L$8:$L$17,0),MATCH(L$1,Prices!$M$7:$AA$7,0))+DemSlope!L9*INDEX(TargetConsumption!$C$2:$K$16,MATCH(L$1,TargetConsumption!$B$2:$B$16,0),MATCH($B9,TargetConsumption!$C$1:$K$1,0))</f>
        <v>666.67250000000001</v>
      </c>
      <c r="M9" s="3">
        <f>INDEX(Prices!$M$8:$AA$27,MATCH($B9,Prices!$L$8:$L$17,0),MATCH(M$1,Prices!$M$7:$AA$7,0))+DemSlope!M9*INDEX(TargetConsumption!$C$2:$K$16,MATCH(M$1,TargetConsumption!$B$2:$B$16,0),MATCH($B9,TargetConsumption!$C$1:$K$1,0))</f>
        <v>666.67250000000001</v>
      </c>
      <c r="N9" s="3">
        <f>INDEX(Prices!$M$8:$AA$27,MATCH($B9,Prices!$L$8:$L$17,0),MATCH(N$1,Prices!$M$7:$AA$7,0))+DemSlope!N9*INDEX(TargetConsumption!$C$2:$K$16,MATCH(N$1,TargetConsumption!$B$2:$B$16,0),MATCH($B9,TargetConsumption!$C$1:$K$1,0))</f>
        <v>666.67250000000001</v>
      </c>
      <c r="O9" s="3">
        <f>INDEX(Prices!$M$8:$AA$27,MATCH($B9,Prices!$L$8:$L$17,0),MATCH(O$1,Prices!$M$7:$AA$7,0))+DemSlope!O9*INDEX(TargetConsumption!$C$2:$K$16,MATCH(O$1,TargetConsumption!$B$2:$B$16,0),MATCH($B9,TargetConsumption!$C$1:$K$1,0))</f>
        <v>666.67250000000001</v>
      </c>
      <c r="P9" s="3">
        <f>INDEX(Prices!$M$8:$AA$27,MATCH($B9,Prices!$L$8:$L$17,0),MATCH(P$1,Prices!$M$7:$AA$7,0))+DemSlope!P9*INDEX(TargetConsumption!$C$2:$K$16,MATCH(P$1,TargetConsumption!$B$2:$B$16,0),MATCH($B9,TargetConsumption!$C$1:$K$1,0))</f>
        <v>666.67250000000001</v>
      </c>
      <c r="Q9" s="3">
        <f>INDEX(Prices!$M$8:$AA$27,MATCH($B9,Prices!$L$8:$L$17,0),MATCH(Q$1,Prices!$M$7:$AA$7,0))+DemSlope!Q9*INDEX(TargetConsumption!$C$2:$K$16,MATCH(Q$1,TargetConsumption!$B$2:$B$16,0),MATCH($B9,TargetConsumption!$C$1:$K$1,0))</f>
        <v>666.67250000000001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3">
        <f>INDEX(Prices!$M$8:$AA$27,MATCH($B10,Prices!$L$8:$L$17,0),MATCH(C$1,Prices!$M$7:$AA$7,0))+DemSlope!C10*INDEX(TargetConsumption!$C$2:$K$16,MATCH(C$1,TargetConsumption!$B$2:$B$16,0),MATCH($B10,TargetConsumption!$C$1:$K$1,0))</f>
        <v>358.97750000000002</v>
      </c>
      <c r="D10" s="3">
        <f>INDEX(Prices!$M$8:$AA$27,MATCH($B10,Prices!$L$8:$L$17,0),MATCH(D$1,Prices!$M$7:$AA$7,0))+DemSlope!D10*INDEX(TargetConsumption!$C$2:$K$16,MATCH(D$1,TargetConsumption!$B$2:$B$16,0),MATCH($B10,TargetConsumption!$C$1:$K$1,0))</f>
        <v>358.97750000000002</v>
      </c>
      <c r="E10" s="3">
        <f>INDEX(Prices!$M$8:$AA$27,MATCH($B10,Prices!$L$8:$L$17,0),MATCH(E$1,Prices!$M$7:$AA$7,0))+DemSlope!E10*INDEX(TargetConsumption!$C$2:$K$16,MATCH(E$1,TargetConsumption!$B$2:$B$16,0),MATCH($B10,TargetConsumption!$C$1:$K$1,0))</f>
        <v>358.97750000000002</v>
      </c>
      <c r="F10" s="3">
        <f>INDEX(Prices!$M$8:$AA$27,MATCH($B10,Prices!$L$8:$L$17,0),MATCH(F$1,Prices!$M$7:$AA$7,0))+DemSlope!F10*INDEX(TargetConsumption!$C$2:$K$16,MATCH(F$1,TargetConsumption!$B$2:$B$16,0),MATCH($B10,TargetConsumption!$C$1:$K$1,0))</f>
        <v>358.97750000000002</v>
      </c>
      <c r="G10" s="3">
        <f>INDEX(Prices!$M$8:$AA$27,MATCH($B10,Prices!$L$8:$L$17,0),MATCH(G$1,Prices!$M$7:$AA$7,0))+DemSlope!G10*INDEX(TargetConsumption!$C$2:$K$16,MATCH(G$1,TargetConsumption!$B$2:$B$16,0),MATCH($B10,TargetConsumption!$C$1:$K$1,0))</f>
        <v>358.97750000000002</v>
      </c>
      <c r="H10" s="3">
        <f>INDEX(Prices!$M$8:$AA$27,MATCH($B10,Prices!$L$8:$L$17,0),MATCH(H$1,Prices!$M$7:$AA$7,0))+DemSlope!H10*INDEX(TargetConsumption!$C$2:$K$16,MATCH(H$1,TargetConsumption!$B$2:$B$16,0),MATCH($B10,TargetConsumption!$C$1:$K$1,0))</f>
        <v>358.97750000000002</v>
      </c>
      <c r="I10" s="3">
        <f>INDEX(Prices!$M$8:$AA$27,MATCH($B10,Prices!$L$8:$L$17,0),MATCH(I$1,Prices!$M$7:$AA$7,0))+DemSlope!I10*INDEX(TargetConsumption!$C$2:$K$16,MATCH(I$1,TargetConsumption!$B$2:$B$16,0),MATCH($B10,TargetConsumption!$C$1:$K$1,0))</f>
        <v>358.97750000000002</v>
      </c>
      <c r="J10" s="3">
        <f>INDEX(Prices!$M$8:$AA$27,MATCH($B10,Prices!$L$8:$L$17,0),MATCH(J$1,Prices!$M$7:$AA$7,0))+DemSlope!J10*INDEX(TargetConsumption!$C$2:$K$16,MATCH(J$1,TargetConsumption!$B$2:$B$16,0),MATCH($B10,TargetConsumption!$C$1:$K$1,0))</f>
        <v>358.97750000000002</v>
      </c>
      <c r="K10" s="3">
        <f>INDEX(Prices!$M$8:$AA$27,MATCH($B10,Prices!$L$8:$L$17,0),MATCH(K$1,Prices!$M$7:$AA$7,0))+DemSlope!K10*INDEX(TargetConsumption!$C$2:$K$16,MATCH(K$1,TargetConsumption!$B$2:$B$16,0),MATCH($B10,TargetConsumption!$C$1:$K$1,0))</f>
        <v>358.97750000000002</v>
      </c>
      <c r="L10" s="3">
        <f>INDEX(Prices!$M$8:$AA$27,MATCH($B10,Prices!$L$8:$L$17,0),MATCH(L$1,Prices!$M$7:$AA$7,0))+DemSlope!L10*INDEX(TargetConsumption!$C$2:$K$16,MATCH(L$1,TargetConsumption!$B$2:$B$16,0),MATCH($B10,TargetConsumption!$C$1:$K$1,0))</f>
        <v>358.97750000000002</v>
      </c>
      <c r="M10" s="3">
        <f>INDEX(Prices!$M$8:$AA$27,MATCH($B10,Prices!$L$8:$L$17,0),MATCH(M$1,Prices!$M$7:$AA$7,0))+DemSlope!M10*INDEX(TargetConsumption!$C$2:$K$16,MATCH(M$1,TargetConsumption!$B$2:$B$16,0),MATCH($B10,TargetConsumption!$C$1:$K$1,0))</f>
        <v>358.97750000000002</v>
      </c>
      <c r="N10" s="3">
        <f>INDEX(Prices!$M$8:$AA$27,MATCH($B10,Prices!$L$8:$L$17,0),MATCH(N$1,Prices!$M$7:$AA$7,0))+DemSlope!N10*INDEX(TargetConsumption!$C$2:$K$16,MATCH(N$1,TargetConsumption!$B$2:$B$16,0),MATCH($B10,TargetConsumption!$C$1:$K$1,0))</f>
        <v>358.97750000000002</v>
      </c>
      <c r="O10" s="3">
        <f>INDEX(Prices!$M$8:$AA$27,MATCH($B10,Prices!$L$8:$L$17,0),MATCH(O$1,Prices!$M$7:$AA$7,0))+DemSlope!O10*INDEX(TargetConsumption!$C$2:$K$16,MATCH(O$1,TargetConsumption!$B$2:$B$16,0),MATCH($B10,TargetConsumption!$C$1:$K$1,0))</f>
        <v>358.97750000000002</v>
      </c>
      <c r="P10" s="3">
        <f>INDEX(Prices!$M$8:$AA$27,MATCH($B10,Prices!$L$8:$L$17,0),MATCH(P$1,Prices!$M$7:$AA$7,0))+DemSlope!P10*INDEX(TargetConsumption!$C$2:$K$16,MATCH(P$1,TargetConsumption!$B$2:$B$16,0),MATCH($B10,TargetConsumption!$C$1:$K$1,0))</f>
        <v>358.97750000000002</v>
      </c>
      <c r="Q10" s="3">
        <f>INDEX(Prices!$M$8:$AA$27,MATCH($B10,Prices!$L$8:$L$17,0),MATCH(Q$1,Prices!$M$7:$AA$7,0))+DemSlope!Q10*INDEX(TargetConsumption!$C$2:$K$16,MATCH(Q$1,TargetConsumption!$B$2:$B$16,0),MATCH($B10,TargetConsumption!$C$1:$K$1,0))</f>
        <v>358.97750000000002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45">
        <f>INDEX(Prices!$M$8:$AA$27,MATCH($B11,Prices!$L$8:$L$17,0)+COUNTA(Prices!$K$8:$K$17),MATCH(C$1,Prices!$M$7:$AA$7,0))+DemSlope!C11*INDEX(TargetConsumption!$C$2:$K$16,MATCH(C$1,TargetConsumption!$B$2:$B$16,0),MATCH($B11,TargetConsumption!$C$1:$K$1,0))</f>
        <v>3887.8560049645348</v>
      </c>
      <c r="D11" s="45">
        <f>INDEX(Prices!$M$8:$AA$27,MATCH($B11,Prices!$L$8:$L$17,0)+COUNTA(Prices!$K$8:$K$17),MATCH(D$1,Prices!$M$7:$AA$7,0))+DemSlope!D11*INDEX(TargetConsumption!$C$2:$K$16,MATCH(D$1,TargetConsumption!$B$2:$B$16,0),MATCH($B11,TargetConsumption!$C$1:$K$1,0))</f>
        <v>1211.7796229596333</v>
      </c>
      <c r="E11" s="45">
        <f>INDEX(Prices!$M$8:$AA$27,MATCH($B11,Prices!$L$8:$L$17,0)+COUNTA(Prices!$K$8:$K$17),MATCH(E$1,Prices!$M$7:$AA$7,0))+DemSlope!E11*INDEX(TargetConsumption!$C$2:$K$16,MATCH(E$1,TargetConsumption!$B$2:$B$16,0),MATCH($B11,TargetConsumption!$C$1:$K$1,0))</f>
        <v>6342.3701664564232</v>
      </c>
      <c r="F11" s="45">
        <f>INDEX(Prices!$M$8:$AA$27,MATCH($B11,Prices!$L$8:$L$17,0)+COUNTA(Prices!$K$8:$K$17),MATCH(F$1,Prices!$M$7:$AA$7,0))+DemSlope!F11*INDEX(TargetConsumption!$C$2:$K$16,MATCH(F$1,TargetConsumption!$B$2:$B$16,0),MATCH($B11,TargetConsumption!$C$1:$K$1,0))</f>
        <v>1852.0180531114111</v>
      </c>
      <c r="G11" s="45">
        <f>INDEX(Prices!$M$8:$AA$27,MATCH($B11,Prices!$L$8:$L$17,0)+COUNTA(Prices!$K$8:$K$17),MATCH(G$1,Prices!$M$7:$AA$7,0))+DemSlope!G11*INDEX(TargetConsumption!$C$2:$K$16,MATCH(G$1,TargetConsumption!$B$2:$B$16,0),MATCH($B11,TargetConsumption!$C$1:$K$1,0))</f>
        <v>721.30730350780846</v>
      </c>
      <c r="H11" s="45">
        <f>INDEX(Prices!$M$8:$AA$27,MATCH($B11,Prices!$L$8:$L$17,0)+COUNTA(Prices!$K$8:$K$17),MATCH(H$1,Prices!$M$7:$AA$7,0))+DemSlope!H11*INDEX(TargetConsumption!$C$2:$K$16,MATCH(H$1,TargetConsumption!$B$2:$B$16,0),MATCH($B11,TargetConsumption!$C$1:$K$1,0))</f>
        <v>4206.509675410869</v>
      </c>
      <c r="I11" s="45">
        <f>INDEX(Prices!$M$8:$AA$27,MATCH($B11,Prices!$L$8:$L$17,0)+COUNTA(Prices!$K$8:$K$17),MATCH(I$1,Prices!$M$7:$AA$7,0))+DemSlope!I11*INDEX(TargetConsumption!$C$2:$K$16,MATCH(I$1,TargetConsumption!$B$2:$B$16,0),MATCH($B11,TargetConsumption!$C$1:$K$1,0))</f>
        <v>47470.249353787651</v>
      </c>
      <c r="J11" s="45">
        <f>INDEX(Prices!$M$8:$AA$27,MATCH($B11,Prices!$L$8:$L$17,0)+COUNTA(Prices!$K$8:$K$17),MATCH(J$1,Prices!$M$7:$AA$7,0))+DemSlope!J11*INDEX(TargetConsumption!$C$2:$K$16,MATCH(J$1,TargetConsumption!$B$2:$B$16,0),MATCH($B11,TargetConsumption!$C$1:$K$1,0))</f>
        <v>720.23577178325468</v>
      </c>
      <c r="K11" s="45">
        <f>INDEX(Prices!$M$8:$AA$27,MATCH($B11,Prices!$L$8:$L$17,0)+COUNTA(Prices!$K$8:$K$17),MATCH(K$1,Prices!$M$7:$AA$7,0))+DemSlope!K11*INDEX(TargetConsumption!$C$2:$K$16,MATCH(K$1,TargetConsumption!$B$2:$B$16,0),MATCH($B11,TargetConsumption!$C$1:$K$1,0))</f>
        <v>748.73504177892767</v>
      </c>
      <c r="L11" s="45">
        <f>INDEX(Prices!$M$8:$AA$27,MATCH($B11,Prices!$L$8:$L$17,0)+COUNTA(Prices!$K$8:$K$17),MATCH(L$1,Prices!$M$7:$AA$7,0))+DemSlope!L11*INDEX(TargetConsumption!$C$2:$K$16,MATCH(L$1,TargetConsumption!$B$2:$B$16,0),MATCH($B11,TargetConsumption!$C$1:$K$1,0))</f>
        <v>15613.992030478386</v>
      </c>
      <c r="M11" s="45">
        <f>INDEX(Prices!$M$8:$AA$27,MATCH($B11,Prices!$L$8:$L$17,0)+COUNTA(Prices!$K$8:$K$17),MATCH(M$1,Prices!$M$7:$AA$7,0))+DemSlope!M11*INDEX(TargetConsumption!$C$2:$K$16,MATCH(M$1,TargetConsumption!$B$2:$B$16,0),MATCH($B11,TargetConsumption!$C$1:$K$1,0))</f>
        <v>5411.5859944455515</v>
      </c>
      <c r="N11" s="45">
        <f>INDEX(Prices!$M$8:$AA$27,MATCH($B11,Prices!$L$8:$L$17,0)+COUNTA(Prices!$K$8:$K$17),MATCH(N$1,Prices!$M$7:$AA$7,0))+DemSlope!N11*INDEX(TargetConsumption!$C$2:$K$16,MATCH(N$1,TargetConsumption!$B$2:$B$16,0),MATCH($B11,TargetConsumption!$C$1:$K$1,0))</f>
        <v>29796.165971716211</v>
      </c>
      <c r="O11" s="45">
        <f>INDEX(Prices!$M$8:$AA$27,MATCH($B11,Prices!$L$8:$L$17,0)+COUNTA(Prices!$K$8:$K$17),MATCH(O$1,Prices!$M$7:$AA$7,0))+DemSlope!O11*INDEX(TargetConsumption!$C$2:$K$16,MATCH(O$1,TargetConsumption!$B$2:$B$16,0),MATCH($B11,TargetConsumption!$C$1:$K$1,0))</f>
        <v>1141.3294414112647</v>
      </c>
      <c r="P11" s="45">
        <f>INDEX(Prices!$M$8:$AA$27,MATCH($B11,Prices!$L$8:$L$17,0)+COUNTA(Prices!$K$8:$K$17),MATCH(P$1,Prices!$M$7:$AA$7,0))+DemSlope!P11*INDEX(TargetConsumption!$C$2:$K$16,MATCH(P$1,TargetConsumption!$B$2:$B$16,0),MATCH($B11,TargetConsumption!$C$1:$K$1,0))</f>
        <v>995.6681019959583</v>
      </c>
      <c r="Q11" s="45">
        <f>INDEX(Prices!$M$8:$AA$27,MATCH($B11,Prices!$L$8:$L$17,0)+COUNTA(Prices!$K$8:$K$17),MATCH(Q$1,Prices!$M$7:$AA$7,0))+DemSlope!Q11*INDEX(TargetConsumption!$C$2:$K$16,MATCH(Q$1,TargetConsumption!$B$2:$B$16,0),MATCH($B11,TargetConsumption!$C$1:$K$1,0))</f>
        <v>717.83333333333337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B19" si="0">B3</f>
        <v>Sorghum</v>
      </c>
      <c r="C12" s="45">
        <f>INDEX(Prices!$M$8:$AA$27,MATCH($B12,Prices!$L$8:$L$17,0)+COUNTA(Prices!$K$8:$K$17),MATCH(C$1,Prices!$M$7:$AA$7,0))+DemSlope!C12*INDEX(TargetConsumption!$C$2:$K$16,MATCH(C$1,TargetConsumption!$B$2:$B$16,0),MATCH($B12,TargetConsumption!$C$1:$K$1,0))</f>
        <v>6045.0638609323441</v>
      </c>
      <c r="D12" s="45">
        <f>INDEX(Prices!$M$8:$AA$27,MATCH($B12,Prices!$L$8:$L$17,0)+COUNTA(Prices!$K$8:$K$17),MATCH(D$1,Prices!$M$7:$AA$7,0))+DemSlope!D12*INDEX(TargetConsumption!$C$2:$K$16,MATCH(D$1,TargetConsumption!$B$2:$B$16,0),MATCH($B12,TargetConsumption!$C$1:$K$1,0))</f>
        <v>1452.6593506679724</v>
      </c>
      <c r="E12" s="45">
        <f>INDEX(Prices!$M$8:$AA$27,MATCH($B12,Prices!$L$8:$L$17,0)+COUNTA(Prices!$K$8:$K$17),MATCH(E$1,Prices!$M$7:$AA$7,0))+DemSlope!E12*INDEX(TargetConsumption!$C$2:$K$16,MATCH(E$1,TargetConsumption!$B$2:$B$16,0),MATCH($B12,TargetConsumption!$C$1:$K$1,0))</f>
        <v>10257.246286494543</v>
      </c>
      <c r="F12" s="45">
        <f>INDEX(Prices!$M$8:$AA$27,MATCH($B12,Prices!$L$8:$L$17,0)+COUNTA(Prices!$K$8:$K$17),MATCH(F$1,Prices!$M$7:$AA$7,0))+DemSlope!F12*INDEX(TargetConsumption!$C$2:$K$16,MATCH(F$1,TargetConsumption!$B$2:$B$16,0),MATCH($B12,TargetConsumption!$C$1:$K$1,0))</f>
        <v>2551.3700877922984</v>
      </c>
      <c r="G12" s="45">
        <f>INDEX(Prices!$M$8:$AA$27,MATCH($B12,Prices!$L$8:$L$17,0)+COUNTA(Prices!$K$8:$K$17),MATCH(G$1,Prices!$M$7:$AA$7,0))+DemSlope!G12*INDEX(TargetConsumption!$C$2:$K$16,MATCH(G$1,TargetConsumption!$B$2:$B$16,0),MATCH($B12,TargetConsumption!$C$1:$K$1,0))</f>
        <v>610.96166701558457</v>
      </c>
      <c r="H12" s="45">
        <f>INDEX(Prices!$M$8:$AA$27,MATCH($B12,Prices!$L$8:$L$17,0)+COUNTA(Prices!$K$8:$K$17),MATCH(H$1,Prices!$M$7:$AA$7,0))+DemSlope!H12*INDEX(TargetConsumption!$C$2:$K$16,MATCH(H$1,TargetConsumption!$B$2:$B$16,0),MATCH($B12,TargetConsumption!$C$1:$K$1,0))</f>
        <v>6591.9042139246894</v>
      </c>
      <c r="I12" s="45">
        <f>INDEX(Prices!$M$8:$AA$27,MATCH($B12,Prices!$L$8:$L$17,0)+COUNTA(Prices!$K$8:$K$17),MATCH(I$1,Prices!$M$7:$AA$7,0))+DemSlope!I12*INDEX(TargetConsumption!$C$2:$K$16,MATCH(I$1,TargetConsumption!$B$2:$B$16,0),MATCH($B12,TargetConsumption!$C$1:$K$1,0))</f>
        <v>80836.643476945173</v>
      </c>
      <c r="J12" s="45">
        <f>INDEX(Prices!$M$8:$AA$27,MATCH($B12,Prices!$L$8:$L$17,0)+COUNTA(Prices!$K$8:$K$17),MATCH(J$1,Prices!$M$7:$AA$7,0))+DemSlope!J12*INDEX(TargetConsumption!$C$2:$K$16,MATCH(J$1,TargetConsumption!$B$2:$B$16,0),MATCH($B12,TargetConsumption!$C$1:$K$1,0))</f>
        <v>609.12281549481986</v>
      </c>
      <c r="K12" s="45">
        <f>INDEX(Prices!$M$8:$AA$27,MATCH($B12,Prices!$L$8:$L$17,0)+COUNTA(Prices!$K$8:$K$17),MATCH(K$1,Prices!$M$7:$AA$7,0))+DemSlope!K12*INDEX(TargetConsumption!$C$2:$K$16,MATCH(K$1,TargetConsumption!$B$2:$B$16,0),MATCH($B12,TargetConsumption!$C$1:$K$1,0))</f>
        <v>658.03030443925559</v>
      </c>
      <c r="L12" s="45">
        <f>INDEX(Prices!$M$8:$AA$27,MATCH($B12,Prices!$L$8:$L$17,0)+COUNTA(Prices!$K$8:$K$17),MATCH(L$1,Prices!$M$7:$AA$7,0))+DemSlope!L12*INDEX(TargetConsumption!$C$2:$K$16,MATCH(L$1,TargetConsumption!$B$2:$B$16,0),MATCH($B12,TargetConsumption!$C$1:$K$1,0))</f>
        <v>26168.24133585866</v>
      </c>
      <c r="M12" s="45">
        <f>INDEX(Prices!$M$8:$AA$27,MATCH($B12,Prices!$L$8:$L$17,0)+COUNTA(Prices!$K$8:$K$17),MATCH(M$1,Prices!$M$7:$AA$7,0))+DemSlope!M12*INDEX(TargetConsumption!$C$2:$K$16,MATCH(M$1,TargetConsumption!$B$2:$B$16,0),MATCH($B12,TargetConsumption!$C$1:$K$1,0))</f>
        <v>8659.9311058183648</v>
      </c>
      <c r="N12" s="45">
        <f>INDEX(Prices!$M$8:$AA$27,MATCH($B12,Prices!$L$8:$L$17,0)+COUNTA(Prices!$K$8:$K$17),MATCH(N$1,Prices!$M$7:$AA$7,0))+DemSlope!N12*INDEX(TargetConsumption!$C$2:$K$16,MATCH(N$1,TargetConsumption!$B$2:$B$16,0),MATCH($B12,TargetConsumption!$C$1:$K$1,0))</f>
        <v>50506.216145194689</v>
      </c>
      <c r="O12" s="45">
        <f>INDEX(Prices!$M$8:$AA$27,MATCH($B12,Prices!$L$8:$L$17,0)+COUNTA(Prices!$K$8:$K$17),MATCH(O$1,Prices!$M$7:$AA$7,0))+DemSlope!O12*INDEX(TargetConsumption!$C$2:$K$16,MATCH(O$1,TargetConsumption!$B$2:$B$16,0),MATCH($B12,TargetConsumption!$C$1:$K$1,0))</f>
        <v>1331.7600618183465</v>
      </c>
      <c r="P12" s="45">
        <f>INDEX(Prices!$M$8:$AA$27,MATCH($B12,Prices!$L$8:$L$17,0)+COUNTA(Prices!$K$8:$K$17),MATCH(P$1,Prices!$M$7:$AA$7,0))+DemSlope!P12*INDEX(TargetConsumption!$C$2:$K$16,MATCH(P$1,TargetConsumption!$B$2:$B$16,0),MATCH($B12,TargetConsumption!$C$1:$K$1,0))</f>
        <v>1081.79119075016</v>
      </c>
      <c r="Q12" s="45">
        <f>INDEX(Prices!$M$8:$AA$27,MATCH($B12,Prices!$L$8:$L$17,0)+COUNTA(Prices!$K$8:$K$17),MATCH(Q$1,Prices!$M$7:$AA$7,0))+DemSlope!Q12*INDEX(TargetConsumption!$C$2:$K$16,MATCH(Q$1,TargetConsumption!$B$2:$B$16,0),MATCH($B12,TargetConsumption!$C$1:$K$1,0))</f>
        <v>605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0"/>
        <v>Maize</v>
      </c>
      <c r="C13" s="45">
        <f>INDEX(Prices!$M$8:$AA$27,MATCH($B13,Prices!$L$8:$L$17,0)+COUNTA(Prices!$K$8:$K$17),MATCH(C$1,Prices!$M$7:$AA$7,0))+DemSlope!C13*INDEX(TargetConsumption!$C$2:$K$16,MATCH(C$1,TargetConsumption!$B$2:$B$16,0),MATCH($B13,TargetConsumption!$C$1:$K$1,0))</f>
        <v>15559.023521626052</v>
      </c>
      <c r="D13" s="45">
        <f>INDEX(Prices!$M$8:$AA$27,MATCH($B13,Prices!$L$8:$L$17,0)+COUNTA(Prices!$K$8:$K$17),MATCH(D$1,Prices!$M$7:$AA$7,0))+DemSlope!D13*INDEX(TargetConsumption!$C$2:$K$16,MATCH(D$1,TargetConsumption!$B$2:$B$16,0),MATCH($B13,TargetConsumption!$C$1:$K$1,0))</f>
        <v>2739.8171495270371</v>
      </c>
      <c r="E13" s="45">
        <f>INDEX(Prices!$M$8:$AA$27,MATCH($B13,Prices!$L$8:$L$17,0)+COUNTA(Prices!$K$8:$K$17),MATCH(E$1,Prices!$M$7:$AA$7,0))+DemSlope!E13*INDEX(TargetConsumption!$C$2:$K$16,MATCH(E$1,TargetConsumption!$B$2:$B$16,0),MATCH($B13,TargetConsumption!$C$1:$K$1,0))</f>
        <v>27316.880580934179</v>
      </c>
      <c r="F13" s="45">
        <f>INDEX(Prices!$M$8:$AA$27,MATCH($B13,Prices!$L$8:$L$17,0)+COUNTA(Prices!$K$8:$K$17),MATCH(F$1,Prices!$M$7:$AA$7,0))+DemSlope!F13*INDEX(TargetConsumption!$C$2:$K$16,MATCH(F$1,TargetConsumption!$B$2:$B$16,0),MATCH($B13,TargetConsumption!$C$1:$K$1,0))</f>
        <v>5806.750746286124</v>
      </c>
      <c r="G13" s="45">
        <f>INDEX(Prices!$M$8:$AA$27,MATCH($B13,Prices!$L$8:$L$17,0)+COUNTA(Prices!$K$8:$K$17),MATCH(G$1,Prices!$M$7:$AA$7,0))+DemSlope!G13*INDEX(TargetConsumption!$C$2:$K$16,MATCH(G$1,TargetConsumption!$B$2:$B$16,0),MATCH($B13,TargetConsumption!$C$1:$K$1,0))</f>
        <v>390.30802298092442</v>
      </c>
      <c r="H13" s="45">
        <f>INDEX(Prices!$M$8:$AA$27,MATCH($B13,Prices!$L$8:$L$17,0)+COUNTA(Prices!$K$8:$K$17),MATCH(H$1,Prices!$M$7:$AA$7,0))+DemSlope!H13*INDEX(TargetConsumption!$C$2:$K$16,MATCH(H$1,TargetConsumption!$B$2:$B$16,0),MATCH($B13,TargetConsumption!$C$1:$K$1,0))</f>
        <v>17085.469922837518</v>
      </c>
      <c r="I13" s="45">
        <f>INDEX(Prices!$M$8:$AA$27,MATCH($B13,Prices!$L$8:$L$17,0)+COUNTA(Prices!$K$8:$K$17),MATCH(I$1,Prices!$M$7:$AA$7,0))+DemSlope!I13*INDEX(TargetConsumption!$C$2:$K$16,MATCH(I$1,TargetConsumption!$B$2:$B$16,0),MATCH($B13,TargetConsumption!$C$1:$K$1,0))</f>
        <v>224331.72458705315</v>
      </c>
      <c r="J13" s="45">
        <f>INDEX(Prices!$M$8:$AA$27,MATCH($B13,Prices!$L$8:$L$17,0)+COUNTA(Prices!$K$8:$K$17),MATCH(J$1,Prices!$M$7:$AA$7,0))+DemSlope!J13*INDEX(TargetConsumption!$C$2:$K$16,MATCH(J$1,TargetConsumption!$B$2:$B$16,0),MATCH($B13,TargetConsumption!$C$1:$K$1,0))</f>
        <v>385.17506548999705</v>
      </c>
      <c r="K13" s="45">
        <f>INDEX(Prices!$M$8:$AA$27,MATCH($B13,Prices!$L$8:$L$17,0)+COUNTA(Prices!$K$8:$K$17),MATCH(K$1,Prices!$M$7:$AA$7,0))+DemSlope!K13*INDEX(TargetConsumption!$C$2:$K$16,MATCH(K$1,TargetConsumption!$B$2:$B$16,0),MATCH($B13,TargetConsumption!$C$1:$K$1,0))</f>
        <v>521.69509383649415</v>
      </c>
      <c r="L13" s="45">
        <f>INDEX(Prices!$M$8:$AA$27,MATCH($B13,Prices!$L$8:$L$17,0)+COUNTA(Prices!$K$8:$K$17),MATCH(L$1,Prices!$M$7:$AA$7,0))+DemSlope!L13*INDEX(TargetConsumption!$C$2:$K$16,MATCH(L$1,TargetConsumption!$B$2:$B$16,0),MATCH($B13,TargetConsumption!$C$1:$K$1,0))</f>
        <v>71730.722756065778</v>
      </c>
      <c r="M13" s="45">
        <f>INDEX(Prices!$M$8:$AA$27,MATCH($B13,Prices!$L$8:$L$17,0)+COUNTA(Prices!$K$8:$K$17),MATCH(M$1,Prices!$M$7:$AA$7,0))+DemSlope!M13*INDEX(TargetConsumption!$C$2:$K$16,MATCH(M$1,TargetConsumption!$B$2:$B$16,0),MATCH($B13,TargetConsumption!$C$1:$K$1,0))</f>
        <v>22858.14596890067</v>
      </c>
      <c r="N13" s="45">
        <f>INDEX(Prices!$M$8:$AA$27,MATCH($B13,Prices!$L$8:$L$17,0)+COUNTA(Prices!$K$8:$K$17),MATCH(N$1,Prices!$M$7:$AA$7,0))+DemSlope!N13*INDEX(TargetConsumption!$C$2:$K$16,MATCH(N$1,TargetConsumption!$B$2:$B$16,0),MATCH($B13,TargetConsumption!$C$1:$K$1,0))</f>
        <v>139667.57828839024</v>
      </c>
      <c r="O13" s="45">
        <f>INDEX(Prices!$M$8:$AA$27,MATCH($B13,Prices!$L$8:$L$17,0)+COUNTA(Prices!$K$8:$K$17),MATCH(O$1,Prices!$M$7:$AA$7,0))+DemSlope!O13*INDEX(TargetConsumption!$C$2:$K$16,MATCH(O$1,TargetConsumption!$B$2:$B$16,0),MATCH($B13,TargetConsumption!$C$1:$K$1,0))</f>
        <v>2402.3397059483259</v>
      </c>
      <c r="P13" s="45">
        <f>INDEX(Prices!$M$8:$AA$27,MATCH($B13,Prices!$L$8:$L$17,0)+COUNTA(Prices!$K$8:$K$17),MATCH(P$1,Prices!$M$7:$AA$7,0))+DemSlope!P13*INDEX(TargetConsumption!$C$2:$K$16,MATCH(P$1,TargetConsumption!$B$2:$B$16,0),MATCH($B13,TargetConsumption!$C$1:$K$1,0))</f>
        <v>1704.5783180606491</v>
      </c>
      <c r="Q13" s="45">
        <f>INDEX(Prices!$M$8:$AA$27,MATCH($B13,Prices!$L$8:$L$17,0)+COUNTA(Prices!$K$8:$K$17),MATCH(Q$1,Prices!$M$7:$AA$7,0))+DemSlope!Q13*INDEX(TargetConsumption!$C$2:$K$16,MATCH(Q$1,TargetConsumption!$B$2:$B$16,0),MATCH($B13,TargetConsumption!$C$1:$K$1,0))</f>
        <v>373.66666666666669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0"/>
        <v>Lentils</v>
      </c>
      <c r="C14" s="45">
        <f>INDEX(Prices!$M$8:$AA$27,MATCH($B14,Prices!$L$8:$L$17,0)+COUNTA(Prices!$K$8:$K$17),MATCH(C$1,Prices!$M$7:$AA$7,0))+DemSlope!C14*INDEX(TargetConsumption!$C$2:$K$16,MATCH(C$1,TargetConsumption!$B$2:$B$16,0),MATCH($B14,TargetConsumption!$C$1:$K$1,0))</f>
        <v>1909.0448519205327</v>
      </c>
      <c r="D14" s="45">
        <f>INDEX(Prices!$M$8:$AA$27,MATCH($B14,Prices!$L$8:$L$17,0)+COUNTA(Prices!$K$8:$K$17),MATCH(D$1,Prices!$M$7:$AA$7,0))+DemSlope!D14*INDEX(TargetConsumption!$C$2:$K$16,MATCH(D$1,TargetConsumption!$B$2:$B$16,0),MATCH($B14,TargetConsumption!$C$1:$K$1,0))</f>
        <v>852.93518714938796</v>
      </c>
      <c r="E14" s="45">
        <f>INDEX(Prices!$M$8:$AA$27,MATCH($B14,Prices!$L$8:$L$17,0)+COUNTA(Prices!$K$8:$K$17),MATCH(E$1,Prices!$M$7:$AA$7,0))+DemSlope!E14*INDEX(TargetConsumption!$C$2:$K$16,MATCH(E$1,TargetConsumption!$B$2:$B$16,0),MATCH($B14,TargetConsumption!$C$1:$K$1,0))</f>
        <v>2877.7153075549622</v>
      </c>
      <c r="F14" s="45">
        <f>INDEX(Prices!$M$8:$AA$27,MATCH($B14,Prices!$L$8:$L$17,0)+COUNTA(Prices!$K$8:$K$17),MATCH(F$1,Prices!$M$7:$AA$7,0))+DemSlope!F14*INDEX(TargetConsumption!$C$2:$K$16,MATCH(F$1,TargetConsumption!$B$2:$B$16,0),MATCH($B14,TargetConsumption!$C$1:$K$1,0))</f>
        <v>1105.6043554840455</v>
      </c>
      <c r="G14" s="45">
        <f>INDEX(Prices!$M$8:$AA$27,MATCH($B14,Prices!$L$8:$L$17,0)+COUNTA(Prices!$K$8:$K$17),MATCH(G$1,Prices!$M$7:$AA$7,0))+DemSlope!G14*INDEX(TargetConsumption!$C$2:$K$16,MATCH(G$1,TargetConsumption!$B$2:$B$16,0),MATCH($B14,TargetConsumption!$C$1:$K$1,0))</f>
        <v>659.37099729329896</v>
      </c>
      <c r="H14" s="45">
        <f>INDEX(Prices!$M$8:$AA$27,MATCH($B14,Prices!$L$8:$L$17,0)+COUNTA(Prices!$K$8:$K$17),MATCH(H$1,Prices!$M$7:$AA$7,0))+DemSlope!H14*INDEX(TargetConsumption!$C$2:$K$16,MATCH(H$1,TargetConsumption!$B$2:$B$16,0),MATCH($B14,TargetConsumption!$C$1:$K$1,0))</f>
        <v>2034.8010610243412</v>
      </c>
      <c r="I14" s="45">
        <f>INDEX(Prices!$M$8:$AA$27,MATCH($B14,Prices!$L$8:$L$17,0)+COUNTA(Prices!$K$8:$K$17),MATCH(I$1,Prices!$M$7:$AA$7,0))+DemSlope!I14*INDEX(TargetConsumption!$C$2:$K$16,MATCH(I$1,TargetConsumption!$B$2:$B$16,0),MATCH($B14,TargetConsumption!$C$1:$K$1,0))</f>
        <v>19108.773207605944</v>
      </c>
      <c r="J14" s="45">
        <f>INDEX(Prices!$M$8:$AA$27,MATCH($B14,Prices!$L$8:$L$17,0)+COUNTA(Prices!$K$8:$K$17),MATCH(J$1,Prices!$M$7:$AA$7,0))+DemSlope!J14*INDEX(TargetConsumption!$C$2:$K$16,MATCH(J$1,TargetConsumption!$B$2:$B$16,0),MATCH($B14,TargetConsumption!$C$1:$K$1,0))</f>
        <v>658.94811885155491</v>
      </c>
      <c r="K14" s="45">
        <f>INDEX(Prices!$M$8:$AA$27,MATCH($B14,Prices!$L$8:$L$17,0)+COUNTA(Prices!$K$8:$K$17),MATCH(K$1,Prices!$M$7:$AA$7,0))+DemSlope!K14*INDEX(TargetConsumption!$C$2:$K$16,MATCH(K$1,TargetConsumption!$B$2:$B$16,0),MATCH($B14,TargetConsumption!$C$1:$K$1,0))</f>
        <v>670.19531444124243</v>
      </c>
      <c r="L14" s="45">
        <f>INDEX(Prices!$M$8:$AA$27,MATCH($B14,Prices!$L$8:$L$17,0)+COUNTA(Prices!$K$8:$K$17),MATCH(L$1,Prices!$M$7:$AA$7,0))+DemSlope!L14*INDEX(TargetConsumption!$C$2:$K$16,MATCH(L$1,TargetConsumption!$B$2:$B$16,0),MATCH($B14,TargetConsumption!$C$1:$K$1,0))</f>
        <v>6536.7474355396862</v>
      </c>
      <c r="M14" s="45">
        <f>INDEX(Prices!$M$8:$AA$27,MATCH($B14,Prices!$L$8:$L$17,0)+COUNTA(Prices!$K$8:$K$17),MATCH(M$1,Prices!$M$7:$AA$7,0))+DemSlope!M14*INDEX(TargetConsumption!$C$2:$K$16,MATCH(M$1,TargetConsumption!$B$2:$B$16,0),MATCH($B14,TargetConsumption!$C$1:$K$1,0))</f>
        <v>2510.382683386656</v>
      </c>
      <c r="N14" s="45">
        <f>INDEX(Prices!$M$8:$AA$27,MATCH($B14,Prices!$L$8:$L$17,0)+COUNTA(Prices!$K$8:$K$17),MATCH(N$1,Prices!$M$7:$AA$7,0))+DemSlope!N14*INDEX(TargetConsumption!$C$2:$K$16,MATCH(N$1,TargetConsumption!$B$2:$B$16,0),MATCH($B14,TargetConsumption!$C$1:$K$1,0))</f>
        <v>12133.721822192039</v>
      </c>
      <c r="O14" s="45">
        <f>INDEX(Prices!$M$8:$AA$27,MATCH($B14,Prices!$L$8:$L$17,0)+COUNTA(Prices!$K$8:$K$17),MATCH(O$1,Prices!$M$7:$AA$7,0))+DemSlope!O14*INDEX(TargetConsumption!$C$2:$K$16,MATCH(O$1,TargetConsumption!$B$2:$B$16,0),MATCH($B14,TargetConsumption!$C$1:$K$1,0))</f>
        <v>825.13212512977111</v>
      </c>
      <c r="P14" s="45">
        <f>INDEX(Prices!$M$8:$AA$27,MATCH($B14,Prices!$L$8:$L$17,0)+COUNTA(Prices!$K$8:$K$17),MATCH(P$1,Prices!$M$7:$AA$7,0))+DemSlope!P14*INDEX(TargetConsumption!$C$2:$K$16,MATCH(P$1,TargetConsumption!$B$2:$B$16,0),MATCH($B14,TargetConsumption!$C$1:$K$1,0))</f>
        <v>767.64708868818673</v>
      </c>
      <c r="Q14" s="45">
        <f>INDEX(Prices!$M$8:$AA$27,MATCH($B14,Prices!$L$8:$L$17,0)+COUNTA(Prices!$K$8:$K$17),MATCH(Q$1,Prices!$M$7:$AA$7,0))+DemSlope!Q14*INDEX(TargetConsumption!$C$2:$K$16,MATCH(Q$1,TargetConsumption!$B$2:$B$16,0),MATCH($B14,TargetConsumption!$C$1:$K$1,0))</f>
        <v>658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0"/>
        <v>Wheat</v>
      </c>
      <c r="C15" s="45">
        <f>INDEX(Prices!$M$8:$AA$27,MATCH($B15,Prices!$L$8:$L$17,0)+COUNTA(Prices!$K$8:$K$17),MATCH(C$1,Prices!$M$7:$AA$7,0))+DemSlope!C15*INDEX(TargetConsumption!$C$2:$K$16,MATCH(C$1,TargetConsumption!$B$2:$B$16,0),MATCH($B15,TargetConsumption!$C$1:$K$1,0))</f>
        <v>3537.8609060022277</v>
      </c>
      <c r="D15" s="45">
        <f>INDEX(Prices!$M$8:$AA$27,MATCH($B15,Prices!$L$8:$L$17,0)+COUNTA(Prices!$K$8:$K$17),MATCH(D$1,Prices!$M$7:$AA$7,0))+DemSlope!D15*INDEX(TargetConsumption!$C$2:$K$16,MATCH(D$1,TargetConsumption!$B$2:$B$16,0),MATCH($B15,TargetConsumption!$C$1:$K$1,0))</f>
        <v>991.08094427023161</v>
      </c>
      <c r="E15" s="45">
        <f>INDEX(Prices!$M$8:$AA$27,MATCH($B15,Prices!$L$8:$L$17,0)+COUNTA(Prices!$K$8:$K$17),MATCH(E$1,Prices!$M$7:$AA$7,0))+DemSlope!E15*INDEX(TargetConsumption!$C$2:$K$16,MATCH(E$1,TargetConsumption!$B$2:$B$16,0),MATCH($B15,TargetConsumption!$C$1:$K$1,0))</f>
        <v>5873.7835740957507</v>
      </c>
      <c r="F15" s="45">
        <f>INDEX(Prices!$M$8:$AA$27,MATCH($B15,Prices!$L$8:$L$17,0)+COUNTA(Prices!$K$8:$K$17),MATCH(F$1,Prices!$M$7:$AA$7,0))+DemSlope!F15*INDEX(TargetConsumption!$C$2:$K$16,MATCH(F$1,TargetConsumption!$B$2:$B$16,0),MATCH($B15,TargetConsumption!$C$1:$K$1,0))</f>
        <v>1600.3858264499029</v>
      </c>
      <c r="G15" s="45">
        <f>INDEX(Prices!$M$8:$AA$27,MATCH($B15,Prices!$L$8:$L$17,0)+COUNTA(Prices!$K$8:$K$17),MATCH(G$1,Prices!$M$7:$AA$7,0))+DemSlope!G15*INDEX(TargetConsumption!$C$2:$K$16,MATCH(G$1,TargetConsumption!$B$2:$B$16,0),MATCH($B15,TargetConsumption!$C$1:$K$1,0))</f>
        <v>524.30612298195297</v>
      </c>
      <c r="H15" s="45">
        <f>INDEX(Prices!$M$8:$AA$27,MATCH($B15,Prices!$L$8:$L$17,0)+COUNTA(Prices!$K$8:$K$17),MATCH(H$1,Prices!$M$7:$AA$7,0))+DemSlope!H15*INDEX(TargetConsumption!$C$2:$K$16,MATCH(H$1,TargetConsumption!$B$2:$B$16,0),MATCH($B15,TargetConsumption!$C$1:$K$1,0))</f>
        <v>3841.1186112315045</v>
      </c>
      <c r="I15" s="45">
        <f>INDEX(Prices!$M$8:$AA$27,MATCH($B15,Prices!$L$8:$L$17,0)+COUNTA(Prices!$K$8:$K$17),MATCH(I$1,Prices!$M$7:$AA$7,0))+DemSlope!I15*INDEX(TargetConsumption!$C$2:$K$16,MATCH(I$1,TargetConsumption!$B$2:$B$16,0),MATCH($B15,TargetConsumption!$C$1:$K$1,0))</f>
        <v>45014.541770375698</v>
      </c>
      <c r="J15" s="45">
        <f>INDEX(Prices!$M$8:$AA$27,MATCH($B15,Prices!$L$8:$L$17,0)+COUNTA(Prices!$K$8:$K$17),MATCH(J$1,Prices!$M$7:$AA$7,0))+DemSlope!J15*INDEX(TargetConsumption!$C$2:$K$16,MATCH(J$1,TargetConsumption!$B$2:$B$16,0),MATCH($B15,TargetConsumption!$C$1:$K$1,0))</f>
        <v>523.28636302935797</v>
      </c>
      <c r="K15" s="45">
        <f>INDEX(Prices!$M$8:$AA$27,MATCH($B15,Prices!$L$8:$L$17,0)+COUNTA(Prices!$K$8:$K$17),MATCH(K$1,Prices!$M$7:$AA$7,0))+DemSlope!K15*INDEX(TargetConsumption!$C$2:$K$16,MATCH(K$1,TargetConsumption!$B$2:$B$16,0),MATCH($B15,TargetConsumption!$C$1:$K$1,0))</f>
        <v>550.40867173363802</v>
      </c>
      <c r="L15" s="45">
        <f>INDEX(Prices!$M$8:$AA$27,MATCH($B15,Prices!$L$8:$L$17,0)+COUNTA(Prices!$K$8:$K$17),MATCH(L$1,Prices!$M$7:$AA$7,0))+DemSlope!L15*INDEX(TargetConsumption!$C$2:$K$16,MATCH(L$1,TargetConsumption!$B$2:$B$16,0),MATCH($B15,TargetConsumption!$C$1:$K$1,0))</f>
        <v>14697.440826493315</v>
      </c>
      <c r="M15" s="45">
        <f>INDEX(Prices!$M$8:$AA$27,MATCH($B15,Prices!$L$8:$L$17,0)+COUNTA(Prices!$K$8:$K$17),MATCH(M$1,Prices!$M$7:$AA$7,0))+DemSlope!M15*INDEX(TargetConsumption!$C$2:$K$16,MATCH(M$1,TargetConsumption!$B$2:$B$16,0),MATCH($B15,TargetConsumption!$C$1:$K$1,0))</f>
        <v>4987.9708619045432</v>
      </c>
      <c r="N15" s="45">
        <f>INDEX(Prices!$M$8:$AA$27,MATCH($B15,Prices!$L$8:$L$17,0)+COUNTA(Prices!$K$8:$K$17),MATCH(N$1,Prices!$M$7:$AA$7,0))+DemSlope!N15*INDEX(TargetConsumption!$C$2:$K$16,MATCH(N$1,TargetConsumption!$B$2:$B$16,0),MATCH($B15,TargetConsumption!$C$1:$K$1,0))</f>
        <v>28194.393548105134</v>
      </c>
      <c r="O15" s="45">
        <f>INDEX(Prices!$M$8:$AA$27,MATCH($B15,Prices!$L$8:$L$17,0)+COUNTA(Prices!$K$8:$K$17),MATCH(O$1,Prices!$M$7:$AA$7,0))+DemSlope!O15*INDEX(TargetConsumption!$C$2:$K$16,MATCH(O$1,TargetConsumption!$B$2:$B$16,0),MATCH($B15,TargetConsumption!$C$1:$K$1,0))</f>
        <v>924.03461036351973</v>
      </c>
      <c r="P15" s="45">
        <f>INDEX(Prices!$M$8:$AA$27,MATCH($B15,Prices!$L$8:$L$17,0)+COUNTA(Prices!$K$8:$K$17),MATCH(P$1,Prices!$M$7:$AA$7,0))+DemSlope!P15*INDEX(TargetConsumption!$C$2:$K$16,MATCH(P$1,TargetConsumption!$B$2:$B$16,0),MATCH($B15,TargetConsumption!$C$1:$K$1,0))</f>
        <v>785.41099598670644</v>
      </c>
      <c r="Q15" s="45">
        <f>INDEX(Prices!$M$8:$AA$27,MATCH($B15,Prices!$L$8:$L$17,0)+COUNTA(Prices!$K$8:$K$17),MATCH(Q$1,Prices!$M$7:$AA$7,0))+DemSlope!Q15*INDEX(TargetConsumption!$C$2:$K$16,MATCH(Q$1,TargetConsumption!$B$2:$B$16,0),MATCH($B15,TargetConsumption!$C$1:$K$1,0))</f>
        <v>521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0"/>
        <v>Vegetables</v>
      </c>
      <c r="C16" s="45">
        <f>INDEX(Prices!$M$8:$AA$27,MATCH($B16,Prices!$L$8:$L$17,0)+COUNTA(Prices!$K$8:$K$17),MATCH(C$1,Prices!$M$7:$AA$7,0))+DemSlope!C16*INDEX(TargetConsumption!$C$2:$K$16,MATCH(C$1,TargetConsumption!$B$2:$B$16,0),MATCH($B16,TargetConsumption!$C$1:$K$1,0))</f>
        <v>15374.499457364389</v>
      </c>
      <c r="D16" s="45">
        <f>INDEX(Prices!$M$8:$AA$27,MATCH($B16,Prices!$L$8:$L$17,0)+COUNTA(Prices!$K$8:$K$17),MATCH(D$1,Prices!$M$7:$AA$7,0))+DemSlope!D16*INDEX(TargetConsumption!$C$2:$K$16,MATCH(D$1,TargetConsumption!$B$2:$B$16,0),MATCH($B16,TargetConsumption!$C$1:$K$1,0))</f>
        <v>2732.3360403791362</v>
      </c>
      <c r="E16" s="45">
        <f>INDEX(Prices!$M$8:$AA$27,MATCH($B16,Prices!$L$8:$L$17,0)+COUNTA(Prices!$K$8:$K$17),MATCH(E$1,Prices!$M$7:$AA$7,0))+DemSlope!E16*INDEX(TargetConsumption!$C$2:$K$16,MATCH(E$1,TargetConsumption!$B$2:$B$16,0),MATCH($B16,TargetConsumption!$C$1:$K$1,0))</f>
        <v>26969.971599918568</v>
      </c>
      <c r="F16" s="45">
        <f>INDEX(Prices!$M$8:$AA$27,MATCH($B16,Prices!$L$8:$L$17,0)+COUNTA(Prices!$K$8:$K$17),MATCH(F$1,Prices!$M$7:$AA$7,0))+DemSlope!F16*INDEX(TargetConsumption!$C$2:$K$16,MATCH(F$1,TargetConsumption!$B$2:$B$16,0),MATCH($B16,TargetConsumption!$C$1:$K$1,0))</f>
        <v>5756.9129598723293</v>
      </c>
      <c r="G16" s="45">
        <f>INDEX(Prices!$M$8:$AA$27,MATCH($B16,Prices!$L$8:$L$17,0)+COUNTA(Prices!$K$8:$K$17),MATCH(G$1,Prices!$M$7:$AA$7,0))+DemSlope!G16*INDEX(TargetConsumption!$C$2:$K$16,MATCH(G$1,TargetConsumption!$B$2:$B$16,0),MATCH($B16,TargetConsumption!$C$1:$K$1,0))</f>
        <v>415.27541546069159</v>
      </c>
      <c r="H16" s="45">
        <f>INDEX(Prices!$M$8:$AA$27,MATCH($B16,Prices!$L$8:$L$17,0)+COUNTA(Prices!$K$8:$K$17),MATCH(H$1,Prices!$M$7:$AA$7,0))+DemSlope!H16*INDEX(TargetConsumption!$C$2:$K$16,MATCH(H$1,TargetConsumption!$B$2:$B$16,0),MATCH($B16,TargetConsumption!$C$1:$K$1,0))</f>
        <v>16879.864476948253</v>
      </c>
      <c r="I16" s="45">
        <f>INDEX(Prices!$M$8:$AA$27,MATCH($B16,Prices!$L$8:$L$17,0)+COUNTA(Prices!$K$8:$K$17),MATCH(I$1,Prices!$M$7:$AA$7,0))+DemSlope!I16*INDEX(TargetConsumption!$C$2:$K$16,MATCH(I$1,TargetConsumption!$B$2:$B$16,0),MATCH($B16,TargetConsumption!$C$1:$K$1,0))</f>
        <v>221263.8913013913</v>
      </c>
      <c r="J16" s="45">
        <f>INDEX(Prices!$M$8:$AA$27,MATCH($B16,Prices!$L$8:$L$17,0)+COUNTA(Prices!$K$8:$K$17),MATCH(J$1,Prices!$M$7:$AA$7,0))+DemSlope!J16*INDEX(TargetConsumption!$C$2:$K$16,MATCH(J$1,TargetConsumption!$B$2:$B$16,0),MATCH($B16,TargetConsumption!$C$1:$K$1,0))</f>
        <v>410.21334800275764</v>
      </c>
      <c r="K16" s="45">
        <f>INDEX(Prices!$M$8:$AA$27,MATCH($B16,Prices!$L$8:$L$17,0)+COUNTA(Prices!$K$8:$K$17),MATCH(K$1,Prices!$M$7:$AA$7,0))+DemSlope!K16*INDEX(TargetConsumption!$C$2:$K$16,MATCH(K$1,TargetConsumption!$B$2:$B$16,0),MATCH($B16,TargetConsumption!$C$1:$K$1,0))</f>
        <v>544.84793129523916</v>
      </c>
      <c r="L16" s="45">
        <f>INDEX(Prices!$M$8:$AA$27,MATCH($B16,Prices!$L$8:$L$17,0)+COUNTA(Prices!$K$8:$K$17),MATCH(L$1,Prices!$M$7:$AA$7,0))+DemSlope!L16*INDEX(TargetConsumption!$C$2:$K$16,MATCH(L$1,TargetConsumption!$B$2:$B$16,0),MATCH($B16,TargetConsumption!$C$1:$K$1,0))</f>
        <v>70770.424955305789</v>
      </c>
      <c r="M16" s="45">
        <f>INDEX(Prices!$M$8:$AA$27,MATCH($B16,Prices!$L$8:$L$17,0)+COUNTA(Prices!$K$8:$K$17),MATCH(M$1,Prices!$M$7:$AA$7,0))+DemSlope!M16*INDEX(TargetConsumption!$C$2:$K$16,MATCH(M$1,TargetConsumption!$B$2:$B$16,0),MATCH($B16,TargetConsumption!$C$1:$K$1,0))</f>
        <v>22572.815491956924</v>
      </c>
      <c r="N16" s="45">
        <f>INDEX(Prices!$M$8:$AA$27,MATCH($B16,Prices!$L$8:$L$17,0)+COUNTA(Prices!$K$8:$K$17),MATCH(N$1,Prices!$M$7:$AA$7,0))+DemSlope!N16*INDEX(TargetConsumption!$C$2:$K$16,MATCH(N$1,TargetConsumption!$B$2:$B$16,0),MATCH($B16,TargetConsumption!$C$1:$K$1,0))</f>
        <v>137769.02102636147</v>
      </c>
      <c r="O16" s="45">
        <f>INDEX(Prices!$M$8:$AA$27,MATCH($B16,Prices!$L$8:$L$17,0)+COUNTA(Prices!$K$8:$K$17),MATCH(O$1,Prices!$M$7:$AA$7,0))+DemSlope!O16*INDEX(TargetConsumption!$C$2:$K$16,MATCH(O$1,TargetConsumption!$B$2:$B$16,0),MATCH($B16,TargetConsumption!$C$1:$K$1,0))</f>
        <v>2399.5194160556216</v>
      </c>
      <c r="P16" s="45">
        <f>INDEX(Prices!$M$8:$AA$27,MATCH($B16,Prices!$L$8:$L$17,0)+COUNTA(Prices!$K$8:$K$17),MATCH(P$1,Prices!$M$7:$AA$7,0))+DemSlope!P16*INDEX(TargetConsumption!$C$2:$K$16,MATCH(P$1,TargetConsumption!$B$2:$B$16,0),MATCH($B16,TargetConsumption!$C$1:$K$1,0))</f>
        <v>1711.3946417374691</v>
      </c>
      <c r="Q16" s="45">
        <f>INDEX(Prices!$M$8:$AA$27,MATCH($B16,Prices!$L$8:$L$17,0)+COUNTA(Prices!$K$8:$K$17),MATCH(Q$1,Prices!$M$7:$AA$7,0))+DemSlope!Q16*INDEX(TargetConsumption!$C$2:$K$16,MATCH(Q$1,TargetConsumption!$B$2:$B$16,0),MATCH($B16,TargetConsumption!$C$1:$K$1,0))</f>
        <v>398.86388888888888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0"/>
        <v>CashCrop</v>
      </c>
      <c r="C17" s="45">
        <f>INDEX(Prices!$M$8:$AA$27,MATCH($B17,Prices!$L$8:$L$17,0)+COUNTA(Prices!$K$8:$K$17),MATCH(C$1,Prices!$M$7:$AA$7,0))+DemSlope!C17*INDEX(TargetConsumption!$C$2:$K$16,MATCH(C$1,TargetConsumption!$B$2:$B$16,0),MATCH($B17,TargetConsumption!$C$1:$K$1,0))</f>
        <v>771.07007459427291</v>
      </c>
      <c r="D17" s="45">
        <f>INDEX(Prices!$M$8:$AA$27,MATCH($B17,Prices!$L$8:$L$17,0)+COUNTA(Prices!$K$8:$K$17),MATCH(D$1,Prices!$M$7:$AA$7,0))+DemSlope!D17*INDEX(TargetConsumption!$C$2:$K$16,MATCH(D$1,TargetConsumption!$B$2:$B$16,0),MATCH($B17,TargetConsumption!$C$1:$K$1,0))</f>
        <v>745.47206553457409</v>
      </c>
      <c r="E17" s="45">
        <f>INDEX(Prices!$M$8:$AA$27,MATCH($B17,Prices!$L$8:$L$17,0)+COUNTA(Prices!$K$8:$K$17),MATCH(E$1,Prices!$M$7:$AA$7,0))+DemSlope!E17*INDEX(TargetConsumption!$C$2:$K$16,MATCH(E$1,TargetConsumption!$B$2:$B$16,0),MATCH($B17,TargetConsumption!$C$1:$K$1,0))</f>
        <v>794.54873019824936</v>
      </c>
      <c r="F17" s="45">
        <f>INDEX(Prices!$M$8:$AA$27,MATCH($B17,Prices!$L$8:$L$17,0)+COUNTA(Prices!$K$8:$K$17),MATCH(F$1,Prices!$M$7:$AA$7,0))+DemSlope!F17*INDEX(TargetConsumption!$C$2:$K$16,MATCH(F$1,TargetConsumption!$B$2:$B$16,0),MATCH($B17,TargetConsumption!$C$1:$K$1,0))</f>
        <v>751.5962663404996</v>
      </c>
      <c r="G17" s="45">
        <f>INDEX(Prices!$M$8:$AA$27,MATCH($B17,Prices!$L$8:$L$17,0)+COUNTA(Prices!$K$8:$K$17),MATCH(G$1,Prices!$M$7:$AA$7,0))+DemSlope!G17*INDEX(TargetConsumption!$C$2:$K$16,MATCH(G$1,TargetConsumption!$B$2:$B$16,0),MATCH($B17,TargetConsumption!$C$1:$K$1,0))</f>
        <v>740.78045248448132</v>
      </c>
      <c r="H17" s="45">
        <f>INDEX(Prices!$M$8:$AA$27,MATCH($B17,Prices!$L$8:$L$17,0)+COUNTA(Prices!$K$8:$K$17),MATCH(H$1,Prices!$M$7:$AA$7,0))+DemSlope!H17*INDEX(TargetConsumption!$C$2:$K$16,MATCH(H$1,TargetConsumption!$B$2:$B$16,0),MATCH($B17,TargetConsumption!$C$1:$K$1,0))</f>
        <v>774.11815632984747</v>
      </c>
      <c r="I17" s="45">
        <f>INDEX(Prices!$M$8:$AA$27,MATCH($B17,Prices!$L$8:$L$17,0)+COUNTA(Prices!$K$8:$K$17),MATCH(I$1,Prices!$M$7:$AA$7,0))+DemSlope!I17*INDEX(TargetConsumption!$C$2:$K$16,MATCH(I$1,TargetConsumption!$B$2:$B$16,0),MATCH($B17,TargetConsumption!$C$1:$K$1,0))</f>
        <v>1187.957465136808</v>
      </c>
      <c r="J17" s="45">
        <f>INDEX(Prices!$M$8:$AA$27,MATCH($B17,Prices!$L$8:$L$17,0)+COUNTA(Prices!$K$8:$K$17),MATCH(J$1,Prices!$M$7:$AA$7,0))+DemSlope!J17*INDEX(TargetConsumption!$C$2:$K$16,MATCH(J$1,TargetConsumption!$B$2:$B$16,0),MATCH($B17,TargetConsumption!$C$1:$K$1,0))</f>
        <v>740.77020274759889</v>
      </c>
      <c r="K17" s="45">
        <f>INDEX(Prices!$M$8:$AA$27,MATCH($B17,Prices!$L$8:$L$17,0)+COUNTA(Prices!$K$8:$K$17),MATCH(K$1,Prices!$M$7:$AA$7,0))+DemSlope!K17*INDEX(TargetConsumption!$C$2:$K$16,MATCH(K$1,TargetConsumption!$B$2:$B$16,0),MATCH($B17,TargetConsumption!$C$1:$K$1,0))</f>
        <v>741.0428125192966</v>
      </c>
      <c r="L17" s="45">
        <f>INDEX(Prices!$M$8:$AA$27,MATCH($B17,Prices!$L$8:$L$17,0)+COUNTA(Prices!$K$8:$K$17),MATCH(L$1,Prices!$M$7:$AA$7,0))+DemSlope!L17*INDEX(TargetConsumption!$C$2:$K$16,MATCH(L$1,TargetConsumption!$B$2:$B$16,0),MATCH($B17,TargetConsumption!$C$1:$K$1,0))</f>
        <v>883.23643062013559</v>
      </c>
      <c r="M17" s="45">
        <f>INDEX(Prices!$M$8:$AA$27,MATCH($B17,Prices!$L$8:$L$17,0)+COUNTA(Prices!$K$8:$K$17),MATCH(M$1,Prices!$M$7:$AA$7,0))+DemSlope!M17*INDEX(TargetConsumption!$C$2:$K$16,MATCH(M$1,TargetConsumption!$B$2:$B$16,0),MATCH($B17,TargetConsumption!$C$1:$K$1,0))</f>
        <v>785.64531405214223</v>
      </c>
      <c r="N17" s="45">
        <f>INDEX(Prices!$M$8:$AA$27,MATCH($B17,Prices!$L$8:$L$17,0)+COUNTA(Prices!$K$8:$K$17),MATCH(N$1,Prices!$M$7:$AA$7,0))+DemSlope!N17*INDEX(TargetConsumption!$C$2:$K$16,MATCH(N$1,TargetConsumption!$B$2:$B$16,0),MATCH($B17,TargetConsumption!$C$1:$K$1,0))</f>
        <v>1018.8960177213252</v>
      </c>
      <c r="O17" s="45">
        <f>INDEX(Prices!$M$8:$AA$27,MATCH($B17,Prices!$L$8:$L$17,0)+COUNTA(Prices!$K$8:$K$17),MATCH(O$1,Prices!$M$7:$AA$7,0))+DemSlope!O17*INDEX(TargetConsumption!$C$2:$K$16,MATCH(O$1,TargetConsumption!$B$2:$B$16,0),MATCH($B17,TargetConsumption!$C$1:$K$1,0))</f>
        <v>744.79817431171546</v>
      </c>
      <c r="P17" s="45">
        <f>INDEX(Prices!$M$8:$AA$27,MATCH($B17,Prices!$L$8:$L$17,0)+COUNTA(Prices!$K$8:$K$17),MATCH(P$1,Prices!$M$7:$AA$7,0))+DemSlope!P17*INDEX(TargetConsumption!$C$2:$K$16,MATCH(P$1,TargetConsumption!$B$2:$B$16,0),MATCH($B17,TargetConsumption!$C$1:$K$1,0))</f>
        <v>743.40485074626201</v>
      </c>
      <c r="Q17" s="45">
        <f>INDEX(Prices!$M$8:$AA$27,MATCH($B17,Prices!$L$8:$L$17,0)+COUNTA(Prices!$K$8:$K$17),MATCH(Q$1,Prices!$M$7:$AA$7,0))+DemSlope!Q17*INDEX(TargetConsumption!$C$2:$K$16,MATCH(Q$1,TargetConsumption!$B$2:$B$16,0),MATCH($B17,TargetConsumption!$C$1:$K$1,0))</f>
        <v>17021.902504613499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0"/>
        <v>Beef</v>
      </c>
      <c r="C18" s="45">
        <f>INDEX(Prices!$M$8:$AA$27,MATCH($B18,Prices!$L$8:$L$17,0)+COUNTA(Prices!$K$8:$K$17),MATCH(C$1,Prices!$M$7:$AA$7,0))+DemSlope!C18*INDEX(TargetConsumption!$C$2:$K$16,MATCH(C$1,TargetConsumption!$B$2:$B$16,0),MATCH($B18,TargetConsumption!$C$1:$K$1,0))</f>
        <v>666.67250000000001</v>
      </c>
      <c r="D18" s="45">
        <f>INDEX(Prices!$M$8:$AA$27,MATCH($B18,Prices!$L$8:$L$17,0)+COUNTA(Prices!$K$8:$K$17),MATCH(D$1,Prices!$M$7:$AA$7,0))+DemSlope!D18*INDEX(TargetConsumption!$C$2:$K$16,MATCH(D$1,TargetConsumption!$B$2:$B$16,0),MATCH($B18,TargetConsumption!$C$1:$K$1,0))</f>
        <v>666.67250000000001</v>
      </c>
      <c r="E18" s="45">
        <f>INDEX(Prices!$M$8:$AA$27,MATCH($B18,Prices!$L$8:$L$17,0)+COUNTA(Prices!$K$8:$K$17),MATCH(E$1,Prices!$M$7:$AA$7,0))+DemSlope!E18*INDEX(TargetConsumption!$C$2:$K$16,MATCH(E$1,TargetConsumption!$B$2:$B$16,0),MATCH($B18,TargetConsumption!$C$1:$K$1,0))</f>
        <v>666.67250000000001</v>
      </c>
      <c r="F18" s="45">
        <f>INDEX(Prices!$M$8:$AA$27,MATCH($B18,Prices!$L$8:$L$17,0)+COUNTA(Prices!$K$8:$K$17),MATCH(F$1,Prices!$M$7:$AA$7,0))+DemSlope!F18*INDEX(TargetConsumption!$C$2:$K$16,MATCH(F$1,TargetConsumption!$B$2:$B$16,0),MATCH($B18,TargetConsumption!$C$1:$K$1,0))</f>
        <v>666.67250000000001</v>
      </c>
      <c r="G18" s="45">
        <f>INDEX(Prices!$M$8:$AA$27,MATCH($B18,Prices!$L$8:$L$17,0)+COUNTA(Prices!$K$8:$K$17),MATCH(G$1,Prices!$M$7:$AA$7,0))+DemSlope!G18*INDEX(TargetConsumption!$C$2:$K$16,MATCH(G$1,TargetConsumption!$B$2:$B$16,0),MATCH($B18,TargetConsumption!$C$1:$K$1,0))</f>
        <v>666.67250000000001</v>
      </c>
      <c r="H18" s="45">
        <f>INDEX(Prices!$M$8:$AA$27,MATCH($B18,Prices!$L$8:$L$17,0)+COUNTA(Prices!$K$8:$K$17),MATCH(H$1,Prices!$M$7:$AA$7,0))+DemSlope!H18*INDEX(TargetConsumption!$C$2:$K$16,MATCH(H$1,TargetConsumption!$B$2:$B$16,0),MATCH($B18,TargetConsumption!$C$1:$K$1,0))</f>
        <v>666.67250000000001</v>
      </c>
      <c r="I18" s="45">
        <f>INDEX(Prices!$M$8:$AA$27,MATCH($B18,Prices!$L$8:$L$17,0)+COUNTA(Prices!$K$8:$K$17),MATCH(I$1,Prices!$M$7:$AA$7,0))+DemSlope!I18*INDEX(TargetConsumption!$C$2:$K$16,MATCH(I$1,TargetConsumption!$B$2:$B$16,0),MATCH($B18,TargetConsumption!$C$1:$K$1,0))</f>
        <v>666.67250000000001</v>
      </c>
      <c r="J18" s="45">
        <f>INDEX(Prices!$M$8:$AA$27,MATCH($B18,Prices!$L$8:$L$17,0)+COUNTA(Prices!$K$8:$K$17),MATCH(J$1,Prices!$M$7:$AA$7,0))+DemSlope!J18*INDEX(TargetConsumption!$C$2:$K$16,MATCH(J$1,TargetConsumption!$B$2:$B$16,0),MATCH($B18,TargetConsumption!$C$1:$K$1,0))</f>
        <v>666.67250000000001</v>
      </c>
      <c r="K18" s="45">
        <f>INDEX(Prices!$M$8:$AA$27,MATCH($B18,Prices!$L$8:$L$17,0)+COUNTA(Prices!$K$8:$K$17),MATCH(K$1,Prices!$M$7:$AA$7,0))+DemSlope!K18*INDEX(TargetConsumption!$C$2:$K$16,MATCH(K$1,TargetConsumption!$B$2:$B$16,0),MATCH($B18,TargetConsumption!$C$1:$K$1,0))</f>
        <v>666.67250000000001</v>
      </c>
      <c r="L18" s="45">
        <f>INDEX(Prices!$M$8:$AA$27,MATCH($B18,Prices!$L$8:$L$17,0)+COUNTA(Prices!$K$8:$K$17),MATCH(L$1,Prices!$M$7:$AA$7,0))+DemSlope!L18*INDEX(TargetConsumption!$C$2:$K$16,MATCH(L$1,TargetConsumption!$B$2:$B$16,0),MATCH($B18,TargetConsumption!$C$1:$K$1,0))</f>
        <v>666.67250000000001</v>
      </c>
      <c r="M18" s="45">
        <f>INDEX(Prices!$M$8:$AA$27,MATCH($B18,Prices!$L$8:$L$17,0)+COUNTA(Prices!$K$8:$K$17),MATCH(M$1,Prices!$M$7:$AA$7,0))+DemSlope!M18*INDEX(TargetConsumption!$C$2:$K$16,MATCH(M$1,TargetConsumption!$B$2:$B$16,0),MATCH($B18,TargetConsumption!$C$1:$K$1,0))</f>
        <v>666.67250000000001</v>
      </c>
      <c r="N18" s="45">
        <f>INDEX(Prices!$M$8:$AA$27,MATCH($B18,Prices!$L$8:$L$17,0)+COUNTA(Prices!$K$8:$K$17),MATCH(N$1,Prices!$M$7:$AA$7,0))+DemSlope!N18*INDEX(TargetConsumption!$C$2:$K$16,MATCH(N$1,TargetConsumption!$B$2:$B$16,0),MATCH($B18,TargetConsumption!$C$1:$K$1,0))</f>
        <v>666.67250000000001</v>
      </c>
      <c r="O18" s="45">
        <f>INDEX(Prices!$M$8:$AA$27,MATCH($B18,Prices!$L$8:$L$17,0)+COUNTA(Prices!$K$8:$K$17),MATCH(O$1,Prices!$M$7:$AA$7,0))+DemSlope!O18*INDEX(TargetConsumption!$C$2:$K$16,MATCH(O$1,TargetConsumption!$B$2:$B$16,0),MATCH($B18,TargetConsumption!$C$1:$K$1,0))</f>
        <v>666.67250000000001</v>
      </c>
      <c r="P18" s="45">
        <f>INDEX(Prices!$M$8:$AA$27,MATCH($B18,Prices!$L$8:$L$17,0)+COUNTA(Prices!$K$8:$K$17),MATCH(P$1,Prices!$M$7:$AA$7,0))+DemSlope!P18*INDEX(TargetConsumption!$C$2:$K$16,MATCH(P$1,TargetConsumption!$B$2:$B$16,0),MATCH($B18,TargetConsumption!$C$1:$K$1,0))</f>
        <v>666.67250000000001</v>
      </c>
      <c r="Q18" s="45">
        <f>INDEX(Prices!$M$8:$AA$27,MATCH($B18,Prices!$L$8:$L$17,0)+COUNTA(Prices!$K$8:$K$17),MATCH(Q$1,Prices!$M$7:$AA$7,0))+DemSlope!Q18*INDEX(TargetConsumption!$C$2:$K$16,MATCH(Q$1,TargetConsumption!$B$2:$B$16,0),MATCH($B18,TargetConsumption!$C$1:$K$1,0))</f>
        <v>666.67250000000001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0"/>
        <v>Milk</v>
      </c>
      <c r="C19" s="45">
        <f>INDEX(Prices!$M$8:$AA$27,MATCH($B19,Prices!$L$8:$L$17,0)+COUNTA(Prices!$K$8:$K$17),MATCH(C$1,Prices!$M$7:$AA$7,0))+DemSlope!C19*INDEX(TargetConsumption!$C$2:$K$16,MATCH(C$1,TargetConsumption!$B$2:$B$16,0),MATCH($B19,TargetConsumption!$C$1:$K$1,0))</f>
        <v>358.97750000000002</v>
      </c>
      <c r="D19" s="45">
        <f>INDEX(Prices!$M$8:$AA$27,MATCH($B19,Prices!$L$8:$L$17,0)+COUNTA(Prices!$K$8:$K$17),MATCH(D$1,Prices!$M$7:$AA$7,0))+DemSlope!D19*INDEX(TargetConsumption!$C$2:$K$16,MATCH(D$1,TargetConsumption!$B$2:$B$16,0),MATCH($B19,TargetConsumption!$C$1:$K$1,0))</f>
        <v>358.97750000000002</v>
      </c>
      <c r="E19" s="45">
        <f>INDEX(Prices!$M$8:$AA$27,MATCH($B19,Prices!$L$8:$L$17,0)+COUNTA(Prices!$K$8:$K$17),MATCH(E$1,Prices!$M$7:$AA$7,0))+DemSlope!E19*INDEX(TargetConsumption!$C$2:$K$16,MATCH(E$1,TargetConsumption!$B$2:$B$16,0),MATCH($B19,TargetConsumption!$C$1:$K$1,0))</f>
        <v>358.97750000000002</v>
      </c>
      <c r="F19" s="45">
        <f>INDEX(Prices!$M$8:$AA$27,MATCH($B19,Prices!$L$8:$L$17,0)+COUNTA(Prices!$K$8:$K$17),MATCH(F$1,Prices!$M$7:$AA$7,0))+DemSlope!F19*INDEX(TargetConsumption!$C$2:$K$16,MATCH(F$1,TargetConsumption!$B$2:$B$16,0),MATCH($B19,TargetConsumption!$C$1:$K$1,0))</f>
        <v>358.97750000000002</v>
      </c>
      <c r="G19" s="45">
        <f>INDEX(Prices!$M$8:$AA$27,MATCH($B19,Prices!$L$8:$L$17,0)+COUNTA(Prices!$K$8:$K$17),MATCH(G$1,Prices!$M$7:$AA$7,0))+DemSlope!G19*INDEX(TargetConsumption!$C$2:$K$16,MATCH(G$1,TargetConsumption!$B$2:$B$16,0),MATCH($B19,TargetConsumption!$C$1:$K$1,0))</f>
        <v>358.97750000000002</v>
      </c>
      <c r="H19" s="45">
        <f>INDEX(Prices!$M$8:$AA$27,MATCH($B19,Prices!$L$8:$L$17,0)+COUNTA(Prices!$K$8:$K$17),MATCH(H$1,Prices!$M$7:$AA$7,0))+DemSlope!H19*INDEX(TargetConsumption!$C$2:$K$16,MATCH(H$1,TargetConsumption!$B$2:$B$16,0),MATCH($B19,TargetConsumption!$C$1:$K$1,0))</f>
        <v>358.97750000000002</v>
      </c>
      <c r="I19" s="45">
        <f>INDEX(Prices!$M$8:$AA$27,MATCH($B19,Prices!$L$8:$L$17,0)+COUNTA(Prices!$K$8:$K$17),MATCH(I$1,Prices!$M$7:$AA$7,0))+DemSlope!I19*INDEX(TargetConsumption!$C$2:$K$16,MATCH(I$1,TargetConsumption!$B$2:$B$16,0),MATCH($B19,TargetConsumption!$C$1:$K$1,0))</f>
        <v>358.97750000000002</v>
      </c>
      <c r="J19" s="45">
        <f>INDEX(Prices!$M$8:$AA$27,MATCH($B19,Prices!$L$8:$L$17,0)+COUNTA(Prices!$K$8:$K$17),MATCH(J$1,Prices!$M$7:$AA$7,0))+DemSlope!J19*INDEX(TargetConsumption!$C$2:$K$16,MATCH(J$1,TargetConsumption!$B$2:$B$16,0),MATCH($B19,TargetConsumption!$C$1:$K$1,0))</f>
        <v>358.97750000000002</v>
      </c>
      <c r="K19" s="45">
        <f>INDEX(Prices!$M$8:$AA$27,MATCH($B19,Prices!$L$8:$L$17,0)+COUNTA(Prices!$K$8:$K$17),MATCH(K$1,Prices!$M$7:$AA$7,0))+DemSlope!K19*INDEX(TargetConsumption!$C$2:$K$16,MATCH(K$1,TargetConsumption!$B$2:$B$16,0),MATCH($B19,TargetConsumption!$C$1:$K$1,0))</f>
        <v>358.97750000000002</v>
      </c>
      <c r="L19" s="45">
        <f>INDEX(Prices!$M$8:$AA$27,MATCH($B19,Prices!$L$8:$L$17,0)+COUNTA(Prices!$K$8:$K$17),MATCH(L$1,Prices!$M$7:$AA$7,0))+DemSlope!L19*INDEX(TargetConsumption!$C$2:$K$16,MATCH(L$1,TargetConsumption!$B$2:$B$16,0),MATCH($B19,TargetConsumption!$C$1:$K$1,0))</f>
        <v>358.97750000000002</v>
      </c>
      <c r="M19" s="45">
        <f>INDEX(Prices!$M$8:$AA$27,MATCH($B19,Prices!$L$8:$L$17,0)+COUNTA(Prices!$K$8:$K$17),MATCH(M$1,Prices!$M$7:$AA$7,0))+DemSlope!M19*INDEX(TargetConsumption!$C$2:$K$16,MATCH(M$1,TargetConsumption!$B$2:$B$16,0),MATCH($B19,TargetConsumption!$C$1:$K$1,0))</f>
        <v>358.97750000000002</v>
      </c>
      <c r="N19" s="45">
        <f>INDEX(Prices!$M$8:$AA$27,MATCH($B19,Prices!$L$8:$L$17,0)+COUNTA(Prices!$K$8:$K$17),MATCH(N$1,Prices!$M$7:$AA$7,0))+DemSlope!N19*INDEX(TargetConsumption!$C$2:$K$16,MATCH(N$1,TargetConsumption!$B$2:$B$16,0),MATCH($B19,TargetConsumption!$C$1:$K$1,0))</f>
        <v>358.97750000000002</v>
      </c>
      <c r="O19" s="45">
        <f>INDEX(Prices!$M$8:$AA$27,MATCH($B19,Prices!$L$8:$L$17,0)+COUNTA(Prices!$K$8:$K$17),MATCH(O$1,Prices!$M$7:$AA$7,0))+DemSlope!O19*INDEX(TargetConsumption!$C$2:$K$16,MATCH(O$1,TargetConsumption!$B$2:$B$16,0),MATCH($B19,TargetConsumption!$C$1:$K$1,0))</f>
        <v>358.97750000000002</v>
      </c>
      <c r="P19" s="45">
        <f>INDEX(Prices!$M$8:$AA$27,MATCH($B19,Prices!$L$8:$L$17,0)+COUNTA(Prices!$K$8:$K$17),MATCH(P$1,Prices!$M$7:$AA$7,0))+DemSlope!P19*INDEX(TargetConsumption!$C$2:$K$16,MATCH(P$1,TargetConsumption!$B$2:$B$16,0),MATCH($B19,TargetConsumption!$C$1:$K$1,0))</f>
        <v>358.97750000000002</v>
      </c>
      <c r="Q19" s="45">
        <f>INDEX(Prices!$M$8:$AA$27,MATCH($B19,Prices!$L$8:$L$17,0)+COUNTA(Prices!$K$8:$K$17),MATCH(Q$1,Prices!$M$7:$AA$7,0))+DemSlope!Q19*INDEX(TargetConsumption!$C$2:$K$16,MATCH(Q$1,TargetConsumption!$B$2:$B$16,0),MATCH($B19,TargetConsumption!$C$1:$K$1,0))</f>
        <v>358.97750000000002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A21" t="s">
        <v>215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123" spans="3:13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3:13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3:13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3:13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3:13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3:13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H91"/>
  <sheetViews>
    <sheetView zoomScale="85" zoomScaleNormal="85" workbookViewId="0">
      <selection activeCell="C11" sqref="C11:Q19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  <c r="P1" t="s">
        <v>148</v>
      </c>
      <c r="Q1" t="s">
        <v>147</v>
      </c>
    </row>
    <row r="2" spans="1:34">
      <c r="A2" s="2" t="s">
        <v>3</v>
      </c>
      <c r="B2" s="2" t="str">
        <f t="array" ref="B2:B10">Food</f>
        <v>Teff</v>
      </c>
      <c r="C2" s="2">
        <f>-VLOOKUP($B2,DemElas!$A$21:$B$29,2,0)*INDEX(TargetConsumption!$C$2:$K$16,MATCH(C$1,TargetConsumption!$B$2:$B$16,0),MATCH($B2,TargetConsumption!$C$1:$K$1,0))/INDEX(Prices!$M$8:$AA$27,MATCH($B2,Prices!$L$8:$L$17,0),MATCH(C$1,Prices!$M$7:$AA$7,0))</f>
        <v>1.9936119497479852</v>
      </c>
      <c r="D2" s="2">
        <f>-VLOOKUP($B2,DemElas!$A$21:$B$29,2,0)*INDEX(TargetConsumption!$C$2:$K$16,MATCH(D$1,TargetConsumption!$B$2:$B$16,0),MATCH($B2,TargetConsumption!$C$1:$K$1,0))/INDEX(Prices!$M$8:$AA$27,MATCH($B2,Prices!$L$8:$L$17,0),MATCH(D$1,Prices!$M$7:$AA$7,0))</f>
        <v>0.78695392858587654</v>
      </c>
      <c r="E2" s="2">
        <f>-VLOOKUP($B2,DemElas!$A$21:$B$29,2,0)*INDEX(TargetConsumption!$C$2:$K$16,MATCH(E$1,TargetConsumption!$B$2:$B$16,0),MATCH($B2,TargetConsumption!$C$1:$K$1,0))/INDEX(Prices!$M$8:$AA$27,MATCH($B2,Prices!$L$8:$L$17,0),MATCH(E$1,Prices!$M$7:$AA$7,0))</f>
        <v>2.6555398721801358</v>
      </c>
      <c r="F2" s="2">
        <f>-VLOOKUP($B2,DemElas!$A$21:$B$29,2,0)*INDEX(TargetConsumption!$C$2:$K$16,MATCH(F$1,TargetConsumption!$B$2:$B$16,0),MATCH($B2,TargetConsumption!$C$1:$K$1,0))/INDEX(Prices!$M$8:$AA$27,MATCH($B2,Prices!$L$8:$L$17,0),MATCH(F$1,Prices!$M$7:$AA$7,0))</f>
        <v>1.1924806483851516</v>
      </c>
      <c r="G2" s="2">
        <f>-VLOOKUP($B2,DemElas!$A$21:$B$29,2,0)*INDEX(TargetConsumption!$C$2:$K$16,MATCH(G$1,TargetConsumption!$B$2:$B$16,0),MATCH($B2,TargetConsumption!$C$1:$K$1,0))/INDEX(Prices!$M$8:$AA$27,MATCH($B2,Prices!$L$8:$L$17,0),MATCH(G$1,Prices!$M$7:$AA$7,0))</f>
        <v>6.5996740500676429E-2</v>
      </c>
      <c r="H2" s="2">
        <f>-VLOOKUP($B2,DemElas!$A$21:$B$29,2,0)*INDEX(TargetConsumption!$C$2:$K$16,MATCH(H$1,TargetConsumption!$B$2:$B$16,0),MATCH($B2,TargetConsumption!$C$1:$K$1,0))/INDEX(Prices!$M$8:$AA$27,MATCH($B2,Prices!$L$8:$L$17,0),MATCH(H$1,Prices!$M$7:$AA$7,0))</f>
        <v>2.0914129079464723</v>
      </c>
      <c r="I2" s="2">
        <f>-VLOOKUP($B2,DemElas!$A$21:$B$29,2,0)*INDEX(TargetConsumption!$C$2:$K$16,MATCH(I$1,TargetConsumption!$B$2:$B$16,0),MATCH($B2,TargetConsumption!$C$1:$K$1,0))/INDEX(Prices!$M$8:$AA$27,MATCH($B2,Prices!$L$8:$L$17,0),MATCH(I$1,Prices!$M$7:$AA$7,0))</f>
        <v>7.6561683311767021</v>
      </c>
      <c r="J2" s="2">
        <f>-VLOOKUP($B2,DemElas!$A$21:$B$29,2,0)*INDEX(TargetConsumption!$C$2:$K$16,MATCH(J$1,TargetConsumption!$B$2:$B$16,0),MATCH($B2,TargetConsumption!$C$1:$K$1,0))/INDEX(Prices!$M$8:$AA$27,MATCH($B2,Prices!$L$8:$L$17,0),MATCH(J$1,Prices!$M$7:$AA$7,0))</f>
        <v>5.4882713937977598E-2</v>
      </c>
      <c r="K2" s="2">
        <f>-VLOOKUP($B2,DemElas!$A$21:$B$29,2,0)*INDEX(TargetConsumption!$C$2:$K$16,MATCH(K$1,TargetConsumption!$B$2:$B$16,0),MATCH($B2,TargetConsumption!$C$1:$K$1,0))/INDEX(Prices!$M$8:$AA$27,MATCH($B2,Prices!$L$8:$L$17,0),MATCH(K$1,Prices!$M$7:$AA$7,0))</f>
        <v>0.19683425888703027</v>
      </c>
      <c r="L2" s="2">
        <f>-VLOOKUP($B2,DemElas!$A$21:$B$29,2,0)*INDEX(TargetConsumption!$C$2:$K$16,MATCH(L$1,TargetConsumption!$B$2:$B$16,0),MATCH($B2,TargetConsumption!$C$1:$K$1,0))/INDEX(Prices!$M$8:$AA$27,MATCH($B2,Prices!$L$8:$L$17,0),MATCH(L$1,Prices!$M$7:$AA$7,0))</f>
        <v>4.3216201247417985</v>
      </c>
      <c r="M2" s="2">
        <f>-VLOOKUP($B2,DemElas!$A$21:$B$29,2,0)*INDEX(TargetConsumption!$C$2:$K$16,MATCH(M$1,TargetConsumption!$B$2:$B$16,0),MATCH($B2,TargetConsumption!$C$1:$K$1,0))/INDEX(Prices!$M$8:$AA$27,MATCH($B2,Prices!$L$8:$L$17,0),MATCH(M$1,Prices!$M$7:$AA$7,0))</f>
        <v>2.4258812865130066</v>
      </c>
      <c r="N2" s="2">
        <f>-VLOOKUP($B2,DemElas!$A$21:$B$29,2,0)*INDEX(TargetConsumption!$C$2:$K$16,MATCH(N$1,TargetConsumption!$B$2:$B$16,0),MATCH($B2,TargetConsumption!$C$1:$K$1,0))/INDEX(Prices!$M$8:$AA$27,MATCH($B2,Prices!$L$8:$L$17,0),MATCH(N$1,Prices!$M$7:$AA$7,0))</f>
        <v>6.0380150916782247</v>
      </c>
      <c r="O2" s="2">
        <f>-VLOOKUP($B2,DemElas!$A$21:$B$29,2,0)*INDEX(TargetConsumption!$C$2:$K$16,MATCH(O$1,TargetConsumption!$B$2:$B$16,0),MATCH($B2,TargetConsumption!$C$1:$K$1,0))/INDEX(Prices!$M$8:$AA$27,MATCH($B2,Prices!$L$8:$L$17,0),MATCH(O$1,Prices!$M$7:$AA$7,0))</f>
        <v>0.72867548012360839</v>
      </c>
      <c r="P2" s="2">
        <f>-VLOOKUP($B2,DemElas!$A$21:$B$29,2,0)*INDEX(TargetConsumption!$C$2:$K$16,MATCH(P$1,TargetConsumption!$B$2:$B$16,0),MATCH($B2,TargetConsumption!$C$1:$K$1,0))/INDEX(Prices!$M$8:$AA$27,MATCH($B2,Prices!$L$8:$L$17,0),MATCH(P$1,Prices!$M$7:$AA$7,0))</f>
        <v>0.5902048045793451</v>
      </c>
      <c r="Q2" s="2">
        <f>-VLOOKUP($B2,DemElas!$A$21:$B$29,2,0)*INDEX(TargetConsumption!$C$2:$K$16,MATCH(Q$1,TargetConsumption!$B$2:$B$16,0),MATCH($B2,TargetConsumption!$C$1:$K$1,0))/INDEX(Prices!$M$8:$AA$27,MATCH($B2,Prices!$L$8:$L$17,0),MATCH(Q$1,Prices!$M$7:$AA$7,0))</f>
        <v>0</v>
      </c>
      <c r="R2" s="2"/>
    </row>
    <row r="3" spans="1:34">
      <c r="A3" s="2" t="s">
        <v>3</v>
      </c>
      <c r="B3" s="2" t="str">
        <v>Sorghum</v>
      </c>
      <c r="C3" s="2">
        <f>-VLOOKUP($B3,DemElas!$A$21:$B$29,2,0)*INDEX(TargetConsumption!$C$2:$K$16,MATCH(C$1,TargetConsumption!$B$2:$B$16,0),MATCH($B3,TargetConsumption!$C$1:$K$1,0))/INDEX(Prices!$M$8:$AA$27,MATCH($B3,Prices!$L$8:$L$17,0),MATCH(C$1,Prices!$M$7:$AA$7,0))</f>
        <v>2.5968983074694352</v>
      </c>
      <c r="D3" s="2">
        <f>-VLOOKUP($B3,DemElas!$A$21:$B$29,2,0)*INDEX(TargetConsumption!$C$2:$K$16,MATCH(D$1,TargetConsumption!$B$2:$B$16,0),MATCH($B3,TargetConsumption!$C$1:$K$1,0))/INDEX(Prices!$M$8:$AA$27,MATCH($B3,Prices!$L$8:$L$17,0),MATCH(D$1,Prices!$M$7:$AA$7,0))</f>
        <v>1.0250938380758723</v>
      </c>
      <c r="E3" s="2">
        <f>-VLOOKUP($B3,DemElas!$A$21:$B$29,2,0)*INDEX(TargetConsumption!$C$2:$K$16,MATCH(E$1,TargetConsumption!$B$2:$B$16,0),MATCH($B3,TargetConsumption!$C$1:$K$1,0))/INDEX(Prices!$M$8:$AA$27,MATCH($B3,Prices!$L$8:$L$17,0),MATCH(E$1,Prices!$M$7:$AA$7,0))</f>
        <v>3.4591320544371471</v>
      </c>
      <c r="F3" s="2">
        <f>-VLOOKUP($B3,DemElas!$A$21:$B$29,2,0)*INDEX(TargetConsumption!$C$2:$K$16,MATCH(F$1,TargetConsumption!$B$2:$B$16,0),MATCH($B3,TargetConsumption!$C$1:$K$1,0))/INDEX(Prices!$M$8:$AA$27,MATCH($B3,Prices!$L$8:$L$17,0),MATCH(F$1,Prices!$M$7:$AA$7,0))</f>
        <v>1.5533368857830725</v>
      </c>
      <c r="G3" s="2">
        <f>-VLOOKUP($B3,DemElas!$A$21:$B$29,2,0)*INDEX(TargetConsumption!$C$2:$K$16,MATCH(G$1,TargetConsumption!$B$2:$B$16,0),MATCH($B3,TargetConsumption!$C$1:$K$1,0))/INDEX(Prices!$M$8:$AA$27,MATCH($B3,Prices!$L$8:$L$17,0),MATCH(G$1,Prices!$M$7:$AA$7,0))</f>
        <v>8.5967995790941804E-2</v>
      </c>
      <c r="H3" s="2">
        <f>-VLOOKUP($B3,DemElas!$A$21:$B$29,2,0)*INDEX(TargetConsumption!$C$2:$K$16,MATCH(H$1,TargetConsumption!$B$2:$B$16,0),MATCH($B3,TargetConsumption!$C$1:$K$1,0))/INDEX(Prices!$M$8:$AA$27,MATCH($B3,Prices!$L$8:$L$17,0),MATCH(H$1,Prices!$M$7:$AA$7,0))</f>
        <v>2.7242947864314746</v>
      </c>
      <c r="I3" s="2">
        <f>-VLOOKUP($B3,DemElas!$A$21:$B$29,2,0)*INDEX(TargetConsumption!$C$2:$K$16,MATCH(I$1,TargetConsumption!$B$2:$B$16,0),MATCH($B3,TargetConsumption!$C$1:$K$1,0))/INDEX(Prices!$M$8:$AA$27,MATCH($B3,Prices!$L$8:$L$17,0),MATCH(I$1,Prices!$M$7:$AA$7,0))</f>
        <v>9.9729993008153901</v>
      </c>
      <c r="J3" s="2">
        <f>-VLOOKUP($B3,DemElas!$A$21:$B$29,2,0)*INDEX(TargetConsumption!$C$2:$K$16,MATCH(J$1,TargetConsumption!$B$2:$B$16,0),MATCH($B3,TargetConsumption!$C$1:$K$1,0))/INDEX(Prices!$M$8:$AA$27,MATCH($B3,Prices!$L$8:$L$17,0),MATCH(J$1,Prices!$M$7:$AA$7,0))</f>
        <v>7.1490756740738792E-2</v>
      </c>
      <c r="K3" s="2">
        <f>-VLOOKUP($B3,DemElas!$A$21:$B$29,2,0)*INDEX(TargetConsumption!$C$2:$K$16,MATCH(K$1,TargetConsumption!$B$2:$B$16,0),MATCH($B3,TargetConsumption!$C$1:$K$1,0))/INDEX(Prices!$M$8:$AA$27,MATCH($B3,Prices!$L$8:$L$17,0),MATCH(K$1,Prices!$M$7:$AA$7,0))</f>
        <v>0.25639821923235634</v>
      </c>
      <c r="L3" s="2">
        <f>-VLOOKUP($B3,DemElas!$A$21:$B$29,2,0)*INDEX(TargetConsumption!$C$2:$K$16,MATCH(L$1,TargetConsumption!$B$2:$B$16,0),MATCH($B3,TargetConsumption!$C$1:$K$1,0))/INDEX(Prices!$M$8:$AA$27,MATCH($B3,Prices!$L$8:$L$17,0),MATCH(L$1,Prices!$M$7:$AA$7,0))</f>
        <v>5.6293843889160646</v>
      </c>
      <c r="M3" s="2">
        <f>-VLOOKUP($B3,DemElas!$A$21:$B$29,2,0)*INDEX(TargetConsumption!$C$2:$K$16,MATCH(M$1,TargetConsumption!$B$2:$B$16,0),MATCH($B3,TargetConsumption!$C$1:$K$1,0))/INDEX(Prices!$M$8:$AA$27,MATCH($B3,Prices!$L$8:$L$17,0),MATCH(M$1,Prices!$M$7:$AA$7,0))</f>
        <v>3.1599765480256896</v>
      </c>
      <c r="N3" s="2">
        <f>-VLOOKUP($B3,DemElas!$A$21:$B$29,2,0)*INDEX(TargetConsumption!$C$2:$K$16,MATCH(N$1,TargetConsumption!$B$2:$B$16,0),MATCH($B3,TargetConsumption!$C$1:$K$1,0))/INDEX(Prices!$M$8:$AA$27,MATCH($B3,Prices!$L$8:$L$17,0),MATCH(N$1,Prices!$M$7:$AA$7,0))</f>
        <v>7.8651771594949684</v>
      </c>
      <c r="O3" s="2">
        <f>-VLOOKUP($B3,DemElas!$A$21:$B$29,2,0)*INDEX(TargetConsumption!$C$2:$K$16,MATCH(O$1,TargetConsumption!$B$2:$B$16,0),MATCH($B3,TargetConsumption!$C$1:$K$1,0))/INDEX(Prices!$M$8:$AA$27,MATCH($B3,Prices!$L$8:$L$17,0),MATCH(O$1,Prices!$M$7:$AA$7,0))</f>
        <v>0.94917976453074715</v>
      </c>
      <c r="P3" s="2">
        <f>-VLOOKUP($B3,DemElas!$A$21:$B$29,2,0)*INDEX(TargetConsumption!$C$2:$K$16,MATCH(P$1,TargetConsumption!$B$2:$B$16,0),MATCH($B3,TargetConsumption!$C$1:$K$1,0))/INDEX(Prices!$M$8:$AA$27,MATCH($B3,Prices!$L$8:$L$17,0),MATCH(P$1,Prices!$M$7:$AA$7,0))</f>
        <v>0.76880651636652786</v>
      </c>
      <c r="Q3" s="2">
        <f>-VLOOKUP($B3,DemElas!$A$21:$B$29,2,0)*INDEX(TargetConsumption!$C$2:$K$16,MATCH(Q$1,TargetConsumption!$B$2:$B$16,0),MATCH($B3,TargetConsumption!$C$1:$K$1,0))/INDEX(Prices!$M$8:$AA$27,MATCH($B3,Prices!$L$8:$L$17,0),MATCH(Q$1,Prices!$M$7:$AA$7,0))</f>
        <v>0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 t="s">
        <v>3</v>
      </c>
      <c r="B4" s="2" t="str">
        <v>Maize</v>
      </c>
      <c r="C4" s="2">
        <f>-VLOOKUP($B4,DemElas!$A$21:$B$29,2,0)*INDEX(TargetConsumption!$C$2:$K$16,MATCH(C$1,TargetConsumption!$B$2:$B$16,0),MATCH($B4,TargetConsumption!$C$1:$K$1,0))/INDEX(Prices!$M$8:$AA$27,MATCH($B4,Prices!$L$8:$L$17,0),MATCH(C$1,Prices!$M$7:$AA$7,0))</f>
        <v>5.7018437986883654</v>
      </c>
      <c r="D4" s="2">
        <f>-VLOOKUP($B4,DemElas!$A$21:$B$29,2,0)*INDEX(TargetConsumption!$C$2:$K$16,MATCH(D$1,TargetConsumption!$B$2:$B$16,0),MATCH($B4,TargetConsumption!$C$1:$K$1,0))/INDEX(Prices!$M$8:$AA$27,MATCH($B4,Prices!$L$8:$L$17,0),MATCH(D$1,Prices!$M$7:$AA$7,0))</f>
        <v>2.2507330868116258</v>
      </c>
      <c r="E4" s="2">
        <f>-VLOOKUP($B4,DemElas!$A$21:$B$29,2,0)*INDEX(TargetConsumption!$C$2:$K$16,MATCH(E$1,TargetConsumption!$B$2:$B$16,0),MATCH($B4,TargetConsumption!$C$1:$K$1,0))/INDEX(Prices!$M$8:$AA$27,MATCH($B4,Prices!$L$8:$L$17,0),MATCH(E$1,Prices!$M$7:$AA$7,0))</f>
        <v>7.5949953822628578</v>
      </c>
      <c r="F4" s="2">
        <f>-VLOOKUP($B4,DemElas!$A$21:$B$29,2,0)*INDEX(TargetConsumption!$C$2:$K$16,MATCH(F$1,TargetConsumption!$B$2:$B$16,0),MATCH($B4,TargetConsumption!$C$1:$K$1,0))/INDEX(Prices!$M$8:$AA$27,MATCH($B4,Prices!$L$8:$L$17,0),MATCH(F$1,Prices!$M$7:$AA$7,0))</f>
        <v>3.4105626177201986</v>
      </c>
      <c r="G4" s="2">
        <f>-VLOOKUP($B4,DemElas!$A$21:$B$29,2,0)*INDEX(TargetConsumption!$C$2:$K$16,MATCH(G$1,TargetConsumption!$B$2:$B$16,0),MATCH($B4,TargetConsumption!$C$1:$K$1,0))/INDEX(Prices!$M$8:$AA$27,MATCH($B4,Prices!$L$8:$L$17,0),MATCH(G$1,Prices!$M$7:$AA$7,0))</f>
        <v>0.1887544392001643</v>
      </c>
      <c r="H4" s="2">
        <f>-VLOOKUP($B4,DemElas!$A$21:$B$29,2,0)*INDEX(TargetConsumption!$C$2:$K$16,MATCH(H$1,TargetConsumption!$B$2:$B$16,0),MATCH($B4,TargetConsumption!$C$1:$K$1,0))/INDEX(Prices!$M$8:$AA$27,MATCH($B4,Prices!$L$8:$L$17,0),MATCH(H$1,Prices!$M$7:$AA$7,0))</f>
        <v>5.9815601131297571</v>
      </c>
      <c r="I4" s="2">
        <f>-VLOOKUP($B4,DemElas!$A$21:$B$29,2,0)*INDEX(TargetConsumption!$C$2:$K$16,MATCH(I$1,TargetConsumption!$B$2:$B$16,0),MATCH($B4,TargetConsumption!$C$1:$K$1,0))/INDEX(Prices!$M$8:$AA$27,MATCH($B4,Prices!$L$8:$L$17,0),MATCH(I$1,Prices!$M$7:$AA$7,0))</f>
        <v>21.897077777023014</v>
      </c>
      <c r="J4" s="2">
        <f>-VLOOKUP($B4,DemElas!$A$21:$B$29,2,0)*INDEX(TargetConsumption!$C$2:$K$16,MATCH(J$1,TargetConsumption!$B$2:$B$16,0),MATCH($B4,TargetConsumption!$C$1:$K$1,0))/INDEX(Prices!$M$8:$AA$27,MATCH($B4,Prices!$L$8:$L$17,0),MATCH(J$1,Prices!$M$7:$AA$7,0))</f>
        <v>0.15696768980643561</v>
      </c>
      <c r="K4" s="2">
        <f>-VLOOKUP($B4,DemElas!$A$21:$B$29,2,0)*INDEX(TargetConsumption!$C$2:$K$16,MATCH(K$1,TargetConsumption!$B$2:$B$16,0),MATCH($B4,TargetConsumption!$C$1:$K$1,0))/INDEX(Prices!$M$8:$AA$27,MATCH($B4,Prices!$L$8:$L$17,0),MATCH(K$1,Prices!$M$7:$AA$7,0))</f>
        <v>0.5629571986395383</v>
      </c>
      <c r="L4" s="2">
        <f>-VLOOKUP($B4,DemElas!$A$21:$B$29,2,0)*INDEX(TargetConsumption!$C$2:$K$16,MATCH(L$1,TargetConsumption!$B$2:$B$16,0),MATCH($B4,TargetConsumption!$C$1:$K$1,0))/INDEX(Prices!$M$8:$AA$27,MATCH($B4,Prices!$L$8:$L$17,0),MATCH(L$1,Prices!$M$7:$AA$7,0))</f>
        <v>12.360079859904925</v>
      </c>
      <c r="M4" s="2">
        <f>-VLOOKUP($B4,DemElas!$A$21:$B$29,2,0)*INDEX(TargetConsumption!$C$2:$K$16,MATCH(M$1,TargetConsumption!$B$2:$B$16,0),MATCH($B4,TargetConsumption!$C$1:$K$1,0))/INDEX(Prices!$M$8:$AA$27,MATCH($B4,Prices!$L$8:$L$17,0),MATCH(M$1,Prices!$M$7:$AA$7,0))</f>
        <v>6.9381587382674246</v>
      </c>
      <c r="N4" s="2">
        <f>-VLOOKUP($B4,DemElas!$A$21:$B$29,2,0)*INDEX(TargetConsumption!$C$2:$K$16,MATCH(N$1,TargetConsumption!$B$2:$B$16,0),MATCH($B4,TargetConsumption!$C$1:$K$1,0))/INDEX(Prices!$M$8:$AA$27,MATCH($B4,Prices!$L$8:$L$17,0),MATCH(N$1,Prices!$M$7:$AA$7,0))</f>
        <v>17.269067288257531</v>
      </c>
      <c r="O4" s="2">
        <f>-VLOOKUP($B4,DemElas!$A$21:$B$29,2,0)*INDEX(TargetConsumption!$C$2:$K$16,MATCH(O$1,TargetConsumption!$B$2:$B$16,0),MATCH($B4,TargetConsumption!$C$1:$K$1,0))/INDEX(Prices!$M$8:$AA$27,MATCH($B4,Prices!$L$8:$L$17,0),MATCH(O$1,Prices!$M$7:$AA$7,0))</f>
        <v>2.0840534027317981</v>
      </c>
      <c r="P4" s="2">
        <f>-VLOOKUP($B4,DemElas!$A$21:$B$29,2,0)*INDEX(TargetConsumption!$C$2:$K$16,MATCH(P$1,TargetConsumption!$B$2:$B$16,0),MATCH($B4,TargetConsumption!$C$1:$K$1,0))/INDEX(Prices!$M$8:$AA$27,MATCH($B4,Prices!$L$8:$L$17,0),MATCH(P$1,Prices!$M$7:$AA$7,0))</f>
        <v>1.6880193787824271</v>
      </c>
      <c r="Q4" s="2">
        <f>-VLOOKUP($B4,DemElas!$A$21:$B$29,2,0)*INDEX(TargetConsumption!$C$2:$K$16,MATCH(Q$1,TargetConsumption!$B$2:$B$16,0),MATCH($B4,TargetConsumption!$C$1:$K$1,0))/INDEX(Prices!$M$8:$AA$27,MATCH($B4,Prices!$L$8:$L$17,0),MATCH(Q$1,Prices!$M$7:$AA$7,0))</f>
        <v>0</v>
      </c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 t="s">
        <v>3</v>
      </c>
      <c r="B5" s="2" t="str">
        <v>Lentils</v>
      </c>
      <c r="C5" s="2">
        <f>-VLOOKUP($B5,DemElas!$A$21:$B$29,2,0)*INDEX(TargetConsumption!$C$2:$K$16,MATCH(C$1,TargetConsumption!$B$2:$B$16,0),MATCH($B5,TargetConsumption!$C$1:$K$1,0))/INDEX(Prices!$M$8:$AA$27,MATCH($B5,Prices!$L$8:$L$17,0),MATCH(C$1,Prices!$M$7:$AA$7,0))</f>
        <v>1.3081114526429631</v>
      </c>
      <c r="D5" s="2">
        <f>-VLOOKUP($B5,DemElas!$A$21:$B$29,2,0)*INDEX(TargetConsumption!$C$2:$K$16,MATCH(D$1,TargetConsumption!$B$2:$B$16,0),MATCH($B5,TargetConsumption!$C$1:$K$1,0))/INDEX(Prices!$M$8:$AA$27,MATCH($B5,Prices!$L$8:$L$17,0),MATCH(D$1,Prices!$M$7:$AA$7,0))</f>
        <v>0.51636099332956353</v>
      </c>
      <c r="E5" s="2">
        <f>-VLOOKUP($B5,DemElas!$A$21:$B$29,2,0)*INDEX(TargetConsumption!$C$2:$K$16,MATCH(E$1,TargetConsumption!$B$2:$B$16,0),MATCH($B5,TargetConsumption!$C$1:$K$1,0))/INDEX(Prices!$M$8:$AA$27,MATCH($B5,Prices!$L$8:$L$17,0),MATCH(E$1,Prices!$M$7:$AA$7,0))</f>
        <v>1.7424364456623491</v>
      </c>
      <c r="F5" s="2">
        <f>-VLOOKUP($B5,DemElas!$A$21:$B$29,2,0)*INDEX(TargetConsumption!$C$2:$K$16,MATCH(F$1,TargetConsumption!$B$2:$B$16,0),MATCH($B5,TargetConsumption!$C$1:$K$1,0))/INDEX(Prices!$M$8:$AA$27,MATCH($B5,Prices!$L$8:$L$17,0),MATCH(F$1,Prices!$M$7:$AA$7,0))</f>
        <v>0.78244795503202691</v>
      </c>
      <c r="G5" s="2">
        <f>-VLOOKUP($B5,DemElas!$A$21:$B$29,2,0)*INDEX(TargetConsumption!$C$2:$K$16,MATCH(G$1,TargetConsumption!$B$2:$B$16,0),MATCH($B5,TargetConsumption!$C$1:$K$1,0))/INDEX(Prices!$M$8:$AA$27,MATCH($B5,Prices!$L$8:$L$17,0),MATCH(G$1,Prices!$M$7:$AA$7,0))</f>
        <v>4.3303859658823628E-2</v>
      </c>
      <c r="H5" s="2">
        <f>-VLOOKUP($B5,DemElas!$A$21:$B$29,2,0)*INDEX(TargetConsumption!$C$2:$K$16,MATCH(H$1,TargetConsumption!$B$2:$B$16,0),MATCH($B5,TargetConsumption!$C$1:$K$1,0))/INDEX(Prices!$M$8:$AA$27,MATCH($B5,Prices!$L$8:$L$17,0),MATCH(H$1,Prices!$M$7:$AA$7,0))</f>
        <v>1.3722836971537711</v>
      </c>
      <c r="I5" s="2">
        <f>-VLOOKUP($B5,DemElas!$A$21:$B$29,2,0)*INDEX(TargetConsumption!$C$2:$K$16,MATCH(I$1,TargetConsumption!$B$2:$B$16,0),MATCH($B5,TargetConsumption!$C$1:$K$1,0))/INDEX(Prices!$M$8:$AA$27,MATCH($B5,Prices!$L$8:$L$17,0),MATCH(I$1,Prices!$M$7:$AA$7,0))</f>
        <v>5.0236062633155001</v>
      </c>
      <c r="J5" s="2">
        <f>-VLOOKUP($B5,DemElas!$A$21:$B$29,2,0)*INDEX(TargetConsumption!$C$2:$K$16,MATCH(J$1,TargetConsumption!$B$2:$B$16,0),MATCH($B5,TargetConsumption!$C$1:$K$1,0))/INDEX(Prices!$M$8:$AA$27,MATCH($B5,Prices!$L$8:$L$17,0),MATCH(J$1,Prices!$M$7:$AA$7,0))</f>
        <v>3.6011374562372307E-2</v>
      </c>
      <c r="K5" s="2">
        <f>-VLOOKUP($B5,DemElas!$A$21:$B$29,2,0)*INDEX(TargetConsumption!$C$2:$K$16,MATCH(K$1,TargetConsumption!$B$2:$B$16,0),MATCH($B5,TargetConsumption!$C$1:$K$1,0))/INDEX(Prices!$M$8:$AA$27,MATCH($B5,Prices!$L$8:$L$17,0),MATCH(K$1,Prices!$M$7:$AA$7,0))</f>
        <v>0.12915309238348147</v>
      </c>
      <c r="L5" s="2">
        <f>-VLOOKUP($B5,DemElas!$A$21:$B$29,2,0)*INDEX(TargetConsumption!$C$2:$K$16,MATCH(L$1,TargetConsumption!$B$2:$B$16,0),MATCH($B5,TargetConsumption!$C$1:$K$1,0))/INDEX(Prices!$M$8:$AA$27,MATCH($B5,Prices!$L$8:$L$17,0),MATCH(L$1,Prices!$M$7:$AA$7,0))</f>
        <v>2.835637486955112</v>
      </c>
      <c r="M5" s="2">
        <f>-VLOOKUP($B5,DemElas!$A$21:$B$29,2,0)*INDEX(TargetConsumption!$C$2:$K$16,MATCH(M$1,TargetConsumption!$B$2:$B$16,0),MATCH($B5,TargetConsumption!$C$1:$K$1,0))/INDEX(Prices!$M$8:$AA$27,MATCH($B5,Prices!$L$8:$L$17,0),MATCH(M$1,Prices!$M$7:$AA$7,0))</f>
        <v>1.5917456223318949</v>
      </c>
      <c r="N5" s="2">
        <f>-VLOOKUP($B5,DemElas!$A$21:$B$29,2,0)*INDEX(TargetConsumption!$C$2:$K$16,MATCH(N$1,TargetConsumption!$B$2:$B$16,0),MATCH($B5,TargetConsumption!$C$1:$K$1,0))/INDEX(Prices!$M$8:$AA$27,MATCH($B5,Prices!$L$8:$L$17,0),MATCH(N$1,Prices!$M$7:$AA$7,0))</f>
        <v>3.9618526030874666</v>
      </c>
      <c r="O5" s="2">
        <f>-VLOOKUP($B5,DemElas!$A$21:$B$29,2,0)*INDEX(TargetConsumption!$C$2:$K$16,MATCH(O$1,TargetConsumption!$B$2:$B$16,0),MATCH($B5,TargetConsumption!$C$1:$K$1,0))/INDEX(Prices!$M$8:$AA$27,MATCH($B5,Prices!$L$8:$L$17,0),MATCH(O$1,Prices!$M$7:$AA$7,0))</f>
        <v>0.47812150249716118</v>
      </c>
      <c r="P5" s="2">
        <f>-VLOOKUP($B5,DemElas!$A$21:$B$29,2,0)*INDEX(TargetConsumption!$C$2:$K$16,MATCH(P$1,TargetConsumption!$B$2:$B$16,0),MATCH($B5,TargetConsumption!$C$1:$K$1,0))/INDEX(Prices!$M$8:$AA$27,MATCH($B5,Prices!$L$8:$L$17,0),MATCH(P$1,Prices!$M$7:$AA$7,0))</f>
        <v>0.38726376232482923</v>
      </c>
      <c r="Q5" s="2">
        <f>-VLOOKUP($B5,DemElas!$A$21:$B$29,2,0)*INDEX(TargetConsumption!$C$2:$K$16,MATCH(Q$1,TargetConsumption!$B$2:$B$16,0),MATCH($B5,TargetConsumption!$C$1:$K$1,0))/INDEX(Prices!$M$8:$AA$27,MATCH($B5,Prices!$L$8:$L$17,0),MATCH(Q$1,Prices!$M$7:$AA$7,0))</f>
        <v>0</v>
      </c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s="2" t="s">
        <v>3</v>
      </c>
      <c r="B6" s="2" t="str">
        <v>Wheat</v>
      </c>
      <c r="C6" s="2">
        <f>-VLOOKUP($B6,DemElas!$A$21:$B$29,2,0)*INDEX(TargetConsumption!$C$2:$K$16,MATCH(C$1,TargetConsumption!$B$2:$B$16,0),MATCH($B6,TargetConsumption!$C$1:$K$1,0))/INDEX(Prices!$M$8:$AA$27,MATCH($B6,Prices!$L$8:$L$17,0),MATCH(C$1,Prices!$M$7:$AA$7,0))</f>
        <v>2.282863985396324</v>
      </c>
      <c r="D6" s="2">
        <f>-VLOOKUP($B6,DemElas!$A$21:$B$29,2,0)*INDEX(TargetConsumption!$C$2:$K$16,MATCH(D$1,TargetConsumption!$B$2:$B$16,0),MATCH($B6,TargetConsumption!$C$1:$K$1,0))/INDEX(Prices!$M$8:$AA$27,MATCH($B6,Prices!$L$8:$L$17,0),MATCH(D$1,Prices!$M$7:$AA$7,0))</f>
        <v>0.90113263113312825</v>
      </c>
      <c r="E6" s="2">
        <f>-VLOOKUP($B6,DemElas!$A$21:$B$29,2,0)*INDEX(TargetConsumption!$C$2:$K$16,MATCH(E$1,TargetConsumption!$B$2:$B$16,0),MATCH($B6,TargetConsumption!$C$1:$K$1,0))/INDEX(Prices!$M$8:$AA$27,MATCH($B6,Prices!$L$8:$L$17,0),MATCH(E$1,Prices!$M$7:$AA$7,0))</f>
        <v>3.0408306575160342</v>
      </c>
      <c r="F6" s="2">
        <f>-VLOOKUP($B6,DemElas!$A$21:$B$29,2,0)*INDEX(TargetConsumption!$C$2:$K$16,MATCH(F$1,TargetConsumption!$B$2:$B$16,0),MATCH($B6,TargetConsumption!$C$1:$K$1,0))/INDEX(Prices!$M$8:$AA$27,MATCH($B6,Prices!$L$8:$L$17,0),MATCH(F$1,Prices!$M$7:$AA$7,0))</f>
        <v>1.3654969944500206</v>
      </c>
      <c r="G6" s="2">
        <f>-VLOOKUP($B6,DemElas!$A$21:$B$29,2,0)*INDEX(TargetConsumption!$C$2:$K$16,MATCH(G$1,TargetConsumption!$B$2:$B$16,0),MATCH($B6,TargetConsumption!$C$1:$K$1,0))/INDEX(Prices!$M$8:$AA$27,MATCH($B6,Prices!$L$8:$L$17,0),MATCH(G$1,Prices!$M$7:$AA$7,0))</f>
        <v>7.5572170432458743E-2</v>
      </c>
      <c r="H6" s="2">
        <f>-VLOOKUP($B6,DemElas!$A$21:$B$29,2,0)*INDEX(TargetConsumption!$C$2:$K$16,MATCH(H$1,TargetConsumption!$B$2:$B$16,0),MATCH($B6,TargetConsumption!$C$1:$K$1,0))/INDEX(Prices!$M$8:$AA$27,MATCH($B6,Prices!$L$8:$L$17,0),MATCH(H$1,Prices!$M$7:$AA$7,0))</f>
        <v>2.3948548295707885</v>
      </c>
      <c r="I6" s="2">
        <f>-VLOOKUP($B6,DemElas!$A$21:$B$29,2,0)*INDEX(TargetConsumption!$C$2:$K$16,MATCH(I$1,TargetConsumption!$B$2:$B$16,0),MATCH($B6,TargetConsumption!$C$1:$K$1,0))/INDEX(Prices!$M$8:$AA$27,MATCH($B6,Prices!$L$8:$L$17,0),MATCH(I$1,Prices!$M$7:$AA$7,0))</f>
        <v>8.7669974849341052</v>
      </c>
      <c r="J6" s="2">
        <f>-VLOOKUP($B6,DemElas!$A$21:$B$29,2,0)*INDEX(TargetConsumption!$C$2:$K$16,MATCH(J$1,TargetConsumption!$B$2:$B$16,0),MATCH($B6,TargetConsumption!$C$1:$K$1,0))/INDEX(Prices!$M$8:$AA$27,MATCH($B6,Prices!$L$8:$L$17,0),MATCH(J$1,Prices!$M$7:$AA$7,0))</f>
        <v>6.284561601150912E-2</v>
      </c>
      <c r="K6" s="2">
        <f>-VLOOKUP($B6,DemElas!$A$21:$B$29,2,0)*INDEX(TargetConsumption!$C$2:$K$16,MATCH(K$1,TargetConsumption!$B$2:$B$16,0),MATCH($B6,TargetConsumption!$C$1:$K$1,0))/INDEX(Prices!$M$8:$AA$27,MATCH($B6,Prices!$L$8:$L$17,0),MATCH(K$1,Prices!$M$7:$AA$7,0))</f>
        <v>0.22539283071722152</v>
      </c>
      <c r="L6" s="2">
        <f>-VLOOKUP($B6,DemElas!$A$21:$B$29,2,0)*INDEX(TargetConsumption!$C$2:$K$16,MATCH(L$1,TargetConsumption!$B$2:$B$16,0),MATCH($B6,TargetConsumption!$C$1:$K$1,0))/INDEX(Prices!$M$8:$AA$27,MATCH($B6,Prices!$L$8:$L$17,0),MATCH(L$1,Prices!$M$7:$AA$7,0))</f>
        <v>4.9486415561384201</v>
      </c>
      <c r="M6" s="2">
        <f>-VLOOKUP($B6,DemElas!$A$21:$B$29,2,0)*INDEX(TargetConsumption!$C$2:$K$16,MATCH(M$1,TargetConsumption!$B$2:$B$16,0),MATCH($B6,TargetConsumption!$C$1:$K$1,0))/INDEX(Prices!$M$8:$AA$27,MATCH($B6,Prices!$L$8:$L$17,0),MATCH(M$1,Prices!$M$7:$AA$7,0))</f>
        <v>2.7778510369219558</v>
      </c>
      <c r="N6" s="2">
        <f>-VLOOKUP($B6,DemElas!$A$21:$B$29,2,0)*INDEX(TargetConsumption!$C$2:$K$16,MATCH(N$1,TargetConsumption!$B$2:$B$16,0),MATCH($B6,TargetConsumption!$C$1:$K$1,0))/INDEX(Prices!$M$8:$AA$27,MATCH($B6,Prices!$L$8:$L$17,0),MATCH(N$1,Prices!$M$7:$AA$7,0))</f>
        <v>6.9140673027236552</v>
      </c>
      <c r="O6" s="2">
        <f>-VLOOKUP($B6,DemElas!$A$21:$B$29,2,0)*INDEX(TargetConsumption!$C$2:$K$16,MATCH(O$1,TargetConsumption!$B$2:$B$16,0),MATCH($B6,TargetConsumption!$C$1:$K$1,0))/INDEX(Prices!$M$8:$AA$27,MATCH($B6,Prices!$L$8:$L$17,0),MATCH(O$1,Prices!$M$7:$AA$7,0))</f>
        <v>0.83439859538654992</v>
      </c>
      <c r="P6" s="2">
        <f>-VLOOKUP($B6,DemElas!$A$21:$B$29,2,0)*INDEX(TargetConsumption!$C$2:$K$16,MATCH(P$1,TargetConsumption!$B$2:$B$16,0),MATCH($B6,TargetConsumption!$C$1:$K$1,0))/INDEX(Prices!$M$8:$AA$27,MATCH($B6,Prices!$L$8:$L$17,0),MATCH(P$1,Prices!$M$7:$AA$7,0))</f>
        <v>0.67583728746829752</v>
      </c>
      <c r="Q6" s="2">
        <f>-VLOOKUP($B6,DemElas!$A$21:$B$29,2,0)*INDEX(TargetConsumption!$C$2:$K$16,MATCH(Q$1,TargetConsumption!$B$2:$B$16,0),MATCH($B6,TargetConsumption!$C$1:$K$1,0))/INDEX(Prices!$M$8:$AA$27,MATCH($B6,Prices!$L$8:$L$17,0),MATCH(Q$1,Prices!$M$7:$AA$7,0))</f>
        <v>0</v>
      </c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s="2" t="s">
        <v>3</v>
      </c>
      <c r="B7" s="2" t="str">
        <v>Vegetables</v>
      </c>
      <c r="C7" s="2">
        <f>-VLOOKUP($B7,DemElas!$A$21:$B$29,2,0)*INDEX(TargetConsumption!$C$2:$K$16,MATCH(C$1,TargetConsumption!$B$2:$B$16,0),MATCH($B7,TargetConsumption!$C$1:$K$1,0))/INDEX(Prices!$M$8:$AA$27,MATCH($B7,Prices!$L$8:$L$17,0),MATCH(C$1,Prices!$M$7:$AA$7,0))</f>
        <v>5.9723063183723095</v>
      </c>
      <c r="D7" s="2">
        <f>-VLOOKUP($B7,DemElas!$A$21:$B$29,2,0)*INDEX(TargetConsumption!$C$2:$K$16,MATCH(D$1,TargetConsumption!$B$2:$B$16,0),MATCH($B7,TargetConsumption!$C$1:$K$1,0))/INDEX(Prices!$M$8:$AA$27,MATCH($B7,Prices!$L$8:$L$17,0),MATCH(D$1,Prices!$M$7:$AA$7,0))</f>
        <v>2.3574948577908885</v>
      </c>
      <c r="E7" s="2">
        <f>-VLOOKUP($B7,DemElas!$A$21:$B$29,2,0)*INDEX(TargetConsumption!$C$2:$K$16,MATCH(E$1,TargetConsumption!$B$2:$B$16,0),MATCH($B7,TargetConsumption!$C$1:$K$1,0))/INDEX(Prices!$M$8:$AA$27,MATCH($B7,Prices!$L$8:$L$17,0),MATCH(E$1,Prices!$M$7:$AA$7,0))</f>
        <v>7.9552580728239848</v>
      </c>
      <c r="F7" s="2">
        <f>-VLOOKUP($B7,DemElas!$A$21:$B$29,2,0)*INDEX(TargetConsumption!$C$2:$K$16,MATCH(F$1,TargetConsumption!$B$2:$B$16,0),MATCH($B7,TargetConsumption!$C$1:$K$1,0))/INDEX(Prices!$M$8:$AA$27,MATCH($B7,Prices!$L$8:$L$17,0),MATCH(F$1,Prices!$M$7:$AA$7,0))</f>
        <v>3.5723399991596323</v>
      </c>
      <c r="G7" s="2">
        <f>-VLOOKUP($B7,DemElas!$A$21:$B$29,2,0)*INDEX(TargetConsumption!$C$2:$K$16,MATCH(G$1,TargetConsumption!$B$2:$B$16,0),MATCH($B7,TargetConsumption!$C$1:$K$1,0))/INDEX(Prices!$M$8:$AA$27,MATCH($B7,Prices!$L$8:$L$17,0),MATCH(G$1,Prices!$M$7:$AA$7,0))</f>
        <v>0.19770785901137522</v>
      </c>
      <c r="H7" s="2">
        <f>-VLOOKUP($B7,DemElas!$A$21:$B$29,2,0)*INDEX(TargetConsumption!$C$2:$K$16,MATCH(H$1,TargetConsumption!$B$2:$B$16,0),MATCH($B7,TargetConsumption!$C$1:$K$1,0))/INDEX(Prices!$M$8:$AA$27,MATCH($B7,Prices!$L$8:$L$17,0),MATCH(H$1,Prices!$M$7:$AA$7,0))</f>
        <v>6.265290758330913</v>
      </c>
      <c r="I7" s="2">
        <f>-VLOOKUP($B7,DemElas!$A$21:$B$29,2,0)*INDEX(TargetConsumption!$C$2:$K$16,MATCH(I$1,TargetConsumption!$B$2:$B$16,0),MATCH($B7,TargetConsumption!$C$1:$K$1,0))/INDEX(Prices!$M$8:$AA$27,MATCH($B7,Prices!$L$8:$L$17,0),MATCH(I$1,Prices!$M$7:$AA$7,0))</f>
        <v>22.935748606738009</v>
      </c>
      <c r="J7" s="2">
        <f>-VLOOKUP($B7,DemElas!$A$21:$B$29,2,0)*INDEX(TargetConsumption!$C$2:$K$16,MATCH(J$1,TargetConsumption!$B$2:$B$16,0),MATCH($B7,TargetConsumption!$C$1:$K$1,0))/INDEX(Prices!$M$8:$AA$27,MATCH($B7,Prices!$L$8:$L$17,0),MATCH(J$1,Prices!$M$7:$AA$7,0))</f>
        <v>0.16441332991740856</v>
      </c>
      <c r="K7" s="2">
        <f>-VLOOKUP($B7,DemElas!$A$21:$B$29,2,0)*INDEX(TargetConsumption!$C$2:$K$16,MATCH(K$1,TargetConsumption!$B$2:$B$16,0),MATCH($B7,TargetConsumption!$C$1:$K$1,0))/INDEX(Prices!$M$8:$AA$27,MATCH($B7,Prices!$L$8:$L$17,0),MATCH(K$1,Prices!$M$7:$AA$7,0))</f>
        <v>0.58966063489524367</v>
      </c>
      <c r="L7" s="2">
        <f>-VLOOKUP($B7,DemElas!$A$21:$B$29,2,0)*INDEX(TargetConsumption!$C$2:$K$16,MATCH(L$1,TargetConsumption!$B$2:$B$16,0),MATCH($B7,TargetConsumption!$C$1:$K$1,0))/INDEX(Prices!$M$8:$AA$27,MATCH($B7,Prices!$L$8:$L$17,0),MATCH(L$1,Prices!$M$7:$AA$7,0))</f>
        <v>12.946370621355401</v>
      </c>
      <c r="M7" s="2">
        <f>-VLOOKUP($B7,DemElas!$A$21:$B$29,2,0)*INDEX(TargetConsumption!$C$2:$K$16,MATCH(M$1,TargetConsumption!$B$2:$B$16,0),MATCH($B7,TargetConsumption!$C$1:$K$1,0))/INDEX(Prices!$M$8:$AA$27,MATCH($B7,Prices!$L$8:$L$17,0),MATCH(M$1,Prices!$M$7:$AA$7,0))</f>
        <v>7.2672648942008182</v>
      </c>
      <c r="N7" s="2">
        <f>-VLOOKUP($B7,DemElas!$A$21:$B$29,2,0)*INDEX(TargetConsumption!$C$2:$K$16,MATCH(N$1,TargetConsumption!$B$2:$B$16,0),MATCH($B7,TargetConsumption!$C$1:$K$1,0))/INDEX(Prices!$M$8:$AA$27,MATCH($B7,Prices!$L$8:$L$17,0),MATCH(N$1,Prices!$M$7:$AA$7,0))</f>
        <v>18.088212044984846</v>
      </c>
      <c r="O7" s="2">
        <f>-VLOOKUP($B7,DemElas!$A$21:$B$29,2,0)*INDEX(TargetConsumption!$C$2:$K$16,MATCH(O$1,TargetConsumption!$B$2:$B$16,0),MATCH($B7,TargetConsumption!$C$1:$K$1,0))/INDEX(Prices!$M$8:$AA$27,MATCH($B7,Prices!$L$8:$L$17,0),MATCH(O$1,Prices!$M$7:$AA$7,0))</f>
        <v>2.1829088527159604</v>
      </c>
      <c r="P7" s="2">
        <f>-VLOOKUP($B7,DemElas!$A$21:$B$29,2,0)*INDEX(TargetConsumption!$C$2:$K$16,MATCH(P$1,TargetConsumption!$B$2:$B$16,0),MATCH($B7,TargetConsumption!$C$1:$K$1,0))/INDEX(Prices!$M$8:$AA$27,MATCH($B7,Prices!$L$8:$L$17,0),MATCH(P$1,Prices!$M$7:$AA$7,0))</f>
        <v>1.768089263293442</v>
      </c>
      <c r="Q7" s="2">
        <f>-VLOOKUP($B7,DemElas!$A$21:$B$29,2,0)*INDEX(TargetConsumption!$C$2:$K$16,MATCH(Q$1,TargetConsumption!$B$2:$B$16,0),MATCH($B7,TargetConsumption!$C$1:$K$1,0))/INDEX(Prices!$M$8:$AA$27,MATCH($B7,Prices!$L$8:$L$17,0),MATCH(Q$1,Prices!$M$7:$AA$7,0))</f>
        <v>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s="2" t="s">
        <v>3</v>
      </c>
      <c r="B8" s="2" t="str">
        <v>CashCrop</v>
      </c>
      <c r="C8" s="2">
        <f>-VLOOKUP($B8,DemElas!$A$21:$B$29,2,0)*INDEX(TargetConsumption!$C$2:$K$16,MATCH(C$1,TargetConsumption!$B$2:$B$16,0),MATCH($B8,TargetConsumption!$C$1:$K$1,0))/INDEX(Prices!$M$8:$AA$27,MATCH($B8,Prices!$L$8:$L$17,0),MATCH(C$1,Prices!$M$7:$AA$7,0))</f>
        <v>0.19720222587707639</v>
      </c>
      <c r="D8" s="2">
        <f>-VLOOKUP($B8,DemElas!$A$21:$B$29,2,0)*INDEX(TargetConsumption!$C$2:$K$16,MATCH(D$1,TargetConsumption!$B$2:$B$16,0),MATCH($B8,TargetConsumption!$C$1:$K$1,0))/INDEX(Prices!$M$8:$AA$27,MATCH($B8,Prices!$L$8:$L$17,0),MATCH(D$1,Prices!$M$7:$AA$7,0))</f>
        <v>7.7843166218712873E-2</v>
      </c>
      <c r="E8" s="2">
        <f>-VLOOKUP($B8,DemElas!$A$21:$B$29,2,0)*INDEX(TargetConsumption!$C$2:$K$16,MATCH(E$1,TargetConsumption!$B$2:$B$16,0),MATCH($B8,TargetConsumption!$C$1:$K$1,0))/INDEX(Prices!$M$8:$AA$27,MATCH($B8,Prices!$L$8:$L$17,0),MATCH(E$1,Prices!$M$7:$AA$7,0))</f>
        <v>0.26267818758081202</v>
      </c>
      <c r="F8" s="2">
        <f>-VLOOKUP($B8,DemElas!$A$21:$B$29,2,0)*INDEX(TargetConsumption!$C$2:$K$16,MATCH(F$1,TargetConsumption!$B$2:$B$16,0),MATCH($B8,TargetConsumption!$C$1:$K$1,0))/INDEX(Prices!$M$8:$AA$27,MATCH($B8,Prices!$L$8:$L$17,0),MATCH(F$1,Prices!$M$7:$AA$7,0))</f>
        <v>0.11795667567432971</v>
      </c>
      <c r="G8" s="2">
        <f>-VLOOKUP($B8,DemElas!$A$21:$B$29,2,0)*INDEX(TargetConsumption!$C$2:$K$16,MATCH(G$1,TargetConsumption!$B$2:$B$16,0),MATCH($B8,TargetConsumption!$C$1:$K$1,0))/INDEX(Prices!$M$8:$AA$27,MATCH($B8,Prices!$L$8:$L$17,0),MATCH(G$1,Prices!$M$7:$AA$7,0))</f>
        <v>6.5282033090794779E-3</v>
      </c>
      <c r="H8" s="2">
        <f>-VLOOKUP($B8,DemElas!$A$21:$B$29,2,0)*INDEX(TargetConsumption!$C$2:$K$16,MATCH(H$1,TargetConsumption!$B$2:$B$16,0),MATCH($B8,TargetConsumption!$C$1:$K$1,0))/INDEX(Prices!$M$8:$AA$27,MATCH($B8,Prices!$L$8:$L$17,0),MATCH(H$1,Prices!$M$7:$AA$7,0))</f>
        <v>0.20687640878518473</v>
      </c>
      <c r="I8" s="2">
        <f>-VLOOKUP($B8,DemElas!$A$21:$B$29,2,0)*INDEX(TargetConsumption!$C$2:$K$16,MATCH(I$1,TargetConsumption!$B$2:$B$16,0),MATCH($B8,TargetConsumption!$C$1:$K$1,0))/INDEX(Prices!$M$8:$AA$27,MATCH($B8,Prices!$L$8:$L$17,0),MATCH(I$1,Prices!$M$7:$AA$7,0))</f>
        <v>0.75732563540687259</v>
      </c>
      <c r="J8" s="2">
        <f>-VLOOKUP($B8,DemElas!$A$21:$B$29,2,0)*INDEX(TargetConsumption!$C$2:$K$16,MATCH(J$1,TargetConsumption!$B$2:$B$16,0),MATCH($B8,TargetConsumption!$C$1:$K$1,0))/INDEX(Prices!$M$8:$AA$27,MATCH($B8,Prices!$L$8:$L$17,0),MATCH(J$1,Prices!$M$7:$AA$7,0))</f>
        <v>5.4288365156078501E-3</v>
      </c>
      <c r="K8" s="2">
        <f>-VLOOKUP($B8,DemElas!$A$21:$B$29,2,0)*INDEX(TargetConsumption!$C$2:$K$16,MATCH(K$1,TargetConsumption!$B$2:$B$16,0),MATCH($B8,TargetConsumption!$C$1:$K$1,0))/INDEX(Prices!$M$8:$AA$27,MATCH($B8,Prices!$L$8:$L$17,0),MATCH(K$1,Prices!$M$7:$AA$7,0))</f>
        <v>1.9470265507935916E-2</v>
      </c>
      <c r="L8" s="2">
        <f>-VLOOKUP($B8,DemElas!$A$21:$B$29,2,0)*INDEX(TargetConsumption!$C$2:$K$16,MATCH(L$1,TargetConsumption!$B$2:$B$16,0),MATCH($B8,TargetConsumption!$C$1:$K$1,0))/INDEX(Prices!$M$8:$AA$27,MATCH($B8,Prices!$L$8:$L$17,0),MATCH(L$1,Prices!$M$7:$AA$7,0))</f>
        <v>0.42748194206098278</v>
      </c>
      <c r="M8" s="2">
        <f>-VLOOKUP($B8,DemElas!$A$21:$B$29,2,0)*INDEX(TargetConsumption!$C$2:$K$16,MATCH(M$1,TargetConsumption!$B$2:$B$16,0),MATCH($B8,TargetConsumption!$C$1:$K$1,0))/INDEX(Prices!$M$8:$AA$27,MATCH($B8,Prices!$L$8:$L$17,0),MATCH(M$1,Prices!$M$7:$AA$7,0))</f>
        <v>0.23996103628611595</v>
      </c>
      <c r="N8" s="2">
        <f>-VLOOKUP($B8,DemElas!$A$21:$B$29,2,0)*INDEX(TargetConsumption!$C$2:$K$16,MATCH(N$1,TargetConsumption!$B$2:$B$16,0),MATCH($B8,TargetConsumption!$C$1:$K$1,0))/INDEX(Prices!$M$8:$AA$27,MATCH($B8,Prices!$L$8:$L$17,0),MATCH(N$1,Prices!$M$7:$AA$7,0))</f>
        <v>0.59726267998586391</v>
      </c>
      <c r="O8" s="2">
        <f>-VLOOKUP($B8,DemElas!$A$21:$B$29,2,0)*INDEX(TargetConsumption!$C$2:$K$16,MATCH(O$1,TargetConsumption!$B$2:$B$16,0),MATCH($B8,TargetConsumption!$C$1:$K$1,0))/INDEX(Prices!$M$8:$AA$27,MATCH($B8,Prices!$L$8:$L$17,0),MATCH(O$1,Prices!$M$7:$AA$7,0))</f>
        <v>7.2078433639298625E-2</v>
      </c>
      <c r="P8" s="2">
        <f>-VLOOKUP($B8,DemElas!$A$21:$B$29,2,0)*INDEX(TargetConsumption!$C$2:$K$16,MATCH(P$1,TargetConsumption!$B$2:$B$16,0),MATCH($B8,TargetConsumption!$C$1:$K$1,0))/INDEX(Prices!$M$8:$AA$27,MATCH($B8,Prices!$L$8:$L$17,0),MATCH(P$1,Prices!$M$7:$AA$7,0))</f>
        <v>5.8381322002561589E-2</v>
      </c>
      <c r="Q8" s="2">
        <f>-VLOOKUP($B8,DemElas!$A$21:$B$29,2,0)*INDEX(TargetConsumption!$C$2:$K$16,MATCH(Q$1,TargetConsumption!$B$2:$B$16,0),MATCH($B8,TargetConsumption!$C$1:$K$1,0))/INDEX(Prices!$M$8:$AA$27,MATCH($B8,Prices!$L$8:$L$17,0),MATCH(Q$1,Prices!$M$7:$AA$7,0))</f>
        <v>4.5695075168092272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s="2" t="s">
        <v>3</v>
      </c>
      <c r="B9" s="2" t="str">
        <v>Beef</v>
      </c>
      <c r="C9" s="2">
        <f>-VLOOKUP($B9,DemElas!$A$21:$B$29,2,0)*INDEX(TargetConsumption!$C$2:$K$16,MATCH(C$1,TargetConsumption!$B$2:$B$16,0),MATCH($B9,TargetConsumption!$C$1:$K$1,0))/INDEX(Prices!$M$8:$AA$27,MATCH($B9,Prices!$L$8:$L$17,0),MATCH(C$1,Prices!$M$7:$AA$7,0))</f>
        <v>0</v>
      </c>
      <c r="D9" s="2">
        <f>-VLOOKUP($B9,DemElas!$A$21:$B$29,2,0)*INDEX(TargetConsumption!$C$2:$K$16,MATCH(D$1,TargetConsumption!$B$2:$B$16,0),MATCH($B9,TargetConsumption!$C$1:$K$1,0))/INDEX(Prices!$M$8:$AA$27,MATCH($B9,Prices!$L$8:$L$17,0),MATCH(D$1,Prices!$M$7:$AA$7,0))</f>
        <v>0</v>
      </c>
      <c r="E9" s="2">
        <f>-VLOOKUP($B9,DemElas!$A$21:$B$29,2,0)*INDEX(TargetConsumption!$C$2:$K$16,MATCH(E$1,TargetConsumption!$B$2:$B$16,0),MATCH($B9,TargetConsumption!$C$1:$K$1,0))/INDEX(Prices!$M$8:$AA$27,MATCH($B9,Prices!$L$8:$L$17,0),MATCH(E$1,Prices!$M$7:$AA$7,0))</f>
        <v>0</v>
      </c>
      <c r="F9" s="2">
        <f>-VLOOKUP($B9,DemElas!$A$21:$B$29,2,0)*INDEX(TargetConsumption!$C$2:$K$16,MATCH(F$1,TargetConsumption!$B$2:$B$16,0),MATCH($B9,TargetConsumption!$C$1:$K$1,0))/INDEX(Prices!$M$8:$AA$27,MATCH($B9,Prices!$L$8:$L$17,0),MATCH(F$1,Prices!$M$7:$AA$7,0))</f>
        <v>0</v>
      </c>
      <c r="G9" s="2">
        <f>-VLOOKUP($B9,DemElas!$A$21:$B$29,2,0)*INDEX(TargetConsumption!$C$2:$K$16,MATCH(G$1,TargetConsumption!$B$2:$B$16,0),MATCH($B9,TargetConsumption!$C$1:$K$1,0))/INDEX(Prices!$M$8:$AA$27,MATCH($B9,Prices!$L$8:$L$17,0),MATCH(G$1,Prices!$M$7:$AA$7,0))</f>
        <v>0</v>
      </c>
      <c r="H9" s="2">
        <f>-VLOOKUP($B9,DemElas!$A$21:$B$29,2,0)*INDEX(TargetConsumption!$C$2:$K$16,MATCH(H$1,TargetConsumption!$B$2:$B$16,0),MATCH($B9,TargetConsumption!$C$1:$K$1,0))/INDEX(Prices!$M$8:$AA$27,MATCH($B9,Prices!$L$8:$L$17,0),MATCH(H$1,Prices!$M$7:$AA$7,0))</f>
        <v>0</v>
      </c>
      <c r="I9" s="2">
        <f>-VLOOKUP($B9,DemElas!$A$21:$B$29,2,0)*INDEX(TargetConsumption!$C$2:$K$16,MATCH(I$1,TargetConsumption!$B$2:$B$16,0),MATCH($B9,TargetConsumption!$C$1:$K$1,0))/INDEX(Prices!$M$8:$AA$27,MATCH($B9,Prices!$L$8:$L$17,0),MATCH(I$1,Prices!$M$7:$AA$7,0))</f>
        <v>0</v>
      </c>
      <c r="J9" s="2">
        <f>-VLOOKUP($B9,DemElas!$A$21:$B$29,2,0)*INDEX(TargetConsumption!$C$2:$K$16,MATCH(J$1,TargetConsumption!$B$2:$B$16,0),MATCH($B9,TargetConsumption!$C$1:$K$1,0))/INDEX(Prices!$M$8:$AA$27,MATCH($B9,Prices!$L$8:$L$17,0),MATCH(J$1,Prices!$M$7:$AA$7,0))</f>
        <v>0</v>
      </c>
      <c r="K9" s="2">
        <f>-VLOOKUP($B9,DemElas!$A$21:$B$29,2,0)*INDEX(TargetConsumption!$C$2:$K$16,MATCH(K$1,TargetConsumption!$B$2:$B$16,0),MATCH($B9,TargetConsumption!$C$1:$K$1,0))/INDEX(Prices!$M$8:$AA$27,MATCH($B9,Prices!$L$8:$L$17,0),MATCH(K$1,Prices!$M$7:$AA$7,0))</f>
        <v>0</v>
      </c>
      <c r="L9" s="2">
        <f>-VLOOKUP($B9,DemElas!$A$21:$B$29,2,0)*INDEX(TargetConsumption!$C$2:$K$16,MATCH(L$1,TargetConsumption!$B$2:$B$16,0),MATCH($B9,TargetConsumption!$C$1:$K$1,0))/INDEX(Prices!$M$8:$AA$27,MATCH($B9,Prices!$L$8:$L$17,0),MATCH(L$1,Prices!$M$7:$AA$7,0))</f>
        <v>0</v>
      </c>
      <c r="M9" s="2">
        <f>-VLOOKUP($B9,DemElas!$A$21:$B$29,2,0)*INDEX(TargetConsumption!$C$2:$K$16,MATCH(M$1,TargetConsumption!$B$2:$B$16,0),MATCH($B9,TargetConsumption!$C$1:$K$1,0))/INDEX(Prices!$M$8:$AA$27,MATCH($B9,Prices!$L$8:$L$17,0),MATCH(M$1,Prices!$M$7:$AA$7,0))</f>
        <v>0</v>
      </c>
      <c r="N9" s="2">
        <f>-VLOOKUP($B9,DemElas!$A$21:$B$29,2,0)*INDEX(TargetConsumption!$C$2:$K$16,MATCH(N$1,TargetConsumption!$B$2:$B$16,0),MATCH($B9,TargetConsumption!$C$1:$K$1,0))/INDEX(Prices!$M$8:$AA$27,MATCH($B9,Prices!$L$8:$L$17,0),MATCH(N$1,Prices!$M$7:$AA$7,0))</f>
        <v>0</v>
      </c>
      <c r="O9" s="2">
        <f>-VLOOKUP($B9,DemElas!$A$21:$B$29,2,0)*INDEX(TargetConsumption!$C$2:$K$16,MATCH(O$1,TargetConsumption!$B$2:$B$16,0),MATCH($B9,TargetConsumption!$C$1:$K$1,0))/INDEX(Prices!$M$8:$AA$27,MATCH($B9,Prices!$L$8:$L$17,0),MATCH(O$1,Prices!$M$7:$AA$7,0))</f>
        <v>0</v>
      </c>
      <c r="P9" s="2">
        <f>-VLOOKUP($B9,DemElas!$A$21:$B$29,2,0)*INDEX(TargetConsumption!$C$2:$K$16,MATCH(P$1,TargetConsumption!$B$2:$B$16,0),MATCH($B9,TargetConsumption!$C$1:$K$1,0))/INDEX(Prices!$M$8:$AA$27,MATCH($B9,Prices!$L$8:$L$17,0),MATCH(P$1,Prices!$M$7:$AA$7,0))</f>
        <v>0</v>
      </c>
      <c r="Q9" s="2">
        <f>-VLOOKUP($B9,DemElas!$A$21:$B$29,2,0)*INDEX(TargetConsumption!$C$2:$K$16,MATCH(Q$1,TargetConsumption!$B$2:$B$16,0),MATCH($B9,TargetConsumption!$C$1:$K$1,0))/INDEX(Prices!$M$8:$AA$27,MATCH($B9,Prices!$L$8:$L$17,0),MATCH(Q$1,Prices!$M$7:$AA$7,0))</f>
        <v>0</v>
      </c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s="2" t="s">
        <v>3</v>
      </c>
      <c r="B10" s="2" t="str">
        <v>Milk</v>
      </c>
      <c r="C10" s="2">
        <f>-VLOOKUP($B10,DemElas!$A$21:$B$29,2,0)*INDEX(TargetConsumption!$C$2:$K$16,MATCH(C$1,TargetConsumption!$B$2:$B$16,0),MATCH($B10,TargetConsumption!$C$1:$K$1,0))/INDEX(Prices!$M$8:$AA$27,MATCH($B10,Prices!$L$8:$L$17,0),MATCH(C$1,Prices!$M$7:$AA$7,0))</f>
        <v>0</v>
      </c>
      <c r="D10" s="2">
        <f>-VLOOKUP($B10,DemElas!$A$21:$B$29,2,0)*INDEX(TargetConsumption!$C$2:$K$16,MATCH(D$1,TargetConsumption!$B$2:$B$16,0),MATCH($B10,TargetConsumption!$C$1:$K$1,0))/INDEX(Prices!$M$8:$AA$27,MATCH($B10,Prices!$L$8:$L$17,0),MATCH(D$1,Prices!$M$7:$AA$7,0))</f>
        <v>0</v>
      </c>
      <c r="E10" s="2">
        <f>-VLOOKUP($B10,DemElas!$A$21:$B$29,2,0)*INDEX(TargetConsumption!$C$2:$K$16,MATCH(E$1,TargetConsumption!$B$2:$B$16,0),MATCH($B10,TargetConsumption!$C$1:$K$1,0))/INDEX(Prices!$M$8:$AA$27,MATCH($B10,Prices!$L$8:$L$17,0),MATCH(E$1,Prices!$M$7:$AA$7,0))</f>
        <v>0</v>
      </c>
      <c r="F10" s="2">
        <f>-VLOOKUP($B10,DemElas!$A$21:$B$29,2,0)*INDEX(TargetConsumption!$C$2:$K$16,MATCH(F$1,TargetConsumption!$B$2:$B$16,0),MATCH($B10,TargetConsumption!$C$1:$K$1,0))/INDEX(Prices!$M$8:$AA$27,MATCH($B10,Prices!$L$8:$L$17,0),MATCH(F$1,Prices!$M$7:$AA$7,0))</f>
        <v>0</v>
      </c>
      <c r="G10" s="2">
        <f>-VLOOKUP($B10,DemElas!$A$21:$B$29,2,0)*INDEX(TargetConsumption!$C$2:$K$16,MATCH(G$1,TargetConsumption!$B$2:$B$16,0),MATCH($B10,TargetConsumption!$C$1:$K$1,0))/INDEX(Prices!$M$8:$AA$27,MATCH($B10,Prices!$L$8:$L$17,0),MATCH(G$1,Prices!$M$7:$AA$7,0))</f>
        <v>0</v>
      </c>
      <c r="H10" s="2">
        <f>-VLOOKUP($B10,DemElas!$A$21:$B$29,2,0)*INDEX(TargetConsumption!$C$2:$K$16,MATCH(H$1,TargetConsumption!$B$2:$B$16,0),MATCH($B10,TargetConsumption!$C$1:$K$1,0))/INDEX(Prices!$M$8:$AA$27,MATCH($B10,Prices!$L$8:$L$17,0),MATCH(H$1,Prices!$M$7:$AA$7,0))</f>
        <v>0</v>
      </c>
      <c r="I10" s="2">
        <f>-VLOOKUP($B10,DemElas!$A$21:$B$29,2,0)*INDEX(TargetConsumption!$C$2:$K$16,MATCH(I$1,TargetConsumption!$B$2:$B$16,0),MATCH($B10,TargetConsumption!$C$1:$K$1,0))/INDEX(Prices!$M$8:$AA$27,MATCH($B10,Prices!$L$8:$L$17,0),MATCH(I$1,Prices!$M$7:$AA$7,0))</f>
        <v>0</v>
      </c>
      <c r="J10" s="2">
        <f>-VLOOKUP($B10,DemElas!$A$21:$B$29,2,0)*INDEX(TargetConsumption!$C$2:$K$16,MATCH(J$1,TargetConsumption!$B$2:$B$16,0),MATCH($B10,TargetConsumption!$C$1:$K$1,0))/INDEX(Prices!$M$8:$AA$27,MATCH($B10,Prices!$L$8:$L$17,0),MATCH(J$1,Prices!$M$7:$AA$7,0))</f>
        <v>0</v>
      </c>
      <c r="K10" s="2">
        <f>-VLOOKUP($B10,DemElas!$A$21:$B$29,2,0)*INDEX(TargetConsumption!$C$2:$K$16,MATCH(K$1,TargetConsumption!$B$2:$B$16,0),MATCH($B10,TargetConsumption!$C$1:$K$1,0))/INDEX(Prices!$M$8:$AA$27,MATCH($B10,Prices!$L$8:$L$17,0),MATCH(K$1,Prices!$M$7:$AA$7,0))</f>
        <v>0</v>
      </c>
      <c r="L10" s="2">
        <f>-VLOOKUP($B10,DemElas!$A$21:$B$29,2,0)*INDEX(TargetConsumption!$C$2:$K$16,MATCH(L$1,TargetConsumption!$B$2:$B$16,0),MATCH($B10,TargetConsumption!$C$1:$K$1,0))/INDEX(Prices!$M$8:$AA$27,MATCH($B10,Prices!$L$8:$L$17,0),MATCH(L$1,Prices!$M$7:$AA$7,0))</f>
        <v>0</v>
      </c>
      <c r="M10" s="2">
        <f>-VLOOKUP($B10,DemElas!$A$21:$B$29,2,0)*INDEX(TargetConsumption!$C$2:$K$16,MATCH(M$1,TargetConsumption!$B$2:$B$16,0),MATCH($B10,TargetConsumption!$C$1:$K$1,0))/INDEX(Prices!$M$8:$AA$27,MATCH($B10,Prices!$L$8:$L$17,0),MATCH(M$1,Prices!$M$7:$AA$7,0))</f>
        <v>0</v>
      </c>
      <c r="N10" s="2">
        <f>-VLOOKUP($B10,DemElas!$A$21:$B$29,2,0)*INDEX(TargetConsumption!$C$2:$K$16,MATCH(N$1,TargetConsumption!$B$2:$B$16,0),MATCH($B10,TargetConsumption!$C$1:$K$1,0))/INDEX(Prices!$M$8:$AA$27,MATCH($B10,Prices!$L$8:$L$17,0),MATCH(N$1,Prices!$M$7:$AA$7,0))</f>
        <v>0</v>
      </c>
      <c r="O10" s="2">
        <f>-VLOOKUP($B10,DemElas!$A$21:$B$29,2,0)*INDEX(TargetConsumption!$C$2:$K$16,MATCH(O$1,TargetConsumption!$B$2:$B$16,0),MATCH($B10,TargetConsumption!$C$1:$K$1,0))/INDEX(Prices!$M$8:$AA$27,MATCH($B10,Prices!$L$8:$L$17,0),MATCH(O$1,Prices!$M$7:$AA$7,0))</f>
        <v>0</v>
      </c>
      <c r="P10" s="2">
        <f>-VLOOKUP($B10,DemElas!$A$21:$B$29,2,0)*INDEX(TargetConsumption!$C$2:$K$16,MATCH(P$1,TargetConsumption!$B$2:$B$16,0),MATCH($B10,TargetConsumption!$C$1:$K$1,0))/INDEX(Prices!$M$8:$AA$27,MATCH($B10,Prices!$L$8:$L$17,0),MATCH(P$1,Prices!$M$7:$AA$7,0))</f>
        <v>0</v>
      </c>
      <c r="Q10" s="2">
        <f>-VLOOKUP($B10,DemElas!$A$21:$B$29,2,0)*INDEX(TargetConsumption!$C$2:$K$16,MATCH(Q$1,TargetConsumption!$B$2:$B$16,0),MATCH($B10,TargetConsumption!$C$1:$K$1,0))/INDEX(Prices!$M$8:$AA$27,MATCH($B10,Prices!$L$8:$L$17,0),MATCH(Q$1,Prices!$M$7:$AA$7,0))</f>
        <v>0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s="2" t="s">
        <v>2</v>
      </c>
      <c r="B11" s="2" t="str">
        <f>B2</f>
        <v>Teff</v>
      </c>
      <c r="C11" s="46">
        <f>-VLOOKUP($B11,DemElas!$A$21:$B$29,2,0)*INDEX(TargetConsumption!$C$2:$K$16,MATCH(C$1,TargetConsumption!$B$2:$B$16,0),MATCH($B11,TargetConsumption!$C$1:$K$1,0))/INDEX(Prices!$M$8:$AA$27,MATCH($B11,Prices!$L$8:$L$17,0)+COUNTA(Prices!$K$8:$K$17),MATCH(C$1,Prices!$M$7:$AA$7,0))</f>
        <v>1.9936119497479852</v>
      </c>
      <c r="D11" s="46">
        <f>-VLOOKUP($B11,DemElas!$A$21:$B$29,2,0)*INDEX(TargetConsumption!$C$2:$K$16,MATCH(D$1,TargetConsumption!$B$2:$B$16,0),MATCH($B11,TargetConsumption!$C$1:$K$1,0))/INDEX(Prices!$M$8:$AA$27,MATCH($B11,Prices!$L$8:$L$17,0)+COUNTA(Prices!$K$8:$K$17),MATCH(D$1,Prices!$M$7:$AA$7,0))</f>
        <v>0.78695392858587654</v>
      </c>
      <c r="E11" s="46">
        <f>-VLOOKUP($B11,DemElas!$A$21:$B$29,2,0)*INDEX(TargetConsumption!$C$2:$K$16,MATCH(E$1,TargetConsumption!$B$2:$B$16,0),MATCH($B11,TargetConsumption!$C$1:$K$1,0))/INDEX(Prices!$M$8:$AA$27,MATCH($B11,Prices!$L$8:$L$17,0)+COUNTA(Prices!$K$8:$K$17),MATCH(E$1,Prices!$M$7:$AA$7,0))</f>
        <v>2.6555398721801358</v>
      </c>
      <c r="F11" s="46">
        <f>-VLOOKUP($B11,DemElas!$A$21:$B$29,2,0)*INDEX(TargetConsumption!$C$2:$K$16,MATCH(F$1,TargetConsumption!$B$2:$B$16,0),MATCH($B11,TargetConsumption!$C$1:$K$1,0))/INDEX(Prices!$M$8:$AA$27,MATCH($B11,Prices!$L$8:$L$17,0)+COUNTA(Prices!$K$8:$K$17),MATCH(F$1,Prices!$M$7:$AA$7,0))</f>
        <v>1.1924806483851516</v>
      </c>
      <c r="G11" s="46">
        <f>-VLOOKUP($B11,DemElas!$A$21:$B$29,2,0)*INDEX(TargetConsumption!$C$2:$K$16,MATCH(G$1,TargetConsumption!$B$2:$B$16,0),MATCH($B11,TargetConsumption!$C$1:$K$1,0))/INDEX(Prices!$M$8:$AA$27,MATCH($B11,Prices!$L$8:$L$17,0)+COUNTA(Prices!$K$8:$K$17),MATCH(G$1,Prices!$M$7:$AA$7,0))</f>
        <v>6.5996740500676429E-2</v>
      </c>
      <c r="H11" s="46">
        <f>-VLOOKUP($B11,DemElas!$A$21:$B$29,2,0)*INDEX(TargetConsumption!$C$2:$K$16,MATCH(H$1,TargetConsumption!$B$2:$B$16,0),MATCH($B11,TargetConsumption!$C$1:$K$1,0))/INDEX(Prices!$M$8:$AA$27,MATCH($B11,Prices!$L$8:$L$17,0)+COUNTA(Prices!$K$8:$K$17),MATCH(H$1,Prices!$M$7:$AA$7,0))</f>
        <v>2.0914129079464723</v>
      </c>
      <c r="I11" s="46">
        <f>-VLOOKUP($B11,DemElas!$A$21:$B$29,2,0)*INDEX(TargetConsumption!$C$2:$K$16,MATCH(I$1,TargetConsumption!$B$2:$B$16,0),MATCH($B11,TargetConsumption!$C$1:$K$1,0))/INDEX(Prices!$M$8:$AA$27,MATCH($B11,Prices!$L$8:$L$17,0)+COUNTA(Prices!$K$8:$K$17),MATCH(I$1,Prices!$M$7:$AA$7,0))</f>
        <v>7.6561683311767021</v>
      </c>
      <c r="J11" s="46">
        <f>-VLOOKUP($B11,DemElas!$A$21:$B$29,2,0)*INDEX(TargetConsumption!$C$2:$K$16,MATCH(J$1,TargetConsumption!$B$2:$B$16,0),MATCH($B11,TargetConsumption!$C$1:$K$1,0))/INDEX(Prices!$M$8:$AA$27,MATCH($B11,Prices!$L$8:$L$17,0)+COUNTA(Prices!$K$8:$K$17),MATCH(J$1,Prices!$M$7:$AA$7,0))</f>
        <v>5.4882713937977598E-2</v>
      </c>
      <c r="K11" s="46">
        <f>-VLOOKUP($B11,DemElas!$A$21:$B$29,2,0)*INDEX(TargetConsumption!$C$2:$K$16,MATCH(K$1,TargetConsumption!$B$2:$B$16,0),MATCH($B11,TargetConsumption!$C$1:$K$1,0))/INDEX(Prices!$M$8:$AA$27,MATCH($B11,Prices!$L$8:$L$17,0)+COUNTA(Prices!$K$8:$K$17),MATCH(K$1,Prices!$M$7:$AA$7,0))</f>
        <v>0.19683425888703027</v>
      </c>
      <c r="L11" s="46">
        <f>-VLOOKUP($B11,DemElas!$A$21:$B$29,2,0)*INDEX(TargetConsumption!$C$2:$K$16,MATCH(L$1,TargetConsumption!$B$2:$B$16,0),MATCH($B11,TargetConsumption!$C$1:$K$1,0))/INDEX(Prices!$M$8:$AA$27,MATCH($B11,Prices!$L$8:$L$17,0)+COUNTA(Prices!$K$8:$K$17),MATCH(L$1,Prices!$M$7:$AA$7,0))</f>
        <v>4.3216201247417985</v>
      </c>
      <c r="M11" s="46">
        <f>-VLOOKUP($B11,DemElas!$A$21:$B$29,2,0)*INDEX(TargetConsumption!$C$2:$K$16,MATCH(M$1,TargetConsumption!$B$2:$B$16,0),MATCH($B11,TargetConsumption!$C$1:$K$1,0))/INDEX(Prices!$M$8:$AA$27,MATCH($B11,Prices!$L$8:$L$17,0)+COUNTA(Prices!$K$8:$K$17),MATCH(M$1,Prices!$M$7:$AA$7,0))</f>
        <v>2.4258812865130066</v>
      </c>
      <c r="N11" s="46">
        <f>-VLOOKUP($B11,DemElas!$A$21:$B$29,2,0)*INDEX(TargetConsumption!$C$2:$K$16,MATCH(N$1,TargetConsumption!$B$2:$B$16,0),MATCH($B11,TargetConsumption!$C$1:$K$1,0))/INDEX(Prices!$M$8:$AA$27,MATCH($B11,Prices!$L$8:$L$17,0)+COUNTA(Prices!$K$8:$K$17),MATCH(N$1,Prices!$M$7:$AA$7,0))</f>
        <v>6.0380150916782247</v>
      </c>
      <c r="O11" s="46">
        <f>-VLOOKUP($B11,DemElas!$A$21:$B$29,2,0)*INDEX(TargetConsumption!$C$2:$K$16,MATCH(O$1,TargetConsumption!$B$2:$B$16,0),MATCH($B11,TargetConsumption!$C$1:$K$1,0))/INDEX(Prices!$M$8:$AA$27,MATCH($B11,Prices!$L$8:$L$17,0)+COUNTA(Prices!$K$8:$K$17),MATCH(O$1,Prices!$M$7:$AA$7,0))</f>
        <v>0.72867548012360839</v>
      </c>
      <c r="P11" s="46">
        <f>-VLOOKUP($B11,DemElas!$A$21:$B$29,2,0)*INDEX(TargetConsumption!$C$2:$K$16,MATCH(P$1,TargetConsumption!$B$2:$B$16,0),MATCH($B11,TargetConsumption!$C$1:$K$1,0))/INDEX(Prices!$M$8:$AA$27,MATCH($B11,Prices!$L$8:$L$17,0)+COUNTA(Prices!$K$8:$K$17),MATCH(P$1,Prices!$M$7:$AA$7,0))</f>
        <v>0.5902048045793451</v>
      </c>
      <c r="Q11" s="46">
        <f>-VLOOKUP($B11,DemElas!$A$21:$B$29,2,0)*INDEX(TargetConsumption!$C$2:$K$16,MATCH(Q$1,TargetConsumption!$B$2:$B$16,0),MATCH($B11,TargetConsumption!$C$1:$K$1,0))/INDEX(Prices!$M$8:$AA$27,MATCH($B11,Prices!$L$8:$L$17,0)+COUNTA(Prices!$K$8:$K$17),MATCH(Q$1,Prices!$M$7:$AA$7,0))</f>
        <v>0</v>
      </c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s="2" t="s">
        <v>2</v>
      </c>
      <c r="B12" s="2" t="str">
        <f t="shared" ref="B12:B19" si="0">B3</f>
        <v>Sorghum</v>
      </c>
      <c r="C12" s="46">
        <f>-VLOOKUP($B12,DemElas!$A$21:$B$29,2,0)*INDEX(TargetConsumption!$C$2:$K$16,MATCH(C$1,TargetConsumption!$B$2:$B$16,0),MATCH($B12,TargetConsumption!$C$1:$K$1,0))/INDEX(Prices!$M$8:$AA$27,MATCH($B12,Prices!$L$8:$L$17,0)+COUNTA(Prices!$K$8:$K$17),MATCH(C$1,Prices!$M$7:$AA$7,0))</f>
        <v>2.5968983074694352</v>
      </c>
      <c r="D12" s="46">
        <f>-VLOOKUP($B12,DemElas!$A$21:$B$29,2,0)*INDEX(TargetConsumption!$C$2:$K$16,MATCH(D$1,TargetConsumption!$B$2:$B$16,0),MATCH($B12,TargetConsumption!$C$1:$K$1,0))/INDEX(Prices!$M$8:$AA$27,MATCH($B12,Prices!$L$8:$L$17,0)+COUNTA(Prices!$K$8:$K$17),MATCH(D$1,Prices!$M$7:$AA$7,0))</f>
        <v>1.0250938380758723</v>
      </c>
      <c r="E12" s="46">
        <f>-VLOOKUP($B12,DemElas!$A$21:$B$29,2,0)*INDEX(TargetConsumption!$C$2:$K$16,MATCH(E$1,TargetConsumption!$B$2:$B$16,0),MATCH($B12,TargetConsumption!$C$1:$K$1,0))/INDEX(Prices!$M$8:$AA$27,MATCH($B12,Prices!$L$8:$L$17,0)+COUNTA(Prices!$K$8:$K$17),MATCH(E$1,Prices!$M$7:$AA$7,0))</f>
        <v>3.4591320544371471</v>
      </c>
      <c r="F12" s="46">
        <f>-VLOOKUP($B12,DemElas!$A$21:$B$29,2,0)*INDEX(TargetConsumption!$C$2:$K$16,MATCH(F$1,TargetConsumption!$B$2:$B$16,0),MATCH($B12,TargetConsumption!$C$1:$K$1,0))/INDEX(Prices!$M$8:$AA$27,MATCH($B12,Prices!$L$8:$L$17,0)+COUNTA(Prices!$K$8:$K$17),MATCH(F$1,Prices!$M$7:$AA$7,0))</f>
        <v>1.5533368857830725</v>
      </c>
      <c r="G12" s="46">
        <f>-VLOOKUP($B12,DemElas!$A$21:$B$29,2,0)*INDEX(TargetConsumption!$C$2:$K$16,MATCH(G$1,TargetConsumption!$B$2:$B$16,0),MATCH($B12,TargetConsumption!$C$1:$K$1,0))/INDEX(Prices!$M$8:$AA$27,MATCH($B12,Prices!$L$8:$L$17,0)+COUNTA(Prices!$K$8:$K$17),MATCH(G$1,Prices!$M$7:$AA$7,0))</f>
        <v>8.5967995790941804E-2</v>
      </c>
      <c r="H12" s="46">
        <f>-VLOOKUP($B12,DemElas!$A$21:$B$29,2,0)*INDEX(TargetConsumption!$C$2:$K$16,MATCH(H$1,TargetConsumption!$B$2:$B$16,0),MATCH($B12,TargetConsumption!$C$1:$K$1,0))/INDEX(Prices!$M$8:$AA$27,MATCH($B12,Prices!$L$8:$L$17,0)+COUNTA(Prices!$K$8:$K$17),MATCH(H$1,Prices!$M$7:$AA$7,0))</f>
        <v>2.7242947864314746</v>
      </c>
      <c r="I12" s="46">
        <f>-VLOOKUP($B12,DemElas!$A$21:$B$29,2,0)*INDEX(TargetConsumption!$C$2:$K$16,MATCH(I$1,TargetConsumption!$B$2:$B$16,0),MATCH($B12,TargetConsumption!$C$1:$K$1,0))/INDEX(Prices!$M$8:$AA$27,MATCH($B12,Prices!$L$8:$L$17,0)+COUNTA(Prices!$K$8:$K$17),MATCH(I$1,Prices!$M$7:$AA$7,0))</f>
        <v>9.9729993008153901</v>
      </c>
      <c r="J12" s="46">
        <f>-VLOOKUP($B12,DemElas!$A$21:$B$29,2,0)*INDEX(TargetConsumption!$C$2:$K$16,MATCH(J$1,TargetConsumption!$B$2:$B$16,0),MATCH($B12,TargetConsumption!$C$1:$K$1,0))/INDEX(Prices!$M$8:$AA$27,MATCH($B12,Prices!$L$8:$L$17,0)+COUNTA(Prices!$K$8:$K$17),MATCH(J$1,Prices!$M$7:$AA$7,0))</f>
        <v>7.1490756740738792E-2</v>
      </c>
      <c r="K12" s="46">
        <f>-VLOOKUP($B12,DemElas!$A$21:$B$29,2,0)*INDEX(TargetConsumption!$C$2:$K$16,MATCH(K$1,TargetConsumption!$B$2:$B$16,0),MATCH($B12,TargetConsumption!$C$1:$K$1,0))/INDEX(Prices!$M$8:$AA$27,MATCH($B12,Prices!$L$8:$L$17,0)+COUNTA(Prices!$K$8:$K$17),MATCH(K$1,Prices!$M$7:$AA$7,0))</f>
        <v>0.25639821923235634</v>
      </c>
      <c r="L12" s="46">
        <f>-VLOOKUP($B12,DemElas!$A$21:$B$29,2,0)*INDEX(TargetConsumption!$C$2:$K$16,MATCH(L$1,TargetConsumption!$B$2:$B$16,0),MATCH($B12,TargetConsumption!$C$1:$K$1,0))/INDEX(Prices!$M$8:$AA$27,MATCH($B12,Prices!$L$8:$L$17,0)+COUNTA(Prices!$K$8:$K$17),MATCH(L$1,Prices!$M$7:$AA$7,0))</f>
        <v>5.6293843889160646</v>
      </c>
      <c r="M12" s="46">
        <f>-VLOOKUP($B12,DemElas!$A$21:$B$29,2,0)*INDEX(TargetConsumption!$C$2:$K$16,MATCH(M$1,TargetConsumption!$B$2:$B$16,0),MATCH($B12,TargetConsumption!$C$1:$K$1,0))/INDEX(Prices!$M$8:$AA$27,MATCH($B12,Prices!$L$8:$L$17,0)+COUNTA(Prices!$K$8:$K$17),MATCH(M$1,Prices!$M$7:$AA$7,0))</f>
        <v>3.1599765480256896</v>
      </c>
      <c r="N12" s="46">
        <f>-VLOOKUP($B12,DemElas!$A$21:$B$29,2,0)*INDEX(TargetConsumption!$C$2:$K$16,MATCH(N$1,TargetConsumption!$B$2:$B$16,0),MATCH($B12,TargetConsumption!$C$1:$K$1,0))/INDEX(Prices!$M$8:$AA$27,MATCH($B12,Prices!$L$8:$L$17,0)+COUNTA(Prices!$K$8:$K$17),MATCH(N$1,Prices!$M$7:$AA$7,0))</f>
        <v>7.8651771594949684</v>
      </c>
      <c r="O12" s="46">
        <f>-VLOOKUP($B12,DemElas!$A$21:$B$29,2,0)*INDEX(TargetConsumption!$C$2:$K$16,MATCH(O$1,TargetConsumption!$B$2:$B$16,0),MATCH($B12,TargetConsumption!$C$1:$K$1,0))/INDEX(Prices!$M$8:$AA$27,MATCH($B12,Prices!$L$8:$L$17,0)+COUNTA(Prices!$K$8:$K$17),MATCH(O$1,Prices!$M$7:$AA$7,0))</f>
        <v>0.94917976453074715</v>
      </c>
      <c r="P12" s="46">
        <f>-VLOOKUP($B12,DemElas!$A$21:$B$29,2,0)*INDEX(TargetConsumption!$C$2:$K$16,MATCH(P$1,TargetConsumption!$B$2:$B$16,0),MATCH($B12,TargetConsumption!$C$1:$K$1,0))/INDEX(Prices!$M$8:$AA$27,MATCH($B12,Prices!$L$8:$L$17,0)+COUNTA(Prices!$K$8:$K$17),MATCH(P$1,Prices!$M$7:$AA$7,0))</f>
        <v>0.76880651636652786</v>
      </c>
      <c r="Q12" s="46">
        <f>-VLOOKUP($B12,DemElas!$A$21:$B$29,2,0)*INDEX(TargetConsumption!$C$2:$K$16,MATCH(Q$1,TargetConsumption!$B$2:$B$16,0),MATCH($B12,TargetConsumption!$C$1:$K$1,0))/INDEX(Prices!$M$8:$AA$27,MATCH($B12,Prices!$L$8:$L$17,0)+COUNTA(Prices!$K$8:$K$17),MATCH(Q$1,Prices!$M$7:$AA$7,0))</f>
        <v>0</v>
      </c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s="2" t="s">
        <v>2</v>
      </c>
      <c r="B13" s="2" t="str">
        <f t="shared" si="0"/>
        <v>Maize</v>
      </c>
      <c r="C13" s="46">
        <f>-VLOOKUP($B13,DemElas!$A$21:$B$29,2,0)*INDEX(TargetConsumption!$C$2:$K$16,MATCH(C$1,TargetConsumption!$B$2:$B$16,0),MATCH($B13,TargetConsumption!$C$1:$K$1,0))/INDEX(Prices!$M$8:$AA$27,MATCH($B13,Prices!$L$8:$L$17,0)+COUNTA(Prices!$K$8:$K$17),MATCH(C$1,Prices!$M$7:$AA$7,0))</f>
        <v>5.7018437986883654</v>
      </c>
      <c r="D13" s="46">
        <f>-VLOOKUP($B13,DemElas!$A$21:$B$29,2,0)*INDEX(TargetConsumption!$C$2:$K$16,MATCH(D$1,TargetConsumption!$B$2:$B$16,0),MATCH($B13,TargetConsumption!$C$1:$K$1,0))/INDEX(Prices!$M$8:$AA$27,MATCH($B13,Prices!$L$8:$L$17,0)+COUNTA(Prices!$K$8:$K$17),MATCH(D$1,Prices!$M$7:$AA$7,0))</f>
        <v>2.2507330868116258</v>
      </c>
      <c r="E13" s="46">
        <f>-VLOOKUP($B13,DemElas!$A$21:$B$29,2,0)*INDEX(TargetConsumption!$C$2:$K$16,MATCH(E$1,TargetConsumption!$B$2:$B$16,0),MATCH($B13,TargetConsumption!$C$1:$K$1,0))/INDEX(Prices!$M$8:$AA$27,MATCH($B13,Prices!$L$8:$L$17,0)+COUNTA(Prices!$K$8:$K$17),MATCH(E$1,Prices!$M$7:$AA$7,0))</f>
        <v>7.5949953822628578</v>
      </c>
      <c r="F13" s="46">
        <f>-VLOOKUP($B13,DemElas!$A$21:$B$29,2,0)*INDEX(TargetConsumption!$C$2:$K$16,MATCH(F$1,TargetConsumption!$B$2:$B$16,0),MATCH($B13,TargetConsumption!$C$1:$K$1,0))/INDEX(Prices!$M$8:$AA$27,MATCH($B13,Prices!$L$8:$L$17,0)+COUNTA(Prices!$K$8:$K$17),MATCH(F$1,Prices!$M$7:$AA$7,0))</f>
        <v>3.4105626177201986</v>
      </c>
      <c r="G13" s="46">
        <f>-VLOOKUP($B13,DemElas!$A$21:$B$29,2,0)*INDEX(TargetConsumption!$C$2:$K$16,MATCH(G$1,TargetConsumption!$B$2:$B$16,0),MATCH($B13,TargetConsumption!$C$1:$K$1,0))/INDEX(Prices!$M$8:$AA$27,MATCH($B13,Prices!$L$8:$L$17,0)+COUNTA(Prices!$K$8:$K$17),MATCH(G$1,Prices!$M$7:$AA$7,0))</f>
        <v>0.1887544392001643</v>
      </c>
      <c r="H13" s="46">
        <f>-VLOOKUP($B13,DemElas!$A$21:$B$29,2,0)*INDEX(TargetConsumption!$C$2:$K$16,MATCH(H$1,TargetConsumption!$B$2:$B$16,0),MATCH($B13,TargetConsumption!$C$1:$K$1,0))/INDEX(Prices!$M$8:$AA$27,MATCH($B13,Prices!$L$8:$L$17,0)+COUNTA(Prices!$K$8:$K$17),MATCH(H$1,Prices!$M$7:$AA$7,0))</f>
        <v>5.9815601131297571</v>
      </c>
      <c r="I13" s="46">
        <f>-VLOOKUP($B13,DemElas!$A$21:$B$29,2,0)*INDEX(TargetConsumption!$C$2:$K$16,MATCH(I$1,TargetConsumption!$B$2:$B$16,0),MATCH($B13,TargetConsumption!$C$1:$K$1,0))/INDEX(Prices!$M$8:$AA$27,MATCH($B13,Prices!$L$8:$L$17,0)+COUNTA(Prices!$K$8:$K$17),MATCH(I$1,Prices!$M$7:$AA$7,0))</f>
        <v>21.897077777023014</v>
      </c>
      <c r="J13" s="46">
        <f>-VLOOKUP($B13,DemElas!$A$21:$B$29,2,0)*INDEX(TargetConsumption!$C$2:$K$16,MATCH(J$1,TargetConsumption!$B$2:$B$16,0),MATCH($B13,TargetConsumption!$C$1:$K$1,0))/INDEX(Prices!$M$8:$AA$27,MATCH($B13,Prices!$L$8:$L$17,0)+COUNTA(Prices!$K$8:$K$17),MATCH(J$1,Prices!$M$7:$AA$7,0))</f>
        <v>0.15696768980643561</v>
      </c>
      <c r="K13" s="46">
        <f>-VLOOKUP($B13,DemElas!$A$21:$B$29,2,0)*INDEX(TargetConsumption!$C$2:$K$16,MATCH(K$1,TargetConsumption!$B$2:$B$16,0),MATCH($B13,TargetConsumption!$C$1:$K$1,0))/INDEX(Prices!$M$8:$AA$27,MATCH($B13,Prices!$L$8:$L$17,0)+COUNTA(Prices!$K$8:$K$17),MATCH(K$1,Prices!$M$7:$AA$7,0))</f>
        <v>0.5629571986395383</v>
      </c>
      <c r="L13" s="46">
        <f>-VLOOKUP($B13,DemElas!$A$21:$B$29,2,0)*INDEX(TargetConsumption!$C$2:$K$16,MATCH(L$1,TargetConsumption!$B$2:$B$16,0),MATCH($B13,TargetConsumption!$C$1:$K$1,0))/INDEX(Prices!$M$8:$AA$27,MATCH($B13,Prices!$L$8:$L$17,0)+COUNTA(Prices!$K$8:$K$17),MATCH(L$1,Prices!$M$7:$AA$7,0))</f>
        <v>12.360079859904925</v>
      </c>
      <c r="M13" s="46">
        <f>-VLOOKUP($B13,DemElas!$A$21:$B$29,2,0)*INDEX(TargetConsumption!$C$2:$K$16,MATCH(M$1,TargetConsumption!$B$2:$B$16,0),MATCH($B13,TargetConsumption!$C$1:$K$1,0))/INDEX(Prices!$M$8:$AA$27,MATCH($B13,Prices!$L$8:$L$17,0)+COUNTA(Prices!$K$8:$K$17),MATCH(M$1,Prices!$M$7:$AA$7,0))</f>
        <v>6.9381587382674246</v>
      </c>
      <c r="N13" s="46">
        <f>-VLOOKUP($B13,DemElas!$A$21:$B$29,2,0)*INDEX(TargetConsumption!$C$2:$K$16,MATCH(N$1,TargetConsumption!$B$2:$B$16,0),MATCH($B13,TargetConsumption!$C$1:$K$1,0))/INDEX(Prices!$M$8:$AA$27,MATCH($B13,Prices!$L$8:$L$17,0)+COUNTA(Prices!$K$8:$K$17),MATCH(N$1,Prices!$M$7:$AA$7,0))</f>
        <v>17.269067288257531</v>
      </c>
      <c r="O13" s="46">
        <f>-VLOOKUP($B13,DemElas!$A$21:$B$29,2,0)*INDEX(TargetConsumption!$C$2:$K$16,MATCH(O$1,TargetConsumption!$B$2:$B$16,0),MATCH($B13,TargetConsumption!$C$1:$K$1,0))/INDEX(Prices!$M$8:$AA$27,MATCH($B13,Prices!$L$8:$L$17,0)+COUNTA(Prices!$K$8:$K$17),MATCH(O$1,Prices!$M$7:$AA$7,0))</f>
        <v>2.0840534027317981</v>
      </c>
      <c r="P13" s="46">
        <f>-VLOOKUP($B13,DemElas!$A$21:$B$29,2,0)*INDEX(TargetConsumption!$C$2:$K$16,MATCH(P$1,TargetConsumption!$B$2:$B$16,0),MATCH($B13,TargetConsumption!$C$1:$K$1,0))/INDEX(Prices!$M$8:$AA$27,MATCH($B13,Prices!$L$8:$L$17,0)+COUNTA(Prices!$K$8:$K$17),MATCH(P$1,Prices!$M$7:$AA$7,0))</f>
        <v>1.6880193787824271</v>
      </c>
      <c r="Q13" s="46">
        <f>-VLOOKUP($B13,DemElas!$A$21:$B$29,2,0)*INDEX(TargetConsumption!$C$2:$K$16,MATCH(Q$1,TargetConsumption!$B$2:$B$16,0),MATCH($B13,TargetConsumption!$C$1:$K$1,0))/INDEX(Prices!$M$8:$AA$27,MATCH($B13,Prices!$L$8:$L$17,0)+COUNTA(Prices!$K$8:$K$17),MATCH(Q$1,Prices!$M$7:$AA$7,0))</f>
        <v>0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s="2" t="s">
        <v>2</v>
      </c>
      <c r="B14" s="2" t="str">
        <f t="shared" si="0"/>
        <v>Lentils</v>
      </c>
      <c r="C14" s="46">
        <f>-VLOOKUP($B14,DemElas!$A$21:$B$29,2,0)*INDEX(TargetConsumption!$C$2:$K$16,MATCH(C$1,TargetConsumption!$B$2:$B$16,0),MATCH($B14,TargetConsumption!$C$1:$K$1,0))/INDEX(Prices!$M$8:$AA$27,MATCH($B14,Prices!$L$8:$L$17,0)+COUNTA(Prices!$K$8:$K$17),MATCH(C$1,Prices!$M$7:$AA$7,0))</f>
        <v>1.3081114526429631</v>
      </c>
      <c r="D14" s="46">
        <f>-VLOOKUP($B14,DemElas!$A$21:$B$29,2,0)*INDEX(TargetConsumption!$C$2:$K$16,MATCH(D$1,TargetConsumption!$B$2:$B$16,0),MATCH($B14,TargetConsumption!$C$1:$K$1,0))/INDEX(Prices!$M$8:$AA$27,MATCH($B14,Prices!$L$8:$L$17,0)+COUNTA(Prices!$K$8:$K$17),MATCH(D$1,Prices!$M$7:$AA$7,0))</f>
        <v>0.51636099332956353</v>
      </c>
      <c r="E14" s="46">
        <f>-VLOOKUP($B14,DemElas!$A$21:$B$29,2,0)*INDEX(TargetConsumption!$C$2:$K$16,MATCH(E$1,TargetConsumption!$B$2:$B$16,0),MATCH($B14,TargetConsumption!$C$1:$K$1,0))/INDEX(Prices!$M$8:$AA$27,MATCH($B14,Prices!$L$8:$L$17,0)+COUNTA(Prices!$K$8:$K$17),MATCH(E$1,Prices!$M$7:$AA$7,0))</f>
        <v>1.7424364456623491</v>
      </c>
      <c r="F14" s="46">
        <f>-VLOOKUP($B14,DemElas!$A$21:$B$29,2,0)*INDEX(TargetConsumption!$C$2:$K$16,MATCH(F$1,TargetConsumption!$B$2:$B$16,0),MATCH($B14,TargetConsumption!$C$1:$K$1,0))/INDEX(Prices!$M$8:$AA$27,MATCH($B14,Prices!$L$8:$L$17,0)+COUNTA(Prices!$K$8:$K$17),MATCH(F$1,Prices!$M$7:$AA$7,0))</f>
        <v>0.78244795503202691</v>
      </c>
      <c r="G14" s="46">
        <f>-VLOOKUP($B14,DemElas!$A$21:$B$29,2,0)*INDEX(TargetConsumption!$C$2:$K$16,MATCH(G$1,TargetConsumption!$B$2:$B$16,0),MATCH($B14,TargetConsumption!$C$1:$K$1,0))/INDEX(Prices!$M$8:$AA$27,MATCH($B14,Prices!$L$8:$L$17,0)+COUNTA(Prices!$K$8:$K$17),MATCH(G$1,Prices!$M$7:$AA$7,0))</f>
        <v>4.3303859658823628E-2</v>
      </c>
      <c r="H14" s="46">
        <f>-VLOOKUP($B14,DemElas!$A$21:$B$29,2,0)*INDEX(TargetConsumption!$C$2:$K$16,MATCH(H$1,TargetConsumption!$B$2:$B$16,0),MATCH($B14,TargetConsumption!$C$1:$K$1,0))/INDEX(Prices!$M$8:$AA$27,MATCH($B14,Prices!$L$8:$L$17,0)+COUNTA(Prices!$K$8:$K$17),MATCH(H$1,Prices!$M$7:$AA$7,0))</f>
        <v>1.3722836971537711</v>
      </c>
      <c r="I14" s="46">
        <f>-VLOOKUP($B14,DemElas!$A$21:$B$29,2,0)*INDEX(TargetConsumption!$C$2:$K$16,MATCH(I$1,TargetConsumption!$B$2:$B$16,0),MATCH($B14,TargetConsumption!$C$1:$K$1,0))/INDEX(Prices!$M$8:$AA$27,MATCH($B14,Prices!$L$8:$L$17,0)+COUNTA(Prices!$K$8:$K$17),MATCH(I$1,Prices!$M$7:$AA$7,0))</f>
        <v>5.0236062633155001</v>
      </c>
      <c r="J14" s="46">
        <f>-VLOOKUP($B14,DemElas!$A$21:$B$29,2,0)*INDEX(TargetConsumption!$C$2:$K$16,MATCH(J$1,TargetConsumption!$B$2:$B$16,0),MATCH($B14,TargetConsumption!$C$1:$K$1,0))/INDEX(Prices!$M$8:$AA$27,MATCH($B14,Prices!$L$8:$L$17,0)+COUNTA(Prices!$K$8:$K$17),MATCH(J$1,Prices!$M$7:$AA$7,0))</f>
        <v>3.6011374562372307E-2</v>
      </c>
      <c r="K14" s="46">
        <f>-VLOOKUP($B14,DemElas!$A$21:$B$29,2,0)*INDEX(TargetConsumption!$C$2:$K$16,MATCH(K$1,TargetConsumption!$B$2:$B$16,0),MATCH($B14,TargetConsumption!$C$1:$K$1,0))/INDEX(Prices!$M$8:$AA$27,MATCH($B14,Prices!$L$8:$L$17,0)+COUNTA(Prices!$K$8:$K$17),MATCH(K$1,Prices!$M$7:$AA$7,0))</f>
        <v>0.12915309238348147</v>
      </c>
      <c r="L14" s="46">
        <f>-VLOOKUP($B14,DemElas!$A$21:$B$29,2,0)*INDEX(TargetConsumption!$C$2:$K$16,MATCH(L$1,TargetConsumption!$B$2:$B$16,0),MATCH($B14,TargetConsumption!$C$1:$K$1,0))/INDEX(Prices!$M$8:$AA$27,MATCH($B14,Prices!$L$8:$L$17,0)+COUNTA(Prices!$K$8:$K$17),MATCH(L$1,Prices!$M$7:$AA$7,0))</f>
        <v>2.835637486955112</v>
      </c>
      <c r="M14" s="46">
        <f>-VLOOKUP($B14,DemElas!$A$21:$B$29,2,0)*INDEX(TargetConsumption!$C$2:$K$16,MATCH(M$1,TargetConsumption!$B$2:$B$16,0),MATCH($B14,TargetConsumption!$C$1:$K$1,0))/INDEX(Prices!$M$8:$AA$27,MATCH($B14,Prices!$L$8:$L$17,0)+COUNTA(Prices!$K$8:$K$17),MATCH(M$1,Prices!$M$7:$AA$7,0))</f>
        <v>1.5917456223318949</v>
      </c>
      <c r="N14" s="46">
        <f>-VLOOKUP($B14,DemElas!$A$21:$B$29,2,0)*INDEX(TargetConsumption!$C$2:$K$16,MATCH(N$1,TargetConsumption!$B$2:$B$16,0),MATCH($B14,TargetConsumption!$C$1:$K$1,0))/INDEX(Prices!$M$8:$AA$27,MATCH($B14,Prices!$L$8:$L$17,0)+COUNTA(Prices!$K$8:$K$17),MATCH(N$1,Prices!$M$7:$AA$7,0))</f>
        <v>3.9618526030874666</v>
      </c>
      <c r="O14" s="46">
        <f>-VLOOKUP($B14,DemElas!$A$21:$B$29,2,0)*INDEX(TargetConsumption!$C$2:$K$16,MATCH(O$1,TargetConsumption!$B$2:$B$16,0),MATCH($B14,TargetConsumption!$C$1:$K$1,0))/INDEX(Prices!$M$8:$AA$27,MATCH($B14,Prices!$L$8:$L$17,0)+COUNTA(Prices!$K$8:$K$17),MATCH(O$1,Prices!$M$7:$AA$7,0))</f>
        <v>0.47812150249716118</v>
      </c>
      <c r="P14" s="46">
        <f>-VLOOKUP($B14,DemElas!$A$21:$B$29,2,0)*INDEX(TargetConsumption!$C$2:$K$16,MATCH(P$1,TargetConsumption!$B$2:$B$16,0),MATCH($B14,TargetConsumption!$C$1:$K$1,0))/INDEX(Prices!$M$8:$AA$27,MATCH($B14,Prices!$L$8:$L$17,0)+COUNTA(Prices!$K$8:$K$17),MATCH(P$1,Prices!$M$7:$AA$7,0))</f>
        <v>0.38726376232482923</v>
      </c>
      <c r="Q14" s="46">
        <f>-VLOOKUP($B14,DemElas!$A$21:$B$29,2,0)*INDEX(TargetConsumption!$C$2:$K$16,MATCH(Q$1,TargetConsumption!$B$2:$B$16,0),MATCH($B14,TargetConsumption!$C$1:$K$1,0))/INDEX(Prices!$M$8:$AA$27,MATCH($B14,Prices!$L$8:$L$17,0)+COUNTA(Prices!$K$8:$K$17),MATCH(Q$1,Prices!$M$7:$AA$7,0))</f>
        <v>0</v>
      </c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A15" t="s">
        <v>2</v>
      </c>
      <c r="B15" s="2" t="str">
        <f t="shared" si="0"/>
        <v>Wheat</v>
      </c>
      <c r="C15" s="46">
        <f>-VLOOKUP($B15,DemElas!$A$21:$B$29,2,0)*INDEX(TargetConsumption!$C$2:$K$16,MATCH(C$1,TargetConsumption!$B$2:$B$16,0),MATCH($B15,TargetConsumption!$C$1:$K$1,0))/INDEX(Prices!$M$8:$AA$27,MATCH($B15,Prices!$L$8:$L$17,0)+COUNTA(Prices!$K$8:$K$17),MATCH(C$1,Prices!$M$7:$AA$7,0))</f>
        <v>2.282863985396324</v>
      </c>
      <c r="D15" s="46">
        <f>-VLOOKUP($B15,DemElas!$A$21:$B$29,2,0)*INDEX(TargetConsumption!$C$2:$K$16,MATCH(D$1,TargetConsumption!$B$2:$B$16,0),MATCH($B15,TargetConsumption!$C$1:$K$1,0))/INDEX(Prices!$M$8:$AA$27,MATCH($B15,Prices!$L$8:$L$17,0)+COUNTA(Prices!$K$8:$K$17),MATCH(D$1,Prices!$M$7:$AA$7,0))</f>
        <v>0.90113263113312825</v>
      </c>
      <c r="E15" s="46">
        <f>-VLOOKUP($B15,DemElas!$A$21:$B$29,2,0)*INDEX(TargetConsumption!$C$2:$K$16,MATCH(E$1,TargetConsumption!$B$2:$B$16,0),MATCH($B15,TargetConsumption!$C$1:$K$1,0))/INDEX(Prices!$M$8:$AA$27,MATCH($B15,Prices!$L$8:$L$17,0)+COUNTA(Prices!$K$8:$K$17),MATCH(E$1,Prices!$M$7:$AA$7,0))</f>
        <v>3.0408306575160342</v>
      </c>
      <c r="F15" s="46">
        <f>-VLOOKUP($B15,DemElas!$A$21:$B$29,2,0)*INDEX(TargetConsumption!$C$2:$K$16,MATCH(F$1,TargetConsumption!$B$2:$B$16,0),MATCH($B15,TargetConsumption!$C$1:$K$1,0))/INDEX(Prices!$M$8:$AA$27,MATCH($B15,Prices!$L$8:$L$17,0)+COUNTA(Prices!$K$8:$K$17),MATCH(F$1,Prices!$M$7:$AA$7,0))</f>
        <v>1.3654969944500206</v>
      </c>
      <c r="G15" s="46">
        <f>-VLOOKUP($B15,DemElas!$A$21:$B$29,2,0)*INDEX(TargetConsumption!$C$2:$K$16,MATCH(G$1,TargetConsumption!$B$2:$B$16,0),MATCH($B15,TargetConsumption!$C$1:$K$1,0))/INDEX(Prices!$M$8:$AA$27,MATCH($B15,Prices!$L$8:$L$17,0)+COUNTA(Prices!$K$8:$K$17),MATCH(G$1,Prices!$M$7:$AA$7,0))</f>
        <v>7.5572170432458743E-2</v>
      </c>
      <c r="H15" s="46">
        <f>-VLOOKUP($B15,DemElas!$A$21:$B$29,2,0)*INDEX(TargetConsumption!$C$2:$K$16,MATCH(H$1,TargetConsumption!$B$2:$B$16,0),MATCH($B15,TargetConsumption!$C$1:$K$1,0))/INDEX(Prices!$M$8:$AA$27,MATCH($B15,Prices!$L$8:$L$17,0)+COUNTA(Prices!$K$8:$K$17),MATCH(H$1,Prices!$M$7:$AA$7,0))</f>
        <v>2.3948548295707885</v>
      </c>
      <c r="I15" s="46">
        <f>-VLOOKUP($B15,DemElas!$A$21:$B$29,2,0)*INDEX(TargetConsumption!$C$2:$K$16,MATCH(I$1,TargetConsumption!$B$2:$B$16,0),MATCH($B15,TargetConsumption!$C$1:$K$1,0))/INDEX(Prices!$M$8:$AA$27,MATCH($B15,Prices!$L$8:$L$17,0)+COUNTA(Prices!$K$8:$K$17),MATCH(I$1,Prices!$M$7:$AA$7,0))</f>
        <v>8.7669974849341052</v>
      </c>
      <c r="J15" s="46">
        <f>-VLOOKUP($B15,DemElas!$A$21:$B$29,2,0)*INDEX(TargetConsumption!$C$2:$K$16,MATCH(J$1,TargetConsumption!$B$2:$B$16,0),MATCH($B15,TargetConsumption!$C$1:$K$1,0))/INDEX(Prices!$M$8:$AA$27,MATCH($B15,Prices!$L$8:$L$17,0)+COUNTA(Prices!$K$8:$K$17),MATCH(J$1,Prices!$M$7:$AA$7,0))</f>
        <v>6.284561601150912E-2</v>
      </c>
      <c r="K15" s="46">
        <f>-VLOOKUP($B15,DemElas!$A$21:$B$29,2,0)*INDEX(TargetConsumption!$C$2:$K$16,MATCH(K$1,TargetConsumption!$B$2:$B$16,0),MATCH($B15,TargetConsumption!$C$1:$K$1,0))/INDEX(Prices!$M$8:$AA$27,MATCH($B15,Prices!$L$8:$L$17,0)+COUNTA(Prices!$K$8:$K$17),MATCH(K$1,Prices!$M$7:$AA$7,0))</f>
        <v>0.22539283071722152</v>
      </c>
      <c r="L15" s="46">
        <f>-VLOOKUP($B15,DemElas!$A$21:$B$29,2,0)*INDEX(TargetConsumption!$C$2:$K$16,MATCH(L$1,TargetConsumption!$B$2:$B$16,0),MATCH($B15,TargetConsumption!$C$1:$K$1,0))/INDEX(Prices!$M$8:$AA$27,MATCH($B15,Prices!$L$8:$L$17,0)+COUNTA(Prices!$K$8:$K$17),MATCH(L$1,Prices!$M$7:$AA$7,0))</f>
        <v>4.9486415561384201</v>
      </c>
      <c r="M15" s="46">
        <f>-VLOOKUP($B15,DemElas!$A$21:$B$29,2,0)*INDEX(TargetConsumption!$C$2:$K$16,MATCH(M$1,TargetConsumption!$B$2:$B$16,0),MATCH($B15,TargetConsumption!$C$1:$K$1,0))/INDEX(Prices!$M$8:$AA$27,MATCH($B15,Prices!$L$8:$L$17,0)+COUNTA(Prices!$K$8:$K$17),MATCH(M$1,Prices!$M$7:$AA$7,0))</f>
        <v>2.7778510369219558</v>
      </c>
      <c r="N15" s="46">
        <f>-VLOOKUP($B15,DemElas!$A$21:$B$29,2,0)*INDEX(TargetConsumption!$C$2:$K$16,MATCH(N$1,TargetConsumption!$B$2:$B$16,0),MATCH($B15,TargetConsumption!$C$1:$K$1,0))/INDEX(Prices!$M$8:$AA$27,MATCH($B15,Prices!$L$8:$L$17,0)+COUNTA(Prices!$K$8:$K$17),MATCH(N$1,Prices!$M$7:$AA$7,0))</f>
        <v>6.9140673027236552</v>
      </c>
      <c r="O15" s="46">
        <f>-VLOOKUP($B15,DemElas!$A$21:$B$29,2,0)*INDEX(TargetConsumption!$C$2:$K$16,MATCH(O$1,TargetConsumption!$B$2:$B$16,0),MATCH($B15,TargetConsumption!$C$1:$K$1,0))/INDEX(Prices!$M$8:$AA$27,MATCH($B15,Prices!$L$8:$L$17,0)+COUNTA(Prices!$K$8:$K$17),MATCH(O$1,Prices!$M$7:$AA$7,0))</f>
        <v>0.83439859538654992</v>
      </c>
      <c r="P15" s="46">
        <f>-VLOOKUP($B15,DemElas!$A$21:$B$29,2,0)*INDEX(TargetConsumption!$C$2:$K$16,MATCH(P$1,TargetConsumption!$B$2:$B$16,0),MATCH($B15,TargetConsumption!$C$1:$K$1,0))/INDEX(Prices!$M$8:$AA$27,MATCH($B15,Prices!$L$8:$L$17,0)+COUNTA(Prices!$K$8:$K$17),MATCH(P$1,Prices!$M$7:$AA$7,0))</f>
        <v>0.67583728746829752</v>
      </c>
      <c r="Q15" s="46">
        <f>-VLOOKUP($B15,DemElas!$A$21:$B$29,2,0)*INDEX(TargetConsumption!$C$2:$K$16,MATCH(Q$1,TargetConsumption!$B$2:$B$16,0),MATCH($B15,TargetConsumption!$C$1:$K$1,0))/INDEX(Prices!$M$8:$AA$27,MATCH($B15,Prices!$L$8:$L$17,0)+COUNTA(Prices!$K$8:$K$17),MATCH(Q$1,Prices!$M$7:$AA$7,0))</f>
        <v>0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A16" t="s">
        <v>2</v>
      </c>
      <c r="B16" s="2" t="str">
        <f t="shared" si="0"/>
        <v>Vegetables</v>
      </c>
      <c r="C16" s="46">
        <f>-VLOOKUP($B16,DemElas!$A$21:$B$29,2,0)*INDEX(TargetConsumption!$C$2:$K$16,MATCH(C$1,TargetConsumption!$B$2:$B$16,0),MATCH($B16,TargetConsumption!$C$1:$K$1,0))/INDEX(Prices!$M$8:$AA$27,MATCH($B16,Prices!$L$8:$L$17,0)+COUNTA(Prices!$K$8:$K$17),MATCH(C$1,Prices!$M$7:$AA$7,0))</f>
        <v>5.9723063183723095</v>
      </c>
      <c r="D16" s="46">
        <f>-VLOOKUP($B16,DemElas!$A$21:$B$29,2,0)*INDEX(TargetConsumption!$C$2:$K$16,MATCH(D$1,TargetConsumption!$B$2:$B$16,0),MATCH($B16,TargetConsumption!$C$1:$K$1,0))/INDEX(Prices!$M$8:$AA$27,MATCH($B16,Prices!$L$8:$L$17,0)+COUNTA(Prices!$K$8:$K$17),MATCH(D$1,Prices!$M$7:$AA$7,0))</f>
        <v>2.3574948577908885</v>
      </c>
      <c r="E16" s="46">
        <f>-VLOOKUP($B16,DemElas!$A$21:$B$29,2,0)*INDEX(TargetConsumption!$C$2:$K$16,MATCH(E$1,TargetConsumption!$B$2:$B$16,0),MATCH($B16,TargetConsumption!$C$1:$K$1,0))/INDEX(Prices!$M$8:$AA$27,MATCH($B16,Prices!$L$8:$L$17,0)+COUNTA(Prices!$K$8:$K$17),MATCH(E$1,Prices!$M$7:$AA$7,0))</f>
        <v>7.9552580728239848</v>
      </c>
      <c r="F16" s="46">
        <f>-VLOOKUP($B16,DemElas!$A$21:$B$29,2,0)*INDEX(TargetConsumption!$C$2:$K$16,MATCH(F$1,TargetConsumption!$B$2:$B$16,0),MATCH($B16,TargetConsumption!$C$1:$K$1,0))/INDEX(Prices!$M$8:$AA$27,MATCH($B16,Prices!$L$8:$L$17,0)+COUNTA(Prices!$K$8:$K$17),MATCH(F$1,Prices!$M$7:$AA$7,0))</f>
        <v>3.5723399991596323</v>
      </c>
      <c r="G16" s="46">
        <f>-VLOOKUP($B16,DemElas!$A$21:$B$29,2,0)*INDEX(TargetConsumption!$C$2:$K$16,MATCH(G$1,TargetConsumption!$B$2:$B$16,0),MATCH($B16,TargetConsumption!$C$1:$K$1,0))/INDEX(Prices!$M$8:$AA$27,MATCH($B16,Prices!$L$8:$L$17,0)+COUNTA(Prices!$K$8:$K$17),MATCH(G$1,Prices!$M$7:$AA$7,0))</f>
        <v>0.19770785901137522</v>
      </c>
      <c r="H16" s="46">
        <f>-VLOOKUP($B16,DemElas!$A$21:$B$29,2,0)*INDEX(TargetConsumption!$C$2:$K$16,MATCH(H$1,TargetConsumption!$B$2:$B$16,0),MATCH($B16,TargetConsumption!$C$1:$K$1,0))/INDEX(Prices!$M$8:$AA$27,MATCH($B16,Prices!$L$8:$L$17,0)+COUNTA(Prices!$K$8:$K$17),MATCH(H$1,Prices!$M$7:$AA$7,0))</f>
        <v>6.265290758330913</v>
      </c>
      <c r="I16" s="46">
        <f>-VLOOKUP($B16,DemElas!$A$21:$B$29,2,0)*INDEX(TargetConsumption!$C$2:$K$16,MATCH(I$1,TargetConsumption!$B$2:$B$16,0),MATCH($B16,TargetConsumption!$C$1:$K$1,0))/INDEX(Prices!$M$8:$AA$27,MATCH($B16,Prices!$L$8:$L$17,0)+COUNTA(Prices!$K$8:$K$17),MATCH(I$1,Prices!$M$7:$AA$7,0))</f>
        <v>22.935748606738009</v>
      </c>
      <c r="J16" s="46">
        <f>-VLOOKUP($B16,DemElas!$A$21:$B$29,2,0)*INDEX(TargetConsumption!$C$2:$K$16,MATCH(J$1,TargetConsumption!$B$2:$B$16,0),MATCH($B16,TargetConsumption!$C$1:$K$1,0))/INDEX(Prices!$M$8:$AA$27,MATCH($B16,Prices!$L$8:$L$17,0)+COUNTA(Prices!$K$8:$K$17),MATCH(J$1,Prices!$M$7:$AA$7,0))</f>
        <v>0.16441332991740856</v>
      </c>
      <c r="K16" s="46">
        <f>-VLOOKUP($B16,DemElas!$A$21:$B$29,2,0)*INDEX(TargetConsumption!$C$2:$K$16,MATCH(K$1,TargetConsumption!$B$2:$B$16,0),MATCH($B16,TargetConsumption!$C$1:$K$1,0))/INDEX(Prices!$M$8:$AA$27,MATCH($B16,Prices!$L$8:$L$17,0)+COUNTA(Prices!$K$8:$K$17),MATCH(K$1,Prices!$M$7:$AA$7,0))</f>
        <v>0.58966063489524367</v>
      </c>
      <c r="L16" s="46">
        <f>-VLOOKUP($B16,DemElas!$A$21:$B$29,2,0)*INDEX(TargetConsumption!$C$2:$K$16,MATCH(L$1,TargetConsumption!$B$2:$B$16,0),MATCH($B16,TargetConsumption!$C$1:$K$1,0))/INDEX(Prices!$M$8:$AA$27,MATCH($B16,Prices!$L$8:$L$17,0)+COUNTA(Prices!$K$8:$K$17),MATCH(L$1,Prices!$M$7:$AA$7,0))</f>
        <v>12.946370621355401</v>
      </c>
      <c r="M16" s="46">
        <f>-VLOOKUP($B16,DemElas!$A$21:$B$29,2,0)*INDEX(TargetConsumption!$C$2:$K$16,MATCH(M$1,TargetConsumption!$B$2:$B$16,0),MATCH($B16,TargetConsumption!$C$1:$K$1,0))/INDEX(Prices!$M$8:$AA$27,MATCH($B16,Prices!$L$8:$L$17,0)+COUNTA(Prices!$K$8:$K$17),MATCH(M$1,Prices!$M$7:$AA$7,0))</f>
        <v>7.2672648942008182</v>
      </c>
      <c r="N16" s="46">
        <f>-VLOOKUP($B16,DemElas!$A$21:$B$29,2,0)*INDEX(TargetConsumption!$C$2:$K$16,MATCH(N$1,TargetConsumption!$B$2:$B$16,0),MATCH($B16,TargetConsumption!$C$1:$K$1,0))/INDEX(Prices!$M$8:$AA$27,MATCH($B16,Prices!$L$8:$L$17,0)+COUNTA(Prices!$K$8:$K$17),MATCH(N$1,Prices!$M$7:$AA$7,0))</f>
        <v>18.088212044984846</v>
      </c>
      <c r="O16" s="46">
        <f>-VLOOKUP($B16,DemElas!$A$21:$B$29,2,0)*INDEX(TargetConsumption!$C$2:$K$16,MATCH(O$1,TargetConsumption!$B$2:$B$16,0),MATCH($B16,TargetConsumption!$C$1:$K$1,0))/INDEX(Prices!$M$8:$AA$27,MATCH($B16,Prices!$L$8:$L$17,0)+COUNTA(Prices!$K$8:$K$17),MATCH(O$1,Prices!$M$7:$AA$7,0))</f>
        <v>2.1829088527159604</v>
      </c>
      <c r="P16" s="46">
        <f>-VLOOKUP($B16,DemElas!$A$21:$B$29,2,0)*INDEX(TargetConsumption!$C$2:$K$16,MATCH(P$1,TargetConsumption!$B$2:$B$16,0),MATCH($B16,TargetConsumption!$C$1:$K$1,0))/INDEX(Prices!$M$8:$AA$27,MATCH($B16,Prices!$L$8:$L$17,0)+COUNTA(Prices!$K$8:$K$17),MATCH(P$1,Prices!$M$7:$AA$7,0))</f>
        <v>1.768089263293442</v>
      </c>
      <c r="Q16" s="46">
        <f>-VLOOKUP($B16,DemElas!$A$21:$B$29,2,0)*INDEX(TargetConsumption!$C$2:$K$16,MATCH(Q$1,TargetConsumption!$B$2:$B$16,0),MATCH($B16,TargetConsumption!$C$1:$K$1,0))/INDEX(Prices!$M$8:$AA$27,MATCH($B16,Prices!$L$8:$L$17,0)+COUNTA(Prices!$K$8:$K$17),MATCH(Q$1,Prices!$M$7:$AA$7,0))</f>
        <v>0</v>
      </c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>
      <c r="A17" t="s">
        <v>2</v>
      </c>
      <c r="B17" s="2" t="str">
        <f t="shared" si="0"/>
        <v>CashCrop</v>
      </c>
      <c r="C17" s="46">
        <f>-VLOOKUP($B17,DemElas!$A$21:$B$29,2,0)*INDEX(TargetConsumption!$C$2:$K$16,MATCH(C$1,TargetConsumption!$B$2:$B$16,0),MATCH($B17,TargetConsumption!$C$1:$K$1,0))/INDEX(Prices!$M$8:$AA$27,MATCH($B17,Prices!$L$8:$L$17,0)+COUNTA(Prices!$K$8:$K$17),MATCH(C$1,Prices!$M$7:$AA$7,0))</f>
        <v>0.19720222587707639</v>
      </c>
      <c r="D17" s="46">
        <f>-VLOOKUP($B17,DemElas!$A$21:$B$29,2,0)*INDEX(TargetConsumption!$C$2:$K$16,MATCH(D$1,TargetConsumption!$B$2:$B$16,0),MATCH($B17,TargetConsumption!$C$1:$K$1,0))/INDEX(Prices!$M$8:$AA$27,MATCH($B17,Prices!$L$8:$L$17,0)+COUNTA(Prices!$K$8:$K$17),MATCH(D$1,Prices!$M$7:$AA$7,0))</f>
        <v>7.7843166218712873E-2</v>
      </c>
      <c r="E17" s="46">
        <f>-VLOOKUP($B17,DemElas!$A$21:$B$29,2,0)*INDEX(TargetConsumption!$C$2:$K$16,MATCH(E$1,TargetConsumption!$B$2:$B$16,0),MATCH($B17,TargetConsumption!$C$1:$K$1,0))/INDEX(Prices!$M$8:$AA$27,MATCH($B17,Prices!$L$8:$L$17,0)+COUNTA(Prices!$K$8:$K$17),MATCH(E$1,Prices!$M$7:$AA$7,0))</f>
        <v>0.26267818758081202</v>
      </c>
      <c r="F17" s="46">
        <f>-VLOOKUP($B17,DemElas!$A$21:$B$29,2,0)*INDEX(TargetConsumption!$C$2:$K$16,MATCH(F$1,TargetConsumption!$B$2:$B$16,0),MATCH($B17,TargetConsumption!$C$1:$K$1,0))/INDEX(Prices!$M$8:$AA$27,MATCH($B17,Prices!$L$8:$L$17,0)+COUNTA(Prices!$K$8:$K$17),MATCH(F$1,Prices!$M$7:$AA$7,0))</f>
        <v>0.11795667567432971</v>
      </c>
      <c r="G17" s="46">
        <f>-VLOOKUP($B17,DemElas!$A$21:$B$29,2,0)*INDEX(TargetConsumption!$C$2:$K$16,MATCH(G$1,TargetConsumption!$B$2:$B$16,0),MATCH($B17,TargetConsumption!$C$1:$K$1,0))/INDEX(Prices!$M$8:$AA$27,MATCH($B17,Prices!$L$8:$L$17,0)+COUNTA(Prices!$K$8:$K$17),MATCH(G$1,Prices!$M$7:$AA$7,0))</f>
        <v>6.5282033090794779E-3</v>
      </c>
      <c r="H17" s="46">
        <f>-VLOOKUP($B17,DemElas!$A$21:$B$29,2,0)*INDEX(TargetConsumption!$C$2:$K$16,MATCH(H$1,TargetConsumption!$B$2:$B$16,0),MATCH($B17,TargetConsumption!$C$1:$K$1,0))/INDEX(Prices!$M$8:$AA$27,MATCH($B17,Prices!$L$8:$L$17,0)+COUNTA(Prices!$K$8:$K$17),MATCH(H$1,Prices!$M$7:$AA$7,0))</f>
        <v>0.20687640878518473</v>
      </c>
      <c r="I17" s="46">
        <f>-VLOOKUP($B17,DemElas!$A$21:$B$29,2,0)*INDEX(TargetConsumption!$C$2:$K$16,MATCH(I$1,TargetConsumption!$B$2:$B$16,0),MATCH($B17,TargetConsumption!$C$1:$K$1,0))/INDEX(Prices!$M$8:$AA$27,MATCH($B17,Prices!$L$8:$L$17,0)+COUNTA(Prices!$K$8:$K$17),MATCH(I$1,Prices!$M$7:$AA$7,0))</f>
        <v>0.75732563540687259</v>
      </c>
      <c r="J17" s="46">
        <f>-VLOOKUP($B17,DemElas!$A$21:$B$29,2,0)*INDEX(TargetConsumption!$C$2:$K$16,MATCH(J$1,TargetConsumption!$B$2:$B$16,0),MATCH($B17,TargetConsumption!$C$1:$K$1,0))/INDEX(Prices!$M$8:$AA$27,MATCH($B17,Prices!$L$8:$L$17,0)+COUNTA(Prices!$K$8:$K$17),MATCH(J$1,Prices!$M$7:$AA$7,0))</f>
        <v>5.4288365156078501E-3</v>
      </c>
      <c r="K17" s="46">
        <f>-VLOOKUP($B17,DemElas!$A$21:$B$29,2,0)*INDEX(TargetConsumption!$C$2:$K$16,MATCH(K$1,TargetConsumption!$B$2:$B$16,0),MATCH($B17,TargetConsumption!$C$1:$K$1,0))/INDEX(Prices!$M$8:$AA$27,MATCH($B17,Prices!$L$8:$L$17,0)+COUNTA(Prices!$K$8:$K$17),MATCH(K$1,Prices!$M$7:$AA$7,0))</f>
        <v>1.9470265507935916E-2</v>
      </c>
      <c r="L17" s="46">
        <f>-VLOOKUP($B17,DemElas!$A$21:$B$29,2,0)*INDEX(TargetConsumption!$C$2:$K$16,MATCH(L$1,TargetConsumption!$B$2:$B$16,0),MATCH($B17,TargetConsumption!$C$1:$K$1,0))/INDEX(Prices!$M$8:$AA$27,MATCH($B17,Prices!$L$8:$L$17,0)+COUNTA(Prices!$K$8:$K$17),MATCH(L$1,Prices!$M$7:$AA$7,0))</f>
        <v>0.42748194206098278</v>
      </c>
      <c r="M17" s="46">
        <f>-VLOOKUP($B17,DemElas!$A$21:$B$29,2,0)*INDEX(TargetConsumption!$C$2:$K$16,MATCH(M$1,TargetConsumption!$B$2:$B$16,0),MATCH($B17,TargetConsumption!$C$1:$K$1,0))/INDEX(Prices!$M$8:$AA$27,MATCH($B17,Prices!$L$8:$L$17,0)+COUNTA(Prices!$K$8:$K$17),MATCH(M$1,Prices!$M$7:$AA$7,0))</f>
        <v>0.23996103628611595</v>
      </c>
      <c r="N17" s="46">
        <f>-VLOOKUP($B17,DemElas!$A$21:$B$29,2,0)*INDEX(TargetConsumption!$C$2:$K$16,MATCH(N$1,TargetConsumption!$B$2:$B$16,0),MATCH($B17,TargetConsumption!$C$1:$K$1,0))/INDEX(Prices!$M$8:$AA$27,MATCH($B17,Prices!$L$8:$L$17,0)+COUNTA(Prices!$K$8:$K$17),MATCH(N$1,Prices!$M$7:$AA$7,0))</f>
        <v>0.59726267998586391</v>
      </c>
      <c r="O17" s="46">
        <f>-VLOOKUP($B17,DemElas!$A$21:$B$29,2,0)*INDEX(TargetConsumption!$C$2:$K$16,MATCH(O$1,TargetConsumption!$B$2:$B$16,0),MATCH($B17,TargetConsumption!$C$1:$K$1,0))/INDEX(Prices!$M$8:$AA$27,MATCH($B17,Prices!$L$8:$L$17,0)+COUNTA(Prices!$K$8:$K$17),MATCH(O$1,Prices!$M$7:$AA$7,0))</f>
        <v>7.2078433639298625E-2</v>
      </c>
      <c r="P17" s="46">
        <f>-VLOOKUP($B17,DemElas!$A$21:$B$29,2,0)*INDEX(TargetConsumption!$C$2:$K$16,MATCH(P$1,TargetConsumption!$B$2:$B$16,0),MATCH($B17,TargetConsumption!$C$1:$K$1,0))/INDEX(Prices!$M$8:$AA$27,MATCH($B17,Prices!$L$8:$L$17,0)+COUNTA(Prices!$K$8:$K$17),MATCH(P$1,Prices!$M$7:$AA$7,0))</f>
        <v>5.8381322002561589E-2</v>
      </c>
      <c r="Q17" s="46">
        <f>-VLOOKUP($B17,DemElas!$A$21:$B$29,2,0)*INDEX(TargetConsumption!$C$2:$K$16,MATCH(Q$1,TargetConsumption!$B$2:$B$16,0),MATCH($B17,TargetConsumption!$C$1:$K$1,0))/INDEX(Prices!$M$8:$AA$27,MATCH($B17,Prices!$L$8:$L$17,0)+COUNTA(Prices!$K$8:$K$17),MATCH(Q$1,Prices!$M$7:$AA$7,0))</f>
        <v>4.5695075168092272</v>
      </c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>
      <c r="A18" t="s">
        <v>2</v>
      </c>
      <c r="B18" s="2" t="str">
        <f t="shared" si="0"/>
        <v>Beef</v>
      </c>
      <c r="C18" s="46">
        <f>-VLOOKUP($B18,DemElas!$A$21:$B$29,2,0)*INDEX(TargetConsumption!$C$2:$K$16,MATCH(C$1,TargetConsumption!$B$2:$B$16,0),MATCH($B18,TargetConsumption!$C$1:$K$1,0))/INDEX(Prices!$M$8:$AA$27,MATCH($B18,Prices!$L$8:$L$17,0)+COUNTA(Prices!$K$8:$K$17),MATCH(C$1,Prices!$M$7:$AA$7,0))</f>
        <v>0</v>
      </c>
      <c r="D18" s="46">
        <f>-VLOOKUP($B18,DemElas!$A$21:$B$29,2,0)*INDEX(TargetConsumption!$C$2:$K$16,MATCH(D$1,TargetConsumption!$B$2:$B$16,0),MATCH($B18,TargetConsumption!$C$1:$K$1,0))/INDEX(Prices!$M$8:$AA$27,MATCH($B18,Prices!$L$8:$L$17,0)+COUNTA(Prices!$K$8:$K$17),MATCH(D$1,Prices!$M$7:$AA$7,0))</f>
        <v>0</v>
      </c>
      <c r="E18" s="46">
        <f>-VLOOKUP($B18,DemElas!$A$21:$B$29,2,0)*INDEX(TargetConsumption!$C$2:$K$16,MATCH(E$1,TargetConsumption!$B$2:$B$16,0),MATCH($B18,TargetConsumption!$C$1:$K$1,0))/INDEX(Prices!$M$8:$AA$27,MATCH($B18,Prices!$L$8:$L$17,0)+COUNTA(Prices!$K$8:$K$17),MATCH(E$1,Prices!$M$7:$AA$7,0))</f>
        <v>0</v>
      </c>
      <c r="F18" s="46">
        <f>-VLOOKUP($B18,DemElas!$A$21:$B$29,2,0)*INDEX(TargetConsumption!$C$2:$K$16,MATCH(F$1,TargetConsumption!$B$2:$B$16,0),MATCH($B18,TargetConsumption!$C$1:$K$1,0))/INDEX(Prices!$M$8:$AA$27,MATCH($B18,Prices!$L$8:$L$17,0)+COUNTA(Prices!$K$8:$K$17),MATCH(F$1,Prices!$M$7:$AA$7,0))</f>
        <v>0</v>
      </c>
      <c r="G18" s="46">
        <f>-VLOOKUP($B18,DemElas!$A$21:$B$29,2,0)*INDEX(TargetConsumption!$C$2:$K$16,MATCH(G$1,TargetConsumption!$B$2:$B$16,0),MATCH($B18,TargetConsumption!$C$1:$K$1,0))/INDEX(Prices!$M$8:$AA$27,MATCH($B18,Prices!$L$8:$L$17,0)+COUNTA(Prices!$K$8:$K$17),MATCH(G$1,Prices!$M$7:$AA$7,0))</f>
        <v>0</v>
      </c>
      <c r="H18" s="46">
        <f>-VLOOKUP($B18,DemElas!$A$21:$B$29,2,0)*INDEX(TargetConsumption!$C$2:$K$16,MATCH(H$1,TargetConsumption!$B$2:$B$16,0),MATCH($B18,TargetConsumption!$C$1:$K$1,0))/INDEX(Prices!$M$8:$AA$27,MATCH($B18,Prices!$L$8:$L$17,0)+COUNTA(Prices!$K$8:$K$17),MATCH(H$1,Prices!$M$7:$AA$7,0))</f>
        <v>0</v>
      </c>
      <c r="I18" s="46">
        <f>-VLOOKUP($B18,DemElas!$A$21:$B$29,2,0)*INDEX(TargetConsumption!$C$2:$K$16,MATCH(I$1,TargetConsumption!$B$2:$B$16,0),MATCH($B18,TargetConsumption!$C$1:$K$1,0))/INDEX(Prices!$M$8:$AA$27,MATCH($B18,Prices!$L$8:$L$17,0)+COUNTA(Prices!$K$8:$K$17),MATCH(I$1,Prices!$M$7:$AA$7,0))</f>
        <v>0</v>
      </c>
      <c r="J18" s="46">
        <f>-VLOOKUP($B18,DemElas!$A$21:$B$29,2,0)*INDEX(TargetConsumption!$C$2:$K$16,MATCH(J$1,TargetConsumption!$B$2:$B$16,0),MATCH($B18,TargetConsumption!$C$1:$K$1,0))/INDEX(Prices!$M$8:$AA$27,MATCH($B18,Prices!$L$8:$L$17,0)+COUNTA(Prices!$K$8:$K$17),MATCH(J$1,Prices!$M$7:$AA$7,0))</f>
        <v>0</v>
      </c>
      <c r="K18" s="46">
        <f>-VLOOKUP($B18,DemElas!$A$21:$B$29,2,0)*INDEX(TargetConsumption!$C$2:$K$16,MATCH(K$1,TargetConsumption!$B$2:$B$16,0),MATCH($B18,TargetConsumption!$C$1:$K$1,0))/INDEX(Prices!$M$8:$AA$27,MATCH($B18,Prices!$L$8:$L$17,0)+COUNTA(Prices!$K$8:$K$17),MATCH(K$1,Prices!$M$7:$AA$7,0))</f>
        <v>0</v>
      </c>
      <c r="L18" s="46">
        <f>-VLOOKUP($B18,DemElas!$A$21:$B$29,2,0)*INDEX(TargetConsumption!$C$2:$K$16,MATCH(L$1,TargetConsumption!$B$2:$B$16,0),MATCH($B18,TargetConsumption!$C$1:$K$1,0))/INDEX(Prices!$M$8:$AA$27,MATCH($B18,Prices!$L$8:$L$17,0)+COUNTA(Prices!$K$8:$K$17),MATCH(L$1,Prices!$M$7:$AA$7,0))</f>
        <v>0</v>
      </c>
      <c r="M18" s="46">
        <f>-VLOOKUP($B18,DemElas!$A$21:$B$29,2,0)*INDEX(TargetConsumption!$C$2:$K$16,MATCH(M$1,TargetConsumption!$B$2:$B$16,0),MATCH($B18,TargetConsumption!$C$1:$K$1,0))/INDEX(Prices!$M$8:$AA$27,MATCH($B18,Prices!$L$8:$L$17,0)+COUNTA(Prices!$K$8:$K$17),MATCH(M$1,Prices!$M$7:$AA$7,0))</f>
        <v>0</v>
      </c>
      <c r="N18" s="46">
        <f>-VLOOKUP($B18,DemElas!$A$21:$B$29,2,0)*INDEX(TargetConsumption!$C$2:$K$16,MATCH(N$1,TargetConsumption!$B$2:$B$16,0),MATCH($B18,TargetConsumption!$C$1:$K$1,0))/INDEX(Prices!$M$8:$AA$27,MATCH($B18,Prices!$L$8:$L$17,0)+COUNTA(Prices!$K$8:$K$17),MATCH(N$1,Prices!$M$7:$AA$7,0))</f>
        <v>0</v>
      </c>
      <c r="O18" s="46">
        <f>-VLOOKUP($B18,DemElas!$A$21:$B$29,2,0)*INDEX(TargetConsumption!$C$2:$K$16,MATCH(O$1,TargetConsumption!$B$2:$B$16,0),MATCH($B18,TargetConsumption!$C$1:$K$1,0))/INDEX(Prices!$M$8:$AA$27,MATCH($B18,Prices!$L$8:$L$17,0)+COUNTA(Prices!$K$8:$K$17),MATCH(O$1,Prices!$M$7:$AA$7,0))</f>
        <v>0</v>
      </c>
      <c r="P18" s="46">
        <f>-VLOOKUP($B18,DemElas!$A$21:$B$29,2,0)*INDEX(TargetConsumption!$C$2:$K$16,MATCH(P$1,TargetConsumption!$B$2:$B$16,0),MATCH($B18,TargetConsumption!$C$1:$K$1,0))/INDEX(Prices!$M$8:$AA$27,MATCH($B18,Prices!$L$8:$L$17,0)+COUNTA(Prices!$K$8:$K$17),MATCH(P$1,Prices!$M$7:$AA$7,0))</f>
        <v>0</v>
      </c>
      <c r="Q18" s="46">
        <f>-VLOOKUP($B18,DemElas!$A$21:$B$29,2,0)*INDEX(TargetConsumption!$C$2:$K$16,MATCH(Q$1,TargetConsumption!$B$2:$B$16,0),MATCH($B18,TargetConsumption!$C$1:$K$1,0))/INDEX(Prices!$M$8:$AA$27,MATCH($B18,Prices!$L$8:$L$17,0)+COUNTA(Prices!$K$8:$K$17),MATCH(Q$1,Prices!$M$7:$AA$7,0))</f>
        <v>0</v>
      </c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>
      <c r="A19" t="s">
        <v>2</v>
      </c>
      <c r="B19" s="2" t="str">
        <f t="shared" si="0"/>
        <v>Milk</v>
      </c>
      <c r="C19" s="46">
        <f>-VLOOKUP($B19,DemElas!$A$21:$B$29,2,0)*INDEX(TargetConsumption!$C$2:$K$16,MATCH(C$1,TargetConsumption!$B$2:$B$16,0),MATCH($B19,TargetConsumption!$C$1:$K$1,0))/INDEX(Prices!$M$8:$AA$27,MATCH($B19,Prices!$L$8:$L$17,0)+COUNTA(Prices!$K$8:$K$17),MATCH(C$1,Prices!$M$7:$AA$7,0))</f>
        <v>0</v>
      </c>
      <c r="D19" s="46">
        <f>-VLOOKUP($B19,DemElas!$A$21:$B$29,2,0)*INDEX(TargetConsumption!$C$2:$K$16,MATCH(D$1,TargetConsumption!$B$2:$B$16,0),MATCH($B19,TargetConsumption!$C$1:$K$1,0))/INDEX(Prices!$M$8:$AA$27,MATCH($B19,Prices!$L$8:$L$17,0)+COUNTA(Prices!$K$8:$K$17),MATCH(D$1,Prices!$M$7:$AA$7,0))</f>
        <v>0</v>
      </c>
      <c r="E19" s="46">
        <f>-VLOOKUP($B19,DemElas!$A$21:$B$29,2,0)*INDEX(TargetConsumption!$C$2:$K$16,MATCH(E$1,TargetConsumption!$B$2:$B$16,0),MATCH($B19,TargetConsumption!$C$1:$K$1,0))/INDEX(Prices!$M$8:$AA$27,MATCH($B19,Prices!$L$8:$L$17,0)+COUNTA(Prices!$K$8:$K$17),MATCH(E$1,Prices!$M$7:$AA$7,0))</f>
        <v>0</v>
      </c>
      <c r="F19" s="46">
        <f>-VLOOKUP($B19,DemElas!$A$21:$B$29,2,0)*INDEX(TargetConsumption!$C$2:$K$16,MATCH(F$1,TargetConsumption!$B$2:$B$16,0),MATCH($B19,TargetConsumption!$C$1:$K$1,0))/INDEX(Prices!$M$8:$AA$27,MATCH($B19,Prices!$L$8:$L$17,0)+COUNTA(Prices!$K$8:$K$17),MATCH(F$1,Prices!$M$7:$AA$7,0))</f>
        <v>0</v>
      </c>
      <c r="G19" s="46">
        <f>-VLOOKUP($B19,DemElas!$A$21:$B$29,2,0)*INDEX(TargetConsumption!$C$2:$K$16,MATCH(G$1,TargetConsumption!$B$2:$B$16,0),MATCH($B19,TargetConsumption!$C$1:$K$1,0))/INDEX(Prices!$M$8:$AA$27,MATCH($B19,Prices!$L$8:$L$17,0)+COUNTA(Prices!$K$8:$K$17),MATCH(G$1,Prices!$M$7:$AA$7,0))</f>
        <v>0</v>
      </c>
      <c r="H19" s="46">
        <f>-VLOOKUP($B19,DemElas!$A$21:$B$29,2,0)*INDEX(TargetConsumption!$C$2:$K$16,MATCH(H$1,TargetConsumption!$B$2:$B$16,0),MATCH($B19,TargetConsumption!$C$1:$K$1,0))/INDEX(Prices!$M$8:$AA$27,MATCH($B19,Prices!$L$8:$L$17,0)+COUNTA(Prices!$K$8:$K$17),MATCH(H$1,Prices!$M$7:$AA$7,0))</f>
        <v>0</v>
      </c>
      <c r="I19" s="46">
        <f>-VLOOKUP($B19,DemElas!$A$21:$B$29,2,0)*INDEX(TargetConsumption!$C$2:$K$16,MATCH(I$1,TargetConsumption!$B$2:$B$16,0),MATCH($B19,TargetConsumption!$C$1:$K$1,0))/INDEX(Prices!$M$8:$AA$27,MATCH($B19,Prices!$L$8:$L$17,0)+COUNTA(Prices!$K$8:$K$17),MATCH(I$1,Prices!$M$7:$AA$7,0))</f>
        <v>0</v>
      </c>
      <c r="J19" s="46">
        <f>-VLOOKUP($B19,DemElas!$A$21:$B$29,2,0)*INDEX(TargetConsumption!$C$2:$K$16,MATCH(J$1,TargetConsumption!$B$2:$B$16,0),MATCH($B19,TargetConsumption!$C$1:$K$1,0))/INDEX(Prices!$M$8:$AA$27,MATCH($B19,Prices!$L$8:$L$17,0)+COUNTA(Prices!$K$8:$K$17),MATCH(J$1,Prices!$M$7:$AA$7,0))</f>
        <v>0</v>
      </c>
      <c r="K19" s="46">
        <f>-VLOOKUP($B19,DemElas!$A$21:$B$29,2,0)*INDEX(TargetConsumption!$C$2:$K$16,MATCH(K$1,TargetConsumption!$B$2:$B$16,0),MATCH($B19,TargetConsumption!$C$1:$K$1,0))/INDEX(Prices!$M$8:$AA$27,MATCH($B19,Prices!$L$8:$L$17,0)+COUNTA(Prices!$K$8:$K$17),MATCH(K$1,Prices!$M$7:$AA$7,0))</f>
        <v>0</v>
      </c>
      <c r="L19" s="46">
        <f>-VLOOKUP($B19,DemElas!$A$21:$B$29,2,0)*INDEX(TargetConsumption!$C$2:$K$16,MATCH(L$1,TargetConsumption!$B$2:$B$16,0),MATCH($B19,TargetConsumption!$C$1:$K$1,0))/INDEX(Prices!$M$8:$AA$27,MATCH($B19,Prices!$L$8:$L$17,0)+COUNTA(Prices!$K$8:$K$17),MATCH(L$1,Prices!$M$7:$AA$7,0))</f>
        <v>0</v>
      </c>
      <c r="M19" s="46">
        <f>-VLOOKUP($B19,DemElas!$A$21:$B$29,2,0)*INDEX(TargetConsumption!$C$2:$K$16,MATCH(M$1,TargetConsumption!$B$2:$B$16,0),MATCH($B19,TargetConsumption!$C$1:$K$1,0))/INDEX(Prices!$M$8:$AA$27,MATCH($B19,Prices!$L$8:$L$17,0)+COUNTA(Prices!$K$8:$K$17),MATCH(M$1,Prices!$M$7:$AA$7,0))</f>
        <v>0</v>
      </c>
      <c r="N19" s="46">
        <f>-VLOOKUP($B19,DemElas!$A$21:$B$29,2,0)*INDEX(TargetConsumption!$C$2:$K$16,MATCH(N$1,TargetConsumption!$B$2:$B$16,0),MATCH($B19,TargetConsumption!$C$1:$K$1,0))/INDEX(Prices!$M$8:$AA$27,MATCH($B19,Prices!$L$8:$L$17,0)+COUNTA(Prices!$K$8:$K$17),MATCH(N$1,Prices!$M$7:$AA$7,0))</f>
        <v>0</v>
      </c>
      <c r="O19" s="46">
        <f>-VLOOKUP($B19,DemElas!$A$21:$B$29,2,0)*INDEX(TargetConsumption!$C$2:$K$16,MATCH(O$1,TargetConsumption!$B$2:$B$16,0),MATCH($B19,TargetConsumption!$C$1:$K$1,0))/INDEX(Prices!$M$8:$AA$27,MATCH($B19,Prices!$L$8:$L$17,0)+COUNTA(Prices!$K$8:$K$17),MATCH(O$1,Prices!$M$7:$AA$7,0))</f>
        <v>0</v>
      </c>
      <c r="P19" s="46">
        <f>-VLOOKUP($B19,DemElas!$A$21:$B$29,2,0)*INDEX(TargetConsumption!$C$2:$K$16,MATCH(P$1,TargetConsumption!$B$2:$B$16,0),MATCH($B19,TargetConsumption!$C$1:$K$1,0))/INDEX(Prices!$M$8:$AA$27,MATCH($B19,Prices!$L$8:$L$17,0)+COUNTA(Prices!$K$8:$K$17),MATCH(P$1,Prices!$M$7:$AA$7,0))</f>
        <v>0</v>
      </c>
      <c r="Q19" s="46">
        <f>-VLOOKUP($B19,DemElas!$A$21:$B$29,2,0)*INDEX(TargetConsumption!$C$2:$K$16,MATCH(Q$1,TargetConsumption!$B$2:$B$16,0),MATCH($B19,TargetConsumption!$C$1:$K$1,0))/INDEX(Prices!$M$8:$AA$27,MATCH($B19,Prices!$L$8:$L$17,0)+COUNTA(Prices!$K$8:$K$17),MATCH(Q$1,Prices!$M$7:$AA$7,0))</f>
        <v>0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>
      <c r="A22" t="s">
        <v>214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3:34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3:34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3:34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3:34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3:34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3:34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3:34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3:34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3:34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3:34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3:34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3:34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3:34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3:34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3:34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3:34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3:34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3:34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3:34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3:34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3:34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3:34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3:34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AG58"/>
  <sheetViews>
    <sheetView zoomScale="85" zoomScaleNormal="85" workbookViewId="0"/>
  </sheetViews>
  <sheetFormatPr defaultRowHeight="15.75"/>
  <cols>
    <col min="1" max="1" width="10.75" bestFit="1" customWidth="1"/>
    <col min="6" max="6" width="11" bestFit="1" customWidth="1"/>
    <col min="11" max="11" width="11" bestFit="1" customWidth="1"/>
    <col min="18" max="18" width="11" bestFit="1" customWidth="1"/>
    <col min="19" max="19" width="13.125" bestFit="1" customWidth="1"/>
    <col min="26" max="26" width="14.8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7">Nodes</f>
        <v>AddisAbaba</v>
      </c>
      <c r="B3" s="2">
        <f>$S41/$S$58*B$18</f>
        <v>2.7519552897165709</v>
      </c>
      <c r="C3" s="2">
        <f t="shared" ref="C3:AG3" si="2">$S41/$S$58*C$18</f>
        <v>1.3759776448582854</v>
      </c>
      <c r="D3" s="2">
        <f t="shared" si="2"/>
        <v>2.8895530542023997</v>
      </c>
      <c r="E3" s="2">
        <f t="shared" si="2"/>
        <v>1.4447765271011999</v>
      </c>
      <c r="F3" s="2">
        <f t="shared" si="2"/>
        <v>3.0340307069125196</v>
      </c>
      <c r="G3" s="2">
        <f t="shared" si="2"/>
        <v>1.5170153534562598</v>
      </c>
      <c r="H3" s="2">
        <f t="shared" si="2"/>
        <v>3.1857322422581458</v>
      </c>
      <c r="I3" s="2">
        <f t="shared" si="2"/>
        <v>1.5928661211290729</v>
      </c>
      <c r="J3" s="2">
        <f t="shared" si="2"/>
        <v>3.3450188543710531</v>
      </c>
      <c r="K3" s="2">
        <f t="shared" si="2"/>
        <v>1.6725094271855265</v>
      </c>
      <c r="L3" s="2">
        <f t="shared" si="2"/>
        <v>3.5122697970896057</v>
      </c>
      <c r="M3" s="2">
        <f t="shared" si="2"/>
        <v>1.7561348985448029</v>
      </c>
      <c r="N3" s="2">
        <f t="shared" si="2"/>
        <v>3.6878832869440865</v>
      </c>
      <c r="O3" s="2">
        <f t="shared" si="2"/>
        <v>1.8439416434720433</v>
      </c>
      <c r="P3" s="2">
        <f t="shared" si="2"/>
        <v>3.872277451291291</v>
      </c>
      <c r="Q3" s="2">
        <f t="shared" si="2"/>
        <v>1.9361387256456455</v>
      </c>
      <c r="R3" s="2">
        <f t="shared" si="2"/>
        <v>4.0658913238558556</v>
      </c>
      <c r="S3" s="2">
        <f t="shared" si="2"/>
        <v>2.0329456619279278</v>
      </c>
      <c r="T3" s="2">
        <f t="shared" si="2"/>
        <v>4.2691858900486483</v>
      </c>
      <c r="U3" s="2">
        <f t="shared" si="2"/>
        <v>2.1345929450243242</v>
      </c>
      <c r="V3" s="2">
        <f t="shared" si="2"/>
        <v>4.4826451845510809</v>
      </c>
      <c r="W3" s="2">
        <f t="shared" si="2"/>
        <v>2.2413225922755404</v>
      </c>
      <c r="X3" s="2">
        <f t="shared" si="2"/>
        <v>4.7067774437786349</v>
      </c>
      <c r="Y3" s="2">
        <f t="shared" si="2"/>
        <v>2.3533887218893175</v>
      </c>
      <c r="Z3" s="2">
        <f t="shared" si="2"/>
        <v>4.9421163159675672</v>
      </c>
      <c r="AA3" s="2">
        <f t="shared" si="2"/>
        <v>2.4710581579837836</v>
      </c>
      <c r="AB3" s="2">
        <f t="shared" si="2"/>
        <v>5.1892221317659466</v>
      </c>
      <c r="AC3" s="2">
        <f t="shared" si="2"/>
        <v>2.5946110658829733</v>
      </c>
      <c r="AD3" s="2">
        <f t="shared" si="2"/>
        <v>5.4486832383542438</v>
      </c>
      <c r="AE3" s="2">
        <f t="shared" si="2"/>
        <v>2.7243416191771219</v>
      </c>
      <c r="AF3" s="2">
        <f t="shared" si="2"/>
        <v>5.7211174002719565</v>
      </c>
      <c r="AG3" s="2">
        <f t="shared" si="2"/>
        <v>2.8605587001359782</v>
      </c>
    </row>
    <row r="4" spans="1:33">
      <c r="A4" t="str">
        <v>Semera</v>
      </c>
      <c r="B4" s="2">
        <f t="shared" ref="B4:AG4" si="3">$S42/$S$58*B$18</f>
        <v>0.7312851835450721</v>
      </c>
      <c r="C4" s="2">
        <f t="shared" si="3"/>
        <v>0.36564259177253605</v>
      </c>
      <c r="D4" s="2">
        <f t="shared" si="3"/>
        <v>0.7678494427223258</v>
      </c>
      <c r="E4" s="2">
        <f t="shared" si="3"/>
        <v>0.3839247213611629</v>
      </c>
      <c r="F4" s="2">
        <f t="shared" si="3"/>
        <v>0.8062419148584421</v>
      </c>
      <c r="G4" s="2">
        <f t="shared" si="3"/>
        <v>0.40312095742922105</v>
      </c>
      <c r="H4" s="2">
        <f t="shared" si="3"/>
        <v>0.84655401060136437</v>
      </c>
      <c r="I4" s="2">
        <f t="shared" si="3"/>
        <v>0.42327700530068219</v>
      </c>
      <c r="J4" s="2">
        <f t="shared" si="3"/>
        <v>0.88888171113143255</v>
      </c>
      <c r="K4" s="2">
        <f t="shared" si="3"/>
        <v>0.44444085556571628</v>
      </c>
      <c r="L4" s="2">
        <f t="shared" si="3"/>
        <v>0.93332579668800419</v>
      </c>
      <c r="M4" s="2">
        <f t="shared" si="3"/>
        <v>0.4666628983440021</v>
      </c>
      <c r="N4" s="2">
        <f t="shared" si="3"/>
        <v>0.97999208652240444</v>
      </c>
      <c r="O4" s="2">
        <f t="shared" si="3"/>
        <v>0.48999604326120222</v>
      </c>
      <c r="P4" s="2">
        <f t="shared" si="3"/>
        <v>1.0289916908485248</v>
      </c>
      <c r="Q4" s="2">
        <f t="shared" si="3"/>
        <v>0.51449584542426241</v>
      </c>
      <c r="R4" s="2">
        <f t="shared" si="3"/>
        <v>1.0804412753909509</v>
      </c>
      <c r="S4" s="2">
        <f t="shared" si="3"/>
        <v>0.54022063769547546</v>
      </c>
      <c r="T4" s="2">
        <f t="shared" si="3"/>
        <v>1.1344633391604986</v>
      </c>
      <c r="U4" s="2">
        <f t="shared" si="3"/>
        <v>0.56723166958024929</v>
      </c>
      <c r="V4" s="2">
        <f t="shared" si="3"/>
        <v>1.1911865061185236</v>
      </c>
      <c r="W4" s="2">
        <f t="shared" si="3"/>
        <v>0.59559325305926181</v>
      </c>
      <c r="X4" s="2">
        <f t="shared" si="3"/>
        <v>1.2507458314244497</v>
      </c>
      <c r="Y4" s="2">
        <f t="shared" si="3"/>
        <v>0.62537291571222486</v>
      </c>
      <c r="Z4" s="2">
        <f t="shared" si="3"/>
        <v>1.3132831229956723</v>
      </c>
      <c r="AA4" s="2">
        <f t="shared" si="3"/>
        <v>0.65664156149783615</v>
      </c>
      <c r="AB4" s="2">
        <f t="shared" si="3"/>
        <v>1.3789472791454562</v>
      </c>
      <c r="AC4" s="2">
        <f t="shared" si="3"/>
        <v>0.68947363957272811</v>
      </c>
      <c r="AD4" s="2">
        <f t="shared" si="3"/>
        <v>1.4478946431027291</v>
      </c>
      <c r="AE4" s="2">
        <f t="shared" si="3"/>
        <v>0.72394732155136454</v>
      </c>
      <c r="AF4" s="2">
        <f t="shared" si="3"/>
        <v>1.5202893752578657</v>
      </c>
      <c r="AG4" s="2">
        <f t="shared" si="3"/>
        <v>0.76014468762893284</v>
      </c>
    </row>
    <row r="5" spans="1:33">
      <c r="A5" t="str">
        <v>BahirDar</v>
      </c>
      <c r="B5" s="2">
        <f t="shared" ref="B5:AG5" si="4">$S43/$S$58*B$18</f>
        <v>2.1108140208096802</v>
      </c>
      <c r="C5" s="2">
        <f t="shared" si="4"/>
        <v>1.0554070104048401</v>
      </c>
      <c r="D5" s="2">
        <f t="shared" si="4"/>
        <v>2.2163547218501645</v>
      </c>
      <c r="E5" s="2">
        <f t="shared" si="4"/>
        <v>1.1081773609250822</v>
      </c>
      <c r="F5" s="2">
        <f t="shared" si="4"/>
        <v>2.3271724579426727</v>
      </c>
      <c r="G5" s="2">
        <f t="shared" si="4"/>
        <v>1.1635862289713363</v>
      </c>
      <c r="H5" s="2">
        <f t="shared" si="4"/>
        <v>2.443531080839807</v>
      </c>
      <c r="I5" s="2">
        <f t="shared" si="4"/>
        <v>1.2217655404199035</v>
      </c>
      <c r="J5" s="2">
        <f t="shared" si="4"/>
        <v>2.5657076348817971</v>
      </c>
      <c r="K5" s="2">
        <f t="shared" si="4"/>
        <v>1.2828538174408985</v>
      </c>
      <c r="L5" s="2">
        <f t="shared" si="4"/>
        <v>2.6939930166258867</v>
      </c>
      <c r="M5" s="2">
        <f t="shared" si="4"/>
        <v>1.3469965083129434</v>
      </c>
      <c r="N5" s="2">
        <f t="shared" si="4"/>
        <v>2.8286926674571813</v>
      </c>
      <c r="O5" s="2">
        <f t="shared" si="4"/>
        <v>1.4143463337285906</v>
      </c>
      <c r="P5" s="2">
        <f t="shared" si="4"/>
        <v>2.9701273008300411</v>
      </c>
      <c r="Q5" s="2">
        <f t="shared" si="4"/>
        <v>1.4850636504150205</v>
      </c>
      <c r="R5" s="2">
        <f t="shared" si="4"/>
        <v>3.1186336658715428</v>
      </c>
      <c r="S5" s="2">
        <f t="shared" si="4"/>
        <v>1.5593168329357714</v>
      </c>
      <c r="T5" s="2">
        <f t="shared" si="4"/>
        <v>3.2745653491651203</v>
      </c>
      <c r="U5" s="2">
        <f t="shared" si="4"/>
        <v>1.6372826745825602</v>
      </c>
      <c r="V5" s="2">
        <f t="shared" si="4"/>
        <v>3.4382936166233762</v>
      </c>
      <c r="W5" s="2">
        <f t="shared" si="4"/>
        <v>1.7191468083116881</v>
      </c>
      <c r="X5" s="2">
        <f t="shared" si="4"/>
        <v>3.6102082974545451</v>
      </c>
      <c r="Y5" s="2">
        <f t="shared" si="4"/>
        <v>1.8051041487272725</v>
      </c>
      <c r="Z5" s="2">
        <f t="shared" si="4"/>
        <v>3.7907187123272728</v>
      </c>
      <c r="AA5" s="2">
        <f t="shared" si="4"/>
        <v>1.8953593561636364</v>
      </c>
      <c r="AB5" s="2">
        <f t="shared" si="4"/>
        <v>3.9802546479436369</v>
      </c>
      <c r="AC5" s="2">
        <f t="shared" si="4"/>
        <v>1.9901273239718185</v>
      </c>
      <c r="AD5" s="2">
        <f t="shared" si="4"/>
        <v>4.1792673803408187</v>
      </c>
      <c r="AE5" s="2">
        <f t="shared" si="4"/>
        <v>2.0896336901704093</v>
      </c>
      <c r="AF5" s="2">
        <f t="shared" si="4"/>
        <v>4.3882307493578603</v>
      </c>
      <c r="AG5" s="2">
        <f t="shared" si="4"/>
        <v>2.1941153746789301</v>
      </c>
    </row>
    <row r="6" spans="1:33">
      <c r="A6" t="str">
        <v>Asosa</v>
      </c>
      <c r="B6" s="2">
        <f t="shared" ref="B6:AG6" si="5">$S44/$S$58*B$18</f>
        <v>0.69699359298062902</v>
      </c>
      <c r="C6" s="2">
        <f t="shared" si="5"/>
        <v>0.34849679649031451</v>
      </c>
      <c r="D6" s="2">
        <f t="shared" si="5"/>
        <v>0.73184327262966054</v>
      </c>
      <c r="E6" s="2">
        <f t="shared" si="5"/>
        <v>0.36592163631483027</v>
      </c>
      <c r="F6" s="2">
        <f t="shared" si="5"/>
        <v>0.76843543626114363</v>
      </c>
      <c r="G6" s="2">
        <f t="shared" si="5"/>
        <v>0.38421771813057182</v>
      </c>
      <c r="H6" s="2">
        <f t="shared" si="5"/>
        <v>0.80685720807420092</v>
      </c>
      <c r="I6" s="2">
        <f t="shared" si="5"/>
        <v>0.40342860403710046</v>
      </c>
      <c r="J6" s="2">
        <f t="shared" si="5"/>
        <v>0.84720006847791096</v>
      </c>
      <c r="K6" s="2">
        <f t="shared" si="5"/>
        <v>0.42360003423895548</v>
      </c>
      <c r="L6" s="2">
        <f t="shared" si="5"/>
        <v>0.88956007190180642</v>
      </c>
      <c r="M6" s="2">
        <f t="shared" si="5"/>
        <v>0.44478003595090321</v>
      </c>
      <c r="N6" s="2">
        <f t="shared" si="5"/>
        <v>0.93403807549689688</v>
      </c>
      <c r="O6" s="2">
        <f t="shared" si="5"/>
        <v>0.46701903774844844</v>
      </c>
      <c r="P6" s="2">
        <f t="shared" si="5"/>
        <v>0.98073997927174184</v>
      </c>
      <c r="Q6" s="2">
        <f t="shared" si="5"/>
        <v>0.49036998963587092</v>
      </c>
      <c r="R6" s="2">
        <f t="shared" si="5"/>
        <v>1.0297769782353288</v>
      </c>
      <c r="S6" s="2">
        <f t="shared" si="5"/>
        <v>0.51488848911766438</v>
      </c>
      <c r="T6" s="2">
        <f t="shared" si="5"/>
        <v>1.0812658271470954</v>
      </c>
      <c r="U6" s="2">
        <f t="shared" si="5"/>
        <v>0.5406329135735477</v>
      </c>
      <c r="V6" s="2">
        <f t="shared" si="5"/>
        <v>1.1353291185044501</v>
      </c>
      <c r="W6" s="2">
        <f t="shared" si="5"/>
        <v>0.56766455925222503</v>
      </c>
      <c r="X6" s="2">
        <f t="shared" si="5"/>
        <v>1.1920955744296726</v>
      </c>
      <c r="Y6" s="2">
        <f t="shared" si="5"/>
        <v>0.59604778721483631</v>
      </c>
      <c r="Z6" s="2">
        <f t="shared" si="5"/>
        <v>1.2517003531511564</v>
      </c>
      <c r="AA6" s="2">
        <f t="shared" si="5"/>
        <v>0.62585017657557818</v>
      </c>
      <c r="AB6" s="2">
        <f t="shared" si="5"/>
        <v>1.3142853708087143</v>
      </c>
      <c r="AC6" s="2">
        <f t="shared" si="5"/>
        <v>0.65714268540435716</v>
      </c>
      <c r="AD6" s="2">
        <f t="shared" si="5"/>
        <v>1.3799996393491503</v>
      </c>
      <c r="AE6" s="2">
        <f t="shared" si="5"/>
        <v>0.68999981967457513</v>
      </c>
      <c r="AF6" s="2">
        <f t="shared" si="5"/>
        <v>1.4489996213166079</v>
      </c>
      <c r="AG6" s="2">
        <f t="shared" si="5"/>
        <v>0.72449981065830393</v>
      </c>
    </row>
    <row r="7" spans="1:33">
      <c r="A7" t="str">
        <v>DireDawa</v>
      </c>
      <c r="B7" s="2">
        <f t="shared" ref="B7:AG7" si="6">$S45/$S$58*B$18</f>
        <v>0.42839443920833853</v>
      </c>
      <c r="C7" s="2">
        <f t="shared" si="6"/>
        <v>0.21419721960416926</v>
      </c>
      <c r="D7" s="2">
        <f t="shared" si="6"/>
        <v>0.4498141611687555</v>
      </c>
      <c r="E7" s="2">
        <f t="shared" si="6"/>
        <v>0.22490708058437775</v>
      </c>
      <c r="F7" s="2">
        <f t="shared" si="6"/>
        <v>0.47230486922719328</v>
      </c>
      <c r="G7" s="2">
        <f t="shared" si="6"/>
        <v>0.23615243461359664</v>
      </c>
      <c r="H7" s="2">
        <f t="shared" si="6"/>
        <v>0.49592011268855296</v>
      </c>
      <c r="I7" s="2">
        <f t="shared" si="6"/>
        <v>0.24796005634427648</v>
      </c>
      <c r="J7" s="2">
        <f t="shared" si="6"/>
        <v>0.52071611832298059</v>
      </c>
      <c r="K7" s="2">
        <f t="shared" si="6"/>
        <v>0.2603580591614903</v>
      </c>
      <c r="L7" s="2">
        <f t="shared" si="6"/>
        <v>0.54675192423912966</v>
      </c>
      <c r="M7" s="2">
        <f t="shared" si="6"/>
        <v>0.27337596211956483</v>
      </c>
      <c r="N7" s="2">
        <f t="shared" si="6"/>
        <v>0.57408952045108619</v>
      </c>
      <c r="O7" s="2">
        <f t="shared" si="6"/>
        <v>0.28704476022554309</v>
      </c>
      <c r="P7" s="2">
        <f t="shared" si="6"/>
        <v>0.60279399647364051</v>
      </c>
      <c r="Q7" s="2">
        <f t="shared" si="6"/>
        <v>0.30139699823682026</v>
      </c>
      <c r="R7" s="2">
        <f t="shared" si="6"/>
        <v>0.63293369629732255</v>
      </c>
      <c r="S7" s="2">
        <f t="shared" si="6"/>
        <v>0.31646684814866127</v>
      </c>
      <c r="T7" s="2">
        <f t="shared" si="6"/>
        <v>0.66458038111218876</v>
      </c>
      <c r="U7" s="2">
        <f t="shared" si="6"/>
        <v>0.33229019055609438</v>
      </c>
      <c r="V7" s="2">
        <f t="shared" si="6"/>
        <v>0.69780940016779824</v>
      </c>
      <c r="W7" s="2">
        <f t="shared" si="6"/>
        <v>0.34890470008389912</v>
      </c>
      <c r="X7" s="2">
        <f t="shared" si="6"/>
        <v>0.73269987017618809</v>
      </c>
      <c r="Y7" s="2">
        <f t="shared" si="6"/>
        <v>0.36634993508809405</v>
      </c>
      <c r="Z7" s="2">
        <f t="shared" si="6"/>
        <v>0.76933486368499759</v>
      </c>
      <c r="AA7" s="2">
        <f t="shared" si="6"/>
        <v>0.3846674318424988</v>
      </c>
      <c r="AB7" s="2">
        <f t="shared" si="6"/>
        <v>0.80780160686924751</v>
      </c>
      <c r="AC7" s="2">
        <f t="shared" si="6"/>
        <v>0.40390080343462376</v>
      </c>
      <c r="AD7" s="2">
        <f t="shared" si="6"/>
        <v>0.84819168721270999</v>
      </c>
      <c r="AE7" s="2">
        <f t="shared" si="6"/>
        <v>0.42409584360635499</v>
      </c>
      <c r="AF7" s="2">
        <f t="shared" si="6"/>
        <v>0.89060127157334557</v>
      </c>
      <c r="AG7" s="2">
        <f t="shared" si="6"/>
        <v>0.44530063578667278</v>
      </c>
    </row>
    <row r="8" spans="1:33">
      <c r="A8" t="str">
        <v>Gambela</v>
      </c>
      <c r="B8" s="2">
        <f t="shared" ref="B8:AG8" si="7">$S46/$S$58*B$18</f>
        <v>1.2230096946466547</v>
      </c>
      <c r="C8" s="2">
        <f t="shared" si="7"/>
        <v>0.61150484732332733</v>
      </c>
      <c r="D8" s="2">
        <f t="shared" si="7"/>
        <v>1.2841601793789876</v>
      </c>
      <c r="E8" s="2">
        <f t="shared" si="7"/>
        <v>0.64208008968949382</v>
      </c>
      <c r="F8" s="2">
        <f t="shared" si="7"/>
        <v>1.348368188347937</v>
      </c>
      <c r="G8" s="2">
        <f t="shared" si="7"/>
        <v>0.67418409417396852</v>
      </c>
      <c r="H8" s="2">
        <f t="shared" si="7"/>
        <v>1.4157865977653339</v>
      </c>
      <c r="I8" s="2">
        <f t="shared" si="7"/>
        <v>0.70789329888266694</v>
      </c>
      <c r="J8" s="2">
        <f t="shared" si="7"/>
        <v>1.4865759276536008</v>
      </c>
      <c r="K8" s="2">
        <f t="shared" si="7"/>
        <v>0.7432879638268004</v>
      </c>
      <c r="L8" s="2">
        <f t="shared" si="7"/>
        <v>1.5609047240362808</v>
      </c>
      <c r="M8" s="2">
        <f t="shared" si="7"/>
        <v>0.78045236201814039</v>
      </c>
      <c r="N8" s="2">
        <f t="shared" si="7"/>
        <v>1.6389499602380948</v>
      </c>
      <c r="O8" s="2">
        <f t="shared" si="7"/>
        <v>0.8194749801190474</v>
      </c>
      <c r="P8" s="2">
        <f t="shared" si="7"/>
        <v>1.7208974582499998</v>
      </c>
      <c r="Q8" s="2">
        <f t="shared" si="7"/>
        <v>0.86044872912499992</v>
      </c>
      <c r="R8" s="2">
        <f t="shared" si="7"/>
        <v>1.8069423311624997</v>
      </c>
      <c r="S8" s="2">
        <f t="shared" si="7"/>
        <v>0.90347116558124985</v>
      </c>
      <c r="T8" s="2">
        <f t="shared" si="7"/>
        <v>1.8972894477206248</v>
      </c>
      <c r="U8" s="2">
        <f t="shared" si="7"/>
        <v>0.9486447238603124</v>
      </c>
      <c r="V8" s="2">
        <f t="shared" si="7"/>
        <v>1.992153920106656</v>
      </c>
      <c r="W8" s="2">
        <f t="shared" si="7"/>
        <v>0.99607696005332802</v>
      </c>
      <c r="X8" s="2">
        <f t="shared" si="7"/>
        <v>2.091761616111989</v>
      </c>
      <c r="Y8" s="2">
        <f t="shared" si="7"/>
        <v>1.0458808080559945</v>
      </c>
      <c r="Z8" s="2">
        <f t="shared" si="7"/>
        <v>2.1963496969175886</v>
      </c>
      <c r="AA8" s="2">
        <f t="shared" si="7"/>
        <v>1.0981748484587943</v>
      </c>
      <c r="AB8" s="2">
        <f t="shared" si="7"/>
        <v>2.3061671817634681</v>
      </c>
      <c r="AC8" s="2">
        <f t="shared" si="7"/>
        <v>1.1530835908817341</v>
      </c>
      <c r="AD8" s="2">
        <f t="shared" si="7"/>
        <v>2.4214755408516417</v>
      </c>
      <c r="AE8" s="2">
        <f t="shared" si="7"/>
        <v>1.2107377704258209</v>
      </c>
      <c r="AF8" s="2">
        <f t="shared" si="7"/>
        <v>2.542549317894224</v>
      </c>
      <c r="AG8" s="2">
        <f t="shared" si="7"/>
        <v>1.271274658947112</v>
      </c>
    </row>
    <row r="9" spans="1:33">
      <c r="A9" t="str">
        <v>Harar</v>
      </c>
      <c r="B9" s="2">
        <f t="shared" ref="B9:AG9" si="8">$S47/$S$58*B$18</f>
        <v>0.35349513950038475</v>
      </c>
      <c r="C9" s="2">
        <f t="shared" si="8"/>
        <v>0.17674756975019237</v>
      </c>
      <c r="D9" s="2">
        <f t="shared" si="8"/>
        <v>0.37116989647540399</v>
      </c>
      <c r="E9" s="2">
        <f t="shared" si="8"/>
        <v>0.185584948237702</v>
      </c>
      <c r="F9" s="2">
        <f t="shared" si="8"/>
        <v>0.38972839129917419</v>
      </c>
      <c r="G9" s="2">
        <f t="shared" si="8"/>
        <v>0.1948641956495871</v>
      </c>
      <c r="H9" s="2">
        <f t="shared" si="8"/>
        <v>0.40921481086413297</v>
      </c>
      <c r="I9" s="2">
        <f t="shared" si="8"/>
        <v>0.20460740543206649</v>
      </c>
      <c r="J9" s="2">
        <f t="shared" si="8"/>
        <v>0.4296755514073396</v>
      </c>
      <c r="K9" s="2">
        <f t="shared" si="8"/>
        <v>0.2148377757036698</v>
      </c>
      <c r="L9" s="2">
        <f t="shared" si="8"/>
        <v>0.45115932897770655</v>
      </c>
      <c r="M9" s="2">
        <f t="shared" si="8"/>
        <v>0.22557966448885328</v>
      </c>
      <c r="N9" s="2">
        <f t="shared" si="8"/>
        <v>0.47371729542659197</v>
      </c>
      <c r="O9" s="2">
        <f t="shared" si="8"/>
        <v>0.23685864771329598</v>
      </c>
      <c r="P9" s="2">
        <f t="shared" si="8"/>
        <v>0.49740316019792158</v>
      </c>
      <c r="Q9" s="2">
        <f t="shared" si="8"/>
        <v>0.24870158009896079</v>
      </c>
      <c r="R9" s="2">
        <f t="shared" si="8"/>
        <v>0.52227331820781764</v>
      </c>
      <c r="S9" s="2">
        <f t="shared" si="8"/>
        <v>0.26113665910390882</v>
      </c>
      <c r="T9" s="2">
        <f t="shared" si="8"/>
        <v>0.54838698411820863</v>
      </c>
      <c r="U9" s="2">
        <f t="shared" si="8"/>
        <v>0.27419349205910432</v>
      </c>
      <c r="V9" s="2">
        <f t="shared" si="8"/>
        <v>0.57580633332411901</v>
      </c>
      <c r="W9" s="2">
        <f t="shared" si="8"/>
        <v>0.28790316666205951</v>
      </c>
      <c r="X9" s="2">
        <f t="shared" si="8"/>
        <v>0.60459664999032503</v>
      </c>
      <c r="Y9" s="2">
        <f t="shared" si="8"/>
        <v>0.30229832499516252</v>
      </c>
      <c r="Z9" s="2">
        <f t="shared" si="8"/>
        <v>0.6348264824898413</v>
      </c>
      <c r="AA9" s="2">
        <f t="shared" si="8"/>
        <v>0.31741324124492065</v>
      </c>
      <c r="AB9" s="2">
        <f t="shared" si="8"/>
        <v>0.66656780661433346</v>
      </c>
      <c r="AC9" s="2">
        <f t="shared" si="8"/>
        <v>0.33328390330716673</v>
      </c>
      <c r="AD9" s="2">
        <f t="shared" si="8"/>
        <v>0.69989619694505012</v>
      </c>
      <c r="AE9" s="2">
        <f t="shared" si="8"/>
        <v>0.34994809847252506</v>
      </c>
      <c r="AF9" s="2">
        <f t="shared" si="8"/>
        <v>0.73489100679230268</v>
      </c>
      <c r="AG9" s="2">
        <f t="shared" si="8"/>
        <v>0.36744550339615134</v>
      </c>
    </row>
    <row r="10" spans="1:33">
      <c r="A10" t="str">
        <v>Jijiga</v>
      </c>
      <c r="B10" s="2">
        <f t="shared" ref="B10:AG10" si="9">$S48/$S$58*B$18</f>
        <v>0.23152977012908113</v>
      </c>
      <c r="C10" s="2">
        <f t="shared" si="9"/>
        <v>0.11576488506454057</v>
      </c>
      <c r="D10" s="2">
        <f t="shared" si="9"/>
        <v>0.2431062586355352</v>
      </c>
      <c r="E10" s="2">
        <f t="shared" si="9"/>
        <v>0.1215531293177676</v>
      </c>
      <c r="F10" s="2">
        <f t="shared" si="9"/>
        <v>0.25526157156731194</v>
      </c>
      <c r="G10" s="2">
        <f t="shared" si="9"/>
        <v>0.12763078578365597</v>
      </c>
      <c r="H10" s="2">
        <f t="shared" si="9"/>
        <v>0.26802465014567761</v>
      </c>
      <c r="I10" s="2">
        <f t="shared" si="9"/>
        <v>0.13401232507283881</v>
      </c>
      <c r="J10" s="2">
        <f t="shared" si="9"/>
        <v>0.28142588265296148</v>
      </c>
      <c r="K10" s="2">
        <f t="shared" si="9"/>
        <v>0.14071294132648074</v>
      </c>
      <c r="L10" s="2">
        <f t="shared" si="9"/>
        <v>0.29549717678560955</v>
      </c>
      <c r="M10" s="2">
        <f t="shared" si="9"/>
        <v>0.14774858839280477</v>
      </c>
      <c r="N10" s="2">
        <f t="shared" si="9"/>
        <v>0.31027203562489003</v>
      </c>
      <c r="O10" s="2">
        <f t="shared" si="9"/>
        <v>0.15513601781244502</v>
      </c>
      <c r="P10" s="2">
        <f t="shared" si="9"/>
        <v>0.32578563740613459</v>
      </c>
      <c r="Q10" s="2">
        <f t="shared" si="9"/>
        <v>0.16289281870306729</v>
      </c>
      <c r="R10" s="2">
        <f t="shared" si="9"/>
        <v>0.34207491927644129</v>
      </c>
      <c r="S10" s="2">
        <f t="shared" si="9"/>
        <v>0.17103745963822065</v>
      </c>
      <c r="T10" s="2">
        <f t="shared" si="9"/>
        <v>0.35917866524026337</v>
      </c>
      <c r="U10" s="2">
        <f t="shared" si="9"/>
        <v>0.17958933262013169</v>
      </c>
      <c r="V10" s="2">
        <f t="shared" si="9"/>
        <v>0.37713759850227657</v>
      </c>
      <c r="W10" s="2">
        <f t="shared" si="9"/>
        <v>0.18856879925113829</v>
      </c>
      <c r="X10" s="2">
        <f t="shared" si="9"/>
        <v>0.39599447842739038</v>
      </c>
      <c r="Y10" s="2">
        <f t="shared" si="9"/>
        <v>0.19799723921369519</v>
      </c>
      <c r="Z10" s="2">
        <f t="shared" si="9"/>
        <v>0.41579420234875997</v>
      </c>
      <c r="AA10" s="2">
        <f t="shared" si="9"/>
        <v>0.20789710117437998</v>
      </c>
      <c r="AB10" s="2">
        <f t="shared" si="9"/>
        <v>0.43658391246619799</v>
      </c>
      <c r="AC10" s="2">
        <f t="shared" si="9"/>
        <v>0.21829195623309899</v>
      </c>
      <c r="AD10" s="2">
        <f t="shared" si="9"/>
        <v>0.45841310808950791</v>
      </c>
      <c r="AE10" s="2">
        <f t="shared" si="9"/>
        <v>0.22920655404475396</v>
      </c>
      <c r="AF10" s="2">
        <f t="shared" si="9"/>
        <v>0.48133376349398338</v>
      </c>
      <c r="AG10" s="2">
        <f t="shared" si="9"/>
        <v>0.24066688174699169</v>
      </c>
    </row>
    <row r="11" spans="1:33">
      <c r="A11" t="str">
        <v>Awasa</v>
      </c>
      <c r="B11" s="2">
        <f t="shared" ref="B11:AG11" si="10">$S49/$S$58*B$18</f>
        <v>2.362692300163983</v>
      </c>
      <c r="C11" s="2">
        <f t="shared" si="10"/>
        <v>1.1813461500819915</v>
      </c>
      <c r="D11" s="2">
        <f t="shared" si="10"/>
        <v>2.4808269151721825</v>
      </c>
      <c r="E11" s="2">
        <f t="shared" si="10"/>
        <v>1.2404134575860912</v>
      </c>
      <c r="F11" s="2">
        <f t="shared" si="10"/>
        <v>2.6048682609307918</v>
      </c>
      <c r="G11" s="2">
        <f t="shared" si="10"/>
        <v>1.3024341304653959</v>
      </c>
      <c r="H11" s="2">
        <f t="shared" si="10"/>
        <v>2.7351116739773316</v>
      </c>
      <c r="I11" s="2">
        <f t="shared" si="10"/>
        <v>1.3675558369886658</v>
      </c>
      <c r="J11" s="2">
        <f t="shared" si="10"/>
        <v>2.8718672576761981</v>
      </c>
      <c r="K11" s="2">
        <f t="shared" si="10"/>
        <v>1.4359336288380991</v>
      </c>
      <c r="L11" s="2">
        <f t="shared" si="10"/>
        <v>3.0154606205600079</v>
      </c>
      <c r="M11" s="2">
        <f t="shared" si="10"/>
        <v>1.5077303102800039</v>
      </c>
      <c r="N11" s="2">
        <f t="shared" si="10"/>
        <v>3.1662336515880085</v>
      </c>
      <c r="O11" s="2">
        <f t="shared" si="10"/>
        <v>1.5831168257940043</v>
      </c>
      <c r="P11" s="2">
        <f t="shared" si="10"/>
        <v>3.3245453341674094</v>
      </c>
      <c r="Q11" s="2">
        <f t="shared" si="10"/>
        <v>1.6622726670837047</v>
      </c>
      <c r="R11" s="2">
        <f t="shared" si="10"/>
        <v>3.49077260087578</v>
      </c>
      <c r="S11" s="2">
        <f t="shared" si="10"/>
        <v>1.74538630043789</v>
      </c>
      <c r="T11" s="2">
        <f t="shared" si="10"/>
        <v>3.6653112309195692</v>
      </c>
      <c r="U11" s="2">
        <f t="shared" si="10"/>
        <v>1.8326556154597846</v>
      </c>
      <c r="V11" s="2">
        <f t="shared" si="10"/>
        <v>3.8485767924655474</v>
      </c>
      <c r="W11" s="2">
        <f t="shared" si="10"/>
        <v>1.9242883962327737</v>
      </c>
      <c r="X11" s="2">
        <f t="shared" si="10"/>
        <v>4.041005632088825</v>
      </c>
      <c r="Y11" s="2">
        <f t="shared" si="10"/>
        <v>2.0205028160444125</v>
      </c>
      <c r="Z11" s="2">
        <f t="shared" si="10"/>
        <v>4.2430559136932668</v>
      </c>
      <c r="AA11" s="2">
        <f t="shared" si="10"/>
        <v>2.1215279568466334</v>
      </c>
      <c r="AB11" s="2">
        <f t="shared" si="10"/>
        <v>4.4552087093779305</v>
      </c>
      <c r="AC11" s="2">
        <f t="shared" si="10"/>
        <v>2.2276043546889652</v>
      </c>
      <c r="AD11" s="2">
        <f t="shared" si="10"/>
        <v>4.677969144846827</v>
      </c>
      <c r="AE11" s="2">
        <f t="shared" si="10"/>
        <v>2.3389845724234135</v>
      </c>
      <c r="AF11" s="2">
        <f t="shared" si="10"/>
        <v>4.9118676020891687</v>
      </c>
      <c r="AG11" s="2">
        <f t="shared" si="10"/>
        <v>2.4559338010445844</v>
      </c>
    </row>
    <row r="12" spans="1:33">
      <c r="A12" t="str">
        <v>Mekelle</v>
      </c>
      <c r="B12" s="2">
        <f t="shared" ref="B12:AG12" si="11">$S50/$S$58*B$18</f>
        <v>1.1813123810742872</v>
      </c>
      <c r="C12" s="2">
        <f t="shared" si="11"/>
        <v>0.59065619053714358</v>
      </c>
      <c r="D12" s="2">
        <f t="shared" si="11"/>
        <v>1.2403780001280016</v>
      </c>
      <c r="E12" s="2">
        <f t="shared" si="11"/>
        <v>0.62018900006400079</v>
      </c>
      <c r="F12" s="2">
        <f t="shared" si="11"/>
        <v>1.3023969001344018</v>
      </c>
      <c r="G12" s="2">
        <f t="shared" si="11"/>
        <v>0.6511984500672009</v>
      </c>
      <c r="H12" s="2">
        <f t="shared" si="11"/>
        <v>1.3675167451411221</v>
      </c>
      <c r="I12" s="2">
        <f t="shared" si="11"/>
        <v>0.68375837257056105</v>
      </c>
      <c r="J12" s="2">
        <f t="shared" si="11"/>
        <v>1.4358925823981781</v>
      </c>
      <c r="K12" s="2">
        <f t="shared" si="11"/>
        <v>0.71794629119908904</v>
      </c>
      <c r="L12" s="2">
        <f t="shared" si="11"/>
        <v>1.507687211518087</v>
      </c>
      <c r="M12" s="2">
        <f t="shared" si="11"/>
        <v>0.75384360575904352</v>
      </c>
      <c r="N12" s="2">
        <f t="shared" si="11"/>
        <v>1.5830715720939914</v>
      </c>
      <c r="O12" s="2">
        <f t="shared" si="11"/>
        <v>0.7915357860469957</v>
      </c>
      <c r="P12" s="2">
        <f t="shared" si="11"/>
        <v>1.6622251506986911</v>
      </c>
      <c r="Q12" s="2">
        <f t="shared" si="11"/>
        <v>0.83111257534934557</v>
      </c>
      <c r="R12" s="2">
        <f t="shared" si="11"/>
        <v>1.7453364082336258</v>
      </c>
      <c r="S12" s="2">
        <f t="shared" si="11"/>
        <v>0.8726682041168129</v>
      </c>
      <c r="T12" s="2">
        <f t="shared" si="11"/>
        <v>1.8326032286453071</v>
      </c>
      <c r="U12" s="2">
        <f t="shared" si="11"/>
        <v>0.91630161432265356</v>
      </c>
      <c r="V12" s="2">
        <f t="shared" si="11"/>
        <v>1.9242333900775725</v>
      </c>
      <c r="W12" s="2">
        <f t="shared" si="11"/>
        <v>0.96211669503878627</v>
      </c>
      <c r="X12" s="2">
        <f t="shared" si="11"/>
        <v>2.0204450595814514</v>
      </c>
      <c r="Y12" s="2">
        <f t="shared" si="11"/>
        <v>1.0102225297907257</v>
      </c>
      <c r="Z12" s="2">
        <f t="shared" si="11"/>
        <v>2.1214673125605241</v>
      </c>
      <c r="AA12" s="2">
        <f t="shared" si="11"/>
        <v>1.0607336562802621</v>
      </c>
      <c r="AB12" s="2">
        <f t="shared" si="11"/>
        <v>2.2275406781885505</v>
      </c>
      <c r="AC12" s="2">
        <f t="shared" si="11"/>
        <v>1.1137703390942753</v>
      </c>
      <c r="AD12" s="2">
        <f t="shared" si="11"/>
        <v>2.3389177120979778</v>
      </c>
      <c r="AE12" s="2">
        <f t="shared" si="11"/>
        <v>1.1694588560489889</v>
      </c>
      <c r="AF12" s="2">
        <f t="shared" si="11"/>
        <v>2.4558635977028773</v>
      </c>
      <c r="AG12" s="2">
        <f t="shared" si="11"/>
        <v>1.2279317988514387</v>
      </c>
    </row>
    <row r="13" spans="1:33">
      <c r="A13" t="str">
        <v>Gondar</v>
      </c>
      <c r="B13" s="2">
        <f t="shared" ref="B13:AG13" si="12">$S51/$S$58*B$18</f>
        <v>1.0267519711885538</v>
      </c>
      <c r="C13" s="2">
        <f t="shared" si="12"/>
        <v>0.51337598559427688</v>
      </c>
      <c r="D13" s="2">
        <f t="shared" si="12"/>
        <v>1.0780895697479818</v>
      </c>
      <c r="E13" s="2">
        <f t="shared" si="12"/>
        <v>0.53904478487399088</v>
      </c>
      <c r="F13" s="2">
        <f t="shared" si="12"/>
        <v>1.1319940482353807</v>
      </c>
      <c r="G13" s="2">
        <f t="shared" si="12"/>
        <v>0.56599702411769037</v>
      </c>
      <c r="H13" s="2">
        <f t="shared" si="12"/>
        <v>1.1885937506471498</v>
      </c>
      <c r="I13" s="2">
        <f t="shared" si="12"/>
        <v>0.59429687532357489</v>
      </c>
      <c r="J13" s="2">
        <f t="shared" si="12"/>
        <v>1.2480234381795074</v>
      </c>
      <c r="K13" s="2">
        <f t="shared" si="12"/>
        <v>0.62401171908975372</v>
      </c>
      <c r="L13" s="2">
        <f t="shared" si="12"/>
        <v>1.3104246100884827</v>
      </c>
      <c r="M13" s="2">
        <f t="shared" si="12"/>
        <v>0.65521230504424133</v>
      </c>
      <c r="N13" s="2">
        <f t="shared" si="12"/>
        <v>1.375945840592907</v>
      </c>
      <c r="O13" s="2">
        <f t="shared" si="12"/>
        <v>0.68797292029645352</v>
      </c>
      <c r="P13" s="2">
        <f t="shared" si="12"/>
        <v>1.4447431326225524</v>
      </c>
      <c r="Q13" s="2">
        <f t="shared" si="12"/>
        <v>0.72237156631127619</v>
      </c>
      <c r="R13" s="2">
        <f t="shared" si="12"/>
        <v>1.5169802892536801</v>
      </c>
      <c r="S13" s="2">
        <f t="shared" si="12"/>
        <v>0.75849014462684006</v>
      </c>
      <c r="T13" s="2">
        <f t="shared" si="12"/>
        <v>1.5928293037163641</v>
      </c>
      <c r="U13" s="2">
        <f t="shared" si="12"/>
        <v>0.79641465185818205</v>
      </c>
      <c r="V13" s="2">
        <f t="shared" si="12"/>
        <v>1.6724707689021825</v>
      </c>
      <c r="W13" s="2">
        <f t="shared" si="12"/>
        <v>0.83623538445109125</v>
      </c>
      <c r="X13" s="2">
        <f t="shared" si="12"/>
        <v>1.7560943073472917</v>
      </c>
      <c r="Y13" s="2">
        <f t="shared" si="12"/>
        <v>0.87804715367364583</v>
      </c>
      <c r="Z13" s="2">
        <f t="shared" si="12"/>
        <v>1.8438990227146563</v>
      </c>
      <c r="AA13" s="2">
        <f t="shared" si="12"/>
        <v>0.92194951135732817</v>
      </c>
      <c r="AB13" s="2">
        <f t="shared" si="12"/>
        <v>1.9360939738503893</v>
      </c>
      <c r="AC13" s="2">
        <f t="shared" si="12"/>
        <v>0.96804698692519464</v>
      </c>
      <c r="AD13" s="2">
        <f t="shared" si="12"/>
        <v>2.0328986725429088</v>
      </c>
      <c r="AE13" s="2">
        <f t="shared" si="12"/>
        <v>1.0164493362714544</v>
      </c>
      <c r="AF13" s="2">
        <f t="shared" si="12"/>
        <v>2.1345436061700545</v>
      </c>
      <c r="AG13" s="2">
        <f t="shared" si="12"/>
        <v>1.0672718030850272</v>
      </c>
    </row>
    <row r="14" spans="1:33">
      <c r="A14" t="str">
        <v>Jimma</v>
      </c>
      <c r="B14" s="2">
        <f t="shared" ref="B14:AG14" si="13">$S52/$S$58*B$18</f>
        <v>2.3996152764240906</v>
      </c>
      <c r="C14" s="2">
        <f t="shared" si="13"/>
        <v>1.1998076382120453</v>
      </c>
      <c r="D14" s="2">
        <f t="shared" si="13"/>
        <v>2.5195960402452955</v>
      </c>
      <c r="E14" s="2">
        <f t="shared" si="13"/>
        <v>1.2597980201226477</v>
      </c>
      <c r="F14" s="2">
        <f t="shared" si="13"/>
        <v>2.6455758422575602</v>
      </c>
      <c r="G14" s="2">
        <f t="shared" si="13"/>
        <v>1.3227879211287801</v>
      </c>
      <c r="H14" s="2">
        <f t="shared" si="13"/>
        <v>2.7778546343704384</v>
      </c>
      <c r="I14" s="2">
        <f t="shared" si="13"/>
        <v>1.3889273171852192</v>
      </c>
      <c r="J14" s="2">
        <f t="shared" si="13"/>
        <v>2.9167473660889605</v>
      </c>
      <c r="K14" s="2">
        <f t="shared" si="13"/>
        <v>1.4583736830444802</v>
      </c>
      <c r="L14" s="2">
        <f t="shared" si="13"/>
        <v>3.0625847343934085</v>
      </c>
      <c r="M14" s="2">
        <f t="shared" si="13"/>
        <v>1.5312923671967043</v>
      </c>
      <c r="N14" s="2">
        <f t="shared" si="13"/>
        <v>3.2157139711130789</v>
      </c>
      <c r="O14" s="2">
        <f t="shared" si="13"/>
        <v>1.6078569855565394</v>
      </c>
      <c r="P14" s="2">
        <f t="shared" si="13"/>
        <v>3.3764996696687333</v>
      </c>
      <c r="Q14" s="2">
        <f t="shared" si="13"/>
        <v>1.6882498348343666</v>
      </c>
      <c r="R14" s="2">
        <f t="shared" si="13"/>
        <v>3.54532465315217</v>
      </c>
      <c r="S14" s="2">
        <f t="shared" si="13"/>
        <v>1.772662326576085</v>
      </c>
      <c r="T14" s="2">
        <f t="shared" si="13"/>
        <v>3.7225908858097787</v>
      </c>
      <c r="U14" s="2">
        <f t="shared" si="13"/>
        <v>1.8612954429048894</v>
      </c>
      <c r="V14" s="2">
        <f t="shared" si="13"/>
        <v>3.9087204301002676</v>
      </c>
      <c r="W14" s="2">
        <f t="shared" si="13"/>
        <v>1.9543602150501338</v>
      </c>
      <c r="X14" s="2">
        <f t="shared" si="13"/>
        <v>4.1041564516052809</v>
      </c>
      <c r="Y14" s="2">
        <f t="shared" si="13"/>
        <v>2.0520782258026404</v>
      </c>
      <c r="Z14" s="2">
        <f t="shared" si="13"/>
        <v>4.3093642741855458</v>
      </c>
      <c r="AA14" s="2">
        <f t="shared" si="13"/>
        <v>2.1546821370927729</v>
      </c>
      <c r="AB14" s="2">
        <f t="shared" si="13"/>
        <v>4.5248324878948232</v>
      </c>
      <c r="AC14" s="2">
        <f t="shared" si="13"/>
        <v>2.2624162439474116</v>
      </c>
      <c r="AD14" s="2">
        <f t="shared" si="13"/>
        <v>4.7510741122895643</v>
      </c>
      <c r="AE14" s="2">
        <f t="shared" si="13"/>
        <v>2.3755370561447822</v>
      </c>
      <c r="AF14" s="2">
        <f t="shared" si="13"/>
        <v>4.9886278179040433</v>
      </c>
      <c r="AG14" s="2">
        <f t="shared" si="13"/>
        <v>2.4943139089520217</v>
      </c>
    </row>
    <row r="15" spans="1:33">
      <c r="A15" t="str">
        <v>Werder</v>
      </c>
      <c r="B15" s="2">
        <f t="shared" ref="B15:AG15" si="14">$S53/$S$58*B$18</f>
        <v>0.49853792100401578</v>
      </c>
      <c r="C15" s="2">
        <f t="shared" si="14"/>
        <v>0.24926896050200789</v>
      </c>
      <c r="D15" s="2">
        <f t="shared" si="14"/>
        <v>0.52346481705421666</v>
      </c>
      <c r="E15" s="2">
        <f t="shared" si="14"/>
        <v>0.26173240852710833</v>
      </c>
      <c r="F15" s="2">
        <f t="shared" si="14"/>
        <v>0.54963805790692744</v>
      </c>
      <c r="G15" s="2">
        <f t="shared" si="14"/>
        <v>0.27481902895346372</v>
      </c>
      <c r="H15" s="2">
        <f t="shared" si="14"/>
        <v>0.5771199608022739</v>
      </c>
      <c r="I15" s="2">
        <f t="shared" si="14"/>
        <v>0.28855998040113695</v>
      </c>
      <c r="J15" s="2">
        <f t="shared" si="14"/>
        <v>0.60597595884238764</v>
      </c>
      <c r="K15" s="2">
        <f t="shared" si="14"/>
        <v>0.30298797942119382</v>
      </c>
      <c r="L15" s="2">
        <f t="shared" si="14"/>
        <v>0.63627475678450696</v>
      </c>
      <c r="M15" s="2">
        <f t="shared" si="14"/>
        <v>0.31813737839225348</v>
      </c>
      <c r="N15" s="2">
        <f t="shared" si="14"/>
        <v>0.66808849462373232</v>
      </c>
      <c r="O15" s="2">
        <f t="shared" si="14"/>
        <v>0.33404424731186616</v>
      </c>
      <c r="P15" s="2">
        <f t="shared" si="14"/>
        <v>0.70149291935491909</v>
      </c>
      <c r="Q15" s="2">
        <f t="shared" si="14"/>
        <v>0.35074645967745954</v>
      </c>
      <c r="R15" s="2">
        <f t="shared" si="14"/>
        <v>0.73656756532266499</v>
      </c>
      <c r="S15" s="2">
        <f t="shared" si="14"/>
        <v>0.36828378266133249</v>
      </c>
      <c r="T15" s="2">
        <f t="shared" si="14"/>
        <v>0.77339594358879826</v>
      </c>
      <c r="U15" s="2">
        <f t="shared" si="14"/>
        <v>0.38669797179439913</v>
      </c>
      <c r="V15" s="2">
        <f t="shared" si="14"/>
        <v>0.81206574076823823</v>
      </c>
      <c r="W15" s="2">
        <f t="shared" si="14"/>
        <v>0.40603287038411912</v>
      </c>
      <c r="X15" s="2">
        <f t="shared" si="14"/>
        <v>0.8526690278066501</v>
      </c>
      <c r="Y15" s="2">
        <f t="shared" si="14"/>
        <v>0.42633451390332505</v>
      </c>
      <c r="Z15" s="2">
        <f t="shared" si="14"/>
        <v>0.89530247919698269</v>
      </c>
      <c r="AA15" s="2">
        <f t="shared" si="14"/>
        <v>0.44765123959849135</v>
      </c>
      <c r="AB15" s="2">
        <f t="shared" si="14"/>
        <v>0.94006760315683202</v>
      </c>
      <c r="AC15" s="2">
        <f t="shared" si="14"/>
        <v>0.47003380157841601</v>
      </c>
      <c r="AD15" s="2">
        <f t="shared" si="14"/>
        <v>0.98707098331467358</v>
      </c>
      <c r="AE15" s="2">
        <f t="shared" si="14"/>
        <v>0.49353549165733679</v>
      </c>
      <c r="AF15" s="2">
        <f t="shared" si="14"/>
        <v>1.0364245324804073</v>
      </c>
      <c r="AG15" s="2">
        <f t="shared" si="14"/>
        <v>0.51821226624020367</v>
      </c>
    </row>
    <row r="16" spans="1:33">
      <c r="A16" t="str">
        <v>Goba</v>
      </c>
      <c r="B16" s="2">
        <f t="shared" ref="B16:AG16" si="15">$S54/$S$58*B$18</f>
        <v>2.0036130196086601</v>
      </c>
      <c r="C16" s="2">
        <f t="shared" si="15"/>
        <v>1.0018065098043301</v>
      </c>
      <c r="D16" s="2">
        <f t="shared" si="15"/>
        <v>2.1037936705890936</v>
      </c>
      <c r="E16" s="2">
        <f t="shared" si="15"/>
        <v>1.0518968352945468</v>
      </c>
      <c r="F16" s="2">
        <f t="shared" si="15"/>
        <v>2.2089833541185482</v>
      </c>
      <c r="G16" s="2">
        <f t="shared" si="15"/>
        <v>1.1044916770592741</v>
      </c>
      <c r="H16" s="2">
        <f t="shared" si="15"/>
        <v>2.3194325218244756</v>
      </c>
      <c r="I16" s="2">
        <f t="shared" si="15"/>
        <v>1.1597162609122378</v>
      </c>
      <c r="J16" s="2">
        <f t="shared" si="15"/>
        <v>2.4354041479156994</v>
      </c>
      <c r="K16" s="2">
        <f t="shared" si="15"/>
        <v>1.2177020739578497</v>
      </c>
      <c r="L16" s="2">
        <f t="shared" si="15"/>
        <v>2.5571743553114845</v>
      </c>
      <c r="M16" s="2">
        <f t="shared" si="15"/>
        <v>1.2785871776557423</v>
      </c>
      <c r="N16" s="2">
        <f t="shared" si="15"/>
        <v>2.6850330730770589</v>
      </c>
      <c r="O16" s="2">
        <f t="shared" si="15"/>
        <v>1.3425165365385294</v>
      </c>
      <c r="P16" s="2">
        <f t="shared" si="15"/>
        <v>2.819284726730912</v>
      </c>
      <c r="Q16" s="2">
        <f t="shared" si="15"/>
        <v>1.409642363365456</v>
      </c>
      <c r="R16" s="2">
        <f t="shared" si="15"/>
        <v>2.9602489630674578</v>
      </c>
      <c r="S16" s="2">
        <f t="shared" si="15"/>
        <v>1.4801244815337289</v>
      </c>
      <c r="T16" s="2">
        <f t="shared" si="15"/>
        <v>3.1082614112208309</v>
      </c>
      <c r="U16" s="2">
        <f t="shared" si="15"/>
        <v>1.5541307056104154</v>
      </c>
      <c r="V16" s="2">
        <f t="shared" si="15"/>
        <v>3.2636744817818726</v>
      </c>
      <c r="W16" s="2">
        <f t="shared" si="15"/>
        <v>1.6318372408909363</v>
      </c>
      <c r="X16" s="2">
        <f t="shared" si="15"/>
        <v>3.4268582058709662</v>
      </c>
      <c r="Y16" s="2">
        <f t="shared" si="15"/>
        <v>1.7134291029354831</v>
      </c>
      <c r="Z16" s="2">
        <f t="shared" si="15"/>
        <v>3.5982011161645149</v>
      </c>
      <c r="AA16" s="2">
        <f t="shared" si="15"/>
        <v>1.7991005580822574</v>
      </c>
      <c r="AB16" s="2">
        <f t="shared" si="15"/>
        <v>3.7781111719727409</v>
      </c>
      <c r="AC16" s="2">
        <f t="shared" si="15"/>
        <v>1.8890555859863705</v>
      </c>
      <c r="AD16" s="2">
        <f t="shared" si="15"/>
        <v>3.9670167305713782</v>
      </c>
      <c r="AE16" s="2">
        <f t="shared" si="15"/>
        <v>1.9835083652856891</v>
      </c>
      <c r="AF16" s="2">
        <f t="shared" si="15"/>
        <v>4.1653675670999473</v>
      </c>
      <c r="AG16" s="2">
        <f t="shared" si="15"/>
        <v>2.0826837835499736</v>
      </c>
    </row>
    <row r="17" spans="1:33">
      <c r="A17" t="str">
        <v>External</v>
      </c>
      <c r="B17" s="2">
        <f t="shared" ref="B17:AG17" si="16">$S55/$S$58*B$18</f>
        <v>0</v>
      </c>
      <c r="C17" s="2">
        <f t="shared" si="16"/>
        <v>0</v>
      </c>
      <c r="D17" s="2">
        <f t="shared" si="16"/>
        <v>0</v>
      </c>
      <c r="E17" s="2">
        <f t="shared" si="16"/>
        <v>0</v>
      </c>
      <c r="F17" s="2">
        <f t="shared" si="16"/>
        <v>0</v>
      </c>
      <c r="G17" s="2">
        <f t="shared" si="16"/>
        <v>0</v>
      </c>
      <c r="H17" s="2">
        <f t="shared" si="16"/>
        <v>0</v>
      </c>
      <c r="I17" s="2">
        <f t="shared" si="16"/>
        <v>0</v>
      </c>
      <c r="J17" s="2">
        <f t="shared" si="16"/>
        <v>0</v>
      </c>
      <c r="K17" s="2">
        <f t="shared" si="16"/>
        <v>0</v>
      </c>
      <c r="L17" s="2">
        <f t="shared" si="16"/>
        <v>0</v>
      </c>
      <c r="M17" s="2">
        <f t="shared" si="16"/>
        <v>0</v>
      </c>
      <c r="N17" s="2">
        <f t="shared" si="16"/>
        <v>0</v>
      </c>
      <c r="O17" s="2">
        <f t="shared" si="16"/>
        <v>0</v>
      </c>
      <c r="P17" s="2">
        <f t="shared" si="16"/>
        <v>0</v>
      </c>
      <c r="Q17" s="2">
        <f t="shared" si="16"/>
        <v>0</v>
      </c>
      <c r="R17" s="2">
        <f t="shared" si="16"/>
        <v>0</v>
      </c>
      <c r="S17" s="2">
        <f t="shared" si="16"/>
        <v>0</v>
      </c>
      <c r="T17" s="2">
        <f t="shared" si="16"/>
        <v>0</v>
      </c>
      <c r="U17" s="2">
        <f t="shared" si="16"/>
        <v>0</v>
      </c>
      <c r="V17" s="2">
        <f t="shared" si="16"/>
        <v>0</v>
      </c>
      <c r="W17" s="2">
        <f t="shared" si="16"/>
        <v>0</v>
      </c>
      <c r="X17" s="2">
        <f t="shared" si="16"/>
        <v>0</v>
      </c>
      <c r="Y17" s="2">
        <f t="shared" si="16"/>
        <v>0</v>
      </c>
      <c r="Z17" s="2">
        <f t="shared" si="16"/>
        <v>0</v>
      </c>
      <c r="AA17" s="2">
        <f t="shared" si="16"/>
        <v>0</v>
      </c>
      <c r="AB17" s="2">
        <f t="shared" si="16"/>
        <v>0</v>
      </c>
      <c r="AC17" s="2">
        <f t="shared" si="16"/>
        <v>0</v>
      </c>
      <c r="AD17" s="2">
        <f t="shared" si="16"/>
        <v>0</v>
      </c>
      <c r="AE17" s="2">
        <f t="shared" si="16"/>
        <v>0</v>
      </c>
      <c r="AF17" s="2">
        <f t="shared" si="16"/>
        <v>0</v>
      </c>
      <c r="AG17" s="2">
        <f t="shared" si="16"/>
        <v>0</v>
      </c>
    </row>
    <row r="18" spans="1:33">
      <c r="B18">
        <v>18</v>
      </c>
      <c r="C18">
        <v>9</v>
      </c>
      <c r="D18" s="2">
        <f>B18*1.05</f>
        <v>18.900000000000002</v>
      </c>
      <c r="E18" s="2">
        <f t="shared" ref="E18:AG18" si="17">C18*1.05</f>
        <v>9.4500000000000011</v>
      </c>
      <c r="F18" s="2">
        <f t="shared" si="17"/>
        <v>19.845000000000002</v>
      </c>
      <c r="G18" s="2">
        <f t="shared" si="17"/>
        <v>9.9225000000000012</v>
      </c>
      <c r="H18" s="2">
        <f t="shared" si="17"/>
        <v>20.837250000000004</v>
      </c>
      <c r="I18" s="2">
        <f t="shared" si="17"/>
        <v>10.418625000000002</v>
      </c>
      <c r="J18" s="2">
        <f t="shared" si="17"/>
        <v>21.879112500000005</v>
      </c>
      <c r="K18" s="2">
        <f t="shared" si="17"/>
        <v>10.939556250000003</v>
      </c>
      <c r="L18" s="2">
        <f t="shared" si="17"/>
        <v>22.973068125000005</v>
      </c>
      <c r="M18" s="2">
        <f t="shared" si="17"/>
        <v>11.486534062500002</v>
      </c>
      <c r="N18" s="2">
        <f t="shared" si="17"/>
        <v>24.121721531250007</v>
      </c>
      <c r="O18" s="2">
        <f t="shared" si="17"/>
        <v>12.060860765625003</v>
      </c>
      <c r="P18" s="2">
        <f t="shared" si="17"/>
        <v>25.32780760781251</v>
      </c>
      <c r="Q18" s="2">
        <f t="shared" si="17"/>
        <v>12.663903803906255</v>
      </c>
      <c r="R18" s="2">
        <f t="shared" si="17"/>
        <v>26.594197988203135</v>
      </c>
      <c r="S18" s="2">
        <f t="shared" si="17"/>
        <v>13.297098994101567</v>
      </c>
      <c r="T18" s="2">
        <f t="shared" si="17"/>
        <v>27.923907887613293</v>
      </c>
      <c r="U18" s="2">
        <f t="shared" si="17"/>
        <v>13.961953943806646</v>
      </c>
      <c r="V18" s="2">
        <f t="shared" si="17"/>
        <v>29.320103281993958</v>
      </c>
      <c r="W18" s="2">
        <f t="shared" si="17"/>
        <v>14.660051640996979</v>
      </c>
      <c r="X18" s="2">
        <f t="shared" si="17"/>
        <v>30.786108446093657</v>
      </c>
      <c r="Y18" s="2">
        <f t="shared" si="17"/>
        <v>15.393054223046828</v>
      </c>
      <c r="Z18" s="2">
        <f t="shared" si="17"/>
        <v>32.325413868398343</v>
      </c>
      <c r="AA18" s="2">
        <f t="shared" si="17"/>
        <v>16.162706934199171</v>
      </c>
      <c r="AB18" s="2">
        <f t="shared" si="17"/>
        <v>33.941684561818263</v>
      </c>
      <c r="AC18" s="2">
        <f t="shared" si="17"/>
        <v>16.970842280909132</v>
      </c>
      <c r="AD18" s="2">
        <f t="shared" si="17"/>
        <v>35.638768789909179</v>
      </c>
      <c r="AE18" s="2">
        <f t="shared" si="17"/>
        <v>17.819384394954589</v>
      </c>
      <c r="AF18" s="2">
        <f t="shared" si="17"/>
        <v>37.420707229404641</v>
      </c>
      <c r="AG18" s="2">
        <f t="shared" si="17"/>
        <v>18.710353614702321</v>
      </c>
    </row>
    <row r="40" spans="1:26">
      <c r="R40" s="1" t="s">
        <v>77</v>
      </c>
      <c r="Y40" t="s">
        <v>197</v>
      </c>
      <c r="Z40" t="s">
        <v>198</v>
      </c>
    </row>
    <row r="41" spans="1:26">
      <c r="A41" t="str">
        <f t="array" ref="A41:A55">Nodes</f>
        <v>AddisAbaba</v>
      </c>
      <c r="B41" s="2">
        <v>1</v>
      </c>
      <c r="F41" t="str">
        <f t="array" ref="F41:F55">Nodes</f>
        <v>AddisAbaba</v>
      </c>
      <c r="G41" s="2">
        <v>0.1</v>
      </c>
      <c r="K41" t="str">
        <f t="array" ref="K41:K55">Nodes</f>
        <v>AddisAbaba</v>
      </c>
      <c r="L41" s="2">
        <v>0</v>
      </c>
      <c r="R41" t="str">
        <f t="array" ref="R41:R55">Nodes</f>
        <v>AddisAbaba</v>
      </c>
      <c r="S41" s="2">
        <f t="array" ref="S41">SUMPRODUCT(ConvFactor!$B29:$O29,TRANSPOSE($Z$41:$Z$54))/1000000</f>
        <v>15.596849553257323</v>
      </c>
      <c r="Y41" t="s">
        <v>134</v>
      </c>
      <c r="Z41" s="3">
        <v>6603622</v>
      </c>
    </row>
    <row r="42" spans="1:26">
      <c r="A42" t="str">
        <v>Semera</v>
      </c>
      <c r="B42" s="2">
        <v>20</v>
      </c>
      <c r="F42" t="str">
        <v>Semera</v>
      </c>
      <c r="G42" s="2">
        <v>1</v>
      </c>
      <c r="K42" t="str">
        <v>Semera</v>
      </c>
      <c r="L42" s="2">
        <v>3</v>
      </c>
      <c r="R42" t="str">
        <v>Semera</v>
      </c>
      <c r="S42" s="2">
        <f t="array" ref="S42">SUMPRODUCT(ConvFactor!$B30:$O30,TRANSPOSE($Z$41:$Z$54))/1000000</f>
        <v>4.1445967639442856</v>
      </c>
      <c r="Y42" t="s">
        <v>135</v>
      </c>
      <c r="Z42" s="3">
        <v>2606699</v>
      </c>
    </row>
    <row r="43" spans="1:26">
      <c r="A43" t="str">
        <v>BahirDar</v>
      </c>
      <c r="B43" s="2">
        <v>1</v>
      </c>
      <c r="F43" t="str">
        <v>BahirDar</v>
      </c>
      <c r="G43" s="2">
        <v>0.1</v>
      </c>
      <c r="K43" t="str">
        <v>BahirDar</v>
      </c>
      <c r="L43" s="2">
        <v>0</v>
      </c>
      <c r="R43" t="str">
        <v>BahirDar</v>
      </c>
      <c r="S43" s="2">
        <f t="array" ref="S43">SUMPRODUCT(ConvFactor!$B31:$O31,TRANSPOSE($Z$41:$Z$54))/1000000</f>
        <v>11.963148108000498</v>
      </c>
      <c r="Y43" t="s">
        <v>136</v>
      </c>
      <c r="Z43" s="3">
        <v>8796186</v>
      </c>
    </row>
    <row r="44" spans="1:26">
      <c r="A44" t="str">
        <v>Asosa</v>
      </c>
      <c r="B44" s="2">
        <v>20</v>
      </c>
      <c r="F44" t="str">
        <v>Asosa</v>
      </c>
      <c r="G44" s="2">
        <v>0.1</v>
      </c>
      <c r="K44" t="str">
        <v>Asosa</v>
      </c>
      <c r="L44" s="2">
        <v>0</v>
      </c>
      <c r="R44" t="str">
        <v>Asosa</v>
      </c>
      <c r="S44" s="2">
        <f t="array" ref="S44">SUMPRODUCT(ConvFactor!$B32:$O32,TRANSPOSE($Z$41:$Z$54))/1000000</f>
        <v>3.9502473931626834</v>
      </c>
      <c r="Y44" t="s">
        <v>137</v>
      </c>
      <c r="Z44" s="3">
        <v>3949962</v>
      </c>
    </row>
    <row r="45" spans="1:26">
      <c r="A45" t="str">
        <v>DireDawa</v>
      </c>
      <c r="B45" s="2">
        <v>1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f t="array" ref="S45">SUMPRODUCT(ConvFactor!$B33:$O33,TRANSPOSE($Z$41:$Z$54))/1000000</f>
        <v>2.427947736924406</v>
      </c>
      <c r="Y45" t="s">
        <v>138</v>
      </c>
      <c r="Z45" s="3">
        <v>218607</v>
      </c>
    </row>
    <row r="46" spans="1:26">
      <c r="A46" t="str">
        <v>Gambela</v>
      </c>
      <c r="B46" s="2">
        <v>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f t="array" ref="S46">SUMPRODUCT(ConvFactor!$B34:$O34,TRANSPOSE($Z$41:$Z$54))/1000000</f>
        <v>6.9314709729690529</v>
      </c>
      <c r="Y46" t="s">
        <v>139</v>
      </c>
      <c r="Z46" s="3">
        <v>6927577</v>
      </c>
    </row>
    <row r="47" spans="1:26">
      <c r="A47" t="str">
        <v>Harar</v>
      </c>
      <c r="B47" s="2">
        <v>1</v>
      </c>
      <c r="F47" t="str">
        <v>Harar</v>
      </c>
      <c r="G47" s="2">
        <v>0.1</v>
      </c>
      <c r="K47" t="str">
        <v>Harar</v>
      </c>
      <c r="L47" s="2">
        <v>0</v>
      </c>
      <c r="R47" t="str">
        <v>Harar</v>
      </c>
      <c r="S47" s="2">
        <f t="array" ref="S47">SUMPRODUCT(ConvFactor!$B35:$O35,TRANSPOSE($Z$41:$Z$54))/1000000</f>
        <v>2.0034520652270653</v>
      </c>
      <c r="Y47" t="s">
        <v>140</v>
      </c>
      <c r="Z47" s="3">
        <v>25360222</v>
      </c>
    </row>
    <row r="48" spans="1:26">
      <c r="A48" t="str">
        <v>Jijiga</v>
      </c>
      <c r="B48" s="2">
        <v>1</v>
      </c>
      <c r="F48" t="str">
        <v>Jijiga</v>
      </c>
      <c r="G48" s="2">
        <v>0.1</v>
      </c>
      <c r="K48" t="str">
        <v>Jijiga</v>
      </c>
      <c r="L48" s="2">
        <v>0</v>
      </c>
      <c r="R48" t="str">
        <v>Jijiga</v>
      </c>
      <c r="S48" s="2">
        <f t="array" ref="S48">SUMPRODUCT(ConvFactor!$B36:$O36,TRANSPOSE($Z$41:$Z$54))/1000000</f>
        <v>1.3122069988918488</v>
      </c>
      <c r="Y48" t="s">
        <v>141</v>
      </c>
      <c r="Z48" s="3">
        <v>181793</v>
      </c>
    </row>
    <row r="49" spans="1:26">
      <c r="A49" t="str">
        <v>Awasa</v>
      </c>
      <c r="B49" s="2">
        <v>1</v>
      </c>
      <c r="F49" t="str">
        <v>Awasa</v>
      </c>
      <c r="G49" s="2">
        <v>0.1</v>
      </c>
      <c r="K49" t="str">
        <v>Awasa</v>
      </c>
      <c r="L49" s="2">
        <v>0</v>
      </c>
      <c r="R49" t="str">
        <v>Awasa</v>
      </c>
      <c r="S49" s="2">
        <f t="array" ref="S49">SUMPRODUCT(ConvFactor!$B37:$O37,TRANSPOSE($Z$41:$Z$54))/1000000</f>
        <v>13.390681339918299</v>
      </c>
      <c r="Y49" t="s">
        <v>142</v>
      </c>
      <c r="Z49" s="3">
        <v>651992</v>
      </c>
    </row>
    <row r="50" spans="1:26">
      <c r="A50" t="str">
        <v>Mekelle</v>
      </c>
      <c r="B50" s="2">
        <v>1</v>
      </c>
      <c r="F50" t="str">
        <v>Mekelle</v>
      </c>
      <c r="G50" s="2">
        <v>0.1</v>
      </c>
      <c r="K50" t="str">
        <v>Mekelle</v>
      </c>
      <c r="L50" s="2">
        <v>0</v>
      </c>
      <c r="R50" t="str">
        <v>Mekelle</v>
      </c>
      <c r="S50" s="2">
        <f t="array" ref="S50">SUMPRODUCT(ConvFactor!$B38:$O38,TRANSPOSE($Z$41:$Z$54))/1000000</f>
        <v>6.6951492823538716</v>
      </c>
      <c r="Y50" t="s">
        <v>143</v>
      </c>
      <c r="Z50" s="3">
        <v>14314895</v>
      </c>
    </row>
    <row r="51" spans="1:26">
      <c r="A51" t="str">
        <v>Gondar</v>
      </c>
      <c r="B51" s="2">
        <v>1</v>
      </c>
      <c r="F51" t="str">
        <v>Gondar</v>
      </c>
      <c r="G51" s="2">
        <v>0.1</v>
      </c>
      <c r="K51" t="str">
        <v>Gondar</v>
      </c>
      <c r="L51" s="2">
        <v>0</v>
      </c>
      <c r="R51" t="str">
        <v>Gondar</v>
      </c>
      <c r="S51" s="2">
        <f t="array" ref="S51">SUMPRODUCT(ConvFactor!$B39:$O39,TRANSPOSE($Z$41:$Z$54))/1000000</f>
        <v>5.8191701307718535</v>
      </c>
      <c r="Y51" t="s">
        <v>144</v>
      </c>
      <c r="Z51" s="3">
        <v>8035467</v>
      </c>
    </row>
    <row r="52" spans="1:26">
      <c r="A52" t="str">
        <v>Jimma</v>
      </c>
      <c r="B52" s="2">
        <v>1</v>
      </c>
      <c r="F52" t="str">
        <v>Jimma</v>
      </c>
      <c r="G52" s="2">
        <v>0.1</v>
      </c>
      <c r="K52" t="str">
        <v>Jimma</v>
      </c>
      <c r="L52" s="2">
        <v>0</v>
      </c>
      <c r="R52" t="str">
        <v>Jimma</v>
      </c>
      <c r="S52" s="2">
        <f t="array" ref="S52">SUMPRODUCT(ConvFactor!$B40:$O40,TRANSPOSE($Z$41:$Z$54))/1000000</f>
        <v>13.599944225815946</v>
      </c>
      <c r="Y52" t="s">
        <v>145</v>
      </c>
      <c r="Z52" s="3">
        <v>20000266</v>
      </c>
    </row>
    <row r="53" spans="1:26">
      <c r="A53" t="str">
        <v>Werder</v>
      </c>
      <c r="B53" s="2">
        <v>1</v>
      </c>
      <c r="F53" t="str">
        <v>Werder</v>
      </c>
      <c r="G53" s="2">
        <v>0.1</v>
      </c>
      <c r="K53" t="str">
        <v>Werder</v>
      </c>
      <c r="L53" s="2">
        <v>0</v>
      </c>
      <c r="R53" t="str">
        <v>Werder</v>
      </c>
      <c r="S53" s="2">
        <f t="array" ref="S53">SUMPRODUCT(ConvFactor!$B41:$O41,TRANSPOSE($Z$41:$Z$54))/1000000</f>
        <v>2.8254895635656001</v>
      </c>
      <c r="Y53" t="s">
        <v>146</v>
      </c>
      <c r="Z53" s="3">
        <v>2413658</v>
      </c>
    </row>
    <row r="54" spans="1:26">
      <c r="A54" t="str">
        <v>Goba</v>
      </c>
      <c r="B54" s="2">
        <v>1</v>
      </c>
      <c r="F54" t="str">
        <v>Goba</v>
      </c>
      <c r="G54" s="2">
        <v>0.1</v>
      </c>
      <c r="K54" t="str">
        <v>Goba</v>
      </c>
      <c r="L54" s="2">
        <v>0</v>
      </c>
      <c r="R54" t="str">
        <v>Goba</v>
      </c>
      <c r="S54" s="2">
        <f t="array" ref="S54">SUMPRODUCT(ConvFactor!$B42:$O42,TRANSPOSE($Z$41:$Z$54))/1000000</f>
        <v>11.355580865197265</v>
      </c>
      <c r="Y54" t="s">
        <v>148</v>
      </c>
      <c r="Z54" s="3">
        <v>1954989</v>
      </c>
    </row>
    <row r="55" spans="1:26">
      <c r="A55" t="str">
        <v>External</v>
      </c>
      <c r="B55" s="2">
        <v>1</v>
      </c>
      <c r="F55" t="str">
        <v>External</v>
      </c>
      <c r="G55" s="2">
        <v>0.1</v>
      </c>
      <c r="K55" t="str">
        <v>External</v>
      </c>
      <c r="L55" s="2">
        <v>0</v>
      </c>
      <c r="R55" t="str">
        <v>External</v>
      </c>
      <c r="S55" s="2">
        <f t="array" ref="S55">SUMPRODUCT(ConvFactor!$B43:$O43,TRANSPOSE($Z$41:$Z$54))/1000000</f>
        <v>0</v>
      </c>
    </row>
    <row r="58" spans="1:26">
      <c r="R58" t="s">
        <v>199</v>
      </c>
      <c r="S58" s="2">
        <f>SUM(S41:S55)</f>
        <v>102.01593499999998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O214"/>
  <sheetViews>
    <sheetView zoomScale="85" zoomScaleNormal="85" workbookViewId="0">
      <selection activeCell="L34" sqref="L34"/>
    </sheetView>
  </sheetViews>
  <sheetFormatPr defaultColWidth="8.875" defaultRowHeight="15.75"/>
  <cols>
    <col min="1" max="2" width="11.5" customWidth="1"/>
    <col min="3" max="3" width="15.25" customWidth="1"/>
    <col min="4" max="4" width="11.875" customWidth="1"/>
    <col min="27" max="27" width="11.5" bestFit="1" customWidth="1"/>
  </cols>
  <sheetData>
    <row r="1" spans="1:41">
      <c r="B1" s="1" t="s">
        <v>5</v>
      </c>
      <c r="C1" s="1" t="s">
        <v>157</v>
      </c>
      <c r="D1" s="1" t="s">
        <v>158</v>
      </c>
      <c r="E1" s="1" t="s">
        <v>159</v>
      </c>
      <c r="F1" s="1" t="s">
        <v>9</v>
      </c>
      <c r="G1" s="1" t="s">
        <v>10</v>
      </c>
      <c r="H1" s="1" t="s">
        <v>160</v>
      </c>
      <c r="I1" s="1" t="s">
        <v>161</v>
      </c>
      <c r="J1" s="1" t="s">
        <v>162</v>
      </c>
      <c r="K1" s="1" t="s">
        <v>163</v>
      </c>
      <c r="L1" s="1" t="s">
        <v>164</v>
      </c>
      <c r="M1" t="s">
        <v>165</v>
      </c>
      <c r="N1" t="s">
        <v>166</v>
      </c>
      <c r="O1" t="s">
        <v>167</v>
      </c>
      <c r="P1" t="s">
        <v>147</v>
      </c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>
      <c r="A2" s="1" t="s">
        <v>5</v>
      </c>
      <c r="B2" s="4" t="str">
        <f t="shared" ref="B2:B12" si="0">IF(ISERROR(MATCH($A2,D$22:D$330,0)),"No","Yes")</f>
        <v>No</v>
      </c>
      <c r="C2" s="4" t="str">
        <f t="shared" ref="C2:C12" si="1">IF(ISERROR(MATCH($A2,E$22:E$330,0)),"No","Yes")</f>
        <v>No</v>
      </c>
      <c r="D2" s="4" t="str">
        <f t="shared" ref="D2:D12" si="2">IF(ISERROR(MATCH($A2,F$22:F$330,0)),"No","Yes")</f>
        <v>Yes</v>
      </c>
      <c r="E2" s="4" t="str">
        <f t="shared" ref="E2:E12" si="3">IF(ISERROR(MATCH($A2,G$22:G$330,0)),"No","Yes")</f>
        <v>No</v>
      </c>
      <c r="F2" s="4" t="str">
        <f t="shared" ref="F2:F12" si="4">IF(ISERROR(MATCH($A2,H$22:H$330,0)),"No","Yes")</f>
        <v>Yes</v>
      </c>
      <c r="G2" s="4" t="str">
        <f t="shared" ref="G2:G12" si="5">IF(ISERROR(MATCH($A2,I$22:I$330,0)),"No","Yes")</f>
        <v>No</v>
      </c>
      <c r="H2" s="4" t="str">
        <f t="shared" ref="H2:H12" si="6">IF(ISERROR(MATCH($A2,J$22:J$330,0)),"No","Yes")</f>
        <v>Yes</v>
      </c>
      <c r="I2" s="4" t="str">
        <f t="shared" ref="I2:I12" si="7">IF(ISERROR(MATCH($A2,K$22:K$330,0)),"No","Yes")</f>
        <v>No</v>
      </c>
      <c r="J2" s="4" t="str">
        <f t="shared" ref="J2:J12" si="8">IF(ISERROR(MATCH($A2,L$22:L$330,0)),"No","Yes")</f>
        <v>Yes</v>
      </c>
      <c r="K2" s="4" t="str">
        <f t="shared" ref="K2:K12" si="9">IF(ISERROR(MATCH($A2,M$22:M$330,0)),"No","Yes")</f>
        <v>No</v>
      </c>
      <c r="L2" s="4" t="str">
        <f t="shared" ref="L2:L12" si="10">IF(ISERROR(MATCH($A2,N$22:N$330,0)),"No","Yes")</f>
        <v>No</v>
      </c>
      <c r="M2" s="4" t="str">
        <f t="shared" ref="M2:M12" si="11">IF(ISERROR(MATCH($A2,O$22:O$330,0)),"No","Yes")</f>
        <v>Yes</v>
      </c>
      <c r="N2" s="4" t="str">
        <f t="shared" ref="N2:N12" si="12">IF(ISERROR(MATCH($A2,P$22:P$330,0)),"No","Yes")</f>
        <v>No</v>
      </c>
      <c r="O2" s="4" t="str">
        <f t="shared" ref="O2:O12" si="13">IF(ISERROR(MATCH($A2,Q$22:Q$330,0)),"No","Yes")</f>
        <v>No</v>
      </c>
      <c r="P2" s="4" t="str">
        <f t="shared" ref="P2:P12" si="14">IF(ISERROR(MATCH($A2,R$22:R$330,0)),"No","Yes")</f>
        <v>Yes</v>
      </c>
      <c r="Q2" s="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1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>
      <c r="A3" s="1" t="s">
        <v>157</v>
      </c>
      <c r="B3" s="4" t="str">
        <f t="shared" si="0"/>
        <v>No</v>
      </c>
      <c r="C3" s="4" t="str">
        <f t="shared" si="1"/>
        <v>No</v>
      </c>
      <c r="D3" s="4" t="str">
        <f t="shared" si="2"/>
        <v>No</v>
      </c>
      <c r="E3" s="4" t="str">
        <f t="shared" si="3"/>
        <v>No</v>
      </c>
      <c r="F3" s="4" t="str">
        <f t="shared" si="4"/>
        <v>Yes</v>
      </c>
      <c r="G3" s="4" t="str">
        <f t="shared" si="5"/>
        <v>No</v>
      </c>
      <c r="H3" s="4" t="str">
        <f t="shared" si="6"/>
        <v>No</v>
      </c>
      <c r="I3" s="4" t="str">
        <f t="shared" si="7"/>
        <v>No</v>
      </c>
      <c r="J3" s="4" t="str">
        <f t="shared" si="8"/>
        <v>No</v>
      </c>
      <c r="K3" s="4" t="str">
        <f t="shared" si="9"/>
        <v>Yes</v>
      </c>
      <c r="L3" s="4" t="str">
        <f t="shared" si="10"/>
        <v>No</v>
      </c>
      <c r="M3" s="4" t="str">
        <f t="shared" si="11"/>
        <v>No</v>
      </c>
      <c r="N3" s="4" t="str">
        <f t="shared" si="12"/>
        <v>No</v>
      </c>
      <c r="O3" s="4" t="str">
        <f t="shared" si="13"/>
        <v>No</v>
      </c>
      <c r="P3" s="4" t="str">
        <f t="shared" si="14"/>
        <v>No</v>
      </c>
      <c r="Q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D3" s="1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>
      <c r="A4" s="1" t="s">
        <v>158</v>
      </c>
      <c r="B4" s="4" t="str">
        <f t="shared" si="0"/>
        <v>Yes</v>
      </c>
      <c r="C4" s="4" t="str">
        <f t="shared" si="1"/>
        <v>No</v>
      </c>
      <c r="D4" s="4" t="str">
        <f t="shared" si="2"/>
        <v>No</v>
      </c>
      <c r="E4" s="4" t="str">
        <f t="shared" si="3"/>
        <v>Yes</v>
      </c>
      <c r="F4" s="4" t="str">
        <f t="shared" si="4"/>
        <v>No</v>
      </c>
      <c r="G4" s="4" t="str">
        <f t="shared" si="5"/>
        <v>No</v>
      </c>
      <c r="H4" s="4" t="str">
        <f t="shared" si="6"/>
        <v>No</v>
      </c>
      <c r="I4" s="4" t="str">
        <f t="shared" si="7"/>
        <v>No</v>
      </c>
      <c r="J4" s="4" t="str">
        <f t="shared" si="8"/>
        <v>No</v>
      </c>
      <c r="K4" s="4" t="str">
        <f t="shared" si="9"/>
        <v>No</v>
      </c>
      <c r="L4" s="4" t="str">
        <f t="shared" si="10"/>
        <v>Yes</v>
      </c>
      <c r="M4" s="4" t="str">
        <f t="shared" si="11"/>
        <v>No</v>
      </c>
      <c r="N4" s="4" t="str">
        <f t="shared" si="12"/>
        <v>No</v>
      </c>
      <c r="O4" s="4" t="str">
        <f t="shared" si="13"/>
        <v>No</v>
      </c>
      <c r="P4" s="4" t="str">
        <f t="shared" si="14"/>
        <v>No</v>
      </c>
      <c r="Q4" s="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D4" s="1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>
      <c r="A5" s="1" t="s">
        <v>159</v>
      </c>
      <c r="B5" s="4" t="str">
        <f t="shared" si="0"/>
        <v>No</v>
      </c>
      <c r="C5" s="4" t="str">
        <f t="shared" si="1"/>
        <v>No</v>
      </c>
      <c r="D5" s="4" t="str">
        <f t="shared" si="2"/>
        <v>Yes</v>
      </c>
      <c r="E5" s="4" t="str">
        <f t="shared" si="3"/>
        <v>No</v>
      </c>
      <c r="F5" s="4" t="str">
        <f t="shared" si="4"/>
        <v>No</v>
      </c>
      <c r="G5" s="4" t="str">
        <f t="shared" si="5"/>
        <v>Yes</v>
      </c>
      <c r="H5" s="4" t="str">
        <f t="shared" si="6"/>
        <v>No</v>
      </c>
      <c r="I5" s="4" t="str">
        <f t="shared" si="7"/>
        <v>No</v>
      </c>
      <c r="J5" s="4" t="str">
        <f t="shared" si="8"/>
        <v>No</v>
      </c>
      <c r="K5" s="4" t="str">
        <f t="shared" si="9"/>
        <v>No</v>
      </c>
      <c r="L5" s="4" t="str">
        <f t="shared" si="10"/>
        <v>No</v>
      </c>
      <c r="M5" s="4" t="str">
        <f t="shared" si="11"/>
        <v>No</v>
      </c>
      <c r="N5" s="4" t="str">
        <f t="shared" si="12"/>
        <v>No</v>
      </c>
      <c r="O5" s="4" t="str">
        <f t="shared" si="13"/>
        <v>No</v>
      </c>
      <c r="P5" s="4" t="str">
        <f t="shared" si="14"/>
        <v>No</v>
      </c>
      <c r="Q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D5" s="1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>
      <c r="A6" s="1" t="s">
        <v>9</v>
      </c>
      <c r="B6" s="4" t="str">
        <f t="shared" si="0"/>
        <v>Yes</v>
      </c>
      <c r="C6" s="4" t="str">
        <f t="shared" si="1"/>
        <v>Yes</v>
      </c>
      <c r="D6" s="4" t="str">
        <f t="shared" si="2"/>
        <v>No</v>
      </c>
      <c r="E6" s="4" t="str">
        <f t="shared" si="3"/>
        <v>No</v>
      </c>
      <c r="F6" s="4" t="str">
        <f t="shared" si="4"/>
        <v>No</v>
      </c>
      <c r="G6" s="4" t="str">
        <f t="shared" si="5"/>
        <v>No</v>
      </c>
      <c r="H6" s="4" t="str">
        <f t="shared" si="6"/>
        <v>Yes</v>
      </c>
      <c r="I6" s="4" t="str">
        <f t="shared" si="7"/>
        <v>Yes</v>
      </c>
      <c r="J6" s="4" t="str">
        <f t="shared" si="8"/>
        <v>No</v>
      </c>
      <c r="K6" s="4" t="str">
        <f t="shared" si="9"/>
        <v>No</v>
      </c>
      <c r="L6" s="4" t="str">
        <f t="shared" si="10"/>
        <v>No</v>
      </c>
      <c r="M6" s="4" t="str">
        <f t="shared" si="11"/>
        <v>No</v>
      </c>
      <c r="N6" s="4" t="str">
        <f t="shared" si="12"/>
        <v>No</v>
      </c>
      <c r="O6" s="4" t="str">
        <f t="shared" si="13"/>
        <v>No</v>
      </c>
      <c r="P6" s="4" t="str">
        <f t="shared" si="14"/>
        <v>No</v>
      </c>
      <c r="Q6" s="1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D6" s="1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>
      <c r="A7" s="1" t="s">
        <v>10</v>
      </c>
      <c r="B7" s="4" t="str">
        <f t="shared" si="0"/>
        <v>No</v>
      </c>
      <c r="C7" s="4" t="str">
        <f t="shared" si="1"/>
        <v>No</v>
      </c>
      <c r="D7" s="4" t="str">
        <f t="shared" si="2"/>
        <v>No</v>
      </c>
      <c r="E7" s="4" t="str">
        <f t="shared" si="3"/>
        <v>Yes</v>
      </c>
      <c r="F7" s="4" t="str">
        <f t="shared" si="4"/>
        <v>No</v>
      </c>
      <c r="G7" s="4" t="str">
        <f t="shared" si="5"/>
        <v>No</v>
      </c>
      <c r="H7" s="4" t="str">
        <f t="shared" si="6"/>
        <v>No</v>
      </c>
      <c r="I7" s="4" t="str">
        <f t="shared" si="7"/>
        <v>No</v>
      </c>
      <c r="J7" s="4" t="str">
        <f t="shared" si="8"/>
        <v>No</v>
      </c>
      <c r="K7" s="4" t="str">
        <f t="shared" si="9"/>
        <v>No</v>
      </c>
      <c r="L7" s="4" t="str">
        <f t="shared" si="10"/>
        <v>No</v>
      </c>
      <c r="M7" s="4" t="str">
        <f t="shared" si="11"/>
        <v>Yes</v>
      </c>
      <c r="N7" s="4" t="str">
        <f t="shared" si="12"/>
        <v>No</v>
      </c>
      <c r="O7" s="4" t="str">
        <f t="shared" si="13"/>
        <v>No</v>
      </c>
      <c r="P7" s="4" t="str">
        <f t="shared" si="14"/>
        <v>No</v>
      </c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D7" s="1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>
      <c r="A8" s="1" t="s">
        <v>160</v>
      </c>
      <c r="B8" s="4" t="str">
        <f t="shared" si="0"/>
        <v>Yes</v>
      </c>
      <c r="C8" s="4" t="str">
        <f t="shared" si="1"/>
        <v>No</v>
      </c>
      <c r="D8" s="4" t="str">
        <f t="shared" si="2"/>
        <v>No</v>
      </c>
      <c r="E8" s="4" t="str">
        <f t="shared" si="3"/>
        <v>No</v>
      </c>
      <c r="F8" s="4" t="str">
        <f t="shared" si="4"/>
        <v>Yes</v>
      </c>
      <c r="G8" s="4" t="str">
        <f t="shared" si="5"/>
        <v>No</v>
      </c>
      <c r="H8" s="4" t="str">
        <f t="shared" si="6"/>
        <v>No</v>
      </c>
      <c r="I8" s="4" t="str">
        <f t="shared" si="7"/>
        <v>Yes</v>
      </c>
      <c r="J8" s="4" t="str">
        <f t="shared" si="8"/>
        <v>No</v>
      </c>
      <c r="K8" s="4" t="str">
        <f t="shared" si="9"/>
        <v>No</v>
      </c>
      <c r="L8" s="4" t="str">
        <f t="shared" si="10"/>
        <v>No</v>
      </c>
      <c r="M8" s="4" t="str">
        <f t="shared" si="11"/>
        <v>No</v>
      </c>
      <c r="N8" s="4" t="str">
        <f t="shared" si="12"/>
        <v>Yes</v>
      </c>
      <c r="O8" s="4" t="str">
        <f t="shared" si="13"/>
        <v>No</v>
      </c>
      <c r="P8" s="4" t="str">
        <f t="shared" si="14"/>
        <v>No</v>
      </c>
      <c r="Q8" s="1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D8" s="1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>
      <c r="A9" s="1" t="s">
        <v>161</v>
      </c>
      <c r="B9" s="4" t="str">
        <f t="shared" si="0"/>
        <v>No</v>
      </c>
      <c r="C9" s="4" t="str">
        <f t="shared" si="1"/>
        <v>No</v>
      </c>
      <c r="D9" s="4" t="str">
        <f t="shared" si="2"/>
        <v>No</v>
      </c>
      <c r="E9" s="4" t="str">
        <f t="shared" si="3"/>
        <v>No</v>
      </c>
      <c r="F9" s="4" t="str">
        <f t="shared" si="4"/>
        <v>Yes</v>
      </c>
      <c r="G9" s="4" t="str">
        <f t="shared" si="5"/>
        <v>No</v>
      </c>
      <c r="H9" s="4" t="str">
        <f t="shared" si="6"/>
        <v>Yes</v>
      </c>
      <c r="I9" s="4" t="str">
        <f t="shared" si="7"/>
        <v>No</v>
      </c>
      <c r="J9" s="4" t="str">
        <f t="shared" si="8"/>
        <v>No</v>
      </c>
      <c r="K9" s="4" t="str">
        <f t="shared" si="9"/>
        <v>No</v>
      </c>
      <c r="L9" s="4" t="str">
        <f t="shared" si="10"/>
        <v>No</v>
      </c>
      <c r="M9" s="4" t="str">
        <f t="shared" si="11"/>
        <v>No</v>
      </c>
      <c r="N9" s="4" t="str">
        <f t="shared" si="12"/>
        <v>Yes</v>
      </c>
      <c r="O9" s="4" t="str">
        <f t="shared" si="13"/>
        <v>No</v>
      </c>
      <c r="P9" s="4" t="str">
        <f t="shared" si="14"/>
        <v>No</v>
      </c>
      <c r="Q9" s="1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D9" s="1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>
      <c r="A10" s="1" t="s">
        <v>162</v>
      </c>
      <c r="B10" s="4" t="str">
        <f t="shared" si="0"/>
        <v>Yes</v>
      </c>
      <c r="C10" s="4" t="str">
        <f t="shared" si="1"/>
        <v>No</v>
      </c>
      <c r="D10" s="4" t="str">
        <f t="shared" si="2"/>
        <v>No</v>
      </c>
      <c r="E10" s="4" t="str">
        <f t="shared" si="3"/>
        <v>No</v>
      </c>
      <c r="F10" s="4" t="str">
        <f t="shared" si="4"/>
        <v>No</v>
      </c>
      <c r="G10" s="4" t="str">
        <f t="shared" si="5"/>
        <v>No</v>
      </c>
      <c r="H10" s="4" t="str">
        <f t="shared" si="6"/>
        <v>No</v>
      </c>
      <c r="I10" s="4" t="str">
        <f t="shared" si="7"/>
        <v>No</v>
      </c>
      <c r="J10" s="4" t="str">
        <f t="shared" si="8"/>
        <v>No</v>
      </c>
      <c r="K10" s="4" t="str">
        <f t="shared" si="9"/>
        <v>No</v>
      </c>
      <c r="L10" s="4" t="str">
        <f t="shared" si="10"/>
        <v>No</v>
      </c>
      <c r="M10" s="4" t="str">
        <f t="shared" si="11"/>
        <v>Yes</v>
      </c>
      <c r="N10" s="4" t="str">
        <f t="shared" si="12"/>
        <v>No</v>
      </c>
      <c r="O10" s="4" t="str">
        <f t="shared" si="13"/>
        <v>Yes</v>
      </c>
      <c r="P10" s="4" t="str">
        <f t="shared" si="14"/>
        <v>No</v>
      </c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D10" s="1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>
      <c r="A11" s="1" t="s">
        <v>163</v>
      </c>
      <c r="B11" s="4" t="str">
        <f t="shared" si="0"/>
        <v>No</v>
      </c>
      <c r="C11" s="4" t="str">
        <f t="shared" si="1"/>
        <v>Yes</v>
      </c>
      <c r="D11" s="4" t="str">
        <f t="shared" si="2"/>
        <v>No</v>
      </c>
      <c r="E11" s="4" t="str">
        <f t="shared" si="3"/>
        <v>No</v>
      </c>
      <c r="F11" s="4" t="str">
        <f t="shared" si="4"/>
        <v>No</v>
      </c>
      <c r="G11" s="4" t="str">
        <f t="shared" si="5"/>
        <v>No</v>
      </c>
      <c r="H11" s="4" t="str">
        <f t="shared" si="6"/>
        <v>No</v>
      </c>
      <c r="I11" s="4" t="str">
        <f t="shared" si="7"/>
        <v>No</v>
      </c>
      <c r="J11" s="4" t="str">
        <f t="shared" si="8"/>
        <v>No</v>
      </c>
      <c r="K11" s="4" t="str">
        <f t="shared" si="9"/>
        <v>No</v>
      </c>
      <c r="L11" s="4" t="str">
        <f t="shared" si="10"/>
        <v>Yes</v>
      </c>
      <c r="M11" s="4" t="str">
        <f t="shared" si="11"/>
        <v>No</v>
      </c>
      <c r="N11" s="4" t="str">
        <f t="shared" si="12"/>
        <v>No</v>
      </c>
      <c r="O11" s="4" t="str">
        <f t="shared" si="13"/>
        <v>No</v>
      </c>
      <c r="P11" s="4" t="str">
        <f t="shared" si="14"/>
        <v>No</v>
      </c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D11" s="1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>
      <c r="A12" s="1" t="s">
        <v>164</v>
      </c>
      <c r="B12" s="4" t="str">
        <f t="shared" si="0"/>
        <v>No</v>
      </c>
      <c r="C12" s="4" t="str">
        <f t="shared" si="1"/>
        <v>No</v>
      </c>
      <c r="D12" s="4" t="str">
        <f t="shared" si="2"/>
        <v>Yes</v>
      </c>
      <c r="E12" s="4" t="str">
        <f t="shared" si="3"/>
        <v>No</v>
      </c>
      <c r="F12" s="4" t="str">
        <f t="shared" si="4"/>
        <v>No</v>
      </c>
      <c r="G12" s="4" t="str">
        <f t="shared" si="5"/>
        <v>No</v>
      </c>
      <c r="H12" s="4" t="str">
        <f t="shared" si="6"/>
        <v>No</v>
      </c>
      <c r="I12" s="4" t="str">
        <f t="shared" si="7"/>
        <v>No</v>
      </c>
      <c r="J12" s="4" t="str">
        <f t="shared" si="8"/>
        <v>No</v>
      </c>
      <c r="K12" s="4" t="str">
        <f t="shared" si="9"/>
        <v>Yes</v>
      </c>
      <c r="L12" s="4" t="str">
        <f t="shared" si="10"/>
        <v>No</v>
      </c>
      <c r="M12" s="4" t="str">
        <f t="shared" si="11"/>
        <v>No</v>
      </c>
      <c r="N12" s="4" t="str">
        <f t="shared" si="12"/>
        <v>No</v>
      </c>
      <c r="O12" s="4" t="str">
        <f t="shared" si="13"/>
        <v>No</v>
      </c>
      <c r="P12" s="4" t="str">
        <f t="shared" si="14"/>
        <v>No</v>
      </c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1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>
      <c r="A13" t="s">
        <v>165</v>
      </c>
      <c r="B13" s="4" t="str">
        <f t="shared" ref="B13:B16" si="15">IF(ISERROR(MATCH($A13,D$22:D$330,0)),"No","Yes")</f>
        <v>Yes</v>
      </c>
      <c r="C13" s="4" t="str">
        <f t="shared" ref="C13:C16" si="16">IF(ISERROR(MATCH($A13,E$22:E$330,0)),"No","Yes")</f>
        <v>No</v>
      </c>
      <c r="D13" s="4" t="str">
        <f t="shared" ref="D13:D16" si="17">IF(ISERROR(MATCH($A13,F$22:F$330,0)),"No","Yes")</f>
        <v>No</v>
      </c>
      <c r="E13" s="4" t="str">
        <f t="shared" ref="E13:E16" si="18">IF(ISERROR(MATCH($A13,G$22:G$330,0)),"No","Yes")</f>
        <v>No</v>
      </c>
      <c r="F13" s="4" t="str">
        <f t="shared" ref="F13:F16" si="19">IF(ISERROR(MATCH($A13,H$22:H$330,0)),"No","Yes")</f>
        <v>No</v>
      </c>
      <c r="G13" s="4" t="str">
        <f t="shared" ref="G13:G16" si="20">IF(ISERROR(MATCH($A13,I$22:I$330,0)),"No","Yes")</f>
        <v>Yes</v>
      </c>
      <c r="H13" s="4" t="str">
        <f t="shared" ref="H13:H16" si="21">IF(ISERROR(MATCH($A13,J$22:J$330,0)),"No","Yes")</f>
        <v>No</v>
      </c>
      <c r="I13" s="4" t="str">
        <f t="shared" ref="I13:I16" si="22">IF(ISERROR(MATCH($A13,K$22:K$330,0)),"No","Yes")</f>
        <v>No</v>
      </c>
      <c r="J13" s="4" t="str">
        <f t="shared" ref="J13:J16" si="23">IF(ISERROR(MATCH($A13,L$22:L$330,0)),"No","Yes")</f>
        <v>Yes</v>
      </c>
      <c r="K13" s="4" t="str">
        <f t="shared" ref="K13:K16" si="24">IF(ISERROR(MATCH($A13,M$22:M$330,0)),"No","Yes")</f>
        <v>No</v>
      </c>
      <c r="L13" s="4" t="str">
        <f t="shared" ref="L13:L16" si="25">IF(ISERROR(MATCH($A13,N$22:N$330,0)),"No","Yes")</f>
        <v>No</v>
      </c>
      <c r="M13" s="4" t="str">
        <f t="shared" ref="M13:M16" si="26">IF(ISERROR(MATCH($A13,O$22:O$330,0)),"No","Yes")</f>
        <v>No</v>
      </c>
      <c r="N13" s="4" t="str">
        <f t="shared" ref="N13:N16" si="27">IF(ISERROR(MATCH($A13,P$22:P$330,0)),"No","Yes")</f>
        <v>No</v>
      </c>
      <c r="O13" s="4" t="str">
        <f t="shared" ref="O13:O16" si="28">IF(ISERROR(MATCH($A13,Q$22:Q$330,0)),"No","Yes")</f>
        <v>No</v>
      </c>
      <c r="P13" s="4" t="str">
        <f t="shared" ref="P13:P16" si="29">IF(ISERROR(MATCH($A13,R$22:R$330,0)),"No","Yes")</f>
        <v>No</v>
      </c>
    </row>
    <row r="14" spans="1:41">
      <c r="A14" t="s">
        <v>166</v>
      </c>
      <c r="B14" s="4" t="str">
        <f t="shared" si="15"/>
        <v>No</v>
      </c>
      <c r="C14" s="4" t="str">
        <f t="shared" si="16"/>
        <v>No</v>
      </c>
      <c r="D14" s="4" t="str">
        <f t="shared" si="17"/>
        <v>No</v>
      </c>
      <c r="E14" s="4" t="str">
        <f t="shared" si="18"/>
        <v>No</v>
      </c>
      <c r="F14" s="4" t="str">
        <f t="shared" si="19"/>
        <v>No</v>
      </c>
      <c r="G14" s="4" t="str">
        <f t="shared" si="20"/>
        <v>No</v>
      </c>
      <c r="H14" s="4" t="str">
        <f t="shared" si="21"/>
        <v>Yes</v>
      </c>
      <c r="I14" s="4" t="str">
        <f t="shared" si="22"/>
        <v>Yes</v>
      </c>
      <c r="J14" s="4" t="str">
        <f t="shared" si="23"/>
        <v>No</v>
      </c>
      <c r="K14" s="4" t="str">
        <f t="shared" si="24"/>
        <v>No</v>
      </c>
      <c r="L14" s="4" t="str">
        <f t="shared" si="25"/>
        <v>No</v>
      </c>
      <c r="M14" s="4" t="str">
        <f t="shared" si="26"/>
        <v>No</v>
      </c>
      <c r="N14" s="4" t="str">
        <f t="shared" si="27"/>
        <v>No</v>
      </c>
      <c r="O14" s="4" t="str">
        <f t="shared" si="28"/>
        <v>Yes</v>
      </c>
      <c r="P14" s="4" t="str">
        <f t="shared" si="29"/>
        <v>No</v>
      </c>
    </row>
    <row r="15" spans="1:41">
      <c r="A15" t="s">
        <v>167</v>
      </c>
      <c r="B15" s="4" t="str">
        <f t="shared" si="15"/>
        <v>No</v>
      </c>
      <c r="C15" s="4" t="str">
        <f t="shared" si="16"/>
        <v>No</v>
      </c>
      <c r="D15" s="4" t="str">
        <f t="shared" si="17"/>
        <v>No</v>
      </c>
      <c r="E15" s="4" t="str">
        <f t="shared" si="18"/>
        <v>No</v>
      </c>
      <c r="F15" s="4" t="str">
        <f t="shared" si="19"/>
        <v>No</v>
      </c>
      <c r="G15" s="4" t="str">
        <f t="shared" si="20"/>
        <v>No</v>
      </c>
      <c r="H15" s="4" t="str">
        <f t="shared" si="21"/>
        <v>No</v>
      </c>
      <c r="I15" s="4" t="str">
        <f t="shared" si="22"/>
        <v>No</v>
      </c>
      <c r="J15" s="4" t="str">
        <f t="shared" si="23"/>
        <v>Yes</v>
      </c>
      <c r="K15" s="4" t="str">
        <f t="shared" si="24"/>
        <v>No</v>
      </c>
      <c r="L15" s="4" t="str">
        <f t="shared" si="25"/>
        <v>No</v>
      </c>
      <c r="M15" s="4" t="str">
        <f t="shared" si="26"/>
        <v>No</v>
      </c>
      <c r="N15" s="4" t="str">
        <f t="shared" si="27"/>
        <v>Yes</v>
      </c>
      <c r="O15" s="4" t="str">
        <f t="shared" si="28"/>
        <v>No</v>
      </c>
      <c r="P15" s="4" t="str">
        <f t="shared" si="29"/>
        <v>No</v>
      </c>
    </row>
    <row r="16" spans="1:41">
      <c r="A16" t="s">
        <v>147</v>
      </c>
      <c r="B16" s="4" t="str">
        <f t="shared" si="15"/>
        <v>Yes</v>
      </c>
      <c r="C16" s="4" t="str">
        <f t="shared" si="16"/>
        <v>No</v>
      </c>
      <c r="D16" s="4" t="str">
        <f t="shared" si="17"/>
        <v>No</v>
      </c>
      <c r="E16" s="4" t="str">
        <f t="shared" si="18"/>
        <v>No</v>
      </c>
      <c r="F16" s="4" t="str">
        <f t="shared" si="19"/>
        <v>No</v>
      </c>
      <c r="G16" s="4" t="str">
        <f t="shared" si="20"/>
        <v>No</v>
      </c>
      <c r="H16" s="4" t="str">
        <f t="shared" si="21"/>
        <v>No</v>
      </c>
      <c r="I16" s="4" t="str">
        <f t="shared" si="22"/>
        <v>No</v>
      </c>
      <c r="J16" s="4" t="str">
        <f t="shared" si="23"/>
        <v>No</v>
      </c>
      <c r="K16" s="4" t="str">
        <f t="shared" si="24"/>
        <v>No</v>
      </c>
      <c r="L16" s="4" t="str">
        <f t="shared" si="25"/>
        <v>No</v>
      </c>
      <c r="M16" s="4" t="str">
        <f t="shared" si="26"/>
        <v>No</v>
      </c>
      <c r="N16" s="4" t="str">
        <f t="shared" si="27"/>
        <v>No</v>
      </c>
      <c r="O16" s="4" t="str">
        <f t="shared" si="28"/>
        <v>No</v>
      </c>
      <c r="P16" s="4" t="str">
        <f t="shared" si="29"/>
        <v>No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43</v>
      </c>
      <c r="B21" s="1" t="s">
        <v>44</v>
      </c>
      <c r="C21" s="6"/>
      <c r="D21" s="6" t="s">
        <v>5</v>
      </c>
      <c r="E21" s="6" t="s">
        <v>157</v>
      </c>
      <c r="F21" s="6" t="s">
        <v>158</v>
      </c>
      <c r="G21" s="6" t="s">
        <v>159</v>
      </c>
      <c r="H21" s="6" t="s">
        <v>9</v>
      </c>
      <c r="I21" s="6" t="s">
        <v>10</v>
      </c>
      <c r="J21" s="6" t="s">
        <v>160</v>
      </c>
      <c r="K21" s="6" t="s">
        <v>161</v>
      </c>
      <c r="L21" s="6" t="s">
        <v>162</v>
      </c>
      <c r="M21" s="6" t="s">
        <v>163</v>
      </c>
      <c r="N21" s="6" t="s">
        <v>164</v>
      </c>
      <c r="O21" s="6" t="s">
        <v>165</v>
      </c>
      <c r="P21" s="6" t="s">
        <v>166</v>
      </c>
      <c r="Q21" s="6" t="s">
        <v>167</v>
      </c>
      <c r="R21" s="6" t="s">
        <v>147</v>
      </c>
    </row>
    <row r="22" spans="1:21">
      <c r="A22" s="5" t="s">
        <v>159</v>
      </c>
      <c r="B22" s="5" t="s">
        <v>158</v>
      </c>
      <c r="C22" s="6">
        <v>1</v>
      </c>
      <c r="D22" s="6" t="str">
        <f t="array" ref="D22">IFERROR(INDEX($B$22:$B$610,SMALL(IF($A$22:$A$610=D$21,ROW(ElecLine!$A$22:$A$610)),ElecLine!$C22)-ROW(RoadList)),"")</f>
        <v>Jimma</v>
      </c>
      <c r="E22" s="6" t="str">
        <f t="array" ref="E22">IFERROR(INDEX($B$22:$B$610,SMALL(IF($A$22:$A$610=E$21,ROW(ElecLine!$A$22:$A$610)),ElecLine!$C22)-ROW(RoadList)),"")</f>
        <v>Mekelle</v>
      </c>
      <c r="F22" s="6" t="str">
        <f t="array" ref="F22">IFERROR(INDEX($B$22:$B$610,SMALL(IF($A$22:$A$610=F$21,ROW(ElecLine!$A$22:$A$610)),ElecLine!$C22)-ROW(RoadList)),"")</f>
        <v>Asosa</v>
      </c>
      <c r="G22" s="6" t="str">
        <f t="array" ref="G22">IFERROR(INDEX($B$22:$B$610,SMALL(IF($A$22:$A$610=G$21,ROW(ElecLine!$A$22:$A$610)),ElecLine!$C22)-ROW(RoadList)),"")</f>
        <v>BahirDar</v>
      </c>
      <c r="H22" s="6" t="str">
        <f t="array" ref="H22">IFERROR(INDEX($B$22:$B$610,SMALL(IF($A$22:$A$610=H$21,ROW(ElecLine!$A$22:$A$610)),ElecLine!$C22)-ROW(RoadList)),"")</f>
        <v>Semera</v>
      </c>
      <c r="I22" s="6" t="str">
        <f t="array" ref="I22">IFERROR(INDEX($B$22:$B$610,SMALL(IF($A$22:$A$610=I$21,ROW(ElecLine!$A$22:$A$610)),ElecLine!$C22)-ROW(RoadList)),"")</f>
        <v>Asosa</v>
      </c>
      <c r="J22" s="6" t="str">
        <f t="array" ref="J22">IFERROR(INDEX($B$22:$B$610,SMALL(IF($A$22:$A$610=J$21,ROW(ElecLine!$A$22:$A$610)),ElecLine!$C22)-ROW(RoadList)),"")</f>
        <v>AddisAbaba</v>
      </c>
      <c r="K22" s="6" t="str">
        <f t="array" ref="K22">IFERROR(INDEX($B$22:$B$610,SMALL(IF($A$22:$A$610=K$21,ROW(ElecLine!$A$22:$A$610)),ElecLine!$C22)-ROW(RoadList)),"")</f>
        <v>DireDawa</v>
      </c>
      <c r="L22" s="6" t="str">
        <f t="array" ref="L22">IFERROR(INDEX($B$22:$B$610,SMALL(IF($A$22:$A$610=L$21,ROW(ElecLine!$A$22:$A$610)),ElecLine!$C22)-ROW(RoadList)),"")</f>
        <v>Jimma</v>
      </c>
      <c r="M22" s="6" t="str">
        <f t="array" ref="M22">IFERROR(INDEX($B$22:$B$610,SMALL(IF($A$22:$A$610=M$21,ROW(ElecLine!$A$22:$A$610)),ElecLine!$C22)-ROW(RoadList)),"")</f>
        <v>Gondar</v>
      </c>
      <c r="N22" s="6" t="str">
        <f t="array" ref="N22">IFERROR(INDEX($B$22:$B$610,SMALL(IF($A$22:$A$610=N$21,ROW(ElecLine!$A$22:$A$610)),ElecLine!$C22)-ROW(RoadList)),"")</f>
        <v>BahirDar</v>
      </c>
      <c r="O22" s="6" t="str">
        <f t="array" ref="O22">IFERROR(INDEX($B$22:$B$610,SMALL(IF($A$22:$A$610=O$21,ROW(ElecLine!$A$22:$A$610)),ElecLine!$C22)-ROW(RoadList)),"")</f>
        <v>Gambela</v>
      </c>
      <c r="P22" s="6" t="str">
        <f t="array" ref="P22">IFERROR(INDEX($B$22:$B$610,SMALL(IF($A$22:$A$610=P$21,ROW(ElecLine!$A$22:$A$610)),ElecLine!$C22)-ROW(RoadList)),"")</f>
        <v>Goba</v>
      </c>
      <c r="Q22" s="6" t="str">
        <f t="array" ref="Q22">IFERROR(INDEX($B$22:$B$610,SMALL(IF($A$22:$A$610=Q$21,ROW(ElecLine!$A$22:$A$610)),ElecLine!$C22)-ROW(RoadList)),"")</f>
        <v>Awasa</v>
      </c>
      <c r="R22" s="6" t="str">
        <f t="array" ref="R22">IFERROR(INDEX($B$22:$B$610,SMALL(IF($A$22:$A$610=R$21,ROW(ElecLine!$A$22:$A$610)),ElecLine!$C22)-ROW(RoadList)),"")</f>
        <v>AddisAbaba</v>
      </c>
    </row>
    <row r="23" spans="1:21">
      <c r="A23" s="5" t="s">
        <v>159</v>
      </c>
      <c r="B23" s="5" t="s">
        <v>10</v>
      </c>
      <c r="C23" s="6">
        <f>C22+1</f>
        <v>2</v>
      </c>
      <c r="D23" s="6" t="str">
        <f t="array" ref="D23">IFERROR(INDEX($B$22:$B$610,SMALL(IF($A$22:$A$610=D$21,ROW(ElecLine!$A$22:$A$610)),ElecLine!$C23)-ROW(RoadList)),"")</f>
        <v>BahirDar</v>
      </c>
      <c r="E23" s="6" t="str">
        <f t="array" ref="E23">IFERROR(INDEX($B$22:$B$610,SMALL(IF($A$22:$A$610=E$21,ROW(ElecLine!$A$22:$A$610)),ElecLine!$C23)-ROW(RoadList)),"")</f>
        <v>DireDawa</v>
      </c>
      <c r="F23" s="6" t="str">
        <f t="array" ref="F23">IFERROR(INDEX($B$22:$B$610,SMALL(IF($A$22:$A$610=F$21,ROW(ElecLine!$A$22:$A$610)),ElecLine!$C23)-ROW(RoadList)),"")</f>
        <v>Gondar</v>
      </c>
      <c r="G23" s="6" t="str">
        <f t="array" ref="G23">IFERROR(INDEX($B$22:$B$610,SMALL(IF($A$22:$A$610=G$21,ROW(ElecLine!$A$22:$A$610)),ElecLine!$C23)-ROW(RoadList)),"")</f>
        <v>Gambela</v>
      </c>
      <c r="H23" s="6" t="str">
        <f t="array" ref="H23">IFERROR(INDEX($B$22:$B$610,SMALL(IF($A$22:$A$610=H$21,ROW(ElecLine!$A$22:$A$610)),ElecLine!$C23)-ROW(RoadList)),"")</f>
        <v>AddisAbaba</v>
      </c>
      <c r="I23" s="6" t="str">
        <f t="array" ref="I23">IFERROR(INDEX($B$22:$B$610,SMALL(IF($A$22:$A$610=I$21,ROW(ElecLine!$A$22:$A$610)),ElecLine!$C23)-ROW(RoadList)),"")</f>
        <v>Jimma</v>
      </c>
      <c r="J23" s="6" t="str">
        <f t="array" ref="J23">IFERROR(INDEX($B$22:$B$610,SMALL(IF($A$22:$A$610=J$21,ROW(ElecLine!$A$22:$A$610)),ElecLine!$C23)-ROW(RoadList)),"")</f>
        <v>DireDawa</v>
      </c>
      <c r="K23" s="6" t="str">
        <f t="array" ref="K23">IFERROR(INDEX($B$22:$B$610,SMALL(IF($A$22:$A$610=K$21,ROW(ElecLine!$A$22:$A$610)),ElecLine!$C23)-ROW(RoadList)),"")</f>
        <v>Werder</v>
      </c>
      <c r="L23" s="6" t="str">
        <f t="array" ref="L23">IFERROR(INDEX($B$22:$B$610,SMALL(IF($A$22:$A$610=L$21,ROW(ElecLine!$A$22:$A$610)),ElecLine!$C23)-ROW(RoadList)),"")</f>
        <v>Goba</v>
      </c>
      <c r="M23" s="6" t="str">
        <f t="array" ref="M23">IFERROR(INDEX($B$22:$B$610,SMALL(IF($A$22:$A$610=M$21,ROW(ElecLine!$A$22:$A$610)),ElecLine!$C23)-ROW(RoadList)),"")</f>
        <v>Semera</v>
      </c>
      <c r="N23" s="6" t="str">
        <f t="array" ref="N23">IFERROR(INDEX($B$22:$B$610,SMALL(IF($A$22:$A$610=N$21,ROW(ElecLine!$A$22:$A$610)),ElecLine!$C23)-ROW(RoadList)),"")</f>
        <v>Mekelle</v>
      </c>
      <c r="O23" s="6" t="str">
        <f t="array" ref="O23">IFERROR(INDEX($B$22:$B$610,SMALL(IF($A$22:$A$610=O$21,ROW(ElecLine!$A$22:$A$610)),ElecLine!$C23)-ROW(RoadList)),"")</f>
        <v>Awasa</v>
      </c>
      <c r="P23" s="6" t="str">
        <f t="array" ref="P23">IFERROR(INDEX($B$22:$B$610,SMALL(IF($A$22:$A$610=P$21,ROW(ElecLine!$A$22:$A$610)),ElecLine!$C23)-ROW(RoadList)),"")</f>
        <v>Jijiga</v>
      </c>
      <c r="Q23" s="6" t="str">
        <f t="array" ref="Q23">IFERROR(INDEX($B$22:$B$610,SMALL(IF($A$22:$A$610=Q$21,ROW(ElecLine!$A$22:$A$610)),ElecLine!$C23)-ROW(RoadList)),"")</f>
        <v>Werder</v>
      </c>
      <c r="R23" s="6" t="str">
        <f t="array" ref="R23">IFERROR(INDEX($B$22:$B$610,SMALL(IF($A$22:$A$610=R$21,ROW(ElecLine!$A$22:$A$610)),ElecLine!$C23)-ROW(RoadList)),"")</f>
        <v/>
      </c>
    </row>
    <row r="24" spans="1:21">
      <c r="A24" s="5" t="s">
        <v>10</v>
      </c>
      <c r="B24" s="5" t="s">
        <v>159</v>
      </c>
      <c r="C24" s="6">
        <f t="shared" ref="C24:C32" si="30">C23+1</f>
        <v>3</v>
      </c>
      <c r="D24" s="6" t="str">
        <f t="array" ref="D24">IFERROR(INDEX($B$22:$B$610,SMALL(IF($A$22:$A$610=D$21,ROW(ElecLine!$A$22:$A$610)),ElecLine!$C24)-ROW(RoadList)),"")</f>
        <v>Awasa</v>
      </c>
      <c r="E24" s="6" t="str">
        <f t="array" ref="E24">IFERROR(INDEX($B$22:$B$610,SMALL(IF($A$22:$A$610=E$21,ROW(ElecLine!$A$22:$A$610)),ElecLine!$C24)-ROW(RoadList)),"")</f>
        <v/>
      </c>
      <c r="F24" s="6" t="str">
        <f t="array" ref="F24">IFERROR(INDEX($B$22:$B$610,SMALL(IF($A$22:$A$610=F$21,ROW(ElecLine!$A$22:$A$610)),ElecLine!$C24)-ROW(RoadList)),"")</f>
        <v>AddisAbaba</v>
      </c>
      <c r="G24" s="6" t="str">
        <f t="array" ref="G24">IFERROR(INDEX($B$22:$B$610,SMALL(IF($A$22:$A$610=G$21,ROW(ElecLine!$A$22:$A$610)),ElecLine!$C24)-ROW(RoadList)),"")</f>
        <v/>
      </c>
      <c r="H24" s="6" t="str">
        <f t="array" ref="H24">IFERROR(INDEX($B$22:$B$610,SMALL(IF($A$22:$A$610=H$21,ROW(ElecLine!$A$22:$A$610)),ElecLine!$C24)-ROW(RoadList)),"")</f>
        <v>Harar</v>
      </c>
      <c r="I24" s="6" t="str">
        <f t="array" ref="I24">IFERROR(INDEX($B$22:$B$610,SMALL(IF($A$22:$A$610=I$21,ROW(ElecLine!$A$22:$A$610)),ElecLine!$C24)-ROW(RoadList)),"")</f>
        <v/>
      </c>
      <c r="J24" s="6" t="str">
        <f t="array" ref="J24">IFERROR(INDEX($B$22:$B$610,SMALL(IF($A$22:$A$610=J$21,ROW(ElecLine!$A$22:$A$610)),ElecLine!$C24)-ROW(RoadList)),"")</f>
        <v>Jijiga</v>
      </c>
      <c r="K24" s="6" t="str">
        <f t="array" ref="K24">IFERROR(INDEX($B$22:$B$610,SMALL(IF($A$22:$A$610=K$21,ROW(ElecLine!$A$22:$A$610)),ElecLine!$C24)-ROW(RoadList)),"")</f>
        <v>Harar</v>
      </c>
      <c r="L24" s="6" t="str">
        <f t="array" ref="L24">IFERROR(INDEX($B$22:$B$610,SMALL(IF($A$22:$A$610=L$21,ROW(ElecLine!$A$22:$A$610)),ElecLine!$C24)-ROW(RoadList)),"")</f>
        <v>AddisAbaba</v>
      </c>
      <c r="M24" s="6" t="str">
        <f t="array" ref="M24">IFERROR(INDEX($B$22:$B$610,SMALL(IF($A$22:$A$610=M$21,ROW(ElecLine!$A$22:$A$610)),ElecLine!$C24)-ROW(RoadList)),"")</f>
        <v/>
      </c>
      <c r="N24" s="6" t="str">
        <f t="array" ref="N24">IFERROR(INDEX($B$22:$B$610,SMALL(IF($A$22:$A$610=N$21,ROW(ElecLine!$A$22:$A$610)),ElecLine!$C24)-ROW(RoadList)),"")</f>
        <v/>
      </c>
      <c r="O24" s="6" t="str">
        <f t="array" ref="O24">IFERROR(INDEX($B$22:$B$610,SMALL(IF($A$22:$A$610=O$21,ROW(ElecLine!$A$22:$A$610)),ElecLine!$C24)-ROW(RoadList)),"")</f>
        <v>AddisAbaba</v>
      </c>
      <c r="P24" s="6" t="str">
        <f t="array" ref="P24">IFERROR(INDEX($B$22:$B$610,SMALL(IF($A$22:$A$610=P$21,ROW(ElecLine!$A$22:$A$610)),ElecLine!$C24)-ROW(RoadList)),"")</f>
        <v>Harar</v>
      </c>
      <c r="Q24" s="6" t="str">
        <f t="array" ref="Q24">IFERROR(INDEX($B$22:$B$610,SMALL(IF($A$22:$A$610=Q$21,ROW(ElecLine!$A$22:$A$610)),ElecLine!$C24)-ROW(RoadList)),"")</f>
        <v/>
      </c>
      <c r="R24" s="6" t="str">
        <f t="array" ref="R24">IFERROR(INDEX($B$22:$B$610,SMALL(IF($A$22:$A$610=R$21,ROW(ElecLine!$A$22:$A$610)),ElecLine!$C24)-ROW(RoadList)),"")</f>
        <v/>
      </c>
    </row>
    <row r="25" spans="1:21">
      <c r="A25" s="5" t="s">
        <v>10</v>
      </c>
      <c r="B25" s="5" t="s">
        <v>165</v>
      </c>
      <c r="C25" s="6">
        <f t="shared" si="30"/>
        <v>4</v>
      </c>
      <c r="D25" s="6" t="str">
        <f t="array" ref="D25">IFERROR(INDEX($B$22:$B$610,SMALL(IF($A$22:$A$610=D$21,ROW(ElecLine!$A$22:$A$610)),ElecLine!$C25)-ROW(RoadList)),"")</f>
        <v>DireDawa</v>
      </c>
      <c r="E25" s="6" t="str">
        <f t="array" ref="E25">IFERROR(INDEX($B$22:$B$610,SMALL(IF($A$22:$A$610=E$21,ROW(ElecLine!$A$22:$A$610)),ElecLine!$C25)-ROW(RoadList)),"")</f>
        <v/>
      </c>
      <c r="F25" s="6" t="str">
        <f t="array" ref="F25">IFERROR(INDEX($B$22:$B$610,SMALL(IF($A$22:$A$610=F$21,ROW(ElecLine!$A$22:$A$610)),ElecLine!$C25)-ROW(RoadList)),"")</f>
        <v/>
      </c>
      <c r="G25" s="6" t="str">
        <f t="array" ref="G25">IFERROR(INDEX($B$22:$B$610,SMALL(IF($A$22:$A$610=G$21,ROW(ElecLine!$A$22:$A$610)),ElecLine!$C25)-ROW(RoadList)),"")</f>
        <v/>
      </c>
      <c r="H25" s="6" t="str">
        <f t="array" ref="H25">IFERROR(INDEX($B$22:$B$610,SMALL(IF($A$22:$A$610=H$21,ROW(ElecLine!$A$22:$A$610)),ElecLine!$C25)-ROW(RoadList)),"")</f>
        <v>Jijiga</v>
      </c>
      <c r="I25" s="6" t="str">
        <f t="array" ref="I25">IFERROR(INDEX($B$22:$B$610,SMALL(IF($A$22:$A$610=I$21,ROW(ElecLine!$A$22:$A$610)),ElecLine!$C25)-ROW(RoadList)),"")</f>
        <v/>
      </c>
      <c r="J25" s="6" t="str">
        <f t="array" ref="J25">IFERROR(INDEX($B$22:$B$610,SMALL(IF($A$22:$A$610=J$21,ROW(ElecLine!$A$22:$A$610)),ElecLine!$C25)-ROW(RoadList)),"")</f>
        <v>Werder</v>
      </c>
      <c r="K25" s="6" t="str">
        <f t="array" ref="K25">IFERROR(INDEX($B$22:$B$610,SMALL(IF($A$22:$A$610=K$21,ROW(ElecLine!$A$22:$A$610)),ElecLine!$C25)-ROW(RoadList)),"")</f>
        <v/>
      </c>
      <c r="L25" s="6" t="str">
        <f t="array" ref="L25">IFERROR(INDEX($B$22:$B$610,SMALL(IF($A$22:$A$610=L$21,ROW(ElecLine!$A$22:$A$610)),ElecLine!$C25)-ROW(RoadList)),"")</f>
        <v/>
      </c>
      <c r="M25" s="6" t="str">
        <f t="array" ref="M25">IFERROR(INDEX($B$22:$B$610,SMALL(IF($A$22:$A$610=M$21,ROW(ElecLine!$A$22:$A$610)),ElecLine!$C25)-ROW(RoadList)),"")</f>
        <v/>
      </c>
      <c r="N25" s="6" t="str">
        <f t="array" ref="N25">IFERROR(INDEX($B$22:$B$610,SMALL(IF($A$22:$A$610=N$21,ROW(ElecLine!$A$22:$A$610)),ElecLine!$C25)-ROW(RoadList)),"")</f>
        <v/>
      </c>
      <c r="O25" s="6" t="str">
        <f t="array" ref="O25">IFERROR(INDEX($B$22:$B$610,SMALL(IF($A$22:$A$610=O$21,ROW(ElecLine!$A$22:$A$610)),ElecLine!$C25)-ROW(RoadList)),"")</f>
        <v/>
      </c>
      <c r="P25" s="6" t="str">
        <f t="array" ref="P25">IFERROR(INDEX($B$22:$B$610,SMALL(IF($A$22:$A$610=P$21,ROW(ElecLine!$A$22:$A$610)),ElecLine!$C25)-ROW(RoadList)),"")</f>
        <v/>
      </c>
      <c r="Q25" s="6" t="str">
        <f t="array" ref="Q25">IFERROR(INDEX($B$22:$B$610,SMALL(IF($A$22:$A$610=Q$21,ROW(ElecLine!$A$22:$A$610)),ElecLine!$C25)-ROW(RoadList)),"")</f>
        <v/>
      </c>
      <c r="R25" s="6" t="str">
        <f t="array" ref="R25">IFERROR(INDEX($B$22:$B$610,SMALL(IF($A$22:$A$610=R$21,ROW(ElecLine!$A$22:$A$610)),ElecLine!$C25)-ROW(RoadList)),"")</f>
        <v/>
      </c>
    </row>
    <row r="26" spans="1:21">
      <c r="A26" s="5" t="s">
        <v>158</v>
      </c>
      <c r="B26" s="5" t="s">
        <v>159</v>
      </c>
      <c r="C26" s="6">
        <f t="shared" si="30"/>
        <v>5</v>
      </c>
      <c r="D26" s="6" t="str">
        <f t="array" ref="D26">IFERROR(INDEX($B$22:$B$610,SMALL(IF($A$22:$A$610=D$21,ROW(ElecLine!$A$22:$A$610)),ElecLine!$C26)-ROW(RoadList)),"")</f>
        <v>Harar</v>
      </c>
      <c r="E26" s="6" t="str">
        <f t="array" ref="E26">IFERROR(INDEX($B$22:$B$610,SMALL(IF($A$22:$A$610=E$21,ROW(ElecLine!$A$22:$A$610)),ElecLine!$C26)-ROW(RoadList)),"")</f>
        <v/>
      </c>
      <c r="F26" s="6" t="str">
        <f t="array" ref="F26">IFERROR(INDEX($B$22:$B$610,SMALL(IF($A$22:$A$610=F$21,ROW(ElecLine!$A$22:$A$610)),ElecLine!$C26)-ROW(RoadList)),"")</f>
        <v/>
      </c>
      <c r="G26" s="6" t="str">
        <f t="array" ref="G26">IFERROR(INDEX($B$22:$B$610,SMALL(IF($A$22:$A$610=G$21,ROW(ElecLine!$A$22:$A$610)),ElecLine!$C26)-ROW(RoadList)),"")</f>
        <v/>
      </c>
      <c r="H26" s="6" t="str">
        <f t="array" ref="H26">IFERROR(INDEX($B$22:$B$610,SMALL(IF($A$22:$A$610=H$21,ROW(ElecLine!$A$22:$A$610)),ElecLine!$C26)-ROW(RoadList)),"")</f>
        <v/>
      </c>
      <c r="I26" s="6" t="str">
        <f t="array" ref="I26">IFERROR(INDEX($B$22:$B$610,SMALL(IF($A$22:$A$610=I$21,ROW(ElecLine!$A$22:$A$610)),ElecLine!$C26)-ROW(RoadList)),"")</f>
        <v/>
      </c>
      <c r="J26" s="6" t="str">
        <f t="array" ref="J26">IFERROR(INDEX($B$22:$B$610,SMALL(IF($A$22:$A$610=J$21,ROW(ElecLine!$A$22:$A$610)),ElecLine!$C26)-ROW(RoadList)),"")</f>
        <v/>
      </c>
      <c r="K26" s="6" t="str">
        <f t="array" ref="K26">IFERROR(INDEX($B$22:$B$610,SMALL(IF($A$22:$A$610=K$21,ROW(ElecLine!$A$22:$A$610)),ElecLine!$C26)-ROW(RoadList)),"")</f>
        <v/>
      </c>
      <c r="L26" s="6" t="str">
        <f t="array" ref="L26">IFERROR(INDEX($B$22:$B$610,SMALL(IF($A$22:$A$610=L$21,ROW(ElecLine!$A$22:$A$610)),ElecLine!$C26)-ROW(RoadList)),"")</f>
        <v/>
      </c>
      <c r="M26" s="6" t="str">
        <f t="array" ref="M26">IFERROR(INDEX($B$22:$B$610,SMALL(IF($A$22:$A$610=M$21,ROW(ElecLine!$A$22:$A$610)),ElecLine!$C26)-ROW(RoadList)),"")</f>
        <v/>
      </c>
      <c r="N26" s="6" t="str">
        <f t="array" ref="N26">IFERROR(INDEX($B$22:$B$610,SMALL(IF($A$22:$A$610=N$21,ROW(ElecLine!$A$22:$A$610)),ElecLine!$C26)-ROW(RoadList)),"")</f>
        <v/>
      </c>
      <c r="O26" s="6" t="str">
        <f t="array" ref="O26">IFERROR(INDEX($B$22:$B$610,SMALL(IF($A$22:$A$610=O$21,ROW(ElecLine!$A$22:$A$610)),ElecLine!$C26)-ROW(RoadList)),"")</f>
        <v/>
      </c>
      <c r="P26" s="6" t="str">
        <f t="array" ref="P26">IFERROR(INDEX($B$22:$B$610,SMALL(IF($A$22:$A$610=P$21,ROW(ElecLine!$A$22:$A$610)),ElecLine!$C26)-ROW(RoadList)),"")</f>
        <v/>
      </c>
      <c r="Q26" s="6" t="str">
        <f t="array" ref="Q26">IFERROR(INDEX($B$22:$B$610,SMALL(IF($A$22:$A$610=Q$21,ROW(ElecLine!$A$22:$A$610)),ElecLine!$C26)-ROW(RoadList)),"")</f>
        <v/>
      </c>
      <c r="R26" s="6" t="str">
        <f t="array" ref="R26">IFERROR(INDEX($B$22:$B$610,SMALL(IF($A$22:$A$610=R$21,ROW(ElecLine!$A$22:$A$610)),ElecLine!$C26)-ROW(RoadList)),"")</f>
        <v/>
      </c>
    </row>
    <row r="27" spans="1:21">
      <c r="A27" s="5" t="s">
        <v>158</v>
      </c>
      <c r="B27" s="5" t="s">
        <v>164</v>
      </c>
      <c r="C27" s="6">
        <f t="shared" si="30"/>
        <v>6</v>
      </c>
      <c r="D27" s="6" t="str">
        <f t="array" ref="D27">IFERROR(INDEX($B$22:$B$610,SMALL(IF($A$22:$A$610=D$21,ROW(ElecLine!$A$22:$A$610)),ElecLine!$C27)-ROW(RoadList)),"")</f>
        <v>External</v>
      </c>
      <c r="E27" s="6" t="str">
        <f t="array" ref="E27">IFERROR(INDEX($B$22:$B$610,SMALL(IF($A$22:$A$610=E$21,ROW(ElecLine!$A$22:$A$610)),ElecLine!$C27)-ROW(RoadList)),"")</f>
        <v/>
      </c>
      <c r="F27" s="6" t="str">
        <f t="array" ref="F27">IFERROR(INDEX($B$22:$B$610,SMALL(IF($A$22:$A$610=F$21,ROW(ElecLine!$A$22:$A$610)),ElecLine!$C27)-ROW(RoadList)),"")</f>
        <v/>
      </c>
      <c r="G27" s="6" t="str">
        <f t="array" ref="G27">IFERROR(INDEX($B$22:$B$610,SMALL(IF($A$22:$A$610=G$21,ROW(ElecLine!$A$22:$A$610)),ElecLine!$C27)-ROW(RoadList)),"")</f>
        <v/>
      </c>
      <c r="H27" s="6" t="str">
        <f t="array" ref="H27">IFERROR(INDEX($B$22:$B$610,SMALL(IF($A$22:$A$610=H$21,ROW(ElecLine!$A$22:$A$610)),ElecLine!$C27)-ROW(RoadList)),"")</f>
        <v/>
      </c>
      <c r="I27" s="6" t="str">
        <f t="array" ref="I27">IFERROR(INDEX($B$22:$B$610,SMALL(IF($A$22:$A$610=I$21,ROW(ElecLine!$A$22:$A$610)),ElecLine!$C27)-ROW(RoadList)),"")</f>
        <v/>
      </c>
      <c r="J27" s="6" t="str">
        <f t="array" ref="J27">IFERROR(INDEX($B$22:$B$610,SMALL(IF($A$22:$A$610=J$21,ROW(ElecLine!$A$22:$A$610)),ElecLine!$C27)-ROW(RoadList)),"")</f>
        <v/>
      </c>
      <c r="K27" s="6" t="str">
        <f t="array" ref="K27">IFERROR(INDEX($B$22:$B$610,SMALL(IF($A$22:$A$610=K$21,ROW(ElecLine!$A$22:$A$610)),ElecLine!$C27)-ROW(RoadList)),"")</f>
        <v/>
      </c>
      <c r="L27" s="6" t="str">
        <f t="array" ref="L27">IFERROR(INDEX($B$22:$B$610,SMALL(IF($A$22:$A$610=L$21,ROW(ElecLine!$A$22:$A$610)),ElecLine!$C27)-ROW(RoadList)),"")</f>
        <v/>
      </c>
      <c r="M27" s="6" t="str">
        <f t="array" ref="M27">IFERROR(INDEX($B$22:$B$610,SMALL(IF($A$22:$A$610=M$21,ROW(ElecLine!$A$22:$A$610)),ElecLine!$C27)-ROW(RoadList)),"")</f>
        <v/>
      </c>
      <c r="N27" s="6" t="str">
        <f t="array" ref="N27">IFERROR(INDEX($B$22:$B$610,SMALL(IF($A$22:$A$610=N$21,ROW(ElecLine!$A$22:$A$610)),ElecLine!$C27)-ROW(RoadList)),"")</f>
        <v/>
      </c>
      <c r="O27" s="6" t="str">
        <f t="array" ref="O27">IFERROR(INDEX($B$22:$B$610,SMALL(IF($A$22:$A$610=O$21,ROW(ElecLine!$A$22:$A$610)),ElecLine!$C27)-ROW(RoadList)),"")</f>
        <v/>
      </c>
      <c r="P27" s="6" t="str">
        <f t="array" ref="P27">IFERROR(INDEX($B$22:$B$610,SMALL(IF($A$22:$A$610=P$21,ROW(ElecLine!$A$22:$A$610)),ElecLine!$C27)-ROW(RoadList)),"")</f>
        <v/>
      </c>
      <c r="Q27" s="6" t="str">
        <f t="array" ref="Q27">IFERROR(INDEX($B$22:$B$610,SMALL(IF($A$22:$A$610=Q$21,ROW(ElecLine!$A$22:$A$610)),ElecLine!$C27)-ROW(RoadList)),"")</f>
        <v/>
      </c>
      <c r="R27" s="6" t="str">
        <f t="array" ref="R27">IFERROR(INDEX($B$22:$B$610,SMALL(IF($A$22:$A$610=R$21,ROW(ElecLine!$A$22:$A$610)),ElecLine!$C27)-ROW(RoadList)),"")</f>
        <v/>
      </c>
    </row>
    <row r="28" spans="1:21">
      <c r="A28" s="5" t="s">
        <v>158</v>
      </c>
      <c r="B28" s="5" t="s">
        <v>5</v>
      </c>
      <c r="C28" s="6">
        <f t="shared" si="30"/>
        <v>7</v>
      </c>
      <c r="D28" s="6" t="str">
        <f t="array" ref="D28">IFERROR(INDEX($B$22:$B$610,SMALL(IF($A$22:$A$610=D$21,ROW(ElecLine!$A$22:$A$610)),ElecLine!$C28)-ROW(RoadList)),"")</f>
        <v/>
      </c>
      <c r="E28" s="6" t="str">
        <f t="array" ref="E28">IFERROR(INDEX($B$22:$B$610,SMALL(IF($A$22:$A$610=E$21,ROW(ElecLine!$A$22:$A$610)),ElecLine!$C28)-ROW(RoadList)),"")</f>
        <v/>
      </c>
      <c r="F28" s="6" t="str">
        <f t="array" ref="F28">IFERROR(INDEX($B$22:$B$610,SMALL(IF($A$22:$A$610=F$21,ROW(ElecLine!$A$22:$A$610)),ElecLine!$C28)-ROW(RoadList)),"")</f>
        <v/>
      </c>
      <c r="G28" s="6" t="str">
        <f t="array" ref="G28">IFERROR(INDEX($B$22:$B$610,SMALL(IF($A$22:$A$610=G$21,ROW(ElecLine!$A$22:$A$610)),ElecLine!$C28)-ROW(RoadList)),"")</f>
        <v/>
      </c>
      <c r="H28" s="6" t="str">
        <f t="array" ref="H28">IFERROR(INDEX($B$22:$B$610,SMALL(IF($A$22:$A$610=H$21,ROW(ElecLine!$A$22:$A$610)),ElecLine!$C28)-ROW(RoadList)),"")</f>
        <v/>
      </c>
      <c r="I28" s="6" t="str">
        <f t="array" ref="I28">IFERROR(INDEX($B$22:$B$610,SMALL(IF($A$22:$A$610=I$21,ROW(ElecLine!$A$22:$A$610)),ElecLine!$C28)-ROW(RoadList)),"")</f>
        <v/>
      </c>
      <c r="J28" s="6" t="str">
        <f t="array" ref="J28">IFERROR(INDEX($B$22:$B$610,SMALL(IF($A$22:$A$610=J$21,ROW(ElecLine!$A$22:$A$610)),ElecLine!$C28)-ROW(RoadList)),"")</f>
        <v/>
      </c>
      <c r="K28" s="6" t="str">
        <f t="array" ref="K28">IFERROR(INDEX($B$22:$B$610,SMALL(IF($A$22:$A$610=K$21,ROW(ElecLine!$A$22:$A$610)),ElecLine!$C28)-ROW(RoadList)),"")</f>
        <v/>
      </c>
      <c r="L28" s="6" t="str">
        <f t="array" ref="L28">IFERROR(INDEX($B$22:$B$610,SMALL(IF($A$22:$A$610=L$21,ROW(ElecLine!$A$22:$A$610)),ElecLine!$C28)-ROW(RoadList)),"")</f>
        <v/>
      </c>
      <c r="M28" s="6" t="str">
        <f t="array" ref="M28">IFERROR(INDEX($B$22:$B$610,SMALL(IF($A$22:$A$610=M$21,ROW(ElecLine!$A$22:$A$610)),ElecLine!$C28)-ROW(RoadList)),"")</f>
        <v/>
      </c>
      <c r="N28" s="6" t="str">
        <f t="array" ref="N28">IFERROR(INDEX($B$22:$B$610,SMALL(IF($A$22:$A$610=N$21,ROW(ElecLine!$A$22:$A$610)),ElecLine!$C28)-ROW(RoadList)),"")</f>
        <v/>
      </c>
      <c r="O28" s="6" t="str">
        <f t="array" ref="O28">IFERROR(INDEX($B$22:$B$610,SMALL(IF($A$22:$A$610=O$21,ROW(ElecLine!$A$22:$A$610)),ElecLine!$C28)-ROW(RoadList)),"")</f>
        <v/>
      </c>
      <c r="P28" s="6" t="str">
        <f t="array" ref="P28">IFERROR(INDEX($B$22:$B$610,SMALL(IF($A$22:$A$610=P$21,ROW(ElecLine!$A$22:$A$610)),ElecLine!$C28)-ROW(RoadList)),"")</f>
        <v/>
      </c>
      <c r="Q28" s="6" t="str">
        <f t="array" ref="Q28">IFERROR(INDEX($B$22:$B$610,SMALL(IF($A$22:$A$610=Q$21,ROW(ElecLine!$A$22:$A$610)),ElecLine!$C28)-ROW(RoadList)),"")</f>
        <v/>
      </c>
      <c r="R28" s="6" t="str">
        <f t="array" ref="R28">IFERROR(INDEX($B$22:$B$610,SMALL(IF($A$22:$A$610=R$21,ROW(ElecLine!$A$22:$A$610)),ElecLine!$C28)-ROW(RoadList)),"")</f>
        <v/>
      </c>
    </row>
    <row r="29" spans="1:21">
      <c r="A29" s="5" t="s">
        <v>164</v>
      </c>
      <c r="B29" s="5" t="s">
        <v>158</v>
      </c>
      <c r="C29" s="6">
        <f t="shared" si="30"/>
        <v>8</v>
      </c>
      <c r="D29" s="6" t="str">
        <f t="array" ref="D29">IFERROR(INDEX($B$22:$B$610,SMALL(IF($A$22:$A$610=D$21,ROW(ElecLine!$A$22:$A$610)),ElecLine!$C29)-ROW(RoadList)),"")</f>
        <v/>
      </c>
      <c r="E29" s="6" t="str">
        <f t="array" ref="E29">IFERROR(INDEX($B$22:$B$610,SMALL(IF($A$22:$A$610=E$21,ROW(ElecLine!$A$22:$A$610)),ElecLine!$C29)-ROW(RoadList)),"")</f>
        <v/>
      </c>
      <c r="F29" s="6" t="str">
        <f t="array" ref="F29">IFERROR(INDEX($B$22:$B$610,SMALL(IF($A$22:$A$610=F$21,ROW(ElecLine!$A$22:$A$610)),ElecLine!$C29)-ROW(RoadList)),"")</f>
        <v/>
      </c>
      <c r="G29" s="6" t="str">
        <f t="array" ref="G29">IFERROR(INDEX($B$22:$B$610,SMALL(IF($A$22:$A$610=G$21,ROW(ElecLine!$A$22:$A$610)),ElecLine!$C29)-ROW(RoadList)),"")</f>
        <v/>
      </c>
      <c r="H29" s="6" t="str">
        <f t="array" ref="H29">IFERROR(INDEX($B$22:$B$610,SMALL(IF($A$22:$A$610=H$21,ROW(ElecLine!$A$22:$A$610)),ElecLine!$C29)-ROW(RoadList)),"")</f>
        <v/>
      </c>
      <c r="I29" s="6" t="str">
        <f t="array" ref="I29">IFERROR(INDEX($B$22:$B$610,SMALL(IF($A$22:$A$610=I$21,ROW(ElecLine!$A$22:$A$610)),ElecLine!$C29)-ROW(RoadList)),"")</f>
        <v/>
      </c>
      <c r="J29" s="6" t="str">
        <f t="array" ref="J29">IFERROR(INDEX($B$22:$B$610,SMALL(IF($A$22:$A$610=J$21,ROW(ElecLine!$A$22:$A$610)),ElecLine!$C29)-ROW(RoadList)),"")</f>
        <v/>
      </c>
      <c r="K29" s="6" t="str">
        <f t="array" ref="K29">IFERROR(INDEX($B$22:$B$610,SMALL(IF($A$22:$A$610=K$21,ROW(ElecLine!$A$22:$A$610)),ElecLine!$C29)-ROW(RoadList)),"")</f>
        <v/>
      </c>
      <c r="L29" s="6" t="str">
        <f t="array" ref="L29">IFERROR(INDEX($B$22:$B$610,SMALL(IF($A$22:$A$610=L$21,ROW(ElecLine!$A$22:$A$610)),ElecLine!$C29)-ROW(RoadList)),"")</f>
        <v/>
      </c>
      <c r="M29" s="6" t="str">
        <f t="array" ref="M29">IFERROR(INDEX($B$22:$B$610,SMALL(IF($A$22:$A$610=M$21,ROW(ElecLine!$A$22:$A$610)),ElecLine!$C29)-ROW(RoadList)),"")</f>
        <v/>
      </c>
      <c r="N29" s="6" t="str">
        <f t="array" ref="N29">IFERROR(INDEX($B$22:$B$610,SMALL(IF($A$22:$A$610=N$21,ROW(ElecLine!$A$22:$A$610)),ElecLine!$C29)-ROW(RoadList)),"")</f>
        <v/>
      </c>
      <c r="O29" s="6" t="str">
        <f t="array" ref="O29">IFERROR(INDEX($B$22:$B$610,SMALL(IF($A$22:$A$610=O$21,ROW(ElecLine!$A$22:$A$610)),ElecLine!$C29)-ROW(RoadList)),"")</f>
        <v/>
      </c>
      <c r="P29" s="6" t="str">
        <f t="array" ref="P29">IFERROR(INDEX($B$22:$B$610,SMALL(IF($A$22:$A$610=P$21,ROW(ElecLine!$A$22:$A$610)),ElecLine!$C29)-ROW(RoadList)),"")</f>
        <v/>
      </c>
      <c r="Q29" s="6" t="str">
        <f t="array" ref="Q29">IFERROR(INDEX($B$22:$B$610,SMALL(IF($A$22:$A$610=Q$21,ROW(ElecLine!$A$22:$A$610)),ElecLine!$C29)-ROW(RoadList)),"")</f>
        <v/>
      </c>
      <c r="R29" s="6" t="str">
        <f t="array" ref="R29">IFERROR(INDEX($B$22:$B$610,SMALL(IF($A$22:$A$610=R$21,ROW(ElecLine!$A$22:$A$610)),ElecLine!$C29)-ROW(RoadList)),"")</f>
        <v/>
      </c>
    </row>
    <row r="30" spans="1:21">
      <c r="A30" s="5" t="s">
        <v>164</v>
      </c>
      <c r="B30" s="5" t="s">
        <v>163</v>
      </c>
      <c r="C30" s="6">
        <f t="shared" si="30"/>
        <v>9</v>
      </c>
      <c r="D30" s="6" t="str">
        <f t="array" ref="D30">IFERROR(INDEX($B$22:$B$610,SMALL(IF($A$22:$A$610=D$21,ROW(ElecLine!$A$22:$A$610)),ElecLine!$C30)-ROW(RoadList)),"")</f>
        <v/>
      </c>
      <c r="E30" s="6" t="str">
        <f t="array" ref="E30">IFERROR(INDEX($B$22:$B$610,SMALL(IF($A$22:$A$610=E$21,ROW(ElecLine!$A$22:$A$610)),ElecLine!$C30)-ROW(RoadList)),"")</f>
        <v/>
      </c>
      <c r="F30" s="6" t="str">
        <f t="array" ref="F30">IFERROR(INDEX($B$22:$B$610,SMALL(IF($A$22:$A$610=F$21,ROW(ElecLine!$A$22:$A$610)),ElecLine!$C30)-ROW(RoadList)),"")</f>
        <v/>
      </c>
      <c r="G30" s="6" t="str">
        <f t="array" ref="G30">IFERROR(INDEX($B$22:$B$610,SMALL(IF($A$22:$A$610=G$21,ROW(ElecLine!$A$22:$A$610)),ElecLine!$C30)-ROW(RoadList)),"")</f>
        <v/>
      </c>
      <c r="H30" s="6" t="str">
        <f t="array" ref="H30">IFERROR(INDEX($B$22:$B$610,SMALL(IF($A$22:$A$610=H$21,ROW(ElecLine!$A$22:$A$610)),ElecLine!$C30)-ROW(RoadList)),"")</f>
        <v/>
      </c>
      <c r="I30" s="6" t="str">
        <f t="array" ref="I30">IFERROR(INDEX($B$22:$B$610,SMALL(IF($A$22:$A$610=I$21,ROW(ElecLine!$A$22:$A$610)),ElecLine!$C30)-ROW(RoadList)),"")</f>
        <v/>
      </c>
      <c r="J30" s="6" t="str">
        <f t="array" ref="J30">IFERROR(INDEX($B$22:$B$610,SMALL(IF($A$22:$A$610=J$21,ROW(ElecLine!$A$22:$A$610)),ElecLine!$C30)-ROW(RoadList)),"")</f>
        <v/>
      </c>
      <c r="K30" s="6" t="str">
        <f t="array" ref="K30">IFERROR(INDEX($B$22:$B$610,SMALL(IF($A$22:$A$610=K$21,ROW(ElecLine!$A$22:$A$610)),ElecLine!$C30)-ROW(RoadList)),"")</f>
        <v/>
      </c>
      <c r="L30" s="6" t="str">
        <f t="array" ref="L30">IFERROR(INDEX($B$22:$B$610,SMALL(IF($A$22:$A$610=L$21,ROW(ElecLine!$A$22:$A$610)),ElecLine!$C30)-ROW(RoadList)),"")</f>
        <v/>
      </c>
      <c r="M30" s="6" t="str">
        <f t="array" ref="M30">IFERROR(INDEX($B$22:$B$610,SMALL(IF($A$22:$A$610=M$21,ROW(ElecLine!$A$22:$A$610)),ElecLine!$C30)-ROW(RoadList)),"")</f>
        <v/>
      </c>
      <c r="N30" s="6" t="str">
        <f t="array" ref="N30">IFERROR(INDEX($B$22:$B$610,SMALL(IF($A$22:$A$610=N$21,ROW(ElecLine!$A$22:$A$610)),ElecLine!$C30)-ROW(RoadList)),"")</f>
        <v/>
      </c>
      <c r="O30" s="6" t="str">
        <f t="array" ref="O30">IFERROR(INDEX($B$22:$B$610,SMALL(IF($A$22:$A$610=O$21,ROW(ElecLine!$A$22:$A$610)),ElecLine!$C30)-ROW(RoadList)),"")</f>
        <v/>
      </c>
      <c r="P30" s="6" t="str">
        <f t="array" ref="P30">IFERROR(INDEX($B$22:$B$610,SMALL(IF($A$22:$A$610=P$21,ROW(ElecLine!$A$22:$A$610)),ElecLine!$C30)-ROW(RoadList)),"")</f>
        <v/>
      </c>
      <c r="Q30" s="6" t="str">
        <f t="array" ref="Q30">IFERROR(INDEX($B$22:$B$610,SMALL(IF($A$22:$A$610=Q$21,ROW(ElecLine!$A$22:$A$610)),ElecLine!$C30)-ROW(RoadList)),"")</f>
        <v/>
      </c>
      <c r="R30" s="6" t="str">
        <f t="array" ref="R30">IFERROR(INDEX($B$22:$B$610,SMALL(IF($A$22:$A$610=R$21,ROW(ElecLine!$A$22:$A$610)),ElecLine!$C30)-ROW(RoadList)),"")</f>
        <v/>
      </c>
    </row>
    <row r="31" spans="1:21">
      <c r="A31" s="5" t="s">
        <v>165</v>
      </c>
      <c r="B31" s="5" t="s">
        <v>10</v>
      </c>
      <c r="C31" s="6">
        <f t="shared" si="30"/>
        <v>10</v>
      </c>
      <c r="D31" s="6" t="str">
        <f t="array" ref="D31">IFERROR(INDEX($B$22:$B$610,SMALL(IF($A$22:$A$610=D$21,ROW(ElecLine!$A$22:$A$610)),ElecLine!$C31)-ROW(RoadList)),"")</f>
        <v/>
      </c>
      <c r="E31" s="6" t="str">
        <f t="array" ref="E31">IFERROR(INDEX($B$22:$B$610,SMALL(IF($A$22:$A$610=E$21,ROW(ElecLine!$A$22:$A$610)),ElecLine!$C31)-ROW(RoadList)),"")</f>
        <v/>
      </c>
      <c r="F31" s="6" t="str">
        <f t="array" ref="F31">IFERROR(INDEX($B$22:$B$610,SMALL(IF($A$22:$A$610=F$21,ROW(ElecLine!$A$22:$A$610)),ElecLine!$C31)-ROW(RoadList)),"")</f>
        <v/>
      </c>
      <c r="G31" s="6" t="str">
        <f t="array" ref="G31">IFERROR(INDEX($B$22:$B$610,SMALL(IF($A$22:$A$610=G$21,ROW(ElecLine!$A$22:$A$610)),ElecLine!$C31)-ROW(RoadList)),"")</f>
        <v/>
      </c>
      <c r="H31" s="6" t="str">
        <f t="array" ref="H31">IFERROR(INDEX($B$22:$B$610,SMALL(IF($A$22:$A$610=H$21,ROW(ElecLine!$A$22:$A$610)),ElecLine!$C31)-ROW(RoadList)),"")</f>
        <v/>
      </c>
      <c r="I31" s="6" t="str">
        <f t="array" ref="I31">IFERROR(INDEX($B$22:$B$610,SMALL(IF($A$22:$A$610=I$21,ROW(ElecLine!$A$22:$A$610)),ElecLine!$C31)-ROW(RoadList)),"")</f>
        <v/>
      </c>
      <c r="J31" s="6" t="str">
        <f t="array" ref="J31">IFERROR(INDEX($B$22:$B$610,SMALL(IF($A$22:$A$610=J$21,ROW(ElecLine!$A$22:$A$610)),ElecLine!$C31)-ROW(RoadList)),"")</f>
        <v/>
      </c>
      <c r="K31" s="6" t="str">
        <f t="array" ref="K31">IFERROR(INDEX($B$22:$B$610,SMALL(IF($A$22:$A$610=K$21,ROW(ElecLine!$A$22:$A$610)),ElecLine!$C31)-ROW(RoadList)),"")</f>
        <v/>
      </c>
      <c r="L31" s="6" t="str">
        <f t="array" ref="L31">IFERROR(INDEX($B$22:$B$610,SMALL(IF($A$22:$A$610=L$21,ROW(ElecLine!$A$22:$A$610)),ElecLine!$C31)-ROW(RoadList)),"")</f>
        <v/>
      </c>
      <c r="M31" s="6" t="str">
        <f t="array" ref="M31">IFERROR(INDEX($B$22:$B$610,SMALL(IF($A$22:$A$610=M$21,ROW(ElecLine!$A$22:$A$610)),ElecLine!$C31)-ROW(RoadList)),"")</f>
        <v/>
      </c>
      <c r="N31" s="6" t="str">
        <f t="array" ref="N31">IFERROR(INDEX($B$22:$B$610,SMALL(IF($A$22:$A$610=N$21,ROW(ElecLine!$A$22:$A$610)),ElecLine!$C31)-ROW(RoadList)),"")</f>
        <v/>
      </c>
      <c r="O31" s="6" t="str">
        <f t="array" ref="O31">IFERROR(INDEX($B$22:$B$610,SMALL(IF($A$22:$A$610=O$21,ROW(ElecLine!$A$22:$A$610)),ElecLine!$C31)-ROW(RoadList)),"")</f>
        <v/>
      </c>
      <c r="P31" s="6" t="str">
        <f t="array" ref="P31">IFERROR(INDEX($B$22:$B$610,SMALL(IF($A$22:$A$610=P$21,ROW(ElecLine!$A$22:$A$610)),ElecLine!$C31)-ROW(RoadList)),"")</f>
        <v/>
      </c>
      <c r="Q31" s="6" t="str">
        <f t="array" ref="Q31">IFERROR(INDEX($B$22:$B$610,SMALL(IF($A$22:$A$610=Q$21,ROW(ElecLine!$A$22:$A$610)),ElecLine!$C31)-ROW(RoadList)),"")</f>
        <v/>
      </c>
      <c r="R31" s="6" t="str">
        <f t="array" ref="R31">IFERROR(INDEX($B$22:$B$610,SMALL(IF($A$22:$A$610=R$21,ROW(ElecLine!$A$22:$A$610)),ElecLine!$C31)-ROW(RoadList)),"")</f>
        <v/>
      </c>
    </row>
    <row r="32" spans="1:21">
      <c r="A32" s="5" t="s">
        <v>165</v>
      </c>
      <c r="B32" s="5" t="s">
        <v>162</v>
      </c>
      <c r="C32" s="6">
        <f t="shared" si="30"/>
        <v>11</v>
      </c>
      <c r="D32" s="6" t="str">
        <f t="array" ref="D32">IFERROR(INDEX($B$22:$B$610,SMALL(IF($A$22:$A$610=D$21,ROW(ElecLine!$A$22:$A$610)),ElecLine!$C32)-ROW(RoadList)),"")</f>
        <v/>
      </c>
      <c r="E32" s="6" t="str">
        <f t="array" ref="E32">IFERROR(INDEX($B$22:$B$610,SMALL(IF($A$22:$A$610=E$21,ROW(ElecLine!$A$22:$A$610)),ElecLine!$C32)-ROW(RoadList)),"")</f>
        <v/>
      </c>
      <c r="F32" s="6" t="str">
        <f t="array" ref="F32">IFERROR(INDEX($B$22:$B$610,SMALL(IF($A$22:$A$610=F$21,ROW(ElecLine!$A$22:$A$610)),ElecLine!$C32)-ROW(RoadList)),"")</f>
        <v/>
      </c>
      <c r="G32" s="6" t="str">
        <f t="array" ref="G32">IFERROR(INDEX($B$22:$B$610,SMALL(IF($A$22:$A$610=G$21,ROW(ElecLine!$A$22:$A$610)),ElecLine!$C32)-ROW(RoadList)),"")</f>
        <v/>
      </c>
      <c r="H32" s="6" t="str">
        <f t="array" ref="H32">IFERROR(INDEX($B$22:$B$610,SMALL(IF($A$22:$A$610=H$21,ROW(ElecLine!$A$22:$A$610)),ElecLine!$C32)-ROW(RoadList)),"")</f>
        <v/>
      </c>
      <c r="I32" s="6" t="str">
        <f t="array" ref="I32">IFERROR(INDEX($B$22:$B$610,SMALL(IF($A$22:$A$610=I$21,ROW(ElecLine!$A$22:$A$610)),ElecLine!$C32)-ROW(RoadList)),"")</f>
        <v/>
      </c>
      <c r="J32" s="6" t="str">
        <f t="array" ref="J32">IFERROR(INDEX($B$22:$B$610,SMALL(IF($A$22:$A$610=J$21,ROW(ElecLine!$A$22:$A$610)),ElecLine!$C32)-ROW(RoadList)),"")</f>
        <v/>
      </c>
      <c r="K32" s="6" t="str">
        <f t="array" ref="K32">IFERROR(INDEX($B$22:$B$610,SMALL(IF($A$22:$A$610=K$21,ROW(ElecLine!$A$22:$A$610)),ElecLine!$C32)-ROW(RoadList)),"")</f>
        <v/>
      </c>
      <c r="L32" s="6" t="str">
        <f t="array" ref="L32">IFERROR(INDEX($B$22:$B$610,SMALL(IF($A$22:$A$610=L$21,ROW(ElecLine!$A$22:$A$610)),ElecLine!$C32)-ROW(RoadList)),"")</f>
        <v/>
      </c>
      <c r="M32" s="6" t="str">
        <f t="array" ref="M32">IFERROR(INDEX($B$22:$B$610,SMALL(IF($A$22:$A$610=M$21,ROW(ElecLine!$A$22:$A$610)),ElecLine!$C32)-ROW(RoadList)),"")</f>
        <v/>
      </c>
      <c r="N32" s="6" t="str">
        <f t="array" ref="N32">IFERROR(INDEX($B$22:$B$610,SMALL(IF($A$22:$A$610=N$21,ROW(ElecLine!$A$22:$A$610)),ElecLine!$C32)-ROW(RoadList)),"")</f>
        <v/>
      </c>
      <c r="O32" s="6" t="str">
        <f t="array" ref="O32">IFERROR(INDEX($B$22:$B$610,SMALL(IF($A$22:$A$610=O$21,ROW(ElecLine!$A$22:$A$610)),ElecLine!$C32)-ROW(RoadList)),"")</f>
        <v/>
      </c>
      <c r="P32" s="6" t="str">
        <f t="array" ref="P32">IFERROR(INDEX($B$22:$B$610,SMALL(IF($A$22:$A$610=P$21,ROW(ElecLine!$A$22:$A$610)),ElecLine!$C32)-ROW(RoadList)),"")</f>
        <v/>
      </c>
      <c r="Q32" s="6" t="str">
        <f t="array" ref="Q32">IFERROR(INDEX($B$22:$B$610,SMALL(IF($A$22:$A$610=Q$21,ROW(ElecLine!$A$22:$A$610)),ElecLine!$C32)-ROW(RoadList)),"")</f>
        <v/>
      </c>
      <c r="R32" s="6" t="str">
        <f t="array" ref="R32">IFERROR(INDEX($B$22:$B$610,SMALL(IF($A$22:$A$610=R$21,ROW(ElecLine!$A$22:$A$610)),ElecLine!$C32)-ROW(RoadList)),"")</f>
        <v/>
      </c>
    </row>
    <row r="33" spans="1:18">
      <c r="A33" s="5" t="s">
        <v>165</v>
      </c>
      <c r="B33" s="5" t="s">
        <v>5</v>
      </c>
      <c r="C33" s="6"/>
      <c r="D33" s="6" t="str">
        <f t="array" ref="D33">IFERROR(INDEX($B$22:$B$610,SMALL(IF($A$22:$A$610=D$21,ROW(ElecLine!$A$22:$A$610)),ElecLine!$C33)-ROW(RoadList)),"")</f>
        <v/>
      </c>
      <c r="E33" s="6" t="str">
        <f t="array" ref="E33">IFERROR(INDEX($B$22:$B$610,SMALL(IF($A$22:$A$610=E$21,ROW(ElecLine!$A$22:$A$610)),ElecLine!$C33)-ROW(RoadList)),"")</f>
        <v/>
      </c>
      <c r="F33" s="6" t="str">
        <f t="array" ref="F33">IFERROR(INDEX($B$22:$B$610,SMALL(IF($A$22:$A$610=F$21,ROW(ElecLine!$A$22:$A$610)),ElecLine!$C33)-ROW(RoadList)),"")</f>
        <v/>
      </c>
      <c r="G33" s="6" t="str">
        <f t="array" ref="G33">IFERROR(INDEX($B$22:$B$610,SMALL(IF($A$22:$A$610=G$21,ROW(ElecLine!$A$22:$A$610)),ElecLine!$C33)-ROW(RoadList)),"")</f>
        <v/>
      </c>
      <c r="H33" s="6" t="str">
        <f t="array" ref="H33">IFERROR(INDEX($B$22:$B$610,SMALL(IF($A$22:$A$610=H$21,ROW(ElecLine!$A$22:$A$610)),ElecLine!$C33)-ROW(RoadList)),"")</f>
        <v/>
      </c>
      <c r="I33" s="6" t="str">
        <f t="array" ref="I33">IFERROR(INDEX($B$22:$B$610,SMALL(IF($A$22:$A$610=I$21,ROW(ElecLine!$A$22:$A$610)),ElecLine!$C33)-ROW(RoadList)),"")</f>
        <v/>
      </c>
      <c r="J33" s="6" t="str">
        <f t="array" ref="J33">IFERROR(INDEX($B$22:$B$610,SMALL(IF($A$22:$A$610=J$21,ROW(ElecLine!$A$22:$A$610)),ElecLine!$C33)-ROW(RoadList)),"")</f>
        <v/>
      </c>
      <c r="K33" s="6" t="str">
        <f t="array" ref="K33">IFERROR(INDEX($B$22:$B$610,SMALL(IF($A$22:$A$610=K$21,ROW(ElecLine!$A$22:$A$610)),ElecLine!$C33)-ROW(RoadList)),"")</f>
        <v/>
      </c>
      <c r="L33" s="6" t="str">
        <f t="array" ref="L33">IFERROR(INDEX($B$22:$B$610,SMALL(IF($A$22:$A$610=L$21,ROW(ElecLine!$A$22:$A$610)),ElecLine!$C33)-ROW(RoadList)),"")</f>
        <v/>
      </c>
      <c r="M33" s="6" t="str">
        <f t="array" ref="M33">IFERROR(INDEX($B$22:$B$610,SMALL(IF($A$22:$A$610=M$21,ROW(ElecLine!$A$22:$A$610)),ElecLine!$C33)-ROW(RoadList)),"")</f>
        <v/>
      </c>
      <c r="N33" s="6" t="str">
        <f t="array" ref="N33">IFERROR(INDEX($B$22:$B$610,SMALL(IF($A$22:$A$610=N$21,ROW(ElecLine!$A$22:$A$610)),ElecLine!$C33)-ROW(RoadList)),"")</f>
        <v/>
      </c>
      <c r="O33" s="6" t="str">
        <f t="array" ref="O33">IFERROR(INDEX($B$22:$B$610,SMALL(IF($A$22:$A$610=O$21,ROW(ElecLine!$A$22:$A$610)),ElecLine!$C33)-ROW(RoadList)),"")</f>
        <v/>
      </c>
      <c r="P33" s="6" t="str">
        <f t="array" ref="P33">IFERROR(INDEX($B$22:$B$610,SMALL(IF($A$22:$A$610=P$21,ROW(ElecLine!$A$22:$A$610)),ElecLine!$C33)-ROW(RoadList)),"")</f>
        <v/>
      </c>
      <c r="Q33" s="6" t="str">
        <f t="array" ref="Q33">IFERROR(INDEX($B$22:$B$610,SMALL(IF($A$22:$A$610=Q$21,ROW(ElecLine!$A$22:$A$610)),ElecLine!$C33)-ROW(RoadList)),"")</f>
        <v/>
      </c>
      <c r="R33" s="6" t="str">
        <f t="array" ref="R33">IFERROR(INDEX($B$22:$B$610,SMALL(IF($A$22:$A$610=R$21,ROW(ElecLine!$A$22:$A$610)),ElecLine!$C33)-ROW(RoadList)),"")</f>
        <v/>
      </c>
    </row>
    <row r="34" spans="1:18">
      <c r="A34" s="5" t="s">
        <v>5</v>
      </c>
      <c r="B34" s="5" t="s">
        <v>165</v>
      </c>
      <c r="C34" s="6"/>
      <c r="D34" s="6"/>
      <c r="E34" s="6"/>
      <c r="F34" s="6"/>
      <c r="G34" s="8"/>
      <c r="H34" s="8" t="str">
        <f>IF(ISERROR(INDEX($A$1:$B$8,SMALL(IF($A$1:$A$8=$E$1,ROW($A$1:$A$8)),ROW(1:1)),2)),"",INDEX($A$1:$B$8,SMALL(IF($A$1:$A$8=$E$1,ROW($A$1:$A$8)),ROW(1:1)),2))</f>
        <v/>
      </c>
      <c r="I34" s="6"/>
      <c r="J34" s="6"/>
      <c r="K34" s="6"/>
      <c r="L34" s="6"/>
      <c r="M34" s="6"/>
      <c r="N34" s="6"/>
    </row>
    <row r="35" spans="1:18">
      <c r="A35" s="5" t="s">
        <v>5</v>
      </c>
      <c r="B35" s="5" t="s">
        <v>158</v>
      </c>
      <c r="C35" s="6"/>
      <c r="D35" s="6"/>
      <c r="E35" s="6"/>
      <c r="F35" s="6"/>
      <c r="G35" s="8" t="str">
        <f t="array" ref="G35">IF(ISERROR(INDEX($A$1:$B$8,SMALL(IF($A$1:$A$8=$E$1,ROW($A$1:$A$8)),ROW(2:2)),2)),"",INDEX($A$1:$B$8,SMALL(IF($A$1:$A$8=$E$1,ROW($A$1:$A$8)),ROW(2:2)),2))</f>
        <v/>
      </c>
      <c r="H35" s="6"/>
      <c r="I35" s="6"/>
      <c r="J35" s="6"/>
      <c r="K35" s="6"/>
      <c r="L35" s="6"/>
      <c r="M35" s="6"/>
      <c r="N35" s="6"/>
    </row>
    <row r="36" spans="1:18">
      <c r="A36" s="5" t="s">
        <v>5</v>
      </c>
      <c r="B36" s="5" t="s">
        <v>162</v>
      </c>
      <c r="C36" s="6"/>
      <c r="D36" s="6"/>
      <c r="E36" s="6"/>
      <c r="F36" s="6"/>
      <c r="G36" s="8" t="str">
        <f t="array" ref="G36">IF(ISERROR(INDEX($A$1:$B$8,SMALL(IF($A$1:$A$8=$E$1,ROW($A$1:$A$8)),ROW(3:3)),2)),"",INDEX($A$1:$B$8,SMALL(IF($A$1:$A$8=$E$1,ROW($A$1:$A$8)),ROW(3:3)),2))</f>
        <v/>
      </c>
      <c r="H36" s="6"/>
      <c r="I36" s="6"/>
      <c r="J36" s="6"/>
      <c r="K36" s="6"/>
      <c r="L36" s="6"/>
      <c r="M36" s="6"/>
      <c r="N36" s="6"/>
    </row>
    <row r="37" spans="1:18">
      <c r="A37" s="5" t="s">
        <v>5</v>
      </c>
      <c r="B37" s="5" t="s">
        <v>9</v>
      </c>
      <c r="C37" s="6"/>
      <c r="D37" s="6"/>
      <c r="E37" s="6"/>
      <c r="F37" s="6"/>
      <c r="G37" s="8" t="str">
        <f t="array" ref="G37">IF(ISERROR(INDEX($A$1:$B$8,SMALL(IF($A$1:$A$8=$E$1,ROW($A$1:$A$8)),ROW(4:4)),2)),"",INDEX($A$1:$B$8,SMALL(IF($A$1:$A$8=$E$1,ROW($A$1:$A$8)),ROW(4:4)),2))</f>
        <v/>
      </c>
      <c r="H37" s="6"/>
      <c r="I37" s="6"/>
      <c r="J37" s="6"/>
      <c r="K37" s="6"/>
      <c r="L37" s="6"/>
      <c r="M37" s="6"/>
      <c r="N37" s="6"/>
    </row>
    <row r="38" spans="1:18">
      <c r="A38" s="5" t="s">
        <v>162</v>
      </c>
      <c r="B38" s="5" t="s">
        <v>165</v>
      </c>
      <c r="C38" s="6"/>
      <c r="D38" s="6"/>
      <c r="E38" s="6"/>
      <c r="F38" s="6"/>
      <c r="G38" s="8" t="str">
        <f t="array" ref="G38">IF(ISERROR(INDEX($A$1:$B$8,SMALL(IF($A$1:$A$8=$E$1,ROW($A$1:$A$8)),ROW(5:5)),2)),"",INDEX($A$1:$B$8,SMALL(IF($A$1:$A$8=$E$1,ROW($A$1:$A$8)),ROW(5:5)),2))</f>
        <v/>
      </c>
      <c r="H38" s="6"/>
      <c r="I38" s="6"/>
      <c r="J38" s="6"/>
      <c r="K38" s="6"/>
      <c r="L38" s="6"/>
      <c r="M38" s="6"/>
      <c r="N38" s="6"/>
    </row>
    <row r="39" spans="1:18">
      <c r="A39" s="5" t="s">
        <v>162</v>
      </c>
      <c r="B39" s="5" t="s">
        <v>167</v>
      </c>
    </row>
    <row r="40" spans="1:18">
      <c r="A40" s="5" t="s">
        <v>162</v>
      </c>
      <c r="B40" s="5" t="s">
        <v>5</v>
      </c>
    </row>
    <row r="41" spans="1:18">
      <c r="A41" s="5" t="s">
        <v>5</v>
      </c>
      <c r="B41" s="5" t="s">
        <v>160</v>
      </c>
    </row>
    <row r="42" spans="1:18">
      <c r="A42" s="5" t="s">
        <v>163</v>
      </c>
      <c r="B42" s="5" t="s">
        <v>164</v>
      </c>
    </row>
    <row r="43" spans="1:18">
      <c r="A43" s="5" t="s">
        <v>163</v>
      </c>
      <c r="B43" s="5" t="s">
        <v>157</v>
      </c>
    </row>
    <row r="44" spans="1:18">
      <c r="A44" s="5" t="s">
        <v>167</v>
      </c>
      <c r="B44" s="5" t="s">
        <v>162</v>
      </c>
    </row>
    <row r="45" spans="1:18">
      <c r="A45" s="5" t="s">
        <v>167</v>
      </c>
      <c r="B45" s="5" t="s">
        <v>166</v>
      </c>
    </row>
    <row r="46" spans="1:18">
      <c r="A46" s="5" t="s">
        <v>157</v>
      </c>
      <c r="B46" s="5" t="s">
        <v>163</v>
      </c>
    </row>
    <row r="47" spans="1:18">
      <c r="A47" s="5" t="s">
        <v>157</v>
      </c>
      <c r="B47" s="5" t="s">
        <v>9</v>
      </c>
    </row>
    <row r="48" spans="1:18">
      <c r="A48" s="5" t="s">
        <v>9</v>
      </c>
      <c r="B48" s="5" t="s">
        <v>157</v>
      </c>
    </row>
    <row r="49" spans="1:2">
      <c r="A49" s="5" t="s">
        <v>9</v>
      </c>
      <c r="B49" s="5" t="s">
        <v>5</v>
      </c>
    </row>
    <row r="50" spans="1:2">
      <c r="A50" s="5" t="s">
        <v>9</v>
      </c>
      <c r="B50" s="5" t="s">
        <v>160</v>
      </c>
    </row>
    <row r="51" spans="1:2">
      <c r="A51" s="5" t="s">
        <v>9</v>
      </c>
      <c r="B51" s="5" t="s">
        <v>161</v>
      </c>
    </row>
    <row r="52" spans="1:2">
      <c r="A52" s="5" t="s">
        <v>160</v>
      </c>
      <c r="B52" s="5" t="s">
        <v>5</v>
      </c>
    </row>
    <row r="53" spans="1:2">
      <c r="A53" s="5" t="s">
        <v>160</v>
      </c>
      <c r="B53" s="5" t="s">
        <v>9</v>
      </c>
    </row>
    <row r="54" spans="1:2">
      <c r="A54" s="5" t="s">
        <v>160</v>
      </c>
      <c r="B54" s="5" t="s">
        <v>161</v>
      </c>
    </row>
    <row r="55" spans="1:2">
      <c r="A55" s="5" t="s">
        <v>160</v>
      </c>
      <c r="B55" s="5" t="s">
        <v>166</v>
      </c>
    </row>
    <row r="56" spans="1:2">
      <c r="A56" s="5" t="s">
        <v>161</v>
      </c>
      <c r="B56" s="5" t="s">
        <v>9</v>
      </c>
    </row>
    <row r="57" spans="1:2">
      <c r="A57" s="5" t="s">
        <v>161</v>
      </c>
      <c r="B57" s="5" t="s">
        <v>166</v>
      </c>
    </row>
    <row r="58" spans="1:2">
      <c r="A58" s="5" t="s">
        <v>161</v>
      </c>
      <c r="B58" s="5" t="s">
        <v>160</v>
      </c>
    </row>
    <row r="59" spans="1:2">
      <c r="A59" s="5" t="s">
        <v>166</v>
      </c>
      <c r="B59" s="5" t="s">
        <v>167</v>
      </c>
    </row>
    <row r="60" spans="1:2">
      <c r="A60" s="5" t="s">
        <v>166</v>
      </c>
      <c r="B60" s="5" t="s">
        <v>161</v>
      </c>
    </row>
    <row r="61" spans="1:2">
      <c r="A61" s="5" t="s">
        <v>166</v>
      </c>
      <c r="B61" s="5" t="s">
        <v>160</v>
      </c>
    </row>
    <row r="62" spans="1:2">
      <c r="A62" s="5" t="s">
        <v>5</v>
      </c>
      <c r="B62" s="5" t="s">
        <v>147</v>
      </c>
    </row>
    <row r="63" spans="1:2">
      <c r="A63" s="5" t="s">
        <v>147</v>
      </c>
      <c r="B63" s="5" t="s">
        <v>5</v>
      </c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P16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O3072"/>
  <sheetViews>
    <sheetView topLeftCell="A31" zoomScale="85" zoomScaleNormal="85" workbookViewId="0">
      <selection activeCell="A14" sqref="A14"/>
    </sheetView>
  </sheetViews>
  <sheetFormatPr defaultRowHeight="15.75"/>
  <cols>
    <col min="1" max="1" width="10" bestFit="1" customWidth="1"/>
    <col min="6" max="6" width="10" bestFit="1" customWidth="1"/>
  </cols>
  <sheetData>
    <row r="1" spans="1:15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  <c r="O1" s="33"/>
    </row>
    <row r="2" spans="1:15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  <c r="O2" s="33"/>
    </row>
    <row r="3" spans="1:15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  <c r="O3" s="33"/>
    </row>
    <row r="4" spans="1:15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  <c r="O4" s="33"/>
    </row>
    <row r="5" spans="1:15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  <c r="O5" s="33"/>
    </row>
    <row r="6" spans="1:15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O6" s="33"/>
    </row>
    <row r="7" spans="1:15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O7" s="33"/>
    </row>
    <row r="8" spans="1:15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  <c r="O8" s="33"/>
    </row>
    <row r="9" spans="1:15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  <c r="O9" s="33"/>
    </row>
    <row r="10" spans="1:15">
      <c r="O10" s="33"/>
    </row>
    <row r="11" spans="1:15">
      <c r="O11" s="33"/>
    </row>
    <row r="12" spans="1:15">
      <c r="O12" s="33"/>
    </row>
    <row r="13" spans="1:15">
      <c r="O13" s="33"/>
    </row>
    <row r="14" spans="1:15">
      <c r="O14" s="33"/>
    </row>
    <row r="15" spans="1:15">
      <c r="O15" s="33"/>
    </row>
    <row r="16" spans="1:15">
      <c r="O16" s="33"/>
    </row>
    <row r="17" spans="1:15">
      <c r="O17" s="33"/>
    </row>
    <row r="18" spans="1:15">
      <c r="O18" s="33"/>
    </row>
    <row r="19" spans="1:15">
      <c r="O19" s="33"/>
    </row>
    <row r="20" spans="1:15">
      <c r="O20" s="33"/>
    </row>
    <row r="21" spans="1:15">
      <c r="A21" t="s">
        <v>16</v>
      </c>
      <c r="B21">
        <v>-0.9</v>
      </c>
      <c r="O21" s="33"/>
    </row>
    <row r="22" spans="1:15">
      <c r="A22" t="s">
        <v>20</v>
      </c>
      <c r="B22">
        <v>-0.75</v>
      </c>
      <c r="O22" s="33"/>
    </row>
    <row r="23" spans="1:15">
      <c r="A23" t="s">
        <v>17</v>
      </c>
      <c r="B23">
        <v>-0.8</v>
      </c>
      <c r="O23" s="33"/>
    </row>
    <row r="24" spans="1:15">
      <c r="A24" t="s">
        <v>24</v>
      </c>
      <c r="B24">
        <v>-0.9</v>
      </c>
      <c r="O24" s="33"/>
    </row>
    <row r="25" spans="1:15">
      <c r="A25" t="s">
        <v>21</v>
      </c>
      <c r="B25">
        <v>-0.95</v>
      </c>
      <c r="O25" s="33"/>
    </row>
    <row r="26" spans="1:15">
      <c r="A26" t="s">
        <v>204</v>
      </c>
      <c r="B26">
        <v>-0.95</v>
      </c>
      <c r="O26" s="33"/>
    </row>
    <row r="27" spans="1:15">
      <c r="A27" t="s">
        <v>22</v>
      </c>
      <c r="B27">
        <v>-0.9</v>
      </c>
      <c r="O27" s="33"/>
    </row>
    <row r="28" spans="1:15">
      <c r="A28" t="s">
        <v>23</v>
      </c>
      <c r="B28">
        <v>-0.9</v>
      </c>
      <c r="O28" s="33"/>
    </row>
    <row r="29" spans="1:15">
      <c r="A29" t="s">
        <v>184</v>
      </c>
      <c r="B29">
        <v>-0.9</v>
      </c>
      <c r="L29" t="s">
        <v>80</v>
      </c>
      <c r="O29" s="33"/>
    </row>
    <row r="30" spans="1:15">
      <c r="O30" s="33"/>
    </row>
    <row r="31" spans="1:15">
      <c r="O31" s="33"/>
    </row>
    <row r="32" spans="1:15">
      <c r="O32" s="33"/>
    </row>
    <row r="33" spans="1:15">
      <c r="O33" s="33"/>
    </row>
    <row r="34" spans="1:15">
      <c r="O34" s="33"/>
    </row>
    <row r="35" spans="1:15">
      <c r="O35" s="33"/>
    </row>
    <row r="36" spans="1:15">
      <c r="O36" s="33"/>
    </row>
    <row r="37" spans="1:15">
      <c r="O37" s="33"/>
    </row>
    <row r="38" spans="1:15">
      <c r="O38" s="33"/>
    </row>
    <row r="39" spans="1:15">
      <c r="O39" s="33"/>
    </row>
    <row r="40" spans="1:15">
      <c r="O40" s="33"/>
    </row>
    <row r="41" spans="1:15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  <c r="O41" s="33"/>
    </row>
    <row r="42" spans="1:15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  <c r="O42" s="33"/>
    </row>
    <row r="43" spans="1:15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  <c r="O43" s="33"/>
    </row>
    <row r="44" spans="1:15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  <c r="O44" s="33"/>
    </row>
    <row r="45" spans="1:15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  <c r="O45" s="33"/>
    </row>
    <row r="46" spans="1:15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O46" s="33"/>
    </row>
    <row r="47" spans="1:15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O47" s="33"/>
    </row>
    <row r="48" spans="1:15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  <c r="O48" s="33"/>
    </row>
    <row r="49" spans="1:15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  <c r="O49" s="33"/>
    </row>
    <row r="50" spans="1:15">
      <c r="O50" s="33"/>
    </row>
    <row r="51" spans="1:15">
      <c r="O51" s="33"/>
    </row>
    <row r="52" spans="1:15">
      <c r="O52" s="33"/>
    </row>
    <row r="53" spans="1:15">
      <c r="O53" s="33"/>
    </row>
    <row r="54" spans="1:15">
      <c r="O54" s="33"/>
    </row>
    <row r="55" spans="1:15">
      <c r="O55" s="33"/>
    </row>
    <row r="56" spans="1:15">
      <c r="O56" s="33"/>
    </row>
    <row r="57" spans="1:15">
      <c r="O57" s="33"/>
    </row>
    <row r="58" spans="1:15">
      <c r="O58" s="33"/>
    </row>
    <row r="59" spans="1:15">
      <c r="O59" s="33"/>
    </row>
    <row r="60" spans="1:15">
      <c r="O60" s="33"/>
    </row>
    <row r="61" spans="1:15">
      <c r="O61" s="33"/>
    </row>
    <row r="62" spans="1:15">
      <c r="O62" s="33"/>
    </row>
    <row r="63" spans="1:15">
      <c r="O63" s="33"/>
    </row>
    <row r="64" spans="1:15">
      <c r="O64" s="33"/>
    </row>
    <row r="65" spans="15:15">
      <c r="O65" s="33"/>
    </row>
    <row r="66" spans="15:15">
      <c r="O66" s="33"/>
    </row>
    <row r="67" spans="15:15">
      <c r="O67" s="33"/>
    </row>
    <row r="68" spans="15:15">
      <c r="O68" s="33"/>
    </row>
    <row r="69" spans="15:15">
      <c r="O69" s="33"/>
    </row>
    <row r="70" spans="15:15">
      <c r="O70" s="33"/>
    </row>
    <row r="71" spans="15:15">
      <c r="O71" s="33"/>
    </row>
    <row r="72" spans="15:15">
      <c r="O72" s="33"/>
    </row>
    <row r="73" spans="15:15">
      <c r="O73" s="33"/>
    </row>
    <row r="74" spans="15:15">
      <c r="O74" s="33"/>
    </row>
    <row r="75" spans="15:15">
      <c r="O75" s="33"/>
    </row>
    <row r="76" spans="15:15">
      <c r="O76" s="33"/>
    </row>
    <row r="77" spans="15:15">
      <c r="O77" s="33"/>
    </row>
    <row r="78" spans="15:15">
      <c r="O78" s="33"/>
    </row>
    <row r="79" spans="15:15">
      <c r="O79" s="33"/>
    </row>
    <row r="80" spans="15:15">
      <c r="O80" s="33"/>
    </row>
    <row r="81" spans="15:15">
      <c r="O81" s="33"/>
    </row>
    <row r="82" spans="15:15">
      <c r="O82" s="33"/>
    </row>
    <row r="83" spans="15:15">
      <c r="O83" s="33"/>
    </row>
    <row r="84" spans="15:15">
      <c r="O84" s="33"/>
    </row>
    <row r="85" spans="15:15">
      <c r="O85" s="33"/>
    </row>
    <row r="86" spans="15:15">
      <c r="O86" s="33"/>
    </row>
    <row r="87" spans="15:15">
      <c r="O87" s="33"/>
    </row>
    <row r="88" spans="15:15">
      <c r="O88" s="33"/>
    </row>
    <row r="89" spans="15:15">
      <c r="O89" s="33"/>
    </row>
    <row r="90" spans="15:15">
      <c r="O90" s="33"/>
    </row>
    <row r="91" spans="15:15">
      <c r="O91" s="33"/>
    </row>
    <row r="92" spans="15:15">
      <c r="O92" s="33"/>
    </row>
    <row r="93" spans="15:15">
      <c r="O93" s="33"/>
    </row>
    <row r="94" spans="15:15">
      <c r="O94" s="33"/>
    </row>
    <row r="95" spans="15:15">
      <c r="O95" s="33"/>
    </row>
    <row r="96" spans="15:15">
      <c r="O96" s="33"/>
    </row>
    <row r="97" spans="15:15">
      <c r="O97" s="33"/>
    </row>
    <row r="98" spans="15:15">
      <c r="O98" s="33"/>
    </row>
    <row r="99" spans="15:15">
      <c r="O99" s="33"/>
    </row>
    <row r="100" spans="15:15">
      <c r="O100" s="33"/>
    </row>
    <row r="101" spans="15:15">
      <c r="O101" s="33"/>
    </row>
    <row r="102" spans="15:15">
      <c r="O102" s="33"/>
    </row>
    <row r="103" spans="15:15">
      <c r="O103" s="33"/>
    </row>
    <row r="104" spans="15:15">
      <c r="O104" s="33"/>
    </row>
    <row r="105" spans="15:15">
      <c r="O105" s="33"/>
    </row>
    <row r="106" spans="15:15">
      <c r="O106" s="33"/>
    </row>
    <row r="107" spans="15:15">
      <c r="O107" s="33"/>
    </row>
    <row r="108" spans="15:15">
      <c r="O108" s="33"/>
    </row>
    <row r="109" spans="15:15">
      <c r="O109" s="33"/>
    </row>
    <row r="110" spans="15:15">
      <c r="O110" s="33"/>
    </row>
    <row r="111" spans="15:15">
      <c r="O111" s="33"/>
    </row>
    <row r="112" spans="15:15">
      <c r="O112" s="33"/>
    </row>
    <row r="113" spans="15:15">
      <c r="O113" s="33"/>
    </row>
    <row r="114" spans="15:15">
      <c r="O114" s="33"/>
    </row>
    <row r="115" spans="15:15">
      <c r="O115" s="33"/>
    </row>
    <row r="116" spans="15:15">
      <c r="O116" s="33"/>
    </row>
    <row r="117" spans="15:15">
      <c r="O117" s="33"/>
    </row>
    <row r="118" spans="15:15">
      <c r="O118" s="33"/>
    </row>
    <row r="119" spans="15:15">
      <c r="O119" s="33"/>
    </row>
    <row r="120" spans="15:15">
      <c r="O120" s="33"/>
    </row>
    <row r="121" spans="15:15">
      <c r="O121" s="33"/>
    </row>
    <row r="122" spans="15:15">
      <c r="O122" s="33"/>
    </row>
    <row r="123" spans="15:15">
      <c r="O123" s="33"/>
    </row>
    <row r="124" spans="15:15">
      <c r="O124" s="33"/>
    </row>
    <row r="125" spans="15:15">
      <c r="O125" s="33"/>
    </row>
    <row r="126" spans="15:15">
      <c r="O126" s="33"/>
    </row>
    <row r="127" spans="15:15">
      <c r="O127" s="33"/>
    </row>
    <row r="128" spans="15:15">
      <c r="O128" s="33"/>
    </row>
    <row r="129" spans="15:15">
      <c r="O129" s="33"/>
    </row>
    <row r="130" spans="15:15">
      <c r="O130" s="33"/>
    </row>
    <row r="131" spans="15:15">
      <c r="O131" s="33"/>
    </row>
    <row r="132" spans="15:15">
      <c r="O132" s="33"/>
    </row>
    <row r="133" spans="15:15">
      <c r="O133" s="33"/>
    </row>
    <row r="134" spans="15:15">
      <c r="O134" s="33"/>
    </row>
    <row r="135" spans="15:15">
      <c r="O135" s="33"/>
    </row>
    <row r="136" spans="15:15">
      <c r="O136" s="33"/>
    </row>
    <row r="137" spans="15:15">
      <c r="O137" s="33"/>
    </row>
    <row r="138" spans="15:15">
      <c r="O138" s="33"/>
    </row>
    <row r="139" spans="15:15">
      <c r="O139" s="33"/>
    </row>
    <row r="140" spans="15:15">
      <c r="O140" s="33"/>
    </row>
    <row r="141" spans="15:15">
      <c r="O141" s="33"/>
    </row>
    <row r="142" spans="15:15">
      <c r="O142" s="33"/>
    </row>
    <row r="143" spans="15:15">
      <c r="O143" s="33"/>
    </row>
    <row r="144" spans="15:15">
      <c r="O144" s="33"/>
    </row>
    <row r="145" spans="15:15">
      <c r="O145" s="33"/>
    </row>
    <row r="146" spans="15:15">
      <c r="O146" s="33"/>
    </row>
    <row r="147" spans="15:15">
      <c r="O147" s="33"/>
    </row>
    <row r="148" spans="15:15">
      <c r="O148" s="33"/>
    </row>
    <row r="149" spans="15:15">
      <c r="O149" s="33"/>
    </row>
    <row r="150" spans="15:15">
      <c r="O150" s="33"/>
    </row>
    <row r="151" spans="15:15">
      <c r="O151" s="33"/>
    </row>
    <row r="152" spans="15:15">
      <c r="O152" s="33"/>
    </row>
    <row r="153" spans="15:15">
      <c r="O153" s="33"/>
    </row>
    <row r="154" spans="15:15">
      <c r="O154" s="33"/>
    </row>
    <row r="155" spans="15:15">
      <c r="O155" s="33"/>
    </row>
    <row r="156" spans="15:15">
      <c r="O156" s="33"/>
    </row>
    <row r="157" spans="15:15">
      <c r="O157" s="33"/>
    </row>
    <row r="158" spans="15:15">
      <c r="O158" s="33"/>
    </row>
    <row r="159" spans="15:15">
      <c r="O159" s="33"/>
    </row>
    <row r="160" spans="15:15">
      <c r="O160" s="33"/>
    </row>
    <row r="161" spans="15:15">
      <c r="O161" s="33"/>
    </row>
    <row r="162" spans="15:15">
      <c r="O162" s="33"/>
    </row>
    <row r="163" spans="15:15">
      <c r="O163" s="33"/>
    </row>
    <row r="164" spans="15:15">
      <c r="O164" s="33"/>
    </row>
    <row r="165" spans="15:15">
      <c r="O165" s="33"/>
    </row>
    <row r="166" spans="15:15">
      <c r="O166" s="33"/>
    </row>
    <row r="167" spans="15:15">
      <c r="O167" s="33"/>
    </row>
    <row r="168" spans="15:15">
      <c r="O168" s="33"/>
    </row>
    <row r="169" spans="15:15">
      <c r="O169" s="33"/>
    </row>
    <row r="170" spans="15:15">
      <c r="O170" s="33"/>
    </row>
    <row r="171" spans="15:15">
      <c r="O171" s="33"/>
    </row>
    <row r="172" spans="15:15">
      <c r="O172" s="33"/>
    </row>
    <row r="173" spans="15:15">
      <c r="O173" s="33"/>
    </row>
    <row r="174" spans="15:15">
      <c r="O174" s="33"/>
    </row>
    <row r="175" spans="15:15">
      <c r="O175" s="33"/>
    </row>
    <row r="176" spans="15:15">
      <c r="O176" s="33"/>
    </row>
    <row r="177" spans="15:15">
      <c r="O177" s="33"/>
    </row>
    <row r="178" spans="15:15">
      <c r="O178" s="33"/>
    </row>
    <row r="179" spans="15:15">
      <c r="O179" s="33"/>
    </row>
    <row r="180" spans="15:15">
      <c r="O180" s="33"/>
    </row>
    <row r="181" spans="15:15">
      <c r="O181" s="33"/>
    </row>
    <row r="182" spans="15:15">
      <c r="O182" s="33"/>
    </row>
    <row r="183" spans="15:15">
      <c r="O183" s="33"/>
    </row>
    <row r="184" spans="15:15">
      <c r="O184" s="33"/>
    </row>
    <row r="185" spans="15:15">
      <c r="O185" s="33"/>
    </row>
    <row r="186" spans="15:15">
      <c r="O186" s="33"/>
    </row>
    <row r="187" spans="15:15">
      <c r="O187" s="33"/>
    </row>
    <row r="188" spans="15:15">
      <c r="O188" s="33"/>
    </row>
    <row r="189" spans="15:15">
      <c r="O189" s="33"/>
    </row>
    <row r="190" spans="15:15">
      <c r="O190" s="33"/>
    </row>
    <row r="191" spans="15:15">
      <c r="O191" s="33"/>
    </row>
    <row r="192" spans="15:15">
      <c r="O192" s="33"/>
    </row>
    <row r="193" spans="15:15">
      <c r="O193" s="33"/>
    </row>
    <row r="194" spans="15:15">
      <c r="O194" s="33"/>
    </row>
    <row r="195" spans="15:15">
      <c r="O195" s="33"/>
    </row>
    <row r="196" spans="15:15">
      <c r="O196" s="33"/>
    </row>
    <row r="197" spans="15:15">
      <c r="O197" s="33"/>
    </row>
    <row r="198" spans="15:15">
      <c r="O198" s="33"/>
    </row>
    <row r="199" spans="15:15">
      <c r="O199" s="33"/>
    </row>
    <row r="200" spans="15:15">
      <c r="O200" s="33"/>
    </row>
    <row r="201" spans="15:15">
      <c r="O201" s="33"/>
    </row>
    <row r="202" spans="15:15">
      <c r="O202" s="33"/>
    </row>
    <row r="203" spans="15:15">
      <c r="O203" s="33"/>
    </row>
    <row r="204" spans="15:15">
      <c r="O204" s="33"/>
    </row>
    <row r="205" spans="15:15">
      <c r="O205" s="33"/>
    </row>
    <row r="206" spans="15:15">
      <c r="O206" s="33"/>
    </row>
    <row r="207" spans="15:15">
      <c r="O207" s="33"/>
    </row>
    <row r="208" spans="15:15">
      <c r="O208" s="33"/>
    </row>
    <row r="209" spans="15:15">
      <c r="O209" s="33"/>
    </row>
    <row r="210" spans="15:15">
      <c r="O210" s="33"/>
    </row>
    <row r="211" spans="15:15">
      <c r="O211" s="33"/>
    </row>
    <row r="212" spans="15:15">
      <c r="O212" s="33"/>
    </row>
    <row r="213" spans="15:15">
      <c r="O213" s="33"/>
    </row>
    <row r="214" spans="15:15">
      <c r="O214" s="33"/>
    </row>
    <row r="215" spans="15:15">
      <c r="O215" s="33"/>
    </row>
    <row r="216" spans="15:15">
      <c r="O216" s="33"/>
    </row>
    <row r="217" spans="15:15">
      <c r="O217" s="33"/>
    </row>
    <row r="218" spans="15:15">
      <c r="O218" s="33"/>
    </row>
    <row r="219" spans="15:15">
      <c r="O219" s="33"/>
    </row>
    <row r="220" spans="15:15">
      <c r="O220" s="33"/>
    </row>
    <row r="221" spans="15:15">
      <c r="O221" s="33"/>
    </row>
    <row r="222" spans="15:15">
      <c r="O222" s="33"/>
    </row>
    <row r="223" spans="15:15">
      <c r="O223" s="33"/>
    </row>
    <row r="224" spans="15:15">
      <c r="O224" s="33"/>
    </row>
    <row r="225" spans="15:15">
      <c r="O225" s="33"/>
    </row>
    <row r="226" spans="15:15">
      <c r="O226" s="33"/>
    </row>
    <row r="227" spans="15:15">
      <c r="O227" s="33"/>
    </row>
    <row r="228" spans="15:15">
      <c r="O228" s="33"/>
    </row>
    <row r="229" spans="15:15">
      <c r="O229" s="33"/>
    </row>
    <row r="230" spans="15:15">
      <c r="O230" s="33"/>
    </row>
    <row r="231" spans="15:15">
      <c r="O231" s="33"/>
    </row>
    <row r="232" spans="15:15">
      <c r="O232" s="33"/>
    </row>
    <row r="233" spans="15:15">
      <c r="O233" s="33"/>
    </row>
    <row r="234" spans="15:15">
      <c r="O234" s="33"/>
    </row>
    <row r="235" spans="15:15">
      <c r="O235" s="33"/>
    </row>
    <row r="236" spans="15:15">
      <c r="O236" s="33"/>
    </row>
    <row r="237" spans="15:15">
      <c r="O237" s="33"/>
    </row>
    <row r="238" spans="15:15">
      <c r="O238" s="33"/>
    </row>
    <row r="239" spans="15:15">
      <c r="O239" s="33"/>
    </row>
    <row r="240" spans="15:15">
      <c r="O240" s="33"/>
    </row>
    <row r="241" spans="15:15">
      <c r="O241" s="33"/>
    </row>
    <row r="242" spans="15:15">
      <c r="O242" s="33"/>
    </row>
    <row r="243" spans="15:15">
      <c r="O243" s="33"/>
    </row>
    <row r="244" spans="15:15">
      <c r="O244" s="33"/>
    </row>
    <row r="245" spans="15:15">
      <c r="O245" s="33"/>
    </row>
    <row r="246" spans="15:15">
      <c r="O246" s="33"/>
    </row>
    <row r="247" spans="15:15">
      <c r="O247" s="33"/>
    </row>
    <row r="248" spans="15:15">
      <c r="O248" s="33"/>
    </row>
    <row r="249" spans="15:15">
      <c r="O249" s="33"/>
    </row>
    <row r="250" spans="15:15">
      <c r="O250" s="33"/>
    </row>
    <row r="251" spans="15:15">
      <c r="O251" s="33"/>
    </row>
    <row r="252" spans="15:15">
      <c r="O252" s="33"/>
    </row>
    <row r="253" spans="15:15">
      <c r="O253" s="33"/>
    </row>
    <row r="254" spans="15:15">
      <c r="O254" s="33"/>
    </row>
    <row r="255" spans="15:15">
      <c r="O255" s="33"/>
    </row>
    <row r="256" spans="15:15">
      <c r="O256" s="33"/>
    </row>
    <row r="257" spans="15:15">
      <c r="O257" s="33"/>
    </row>
    <row r="258" spans="15:15">
      <c r="O258" s="33"/>
    </row>
    <row r="259" spans="15:15">
      <c r="O259" s="33"/>
    </row>
    <row r="260" spans="15:15">
      <c r="O260" s="33"/>
    </row>
    <row r="261" spans="15:15">
      <c r="O261" s="33"/>
    </row>
    <row r="262" spans="15:15">
      <c r="O262" s="33"/>
    </row>
    <row r="263" spans="15:15">
      <c r="O263" s="33"/>
    </row>
    <row r="264" spans="15:15">
      <c r="O264" s="33"/>
    </row>
    <row r="265" spans="15:15">
      <c r="O265" s="33"/>
    </row>
    <row r="266" spans="15:15">
      <c r="O266" s="33"/>
    </row>
    <row r="267" spans="15:15">
      <c r="O267" s="33"/>
    </row>
    <row r="268" spans="15:15">
      <c r="O268" s="33"/>
    </row>
    <row r="269" spans="15:15">
      <c r="O269" s="33"/>
    </row>
    <row r="270" spans="15:15">
      <c r="O270" s="33"/>
    </row>
    <row r="271" spans="15:15">
      <c r="O271" s="33"/>
    </row>
    <row r="272" spans="15:15">
      <c r="O272" s="33"/>
    </row>
    <row r="273" spans="15:15">
      <c r="O273" s="33"/>
    </row>
    <row r="274" spans="15:15">
      <c r="O274" s="33"/>
    </row>
    <row r="275" spans="15:15">
      <c r="O275" s="33"/>
    </row>
    <row r="276" spans="15:15">
      <c r="O276" s="33"/>
    </row>
    <row r="277" spans="15:15">
      <c r="O277" s="33"/>
    </row>
    <row r="278" spans="15:15">
      <c r="O278" s="33"/>
    </row>
    <row r="279" spans="15:15">
      <c r="O279" s="33"/>
    </row>
    <row r="280" spans="15:15">
      <c r="O280" s="33"/>
    </row>
    <row r="281" spans="15:15">
      <c r="O281" s="33"/>
    </row>
    <row r="282" spans="15:15">
      <c r="O282" s="33"/>
    </row>
    <row r="283" spans="15:15">
      <c r="O283" s="33"/>
    </row>
    <row r="284" spans="15:15">
      <c r="O284" s="33"/>
    </row>
    <row r="285" spans="15:15">
      <c r="O285" s="33"/>
    </row>
    <row r="286" spans="15:15">
      <c r="O286" s="33"/>
    </row>
    <row r="287" spans="15:15">
      <c r="O287" s="33"/>
    </row>
    <row r="288" spans="15:15">
      <c r="O288" s="33"/>
    </row>
    <row r="289" spans="15:15">
      <c r="O289" s="33"/>
    </row>
    <row r="290" spans="15:15">
      <c r="O290" s="33"/>
    </row>
    <row r="291" spans="15:15">
      <c r="O291" s="33"/>
    </row>
    <row r="292" spans="15:15">
      <c r="O292" s="33"/>
    </row>
    <row r="293" spans="15:15">
      <c r="O293" s="33"/>
    </row>
    <row r="294" spans="15:15">
      <c r="O294" s="33"/>
    </row>
    <row r="295" spans="15:15">
      <c r="O295" s="33"/>
    </row>
    <row r="296" spans="15:15">
      <c r="O296" s="33"/>
    </row>
    <row r="297" spans="15:15">
      <c r="O297" s="33"/>
    </row>
    <row r="298" spans="15:15">
      <c r="O298" s="33"/>
    </row>
    <row r="299" spans="15:15">
      <c r="O299" s="33"/>
    </row>
    <row r="300" spans="15:15">
      <c r="O300" s="33"/>
    </row>
    <row r="301" spans="15:15">
      <c r="O301" s="33"/>
    </row>
    <row r="302" spans="15:15">
      <c r="O302" s="33"/>
    </row>
    <row r="303" spans="15:15">
      <c r="O303" s="33"/>
    </row>
    <row r="304" spans="15:15">
      <c r="O304" s="33"/>
    </row>
    <row r="305" spans="15:15">
      <c r="O305" s="33"/>
    </row>
    <row r="306" spans="15:15">
      <c r="O306" s="33"/>
    </row>
    <row r="307" spans="15:15">
      <c r="O307" s="33"/>
    </row>
    <row r="308" spans="15:15">
      <c r="O308" s="33"/>
    </row>
    <row r="309" spans="15:15">
      <c r="O309" s="33"/>
    </row>
    <row r="310" spans="15:15">
      <c r="O310" s="33"/>
    </row>
    <row r="311" spans="15:15">
      <c r="O311" s="33"/>
    </row>
    <row r="312" spans="15:15">
      <c r="O312" s="33"/>
    </row>
    <row r="313" spans="15:15">
      <c r="O313" s="33"/>
    </row>
    <row r="314" spans="15:15">
      <c r="O314" s="33"/>
    </row>
    <row r="315" spans="15:15">
      <c r="O315" s="33"/>
    </row>
    <row r="316" spans="15:15">
      <c r="O316" s="33"/>
    </row>
    <row r="317" spans="15:15">
      <c r="O317" s="33"/>
    </row>
    <row r="318" spans="15:15">
      <c r="O318" s="33"/>
    </row>
    <row r="319" spans="15:15">
      <c r="O319" s="33"/>
    </row>
    <row r="320" spans="15:15">
      <c r="O320" s="33"/>
    </row>
    <row r="321" spans="15:15">
      <c r="O321" s="33"/>
    </row>
    <row r="322" spans="15:15">
      <c r="O322" s="33"/>
    </row>
    <row r="323" spans="15:15">
      <c r="O323" s="33"/>
    </row>
    <row r="324" spans="15:15">
      <c r="O324" s="33"/>
    </row>
    <row r="325" spans="15:15">
      <c r="O325" s="33"/>
    </row>
    <row r="326" spans="15:15">
      <c r="O326" s="33"/>
    </row>
    <row r="327" spans="15:15">
      <c r="O327" s="33"/>
    </row>
    <row r="328" spans="15:15">
      <c r="O328" s="33"/>
    </row>
    <row r="329" spans="15:15">
      <c r="O329" s="33"/>
    </row>
    <row r="330" spans="15:15">
      <c r="O330" s="33"/>
    </row>
    <row r="331" spans="15:15">
      <c r="O331" s="33"/>
    </row>
    <row r="332" spans="15:15">
      <c r="O332" s="33"/>
    </row>
    <row r="333" spans="15:15">
      <c r="O333" s="33"/>
    </row>
    <row r="334" spans="15:15">
      <c r="O334" s="33"/>
    </row>
    <row r="335" spans="15:15">
      <c r="O335" s="33"/>
    </row>
    <row r="336" spans="15:15">
      <c r="O336" s="33"/>
    </row>
    <row r="337" spans="15:15">
      <c r="O337" s="33"/>
    </row>
    <row r="338" spans="15:15">
      <c r="O338" s="33"/>
    </row>
    <row r="339" spans="15:15">
      <c r="O339" s="33"/>
    </row>
    <row r="340" spans="15:15">
      <c r="O340" s="33"/>
    </row>
    <row r="341" spans="15:15">
      <c r="O341" s="33"/>
    </row>
    <row r="342" spans="15:15">
      <c r="O342" s="33"/>
    </row>
    <row r="343" spans="15:15">
      <c r="O343" s="33"/>
    </row>
    <row r="344" spans="15:15">
      <c r="O344" s="33"/>
    </row>
    <row r="345" spans="15:15">
      <c r="O345" s="33"/>
    </row>
    <row r="346" spans="15:15">
      <c r="O346" s="33"/>
    </row>
    <row r="347" spans="15:15">
      <c r="O347" s="33"/>
    </row>
    <row r="348" spans="15:15">
      <c r="O348" s="33"/>
    </row>
    <row r="349" spans="15:15">
      <c r="O349" s="33"/>
    </row>
    <row r="350" spans="15:15">
      <c r="O350" s="33"/>
    </row>
    <row r="351" spans="15:15">
      <c r="O351" s="33"/>
    </row>
    <row r="352" spans="15:15">
      <c r="O352" s="33"/>
    </row>
    <row r="353" spans="15:15">
      <c r="O353" s="33"/>
    </row>
    <row r="354" spans="15:15">
      <c r="O354" s="33"/>
    </row>
    <row r="355" spans="15:15">
      <c r="O355" s="33"/>
    </row>
    <row r="356" spans="15:15">
      <c r="O356" s="33"/>
    </row>
    <row r="357" spans="15:15">
      <c r="O357" s="33"/>
    </row>
    <row r="358" spans="15:15">
      <c r="O358" s="33"/>
    </row>
    <row r="359" spans="15:15">
      <c r="O359" s="33"/>
    </row>
    <row r="360" spans="15:15">
      <c r="O360" s="33"/>
    </row>
    <row r="361" spans="15:15">
      <c r="O361" s="33"/>
    </row>
    <row r="362" spans="15:15">
      <c r="O362" s="33"/>
    </row>
    <row r="363" spans="15:15">
      <c r="O363" s="33"/>
    </row>
    <row r="364" spans="15:15">
      <c r="O364" s="33"/>
    </row>
    <row r="365" spans="15:15">
      <c r="O365" s="33"/>
    </row>
    <row r="366" spans="15:15">
      <c r="O366" s="33"/>
    </row>
    <row r="367" spans="15:15">
      <c r="O367" s="33"/>
    </row>
    <row r="368" spans="15:15">
      <c r="O368" s="33"/>
    </row>
    <row r="369" spans="15:15">
      <c r="O369" s="33"/>
    </row>
    <row r="370" spans="15:15">
      <c r="O370" s="33"/>
    </row>
    <row r="371" spans="15:15">
      <c r="O371" s="33"/>
    </row>
    <row r="372" spans="15:15">
      <c r="O372" s="33"/>
    </row>
    <row r="373" spans="15:15">
      <c r="O373" s="33"/>
    </row>
    <row r="374" spans="15:15">
      <c r="O374" s="33"/>
    </row>
    <row r="375" spans="15:15">
      <c r="O375" s="33"/>
    </row>
    <row r="376" spans="15:15">
      <c r="O376" s="33"/>
    </row>
    <row r="377" spans="15:15">
      <c r="O377" s="33"/>
    </row>
    <row r="378" spans="15:15">
      <c r="O378" s="33"/>
    </row>
    <row r="379" spans="15:15">
      <c r="O379" s="33"/>
    </row>
    <row r="380" spans="15:15">
      <c r="O380" s="33"/>
    </row>
    <row r="381" spans="15:15">
      <c r="O381" s="33"/>
    </row>
    <row r="382" spans="15:15">
      <c r="O382" s="33"/>
    </row>
    <row r="383" spans="15:15">
      <c r="O383" s="33"/>
    </row>
    <row r="384" spans="15:15">
      <c r="O384" s="33"/>
    </row>
    <row r="385" spans="15:15">
      <c r="O385" s="33"/>
    </row>
    <row r="386" spans="15:15">
      <c r="O386" s="33"/>
    </row>
    <row r="387" spans="15:15">
      <c r="O387" s="33"/>
    </row>
    <row r="388" spans="15:15">
      <c r="O388" s="33"/>
    </row>
    <row r="389" spans="15:15">
      <c r="O389" s="33"/>
    </row>
    <row r="390" spans="15:15">
      <c r="O390" s="33"/>
    </row>
    <row r="391" spans="15:15">
      <c r="O391" s="33"/>
    </row>
    <row r="392" spans="15:15">
      <c r="O392" s="33"/>
    </row>
    <row r="393" spans="15:15">
      <c r="O393" s="33"/>
    </row>
    <row r="394" spans="15:15">
      <c r="O394" s="33"/>
    </row>
    <row r="395" spans="15:15">
      <c r="O395" s="33"/>
    </row>
    <row r="396" spans="15:15">
      <c r="O396" s="33"/>
    </row>
    <row r="397" spans="15:15">
      <c r="O397" s="33"/>
    </row>
    <row r="398" spans="15:15">
      <c r="O398" s="33"/>
    </row>
    <row r="399" spans="15:15">
      <c r="O399" s="33"/>
    </row>
    <row r="400" spans="15:15">
      <c r="O400" s="33"/>
    </row>
    <row r="401" spans="15:15">
      <c r="O401" s="33"/>
    </row>
    <row r="402" spans="15:15">
      <c r="O402" s="33"/>
    </row>
    <row r="403" spans="15:15">
      <c r="O403" s="33"/>
    </row>
    <row r="404" spans="15:15">
      <c r="O404" s="33"/>
    </row>
    <row r="405" spans="15:15">
      <c r="O405" s="33"/>
    </row>
    <row r="406" spans="15:15">
      <c r="O406" s="33"/>
    </row>
    <row r="407" spans="15:15">
      <c r="O407" s="33"/>
    </row>
    <row r="408" spans="15:15">
      <c r="O408" s="33"/>
    </row>
    <row r="409" spans="15:15">
      <c r="O409" s="33"/>
    </row>
    <row r="410" spans="15:15">
      <c r="O410" s="33"/>
    </row>
    <row r="411" spans="15:15">
      <c r="O411" s="33"/>
    </row>
    <row r="412" spans="15:15">
      <c r="O412" s="33"/>
    </row>
    <row r="413" spans="15:15">
      <c r="O413" s="33"/>
    </row>
    <row r="414" spans="15:15">
      <c r="O414" s="33"/>
    </row>
    <row r="415" spans="15:15">
      <c r="O415" s="33"/>
    </row>
    <row r="416" spans="15:15">
      <c r="O416" s="33"/>
    </row>
    <row r="417" spans="15:15">
      <c r="O417" s="33"/>
    </row>
    <row r="418" spans="15:15">
      <c r="O418" s="33"/>
    </row>
    <row r="419" spans="15:15">
      <c r="O419" s="33"/>
    </row>
    <row r="420" spans="15:15">
      <c r="O420" s="33"/>
    </row>
    <row r="421" spans="15:15">
      <c r="O421" s="33"/>
    </row>
    <row r="422" spans="15:15">
      <c r="O422" s="33"/>
    </row>
    <row r="423" spans="15:15">
      <c r="O423" s="33"/>
    </row>
    <row r="424" spans="15:15">
      <c r="O424" s="33"/>
    </row>
    <row r="425" spans="15:15">
      <c r="O425" s="33"/>
    </row>
    <row r="426" spans="15:15">
      <c r="O426" s="33"/>
    </row>
    <row r="427" spans="15:15">
      <c r="O427" s="33"/>
    </row>
    <row r="428" spans="15:15">
      <c r="O428" s="33"/>
    </row>
    <row r="429" spans="15:15">
      <c r="O429" s="33"/>
    </row>
    <row r="430" spans="15:15">
      <c r="O430" s="33"/>
    </row>
    <row r="431" spans="15:15">
      <c r="O431" s="33"/>
    </row>
    <row r="432" spans="15:15">
      <c r="O432" s="33"/>
    </row>
    <row r="433" spans="15:15">
      <c r="O433" s="33"/>
    </row>
    <row r="434" spans="15:15">
      <c r="O434" s="33"/>
    </row>
    <row r="435" spans="15:15">
      <c r="O435" s="33"/>
    </row>
    <row r="436" spans="15:15">
      <c r="O436" s="33"/>
    </row>
    <row r="437" spans="15:15">
      <c r="O437" s="33"/>
    </row>
    <row r="438" spans="15:15">
      <c r="O438" s="33"/>
    </row>
    <row r="439" spans="15:15">
      <c r="O439" s="33"/>
    </row>
    <row r="440" spans="15:15">
      <c r="O440" s="33"/>
    </row>
    <row r="441" spans="15:15">
      <c r="O441" s="33"/>
    </row>
    <row r="442" spans="15:15">
      <c r="O442" s="33"/>
    </row>
    <row r="443" spans="15:15">
      <c r="O443" s="33"/>
    </row>
    <row r="444" spans="15:15">
      <c r="O444" s="33"/>
    </row>
    <row r="445" spans="15:15">
      <c r="O445" s="33"/>
    </row>
    <row r="446" spans="15:15">
      <c r="O446" s="33"/>
    </row>
    <row r="447" spans="15:15">
      <c r="O447" s="33"/>
    </row>
    <row r="448" spans="15:15">
      <c r="O448" s="33"/>
    </row>
    <row r="449" spans="15:15">
      <c r="O449" s="33"/>
    </row>
    <row r="450" spans="15:15">
      <c r="O450" s="33"/>
    </row>
    <row r="451" spans="15:15">
      <c r="O451" s="33"/>
    </row>
    <row r="452" spans="15:15">
      <c r="O452" s="33"/>
    </row>
    <row r="453" spans="15:15">
      <c r="O453" s="33"/>
    </row>
    <row r="454" spans="15:15">
      <c r="O454" s="33"/>
    </row>
    <row r="455" spans="15:15">
      <c r="O455" s="33"/>
    </row>
    <row r="456" spans="15:15">
      <c r="O456" s="33"/>
    </row>
    <row r="457" spans="15:15">
      <c r="O457" s="33"/>
    </row>
    <row r="458" spans="15:15">
      <c r="O458" s="33"/>
    </row>
    <row r="459" spans="15:15">
      <c r="O459" s="33"/>
    </row>
    <row r="460" spans="15:15">
      <c r="O460" s="33"/>
    </row>
    <row r="461" spans="15:15">
      <c r="O461" s="33"/>
    </row>
    <row r="462" spans="15:15">
      <c r="O462" s="33"/>
    </row>
    <row r="463" spans="15:15">
      <c r="O463" s="33"/>
    </row>
    <row r="464" spans="15:15">
      <c r="O464" s="33"/>
    </row>
    <row r="465" spans="15:15">
      <c r="O465" s="33"/>
    </row>
    <row r="466" spans="15:15">
      <c r="O466" s="33"/>
    </row>
    <row r="467" spans="15:15">
      <c r="O467" s="33"/>
    </row>
    <row r="468" spans="15:15">
      <c r="O468" s="33"/>
    </row>
    <row r="469" spans="15:15">
      <c r="O469" s="33"/>
    </row>
    <row r="470" spans="15:15">
      <c r="O470" s="33"/>
    </row>
    <row r="471" spans="15:15">
      <c r="O471" s="33"/>
    </row>
    <row r="472" spans="15:15">
      <c r="O472" s="33"/>
    </row>
    <row r="473" spans="15:15">
      <c r="O473" s="33"/>
    </row>
    <row r="474" spans="15:15">
      <c r="O474" s="33"/>
    </row>
    <row r="475" spans="15:15">
      <c r="O475" s="33"/>
    </row>
    <row r="476" spans="15:15">
      <c r="O476" s="33"/>
    </row>
    <row r="477" spans="15:15">
      <c r="O477" s="33"/>
    </row>
    <row r="478" spans="15:15">
      <c r="O478" s="33"/>
    </row>
    <row r="479" spans="15:15">
      <c r="O479" s="33"/>
    </row>
    <row r="480" spans="15:15">
      <c r="O480" s="33"/>
    </row>
    <row r="481" spans="15:15">
      <c r="O481" s="33"/>
    </row>
    <row r="482" spans="15:15">
      <c r="O482" s="33"/>
    </row>
    <row r="483" spans="15:15">
      <c r="O483" s="33"/>
    </row>
    <row r="484" spans="15:15">
      <c r="O484" s="33"/>
    </row>
    <row r="485" spans="15:15">
      <c r="O485" s="33"/>
    </row>
    <row r="486" spans="15:15">
      <c r="O486" s="33"/>
    </row>
    <row r="487" spans="15:15">
      <c r="O487" s="33"/>
    </row>
    <row r="488" spans="15:15">
      <c r="O488" s="33"/>
    </row>
    <row r="489" spans="15:15">
      <c r="O489" s="33"/>
    </row>
    <row r="490" spans="15:15">
      <c r="O490" s="33"/>
    </row>
    <row r="491" spans="15:15">
      <c r="O491" s="33"/>
    </row>
    <row r="492" spans="15:15">
      <c r="O492" s="33"/>
    </row>
    <row r="493" spans="15:15">
      <c r="O493" s="33"/>
    </row>
    <row r="494" spans="15:15">
      <c r="O494" s="33"/>
    </row>
    <row r="495" spans="15:15">
      <c r="O495" s="33"/>
    </row>
    <row r="496" spans="15:15">
      <c r="O496" s="33"/>
    </row>
    <row r="497" spans="15:15">
      <c r="O497" s="33"/>
    </row>
    <row r="498" spans="15:15">
      <c r="O498" s="33"/>
    </row>
    <row r="499" spans="15:15">
      <c r="O499" s="33"/>
    </row>
    <row r="500" spans="15:15">
      <c r="O500" s="33"/>
    </row>
    <row r="501" spans="15:15">
      <c r="O501" s="33"/>
    </row>
    <row r="502" spans="15:15">
      <c r="O502" s="33"/>
    </row>
    <row r="503" spans="15:15">
      <c r="O503" s="33"/>
    </row>
    <row r="504" spans="15:15">
      <c r="O504" s="33"/>
    </row>
    <row r="505" spans="15:15">
      <c r="O505" s="33"/>
    </row>
    <row r="506" spans="15:15">
      <c r="O506" s="33"/>
    </row>
    <row r="507" spans="15:15">
      <c r="O507" s="33"/>
    </row>
    <row r="508" spans="15:15">
      <c r="O508" s="33"/>
    </row>
    <row r="509" spans="15:15">
      <c r="O509" s="33"/>
    </row>
    <row r="510" spans="15:15">
      <c r="O510" s="33"/>
    </row>
    <row r="511" spans="15:15">
      <c r="O511" s="33"/>
    </row>
    <row r="512" spans="15:15">
      <c r="O512" s="33"/>
    </row>
    <row r="513" spans="15:15">
      <c r="O513" s="33"/>
    </row>
    <row r="514" spans="15:15">
      <c r="O514" s="33"/>
    </row>
    <row r="515" spans="15:15">
      <c r="O515" s="33"/>
    </row>
    <row r="516" spans="15:15">
      <c r="O516" s="33"/>
    </row>
    <row r="517" spans="15:15">
      <c r="O517" s="33"/>
    </row>
    <row r="518" spans="15:15">
      <c r="O518" s="33"/>
    </row>
    <row r="519" spans="15:15">
      <c r="O519" s="33"/>
    </row>
    <row r="520" spans="15:15">
      <c r="O520" s="33"/>
    </row>
    <row r="521" spans="15:15">
      <c r="O521" s="33"/>
    </row>
    <row r="522" spans="15:15">
      <c r="O522" s="33"/>
    </row>
    <row r="523" spans="15:15">
      <c r="O523" s="33"/>
    </row>
    <row r="524" spans="15:15">
      <c r="O524" s="33"/>
    </row>
    <row r="525" spans="15:15">
      <c r="O525" s="33"/>
    </row>
    <row r="526" spans="15:15">
      <c r="O526" s="33"/>
    </row>
    <row r="527" spans="15:15">
      <c r="O527" s="33"/>
    </row>
    <row r="528" spans="15:15">
      <c r="O528" s="33"/>
    </row>
    <row r="529" spans="15:15">
      <c r="O529" s="33"/>
    </row>
    <row r="530" spans="15:15">
      <c r="O530" s="33"/>
    </row>
    <row r="531" spans="15:15">
      <c r="O531" s="33"/>
    </row>
    <row r="532" spans="15:15">
      <c r="O532" s="33"/>
    </row>
    <row r="533" spans="15:15">
      <c r="O533" s="33"/>
    </row>
    <row r="534" spans="15:15">
      <c r="O534" s="33"/>
    </row>
    <row r="535" spans="15:15">
      <c r="O535" s="33"/>
    </row>
    <row r="536" spans="15:15">
      <c r="O536" s="33"/>
    </row>
    <row r="537" spans="15:15">
      <c r="O537" s="33"/>
    </row>
    <row r="538" spans="15:15">
      <c r="O538" s="33"/>
    </row>
    <row r="539" spans="15:15">
      <c r="O539" s="33"/>
    </row>
    <row r="540" spans="15:15">
      <c r="O540" s="33"/>
    </row>
    <row r="541" spans="15:15">
      <c r="O541" s="33"/>
    </row>
    <row r="542" spans="15:15">
      <c r="O542" s="33"/>
    </row>
    <row r="543" spans="15:15">
      <c r="O543" s="33"/>
    </row>
    <row r="544" spans="15:15">
      <c r="O544" s="33"/>
    </row>
    <row r="545" spans="15:15">
      <c r="O545" s="33"/>
    </row>
    <row r="546" spans="15:15">
      <c r="O546" s="33"/>
    </row>
    <row r="547" spans="15:15">
      <c r="O547" s="33"/>
    </row>
    <row r="548" spans="15:15">
      <c r="O548" s="33"/>
    </row>
    <row r="549" spans="15:15">
      <c r="O549" s="33"/>
    </row>
    <row r="550" spans="15:15">
      <c r="O550" s="33"/>
    </row>
    <row r="551" spans="15:15">
      <c r="O551" s="33"/>
    </row>
    <row r="552" spans="15:15">
      <c r="O552" s="33"/>
    </row>
    <row r="553" spans="15:15">
      <c r="O553" s="33"/>
    </row>
    <row r="554" spans="15:15">
      <c r="O554" s="33"/>
    </row>
    <row r="555" spans="15:15">
      <c r="O555" s="33"/>
    </row>
    <row r="556" spans="15:15">
      <c r="O556" s="33"/>
    </row>
    <row r="557" spans="15:15">
      <c r="O557" s="33"/>
    </row>
    <row r="558" spans="15:15">
      <c r="O558" s="33"/>
    </row>
    <row r="559" spans="15:15">
      <c r="O559" s="33"/>
    </row>
    <row r="560" spans="15:15">
      <c r="O560" s="33"/>
    </row>
    <row r="561" spans="15:15">
      <c r="O561" s="33"/>
    </row>
    <row r="562" spans="15:15">
      <c r="O562" s="33"/>
    </row>
    <row r="563" spans="15:15">
      <c r="O563" s="33"/>
    </row>
    <row r="564" spans="15:15">
      <c r="O564" s="33"/>
    </row>
    <row r="565" spans="15:15">
      <c r="O565" s="33"/>
    </row>
    <row r="566" spans="15:15">
      <c r="O566" s="33"/>
    </row>
    <row r="567" spans="15:15">
      <c r="O567" s="33"/>
    </row>
    <row r="568" spans="15:15">
      <c r="O568" s="33"/>
    </row>
    <row r="569" spans="15:15">
      <c r="O569" s="33"/>
    </row>
    <row r="570" spans="15:15">
      <c r="O570" s="33"/>
    </row>
    <row r="571" spans="15:15">
      <c r="O571" s="33"/>
    </row>
    <row r="572" spans="15:15">
      <c r="O572" s="33"/>
    </row>
    <row r="573" spans="15:15">
      <c r="O573" s="33"/>
    </row>
    <row r="574" spans="15:15">
      <c r="O574" s="33"/>
    </row>
    <row r="575" spans="15:15">
      <c r="O575" s="33"/>
    </row>
    <row r="576" spans="15:15">
      <c r="O576" s="33"/>
    </row>
    <row r="577" spans="15:15">
      <c r="O577" s="33"/>
    </row>
    <row r="578" spans="15:15">
      <c r="O578" s="33"/>
    </row>
    <row r="579" spans="15:15">
      <c r="O579" s="33"/>
    </row>
    <row r="580" spans="15:15">
      <c r="O580" s="33"/>
    </row>
    <row r="581" spans="15:15">
      <c r="O581" s="33"/>
    </row>
    <row r="582" spans="15:15">
      <c r="O582" s="33"/>
    </row>
    <row r="583" spans="15:15">
      <c r="O583" s="33"/>
    </row>
    <row r="584" spans="15:15">
      <c r="O584" s="33"/>
    </row>
    <row r="585" spans="15:15">
      <c r="O585" s="33"/>
    </row>
    <row r="586" spans="15:15">
      <c r="O586" s="33"/>
    </row>
    <row r="587" spans="15:15">
      <c r="O587" s="33"/>
    </row>
    <row r="588" spans="15:15">
      <c r="O588" s="33"/>
    </row>
    <row r="589" spans="15:15">
      <c r="O589" s="33"/>
    </row>
    <row r="590" spans="15:15">
      <c r="O590" s="33"/>
    </row>
    <row r="591" spans="15:15">
      <c r="O591" s="33"/>
    </row>
    <row r="592" spans="15:15">
      <c r="O592" s="33"/>
    </row>
    <row r="593" spans="15:15">
      <c r="O593" s="33"/>
    </row>
    <row r="594" spans="15:15">
      <c r="O594" s="33"/>
    </row>
    <row r="595" spans="15:15">
      <c r="O595" s="33"/>
    </row>
    <row r="596" spans="15:15">
      <c r="O596" s="33"/>
    </row>
    <row r="597" spans="15:15">
      <c r="O597" s="33"/>
    </row>
    <row r="598" spans="15:15">
      <c r="O598" s="33"/>
    </row>
    <row r="599" spans="15:15">
      <c r="O599" s="33"/>
    </row>
    <row r="600" spans="15:15">
      <c r="O600" s="33"/>
    </row>
    <row r="601" spans="15:15">
      <c r="O601" s="33"/>
    </row>
    <row r="602" spans="15:15">
      <c r="O602" s="33"/>
    </row>
    <row r="603" spans="15:15">
      <c r="O603" s="33"/>
    </row>
    <row r="604" spans="15:15">
      <c r="O604" s="33"/>
    </row>
    <row r="605" spans="15:15">
      <c r="O605" s="33"/>
    </row>
    <row r="606" spans="15:15">
      <c r="O606" s="33"/>
    </row>
    <row r="607" spans="15:15">
      <c r="O607" s="33"/>
    </row>
    <row r="608" spans="15:15">
      <c r="O608" s="33"/>
    </row>
    <row r="609" spans="15:15">
      <c r="O609" s="33"/>
    </row>
    <row r="610" spans="15:15">
      <c r="O610" s="33"/>
    </row>
    <row r="611" spans="15:15">
      <c r="O611" s="33"/>
    </row>
    <row r="612" spans="15:15">
      <c r="O612" s="33"/>
    </row>
    <row r="613" spans="15:15">
      <c r="O613" s="33"/>
    </row>
    <row r="614" spans="15:15">
      <c r="O614" s="33"/>
    </row>
    <row r="615" spans="15:15">
      <c r="O615" s="33"/>
    </row>
    <row r="616" spans="15:15">
      <c r="O616" s="33"/>
    </row>
    <row r="617" spans="15:15">
      <c r="O617" s="33"/>
    </row>
    <row r="618" spans="15:15">
      <c r="O618" s="33"/>
    </row>
    <row r="619" spans="15:15">
      <c r="O619" s="33"/>
    </row>
    <row r="620" spans="15:15">
      <c r="O620" s="33"/>
    </row>
    <row r="621" spans="15:15">
      <c r="O621" s="33"/>
    </row>
    <row r="622" spans="15:15">
      <c r="O622" s="33"/>
    </row>
    <row r="623" spans="15:15">
      <c r="O623" s="33"/>
    </row>
    <row r="624" spans="15:15">
      <c r="O624" s="33"/>
    </row>
    <row r="625" spans="15:15">
      <c r="O625" s="33"/>
    </row>
    <row r="626" spans="15:15">
      <c r="O626" s="33"/>
    </row>
    <row r="627" spans="15:15">
      <c r="O627" s="33"/>
    </row>
    <row r="628" spans="15:15">
      <c r="O628" s="33"/>
    </row>
    <row r="629" spans="15:15">
      <c r="O629" s="33"/>
    </row>
    <row r="630" spans="15:15">
      <c r="O630" s="33"/>
    </row>
    <row r="631" spans="15:15">
      <c r="O631" s="33"/>
    </row>
    <row r="632" spans="15:15">
      <c r="O632" s="33"/>
    </row>
    <row r="633" spans="15:15">
      <c r="O633" s="33"/>
    </row>
    <row r="634" spans="15:15">
      <c r="O634" s="33"/>
    </row>
    <row r="635" spans="15:15">
      <c r="O635" s="33"/>
    </row>
    <row r="636" spans="15:15">
      <c r="O636" s="33"/>
    </row>
    <row r="637" spans="15:15">
      <c r="O637" s="33"/>
    </row>
    <row r="638" spans="15:15">
      <c r="O638" s="33"/>
    </row>
    <row r="639" spans="15:15">
      <c r="O639" s="33"/>
    </row>
    <row r="640" spans="15:15">
      <c r="O640" s="33"/>
    </row>
    <row r="641" spans="15:15">
      <c r="O641" s="33"/>
    </row>
    <row r="642" spans="15:15">
      <c r="O642" s="33"/>
    </row>
    <row r="643" spans="15:15">
      <c r="O643" s="33"/>
    </row>
    <row r="644" spans="15:15">
      <c r="O644" s="33"/>
    </row>
    <row r="645" spans="15:15">
      <c r="O645" s="33"/>
    </row>
    <row r="646" spans="15:15">
      <c r="O646" s="33"/>
    </row>
    <row r="647" spans="15:15">
      <c r="O647" s="33"/>
    </row>
    <row r="648" spans="15:15">
      <c r="O648" s="33"/>
    </row>
    <row r="649" spans="15:15">
      <c r="O649" s="33"/>
    </row>
    <row r="650" spans="15:15">
      <c r="O650" s="33"/>
    </row>
    <row r="651" spans="15:15">
      <c r="O651" s="33"/>
    </row>
    <row r="652" spans="15:15">
      <c r="O652" s="33"/>
    </row>
    <row r="653" spans="15:15">
      <c r="O653" s="33"/>
    </row>
    <row r="654" spans="15:15">
      <c r="O654" s="33"/>
    </row>
    <row r="655" spans="15:15">
      <c r="O655" s="33"/>
    </row>
    <row r="656" spans="15:15">
      <c r="O656" s="33"/>
    </row>
    <row r="657" spans="15:15">
      <c r="O657" s="33"/>
    </row>
    <row r="658" spans="15:15">
      <c r="O658" s="33"/>
    </row>
    <row r="659" spans="15:15">
      <c r="O659" s="33"/>
    </row>
    <row r="660" spans="15:15">
      <c r="O660" s="33"/>
    </row>
    <row r="661" spans="15:15">
      <c r="O661" s="33"/>
    </row>
    <row r="662" spans="15:15">
      <c r="O662" s="33"/>
    </row>
    <row r="663" spans="15:15">
      <c r="O663" s="33"/>
    </row>
    <row r="664" spans="15:15">
      <c r="O664" s="33"/>
    </row>
    <row r="665" spans="15:15">
      <c r="O665" s="33"/>
    </row>
    <row r="666" spans="15:15">
      <c r="O666" s="33"/>
    </row>
    <row r="667" spans="15:15">
      <c r="O667" s="33"/>
    </row>
    <row r="668" spans="15:15">
      <c r="O668" s="33"/>
    </row>
    <row r="669" spans="15:15">
      <c r="O669" s="33"/>
    </row>
    <row r="670" spans="15:15">
      <c r="O670" s="33"/>
    </row>
    <row r="671" spans="15:15">
      <c r="O671" s="33"/>
    </row>
    <row r="672" spans="15:15">
      <c r="O672" s="33"/>
    </row>
    <row r="673" spans="15:15">
      <c r="O673" s="33"/>
    </row>
    <row r="674" spans="15:15">
      <c r="O674" s="33"/>
    </row>
    <row r="675" spans="15:15">
      <c r="O675" s="33"/>
    </row>
    <row r="676" spans="15:15">
      <c r="O676" s="33"/>
    </row>
    <row r="677" spans="15:15">
      <c r="O677" s="33"/>
    </row>
    <row r="678" spans="15:15">
      <c r="O678" s="33"/>
    </row>
    <row r="679" spans="15:15">
      <c r="O679" s="33"/>
    </row>
    <row r="680" spans="15:15">
      <c r="O680" s="33"/>
    </row>
    <row r="681" spans="15:15">
      <c r="O681" s="33"/>
    </row>
    <row r="682" spans="15:15">
      <c r="O682" s="33"/>
    </row>
    <row r="683" spans="15:15">
      <c r="O683" s="33"/>
    </row>
    <row r="684" spans="15:15">
      <c r="O684" s="33"/>
    </row>
    <row r="685" spans="15:15">
      <c r="O685" s="33"/>
    </row>
    <row r="686" spans="15:15">
      <c r="O686" s="33"/>
    </row>
    <row r="687" spans="15:15">
      <c r="O687" s="33"/>
    </row>
    <row r="688" spans="15:15">
      <c r="O688" s="33"/>
    </row>
    <row r="689" spans="15:15">
      <c r="O689" s="33"/>
    </row>
    <row r="690" spans="15:15">
      <c r="O690" s="33"/>
    </row>
    <row r="691" spans="15:15">
      <c r="O691" s="33"/>
    </row>
    <row r="692" spans="15:15">
      <c r="O692" s="33"/>
    </row>
    <row r="693" spans="15:15">
      <c r="O693" s="33"/>
    </row>
    <row r="694" spans="15:15">
      <c r="O694" s="33"/>
    </row>
    <row r="695" spans="15:15">
      <c r="O695" s="33"/>
    </row>
    <row r="696" spans="15:15">
      <c r="O696" s="33"/>
    </row>
    <row r="697" spans="15:15">
      <c r="O697" s="33"/>
    </row>
    <row r="698" spans="15:15">
      <c r="O698" s="33"/>
    </row>
    <row r="699" spans="15:15">
      <c r="O699" s="33"/>
    </row>
    <row r="700" spans="15:15">
      <c r="O700" s="33"/>
    </row>
    <row r="701" spans="15:15">
      <c r="O701" s="33"/>
    </row>
    <row r="702" spans="15:15">
      <c r="O702" s="33"/>
    </row>
    <row r="703" spans="15:15">
      <c r="O703" s="33"/>
    </row>
    <row r="704" spans="15:15">
      <c r="O704" s="33"/>
    </row>
    <row r="705" spans="15:15">
      <c r="O705" s="33"/>
    </row>
    <row r="706" spans="15:15">
      <c r="O706" s="33"/>
    </row>
    <row r="707" spans="15:15">
      <c r="O707" s="33"/>
    </row>
    <row r="708" spans="15:15">
      <c r="O708" s="33"/>
    </row>
    <row r="709" spans="15:15">
      <c r="O709" s="33"/>
    </row>
    <row r="710" spans="15:15">
      <c r="O710" s="33"/>
    </row>
    <row r="711" spans="15:15">
      <c r="O711" s="33"/>
    </row>
    <row r="712" spans="15:15">
      <c r="O712" s="33"/>
    </row>
    <row r="713" spans="15:15">
      <c r="O713" s="33"/>
    </row>
    <row r="714" spans="15:15">
      <c r="O714" s="33"/>
    </row>
    <row r="715" spans="15:15">
      <c r="O715" s="33"/>
    </row>
    <row r="716" spans="15:15">
      <c r="O716" s="33"/>
    </row>
    <row r="717" spans="15:15">
      <c r="O717" s="33"/>
    </row>
    <row r="718" spans="15:15">
      <c r="O718" s="33"/>
    </row>
    <row r="719" spans="15:15">
      <c r="O719" s="33"/>
    </row>
    <row r="720" spans="15:15">
      <c r="O720" s="33"/>
    </row>
    <row r="721" spans="15:15">
      <c r="O721" s="33"/>
    </row>
    <row r="722" spans="15:15">
      <c r="O722" s="33"/>
    </row>
    <row r="723" spans="15:15">
      <c r="O723" s="33"/>
    </row>
    <row r="724" spans="15:15">
      <c r="O724" s="33"/>
    </row>
    <row r="725" spans="15:15">
      <c r="O725" s="33"/>
    </row>
    <row r="726" spans="15:15">
      <c r="O726" s="33"/>
    </row>
    <row r="727" spans="15:15">
      <c r="O727" s="33"/>
    </row>
    <row r="728" spans="15:15">
      <c r="O728" s="33"/>
    </row>
    <row r="729" spans="15:15">
      <c r="O729" s="33"/>
    </row>
    <row r="730" spans="15:15">
      <c r="O730" s="33"/>
    </row>
    <row r="731" spans="15:15">
      <c r="O731" s="33"/>
    </row>
    <row r="732" spans="15:15">
      <c r="O732" s="33"/>
    </row>
    <row r="733" spans="15:15">
      <c r="O733" s="33"/>
    </row>
    <row r="734" spans="15:15">
      <c r="O734" s="33"/>
    </row>
    <row r="735" spans="15:15">
      <c r="O735" s="33"/>
    </row>
    <row r="736" spans="15:15">
      <c r="O736" s="33"/>
    </row>
    <row r="737" spans="15:15">
      <c r="O737" s="33"/>
    </row>
    <row r="738" spans="15:15">
      <c r="O738" s="33"/>
    </row>
    <row r="739" spans="15:15">
      <c r="O739" s="33"/>
    </row>
    <row r="740" spans="15:15">
      <c r="O740" s="33"/>
    </row>
    <row r="741" spans="15:15">
      <c r="O741" s="33"/>
    </row>
    <row r="742" spans="15:15">
      <c r="O742" s="33"/>
    </row>
    <row r="743" spans="15:15">
      <c r="O743" s="33"/>
    </row>
    <row r="744" spans="15:15">
      <c r="O744" s="33"/>
    </row>
    <row r="745" spans="15:15">
      <c r="O745" s="33"/>
    </row>
    <row r="746" spans="15:15">
      <c r="O746" s="33"/>
    </row>
    <row r="747" spans="15:15">
      <c r="O747" s="33"/>
    </row>
    <row r="748" spans="15:15">
      <c r="O748" s="33"/>
    </row>
    <row r="749" spans="15:15">
      <c r="O749" s="33"/>
    </row>
    <row r="750" spans="15:15">
      <c r="O750" s="33"/>
    </row>
    <row r="751" spans="15:15">
      <c r="O751" s="33"/>
    </row>
    <row r="752" spans="15:15">
      <c r="O752" s="33"/>
    </row>
    <row r="753" spans="15:15">
      <c r="O753" s="33"/>
    </row>
    <row r="754" spans="15:15">
      <c r="O754" s="33"/>
    </row>
    <row r="755" spans="15:15">
      <c r="O755" s="33"/>
    </row>
    <row r="756" spans="15:15">
      <c r="O756" s="33"/>
    </row>
    <row r="757" spans="15:15">
      <c r="O757" s="33"/>
    </row>
    <row r="758" spans="15:15">
      <c r="O758" s="33"/>
    </row>
    <row r="759" spans="15:15">
      <c r="O759" s="33"/>
    </row>
    <row r="760" spans="15:15">
      <c r="O760" s="33"/>
    </row>
    <row r="761" spans="15:15">
      <c r="O761" s="33"/>
    </row>
    <row r="762" spans="15:15">
      <c r="O762" s="33"/>
    </row>
    <row r="763" spans="15:15">
      <c r="O763" s="33"/>
    </row>
    <row r="764" spans="15:15">
      <c r="O764" s="33"/>
    </row>
    <row r="765" spans="15:15">
      <c r="O765" s="33"/>
    </row>
    <row r="766" spans="15:15">
      <c r="O766" s="33"/>
    </row>
    <row r="767" spans="15:15">
      <c r="O767" s="33"/>
    </row>
    <row r="768" spans="15:15">
      <c r="O768" s="33"/>
    </row>
    <row r="769" spans="15:15">
      <c r="O769" s="33"/>
    </row>
    <row r="770" spans="15:15">
      <c r="O770" s="33"/>
    </row>
    <row r="771" spans="15:15">
      <c r="O771" s="33"/>
    </row>
    <row r="772" spans="15:15">
      <c r="O772" s="33"/>
    </row>
    <row r="773" spans="15:15">
      <c r="O773" s="33"/>
    </row>
    <row r="774" spans="15:15">
      <c r="O774" s="33"/>
    </row>
    <row r="775" spans="15:15">
      <c r="O775" s="33"/>
    </row>
    <row r="776" spans="15:15">
      <c r="O776" s="33"/>
    </row>
    <row r="777" spans="15:15">
      <c r="O777" s="33"/>
    </row>
    <row r="778" spans="15:15">
      <c r="O778" s="33"/>
    </row>
    <row r="779" spans="15:15">
      <c r="O779" s="33"/>
    </row>
    <row r="780" spans="15:15">
      <c r="O780" s="33"/>
    </row>
    <row r="781" spans="15:15">
      <c r="O781" s="33"/>
    </row>
    <row r="782" spans="15:15">
      <c r="O782" s="33"/>
    </row>
    <row r="783" spans="15:15">
      <c r="O783" s="33"/>
    </row>
    <row r="784" spans="15:15">
      <c r="O784" s="33"/>
    </row>
    <row r="785" spans="15:15">
      <c r="O785" s="33"/>
    </row>
    <row r="786" spans="15:15">
      <c r="O786" s="33"/>
    </row>
    <row r="787" spans="15:15">
      <c r="O787" s="33"/>
    </row>
    <row r="788" spans="15:15">
      <c r="O788" s="33"/>
    </row>
    <row r="789" spans="15:15">
      <c r="O789" s="33"/>
    </row>
    <row r="790" spans="15:15">
      <c r="O790" s="33"/>
    </row>
    <row r="791" spans="15:15">
      <c r="O791" s="33"/>
    </row>
    <row r="792" spans="15:15">
      <c r="O792" s="33"/>
    </row>
    <row r="793" spans="15:15">
      <c r="O793" s="33"/>
    </row>
    <row r="794" spans="15:15">
      <c r="O794" s="33"/>
    </row>
    <row r="795" spans="15:15">
      <c r="O795" s="33"/>
    </row>
    <row r="796" spans="15:15">
      <c r="O796" s="33"/>
    </row>
    <row r="797" spans="15:15">
      <c r="O797" s="33"/>
    </row>
    <row r="798" spans="15:15">
      <c r="O798" s="33"/>
    </row>
    <row r="799" spans="15:15">
      <c r="O799" s="33"/>
    </row>
    <row r="800" spans="15:15">
      <c r="O800" s="33"/>
    </row>
    <row r="801" spans="15:15">
      <c r="O801" s="33"/>
    </row>
    <row r="802" spans="15:15">
      <c r="O802" s="33"/>
    </row>
    <row r="803" spans="15:15">
      <c r="O803" s="33"/>
    </row>
    <row r="804" spans="15:15">
      <c r="O804" s="33"/>
    </row>
    <row r="805" spans="15:15">
      <c r="O805" s="33"/>
    </row>
    <row r="806" spans="15:15">
      <c r="O806" s="33"/>
    </row>
    <row r="807" spans="15:15">
      <c r="O807" s="33"/>
    </row>
    <row r="808" spans="15:15">
      <c r="O808" s="33"/>
    </row>
    <row r="809" spans="15:15">
      <c r="O809" s="33"/>
    </row>
    <row r="810" spans="15:15">
      <c r="O810" s="33"/>
    </row>
    <row r="811" spans="15:15">
      <c r="O811" s="33"/>
    </row>
    <row r="812" spans="15:15">
      <c r="O812" s="33"/>
    </row>
    <row r="813" spans="15:15">
      <c r="O813" s="33"/>
    </row>
    <row r="814" spans="15:15">
      <c r="O814" s="33"/>
    </row>
    <row r="815" spans="15:15">
      <c r="O815" s="33"/>
    </row>
    <row r="816" spans="15:15">
      <c r="O816" s="33"/>
    </row>
    <row r="817" spans="15:15">
      <c r="O817" s="33"/>
    </row>
    <row r="818" spans="15:15">
      <c r="O818" s="33"/>
    </row>
    <row r="819" spans="15:15">
      <c r="O819" s="33"/>
    </row>
    <row r="820" spans="15:15">
      <c r="O820" s="33"/>
    </row>
    <row r="821" spans="15:15">
      <c r="O821" s="33"/>
    </row>
    <row r="822" spans="15:15">
      <c r="O822" s="33"/>
    </row>
    <row r="823" spans="15:15">
      <c r="O823" s="33"/>
    </row>
    <row r="824" spans="15:15">
      <c r="O824" s="33"/>
    </row>
    <row r="825" spans="15:15">
      <c r="O825" s="33"/>
    </row>
    <row r="826" spans="15:15">
      <c r="O826" s="33"/>
    </row>
    <row r="827" spans="15:15">
      <c r="O827" s="33"/>
    </row>
    <row r="828" spans="15:15">
      <c r="O828" s="33"/>
    </row>
    <row r="829" spans="15:15">
      <c r="O829" s="33"/>
    </row>
    <row r="830" spans="15:15">
      <c r="O830" s="33"/>
    </row>
    <row r="831" spans="15:15">
      <c r="O831" s="33"/>
    </row>
    <row r="832" spans="15:15">
      <c r="O832" s="33"/>
    </row>
    <row r="833" spans="15:15">
      <c r="O833" s="33"/>
    </row>
    <row r="834" spans="15:15">
      <c r="O834" s="33"/>
    </row>
    <row r="835" spans="15:15">
      <c r="O835" s="33"/>
    </row>
    <row r="836" spans="15:15">
      <c r="O836" s="33"/>
    </row>
    <row r="837" spans="15:15">
      <c r="O837" s="33"/>
    </row>
    <row r="838" spans="15:15">
      <c r="O838" s="33"/>
    </row>
    <row r="839" spans="15:15">
      <c r="O839" s="33"/>
    </row>
    <row r="840" spans="15:15">
      <c r="O840" s="33"/>
    </row>
    <row r="841" spans="15:15">
      <c r="O841" s="33"/>
    </row>
    <row r="842" spans="15:15">
      <c r="O842" s="33"/>
    </row>
    <row r="843" spans="15:15">
      <c r="O843" s="33"/>
    </row>
    <row r="844" spans="15:15">
      <c r="O844" s="33"/>
    </row>
    <row r="845" spans="15:15">
      <c r="O845" s="33"/>
    </row>
    <row r="846" spans="15:15">
      <c r="O846" s="33"/>
    </row>
    <row r="847" spans="15:15">
      <c r="O847" s="33"/>
    </row>
    <row r="848" spans="15:15">
      <c r="O848" s="33"/>
    </row>
    <row r="849" spans="15:15">
      <c r="O849" s="33"/>
    </row>
    <row r="850" spans="15:15">
      <c r="O850" s="33"/>
    </row>
    <row r="851" spans="15:15">
      <c r="O851" s="33"/>
    </row>
    <row r="852" spans="15:15">
      <c r="O852" s="33"/>
    </row>
    <row r="853" spans="15:15">
      <c r="O853" s="33"/>
    </row>
    <row r="854" spans="15:15">
      <c r="O854" s="33"/>
    </row>
    <row r="855" spans="15:15">
      <c r="O855" s="33"/>
    </row>
    <row r="856" spans="15:15">
      <c r="O856" s="33"/>
    </row>
    <row r="857" spans="15:15">
      <c r="O857" s="33"/>
    </row>
    <row r="858" spans="15:15">
      <c r="O858" s="33"/>
    </row>
    <row r="859" spans="15:15">
      <c r="O859" s="33"/>
    </row>
    <row r="860" spans="15:15">
      <c r="O860" s="33"/>
    </row>
    <row r="861" spans="15:15">
      <c r="O861" s="33"/>
    </row>
    <row r="862" spans="15:15">
      <c r="O862" s="33"/>
    </row>
    <row r="863" spans="15:15">
      <c r="O863" s="33"/>
    </row>
    <row r="864" spans="15:15">
      <c r="O864" s="33"/>
    </row>
    <row r="865" spans="15:15">
      <c r="O865" s="33"/>
    </row>
    <row r="866" spans="15:15">
      <c r="O866" s="33"/>
    </row>
    <row r="867" spans="15:15">
      <c r="O867" s="33"/>
    </row>
    <row r="868" spans="15:15">
      <c r="O868" s="33"/>
    </row>
    <row r="869" spans="15:15">
      <c r="O869" s="33"/>
    </row>
    <row r="870" spans="15:15">
      <c r="O870" s="33"/>
    </row>
    <row r="871" spans="15:15">
      <c r="O871" s="33"/>
    </row>
    <row r="872" spans="15:15">
      <c r="O872" s="33"/>
    </row>
    <row r="873" spans="15:15">
      <c r="O873" s="33"/>
    </row>
    <row r="874" spans="15:15">
      <c r="O874" s="33"/>
    </row>
    <row r="875" spans="15:15">
      <c r="O875" s="33"/>
    </row>
    <row r="876" spans="15:15">
      <c r="O876" s="33"/>
    </row>
    <row r="877" spans="15:15">
      <c r="O877" s="33"/>
    </row>
    <row r="878" spans="15:15">
      <c r="O878" s="33"/>
    </row>
    <row r="879" spans="15:15">
      <c r="O879" s="33"/>
    </row>
    <row r="880" spans="15:15">
      <c r="O880" s="33"/>
    </row>
    <row r="881" spans="15:15">
      <c r="O881" s="33"/>
    </row>
    <row r="882" spans="15:15">
      <c r="O882" s="33"/>
    </row>
    <row r="883" spans="15:15">
      <c r="O883" s="33"/>
    </row>
    <row r="884" spans="15:15">
      <c r="O884" s="33"/>
    </row>
    <row r="885" spans="15:15">
      <c r="O885" s="33"/>
    </row>
    <row r="886" spans="15:15">
      <c r="O886" s="33"/>
    </row>
    <row r="887" spans="15:15">
      <c r="O887" s="33"/>
    </row>
    <row r="888" spans="15:15">
      <c r="O888" s="33"/>
    </row>
    <row r="889" spans="15:15">
      <c r="O889" s="33"/>
    </row>
    <row r="890" spans="15:15">
      <c r="O890" s="33"/>
    </row>
    <row r="891" spans="15:15">
      <c r="O891" s="33"/>
    </row>
    <row r="892" spans="15:15">
      <c r="O892" s="33"/>
    </row>
    <row r="893" spans="15:15">
      <c r="O893" s="33"/>
    </row>
    <row r="894" spans="15:15">
      <c r="O894" s="33"/>
    </row>
    <row r="895" spans="15:15">
      <c r="O895" s="33"/>
    </row>
    <row r="896" spans="15:15">
      <c r="O896" s="33"/>
    </row>
    <row r="897" spans="15:15">
      <c r="O897" s="33"/>
    </row>
    <row r="898" spans="15:15">
      <c r="O898" s="33"/>
    </row>
    <row r="899" spans="15:15">
      <c r="O899" s="33"/>
    </row>
    <row r="900" spans="15:15">
      <c r="O900" s="33"/>
    </row>
    <row r="901" spans="15:15">
      <c r="O901" s="33"/>
    </row>
    <row r="902" spans="15:15">
      <c r="O902" s="33"/>
    </row>
    <row r="903" spans="15:15">
      <c r="O903" s="33"/>
    </row>
    <row r="904" spans="15:15">
      <c r="O904" s="33"/>
    </row>
    <row r="905" spans="15:15">
      <c r="O905" s="33"/>
    </row>
    <row r="906" spans="15:15">
      <c r="O906" s="33"/>
    </row>
    <row r="907" spans="15:15">
      <c r="O907" s="33"/>
    </row>
    <row r="908" spans="15:15">
      <c r="O908" s="33"/>
    </row>
    <row r="909" spans="15:15">
      <c r="O909" s="33"/>
    </row>
    <row r="910" spans="15:15">
      <c r="O910" s="33"/>
    </row>
    <row r="911" spans="15:15">
      <c r="O911" s="33"/>
    </row>
    <row r="912" spans="15:15">
      <c r="O912" s="33"/>
    </row>
    <row r="913" spans="15:15">
      <c r="O913" s="33"/>
    </row>
    <row r="914" spans="15:15">
      <c r="O914" s="33"/>
    </row>
    <row r="915" spans="15:15">
      <c r="O915" s="33"/>
    </row>
    <row r="916" spans="15:15">
      <c r="O916" s="33"/>
    </row>
    <row r="917" spans="15:15">
      <c r="O917" s="33"/>
    </row>
    <row r="918" spans="15:15">
      <c r="O918" s="33"/>
    </row>
    <row r="919" spans="15:15">
      <c r="O919" s="33"/>
    </row>
    <row r="920" spans="15:15">
      <c r="O920" s="33"/>
    </row>
    <row r="921" spans="15:15">
      <c r="O921" s="33"/>
    </row>
    <row r="922" spans="15:15">
      <c r="O922" s="33"/>
    </row>
    <row r="923" spans="15:15">
      <c r="O923" s="33"/>
    </row>
    <row r="924" spans="15:15">
      <c r="O924" s="33"/>
    </row>
    <row r="925" spans="15:15">
      <c r="O925" s="33"/>
    </row>
    <row r="926" spans="15:15">
      <c r="O926" s="33"/>
    </row>
    <row r="927" spans="15:15">
      <c r="O927" s="33"/>
    </row>
    <row r="928" spans="15:15">
      <c r="O928" s="33"/>
    </row>
    <row r="929" spans="15:15">
      <c r="O929" s="33"/>
    </row>
    <row r="930" spans="15:15">
      <c r="O930" s="33"/>
    </row>
    <row r="931" spans="15:15">
      <c r="O931" s="33"/>
    </row>
    <row r="932" spans="15:15">
      <c r="O932" s="33"/>
    </row>
    <row r="933" spans="15:15">
      <c r="O933" s="33"/>
    </row>
    <row r="934" spans="15:15">
      <c r="O934" s="33"/>
    </row>
    <row r="935" spans="15:15">
      <c r="O935" s="33"/>
    </row>
    <row r="936" spans="15:15">
      <c r="O936" s="33"/>
    </row>
    <row r="937" spans="15:15">
      <c r="O937" s="33"/>
    </row>
    <row r="938" spans="15:15">
      <c r="O938" s="33"/>
    </row>
    <row r="939" spans="15:15">
      <c r="O939" s="33"/>
    </row>
    <row r="940" spans="15:15">
      <c r="O940" s="33"/>
    </row>
    <row r="941" spans="15:15">
      <c r="O941" s="33"/>
    </row>
    <row r="942" spans="15:15">
      <c r="O942" s="33"/>
    </row>
    <row r="943" spans="15:15">
      <c r="O943" s="33"/>
    </row>
    <row r="944" spans="15:15">
      <c r="O944" s="33"/>
    </row>
    <row r="945" spans="15:15">
      <c r="O945" s="33"/>
    </row>
    <row r="946" spans="15:15">
      <c r="O946" s="33"/>
    </row>
    <row r="947" spans="15:15">
      <c r="O947" s="33"/>
    </row>
    <row r="948" spans="15:15">
      <c r="O948" s="33"/>
    </row>
    <row r="949" spans="15:15">
      <c r="O949" s="33"/>
    </row>
    <row r="950" spans="15:15">
      <c r="O950" s="33"/>
    </row>
    <row r="951" spans="15:15">
      <c r="O951" s="33"/>
    </row>
    <row r="952" spans="15:15">
      <c r="O952" s="33"/>
    </row>
    <row r="953" spans="15:15">
      <c r="O953" s="33"/>
    </row>
    <row r="954" spans="15:15">
      <c r="O954" s="33"/>
    </row>
    <row r="955" spans="15:15">
      <c r="O955" s="33"/>
    </row>
    <row r="956" spans="15:15">
      <c r="O956" s="33"/>
    </row>
    <row r="957" spans="15:15">
      <c r="O957" s="33"/>
    </row>
    <row r="958" spans="15:15">
      <c r="O958" s="33"/>
    </row>
    <row r="959" spans="15:15">
      <c r="O959" s="33"/>
    </row>
    <row r="960" spans="15:15">
      <c r="O960" s="33"/>
    </row>
    <row r="961" spans="15:15">
      <c r="O961" s="33"/>
    </row>
    <row r="962" spans="15:15">
      <c r="O962" s="33"/>
    </row>
    <row r="963" spans="15:15">
      <c r="O963" s="33"/>
    </row>
    <row r="964" spans="15:15">
      <c r="O964" s="33"/>
    </row>
    <row r="965" spans="15:15">
      <c r="O965" s="33"/>
    </row>
    <row r="966" spans="15:15">
      <c r="O966" s="33"/>
    </row>
    <row r="967" spans="15:15">
      <c r="O967" s="33"/>
    </row>
    <row r="968" spans="15:15">
      <c r="O968" s="33"/>
    </row>
    <row r="969" spans="15:15">
      <c r="O969" s="33"/>
    </row>
    <row r="970" spans="15:15">
      <c r="O970" s="33"/>
    </row>
    <row r="971" spans="15:15">
      <c r="O971" s="33"/>
    </row>
    <row r="972" spans="15:15">
      <c r="O972" s="33"/>
    </row>
    <row r="973" spans="15:15">
      <c r="O973" s="33"/>
    </row>
    <row r="974" spans="15:15">
      <c r="O974" s="33"/>
    </row>
    <row r="975" spans="15:15">
      <c r="O975" s="33"/>
    </row>
    <row r="976" spans="15:15">
      <c r="O976" s="33"/>
    </row>
    <row r="977" spans="15:15">
      <c r="O977" s="33"/>
    </row>
    <row r="978" spans="15:15">
      <c r="O978" s="33"/>
    </row>
    <row r="979" spans="15:15">
      <c r="O979" s="33"/>
    </row>
    <row r="980" spans="15:15">
      <c r="O980" s="33"/>
    </row>
    <row r="981" spans="15:15">
      <c r="O981" s="33"/>
    </row>
    <row r="982" spans="15:15">
      <c r="O982" s="33"/>
    </row>
    <row r="983" spans="15:15">
      <c r="O983" s="33"/>
    </row>
    <row r="984" spans="15:15">
      <c r="O984" s="33"/>
    </row>
    <row r="985" spans="15:15">
      <c r="O985" s="33"/>
    </row>
    <row r="986" spans="15:15">
      <c r="O986" s="33"/>
    </row>
    <row r="987" spans="15:15">
      <c r="O987" s="33"/>
    </row>
    <row r="988" spans="15:15">
      <c r="O988" s="33"/>
    </row>
    <row r="989" spans="15:15">
      <c r="O989" s="33"/>
    </row>
    <row r="990" spans="15:15">
      <c r="O990" s="33"/>
    </row>
    <row r="991" spans="15:15">
      <c r="O991" s="33"/>
    </row>
    <row r="992" spans="15:15">
      <c r="O992" s="33"/>
    </row>
    <row r="993" spans="15:15">
      <c r="O993" s="33"/>
    </row>
    <row r="994" spans="15:15">
      <c r="O994" s="33"/>
    </row>
    <row r="995" spans="15:15">
      <c r="O995" s="33"/>
    </row>
    <row r="996" spans="15:15">
      <c r="O996" s="33"/>
    </row>
    <row r="997" spans="15:15">
      <c r="O997" s="33"/>
    </row>
    <row r="998" spans="15:15">
      <c r="O998" s="33"/>
    </row>
    <row r="999" spans="15:15">
      <c r="O999" s="33"/>
    </row>
    <row r="1000" spans="15:15">
      <c r="O1000" s="33"/>
    </row>
    <row r="1001" spans="15:15">
      <c r="O1001" s="33"/>
    </row>
    <row r="1002" spans="15:15">
      <c r="O1002" s="33"/>
    </row>
    <row r="1003" spans="15:15">
      <c r="O1003" s="33"/>
    </row>
    <row r="1004" spans="15:15">
      <c r="O1004" s="33"/>
    </row>
    <row r="1005" spans="15:15">
      <c r="O1005" s="33"/>
    </row>
    <row r="1006" spans="15:15">
      <c r="O1006" s="33"/>
    </row>
    <row r="1007" spans="15:15">
      <c r="O1007" s="33"/>
    </row>
    <row r="1008" spans="15:15">
      <c r="O1008" s="33"/>
    </row>
    <row r="1009" spans="15:15">
      <c r="O1009" s="33"/>
    </row>
    <row r="1010" spans="15:15">
      <c r="O1010" s="33"/>
    </row>
    <row r="1011" spans="15:15">
      <c r="O1011" s="33"/>
    </row>
    <row r="1012" spans="15:15">
      <c r="O1012" s="33"/>
    </row>
    <row r="1013" spans="15:15">
      <c r="O1013" s="33"/>
    </row>
    <row r="1014" spans="15:15">
      <c r="O1014" s="33"/>
    </row>
    <row r="1015" spans="15:15">
      <c r="O1015" s="33"/>
    </row>
    <row r="1016" spans="15:15">
      <c r="O1016" s="33"/>
    </row>
    <row r="1017" spans="15:15">
      <c r="O1017" s="33"/>
    </row>
    <row r="1018" spans="15:15">
      <c r="O1018" s="33"/>
    </row>
    <row r="1019" spans="15:15">
      <c r="O1019" s="33"/>
    </row>
    <row r="1020" spans="15:15">
      <c r="O1020" s="33"/>
    </row>
    <row r="1021" spans="15:15">
      <c r="O1021" s="33"/>
    </row>
    <row r="1022" spans="15:15">
      <c r="O1022" s="33"/>
    </row>
    <row r="1023" spans="15:15">
      <c r="O1023" s="33"/>
    </row>
    <row r="1024" spans="15:15">
      <c r="O1024" s="33"/>
    </row>
    <row r="1025" spans="15:15">
      <c r="O1025" s="33"/>
    </row>
    <row r="1026" spans="15:15">
      <c r="O1026" s="33"/>
    </row>
    <row r="1027" spans="15:15">
      <c r="O1027" s="33"/>
    </row>
    <row r="1028" spans="15:15">
      <c r="O1028" s="33"/>
    </row>
    <row r="1029" spans="15:15">
      <c r="O1029" s="33"/>
    </row>
    <row r="1030" spans="15:15">
      <c r="O1030" s="33"/>
    </row>
    <row r="1031" spans="15:15">
      <c r="O1031" s="33"/>
    </row>
    <row r="1032" spans="15:15">
      <c r="O1032" s="33"/>
    </row>
    <row r="1033" spans="15:15">
      <c r="O1033" s="33"/>
    </row>
    <row r="1034" spans="15:15">
      <c r="O1034" s="33"/>
    </row>
    <row r="1035" spans="15:15">
      <c r="O1035" s="33"/>
    </row>
    <row r="1036" spans="15:15">
      <c r="O1036" s="33"/>
    </row>
    <row r="1037" spans="15:15">
      <c r="O1037" s="33"/>
    </row>
    <row r="1038" spans="15:15">
      <c r="O1038" s="33"/>
    </row>
    <row r="1039" spans="15:15">
      <c r="O1039" s="33"/>
    </row>
    <row r="1040" spans="15:15">
      <c r="O1040" s="33"/>
    </row>
    <row r="1041" spans="15:15">
      <c r="O1041" s="33"/>
    </row>
    <row r="1042" spans="15:15">
      <c r="O1042" s="33"/>
    </row>
    <row r="1043" spans="15:15">
      <c r="O1043" s="33"/>
    </row>
    <row r="1044" spans="15:15">
      <c r="O1044" s="33"/>
    </row>
    <row r="1045" spans="15:15">
      <c r="O1045" s="33"/>
    </row>
    <row r="1046" spans="15:15">
      <c r="O1046" s="33"/>
    </row>
    <row r="1047" spans="15:15">
      <c r="O1047" s="33"/>
    </row>
    <row r="1048" spans="15:15">
      <c r="O1048" s="33"/>
    </row>
    <row r="1049" spans="15:15">
      <c r="O1049" s="33"/>
    </row>
    <row r="1050" spans="15:15">
      <c r="O1050" s="33"/>
    </row>
    <row r="1051" spans="15:15">
      <c r="O1051" s="33"/>
    </row>
    <row r="1052" spans="15:15">
      <c r="O1052" s="33"/>
    </row>
    <row r="1053" spans="15:15">
      <c r="O1053" s="33"/>
    </row>
    <row r="1054" spans="15:15">
      <c r="O1054" s="33"/>
    </row>
    <row r="1055" spans="15:15">
      <c r="O1055" s="33"/>
    </row>
    <row r="1056" spans="15:15">
      <c r="O1056" s="33"/>
    </row>
    <row r="1057" spans="15:15">
      <c r="O1057" s="33"/>
    </row>
    <row r="1058" spans="15:15">
      <c r="O1058" s="33"/>
    </row>
    <row r="1059" spans="15:15">
      <c r="O1059" s="33"/>
    </row>
    <row r="1060" spans="15:15">
      <c r="O1060" s="33"/>
    </row>
    <row r="1061" spans="15:15">
      <c r="O1061" s="33"/>
    </row>
    <row r="1062" spans="15:15">
      <c r="O1062" s="33"/>
    </row>
    <row r="1063" spans="15:15">
      <c r="O1063" s="33"/>
    </row>
    <row r="1064" spans="15:15">
      <c r="O1064" s="33"/>
    </row>
    <row r="1065" spans="15:15">
      <c r="O1065" s="33"/>
    </row>
    <row r="1066" spans="15:15">
      <c r="O1066" s="33"/>
    </row>
    <row r="1067" spans="15:15">
      <c r="O1067" s="33"/>
    </row>
    <row r="1068" spans="15:15">
      <c r="O1068" s="33"/>
    </row>
    <row r="1069" spans="15:15">
      <c r="O1069" s="33"/>
    </row>
    <row r="1070" spans="15:15">
      <c r="O1070" s="33"/>
    </row>
    <row r="1071" spans="15:15">
      <c r="O1071" s="33"/>
    </row>
    <row r="1072" spans="15:15">
      <c r="O1072" s="33"/>
    </row>
    <row r="1073" spans="15:15">
      <c r="O1073" s="33"/>
    </row>
    <row r="1074" spans="15:15">
      <c r="O1074" s="33"/>
    </row>
    <row r="1075" spans="15:15">
      <c r="O1075" s="33"/>
    </row>
    <row r="1076" spans="15:15">
      <c r="O1076" s="33"/>
    </row>
    <row r="1077" spans="15:15">
      <c r="O1077" s="33"/>
    </row>
    <row r="1078" spans="15:15">
      <c r="O1078" s="33"/>
    </row>
    <row r="1079" spans="15:15">
      <c r="O1079" s="33"/>
    </row>
    <row r="1080" spans="15:15">
      <c r="O1080" s="33"/>
    </row>
    <row r="1081" spans="15:15">
      <c r="O1081" s="33"/>
    </row>
    <row r="1082" spans="15:15">
      <c r="O1082" s="33"/>
    </row>
    <row r="1083" spans="15:15">
      <c r="O1083" s="33"/>
    </row>
    <row r="1084" spans="15:15">
      <c r="O1084" s="33"/>
    </row>
    <row r="1085" spans="15:15">
      <c r="O1085" s="33"/>
    </row>
    <row r="1086" spans="15:15">
      <c r="O1086" s="33"/>
    </row>
    <row r="1087" spans="15:15">
      <c r="O1087" s="33"/>
    </row>
    <row r="1088" spans="15:15">
      <c r="O1088" s="33"/>
    </row>
    <row r="1089" spans="15:15">
      <c r="O1089" s="33"/>
    </row>
    <row r="1090" spans="15:15">
      <c r="O1090" s="33"/>
    </row>
    <row r="1091" spans="15:15">
      <c r="O1091" s="33"/>
    </row>
    <row r="1092" spans="15:15">
      <c r="O1092" s="33"/>
    </row>
    <row r="1093" spans="15:15">
      <c r="O1093" s="33"/>
    </row>
    <row r="1094" spans="15:15">
      <c r="O1094" s="33"/>
    </row>
    <row r="1095" spans="15:15">
      <c r="O1095" s="33"/>
    </row>
    <row r="1096" spans="15:15">
      <c r="O1096" s="33"/>
    </row>
    <row r="1097" spans="15:15">
      <c r="O1097" s="33"/>
    </row>
    <row r="1098" spans="15:15">
      <c r="O1098" s="33"/>
    </row>
    <row r="1099" spans="15:15">
      <c r="O1099" s="33"/>
    </row>
    <row r="1100" spans="15:15">
      <c r="O1100" s="33"/>
    </row>
    <row r="1101" spans="15:15">
      <c r="O1101" s="33"/>
    </row>
    <row r="1102" spans="15:15">
      <c r="O1102" s="33"/>
    </row>
    <row r="1103" spans="15:15">
      <c r="O1103" s="33"/>
    </row>
    <row r="1104" spans="15:15">
      <c r="O1104" s="33"/>
    </row>
    <row r="1105" spans="15:15">
      <c r="O1105" s="33"/>
    </row>
    <row r="1106" spans="15:15">
      <c r="O1106" s="33"/>
    </row>
    <row r="1107" spans="15:15">
      <c r="O1107" s="33"/>
    </row>
    <row r="1108" spans="15:15">
      <c r="O1108" s="33"/>
    </row>
    <row r="1109" spans="15:15">
      <c r="O1109" s="33"/>
    </row>
    <row r="1110" spans="15:15">
      <c r="O1110" s="33"/>
    </row>
    <row r="1111" spans="15:15">
      <c r="O1111" s="33"/>
    </row>
    <row r="1112" spans="15:15">
      <c r="O1112" s="33"/>
    </row>
    <row r="1113" spans="15:15">
      <c r="O1113" s="33"/>
    </row>
    <row r="1114" spans="15:15">
      <c r="O1114" s="33"/>
    </row>
    <row r="1115" spans="15:15">
      <c r="O1115" s="33"/>
    </row>
    <row r="1116" spans="15:15">
      <c r="O1116" s="33"/>
    </row>
    <row r="1117" spans="15:15">
      <c r="O1117" s="33"/>
    </row>
    <row r="1118" spans="15:15">
      <c r="O1118" s="33"/>
    </row>
    <row r="1119" spans="15:15">
      <c r="O1119" s="33"/>
    </row>
    <row r="1120" spans="15:15">
      <c r="O1120" s="33"/>
    </row>
    <row r="1121" spans="15:15">
      <c r="O1121" s="33"/>
    </row>
    <row r="1122" spans="15:15">
      <c r="O1122" s="33"/>
    </row>
    <row r="1123" spans="15:15">
      <c r="O1123" s="33"/>
    </row>
    <row r="1124" spans="15:15">
      <c r="O1124" s="33"/>
    </row>
    <row r="1125" spans="15:15">
      <c r="O1125" s="33"/>
    </row>
    <row r="1126" spans="15:15">
      <c r="O1126" s="33"/>
    </row>
    <row r="1127" spans="15:15">
      <c r="O1127" s="33"/>
    </row>
    <row r="1128" spans="15:15">
      <c r="O1128" s="33"/>
    </row>
    <row r="1129" spans="15:15">
      <c r="O1129" s="33"/>
    </row>
    <row r="1130" spans="15:15">
      <c r="O1130" s="33"/>
    </row>
    <row r="1131" spans="15:15">
      <c r="O1131" s="33"/>
    </row>
    <row r="1132" spans="15:15">
      <c r="O1132" s="33"/>
    </row>
    <row r="1133" spans="15:15">
      <c r="O1133" s="33"/>
    </row>
    <row r="1134" spans="15:15">
      <c r="O1134" s="33"/>
    </row>
    <row r="1135" spans="15:15">
      <c r="O1135" s="33"/>
    </row>
    <row r="1136" spans="15:15">
      <c r="O1136" s="33"/>
    </row>
    <row r="1137" spans="15:15">
      <c r="O1137" s="33"/>
    </row>
    <row r="1138" spans="15:15">
      <c r="O1138" s="33"/>
    </row>
    <row r="1139" spans="15:15">
      <c r="O1139" s="33"/>
    </row>
    <row r="1140" spans="15:15">
      <c r="O1140" s="33"/>
    </row>
    <row r="1141" spans="15:15">
      <c r="O1141" s="33"/>
    </row>
    <row r="1142" spans="15:15">
      <c r="O1142" s="33"/>
    </row>
    <row r="1143" spans="15:15">
      <c r="O1143" s="33"/>
    </row>
    <row r="1144" spans="15:15">
      <c r="O1144" s="33"/>
    </row>
    <row r="1145" spans="15:15">
      <c r="O1145" s="33"/>
    </row>
    <row r="1146" spans="15:15">
      <c r="O1146" s="33"/>
    </row>
    <row r="1147" spans="15:15">
      <c r="O1147" s="33"/>
    </row>
    <row r="1148" spans="15:15">
      <c r="O1148" s="33"/>
    </row>
    <row r="1149" spans="15:15">
      <c r="O1149" s="33"/>
    </row>
    <row r="1150" spans="15:15">
      <c r="O1150" s="33"/>
    </row>
    <row r="1151" spans="15:15">
      <c r="O1151" s="33"/>
    </row>
    <row r="1152" spans="15:15">
      <c r="O1152" s="33"/>
    </row>
    <row r="1153" spans="15:15">
      <c r="O1153" s="33"/>
    </row>
    <row r="1154" spans="15:15">
      <c r="O1154" s="33"/>
    </row>
    <row r="1155" spans="15:15">
      <c r="O1155" s="33"/>
    </row>
    <row r="1156" spans="15:15">
      <c r="O1156" s="33"/>
    </row>
    <row r="1157" spans="15:15">
      <c r="O1157" s="33"/>
    </row>
    <row r="1158" spans="15:15">
      <c r="O1158" s="33"/>
    </row>
    <row r="1159" spans="15:15">
      <c r="O1159" s="33"/>
    </row>
    <row r="1160" spans="15:15">
      <c r="O1160" s="33"/>
    </row>
    <row r="1161" spans="15:15">
      <c r="O1161" s="33"/>
    </row>
    <row r="1162" spans="15:15">
      <c r="O1162" s="33"/>
    </row>
    <row r="1163" spans="15:15">
      <c r="O1163" s="33"/>
    </row>
    <row r="1164" spans="15:15">
      <c r="O1164" s="33"/>
    </row>
    <row r="1165" spans="15:15">
      <c r="O1165" s="33"/>
    </row>
    <row r="1166" spans="15:15">
      <c r="O1166" s="33"/>
    </row>
    <row r="1167" spans="15:15">
      <c r="O1167" s="33"/>
    </row>
    <row r="1168" spans="15:15">
      <c r="O1168" s="33"/>
    </row>
    <row r="1169" spans="15:15">
      <c r="O1169" s="33"/>
    </row>
    <row r="1170" spans="15:15">
      <c r="O1170" s="33"/>
    </row>
    <row r="1171" spans="15:15">
      <c r="O1171" s="33"/>
    </row>
    <row r="1172" spans="15:15">
      <c r="O1172" s="33"/>
    </row>
    <row r="1173" spans="15:15">
      <c r="O1173" s="33"/>
    </row>
    <row r="1174" spans="15:15">
      <c r="O1174" s="33"/>
    </row>
    <row r="1175" spans="15:15">
      <c r="O1175" s="33"/>
    </row>
    <row r="1176" spans="15:15">
      <c r="O1176" s="33"/>
    </row>
    <row r="1177" spans="15:15">
      <c r="O1177" s="33"/>
    </row>
    <row r="1178" spans="15:15">
      <c r="O1178" s="33"/>
    </row>
    <row r="1179" spans="15:15">
      <c r="O1179" s="33"/>
    </row>
    <row r="1180" spans="15:15">
      <c r="O1180" s="33"/>
    </row>
    <row r="1181" spans="15:15">
      <c r="O1181" s="33"/>
    </row>
    <row r="1182" spans="15:15">
      <c r="O1182" s="33"/>
    </row>
    <row r="1183" spans="15:15">
      <c r="O1183" s="33"/>
    </row>
    <row r="1184" spans="15:15">
      <c r="O1184" s="33"/>
    </row>
    <row r="1185" spans="15:15">
      <c r="O1185" s="33"/>
    </row>
    <row r="1186" spans="15:15">
      <c r="O1186" s="33"/>
    </row>
    <row r="1187" spans="15:15">
      <c r="O1187" s="33"/>
    </row>
    <row r="1188" spans="15:15">
      <c r="O1188" s="33"/>
    </row>
    <row r="1189" spans="15:15">
      <c r="O1189" s="33"/>
    </row>
    <row r="1190" spans="15:15">
      <c r="O1190" s="33"/>
    </row>
    <row r="1191" spans="15:15">
      <c r="O1191" s="33"/>
    </row>
    <row r="1192" spans="15:15">
      <c r="O1192" s="33"/>
    </row>
    <row r="1193" spans="15:15">
      <c r="O1193" s="33"/>
    </row>
    <row r="1194" spans="15:15">
      <c r="O1194" s="33"/>
    </row>
    <row r="1195" spans="15:15">
      <c r="O1195" s="33"/>
    </row>
    <row r="1196" spans="15:15">
      <c r="O1196" s="33"/>
    </row>
    <row r="1197" spans="15:15">
      <c r="O1197" s="33"/>
    </row>
    <row r="1198" spans="15:15">
      <c r="O1198" s="33"/>
    </row>
    <row r="1199" spans="15:15">
      <c r="O1199" s="33"/>
    </row>
    <row r="1200" spans="15:15">
      <c r="O1200" s="33"/>
    </row>
    <row r="1201" spans="15:15">
      <c r="O1201" s="33"/>
    </row>
    <row r="1202" spans="15:15">
      <c r="O1202" s="33"/>
    </row>
    <row r="1203" spans="15:15">
      <c r="O1203" s="33"/>
    </row>
    <row r="1204" spans="15:15">
      <c r="O1204" s="33"/>
    </row>
    <row r="1205" spans="15:15">
      <c r="O1205" s="33"/>
    </row>
    <row r="1206" spans="15:15">
      <c r="O1206" s="33"/>
    </row>
    <row r="1207" spans="15:15">
      <c r="O1207" s="33"/>
    </row>
    <row r="1208" spans="15:15">
      <c r="O1208" s="33"/>
    </row>
    <row r="1209" spans="15:15">
      <c r="O1209" s="33"/>
    </row>
    <row r="1210" spans="15:15">
      <c r="O1210" s="33"/>
    </row>
    <row r="1211" spans="15:15">
      <c r="O1211" s="33"/>
    </row>
    <row r="1212" spans="15:15">
      <c r="O1212" s="33"/>
    </row>
    <row r="1213" spans="15:15">
      <c r="O1213" s="33"/>
    </row>
    <row r="1214" spans="15:15">
      <c r="O1214" s="33"/>
    </row>
    <row r="1215" spans="15:15">
      <c r="O1215" s="33"/>
    </row>
    <row r="1216" spans="15:15">
      <c r="O1216" s="33"/>
    </row>
    <row r="1217" spans="15:15">
      <c r="O1217" s="33"/>
    </row>
    <row r="1218" spans="15:15">
      <c r="O1218" s="33"/>
    </row>
    <row r="1219" spans="15:15">
      <c r="O1219" s="33"/>
    </row>
    <row r="1220" spans="15:15">
      <c r="O1220" s="33"/>
    </row>
    <row r="1221" spans="15:15">
      <c r="O1221" s="33"/>
    </row>
    <row r="1222" spans="15:15">
      <c r="O1222" s="33"/>
    </row>
    <row r="1223" spans="15:15">
      <c r="O1223" s="33"/>
    </row>
    <row r="1224" spans="15:15">
      <c r="O1224" s="33"/>
    </row>
    <row r="1225" spans="15:15">
      <c r="O1225" s="33"/>
    </row>
    <row r="1226" spans="15:15">
      <c r="O1226" s="33"/>
    </row>
    <row r="1227" spans="15:15">
      <c r="O1227" s="33"/>
    </row>
    <row r="1228" spans="15:15">
      <c r="O1228" s="33"/>
    </row>
    <row r="1229" spans="15:15">
      <c r="O1229" s="33"/>
    </row>
    <row r="1230" spans="15:15">
      <c r="O1230" s="33"/>
    </row>
    <row r="1231" spans="15:15">
      <c r="O1231" s="33"/>
    </row>
    <row r="1232" spans="15:15">
      <c r="O1232" s="33"/>
    </row>
    <row r="1233" spans="15:15">
      <c r="O1233" s="33"/>
    </row>
    <row r="1234" spans="15:15">
      <c r="O1234" s="33"/>
    </row>
    <row r="1235" spans="15:15">
      <c r="O1235" s="33"/>
    </row>
    <row r="1236" spans="15:15">
      <c r="O1236" s="33"/>
    </row>
    <row r="1237" spans="15:15">
      <c r="O1237" s="33"/>
    </row>
    <row r="1238" spans="15:15">
      <c r="O1238" s="33"/>
    </row>
    <row r="1239" spans="15:15">
      <c r="O1239" s="33"/>
    </row>
    <row r="1240" spans="15:15">
      <c r="O1240" s="33"/>
    </row>
    <row r="1241" spans="15:15">
      <c r="O1241" s="33"/>
    </row>
    <row r="1242" spans="15:15">
      <c r="O1242" s="33"/>
    </row>
    <row r="1243" spans="15:15">
      <c r="O1243" s="33"/>
    </row>
    <row r="1244" spans="15:15">
      <c r="O1244" s="33"/>
    </row>
    <row r="1245" spans="15:15">
      <c r="O1245" s="33"/>
    </row>
    <row r="1246" spans="15:15">
      <c r="O1246" s="33"/>
    </row>
    <row r="1247" spans="15:15">
      <c r="O1247" s="33"/>
    </row>
    <row r="1248" spans="15:15">
      <c r="O1248" s="33"/>
    </row>
    <row r="1249" spans="15:15">
      <c r="O1249" s="33"/>
    </row>
    <row r="1250" spans="15:15">
      <c r="O1250" s="33"/>
    </row>
    <row r="1251" spans="15:15">
      <c r="O1251" s="33"/>
    </row>
    <row r="1252" spans="15:15">
      <c r="O1252" s="33"/>
    </row>
    <row r="1253" spans="15:15">
      <c r="O1253" s="33"/>
    </row>
    <row r="1254" spans="15:15">
      <c r="O1254" s="33"/>
    </row>
    <row r="1255" spans="15:15">
      <c r="O1255" s="33"/>
    </row>
    <row r="1256" spans="15:15">
      <c r="O1256" s="33"/>
    </row>
    <row r="1257" spans="15:15">
      <c r="O1257" s="33"/>
    </row>
    <row r="1258" spans="15:15">
      <c r="O1258" s="33"/>
    </row>
    <row r="1259" spans="15:15">
      <c r="O1259" s="33"/>
    </row>
    <row r="1260" spans="15:15">
      <c r="O1260" s="33"/>
    </row>
    <row r="1261" spans="15:15">
      <c r="O1261" s="33"/>
    </row>
    <row r="1262" spans="15:15">
      <c r="O1262" s="33"/>
    </row>
    <row r="1263" spans="15:15">
      <c r="O1263" s="33"/>
    </row>
    <row r="1264" spans="15:15">
      <c r="O1264" s="33"/>
    </row>
    <row r="1265" spans="15:15">
      <c r="O1265" s="33"/>
    </row>
    <row r="1266" spans="15:15">
      <c r="O1266" s="33"/>
    </row>
    <row r="1267" spans="15:15">
      <c r="O1267" s="33"/>
    </row>
    <row r="1268" spans="15:15">
      <c r="O1268" s="33"/>
    </row>
    <row r="1269" spans="15:15">
      <c r="O1269" s="33"/>
    </row>
    <row r="1270" spans="15:15">
      <c r="O1270" s="33"/>
    </row>
    <row r="1271" spans="15:15">
      <c r="O1271" s="33"/>
    </row>
    <row r="1272" spans="15:15">
      <c r="O1272" s="33"/>
    </row>
    <row r="1273" spans="15:15">
      <c r="O1273" s="33"/>
    </row>
    <row r="1274" spans="15:15">
      <c r="O1274" s="33"/>
    </row>
    <row r="1275" spans="15:15">
      <c r="O1275" s="33"/>
    </row>
    <row r="1276" spans="15:15">
      <c r="O1276" s="33"/>
    </row>
    <row r="1277" spans="15:15">
      <c r="O1277" s="33"/>
    </row>
    <row r="1278" spans="15:15">
      <c r="O1278" s="33"/>
    </row>
    <row r="1279" spans="15:15">
      <c r="O1279" s="33"/>
    </row>
    <row r="1280" spans="15:15">
      <c r="O1280" s="33"/>
    </row>
    <row r="1281" spans="15:15">
      <c r="O1281" s="33"/>
    </row>
    <row r="1282" spans="15:15">
      <c r="O1282" s="33"/>
    </row>
    <row r="1283" spans="15:15">
      <c r="O1283" s="33"/>
    </row>
    <row r="1284" spans="15:15">
      <c r="O1284" s="33"/>
    </row>
    <row r="1285" spans="15:15">
      <c r="O1285" s="33"/>
    </row>
    <row r="1286" spans="15:15">
      <c r="O1286" s="33"/>
    </row>
    <row r="1287" spans="15:15">
      <c r="O1287" s="33"/>
    </row>
    <row r="1288" spans="15:15">
      <c r="O1288" s="33"/>
    </row>
    <row r="1289" spans="15:15">
      <c r="O1289" s="33"/>
    </row>
    <row r="1290" spans="15:15">
      <c r="O1290" s="33"/>
    </row>
    <row r="1291" spans="15:15">
      <c r="O1291" s="33"/>
    </row>
    <row r="1292" spans="15:15">
      <c r="O1292" s="33"/>
    </row>
    <row r="1293" spans="15:15">
      <c r="O1293" s="33"/>
    </row>
    <row r="1294" spans="15:15">
      <c r="O1294" s="33"/>
    </row>
    <row r="1295" spans="15:15">
      <c r="O1295" s="33"/>
    </row>
    <row r="1296" spans="15:15">
      <c r="O1296" s="33"/>
    </row>
    <row r="1297" spans="15:15">
      <c r="O1297" s="33"/>
    </row>
    <row r="1298" spans="15:15">
      <c r="O1298" s="33"/>
    </row>
    <row r="1299" spans="15:15">
      <c r="O1299" s="33"/>
    </row>
    <row r="1300" spans="15:15">
      <c r="O1300" s="33"/>
    </row>
    <row r="1301" spans="15:15">
      <c r="O1301" s="33"/>
    </row>
    <row r="1302" spans="15:15">
      <c r="O1302" s="33"/>
    </row>
    <row r="1303" spans="15:15">
      <c r="O1303" s="33"/>
    </row>
    <row r="1304" spans="15:15">
      <c r="O1304" s="33"/>
    </row>
    <row r="1305" spans="15:15">
      <c r="O1305" s="33"/>
    </row>
    <row r="1306" spans="15:15">
      <c r="O1306" s="33"/>
    </row>
    <row r="1307" spans="15:15">
      <c r="O1307" s="33"/>
    </row>
    <row r="1308" spans="15:15">
      <c r="O1308" s="33"/>
    </row>
    <row r="1309" spans="15:15">
      <c r="O1309" s="33"/>
    </row>
    <row r="1310" spans="15:15">
      <c r="O1310" s="33"/>
    </row>
    <row r="1311" spans="15:15">
      <c r="O1311" s="33"/>
    </row>
    <row r="1312" spans="15:15">
      <c r="O1312" s="33"/>
    </row>
    <row r="1313" spans="15:15">
      <c r="O1313" s="33"/>
    </row>
    <row r="1314" spans="15:15">
      <c r="O1314" s="33"/>
    </row>
    <row r="1315" spans="15:15">
      <c r="O1315" s="33"/>
    </row>
    <row r="1316" spans="15:15">
      <c r="O1316" s="33"/>
    </row>
    <row r="1317" spans="15:15">
      <c r="O1317" s="33"/>
    </row>
    <row r="1318" spans="15:15">
      <c r="O1318" s="33"/>
    </row>
    <row r="1319" spans="15:15">
      <c r="O1319" s="33"/>
    </row>
    <row r="1320" spans="15:15">
      <c r="O1320" s="33"/>
    </row>
    <row r="1321" spans="15:15">
      <c r="O1321" s="33"/>
    </row>
    <row r="1322" spans="15:15">
      <c r="O1322" s="33"/>
    </row>
    <row r="1323" spans="15:15">
      <c r="O1323" s="33"/>
    </row>
    <row r="1324" spans="15:15">
      <c r="O1324" s="33"/>
    </row>
    <row r="1325" spans="15:15">
      <c r="O1325" s="33"/>
    </row>
    <row r="1326" spans="15:15">
      <c r="O1326" s="33"/>
    </row>
    <row r="1327" spans="15:15">
      <c r="O1327" s="33"/>
    </row>
    <row r="1328" spans="15:15">
      <c r="O1328" s="33"/>
    </row>
    <row r="1329" spans="15:15">
      <c r="O1329" s="33"/>
    </row>
    <row r="1330" spans="15:15">
      <c r="O1330" s="33"/>
    </row>
    <row r="1331" spans="15:15">
      <c r="O1331" s="33"/>
    </row>
    <row r="1332" spans="15:15">
      <c r="O1332" s="33"/>
    </row>
    <row r="1333" spans="15:15">
      <c r="O1333" s="33"/>
    </row>
    <row r="1334" spans="15:15">
      <c r="O1334" s="33"/>
    </row>
    <row r="1335" spans="15:15">
      <c r="O1335" s="33"/>
    </row>
    <row r="1336" spans="15:15">
      <c r="O1336" s="33"/>
    </row>
    <row r="1337" spans="15:15">
      <c r="O1337" s="33"/>
    </row>
    <row r="1338" spans="15:15">
      <c r="O1338" s="33"/>
    </row>
    <row r="1339" spans="15:15">
      <c r="O1339" s="33"/>
    </row>
    <row r="1340" spans="15:15">
      <c r="O1340" s="33"/>
    </row>
    <row r="1341" spans="15:15">
      <c r="O1341" s="33"/>
    </row>
    <row r="1342" spans="15:15">
      <c r="O1342" s="33"/>
    </row>
    <row r="1343" spans="15:15">
      <c r="O1343" s="33"/>
    </row>
    <row r="1344" spans="15:15">
      <c r="O1344" s="33"/>
    </row>
    <row r="1345" spans="15:15">
      <c r="O1345" s="33"/>
    </row>
    <row r="1346" spans="15:15">
      <c r="O1346" s="33"/>
    </row>
    <row r="1347" spans="15:15">
      <c r="O1347" s="33"/>
    </row>
    <row r="1348" spans="15:15">
      <c r="O1348" s="33"/>
    </row>
    <row r="1349" spans="15:15">
      <c r="O1349" s="33"/>
    </row>
    <row r="1350" spans="15:15">
      <c r="O1350" s="33"/>
    </row>
    <row r="1351" spans="15:15">
      <c r="O1351" s="33"/>
    </row>
    <row r="1352" spans="15:15">
      <c r="O1352" s="33"/>
    </row>
    <row r="1353" spans="15:15">
      <c r="O1353" s="33"/>
    </row>
    <row r="1354" spans="15:15">
      <c r="O1354" s="33"/>
    </row>
    <row r="1355" spans="15:15">
      <c r="O1355" s="33"/>
    </row>
    <row r="1356" spans="15:15">
      <c r="O1356" s="33"/>
    </row>
    <row r="1357" spans="15:15">
      <c r="O1357" s="33"/>
    </row>
    <row r="1358" spans="15:15">
      <c r="O1358" s="33"/>
    </row>
    <row r="1359" spans="15:15">
      <c r="O1359" s="33"/>
    </row>
    <row r="1360" spans="15:15">
      <c r="O1360" s="33"/>
    </row>
    <row r="1361" spans="15:15">
      <c r="O1361" s="33"/>
    </row>
    <row r="1362" spans="15:15">
      <c r="O1362" s="33"/>
    </row>
    <row r="1363" spans="15:15">
      <c r="O1363" s="33"/>
    </row>
    <row r="1364" spans="15:15">
      <c r="O1364" s="33"/>
    </row>
    <row r="1365" spans="15:15">
      <c r="O1365" s="33"/>
    </row>
    <row r="1366" spans="15:15">
      <c r="O1366" s="33"/>
    </row>
    <row r="1367" spans="15:15">
      <c r="O1367" s="33"/>
    </row>
    <row r="1368" spans="15:15">
      <c r="O1368" s="33"/>
    </row>
    <row r="1369" spans="15:15">
      <c r="O1369" s="33"/>
    </row>
    <row r="1370" spans="15:15">
      <c r="O1370" s="33"/>
    </row>
    <row r="1371" spans="15:15">
      <c r="O1371" s="33"/>
    </row>
    <row r="1372" spans="15:15">
      <c r="O1372" s="33"/>
    </row>
    <row r="1373" spans="15:15">
      <c r="O1373" s="33"/>
    </row>
    <row r="1374" spans="15:15">
      <c r="O1374" s="33"/>
    </row>
    <row r="1375" spans="15:15">
      <c r="O1375" s="33"/>
    </row>
    <row r="1376" spans="15:15">
      <c r="O1376" s="33"/>
    </row>
    <row r="1377" spans="15:15">
      <c r="O1377" s="33"/>
    </row>
    <row r="1378" spans="15:15">
      <c r="O1378" s="33"/>
    </row>
    <row r="1379" spans="15:15">
      <c r="O1379" s="33"/>
    </row>
    <row r="1380" spans="15:15">
      <c r="O1380" s="33"/>
    </row>
    <row r="1381" spans="15:15">
      <c r="O1381" s="33"/>
    </row>
    <row r="1382" spans="15:15">
      <c r="O1382" s="33"/>
    </row>
    <row r="1383" spans="15:15">
      <c r="O1383" s="33"/>
    </row>
    <row r="1384" spans="15:15">
      <c r="O1384" s="33"/>
    </row>
    <row r="1385" spans="15:15">
      <c r="O1385" s="33"/>
    </row>
    <row r="1386" spans="15:15">
      <c r="O1386" s="33"/>
    </row>
    <row r="1387" spans="15:15">
      <c r="O1387" s="33"/>
    </row>
    <row r="1388" spans="15:15">
      <c r="O1388" s="33"/>
    </row>
    <row r="1389" spans="15:15">
      <c r="O1389" s="33"/>
    </row>
    <row r="1390" spans="15:15">
      <c r="O1390" s="33"/>
    </row>
    <row r="1391" spans="15:15">
      <c r="O1391" s="33"/>
    </row>
    <row r="1392" spans="15:15">
      <c r="O1392" s="33"/>
    </row>
    <row r="1393" spans="15:15">
      <c r="O1393" s="33"/>
    </row>
    <row r="1394" spans="15:15">
      <c r="O1394" s="33"/>
    </row>
    <row r="1395" spans="15:15">
      <c r="O1395" s="33"/>
    </row>
    <row r="1396" spans="15:15">
      <c r="O1396" s="33"/>
    </row>
    <row r="1397" spans="15:15">
      <c r="O1397" s="33"/>
    </row>
    <row r="1398" spans="15:15">
      <c r="O1398" s="33"/>
    </row>
    <row r="1399" spans="15:15">
      <c r="O1399" s="33"/>
    </row>
    <row r="1400" spans="15:15">
      <c r="O1400" s="33"/>
    </row>
    <row r="1401" spans="15:15">
      <c r="O1401" s="33"/>
    </row>
    <row r="1402" spans="15:15">
      <c r="O1402" s="33"/>
    </row>
    <row r="1403" spans="15:15">
      <c r="O1403" s="33"/>
    </row>
    <row r="1404" spans="15:15">
      <c r="O1404" s="33"/>
    </row>
    <row r="1405" spans="15:15">
      <c r="O1405" s="33"/>
    </row>
    <row r="1406" spans="15:15">
      <c r="O1406" s="33"/>
    </row>
    <row r="1407" spans="15:15">
      <c r="O1407" s="33"/>
    </row>
    <row r="1408" spans="15:15">
      <c r="O1408" s="33"/>
    </row>
    <row r="1409" spans="15:15">
      <c r="O1409" s="33"/>
    </row>
    <row r="1410" spans="15:15">
      <c r="O1410" s="33"/>
    </row>
    <row r="1411" spans="15:15">
      <c r="O1411" s="33"/>
    </row>
    <row r="1412" spans="15:15">
      <c r="O1412" s="33"/>
    </row>
    <row r="1413" spans="15:15">
      <c r="O1413" s="33"/>
    </row>
    <row r="1414" spans="15:15">
      <c r="O1414" s="33"/>
    </row>
    <row r="1415" spans="15:15">
      <c r="O1415" s="33"/>
    </row>
    <row r="1416" spans="15:15">
      <c r="O1416" s="33"/>
    </row>
    <row r="1417" spans="15:15">
      <c r="O1417" s="33"/>
    </row>
    <row r="1418" spans="15:15">
      <c r="O1418" s="33"/>
    </row>
    <row r="1419" spans="15:15">
      <c r="O1419" s="33"/>
    </row>
    <row r="1420" spans="15:15">
      <c r="O1420" s="33"/>
    </row>
    <row r="1421" spans="15:15">
      <c r="O1421" s="33"/>
    </row>
    <row r="1422" spans="15:15">
      <c r="O1422" s="33"/>
    </row>
    <row r="1423" spans="15:15">
      <c r="O1423" s="33"/>
    </row>
    <row r="1424" spans="15:15">
      <c r="O1424" s="33"/>
    </row>
    <row r="1425" spans="15:15">
      <c r="O1425" s="33"/>
    </row>
    <row r="1426" spans="15:15">
      <c r="O1426" s="33"/>
    </row>
    <row r="1427" spans="15:15">
      <c r="O1427" s="33"/>
    </row>
    <row r="1428" spans="15:15">
      <c r="O1428" s="33"/>
    </row>
    <row r="1429" spans="15:15">
      <c r="O1429" s="33"/>
    </row>
    <row r="1430" spans="15:15">
      <c r="O1430" s="33"/>
    </row>
    <row r="1431" spans="15:15">
      <c r="O1431" s="33"/>
    </row>
    <row r="1432" spans="15:15">
      <c r="O1432" s="33"/>
    </row>
    <row r="1433" spans="15:15">
      <c r="O1433" s="33"/>
    </row>
    <row r="1434" spans="15:15">
      <c r="O1434" s="33"/>
    </row>
    <row r="1435" spans="15:15">
      <c r="O1435" s="33"/>
    </row>
    <row r="1436" spans="15:15">
      <c r="O1436" s="33"/>
    </row>
    <row r="1437" spans="15:15">
      <c r="O1437" s="33"/>
    </row>
    <row r="1438" spans="15:15">
      <c r="O1438" s="33"/>
    </row>
    <row r="1439" spans="15:15">
      <c r="O1439" s="33"/>
    </row>
    <row r="1440" spans="15:15">
      <c r="O1440" s="33"/>
    </row>
    <row r="1441" spans="15:15">
      <c r="O1441" s="33"/>
    </row>
    <row r="1442" spans="15:15">
      <c r="O1442" s="33"/>
    </row>
    <row r="1443" spans="15:15">
      <c r="O1443" s="33"/>
    </row>
    <row r="1444" spans="15:15">
      <c r="O1444" s="33"/>
    </row>
    <row r="1445" spans="15:15">
      <c r="O1445" s="33"/>
    </row>
    <row r="1446" spans="15:15">
      <c r="O1446" s="33"/>
    </row>
    <row r="1447" spans="15:15">
      <c r="O1447" s="33"/>
    </row>
    <row r="1448" spans="15:15">
      <c r="O1448" s="33"/>
    </row>
    <row r="1449" spans="15:15">
      <c r="O1449" s="33"/>
    </row>
    <row r="1450" spans="15:15">
      <c r="O1450" s="33"/>
    </row>
    <row r="1451" spans="15:15">
      <c r="O1451" s="33"/>
    </row>
    <row r="1452" spans="15:15">
      <c r="O1452" s="33"/>
    </row>
    <row r="1453" spans="15:15">
      <c r="O1453" s="33"/>
    </row>
    <row r="1454" spans="15:15">
      <c r="O1454" s="33"/>
    </row>
    <row r="1455" spans="15:15">
      <c r="O1455" s="33"/>
    </row>
    <row r="1456" spans="15:15">
      <c r="O1456" s="33"/>
    </row>
    <row r="1457" spans="15:15">
      <c r="O1457" s="33"/>
    </row>
    <row r="1458" spans="15:15">
      <c r="O1458" s="33"/>
    </row>
    <row r="1459" spans="15:15">
      <c r="O1459" s="33"/>
    </row>
    <row r="1460" spans="15:15">
      <c r="O1460" s="33"/>
    </row>
    <row r="1461" spans="15:15">
      <c r="O1461" s="33"/>
    </row>
    <row r="1462" spans="15:15">
      <c r="O1462" s="33"/>
    </row>
    <row r="1463" spans="15:15">
      <c r="O1463" s="33"/>
    </row>
    <row r="1464" spans="15:15">
      <c r="O1464" s="33"/>
    </row>
    <row r="1465" spans="15:15">
      <c r="O1465" s="33"/>
    </row>
    <row r="1466" spans="15:15">
      <c r="O1466" s="33"/>
    </row>
    <row r="1467" spans="15:15">
      <c r="O1467" s="33"/>
    </row>
    <row r="1468" spans="15:15">
      <c r="O1468" s="33"/>
    </row>
    <row r="1469" spans="15:15">
      <c r="O1469" s="33"/>
    </row>
    <row r="1470" spans="15:15">
      <c r="O1470" s="33"/>
    </row>
    <row r="1471" spans="15:15">
      <c r="O1471" s="33"/>
    </row>
    <row r="1472" spans="15:15">
      <c r="O1472" s="33"/>
    </row>
    <row r="1473" spans="15:15">
      <c r="O1473" s="33"/>
    </row>
    <row r="1474" spans="15:15">
      <c r="O1474" s="33"/>
    </row>
    <row r="1475" spans="15:15">
      <c r="O1475" s="33"/>
    </row>
    <row r="1476" spans="15:15">
      <c r="O1476" s="33"/>
    </row>
    <row r="1477" spans="15:15">
      <c r="O1477" s="33"/>
    </row>
    <row r="1478" spans="15:15">
      <c r="O1478" s="33"/>
    </row>
    <row r="1479" spans="15:15">
      <c r="O1479" s="33"/>
    </row>
    <row r="1480" spans="15:15">
      <c r="O1480" s="33"/>
    </row>
    <row r="1481" spans="15:15">
      <c r="O1481" s="33"/>
    </row>
    <row r="1482" spans="15:15">
      <c r="O1482" s="33"/>
    </row>
    <row r="1483" spans="15:15">
      <c r="O1483" s="33"/>
    </row>
    <row r="1484" spans="15:15">
      <c r="O1484" s="33"/>
    </row>
    <row r="1485" spans="15:15">
      <c r="O1485" s="33"/>
    </row>
    <row r="1486" spans="15:15">
      <c r="O1486" s="33"/>
    </row>
    <row r="1487" spans="15:15">
      <c r="O1487" s="33"/>
    </row>
    <row r="1488" spans="15:15">
      <c r="O1488" s="33"/>
    </row>
    <row r="1489" spans="15:15">
      <c r="O1489" s="33"/>
    </row>
    <row r="1490" spans="15:15">
      <c r="O1490" s="33"/>
    </row>
    <row r="1491" spans="15:15">
      <c r="O1491" s="33"/>
    </row>
    <row r="1492" spans="15:15">
      <c r="O1492" s="33"/>
    </row>
    <row r="1493" spans="15:15">
      <c r="O1493" s="33"/>
    </row>
    <row r="1494" spans="15:15">
      <c r="O1494" s="33"/>
    </row>
    <row r="1495" spans="15:15">
      <c r="O1495" s="33"/>
    </row>
    <row r="1496" spans="15:15">
      <c r="O1496" s="33"/>
    </row>
    <row r="1497" spans="15:15">
      <c r="O1497" s="33"/>
    </row>
    <row r="1498" spans="15:15">
      <c r="O1498" s="33"/>
    </row>
    <row r="1499" spans="15:15">
      <c r="O1499" s="33"/>
    </row>
    <row r="1500" spans="15:15">
      <c r="O1500" s="33"/>
    </row>
    <row r="1501" spans="15:15">
      <c r="O1501" s="33"/>
    </row>
    <row r="1502" spans="15:15">
      <c r="O1502" s="33"/>
    </row>
    <row r="1503" spans="15:15">
      <c r="O1503" s="33"/>
    </row>
    <row r="1504" spans="15:15">
      <c r="O1504" s="33"/>
    </row>
    <row r="1505" spans="15:15">
      <c r="O1505" s="33"/>
    </row>
    <row r="1506" spans="15:15">
      <c r="O1506" s="33"/>
    </row>
    <row r="1507" spans="15:15">
      <c r="O1507" s="33"/>
    </row>
    <row r="1508" spans="15:15">
      <c r="O1508" s="33"/>
    </row>
    <row r="1509" spans="15:15">
      <c r="O1509" s="33"/>
    </row>
    <row r="1510" spans="15:15">
      <c r="O1510" s="33"/>
    </row>
    <row r="1511" spans="15:15">
      <c r="O1511" s="33"/>
    </row>
    <row r="1512" spans="15:15">
      <c r="O1512" s="33"/>
    </row>
    <row r="1513" spans="15:15">
      <c r="O1513" s="33"/>
    </row>
    <row r="1514" spans="15:15">
      <c r="O1514" s="33"/>
    </row>
    <row r="1515" spans="15:15">
      <c r="O1515" s="33"/>
    </row>
    <row r="1516" spans="15:15">
      <c r="O1516" s="33"/>
    </row>
    <row r="1517" spans="15:15">
      <c r="O1517" s="33"/>
    </row>
    <row r="1518" spans="15:15">
      <c r="O1518" s="33"/>
    </row>
    <row r="1519" spans="15:15">
      <c r="O1519" s="33"/>
    </row>
    <row r="1520" spans="15:15">
      <c r="O1520" s="33"/>
    </row>
    <row r="1521" spans="15:15">
      <c r="O1521" s="33"/>
    </row>
    <row r="1522" spans="15:15">
      <c r="O1522" s="33"/>
    </row>
    <row r="1523" spans="15:15">
      <c r="O1523" s="33"/>
    </row>
    <row r="1524" spans="15:15">
      <c r="O1524" s="33"/>
    </row>
    <row r="1525" spans="15:15">
      <c r="O1525" s="33"/>
    </row>
    <row r="1526" spans="15:15">
      <c r="O1526" s="33"/>
    </row>
    <row r="1527" spans="15:15">
      <c r="O1527" s="33"/>
    </row>
    <row r="1528" spans="15:15">
      <c r="O1528" s="33"/>
    </row>
    <row r="1529" spans="15:15">
      <c r="O1529" s="33"/>
    </row>
    <row r="1530" spans="15:15">
      <c r="O1530" s="33"/>
    </row>
    <row r="1531" spans="15:15">
      <c r="O1531" s="33"/>
    </row>
    <row r="1532" spans="15:15">
      <c r="O1532" s="33"/>
    </row>
    <row r="1533" spans="15:15">
      <c r="O1533" s="33"/>
    </row>
    <row r="1534" spans="15:15">
      <c r="O1534" s="33"/>
    </row>
    <row r="1535" spans="15:15">
      <c r="O1535" s="33"/>
    </row>
    <row r="1536" spans="15:15">
      <c r="O1536" s="33"/>
    </row>
    <row r="1537" spans="15:15">
      <c r="O1537" s="33"/>
    </row>
    <row r="1538" spans="15:15">
      <c r="O1538" s="33"/>
    </row>
    <row r="1539" spans="15:15">
      <c r="O1539" s="33"/>
    </row>
    <row r="1540" spans="15:15">
      <c r="O1540" s="33"/>
    </row>
    <row r="1541" spans="15:15">
      <c r="O1541" s="33"/>
    </row>
    <row r="1542" spans="15:15">
      <c r="O1542" s="33"/>
    </row>
    <row r="1543" spans="15:15">
      <c r="O1543" s="33"/>
    </row>
    <row r="1544" spans="15:15">
      <c r="O1544" s="33"/>
    </row>
    <row r="1545" spans="15:15">
      <c r="O1545" s="33"/>
    </row>
    <row r="1546" spans="15:15">
      <c r="O1546" s="33"/>
    </row>
    <row r="1547" spans="15:15">
      <c r="O1547" s="33"/>
    </row>
    <row r="1548" spans="15:15">
      <c r="O1548" s="33"/>
    </row>
    <row r="1549" spans="15:15">
      <c r="O1549" s="33"/>
    </row>
    <row r="1550" spans="15:15">
      <c r="O1550" s="33"/>
    </row>
    <row r="1551" spans="15:15">
      <c r="O1551" s="33"/>
    </row>
    <row r="1552" spans="15:15">
      <c r="O1552" s="33"/>
    </row>
    <row r="1553" spans="15:15">
      <c r="O1553" s="33"/>
    </row>
    <row r="1554" spans="15:15">
      <c r="O1554" s="33"/>
    </row>
    <row r="1555" spans="15:15">
      <c r="O1555" s="33"/>
    </row>
    <row r="1556" spans="15:15">
      <c r="O1556" s="33"/>
    </row>
    <row r="1557" spans="15:15">
      <c r="O1557" s="33"/>
    </row>
    <row r="1558" spans="15:15">
      <c r="O1558" s="33"/>
    </row>
    <row r="1559" spans="15:15">
      <c r="O1559" s="33"/>
    </row>
    <row r="1560" spans="15:15">
      <c r="O1560" s="33"/>
    </row>
    <row r="1561" spans="15:15">
      <c r="O1561" s="33"/>
    </row>
    <row r="1562" spans="15:15">
      <c r="O1562" s="33"/>
    </row>
    <row r="1563" spans="15:15">
      <c r="O1563" s="33"/>
    </row>
    <row r="1564" spans="15:15">
      <c r="O1564" s="33"/>
    </row>
    <row r="1565" spans="15:15">
      <c r="O1565" s="33"/>
    </row>
    <row r="1566" spans="15:15">
      <c r="O1566" s="33"/>
    </row>
    <row r="1567" spans="15:15">
      <c r="O1567" s="33"/>
    </row>
    <row r="1568" spans="15:15">
      <c r="O1568" s="33"/>
    </row>
    <row r="1569" spans="15:15">
      <c r="O1569" s="33"/>
    </row>
    <row r="1570" spans="15:15">
      <c r="O1570" s="33"/>
    </row>
    <row r="1571" spans="15:15">
      <c r="O1571" s="33"/>
    </row>
    <row r="1572" spans="15:15">
      <c r="O1572" s="33"/>
    </row>
    <row r="1573" spans="15:15">
      <c r="O1573" s="33"/>
    </row>
    <row r="1574" spans="15:15">
      <c r="O1574" s="33"/>
    </row>
    <row r="1575" spans="15:15">
      <c r="O1575" s="33"/>
    </row>
    <row r="1576" spans="15:15">
      <c r="O1576" s="33"/>
    </row>
    <row r="1577" spans="15:15">
      <c r="O1577" s="33"/>
    </row>
    <row r="1578" spans="15:15">
      <c r="O1578" s="33"/>
    </row>
    <row r="1579" spans="15:15">
      <c r="O1579" s="33"/>
    </row>
    <row r="1580" spans="15:15">
      <c r="O1580" s="33"/>
    </row>
    <row r="1581" spans="15:15">
      <c r="O1581" s="33"/>
    </row>
    <row r="1582" spans="15:15">
      <c r="O1582" s="33"/>
    </row>
    <row r="1583" spans="15:15">
      <c r="O1583" s="33"/>
    </row>
    <row r="1584" spans="15:15">
      <c r="O1584" s="33"/>
    </row>
    <row r="1585" spans="15:15">
      <c r="O1585" s="33"/>
    </row>
    <row r="1586" spans="15:15">
      <c r="O1586" s="33"/>
    </row>
    <row r="1587" spans="15:15">
      <c r="O1587" s="33"/>
    </row>
    <row r="1588" spans="15:15">
      <c r="O1588" s="33"/>
    </row>
    <row r="1589" spans="15:15">
      <c r="O1589" s="33"/>
    </row>
    <row r="1590" spans="15:15">
      <c r="O1590" s="33"/>
    </row>
    <row r="1591" spans="15:15">
      <c r="O1591" s="33"/>
    </row>
    <row r="1592" spans="15:15">
      <c r="O1592" s="33"/>
    </row>
    <row r="1593" spans="15:15">
      <c r="O1593" s="33"/>
    </row>
    <row r="1594" spans="15:15">
      <c r="O1594" s="33"/>
    </row>
    <row r="1595" spans="15:15">
      <c r="O1595" s="33"/>
    </row>
    <row r="1596" spans="15:15">
      <c r="O1596" s="33"/>
    </row>
    <row r="1597" spans="15:15">
      <c r="O1597" s="33"/>
    </row>
    <row r="1598" spans="15:15">
      <c r="O1598" s="33"/>
    </row>
    <row r="1599" spans="15:15">
      <c r="O1599" s="33"/>
    </row>
    <row r="1600" spans="15:15">
      <c r="O1600" s="33"/>
    </row>
    <row r="1601" spans="15:15">
      <c r="O1601" s="33"/>
    </row>
    <row r="1602" spans="15:15">
      <c r="O1602" s="33"/>
    </row>
    <row r="1603" spans="15:15">
      <c r="O1603" s="33"/>
    </row>
    <row r="1604" spans="15:15">
      <c r="O1604" s="33"/>
    </row>
    <row r="1605" spans="15:15">
      <c r="O1605" s="33"/>
    </row>
    <row r="1606" spans="15:15">
      <c r="O1606" s="33"/>
    </row>
    <row r="1607" spans="15:15">
      <c r="O1607" s="33"/>
    </row>
    <row r="1608" spans="15:15">
      <c r="O1608" s="33"/>
    </row>
    <row r="1609" spans="15:15">
      <c r="O1609" s="33"/>
    </row>
    <row r="1610" spans="15:15">
      <c r="O1610" s="33"/>
    </row>
    <row r="1611" spans="15:15">
      <c r="O1611" s="33"/>
    </row>
    <row r="1612" spans="15:15">
      <c r="O1612" s="33"/>
    </row>
    <row r="1613" spans="15:15">
      <c r="O1613" s="33"/>
    </row>
    <row r="1614" spans="15:15">
      <c r="O1614" s="33"/>
    </row>
    <row r="1615" spans="15:15">
      <c r="O1615" s="33"/>
    </row>
    <row r="1616" spans="15:15">
      <c r="O1616" s="33"/>
    </row>
    <row r="1617" spans="15:15">
      <c r="O1617" s="33"/>
    </row>
    <row r="1618" spans="15:15">
      <c r="O1618" s="33"/>
    </row>
    <row r="1619" spans="15:15">
      <c r="O1619" s="33"/>
    </row>
    <row r="1620" spans="15:15">
      <c r="O1620" s="33"/>
    </row>
    <row r="1621" spans="15:15">
      <c r="O1621" s="33"/>
    </row>
    <row r="1622" spans="15:15">
      <c r="O1622" s="33"/>
    </row>
    <row r="1623" spans="15:15">
      <c r="O1623" s="33"/>
    </row>
    <row r="1624" spans="15:15">
      <c r="O1624" s="33"/>
    </row>
    <row r="1625" spans="15:15">
      <c r="O1625" s="33"/>
    </row>
    <row r="1626" spans="15:15">
      <c r="O1626" s="33"/>
    </row>
    <row r="1627" spans="15:15">
      <c r="O1627" s="33"/>
    </row>
    <row r="1628" spans="15:15">
      <c r="O1628" s="33"/>
    </row>
    <row r="1629" spans="15:15">
      <c r="O1629" s="33"/>
    </row>
    <row r="1630" spans="15:15">
      <c r="O1630" s="33"/>
    </row>
    <row r="1631" spans="15:15">
      <c r="O1631" s="33"/>
    </row>
    <row r="1632" spans="15:15">
      <c r="O1632" s="33"/>
    </row>
    <row r="1633" spans="15:15">
      <c r="O1633" s="33"/>
    </row>
    <row r="1634" spans="15:15">
      <c r="O1634" s="33"/>
    </row>
    <row r="1635" spans="15:15">
      <c r="O1635" s="33"/>
    </row>
    <row r="1636" spans="15:15">
      <c r="O1636" s="33"/>
    </row>
    <row r="1637" spans="15:15">
      <c r="O1637" s="33"/>
    </row>
    <row r="1638" spans="15:15">
      <c r="O1638" s="33"/>
    </row>
    <row r="1639" spans="15:15">
      <c r="O1639" s="33"/>
    </row>
    <row r="1640" spans="15:15">
      <c r="O1640" s="33"/>
    </row>
    <row r="1641" spans="15:15">
      <c r="O1641" s="33"/>
    </row>
    <row r="1642" spans="15:15">
      <c r="O1642" s="33"/>
    </row>
    <row r="1643" spans="15:15">
      <c r="O1643" s="33"/>
    </row>
    <row r="1644" spans="15:15">
      <c r="O1644" s="33"/>
    </row>
    <row r="1645" spans="15:15">
      <c r="O1645" s="33"/>
    </row>
    <row r="1646" spans="15:15">
      <c r="O1646" s="33"/>
    </row>
    <row r="1647" spans="15:15">
      <c r="O1647" s="33"/>
    </row>
    <row r="1648" spans="15:15">
      <c r="O1648" s="33"/>
    </row>
    <row r="1649" spans="15:15">
      <c r="O1649" s="33"/>
    </row>
    <row r="1650" spans="15:15">
      <c r="O1650" s="33"/>
    </row>
    <row r="1651" spans="15:15">
      <c r="O1651" s="33"/>
    </row>
    <row r="1652" spans="15:15">
      <c r="O1652" s="33"/>
    </row>
    <row r="1653" spans="15:15">
      <c r="O1653" s="33"/>
    </row>
    <row r="1654" spans="15:15">
      <c r="O1654" s="33"/>
    </row>
    <row r="1655" spans="15:15">
      <c r="O1655" s="33"/>
    </row>
    <row r="1656" spans="15:15">
      <c r="O1656" s="33"/>
    </row>
    <row r="1657" spans="15:15">
      <c r="O1657" s="33"/>
    </row>
    <row r="1658" spans="15:15">
      <c r="O1658" s="33"/>
    </row>
    <row r="1659" spans="15:15">
      <c r="O1659" s="33"/>
    </row>
    <row r="1660" spans="15:15">
      <c r="O1660" s="33"/>
    </row>
    <row r="1661" spans="15:15">
      <c r="O1661" s="33"/>
    </row>
    <row r="1662" spans="15:15">
      <c r="O1662" s="33"/>
    </row>
    <row r="1663" spans="15:15">
      <c r="O1663" s="33"/>
    </row>
    <row r="1664" spans="15:15">
      <c r="O1664" s="33"/>
    </row>
    <row r="1665" spans="15:15">
      <c r="O1665" s="33"/>
    </row>
    <row r="1666" spans="15:15">
      <c r="O1666" s="33"/>
    </row>
    <row r="1667" spans="15:15">
      <c r="O1667" s="33"/>
    </row>
    <row r="1668" spans="15:15">
      <c r="O1668" s="33"/>
    </row>
    <row r="1669" spans="15:15">
      <c r="O1669" s="33"/>
    </row>
    <row r="1670" spans="15:15">
      <c r="O1670" s="33"/>
    </row>
    <row r="1671" spans="15:15">
      <c r="O1671" s="33"/>
    </row>
    <row r="1672" spans="15:15">
      <c r="O1672" s="33"/>
    </row>
    <row r="1673" spans="15:15">
      <c r="O1673" s="33"/>
    </row>
    <row r="1674" spans="15:15">
      <c r="O1674" s="33"/>
    </row>
    <row r="1675" spans="15:15">
      <c r="O1675" s="33"/>
    </row>
    <row r="1676" spans="15:15">
      <c r="O1676" s="33"/>
    </row>
    <row r="1677" spans="15:15">
      <c r="O1677" s="33"/>
    </row>
    <row r="1678" spans="15:15">
      <c r="O1678" s="33"/>
    </row>
    <row r="1679" spans="15:15">
      <c r="O1679" s="33"/>
    </row>
    <row r="1680" spans="15:15">
      <c r="O1680" s="33"/>
    </row>
    <row r="1681" spans="15:15">
      <c r="O1681" s="33"/>
    </row>
    <row r="1682" spans="15:15">
      <c r="O1682" s="33"/>
    </row>
    <row r="1683" spans="15:15">
      <c r="O1683" s="33"/>
    </row>
    <row r="1684" spans="15:15">
      <c r="O1684" s="33"/>
    </row>
    <row r="1685" spans="15:15">
      <c r="O1685" s="33"/>
    </row>
    <row r="1686" spans="15:15">
      <c r="O1686" s="33"/>
    </row>
    <row r="1687" spans="15:15">
      <c r="O1687" s="33"/>
    </row>
    <row r="1688" spans="15:15">
      <c r="O1688" s="33"/>
    </row>
    <row r="1689" spans="15:15">
      <c r="O1689" s="33"/>
    </row>
    <row r="1690" spans="15:15">
      <c r="O1690" s="33"/>
    </row>
    <row r="1691" spans="15:15">
      <c r="O1691" s="33"/>
    </row>
    <row r="1692" spans="15:15">
      <c r="O1692" s="33"/>
    </row>
    <row r="1693" spans="15:15">
      <c r="O1693" s="33"/>
    </row>
    <row r="1694" spans="15:15">
      <c r="O1694" s="33"/>
    </row>
    <row r="1695" spans="15:15">
      <c r="O1695" s="33"/>
    </row>
    <row r="1696" spans="15:15">
      <c r="O1696" s="33"/>
    </row>
    <row r="1697" spans="15:15">
      <c r="O1697" s="33"/>
    </row>
    <row r="1698" spans="15:15">
      <c r="O1698" s="33"/>
    </row>
    <row r="1699" spans="15:15">
      <c r="O1699" s="33"/>
    </row>
    <row r="1700" spans="15:15">
      <c r="O1700" s="33"/>
    </row>
    <row r="1701" spans="15:15">
      <c r="O1701" s="33"/>
    </row>
    <row r="1702" spans="15:15">
      <c r="O1702" s="33"/>
    </row>
    <row r="1703" spans="15:15">
      <c r="O1703" s="33"/>
    </row>
    <row r="1704" spans="15:15">
      <c r="O1704" s="33"/>
    </row>
    <row r="1705" spans="15:15">
      <c r="O1705" s="33"/>
    </row>
    <row r="1706" spans="15:15">
      <c r="O1706" s="33"/>
    </row>
    <row r="1707" spans="15:15">
      <c r="O1707" s="33"/>
    </row>
    <row r="1708" spans="15:15">
      <c r="O1708" s="33"/>
    </row>
    <row r="1709" spans="15:15">
      <c r="O1709" s="33"/>
    </row>
    <row r="1710" spans="15:15">
      <c r="O1710" s="33"/>
    </row>
    <row r="1711" spans="15:15">
      <c r="O1711" s="33"/>
    </row>
    <row r="1712" spans="15:15">
      <c r="O1712" s="33"/>
    </row>
    <row r="1713" spans="15:15">
      <c r="O1713" s="33"/>
    </row>
    <row r="1714" spans="15:15">
      <c r="O1714" s="33"/>
    </row>
    <row r="1715" spans="15:15">
      <c r="O1715" s="33"/>
    </row>
    <row r="1716" spans="15:15">
      <c r="O1716" s="33"/>
    </row>
    <row r="1717" spans="15:15">
      <c r="O1717" s="33"/>
    </row>
    <row r="1718" spans="15:15">
      <c r="O1718" s="33"/>
    </row>
    <row r="1719" spans="15:15">
      <c r="O1719" s="33"/>
    </row>
    <row r="1720" spans="15:15">
      <c r="O1720" s="33"/>
    </row>
    <row r="1721" spans="15:15">
      <c r="O1721" s="33"/>
    </row>
    <row r="1722" spans="15:15">
      <c r="O1722" s="33"/>
    </row>
    <row r="1723" spans="15:15">
      <c r="O1723" s="33"/>
    </row>
    <row r="1724" spans="15:15">
      <c r="O1724" s="33"/>
    </row>
    <row r="1725" spans="15:15">
      <c r="O1725" s="33"/>
    </row>
    <row r="1726" spans="15:15">
      <c r="O1726" s="33"/>
    </row>
    <row r="1727" spans="15:15">
      <c r="O1727" s="33"/>
    </row>
    <row r="1728" spans="15:15">
      <c r="O1728" s="33"/>
    </row>
    <row r="1729" spans="15:15">
      <c r="O1729" s="33"/>
    </row>
    <row r="1730" spans="15:15">
      <c r="O1730" s="33"/>
    </row>
    <row r="1731" spans="15:15">
      <c r="O1731" s="33"/>
    </row>
    <row r="1732" spans="15:15">
      <c r="O1732" s="33"/>
    </row>
    <row r="1733" spans="15:15">
      <c r="O1733" s="33"/>
    </row>
    <row r="1734" spans="15:15">
      <c r="O1734" s="33"/>
    </row>
    <row r="1735" spans="15:15">
      <c r="O1735" s="33"/>
    </row>
    <row r="1736" spans="15:15">
      <c r="O1736" s="33"/>
    </row>
    <row r="1737" spans="15:15">
      <c r="O1737" s="33"/>
    </row>
    <row r="1738" spans="15:15">
      <c r="O1738" s="33"/>
    </row>
    <row r="1739" spans="15:15">
      <c r="O1739" s="33"/>
    </row>
    <row r="1740" spans="15:15">
      <c r="O1740" s="33"/>
    </row>
    <row r="1741" spans="15:15">
      <c r="O1741" s="33"/>
    </row>
    <row r="1742" spans="15:15">
      <c r="O1742" s="33"/>
    </row>
    <row r="1743" spans="15:15">
      <c r="O1743" s="33"/>
    </row>
    <row r="1744" spans="15:15">
      <c r="O1744" s="33"/>
    </row>
    <row r="1745" spans="15:15">
      <c r="O1745" s="33"/>
    </row>
    <row r="1746" spans="15:15">
      <c r="O1746" s="33"/>
    </row>
    <row r="1747" spans="15:15">
      <c r="O1747" s="33"/>
    </row>
    <row r="1748" spans="15:15">
      <c r="O1748" s="33"/>
    </row>
    <row r="1749" spans="15:15">
      <c r="O1749" s="33"/>
    </row>
    <row r="1750" spans="15:15">
      <c r="O1750" s="33"/>
    </row>
    <row r="1751" spans="15:15">
      <c r="O1751" s="33"/>
    </row>
    <row r="1752" spans="15:15">
      <c r="O1752" s="33"/>
    </row>
    <row r="1753" spans="15:15">
      <c r="O1753" s="33"/>
    </row>
    <row r="1754" spans="15:15">
      <c r="O1754" s="33"/>
    </row>
    <row r="1755" spans="15:15">
      <c r="O1755" s="33"/>
    </row>
    <row r="1756" spans="15:15">
      <c r="O1756" s="33"/>
    </row>
    <row r="1757" spans="15:15">
      <c r="O1757" s="33"/>
    </row>
    <row r="1758" spans="15:15">
      <c r="O1758" s="33"/>
    </row>
    <row r="1759" spans="15:15">
      <c r="O1759" s="33"/>
    </row>
    <row r="1760" spans="15:15">
      <c r="O1760" s="33"/>
    </row>
    <row r="1761" spans="15:15">
      <c r="O1761" s="33"/>
    </row>
    <row r="1762" spans="15:15">
      <c r="O1762" s="33"/>
    </row>
    <row r="1763" spans="15:15">
      <c r="O1763" s="33"/>
    </row>
    <row r="1764" spans="15:15">
      <c r="O1764" s="33"/>
    </row>
    <row r="1765" spans="15:15">
      <c r="O1765" s="33"/>
    </row>
    <row r="1766" spans="15:15">
      <c r="O1766" s="33"/>
    </row>
    <row r="1767" spans="15:15">
      <c r="O1767" s="33"/>
    </row>
    <row r="1768" spans="15:15">
      <c r="O1768" s="33"/>
    </row>
    <row r="1769" spans="15:15">
      <c r="O1769" s="33"/>
    </row>
    <row r="1770" spans="15:15">
      <c r="O1770" s="33"/>
    </row>
    <row r="1771" spans="15:15">
      <c r="O1771" s="33"/>
    </row>
    <row r="1772" spans="15:15">
      <c r="O1772" s="33"/>
    </row>
    <row r="1773" spans="15:15">
      <c r="O1773" s="33"/>
    </row>
    <row r="1774" spans="15:15">
      <c r="O1774" s="33"/>
    </row>
    <row r="1775" spans="15:15">
      <c r="O1775" s="33"/>
    </row>
    <row r="1776" spans="15:15">
      <c r="O1776" s="33"/>
    </row>
    <row r="1777" spans="15:15">
      <c r="O1777" s="33"/>
    </row>
    <row r="1778" spans="15:15">
      <c r="O1778" s="33"/>
    </row>
    <row r="1779" spans="15:15">
      <c r="O1779" s="33"/>
    </row>
    <row r="1780" spans="15:15">
      <c r="O1780" s="33"/>
    </row>
    <row r="1781" spans="15:15">
      <c r="O1781" s="33"/>
    </row>
    <row r="1782" spans="15:15">
      <c r="O1782" s="33"/>
    </row>
    <row r="1783" spans="15:15">
      <c r="O1783" s="33"/>
    </row>
    <row r="1784" spans="15:15">
      <c r="O1784" s="33"/>
    </row>
    <row r="1785" spans="15:15">
      <c r="O1785" s="33"/>
    </row>
    <row r="1786" spans="15:15">
      <c r="O1786" s="33"/>
    </row>
    <row r="1787" spans="15:15">
      <c r="O1787" s="33"/>
    </row>
    <row r="1788" spans="15:15">
      <c r="O1788" s="33"/>
    </row>
    <row r="1789" spans="15:15">
      <c r="O1789" s="33"/>
    </row>
    <row r="1790" spans="15:15">
      <c r="O1790" s="33"/>
    </row>
    <row r="1791" spans="15:15">
      <c r="O1791" s="33"/>
    </row>
    <row r="1792" spans="15:15">
      <c r="O1792" s="33"/>
    </row>
    <row r="1793" spans="15:15">
      <c r="O1793" s="33"/>
    </row>
    <row r="1794" spans="15:15">
      <c r="O1794" s="33"/>
    </row>
    <row r="1795" spans="15:15">
      <c r="O1795" s="33"/>
    </row>
    <row r="1796" spans="15:15">
      <c r="O1796" s="33"/>
    </row>
    <row r="1797" spans="15:15">
      <c r="O1797" s="33"/>
    </row>
    <row r="1798" spans="15:15">
      <c r="O1798" s="33"/>
    </row>
    <row r="1799" spans="15:15">
      <c r="O1799" s="33"/>
    </row>
    <row r="1800" spans="15:15">
      <c r="O1800" s="33"/>
    </row>
    <row r="1801" spans="15:15">
      <c r="O1801" s="33"/>
    </row>
    <row r="1802" spans="15:15">
      <c r="O1802" s="33"/>
    </row>
    <row r="1803" spans="15:15">
      <c r="O1803" s="33"/>
    </row>
    <row r="1804" spans="15:15">
      <c r="O1804" s="33"/>
    </row>
    <row r="1805" spans="15:15">
      <c r="O1805" s="33"/>
    </row>
    <row r="1806" spans="15:15">
      <c r="O1806" s="33"/>
    </row>
    <row r="1807" spans="15:15">
      <c r="O1807" s="33"/>
    </row>
    <row r="1808" spans="15:15">
      <c r="O1808" s="33"/>
    </row>
    <row r="1809" spans="15:15">
      <c r="O1809" s="33"/>
    </row>
    <row r="1810" spans="15:15">
      <c r="O1810" s="33"/>
    </row>
    <row r="1811" spans="15:15">
      <c r="O1811" s="33"/>
    </row>
    <row r="1812" spans="15:15">
      <c r="O1812" s="33"/>
    </row>
    <row r="1813" spans="15:15">
      <c r="O1813" s="33"/>
    </row>
    <row r="1814" spans="15:15">
      <c r="O1814" s="33"/>
    </row>
    <row r="1815" spans="15:15">
      <c r="O1815" s="33"/>
    </row>
    <row r="1816" spans="15:15">
      <c r="O1816" s="33"/>
    </row>
    <row r="1817" spans="15:15">
      <c r="O1817" s="33"/>
    </row>
    <row r="1818" spans="15:15">
      <c r="O1818" s="33"/>
    </row>
    <row r="1819" spans="15:15">
      <c r="O1819" s="33"/>
    </row>
    <row r="1820" spans="15:15">
      <c r="O1820" s="33"/>
    </row>
    <row r="1821" spans="15:15">
      <c r="O1821" s="33"/>
    </row>
    <row r="1822" spans="15:15">
      <c r="O1822" s="33"/>
    </row>
    <row r="1823" spans="15:15">
      <c r="O1823" s="33"/>
    </row>
    <row r="1824" spans="15:15">
      <c r="O1824" s="33"/>
    </row>
    <row r="1825" spans="15:15">
      <c r="O1825" s="33"/>
    </row>
    <row r="1826" spans="15:15">
      <c r="O1826" s="33"/>
    </row>
    <row r="1827" spans="15:15">
      <c r="O1827" s="33"/>
    </row>
    <row r="1828" spans="15:15">
      <c r="O1828" s="33"/>
    </row>
    <row r="1829" spans="15:15">
      <c r="O1829" s="33"/>
    </row>
    <row r="1830" spans="15:15">
      <c r="O1830" s="33"/>
    </row>
    <row r="1831" spans="15:15">
      <c r="O1831" s="33"/>
    </row>
    <row r="1832" spans="15:15">
      <c r="O1832" s="33"/>
    </row>
    <row r="1833" spans="15:15">
      <c r="O1833" s="33"/>
    </row>
    <row r="1834" spans="15:15">
      <c r="O1834" s="33"/>
    </row>
    <row r="1835" spans="15:15">
      <c r="O1835" s="33"/>
    </row>
    <row r="1836" spans="15:15">
      <c r="O1836" s="33"/>
    </row>
    <row r="1837" spans="15:15">
      <c r="O1837" s="33"/>
    </row>
    <row r="1838" spans="15:15">
      <c r="O1838" s="33"/>
    </row>
    <row r="1839" spans="15:15">
      <c r="O1839" s="33"/>
    </row>
    <row r="1840" spans="15:15">
      <c r="O1840" s="33"/>
    </row>
    <row r="1841" spans="15:15">
      <c r="O1841" s="33"/>
    </row>
    <row r="1842" spans="15:15">
      <c r="O1842" s="33"/>
    </row>
    <row r="1843" spans="15:15">
      <c r="O1843" s="33"/>
    </row>
    <row r="1844" spans="15:15">
      <c r="O1844" s="33"/>
    </row>
    <row r="1845" spans="15:15">
      <c r="O1845" s="33"/>
    </row>
    <row r="1846" spans="15:15">
      <c r="O1846" s="33"/>
    </row>
    <row r="1847" spans="15:15">
      <c r="O1847" s="33"/>
    </row>
    <row r="1848" spans="15:15">
      <c r="O1848" s="33"/>
    </row>
    <row r="1849" spans="15:15">
      <c r="O1849" s="33"/>
    </row>
    <row r="1850" spans="15:15">
      <c r="O1850" s="33"/>
    </row>
    <row r="1851" spans="15:15">
      <c r="O1851" s="33"/>
    </row>
    <row r="1852" spans="15:15">
      <c r="O1852" s="33"/>
    </row>
    <row r="1853" spans="15:15">
      <c r="O1853" s="33"/>
    </row>
    <row r="1854" spans="15:15">
      <c r="O1854" s="33"/>
    </row>
    <row r="1855" spans="15:15">
      <c r="O1855" s="33"/>
    </row>
    <row r="1856" spans="15:15">
      <c r="O1856" s="33"/>
    </row>
    <row r="1857" spans="15:15">
      <c r="O1857" s="33"/>
    </row>
    <row r="1858" spans="15:15">
      <c r="O1858" s="33"/>
    </row>
    <row r="1859" spans="15:15">
      <c r="O1859" s="33"/>
    </row>
    <row r="1860" spans="15:15">
      <c r="O1860" s="33"/>
    </row>
    <row r="1861" spans="15:15">
      <c r="O1861" s="33"/>
    </row>
    <row r="1862" spans="15:15">
      <c r="O1862" s="33"/>
    </row>
    <row r="1863" spans="15:15">
      <c r="O1863" s="33"/>
    </row>
    <row r="1864" spans="15:15">
      <c r="O1864" s="33"/>
    </row>
    <row r="1865" spans="15:15">
      <c r="O1865" s="33"/>
    </row>
    <row r="1866" spans="15:15">
      <c r="O1866" s="33"/>
    </row>
    <row r="1867" spans="15:15">
      <c r="O1867" s="33"/>
    </row>
    <row r="1868" spans="15:15">
      <c r="O1868" s="33"/>
    </row>
    <row r="1869" spans="15:15">
      <c r="O1869" s="33"/>
    </row>
    <row r="1870" spans="15:15">
      <c r="O1870" s="33"/>
    </row>
    <row r="1871" spans="15:15">
      <c r="O1871" s="33"/>
    </row>
    <row r="1872" spans="15:15">
      <c r="O1872" s="33"/>
    </row>
    <row r="1873" spans="15:15">
      <c r="O1873" s="33"/>
    </row>
    <row r="1874" spans="15:15">
      <c r="O1874" s="33"/>
    </row>
    <row r="1875" spans="15:15">
      <c r="O1875" s="33"/>
    </row>
    <row r="1876" spans="15:15">
      <c r="O1876" s="33"/>
    </row>
    <row r="1877" spans="15:15">
      <c r="O1877" s="33"/>
    </row>
    <row r="1878" spans="15:15">
      <c r="O1878" s="33"/>
    </row>
    <row r="1879" spans="15:15">
      <c r="O1879" s="33"/>
    </row>
    <row r="1880" spans="15:15">
      <c r="O1880" s="33"/>
    </row>
    <row r="1881" spans="15:15">
      <c r="O1881" s="33"/>
    </row>
    <row r="1882" spans="15:15">
      <c r="O1882" s="33"/>
    </row>
    <row r="1883" spans="15:15">
      <c r="O1883" s="33"/>
    </row>
    <row r="1884" spans="15:15">
      <c r="O1884" s="33"/>
    </row>
    <row r="1885" spans="15:15">
      <c r="O1885" s="33"/>
    </row>
    <row r="1886" spans="15:15">
      <c r="O1886" s="33"/>
    </row>
    <row r="1887" spans="15:15">
      <c r="O1887" s="33"/>
    </row>
    <row r="1888" spans="15:15">
      <c r="O1888" s="33"/>
    </row>
    <row r="1889" spans="15:15">
      <c r="O1889" s="33"/>
    </row>
    <row r="1890" spans="15:15">
      <c r="O1890" s="33"/>
    </row>
    <row r="1891" spans="15:15">
      <c r="O1891" s="33"/>
    </row>
    <row r="1892" spans="15:15">
      <c r="O1892" s="33"/>
    </row>
    <row r="1893" spans="15:15">
      <c r="O1893" s="33"/>
    </row>
    <row r="1894" spans="15:15">
      <c r="O1894" s="33"/>
    </row>
    <row r="1895" spans="15:15">
      <c r="O1895" s="33"/>
    </row>
    <row r="1896" spans="15:15">
      <c r="O1896" s="33"/>
    </row>
    <row r="1897" spans="15:15">
      <c r="O1897" s="33"/>
    </row>
    <row r="1898" spans="15:15">
      <c r="O1898" s="33"/>
    </row>
    <row r="1899" spans="15:15">
      <c r="O1899" s="33"/>
    </row>
    <row r="1900" spans="15:15">
      <c r="O1900" s="33"/>
    </row>
    <row r="1901" spans="15:15">
      <c r="O1901" s="33"/>
    </row>
    <row r="1902" spans="15:15">
      <c r="O1902" s="33"/>
    </row>
    <row r="1903" spans="15:15">
      <c r="O1903" s="33"/>
    </row>
    <row r="1904" spans="15:15">
      <c r="O1904" s="33"/>
    </row>
    <row r="1905" spans="15:15">
      <c r="O1905" s="33"/>
    </row>
    <row r="1906" spans="15:15">
      <c r="O1906" s="33"/>
    </row>
    <row r="1907" spans="15:15">
      <c r="O1907" s="33"/>
    </row>
    <row r="1908" spans="15:15">
      <c r="O1908" s="33"/>
    </row>
    <row r="1909" spans="15:15">
      <c r="O1909" s="33"/>
    </row>
    <row r="1910" spans="15:15">
      <c r="O1910" s="33"/>
    </row>
    <row r="1911" spans="15:15">
      <c r="O1911" s="33"/>
    </row>
    <row r="1912" spans="15:15">
      <c r="O1912" s="33"/>
    </row>
    <row r="1913" spans="15:15">
      <c r="O1913" s="33"/>
    </row>
    <row r="1914" spans="15:15">
      <c r="O1914" s="33"/>
    </row>
    <row r="1915" spans="15:15">
      <c r="O1915" s="33"/>
    </row>
    <row r="1916" spans="15:15">
      <c r="O1916" s="33"/>
    </row>
    <row r="1917" spans="15:15">
      <c r="O1917" s="33"/>
    </row>
    <row r="1918" spans="15:15">
      <c r="O1918" s="33"/>
    </row>
    <row r="1919" spans="15:15">
      <c r="O1919" s="33"/>
    </row>
    <row r="1920" spans="15:15">
      <c r="O1920" s="33"/>
    </row>
    <row r="1921" spans="15:15">
      <c r="O1921" s="33"/>
    </row>
    <row r="1922" spans="15:15">
      <c r="O1922" s="33"/>
    </row>
    <row r="1923" spans="15:15">
      <c r="O1923" s="33"/>
    </row>
    <row r="1924" spans="15:15">
      <c r="O1924" s="33"/>
    </row>
    <row r="1925" spans="15:15">
      <c r="O1925" s="33"/>
    </row>
    <row r="1926" spans="15:15">
      <c r="O1926" s="33"/>
    </row>
    <row r="1927" spans="15:15">
      <c r="O1927" s="33"/>
    </row>
    <row r="1928" spans="15:15">
      <c r="O1928" s="33"/>
    </row>
    <row r="1929" spans="15:15">
      <c r="O1929" s="33"/>
    </row>
    <row r="1930" spans="15:15">
      <c r="O1930" s="33"/>
    </row>
    <row r="1931" spans="15:15">
      <c r="O1931" s="33"/>
    </row>
    <row r="1932" spans="15:15">
      <c r="O1932" s="33"/>
    </row>
    <row r="1933" spans="15:15">
      <c r="O1933" s="33"/>
    </row>
    <row r="1934" spans="15:15">
      <c r="O1934" s="33"/>
    </row>
    <row r="1935" spans="15:15">
      <c r="O1935" s="33"/>
    </row>
    <row r="1936" spans="15:15">
      <c r="O1936" s="33"/>
    </row>
    <row r="1937" spans="15:15">
      <c r="O1937" s="33"/>
    </row>
    <row r="1938" spans="15:15">
      <c r="O1938" s="33"/>
    </row>
    <row r="1939" spans="15:15">
      <c r="O1939" s="33"/>
    </row>
    <row r="1940" spans="15:15">
      <c r="O1940" s="33"/>
    </row>
    <row r="1941" spans="15:15">
      <c r="O1941" s="33"/>
    </row>
    <row r="1942" spans="15:15">
      <c r="O1942" s="33"/>
    </row>
    <row r="1943" spans="15:15">
      <c r="O1943" s="33"/>
    </row>
    <row r="1944" spans="15:15">
      <c r="O1944" s="33"/>
    </row>
    <row r="1945" spans="15:15">
      <c r="O1945" s="33"/>
    </row>
    <row r="1946" spans="15:15">
      <c r="O1946" s="33"/>
    </row>
    <row r="1947" spans="15:15">
      <c r="O1947" s="33"/>
    </row>
    <row r="1948" spans="15:15">
      <c r="O1948" s="33"/>
    </row>
    <row r="1949" spans="15:15">
      <c r="O1949" s="33"/>
    </row>
    <row r="1950" spans="15:15">
      <c r="O1950" s="33"/>
    </row>
    <row r="1951" spans="15:15">
      <c r="O1951" s="33"/>
    </row>
    <row r="1952" spans="15:15">
      <c r="O1952" s="33"/>
    </row>
    <row r="1953" spans="15:15">
      <c r="O1953" s="33"/>
    </row>
    <row r="1954" spans="15:15">
      <c r="O1954" s="33"/>
    </row>
    <row r="1955" spans="15:15">
      <c r="O1955" s="33"/>
    </row>
    <row r="1956" spans="15:15">
      <c r="O1956" s="33"/>
    </row>
    <row r="1957" spans="15:15">
      <c r="O1957" s="33"/>
    </row>
    <row r="1958" spans="15:15">
      <c r="O1958" s="33"/>
    </row>
    <row r="1959" spans="15:15">
      <c r="O1959" s="33"/>
    </row>
    <row r="1960" spans="15:15">
      <c r="O1960" s="33"/>
    </row>
    <row r="1961" spans="15:15">
      <c r="O1961" s="33"/>
    </row>
    <row r="1962" spans="15:15">
      <c r="O1962" s="33"/>
    </row>
    <row r="1963" spans="15:15">
      <c r="O1963" s="33"/>
    </row>
    <row r="1964" spans="15:15">
      <c r="O1964" s="33"/>
    </row>
    <row r="1965" spans="15:15">
      <c r="O1965" s="33"/>
    </row>
    <row r="1966" spans="15:15">
      <c r="O1966" s="33"/>
    </row>
    <row r="1967" spans="15:15">
      <c r="O1967" s="33"/>
    </row>
    <row r="1968" spans="15:15">
      <c r="O1968" s="33"/>
    </row>
    <row r="1969" spans="15:15">
      <c r="O1969" s="33"/>
    </row>
    <row r="1970" spans="15:15">
      <c r="O1970" s="33"/>
    </row>
    <row r="1971" spans="15:15">
      <c r="O1971" s="33"/>
    </row>
    <row r="1972" spans="15:15">
      <c r="O1972" s="33"/>
    </row>
    <row r="1973" spans="15:15">
      <c r="O1973" s="33"/>
    </row>
    <row r="1974" spans="15:15">
      <c r="O1974" s="33"/>
    </row>
    <row r="1975" spans="15:15">
      <c r="O1975" s="33"/>
    </row>
    <row r="1976" spans="15:15">
      <c r="O1976" s="33"/>
    </row>
    <row r="1977" spans="15:15">
      <c r="O1977" s="33"/>
    </row>
    <row r="1978" spans="15:15">
      <c r="O1978" s="33"/>
    </row>
    <row r="1979" spans="15:15">
      <c r="O1979" s="33"/>
    </row>
    <row r="1980" spans="15:15">
      <c r="O1980" s="33"/>
    </row>
    <row r="1981" spans="15:15">
      <c r="O1981" s="33"/>
    </row>
    <row r="1982" spans="15:15">
      <c r="O1982" s="33"/>
    </row>
    <row r="1983" spans="15:15">
      <c r="O1983" s="33"/>
    </row>
    <row r="1984" spans="15:15">
      <c r="O1984" s="33"/>
    </row>
    <row r="1985" spans="15:15">
      <c r="O1985" s="33"/>
    </row>
    <row r="1986" spans="15:15">
      <c r="O1986" s="33"/>
    </row>
    <row r="1987" spans="15:15">
      <c r="O1987" s="33"/>
    </row>
    <row r="1988" spans="15:15">
      <c r="O1988" s="33"/>
    </row>
    <row r="1989" spans="15:15">
      <c r="O1989" s="33"/>
    </row>
    <row r="1990" spans="15:15">
      <c r="O1990" s="33"/>
    </row>
    <row r="1991" spans="15:15">
      <c r="O1991" s="33"/>
    </row>
    <row r="1992" spans="15:15">
      <c r="O1992" s="33"/>
    </row>
    <row r="1993" spans="15:15">
      <c r="O1993" s="33"/>
    </row>
    <row r="1994" spans="15:15">
      <c r="O1994" s="33"/>
    </row>
    <row r="1995" spans="15:15">
      <c r="O1995" s="33"/>
    </row>
    <row r="1996" spans="15:15">
      <c r="O1996" s="33"/>
    </row>
    <row r="1997" spans="15:15">
      <c r="O1997" s="33"/>
    </row>
    <row r="1998" spans="15:15">
      <c r="O1998" s="33"/>
    </row>
    <row r="1999" spans="15:15">
      <c r="O1999" s="33"/>
    </row>
    <row r="2000" spans="15:15">
      <c r="O2000" s="33"/>
    </row>
    <row r="2001" spans="15:15">
      <c r="O2001" s="33"/>
    </row>
    <row r="2002" spans="15:15">
      <c r="O2002" s="33"/>
    </row>
    <row r="2003" spans="15:15">
      <c r="O2003" s="33"/>
    </row>
    <row r="2004" spans="15:15">
      <c r="O2004" s="33"/>
    </row>
    <row r="2005" spans="15:15">
      <c r="O2005" s="33"/>
    </row>
    <row r="2006" spans="15:15">
      <c r="O2006" s="33"/>
    </row>
    <row r="2007" spans="15:15">
      <c r="O2007" s="33"/>
    </row>
    <row r="2008" spans="15:15">
      <c r="O2008" s="33"/>
    </row>
    <row r="2009" spans="15:15">
      <c r="O2009" s="33"/>
    </row>
    <row r="2010" spans="15:15">
      <c r="O2010" s="33"/>
    </row>
    <row r="2011" spans="15:15">
      <c r="O2011" s="33"/>
    </row>
    <row r="2012" spans="15:15">
      <c r="O2012" s="33"/>
    </row>
    <row r="2013" spans="15:15">
      <c r="O2013" s="33"/>
    </row>
    <row r="2014" spans="15:15">
      <c r="O2014" s="33"/>
    </row>
    <row r="2015" spans="15:15">
      <c r="O2015" s="33"/>
    </row>
    <row r="2016" spans="15:15">
      <c r="O2016" s="33"/>
    </row>
    <row r="2017" spans="15:15">
      <c r="O2017" s="33"/>
    </row>
    <row r="2018" spans="15:15">
      <c r="O2018" s="33"/>
    </row>
    <row r="2019" spans="15:15">
      <c r="O2019" s="33"/>
    </row>
    <row r="2020" spans="15:15">
      <c r="O2020" s="33"/>
    </row>
    <row r="2021" spans="15:15">
      <c r="O2021" s="33"/>
    </row>
    <row r="2022" spans="15:15">
      <c r="O2022" s="33"/>
    </row>
    <row r="2023" spans="15:15">
      <c r="O2023" s="33"/>
    </row>
    <row r="2024" spans="15:15">
      <c r="O2024" s="33"/>
    </row>
    <row r="2025" spans="15:15">
      <c r="O2025" s="33"/>
    </row>
    <row r="2026" spans="15:15">
      <c r="O2026" s="33"/>
    </row>
    <row r="2027" spans="15:15">
      <c r="O2027" s="33"/>
    </row>
    <row r="2028" spans="15:15">
      <c r="O2028" s="33"/>
    </row>
    <row r="2029" spans="15:15">
      <c r="O2029" s="33"/>
    </row>
    <row r="2030" spans="15:15">
      <c r="O2030" s="33"/>
    </row>
    <row r="2031" spans="15:15">
      <c r="O2031" s="33"/>
    </row>
    <row r="2032" spans="15:15">
      <c r="O2032" s="33"/>
    </row>
    <row r="2033" spans="15:15">
      <c r="O2033" s="33"/>
    </row>
    <row r="2034" spans="15:15">
      <c r="O2034" s="33"/>
    </row>
    <row r="2035" spans="15:15">
      <c r="O2035" s="33"/>
    </row>
    <row r="2036" spans="15:15">
      <c r="O2036" s="33"/>
    </row>
    <row r="2037" spans="15:15">
      <c r="O2037" s="33"/>
    </row>
    <row r="2038" spans="15:15">
      <c r="O2038" s="33"/>
    </row>
    <row r="2039" spans="15:15">
      <c r="O2039" s="33"/>
    </row>
    <row r="2040" spans="15:15">
      <c r="O2040" s="33"/>
    </row>
    <row r="2041" spans="15:15">
      <c r="O2041" s="33"/>
    </row>
    <row r="2042" spans="15:15">
      <c r="O2042" s="33"/>
    </row>
    <row r="2043" spans="15:15">
      <c r="O2043" s="33"/>
    </row>
    <row r="2044" spans="15:15">
      <c r="O2044" s="33"/>
    </row>
    <row r="2045" spans="15:15">
      <c r="O2045" s="33"/>
    </row>
    <row r="2046" spans="15:15">
      <c r="O2046" s="33"/>
    </row>
    <row r="2047" spans="15:15">
      <c r="O2047" s="33"/>
    </row>
    <row r="2048" spans="15:15">
      <c r="O2048" s="33"/>
    </row>
    <row r="2049" spans="15:15">
      <c r="O2049" s="33"/>
    </row>
    <row r="2050" spans="15:15">
      <c r="O2050" s="33"/>
    </row>
    <row r="2051" spans="15:15">
      <c r="O2051" s="33"/>
    </row>
    <row r="2052" spans="15:15">
      <c r="O2052" s="33"/>
    </row>
    <row r="2053" spans="15:15">
      <c r="O2053" s="33"/>
    </row>
    <row r="2054" spans="15:15">
      <c r="O2054" s="33"/>
    </row>
    <row r="2055" spans="15:15">
      <c r="O2055" s="33"/>
    </row>
    <row r="2056" spans="15:15">
      <c r="O2056" s="33"/>
    </row>
    <row r="2057" spans="15:15">
      <c r="O2057" s="33"/>
    </row>
    <row r="2058" spans="15:15">
      <c r="O2058" s="33"/>
    </row>
    <row r="2059" spans="15:15">
      <c r="O2059" s="33"/>
    </row>
    <row r="2060" spans="15:15">
      <c r="O2060" s="33"/>
    </row>
    <row r="2061" spans="15:15">
      <c r="O2061" s="33"/>
    </row>
    <row r="2062" spans="15:15">
      <c r="O2062" s="33"/>
    </row>
    <row r="2063" spans="15:15">
      <c r="O2063" s="33"/>
    </row>
    <row r="2064" spans="15:15">
      <c r="O2064" s="33"/>
    </row>
    <row r="2065" spans="15:15">
      <c r="O2065" s="33"/>
    </row>
    <row r="2066" spans="15:15">
      <c r="O2066" s="33"/>
    </row>
    <row r="2067" spans="15:15">
      <c r="O2067" s="33"/>
    </row>
    <row r="2068" spans="15:15">
      <c r="O2068" s="33"/>
    </row>
    <row r="2069" spans="15:15">
      <c r="O2069" s="33"/>
    </row>
    <row r="2070" spans="15:15">
      <c r="O2070" s="33"/>
    </row>
    <row r="2071" spans="15:15">
      <c r="O2071" s="33"/>
    </row>
    <row r="2072" spans="15:15">
      <c r="O2072" s="33"/>
    </row>
    <row r="2073" spans="15:15">
      <c r="O2073" s="33"/>
    </row>
    <row r="2074" spans="15:15">
      <c r="O2074" s="33"/>
    </row>
    <row r="2075" spans="15:15">
      <c r="O2075" s="33"/>
    </row>
    <row r="2076" spans="15:15">
      <c r="O2076" s="33"/>
    </row>
    <row r="2077" spans="15:15">
      <c r="O2077" s="33"/>
    </row>
    <row r="2078" spans="15:15">
      <c r="O2078" s="33"/>
    </row>
    <row r="2079" spans="15:15">
      <c r="O2079" s="33"/>
    </row>
    <row r="2080" spans="15:15">
      <c r="O2080" s="33"/>
    </row>
    <row r="2081" spans="15:15">
      <c r="O2081" s="33"/>
    </row>
    <row r="2082" spans="15:15">
      <c r="O2082" s="33"/>
    </row>
    <row r="2083" spans="15:15">
      <c r="O2083" s="33"/>
    </row>
    <row r="2084" spans="15:15">
      <c r="O2084" s="33"/>
    </row>
    <row r="2085" spans="15:15">
      <c r="O2085" s="33"/>
    </row>
    <row r="2086" spans="15:15">
      <c r="O2086" s="33"/>
    </row>
    <row r="2087" spans="15:15">
      <c r="O2087" s="33"/>
    </row>
    <row r="2088" spans="15:15">
      <c r="O2088" s="33"/>
    </row>
    <row r="2089" spans="15:15">
      <c r="O2089" s="33"/>
    </row>
    <row r="2090" spans="15:15">
      <c r="O2090" s="33"/>
    </row>
    <row r="2091" spans="15:15">
      <c r="O2091" s="33"/>
    </row>
    <row r="2092" spans="15:15">
      <c r="O2092" s="33"/>
    </row>
    <row r="2093" spans="15:15">
      <c r="O2093" s="33"/>
    </row>
    <row r="2094" spans="15:15">
      <c r="O2094" s="33"/>
    </row>
    <row r="2095" spans="15:15">
      <c r="O2095" s="33"/>
    </row>
    <row r="2096" spans="15:15">
      <c r="O2096" s="33"/>
    </row>
    <row r="2097" spans="15:15">
      <c r="O2097" s="33"/>
    </row>
    <row r="2098" spans="15:15">
      <c r="O2098" s="33"/>
    </row>
    <row r="2099" spans="15:15">
      <c r="O2099" s="33"/>
    </row>
    <row r="2100" spans="15:15">
      <c r="O2100" s="33"/>
    </row>
    <row r="2101" spans="15:15">
      <c r="O2101" s="33"/>
    </row>
    <row r="2102" spans="15:15">
      <c r="O2102" s="33"/>
    </row>
    <row r="2103" spans="15:15">
      <c r="O2103" s="33"/>
    </row>
    <row r="2104" spans="15:15">
      <c r="O2104" s="33"/>
    </row>
    <row r="2105" spans="15:15">
      <c r="O2105" s="33"/>
    </row>
    <row r="2106" spans="15:15">
      <c r="O2106" s="33"/>
    </row>
    <row r="2107" spans="15:15">
      <c r="O2107" s="33"/>
    </row>
    <row r="2108" spans="15:15">
      <c r="O2108" s="33"/>
    </row>
    <row r="2109" spans="15:15">
      <c r="O2109" s="33"/>
    </row>
    <row r="2110" spans="15:15">
      <c r="O2110" s="33"/>
    </row>
    <row r="2111" spans="15:15">
      <c r="O2111" s="33"/>
    </row>
    <row r="2112" spans="15:15">
      <c r="O2112" s="33"/>
    </row>
    <row r="2113" spans="15:15">
      <c r="O2113" s="33"/>
    </row>
    <row r="2114" spans="15:15">
      <c r="O2114" s="33"/>
    </row>
    <row r="2115" spans="15:15">
      <c r="O2115" s="33"/>
    </row>
    <row r="2116" spans="15:15">
      <c r="O2116" s="33"/>
    </row>
    <row r="2117" spans="15:15">
      <c r="O2117" s="33"/>
    </row>
    <row r="2118" spans="15:15">
      <c r="O2118" s="33"/>
    </row>
    <row r="2119" spans="15:15">
      <c r="O2119" s="33"/>
    </row>
    <row r="2120" spans="15:15">
      <c r="O2120" s="33"/>
    </row>
    <row r="2121" spans="15:15">
      <c r="O2121" s="33"/>
    </row>
    <row r="2122" spans="15:15">
      <c r="O2122" s="33"/>
    </row>
    <row r="2123" spans="15:15">
      <c r="O2123" s="33"/>
    </row>
    <row r="2124" spans="15:15">
      <c r="O2124" s="33"/>
    </row>
    <row r="2125" spans="15:15">
      <c r="O2125" s="33"/>
    </row>
    <row r="2126" spans="15:15">
      <c r="O2126" s="33"/>
    </row>
    <row r="2127" spans="15:15">
      <c r="O2127" s="33"/>
    </row>
    <row r="2128" spans="15:15">
      <c r="O2128" s="33"/>
    </row>
    <row r="2129" spans="15:15">
      <c r="O2129" s="33"/>
    </row>
    <row r="2130" spans="15:15">
      <c r="O2130" s="33"/>
    </row>
    <row r="2131" spans="15:15">
      <c r="O2131" s="33"/>
    </row>
    <row r="2132" spans="15:15">
      <c r="O2132" s="33"/>
    </row>
    <row r="2133" spans="15:15">
      <c r="O2133" s="33"/>
    </row>
    <row r="2134" spans="15:15">
      <c r="O2134" s="33"/>
    </row>
    <row r="2135" spans="15:15">
      <c r="O2135" s="33"/>
    </row>
    <row r="2136" spans="15:15">
      <c r="O2136" s="33"/>
    </row>
    <row r="2137" spans="15:15">
      <c r="O2137" s="33"/>
    </row>
    <row r="2138" spans="15:15">
      <c r="O2138" s="33"/>
    </row>
    <row r="2139" spans="15:15">
      <c r="O2139" s="33"/>
    </row>
    <row r="2140" spans="15:15">
      <c r="O2140" s="33"/>
    </row>
    <row r="2141" spans="15:15">
      <c r="O2141" s="33"/>
    </row>
    <row r="2142" spans="15:15">
      <c r="O2142" s="33"/>
    </row>
    <row r="2143" spans="15:15">
      <c r="O2143" s="33"/>
    </row>
    <row r="2144" spans="15:15">
      <c r="O2144" s="33"/>
    </row>
    <row r="2145" spans="15:15">
      <c r="O2145" s="33"/>
    </row>
    <row r="2146" spans="15:15">
      <c r="O2146" s="33"/>
    </row>
    <row r="2147" spans="15:15">
      <c r="O2147" s="33"/>
    </row>
    <row r="2148" spans="15:15">
      <c r="O2148" s="33"/>
    </row>
    <row r="2149" spans="15:15">
      <c r="O2149" s="33"/>
    </row>
    <row r="2150" spans="15:15">
      <c r="O2150" s="33"/>
    </row>
    <row r="2151" spans="15:15">
      <c r="O2151" s="33"/>
    </row>
    <row r="2152" spans="15:15">
      <c r="O2152" s="33"/>
    </row>
    <row r="2153" spans="15:15">
      <c r="O2153" s="33"/>
    </row>
    <row r="2154" spans="15:15">
      <c r="O2154" s="33"/>
    </row>
    <row r="2155" spans="15:15">
      <c r="O2155" s="33"/>
    </row>
    <row r="2156" spans="15:15">
      <c r="O2156" s="33"/>
    </row>
    <row r="2157" spans="15:15">
      <c r="O2157" s="33"/>
    </row>
    <row r="2158" spans="15:15">
      <c r="O2158" s="33"/>
    </row>
    <row r="2159" spans="15:15">
      <c r="O2159" s="33"/>
    </row>
    <row r="2160" spans="15:15">
      <c r="O2160" s="33"/>
    </row>
    <row r="2161" spans="15:15">
      <c r="O2161" s="33"/>
    </row>
    <row r="2162" spans="15:15">
      <c r="O2162" s="33"/>
    </row>
    <row r="2163" spans="15:15">
      <c r="O2163" s="33"/>
    </row>
    <row r="2164" spans="15:15">
      <c r="O2164" s="33"/>
    </row>
    <row r="2165" spans="15:15">
      <c r="O2165" s="33"/>
    </row>
    <row r="2166" spans="15:15">
      <c r="O2166" s="33"/>
    </row>
    <row r="2167" spans="15:15">
      <c r="O2167" s="33"/>
    </row>
    <row r="2168" spans="15:15">
      <c r="O2168" s="33"/>
    </row>
    <row r="2169" spans="15:15">
      <c r="O2169" s="33"/>
    </row>
    <row r="2170" spans="15:15">
      <c r="O2170" s="33"/>
    </row>
    <row r="2171" spans="15:15">
      <c r="O2171" s="33"/>
    </row>
    <row r="2172" spans="15:15">
      <c r="O2172" s="33"/>
    </row>
    <row r="2173" spans="15:15">
      <c r="O2173" s="33"/>
    </row>
    <row r="2174" spans="15:15">
      <c r="O2174" s="33"/>
    </row>
    <row r="2175" spans="15:15">
      <c r="O2175" s="33"/>
    </row>
    <row r="2176" spans="15:15">
      <c r="O2176" s="33"/>
    </row>
    <row r="2177" spans="15:15">
      <c r="O2177" s="33"/>
    </row>
    <row r="2178" spans="15:15">
      <c r="O2178" s="33"/>
    </row>
    <row r="2179" spans="15:15">
      <c r="O2179" s="33"/>
    </row>
    <row r="2180" spans="15:15">
      <c r="O2180" s="33"/>
    </row>
    <row r="2181" spans="15:15">
      <c r="O2181" s="33"/>
    </row>
    <row r="2182" spans="15:15">
      <c r="O2182" s="33"/>
    </row>
    <row r="2183" spans="15:15">
      <c r="O2183" s="33"/>
    </row>
    <row r="2184" spans="15:15">
      <c r="O2184" s="33"/>
    </row>
    <row r="2185" spans="15:15">
      <c r="O2185" s="33"/>
    </row>
    <row r="2186" spans="15:15">
      <c r="O2186" s="33"/>
    </row>
    <row r="2187" spans="15:15">
      <c r="O2187" s="33"/>
    </row>
    <row r="2188" spans="15:15">
      <c r="O2188" s="33"/>
    </row>
    <row r="2189" spans="15:15">
      <c r="O2189" s="33"/>
    </row>
    <row r="2190" spans="15:15">
      <c r="O2190" s="33"/>
    </row>
    <row r="2191" spans="15:15">
      <c r="O2191" s="33"/>
    </row>
    <row r="2192" spans="15:15">
      <c r="O2192" s="33"/>
    </row>
    <row r="2193" spans="15:15">
      <c r="O2193" s="33"/>
    </row>
    <row r="2194" spans="15:15">
      <c r="O2194" s="33"/>
    </row>
    <row r="2195" spans="15:15">
      <c r="O2195" s="33"/>
    </row>
    <row r="2196" spans="15:15">
      <c r="O2196" s="33"/>
    </row>
    <row r="2197" spans="15:15">
      <c r="O2197" s="33"/>
    </row>
    <row r="2198" spans="15:15">
      <c r="O2198" s="33"/>
    </row>
    <row r="2199" spans="15:15">
      <c r="O2199" s="33"/>
    </row>
    <row r="2200" spans="15:15">
      <c r="O2200" s="33"/>
    </row>
    <row r="2201" spans="15:15">
      <c r="O2201" s="33"/>
    </row>
    <row r="2202" spans="15:15">
      <c r="O2202" s="33"/>
    </row>
    <row r="2203" spans="15:15">
      <c r="O2203" s="33"/>
    </row>
    <row r="2204" spans="15:15">
      <c r="O2204" s="33"/>
    </row>
    <row r="2205" spans="15:15">
      <c r="O2205" s="33"/>
    </row>
    <row r="2206" spans="15:15">
      <c r="O2206" s="33"/>
    </row>
    <row r="2207" spans="15:15">
      <c r="O2207" s="33"/>
    </row>
    <row r="2208" spans="15:15">
      <c r="O2208" s="33"/>
    </row>
    <row r="2209" spans="15:15">
      <c r="O2209" s="33"/>
    </row>
    <row r="2210" spans="15:15">
      <c r="O2210" s="33"/>
    </row>
    <row r="2211" spans="15:15">
      <c r="O2211" s="33"/>
    </row>
    <row r="2212" spans="15:15">
      <c r="O2212" s="33"/>
    </row>
    <row r="2213" spans="15:15">
      <c r="O2213" s="33"/>
    </row>
    <row r="2214" spans="15:15">
      <c r="O2214" s="33"/>
    </row>
    <row r="2215" spans="15:15">
      <c r="O2215" s="33"/>
    </row>
    <row r="2216" spans="15:15">
      <c r="O2216" s="33"/>
    </row>
    <row r="2217" spans="15:15">
      <c r="O2217" s="33"/>
    </row>
    <row r="2218" spans="15:15">
      <c r="O2218" s="33"/>
    </row>
    <row r="2219" spans="15:15">
      <c r="O2219" s="33"/>
    </row>
    <row r="2220" spans="15:15">
      <c r="O2220" s="33"/>
    </row>
    <row r="2221" spans="15:15">
      <c r="O2221" s="33"/>
    </row>
    <row r="2222" spans="15:15">
      <c r="O2222" s="33"/>
    </row>
    <row r="2223" spans="15:15">
      <c r="O2223" s="33"/>
    </row>
    <row r="2224" spans="15:15">
      <c r="O2224" s="33"/>
    </row>
    <row r="2225" spans="15:15">
      <c r="O2225" s="33"/>
    </row>
    <row r="2226" spans="15:15">
      <c r="O2226" s="33"/>
    </row>
    <row r="2227" spans="15:15">
      <c r="O2227" s="33"/>
    </row>
    <row r="2228" spans="15:15">
      <c r="O2228" s="33"/>
    </row>
    <row r="2229" spans="15:15">
      <c r="O2229" s="33"/>
    </row>
    <row r="2230" spans="15:15">
      <c r="O2230" s="33"/>
    </row>
    <row r="2231" spans="15:15">
      <c r="O2231" s="33"/>
    </row>
    <row r="2232" spans="15:15">
      <c r="O2232" s="33"/>
    </row>
    <row r="2233" spans="15:15">
      <c r="O2233" s="33"/>
    </row>
    <row r="2234" spans="15:15">
      <c r="O2234" s="33"/>
    </row>
    <row r="2235" spans="15:15">
      <c r="O2235" s="33"/>
    </row>
    <row r="2236" spans="15:15">
      <c r="O2236" s="33"/>
    </row>
    <row r="2237" spans="15:15">
      <c r="O2237" s="33"/>
    </row>
    <row r="2238" spans="15:15">
      <c r="O2238" s="33"/>
    </row>
    <row r="2239" spans="15:15">
      <c r="O2239" s="33"/>
    </row>
    <row r="2240" spans="15:15">
      <c r="O2240" s="33"/>
    </row>
    <row r="2241" spans="15:15">
      <c r="O2241" s="33"/>
    </row>
    <row r="2242" spans="15:15">
      <c r="O2242" s="33"/>
    </row>
    <row r="2243" spans="15:15">
      <c r="O2243" s="33"/>
    </row>
    <row r="2244" spans="15:15">
      <c r="O2244" s="33"/>
    </row>
    <row r="2245" spans="15:15">
      <c r="O2245" s="33"/>
    </row>
    <row r="2246" spans="15:15">
      <c r="O2246" s="33"/>
    </row>
    <row r="2247" spans="15:15">
      <c r="O2247" s="33"/>
    </row>
    <row r="2248" spans="15:15">
      <c r="O2248" s="33"/>
    </row>
    <row r="2249" spans="15:15">
      <c r="O2249" s="33"/>
    </row>
    <row r="2250" spans="15:15">
      <c r="O2250" s="33"/>
    </row>
    <row r="2251" spans="15:15">
      <c r="O2251" s="33"/>
    </row>
    <row r="2252" spans="15:15">
      <c r="O2252" s="33"/>
    </row>
    <row r="2253" spans="15:15">
      <c r="O2253" s="33"/>
    </row>
    <row r="2254" spans="15:15">
      <c r="O2254" s="33"/>
    </row>
    <row r="2255" spans="15:15">
      <c r="O2255" s="33"/>
    </row>
    <row r="2256" spans="15:15">
      <c r="O2256" s="33"/>
    </row>
    <row r="2257" spans="15:15">
      <c r="O2257" s="33"/>
    </row>
    <row r="2258" spans="15:15">
      <c r="O2258" s="33"/>
    </row>
    <row r="2259" spans="15:15">
      <c r="O2259" s="33"/>
    </row>
    <row r="2260" spans="15:15">
      <c r="O2260" s="33"/>
    </row>
    <row r="2261" spans="15:15">
      <c r="O2261" s="33"/>
    </row>
    <row r="2262" spans="15:15">
      <c r="O2262" s="33"/>
    </row>
    <row r="2263" spans="15:15">
      <c r="O2263" s="33"/>
    </row>
    <row r="2264" spans="15:15">
      <c r="O2264" s="33"/>
    </row>
    <row r="2265" spans="15:15">
      <c r="O2265" s="33"/>
    </row>
    <row r="2266" spans="15:15">
      <c r="O2266" s="33"/>
    </row>
    <row r="2267" spans="15:15">
      <c r="O2267" s="33"/>
    </row>
    <row r="2268" spans="15:15">
      <c r="O2268" s="33"/>
    </row>
    <row r="2269" spans="15:15">
      <c r="O2269" s="33"/>
    </row>
    <row r="2270" spans="15:15">
      <c r="O2270" s="33"/>
    </row>
    <row r="2271" spans="15:15">
      <c r="O2271" s="33"/>
    </row>
    <row r="2272" spans="15:15">
      <c r="O2272" s="33"/>
    </row>
    <row r="2273" spans="15:15">
      <c r="O2273" s="33"/>
    </row>
    <row r="2274" spans="15:15">
      <c r="O2274" s="33"/>
    </row>
    <row r="2275" spans="15:15">
      <c r="O2275" s="33"/>
    </row>
    <row r="2276" spans="15:15">
      <c r="O2276" s="33"/>
    </row>
    <row r="2277" spans="15:15">
      <c r="O2277" s="33"/>
    </row>
    <row r="2278" spans="15:15">
      <c r="O2278" s="33"/>
    </row>
    <row r="2279" spans="15:15">
      <c r="O2279" s="33"/>
    </row>
    <row r="2280" spans="15:15">
      <c r="O2280" s="33"/>
    </row>
    <row r="2281" spans="15:15">
      <c r="O2281" s="33"/>
    </row>
    <row r="2282" spans="15:15">
      <c r="O2282" s="33"/>
    </row>
    <row r="2283" spans="15:15">
      <c r="O2283" s="33"/>
    </row>
    <row r="2284" spans="15:15">
      <c r="O2284" s="33"/>
    </row>
    <row r="2285" spans="15:15">
      <c r="O2285" s="33"/>
    </row>
    <row r="2286" spans="15:15">
      <c r="O2286" s="33"/>
    </row>
    <row r="2287" spans="15:15">
      <c r="O2287" s="33"/>
    </row>
    <row r="2288" spans="15:15">
      <c r="O2288" s="33"/>
    </row>
    <row r="2289" spans="15:15">
      <c r="O2289" s="33"/>
    </row>
    <row r="2290" spans="15:15">
      <c r="O2290" s="33"/>
    </row>
    <row r="2291" spans="15:15">
      <c r="O2291" s="33"/>
    </row>
    <row r="2292" spans="15:15">
      <c r="O2292" s="33"/>
    </row>
    <row r="2293" spans="15:15">
      <c r="O2293" s="33"/>
    </row>
    <row r="2294" spans="15:15">
      <c r="O2294" s="33"/>
    </row>
    <row r="2295" spans="15:15">
      <c r="O2295" s="33"/>
    </row>
    <row r="2296" spans="15:15">
      <c r="O2296" s="33"/>
    </row>
    <row r="2297" spans="15:15">
      <c r="O2297" s="33"/>
    </row>
    <row r="2298" spans="15:15">
      <c r="O2298" s="33"/>
    </row>
    <row r="2299" spans="15:15">
      <c r="O2299" s="33"/>
    </row>
    <row r="2300" spans="15:15">
      <c r="O2300" s="33"/>
    </row>
    <row r="2301" spans="15:15">
      <c r="O2301" s="33"/>
    </row>
    <row r="2302" spans="15:15">
      <c r="O2302" s="33"/>
    </row>
    <row r="2303" spans="15:15">
      <c r="O2303" s="33"/>
    </row>
    <row r="2304" spans="15:15">
      <c r="O2304" s="33"/>
    </row>
    <row r="2305" spans="15:15">
      <c r="O2305" s="33"/>
    </row>
    <row r="2306" spans="15:15">
      <c r="O2306" s="33"/>
    </row>
    <row r="2307" spans="15:15">
      <c r="O2307" s="33"/>
    </row>
    <row r="2308" spans="15:15">
      <c r="O2308" s="33"/>
    </row>
    <row r="2309" spans="15:15">
      <c r="O2309" s="33"/>
    </row>
    <row r="2310" spans="15:15">
      <c r="O2310" s="33"/>
    </row>
    <row r="2311" spans="15:15">
      <c r="O2311" s="33"/>
    </row>
    <row r="2312" spans="15:15">
      <c r="O2312" s="33"/>
    </row>
    <row r="2313" spans="15:15">
      <c r="O2313" s="33"/>
    </row>
    <row r="2314" spans="15:15">
      <c r="O2314" s="33"/>
    </row>
    <row r="2315" spans="15:15">
      <c r="O2315" s="33"/>
    </row>
    <row r="2316" spans="15:15">
      <c r="O2316" s="33"/>
    </row>
    <row r="2317" spans="15:15">
      <c r="O2317" s="33"/>
    </row>
    <row r="2318" spans="15:15">
      <c r="O2318" s="33"/>
    </row>
    <row r="2319" spans="15:15">
      <c r="O2319" s="33"/>
    </row>
    <row r="2320" spans="15:15">
      <c r="O2320" s="33"/>
    </row>
    <row r="2321" spans="15:15">
      <c r="O2321" s="33"/>
    </row>
    <row r="2322" spans="15:15">
      <c r="O2322" s="33"/>
    </row>
    <row r="2323" spans="15:15">
      <c r="O2323" s="33"/>
    </row>
    <row r="2324" spans="15:15">
      <c r="O2324" s="33"/>
    </row>
    <row r="2325" spans="15:15">
      <c r="O2325" s="33"/>
    </row>
    <row r="2326" spans="15:15">
      <c r="O2326" s="33"/>
    </row>
    <row r="2327" spans="15:15">
      <c r="O2327" s="33"/>
    </row>
    <row r="2328" spans="15:15">
      <c r="O2328" s="33"/>
    </row>
    <row r="2329" spans="15:15">
      <c r="O2329" s="33"/>
    </row>
    <row r="2330" spans="15:15">
      <c r="O2330" s="33"/>
    </row>
    <row r="2331" spans="15:15">
      <c r="O2331" s="33"/>
    </row>
    <row r="2332" spans="15:15">
      <c r="O2332" s="33"/>
    </row>
    <row r="2333" spans="15:15">
      <c r="O2333" s="33"/>
    </row>
    <row r="2334" spans="15:15">
      <c r="O2334" s="33"/>
    </row>
    <row r="2335" spans="15:15">
      <c r="O2335" s="33"/>
    </row>
    <row r="2336" spans="15:15">
      <c r="O2336" s="33"/>
    </row>
    <row r="2337" spans="15:15">
      <c r="O2337" s="33"/>
    </row>
    <row r="2338" spans="15:15">
      <c r="O2338" s="33"/>
    </row>
    <row r="2339" spans="15:15">
      <c r="O2339" s="33"/>
    </row>
    <row r="2340" spans="15:15">
      <c r="O2340" s="33"/>
    </row>
    <row r="2341" spans="15:15">
      <c r="O2341" s="33"/>
    </row>
    <row r="2342" spans="15:15">
      <c r="O2342" s="33"/>
    </row>
    <row r="2343" spans="15:15">
      <c r="O2343" s="33"/>
    </row>
    <row r="2344" spans="15:15">
      <c r="O2344" s="33"/>
    </row>
    <row r="2345" spans="15:15">
      <c r="O2345" s="33"/>
    </row>
    <row r="2346" spans="15:15">
      <c r="O2346" s="33"/>
    </row>
    <row r="2347" spans="15:15">
      <c r="O2347" s="33"/>
    </row>
    <row r="2348" spans="15:15">
      <c r="O2348" s="33"/>
    </row>
    <row r="2349" spans="15:15">
      <c r="O2349" s="33"/>
    </row>
    <row r="2350" spans="15:15">
      <c r="O2350" s="33"/>
    </row>
    <row r="2351" spans="15:15">
      <c r="O2351" s="33"/>
    </row>
    <row r="2352" spans="15:15">
      <c r="O2352" s="33"/>
    </row>
    <row r="2353" spans="15:15">
      <c r="O2353" s="33"/>
    </row>
    <row r="2354" spans="15:15">
      <c r="O2354" s="33"/>
    </row>
    <row r="2355" spans="15:15">
      <c r="O2355" s="33"/>
    </row>
    <row r="2356" spans="15:15">
      <c r="O2356" s="33"/>
    </row>
    <row r="2357" spans="15:15">
      <c r="O2357" s="33"/>
    </row>
    <row r="2358" spans="15:15">
      <c r="O2358" s="33"/>
    </row>
    <row r="2359" spans="15:15">
      <c r="O2359" s="33"/>
    </row>
    <row r="2360" spans="15:15">
      <c r="O2360" s="33"/>
    </row>
    <row r="2361" spans="15:15">
      <c r="O2361" s="33"/>
    </row>
    <row r="2362" spans="15:15">
      <c r="O2362" s="33"/>
    </row>
    <row r="2363" spans="15:15">
      <c r="O2363" s="33"/>
    </row>
    <row r="2364" spans="15:15">
      <c r="O2364" s="33"/>
    </row>
    <row r="2365" spans="15:15">
      <c r="O2365" s="33"/>
    </row>
    <row r="2366" spans="15:15">
      <c r="O2366" s="33"/>
    </row>
    <row r="2367" spans="15:15">
      <c r="O2367" s="33"/>
    </row>
    <row r="2368" spans="15:15">
      <c r="O2368" s="33"/>
    </row>
    <row r="2369" spans="15:15">
      <c r="O2369" s="33"/>
    </row>
    <row r="2370" spans="15:15">
      <c r="O2370" s="33"/>
    </row>
    <row r="2371" spans="15:15">
      <c r="O2371" s="33"/>
    </row>
    <row r="2372" spans="15:15">
      <c r="O2372" s="33"/>
    </row>
    <row r="2373" spans="15:15">
      <c r="O2373" s="33"/>
    </row>
    <row r="2374" spans="15:15">
      <c r="O2374" s="33"/>
    </row>
    <row r="2375" spans="15:15">
      <c r="O2375" s="33"/>
    </row>
    <row r="2376" spans="15:15">
      <c r="O2376" s="33"/>
    </row>
    <row r="2377" spans="15:15">
      <c r="O2377" s="33"/>
    </row>
    <row r="2378" spans="15:15">
      <c r="O2378" s="33"/>
    </row>
    <row r="2379" spans="15:15">
      <c r="O2379" s="33"/>
    </row>
    <row r="2380" spans="15:15">
      <c r="O2380" s="33"/>
    </row>
    <row r="2381" spans="15:15">
      <c r="O2381" s="33"/>
    </row>
    <row r="2382" spans="15:15">
      <c r="O2382" s="33"/>
    </row>
    <row r="2383" spans="15:15">
      <c r="O2383" s="33"/>
    </row>
    <row r="2384" spans="15:15">
      <c r="O2384" s="33"/>
    </row>
    <row r="2385" spans="15:15">
      <c r="O2385" s="33"/>
    </row>
    <row r="2386" spans="15:15">
      <c r="O2386" s="33"/>
    </row>
    <row r="2387" spans="15:15">
      <c r="O2387" s="33"/>
    </row>
    <row r="2388" spans="15:15">
      <c r="O2388" s="33"/>
    </row>
    <row r="2389" spans="15:15">
      <c r="O2389" s="33"/>
    </row>
    <row r="2390" spans="15:15">
      <c r="O2390" s="33"/>
    </row>
    <row r="2391" spans="15:15">
      <c r="O2391" s="33"/>
    </row>
    <row r="2392" spans="15:15">
      <c r="O2392" s="33"/>
    </row>
    <row r="2393" spans="15:15">
      <c r="O2393" s="33"/>
    </row>
    <row r="2394" spans="15:15">
      <c r="O2394" s="33"/>
    </row>
    <row r="2395" spans="15:15">
      <c r="O2395" s="33"/>
    </row>
    <row r="2396" spans="15:15">
      <c r="O2396" s="33"/>
    </row>
    <row r="2397" spans="15:15">
      <c r="O2397" s="33"/>
    </row>
    <row r="2398" spans="15:15">
      <c r="O2398" s="33"/>
    </row>
    <row r="2399" spans="15:15">
      <c r="O2399" s="33"/>
    </row>
    <row r="2400" spans="15:15">
      <c r="O2400" s="33"/>
    </row>
    <row r="2401" spans="15:15">
      <c r="O2401" s="33"/>
    </row>
    <row r="2402" spans="15:15">
      <c r="O2402" s="33"/>
    </row>
    <row r="2403" spans="15:15">
      <c r="O2403" s="33"/>
    </row>
    <row r="2404" spans="15:15">
      <c r="O2404" s="33"/>
    </row>
    <row r="2405" spans="15:15">
      <c r="O2405" s="33"/>
    </row>
    <row r="2406" spans="15:15">
      <c r="O2406" s="33"/>
    </row>
    <row r="2407" spans="15:15">
      <c r="O2407" s="33"/>
    </row>
    <row r="2408" spans="15:15">
      <c r="O2408" s="33"/>
    </row>
    <row r="2409" spans="15:15">
      <c r="O2409" s="33"/>
    </row>
    <row r="2410" spans="15:15">
      <c r="O2410" s="33"/>
    </row>
    <row r="2411" spans="15:15">
      <c r="O2411" s="33"/>
    </row>
    <row r="2412" spans="15:15">
      <c r="O2412" s="33"/>
    </row>
    <row r="2413" spans="15:15">
      <c r="O2413" s="33"/>
    </row>
    <row r="2414" spans="15:15">
      <c r="O2414" s="33"/>
    </row>
    <row r="2415" spans="15:15">
      <c r="O2415" s="33"/>
    </row>
    <row r="2416" spans="15:15">
      <c r="O2416" s="33"/>
    </row>
    <row r="2417" spans="15:15">
      <c r="O2417" s="33"/>
    </row>
    <row r="2418" spans="15:15">
      <c r="O2418" s="33"/>
    </row>
    <row r="2419" spans="15:15">
      <c r="O2419" s="33"/>
    </row>
    <row r="2420" spans="15:15">
      <c r="O2420" s="33"/>
    </row>
    <row r="2421" spans="15:15">
      <c r="O2421" s="33"/>
    </row>
    <row r="2422" spans="15:15">
      <c r="O2422" s="33"/>
    </row>
    <row r="2423" spans="15:15">
      <c r="O2423" s="33"/>
    </row>
    <row r="2424" spans="15:15">
      <c r="O2424" s="33"/>
    </row>
    <row r="2425" spans="15:15">
      <c r="O2425" s="33"/>
    </row>
    <row r="2426" spans="15:15">
      <c r="O2426" s="33"/>
    </row>
    <row r="2427" spans="15:15">
      <c r="O2427" s="33"/>
    </row>
    <row r="2428" spans="15:15">
      <c r="O2428" s="33"/>
    </row>
    <row r="2429" spans="15:15">
      <c r="O2429" s="33"/>
    </row>
    <row r="2430" spans="15:15">
      <c r="O2430" s="33"/>
    </row>
    <row r="2431" spans="15:15">
      <c r="O2431" s="33"/>
    </row>
    <row r="2432" spans="15:15">
      <c r="O2432" s="33"/>
    </row>
    <row r="2433" spans="15:15">
      <c r="O2433" s="33"/>
    </row>
    <row r="2434" spans="15:15">
      <c r="O2434" s="33"/>
    </row>
    <row r="2435" spans="15:15">
      <c r="O2435" s="33"/>
    </row>
    <row r="2436" spans="15:15">
      <c r="O2436" s="33"/>
    </row>
    <row r="2437" spans="15:15">
      <c r="O2437" s="33"/>
    </row>
    <row r="2438" spans="15:15">
      <c r="O2438" s="33"/>
    </row>
    <row r="2439" spans="15:15">
      <c r="O2439" s="33"/>
    </row>
    <row r="2440" spans="15:15">
      <c r="O2440" s="33"/>
    </row>
    <row r="2441" spans="15:15">
      <c r="O2441" s="33"/>
    </row>
    <row r="2442" spans="15:15">
      <c r="O2442" s="33"/>
    </row>
    <row r="2443" spans="15:15">
      <c r="O2443" s="33"/>
    </row>
    <row r="2444" spans="15:15">
      <c r="O2444" s="33"/>
    </row>
    <row r="2445" spans="15:15">
      <c r="O2445" s="33"/>
    </row>
    <row r="2446" spans="15:15">
      <c r="O2446" s="33"/>
    </row>
    <row r="2447" spans="15:15">
      <c r="O2447" s="33"/>
    </row>
    <row r="2448" spans="15:15">
      <c r="O2448" s="33"/>
    </row>
    <row r="2449" spans="15:15">
      <c r="O2449" s="33"/>
    </row>
    <row r="2450" spans="15:15">
      <c r="O2450" s="33"/>
    </row>
    <row r="2451" spans="15:15">
      <c r="O2451" s="33"/>
    </row>
    <row r="2452" spans="15:15">
      <c r="O2452" s="33"/>
    </row>
    <row r="2453" spans="15:15">
      <c r="O2453" s="33"/>
    </row>
    <row r="2454" spans="15:15">
      <c r="O2454" s="33"/>
    </row>
    <row r="2455" spans="15:15">
      <c r="O2455" s="33"/>
    </row>
    <row r="2456" spans="15:15">
      <c r="O2456" s="33"/>
    </row>
    <row r="2457" spans="15:15">
      <c r="O2457" s="33"/>
    </row>
    <row r="2458" spans="15:15">
      <c r="O2458" s="33"/>
    </row>
    <row r="2459" spans="15:15">
      <c r="O2459" s="33"/>
    </row>
    <row r="2460" spans="15:15">
      <c r="O2460" s="33"/>
    </row>
    <row r="2461" spans="15:15">
      <c r="O2461" s="33"/>
    </row>
    <row r="2462" spans="15:15">
      <c r="O2462" s="33"/>
    </row>
    <row r="2463" spans="15:15">
      <c r="O2463" s="33"/>
    </row>
    <row r="2464" spans="15:15">
      <c r="O2464" s="33"/>
    </row>
    <row r="2465" spans="15:15">
      <c r="O2465" s="33"/>
    </row>
    <row r="2466" spans="15:15">
      <c r="O2466" s="33"/>
    </row>
    <row r="2467" spans="15:15">
      <c r="O2467" s="33"/>
    </row>
    <row r="2468" spans="15:15">
      <c r="O2468" s="33"/>
    </row>
    <row r="2469" spans="15:15">
      <c r="O2469" s="33"/>
    </row>
    <row r="2470" spans="15:15">
      <c r="O2470" s="33"/>
    </row>
    <row r="2471" spans="15:15">
      <c r="O2471" s="33"/>
    </row>
    <row r="2472" spans="15:15">
      <c r="O2472" s="33"/>
    </row>
    <row r="2473" spans="15:15">
      <c r="O2473" s="33"/>
    </row>
    <row r="2474" spans="15:15">
      <c r="O2474" s="33"/>
    </row>
    <row r="2475" spans="15:15">
      <c r="O2475" s="33"/>
    </row>
    <row r="2476" spans="15:15">
      <c r="O2476" s="33"/>
    </row>
    <row r="2477" spans="15:15">
      <c r="O2477" s="33"/>
    </row>
    <row r="2478" spans="15:15">
      <c r="O2478" s="33"/>
    </row>
    <row r="2479" spans="15:15">
      <c r="O2479" s="33"/>
    </row>
    <row r="2480" spans="15:15">
      <c r="O2480" s="33"/>
    </row>
    <row r="2481" spans="15:15">
      <c r="O2481" s="33"/>
    </row>
    <row r="2482" spans="15:15">
      <c r="O2482" s="33"/>
    </row>
    <row r="2483" spans="15:15">
      <c r="O2483" s="33"/>
    </row>
    <row r="2484" spans="15:15">
      <c r="O2484" s="33"/>
    </row>
    <row r="2485" spans="15:15">
      <c r="O2485" s="33"/>
    </row>
    <row r="2486" spans="15:15">
      <c r="O2486" s="33"/>
    </row>
    <row r="2487" spans="15:15">
      <c r="O2487" s="33"/>
    </row>
    <row r="2488" spans="15:15">
      <c r="O2488" s="33"/>
    </row>
    <row r="2489" spans="15:15">
      <c r="O2489" s="33"/>
    </row>
    <row r="2490" spans="15:15">
      <c r="O2490" s="33"/>
    </row>
    <row r="2491" spans="15:15">
      <c r="O2491" s="33"/>
    </row>
    <row r="2492" spans="15:15">
      <c r="O2492" s="33"/>
    </row>
    <row r="2493" spans="15:15">
      <c r="O2493" s="33"/>
    </row>
    <row r="2494" spans="15:15">
      <c r="O2494" s="33"/>
    </row>
    <row r="2495" spans="15:15">
      <c r="O2495" s="33"/>
    </row>
    <row r="2496" spans="15:15">
      <c r="O2496" s="33"/>
    </row>
    <row r="2497" spans="15:15">
      <c r="O2497" s="33"/>
    </row>
    <row r="2498" spans="15:15">
      <c r="O2498" s="33"/>
    </row>
    <row r="2499" spans="15:15">
      <c r="O2499" s="33"/>
    </row>
    <row r="2500" spans="15:15">
      <c r="O2500" s="33"/>
    </row>
    <row r="2501" spans="15:15">
      <c r="O2501" s="33"/>
    </row>
    <row r="2502" spans="15:15">
      <c r="O2502" s="33"/>
    </row>
    <row r="2503" spans="15:15">
      <c r="O2503" s="33"/>
    </row>
    <row r="2504" spans="15:15">
      <c r="O2504" s="33"/>
    </row>
    <row r="2505" spans="15:15">
      <c r="O2505" s="33"/>
    </row>
    <row r="2506" spans="15:15">
      <c r="O2506" s="33"/>
    </row>
    <row r="2507" spans="15:15">
      <c r="O2507" s="33"/>
    </row>
    <row r="2508" spans="15:15">
      <c r="O2508" s="33"/>
    </row>
    <row r="2509" spans="15:15">
      <c r="O2509" s="33"/>
    </row>
    <row r="2510" spans="15:15">
      <c r="O2510" s="33"/>
    </row>
    <row r="2511" spans="15:15">
      <c r="O2511" s="33"/>
    </row>
    <row r="2512" spans="15:15">
      <c r="O2512" s="33"/>
    </row>
    <row r="2513" spans="15:15">
      <c r="O2513" s="33"/>
    </row>
    <row r="2514" spans="15:15">
      <c r="O2514" s="33"/>
    </row>
    <row r="2515" spans="15:15">
      <c r="O2515" s="33"/>
    </row>
    <row r="2516" spans="15:15">
      <c r="O2516" s="33"/>
    </row>
    <row r="2517" spans="15:15">
      <c r="O2517" s="33"/>
    </row>
    <row r="2518" spans="15:15">
      <c r="O2518" s="33"/>
    </row>
    <row r="2519" spans="15:15">
      <c r="O2519" s="33"/>
    </row>
    <row r="2520" spans="15:15">
      <c r="O2520" s="33"/>
    </row>
    <row r="2521" spans="15:15">
      <c r="O2521" s="33"/>
    </row>
    <row r="2522" spans="15:15">
      <c r="O2522" s="33"/>
    </row>
    <row r="2523" spans="15:15">
      <c r="O2523" s="33"/>
    </row>
    <row r="2524" spans="15:15">
      <c r="O2524" s="33"/>
    </row>
    <row r="2525" spans="15:15">
      <c r="O2525" s="33"/>
    </row>
    <row r="2526" spans="15:15">
      <c r="O2526" s="33"/>
    </row>
    <row r="2527" spans="15:15">
      <c r="O2527" s="33"/>
    </row>
    <row r="2528" spans="15:15">
      <c r="O2528" s="33"/>
    </row>
    <row r="2529" spans="15:15">
      <c r="O2529" s="33"/>
    </row>
    <row r="2530" spans="15:15">
      <c r="O2530" s="33"/>
    </row>
    <row r="2531" spans="15:15">
      <c r="O2531" s="33"/>
    </row>
    <row r="2532" spans="15:15">
      <c r="O2532" s="33"/>
    </row>
    <row r="2533" spans="15:15">
      <c r="O2533" s="33"/>
    </row>
    <row r="2534" spans="15:15">
      <c r="O2534" s="33"/>
    </row>
    <row r="2535" spans="15:15">
      <c r="O2535" s="33"/>
    </row>
    <row r="2536" spans="15:15">
      <c r="O2536" s="33"/>
    </row>
    <row r="2537" spans="15:15">
      <c r="O2537" s="33"/>
    </row>
    <row r="2538" spans="15:15">
      <c r="O2538" s="33"/>
    </row>
    <row r="2539" spans="15:15">
      <c r="O2539" s="33"/>
    </row>
    <row r="2540" spans="15:15">
      <c r="O2540" s="33"/>
    </row>
    <row r="2541" spans="15:15">
      <c r="O2541" s="33"/>
    </row>
    <row r="2542" spans="15:15">
      <c r="O2542" s="33"/>
    </row>
    <row r="2543" spans="15:15">
      <c r="O2543" s="33"/>
    </row>
    <row r="2544" spans="15:15">
      <c r="O2544" s="33"/>
    </row>
    <row r="2545" spans="15:15">
      <c r="O2545" s="33"/>
    </row>
    <row r="2546" spans="15:15">
      <c r="O2546" s="33"/>
    </row>
    <row r="2547" spans="15:15">
      <c r="O2547" s="33"/>
    </row>
    <row r="2548" spans="15:15">
      <c r="O2548" s="33"/>
    </row>
    <row r="2549" spans="15:15">
      <c r="O2549" s="33"/>
    </row>
    <row r="2550" spans="15:15">
      <c r="O2550" s="33"/>
    </row>
    <row r="2551" spans="15:15">
      <c r="O2551" s="33"/>
    </row>
    <row r="2552" spans="15:15">
      <c r="O2552" s="33"/>
    </row>
    <row r="2553" spans="15:15">
      <c r="O2553" s="33"/>
    </row>
    <row r="2554" spans="15:15">
      <c r="O2554" s="33"/>
    </row>
    <row r="2555" spans="15:15">
      <c r="O2555" s="33"/>
    </row>
    <row r="2556" spans="15:15">
      <c r="O2556" s="33"/>
    </row>
    <row r="2557" spans="15:15">
      <c r="O2557" s="33"/>
    </row>
    <row r="2558" spans="15:15">
      <c r="O2558" s="33"/>
    </row>
    <row r="2559" spans="15:15">
      <c r="O2559" s="33"/>
    </row>
    <row r="2560" spans="15:15">
      <c r="O2560" s="33"/>
    </row>
    <row r="2561" spans="15:15">
      <c r="O2561" s="33"/>
    </row>
    <row r="2562" spans="15:15">
      <c r="O2562" s="33"/>
    </row>
    <row r="2563" spans="15:15">
      <c r="O2563" s="33"/>
    </row>
    <row r="2564" spans="15:15">
      <c r="O2564" s="33"/>
    </row>
    <row r="2565" spans="15:15">
      <c r="O2565" s="33"/>
    </row>
    <row r="2566" spans="15:15">
      <c r="O2566" s="33"/>
    </row>
    <row r="2567" spans="15:15">
      <c r="O2567" s="33"/>
    </row>
    <row r="2568" spans="15:15">
      <c r="O2568" s="33"/>
    </row>
    <row r="2569" spans="15:15">
      <c r="O2569" s="33"/>
    </row>
    <row r="2570" spans="15:15">
      <c r="O2570" s="33"/>
    </row>
    <row r="2571" spans="15:15">
      <c r="O2571" s="33"/>
    </row>
    <row r="2572" spans="15:15">
      <c r="O2572" s="33"/>
    </row>
    <row r="2573" spans="15:15">
      <c r="O2573" s="33"/>
    </row>
    <row r="2574" spans="15:15">
      <c r="O2574" s="33"/>
    </row>
    <row r="2575" spans="15:15">
      <c r="O2575" s="33"/>
    </row>
    <row r="2576" spans="15:15">
      <c r="O2576" s="33"/>
    </row>
    <row r="2577" spans="15:15">
      <c r="O2577" s="33"/>
    </row>
    <row r="2578" spans="15:15">
      <c r="O2578" s="33"/>
    </row>
    <row r="2579" spans="15:15">
      <c r="O2579" s="33"/>
    </row>
    <row r="2580" spans="15:15">
      <c r="O2580" s="33"/>
    </row>
    <row r="2581" spans="15:15">
      <c r="O2581" s="33"/>
    </row>
    <row r="2582" spans="15:15">
      <c r="O2582" s="33"/>
    </row>
    <row r="2583" spans="15:15">
      <c r="O2583" s="33"/>
    </row>
    <row r="2584" spans="15:15">
      <c r="O2584" s="33"/>
    </row>
    <row r="2585" spans="15:15">
      <c r="O2585" s="33"/>
    </row>
    <row r="2586" spans="15:15">
      <c r="O2586" s="33"/>
    </row>
    <row r="2587" spans="15:15">
      <c r="O2587" s="33"/>
    </row>
    <row r="2588" spans="15:15">
      <c r="O2588" s="33"/>
    </row>
    <row r="2589" spans="15:15">
      <c r="O2589" s="33"/>
    </row>
    <row r="2590" spans="15:15">
      <c r="O2590" s="33"/>
    </row>
    <row r="2591" spans="15:15">
      <c r="O2591" s="33"/>
    </row>
    <row r="2592" spans="15:15">
      <c r="O2592" s="33"/>
    </row>
    <row r="2593" spans="15:15">
      <c r="O2593" s="33"/>
    </row>
    <row r="2594" spans="15:15">
      <c r="O2594" s="33"/>
    </row>
    <row r="2595" spans="15:15">
      <c r="O2595" s="33"/>
    </row>
    <row r="2596" spans="15:15">
      <c r="O2596" s="33"/>
    </row>
    <row r="2597" spans="15:15">
      <c r="O2597" s="33"/>
    </row>
    <row r="2598" spans="15:15">
      <c r="O2598" s="33"/>
    </row>
    <row r="2599" spans="15:15">
      <c r="O2599" s="33"/>
    </row>
    <row r="2600" spans="15:15">
      <c r="O2600" s="33"/>
    </row>
    <row r="2601" spans="15:15">
      <c r="O2601" s="33"/>
    </row>
    <row r="2602" spans="15:15">
      <c r="O2602" s="33"/>
    </row>
    <row r="2603" spans="15:15">
      <c r="O2603" s="33"/>
    </row>
    <row r="2604" spans="15:15">
      <c r="O2604" s="33"/>
    </row>
    <row r="2605" spans="15:15">
      <c r="O2605" s="33"/>
    </row>
    <row r="2606" spans="15:15">
      <c r="O2606" s="33"/>
    </row>
    <row r="2607" spans="15:15">
      <c r="O2607" s="33"/>
    </row>
    <row r="2608" spans="15:15">
      <c r="O2608" s="33"/>
    </row>
    <row r="2609" spans="15:15">
      <c r="O2609" s="33"/>
    </row>
    <row r="2610" spans="15:15">
      <c r="O2610" s="33"/>
    </row>
    <row r="2611" spans="15:15">
      <c r="O2611" s="33"/>
    </row>
    <row r="2612" spans="15:15">
      <c r="O2612" s="33"/>
    </row>
    <row r="2613" spans="15:15">
      <c r="O2613" s="33"/>
    </row>
    <row r="2614" spans="15:15">
      <c r="O2614" s="33"/>
    </row>
    <row r="2615" spans="15:15">
      <c r="O2615" s="33"/>
    </row>
    <row r="2616" spans="15:15">
      <c r="O2616" s="33"/>
    </row>
    <row r="2617" spans="15:15">
      <c r="O2617" s="33"/>
    </row>
    <row r="2618" spans="15:15">
      <c r="O2618" s="33"/>
    </row>
    <row r="2619" spans="15:15">
      <c r="O2619" s="33"/>
    </row>
    <row r="2620" spans="15:15">
      <c r="O2620" s="33"/>
    </row>
    <row r="2621" spans="15:15">
      <c r="O2621" s="33"/>
    </row>
    <row r="2622" spans="15:15">
      <c r="O2622" s="33"/>
    </row>
    <row r="2623" spans="15:15">
      <c r="O2623" s="33"/>
    </row>
    <row r="2624" spans="15:15">
      <c r="O2624" s="33"/>
    </row>
    <row r="2625" spans="15:15">
      <c r="O2625" s="33"/>
    </row>
    <row r="2626" spans="15:15">
      <c r="O2626" s="33"/>
    </row>
    <row r="2627" spans="15:15">
      <c r="O2627" s="33"/>
    </row>
    <row r="2628" spans="15:15">
      <c r="O2628" s="33"/>
    </row>
    <row r="2629" spans="15:15">
      <c r="O2629" s="33"/>
    </row>
    <row r="2630" spans="15:15">
      <c r="O2630" s="33"/>
    </row>
    <row r="2631" spans="15:15">
      <c r="O2631" s="33"/>
    </row>
    <row r="2632" spans="15:15">
      <c r="O2632" s="33"/>
    </row>
    <row r="2633" spans="15:15">
      <c r="O2633" s="33"/>
    </row>
    <row r="2634" spans="15:15">
      <c r="O2634" s="33"/>
    </row>
    <row r="2635" spans="15:15">
      <c r="O2635" s="33"/>
    </row>
    <row r="2636" spans="15:15">
      <c r="O2636" s="33"/>
    </row>
    <row r="2637" spans="15:15">
      <c r="O2637" s="33"/>
    </row>
    <row r="2638" spans="15:15">
      <c r="O2638" s="33"/>
    </row>
    <row r="2639" spans="15:15">
      <c r="O2639" s="33"/>
    </row>
    <row r="2640" spans="15:15">
      <c r="O2640" s="33"/>
    </row>
    <row r="2641" spans="15:15">
      <c r="O2641" s="33"/>
    </row>
    <row r="2642" spans="15:15">
      <c r="O2642" s="33"/>
    </row>
    <row r="2643" spans="15:15">
      <c r="O2643" s="33"/>
    </row>
    <row r="2644" spans="15:15">
      <c r="O2644" s="33"/>
    </row>
    <row r="2645" spans="15:15">
      <c r="O2645" s="33"/>
    </row>
    <row r="2646" spans="15:15">
      <c r="O2646" s="33"/>
    </row>
    <row r="2647" spans="15:15">
      <c r="O2647" s="33"/>
    </row>
    <row r="2648" spans="15:15">
      <c r="O2648" s="33"/>
    </row>
    <row r="2649" spans="15:15">
      <c r="O2649" s="33"/>
    </row>
    <row r="2650" spans="15:15">
      <c r="O2650" s="33"/>
    </row>
    <row r="2651" spans="15:15">
      <c r="O2651" s="33"/>
    </row>
    <row r="2652" spans="15:15">
      <c r="O2652" s="33"/>
    </row>
    <row r="2653" spans="15:15">
      <c r="O2653" s="33"/>
    </row>
    <row r="2654" spans="15:15">
      <c r="O2654" s="33"/>
    </row>
    <row r="2655" spans="15:15">
      <c r="O2655" s="33"/>
    </row>
    <row r="2656" spans="15:15">
      <c r="O2656" s="33"/>
    </row>
    <row r="2657" spans="15:15">
      <c r="O2657" s="33"/>
    </row>
    <row r="2658" spans="15:15">
      <c r="O2658" s="33"/>
    </row>
    <row r="2659" spans="15:15">
      <c r="O2659" s="33"/>
    </row>
    <row r="2660" spans="15:15">
      <c r="O2660" s="33"/>
    </row>
    <row r="2661" spans="15:15">
      <c r="O2661" s="33"/>
    </row>
    <row r="2662" spans="15:15">
      <c r="O2662" s="33"/>
    </row>
    <row r="2663" spans="15:15">
      <c r="O2663" s="33"/>
    </row>
    <row r="2664" spans="15:15">
      <c r="O2664" s="33"/>
    </row>
    <row r="2665" spans="15:15">
      <c r="O2665" s="33"/>
    </row>
    <row r="2666" spans="15:15">
      <c r="O2666" s="33"/>
    </row>
    <row r="2667" spans="15:15">
      <c r="O2667" s="33"/>
    </row>
    <row r="2668" spans="15:15">
      <c r="O2668" s="33"/>
    </row>
    <row r="2669" spans="15:15">
      <c r="O2669" s="33"/>
    </row>
    <row r="2670" spans="15:15">
      <c r="O2670" s="33"/>
    </row>
    <row r="2671" spans="15:15">
      <c r="O2671" s="33"/>
    </row>
    <row r="2672" spans="15:15">
      <c r="O2672" s="33"/>
    </row>
    <row r="2673" spans="15:15">
      <c r="O2673" s="33"/>
    </row>
    <row r="2674" spans="15:15">
      <c r="O2674" s="33"/>
    </row>
    <row r="2675" spans="15:15">
      <c r="O2675" s="33"/>
    </row>
    <row r="2676" spans="15:15">
      <c r="O2676" s="33"/>
    </row>
    <row r="2677" spans="15:15">
      <c r="O2677" s="33"/>
    </row>
    <row r="2678" spans="15:15">
      <c r="O2678" s="33"/>
    </row>
    <row r="2679" spans="15:15">
      <c r="O2679" s="33"/>
    </row>
    <row r="2680" spans="15:15">
      <c r="O2680" s="33"/>
    </row>
    <row r="2681" spans="15:15">
      <c r="O2681" s="33"/>
    </row>
    <row r="2682" spans="15:15">
      <c r="O2682" s="33"/>
    </row>
    <row r="2683" spans="15:15">
      <c r="O2683" s="33"/>
    </row>
    <row r="2684" spans="15:15">
      <c r="O2684" s="33"/>
    </row>
    <row r="2685" spans="15:15">
      <c r="O2685" s="33"/>
    </row>
    <row r="2686" spans="15:15">
      <c r="O2686" s="33"/>
    </row>
    <row r="2687" spans="15:15">
      <c r="O2687" s="33"/>
    </row>
    <row r="2688" spans="15:15">
      <c r="O2688" s="33"/>
    </row>
    <row r="2689" spans="15:15">
      <c r="O2689" s="33"/>
    </row>
    <row r="2690" spans="15:15">
      <c r="O2690" s="33"/>
    </row>
    <row r="2691" spans="15:15">
      <c r="O2691" s="33"/>
    </row>
    <row r="2692" spans="15:15">
      <c r="O2692" s="33"/>
    </row>
    <row r="2693" spans="15:15">
      <c r="O2693" s="33"/>
    </row>
    <row r="2694" spans="15:15">
      <c r="O2694" s="33"/>
    </row>
    <row r="2695" spans="15:15">
      <c r="O2695" s="33"/>
    </row>
    <row r="2696" spans="15:15">
      <c r="O2696" s="33"/>
    </row>
    <row r="2697" spans="15:15">
      <c r="O2697" s="33"/>
    </row>
    <row r="2698" spans="15:15">
      <c r="O2698" s="33"/>
    </row>
    <row r="2699" spans="15:15">
      <c r="O2699" s="33"/>
    </row>
    <row r="2700" spans="15:15">
      <c r="O2700" s="33"/>
    </row>
    <row r="2701" spans="15:15">
      <c r="O2701" s="33"/>
    </row>
    <row r="2702" spans="15:15">
      <c r="O2702" s="33"/>
    </row>
    <row r="2703" spans="15:15">
      <c r="O2703" s="33"/>
    </row>
    <row r="2704" spans="15:15">
      <c r="O2704" s="33"/>
    </row>
    <row r="2705" spans="15:15">
      <c r="O2705" s="33"/>
    </row>
    <row r="2706" spans="15:15">
      <c r="O2706" s="33"/>
    </row>
    <row r="2707" spans="15:15">
      <c r="O2707" s="33"/>
    </row>
    <row r="2708" spans="15:15">
      <c r="O2708" s="33"/>
    </row>
    <row r="2709" spans="15:15">
      <c r="O2709" s="33"/>
    </row>
    <row r="2710" spans="15:15">
      <c r="O2710" s="33"/>
    </row>
    <row r="2711" spans="15:15">
      <c r="O2711" s="33"/>
    </row>
    <row r="2712" spans="15:15">
      <c r="O2712" s="33"/>
    </row>
    <row r="2713" spans="15:15">
      <c r="O2713" s="33"/>
    </row>
    <row r="2714" spans="15:15">
      <c r="O2714" s="33"/>
    </row>
    <row r="2715" spans="15:15">
      <c r="O2715" s="33"/>
    </row>
    <row r="2716" spans="15:15">
      <c r="O2716" s="33"/>
    </row>
    <row r="2717" spans="15:15">
      <c r="O2717" s="33"/>
    </row>
    <row r="2718" spans="15:15">
      <c r="O2718" s="33"/>
    </row>
    <row r="2719" spans="15:15">
      <c r="O2719" s="33"/>
    </row>
    <row r="2720" spans="15:15">
      <c r="O2720" s="33"/>
    </row>
    <row r="2721" spans="15:15">
      <c r="O2721" s="33"/>
    </row>
    <row r="2722" spans="15:15">
      <c r="O2722" s="33"/>
    </row>
    <row r="2723" spans="15:15">
      <c r="O2723" s="33"/>
    </row>
    <row r="2724" spans="15:15">
      <c r="O2724" s="33"/>
    </row>
    <row r="2725" spans="15:15">
      <c r="O2725" s="33"/>
    </row>
    <row r="2726" spans="15:15">
      <c r="O2726" s="33"/>
    </row>
    <row r="2727" spans="15:15">
      <c r="O2727" s="33"/>
    </row>
    <row r="2728" spans="15:15">
      <c r="O2728" s="33"/>
    </row>
    <row r="2729" spans="15:15">
      <c r="O2729" s="33"/>
    </row>
    <row r="2730" spans="15:15">
      <c r="O2730" s="33"/>
    </row>
    <row r="2731" spans="15:15">
      <c r="O2731" s="33"/>
    </row>
    <row r="2732" spans="15:15">
      <c r="O2732" s="33"/>
    </row>
    <row r="2733" spans="15:15">
      <c r="O2733" s="33"/>
    </row>
    <row r="2734" spans="15:15">
      <c r="O2734" s="33"/>
    </row>
    <row r="2735" spans="15:15">
      <c r="O2735" s="33"/>
    </row>
    <row r="2736" spans="15:15">
      <c r="O2736" s="33"/>
    </row>
    <row r="2737" spans="15:15">
      <c r="O2737" s="33"/>
    </row>
    <row r="2738" spans="15:15">
      <c r="O2738" s="33"/>
    </row>
    <row r="2739" spans="15:15">
      <c r="O2739" s="33"/>
    </row>
    <row r="2740" spans="15:15">
      <c r="O2740" s="33"/>
    </row>
    <row r="2741" spans="15:15">
      <c r="O2741" s="33"/>
    </row>
    <row r="2742" spans="15:15">
      <c r="O2742" s="33"/>
    </row>
    <row r="2743" spans="15:15">
      <c r="O2743" s="33"/>
    </row>
    <row r="2744" spans="15:15">
      <c r="O2744" s="33"/>
    </row>
    <row r="2745" spans="15:15">
      <c r="O2745" s="33"/>
    </row>
    <row r="2746" spans="15:15">
      <c r="O2746" s="33"/>
    </row>
    <row r="2747" spans="15:15">
      <c r="O2747" s="33"/>
    </row>
    <row r="2748" spans="15:15">
      <c r="O2748" s="33"/>
    </row>
    <row r="2749" spans="15:15">
      <c r="O2749" s="33"/>
    </row>
    <row r="2750" spans="15:15">
      <c r="O2750" s="33"/>
    </row>
    <row r="2751" spans="15:15">
      <c r="O2751" s="33"/>
    </row>
    <row r="2752" spans="15:15">
      <c r="O2752" s="33"/>
    </row>
    <row r="2753" spans="15:15">
      <c r="O2753" s="33"/>
    </row>
    <row r="2754" spans="15:15">
      <c r="O2754" s="33"/>
    </row>
    <row r="2755" spans="15:15">
      <c r="O2755" s="33"/>
    </row>
    <row r="2756" spans="15:15">
      <c r="O2756" s="33"/>
    </row>
    <row r="2757" spans="15:15">
      <c r="O2757" s="33"/>
    </row>
    <row r="2758" spans="15:15">
      <c r="O2758" s="33"/>
    </row>
    <row r="2759" spans="15:15">
      <c r="O2759" s="33"/>
    </row>
    <row r="2760" spans="15:15">
      <c r="O2760" s="33"/>
    </row>
    <row r="2761" spans="15:15">
      <c r="O2761" s="33"/>
    </row>
    <row r="2762" spans="15:15">
      <c r="O2762" s="33"/>
    </row>
    <row r="2763" spans="15:15">
      <c r="O2763" s="33"/>
    </row>
    <row r="2764" spans="15:15">
      <c r="O2764" s="33"/>
    </row>
    <row r="2765" spans="15:15">
      <c r="O2765" s="33"/>
    </row>
    <row r="2766" spans="15:15">
      <c r="O2766" s="33"/>
    </row>
    <row r="2767" spans="15:15">
      <c r="O2767" s="33"/>
    </row>
    <row r="2768" spans="15:15">
      <c r="O2768" s="33"/>
    </row>
    <row r="2769" spans="15:15">
      <c r="O2769" s="33"/>
    </row>
    <row r="2770" spans="15:15">
      <c r="O2770" s="33"/>
    </row>
    <row r="2771" spans="15:15">
      <c r="O2771" s="33"/>
    </row>
    <row r="2772" spans="15:15">
      <c r="O2772" s="33"/>
    </row>
    <row r="2773" spans="15:15">
      <c r="O2773" s="33"/>
    </row>
    <row r="2774" spans="15:15">
      <c r="O2774" s="33"/>
    </row>
    <row r="2775" spans="15:15">
      <c r="O2775" s="33"/>
    </row>
    <row r="2776" spans="15:15">
      <c r="O2776" s="33"/>
    </row>
    <row r="2777" spans="15:15">
      <c r="O2777" s="33"/>
    </row>
    <row r="2778" spans="15:15">
      <c r="O2778" s="33"/>
    </row>
    <row r="2779" spans="15:15">
      <c r="O2779" s="33"/>
    </row>
    <row r="2780" spans="15:15">
      <c r="O2780" s="33"/>
    </row>
    <row r="2781" spans="15:15">
      <c r="O2781" s="33"/>
    </row>
    <row r="2782" spans="15:15">
      <c r="O2782" s="33"/>
    </row>
    <row r="2783" spans="15:15">
      <c r="O2783" s="33"/>
    </row>
    <row r="2784" spans="15:15">
      <c r="O2784" s="33"/>
    </row>
    <row r="2785" spans="15:15">
      <c r="O2785" s="33"/>
    </row>
    <row r="2786" spans="15:15">
      <c r="O2786" s="33"/>
    </row>
    <row r="2787" spans="15:15">
      <c r="O2787" s="33"/>
    </row>
    <row r="2788" spans="15:15">
      <c r="O2788" s="33"/>
    </row>
    <row r="2789" spans="15:15">
      <c r="O2789" s="33"/>
    </row>
    <row r="2790" spans="15:15">
      <c r="O2790" s="33"/>
    </row>
    <row r="2791" spans="15:15">
      <c r="O2791" s="33"/>
    </row>
    <row r="2792" spans="15:15">
      <c r="O2792" s="33"/>
    </row>
    <row r="2793" spans="15:15">
      <c r="O2793" s="33"/>
    </row>
    <row r="2794" spans="15:15">
      <c r="O2794" s="33"/>
    </row>
    <row r="2795" spans="15:15">
      <c r="O2795" s="33"/>
    </row>
    <row r="2796" spans="15:15">
      <c r="O2796" s="33"/>
    </row>
    <row r="2797" spans="15:15">
      <c r="O2797" s="33"/>
    </row>
    <row r="2798" spans="15:15">
      <c r="O2798" s="33"/>
    </row>
    <row r="2799" spans="15:15">
      <c r="O2799" s="33"/>
    </row>
    <row r="2800" spans="15:15">
      <c r="O2800" s="33"/>
    </row>
    <row r="2801" spans="15:15">
      <c r="O2801" s="33"/>
    </row>
    <row r="2802" spans="15:15">
      <c r="O2802" s="33"/>
    </row>
    <row r="2803" spans="15:15">
      <c r="O2803" s="33"/>
    </row>
    <row r="2804" spans="15:15">
      <c r="O2804" s="33"/>
    </row>
    <row r="2805" spans="15:15">
      <c r="O2805" s="33"/>
    </row>
    <row r="2806" spans="15:15">
      <c r="O2806" s="33"/>
    </row>
    <row r="2807" spans="15:15">
      <c r="O2807" s="33"/>
    </row>
    <row r="2808" spans="15:15">
      <c r="O2808" s="33"/>
    </row>
    <row r="2809" spans="15:15">
      <c r="O2809" s="33"/>
    </row>
    <row r="2810" spans="15:15">
      <c r="O2810" s="33"/>
    </row>
    <row r="2811" spans="15:15">
      <c r="O2811" s="33"/>
    </row>
    <row r="2812" spans="15:15">
      <c r="O2812" s="33"/>
    </row>
    <row r="2813" spans="15:15">
      <c r="O2813" s="33"/>
    </row>
    <row r="2814" spans="15:15">
      <c r="O2814" s="33"/>
    </row>
    <row r="2815" spans="15:15">
      <c r="O2815" s="33"/>
    </row>
    <row r="2816" spans="15:15">
      <c r="O2816" s="33"/>
    </row>
    <row r="2817" spans="15:15">
      <c r="O2817" s="33"/>
    </row>
    <row r="2818" spans="15:15">
      <c r="O2818" s="33"/>
    </row>
    <row r="2819" spans="15:15">
      <c r="O2819" s="33"/>
    </row>
    <row r="2820" spans="15:15">
      <c r="O2820" s="33"/>
    </row>
    <row r="2821" spans="15:15">
      <c r="O2821" s="33"/>
    </row>
    <row r="2822" spans="15:15">
      <c r="O2822" s="33"/>
    </row>
    <row r="2823" spans="15:15">
      <c r="O2823" s="33"/>
    </row>
    <row r="2824" spans="15:15">
      <c r="O2824" s="33"/>
    </row>
    <row r="2825" spans="15:15">
      <c r="O2825" s="33"/>
    </row>
    <row r="2826" spans="15:15">
      <c r="O2826" s="33"/>
    </row>
    <row r="2827" spans="15:15">
      <c r="O2827" s="33"/>
    </row>
    <row r="2828" spans="15:15">
      <c r="O2828" s="33"/>
    </row>
    <row r="2829" spans="15:15">
      <c r="O2829" s="33"/>
    </row>
    <row r="2830" spans="15:15">
      <c r="O2830" s="33"/>
    </row>
    <row r="2831" spans="15:15">
      <c r="O2831" s="33"/>
    </row>
    <row r="2832" spans="15:15">
      <c r="O2832" s="33"/>
    </row>
    <row r="2833" spans="15:15">
      <c r="O2833" s="33"/>
    </row>
    <row r="2834" spans="15:15">
      <c r="O2834" s="33"/>
    </row>
    <row r="2835" spans="15:15">
      <c r="O2835" s="33"/>
    </row>
    <row r="2836" spans="15:15">
      <c r="O2836" s="33"/>
    </row>
    <row r="2837" spans="15:15">
      <c r="O2837" s="33"/>
    </row>
    <row r="2838" spans="15:15">
      <c r="O2838" s="33"/>
    </row>
    <row r="2839" spans="15:15">
      <c r="O2839" s="33"/>
    </row>
    <row r="2840" spans="15:15">
      <c r="O2840" s="33"/>
    </row>
    <row r="2841" spans="15:15">
      <c r="O2841" s="33"/>
    </row>
    <row r="2842" spans="15:15">
      <c r="O2842" s="33"/>
    </row>
    <row r="2843" spans="15:15">
      <c r="O2843" s="33"/>
    </row>
    <row r="2844" spans="15:15">
      <c r="O2844" s="33"/>
    </row>
    <row r="2845" spans="15:15">
      <c r="O2845" s="33"/>
    </row>
    <row r="2846" spans="15:15">
      <c r="O2846" s="33"/>
    </row>
    <row r="2847" spans="15:15">
      <c r="O2847" s="33"/>
    </row>
    <row r="2848" spans="15:15">
      <c r="O2848" s="33"/>
    </row>
    <row r="2849" spans="15:15">
      <c r="O2849" s="33"/>
    </row>
    <row r="2850" spans="15:15">
      <c r="O2850" s="33"/>
    </row>
    <row r="2851" spans="15:15">
      <c r="O2851" s="33"/>
    </row>
    <row r="2852" spans="15:15">
      <c r="O2852" s="33"/>
    </row>
    <row r="2853" spans="15:15">
      <c r="O2853" s="33"/>
    </row>
    <row r="2854" spans="15:15">
      <c r="O2854" s="33"/>
    </row>
    <row r="2855" spans="15:15">
      <c r="O2855" s="33"/>
    </row>
    <row r="2856" spans="15:15">
      <c r="O2856" s="33"/>
    </row>
    <row r="2857" spans="15:15">
      <c r="O2857" s="33"/>
    </row>
    <row r="2858" spans="15:15">
      <c r="O2858" s="33"/>
    </row>
    <row r="2859" spans="15:15">
      <c r="O2859" s="33"/>
    </row>
    <row r="2860" spans="15:15">
      <c r="O2860" s="33"/>
    </row>
    <row r="2861" spans="15:15">
      <c r="O2861" s="33"/>
    </row>
    <row r="2862" spans="15:15">
      <c r="O2862" s="33"/>
    </row>
    <row r="2863" spans="15:15">
      <c r="O2863" s="33"/>
    </row>
    <row r="2864" spans="15:15">
      <c r="O2864" s="33"/>
    </row>
    <row r="2865" spans="15:15">
      <c r="O2865" s="33"/>
    </row>
    <row r="2866" spans="15:15">
      <c r="O2866" s="33"/>
    </row>
    <row r="2867" spans="15:15">
      <c r="O2867" s="33"/>
    </row>
    <row r="2868" spans="15:15">
      <c r="O2868" s="33"/>
    </row>
    <row r="2869" spans="15:15">
      <c r="O2869" s="33"/>
    </row>
    <row r="2870" spans="15:15">
      <c r="O2870" s="33"/>
    </row>
    <row r="2871" spans="15:15">
      <c r="O2871" s="33"/>
    </row>
    <row r="2872" spans="15:15">
      <c r="O2872" s="33"/>
    </row>
    <row r="2873" spans="15:15">
      <c r="O2873" s="33"/>
    </row>
    <row r="2874" spans="15:15">
      <c r="O2874" s="33"/>
    </row>
    <row r="2875" spans="15:15">
      <c r="O2875" s="33"/>
    </row>
    <row r="2876" spans="15:15">
      <c r="O2876" s="33"/>
    </row>
    <row r="2877" spans="15:15">
      <c r="O2877" s="33"/>
    </row>
    <row r="2878" spans="15:15">
      <c r="O2878" s="33"/>
    </row>
    <row r="2879" spans="15:15">
      <c r="O2879" s="33"/>
    </row>
    <row r="2880" spans="15:15">
      <c r="O2880" s="33"/>
    </row>
    <row r="2881" spans="15:15">
      <c r="O2881" s="33"/>
    </row>
    <row r="2882" spans="15:15">
      <c r="O2882" s="33"/>
    </row>
    <row r="2883" spans="15:15">
      <c r="O2883" s="33"/>
    </row>
    <row r="2884" spans="15:15">
      <c r="O2884" s="33"/>
    </row>
    <row r="2885" spans="15:15">
      <c r="O2885" s="33"/>
    </row>
    <row r="2886" spans="15:15">
      <c r="O2886" s="33"/>
    </row>
    <row r="2887" spans="15:15">
      <c r="O2887" s="33"/>
    </row>
    <row r="2888" spans="15:15">
      <c r="O2888" s="33"/>
    </row>
    <row r="2889" spans="15:15">
      <c r="O2889" s="33"/>
    </row>
    <row r="2890" spans="15:15">
      <c r="O2890" s="33"/>
    </row>
    <row r="2891" spans="15:15">
      <c r="O2891" s="33"/>
    </row>
    <row r="2892" spans="15:15">
      <c r="O2892" s="33"/>
    </row>
    <row r="2893" spans="15:15">
      <c r="O2893" s="33"/>
    </row>
    <row r="2894" spans="15:15">
      <c r="O2894" s="33"/>
    </row>
    <row r="2895" spans="15:15">
      <c r="O2895" s="33"/>
    </row>
    <row r="2896" spans="15:15">
      <c r="O2896" s="33"/>
    </row>
    <row r="2897" spans="15:15">
      <c r="O2897" s="33"/>
    </row>
    <row r="2898" spans="15:15">
      <c r="O2898" s="33"/>
    </row>
    <row r="2899" spans="15:15">
      <c r="O2899" s="33"/>
    </row>
    <row r="2900" spans="15:15">
      <c r="O2900" s="33"/>
    </row>
    <row r="2901" spans="15:15">
      <c r="O2901" s="33"/>
    </row>
    <row r="2902" spans="15:15">
      <c r="O2902" s="33"/>
    </row>
    <row r="2903" spans="15:15">
      <c r="O2903" s="33"/>
    </row>
    <row r="2904" spans="15:15">
      <c r="O2904" s="33"/>
    </row>
    <row r="2905" spans="15:15">
      <c r="O2905" s="33"/>
    </row>
    <row r="2906" spans="15:15">
      <c r="O2906" s="33"/>
    </row>
    <row r="2907" spans="15:15">
      <c r="O2907" s="33"/>
    </row>
    <row r="2908" spans="15:15">
      <c r="O2908" s="33"/>
    </row>
    <row r="2909" spans="15:15">
      <c r="O2909" s="33"/>
    </row>
    <row r="2910" spans="15:15">
      <c r="O2910" s="33"/>
    </row>
    <row r="2911" spans="15:15">
      <c r="O2911" s="33"/>
    </row>
    <row r="2912" spans="15:15">
      <c r="O2912" s="33"/>
    </row>
    <row r="2913" spans="15:15">
      <c r="O2913" s="33"/>
    </row>
    <row r="2914" spans="15:15">
      <c r="O2914" s="33"/>
    </row>
    <row r="2915" spans="15:15">
      <c r="O2915" s="33"/>
    </row>
    <row r="2916" spans="15:15">
      <c r="O2916" s="33"/>
    </row>
    <row r="2917" spans="15:15">
      <c r="O2917" s="33"/>
    </row>
    <row r="2918" spans="15:15">
      <c r="O2918" s="33"/>
    </row>
    <row r="2919" spans="15:15">
      <c r="O2919" s="33"/>
    </row>
    <row r="2920" spans="15:15">
      <c r="O2920" s="33"/>
    </row>
    <row r="2921" spans="15:15">
      <c r="O2921" s="33"/>
    </row>
    <row r="2922" spans="15:15">
      <c r="O2922" s="33"/>
    </row>
    <row r="2923" spans="15:15">
      <c r="O2923" s="33"/>
    </row>
    <row r="2924" spans="15:15">
      <c r="O2924" s="33"/>
    </row>
    <row r="2925" spans="15:15">
      <c r="O2925" s="33"/>
    </row>
    <row r="2926" spans="15:15">
      <c r="O2926" s="33"/>
    </row>
    <row r="2927" spans="15:15">
      <c r="O2927" s="33"/>
    </row>
    <row r="2928" spans="15:15">
      <c r="O2928" s="33"/>
    </row>
    <row r="2929" spans="15:15">
      <c r="O2929" s="33"/>
    </row>
    <row r="2930" spans="15:15">
      <c r="O2930" s="33"/>
    </row>
    <row r="2931" spans="15:15">
      <c r="O2931" s="33"/>
    </row>
    <row r="2932" spans="15:15">
      <c r="O2932" s="33"/>
    </row>
    <row r="2933" spans="15:15">
      <c r="O2933" s="33"/>
    </row>
    <row r="2934" spans="15:15">
      <c r="O2934" s="33"/>
    </row>
    <row r="2935" spans="15:15">
      <c r="O2935" s="33"/>
    </row>
    <row r="2936" spans="15:15">
      <c r="O2936" s="33"/>
    </row>
    <row r="2937" spans="15:15">
      <c r="O2937" s="33"/>
    </row>
    <row r="2938" spans="15:15">
      <c r="O2938" s="33"/>
    </row>
    <row r="2939" spans="15:15">
      <c r="O2939" s="33"/>
    </row>
    <row r="2940" spans="15:15">
      <c r="O2940" s="33"/>
    </row>
    <row r="2941" spans="15:15">
      <c r="O2941" s="33"/>
    </row>
    <row r="2942" spans="15:15">
      <c r="O2942" s="33"/>
    </row>
    <row r="2943" spans="15:15">
      <c r="O2943" s="33"/>
    </row>
    <row r="2944" spans="15:15">
      <c r="O2944" s="33"/>
    </row>
    <row r="2945" spans="15:15">
      <c r="O2945" s="33"/>
    </row>
    <row r="2946" spans="15:15">
      <c r="O2946" s="33"/>
    </row>
    <row r="2947" spans="15:15">
      <c r="O2947" s="33"/>
    </row>
    <row r="2948" spans="15:15">
      <c r="O2948" s="33"/>
    </row>
    <row r="2949" spans="15:15">
      <c r="O2949" s="33"/>
    </row>
    <row r="2950" spans="15:15">
      <c r="O2950" s="33"/>
    </row>
    <row r="2951" spans="15:15">
      <c r="O2951" s="33"/>
    </row>
    <row r="2952" spans="15:15">
      <c r="O2952" s="33"/>
    </row>
    <row r="2953" spans="15:15">
      <c r="O2953" s="33"/>
    </row>
    <row r="2954" spans="15:15">
      <c r="O2954" s="33"/>
    </row>
    <row r="2955" spans="15:15">
      <c r="O2955" s="33"/>
    </row>
    <row r="2956" spans="15:15">
      <c r="O2956" s="33"/>
    </row>
    <row r="2957" spans="15:15">
      <c r="O2957" s="33"/>
    </row>
    <row r="2958" spans="15:15">
      <c r="O2958" s="33"/>
    </row>
    <row r="2959" spans="15:15">
      <c r="O2959" s="33"/>
    </row>
    <row r="2960" spans="15:15">
      <c r="O2960" s="33"/>
    </row>
    <row r="2961" spans="15:15">
      <c r="O2961" s="33"/>
    </row>
    <row r="2962" spans="15:15">
      <c r="O2962" s="33"/>
    </row>
    <row r="2963" spans="15:15">
      <c r="O2963" s="33"/>
    </row>
    <row r="2964" spans="15:15">
      <c r="O2964" s="33"/>
    </row>
    <row r="2965" spans="15:15">
      <c r="O2965" s="33"/>
    </row>
    <row r="2966" spans="15:15">
      <c r="O2966" s="33"/>
    </row>
    <row r="2967" spans="15:15">
      <c r="O2967" s="33"/>
    </row>
    <row r="2968" spans="15:15">
      <c r="O2968" s="33"/>
    </row>
    <row r="2969" spans="15:15">
      <c r="O2969" s="33"/>
    </row>
    <row r="2970" spans="15:15">
      <c r="O2970" s="33"/>
    </row>
    <row r="2971" spans="15:15">
      <c r="O2971" s="33"/>
    </row>
    <row r="2972" spans="15:15">
      <c r="O2972" s="33"/>
    </row>
    <row r="2973" spans="15:15">
      <c r="O2973" s="33"/>
    </row>
    <row r="2974" spans="15:15">
      <c r="O2974" s="33"/>
    </row>
    <row r="2975" spans="15:15">
      <c r="O2975" s="33"/>
    </row>
    <row r="2976" spans="15:15">
      <c r="O2976" s="33"/>
    </row>
    <row r="2977" spans="15:15">
      <c r="O2977" s="33"/>
    </row>
    <row r="2978" spans="15:15">
      <c r="O2978" s="33"/>
    </row>
    <row r="2979" spans="15:15">
      <c r="O2979" s="33"/>
    </row>
    <row r="2980" spans="15:15">
      <c r="O2980" s="33"/>
    </row>
    <row r="2981" spans="15:15">
      <c r="O2981" s="33"/>
    </row>
    <row r="2982" spans="15:15">
      <c r="O2982" s="33"/>
    </row>
    <row r="2983" spans="15:15">
      <c r="O2983" s="33"/>
    </row>
    <row r="2984" spans="15:15">
      <c r="O2984" s="33"/>
    </row>
    <row r="2985" spans="15:15">
      <c r="O2985" s="33"/>
    </row>
    <row r="2986" spans="15:15">
      <c r="O2986" s="33"/>
    </row>
    <row r="2987" spans="15:15">
      <c r="O2987" s="33"/>
    </row>
    <row r="2988" spans="15:15">
      <c r="O2988" s="33"/>
    </row>
    <row r="2989" spans="15:15">
      <c r="O2989" s="33"/>
    </row>
    <row r="2990" spans="15:15">
      <c r="O2990" s="33"/>
    </row>
    <row r="2991" spans="15:15">
      <c r="O2991" s="33"/>
    </row>
    <row r="2992" spans="15:15">
      <c r="O2992" s="33"/>
    </row>
    <row r="2993" spans="15:15">
      <c r="O2993" s="33"/>
    </row>
    <row r="2994" spans="15:15">
      <c r="O2994" s="33"/>
    </row>
    <row r="2995" spans="15:15">
      <c r="O2995" s="33"/>
    </row>
    <row r="2996" spans="15:15">
      <c r="O2996" s="33"/>
    </row>
    <row r="2997" spans="15:15">
      <c r="O2997" s="33"/>
    </row>
    <row r="2998" spans="15:15">
      <c r="O2998" s="33"/>
    </row>
    <row r="2999" spans="15:15">
      <c r="O2999" s="33"/>
    </row>
    <row r="3000" spans="15:15">
      <c r="O3000" s="33"/>
    </row>
    <row r="3001" spans="15:15">
      <c r="O3001" s="33"/>
    </row>
    <row r="3002" spans="15:15">
      <c r="O3002" s="33"/>
    </row>
    <row r="3003" spans="15:15">
      <c r="O3003" s="33"/>
    </row>
    <row r="3004" spans="15:15">
      <c r="O3004" s="33"/>
    </row>
    <row r="3005" spans="15:15">
      <c r="O3005" s="33"/>
    </row>
    <row r="3006" spans="15:15">
      <c r="O3006" s="33"/>
    </row>
    <row r="3007" spans="15:15">
      <c r="O3007" s="33"/>
    </row>
    <row r="3008" spans="15:15">
      <c r="O3008" s="33"/>
    </row>
    <row r="3009" spans="15:15">
      <c r="O3009" s="33"/>
    </row>
    <row r="3010" spans="15:15">
      <c r="O3010" s="33"/>
    </row>
    <row r="3011" spans="15:15">
      <c r="O3011" s="33"/>
    </row>
    <row r="3012" spans="15:15">
      <c r="O3012" s="33"/>
    </row>
    <row r="3013" spans="15:15">
      <c r="O3013" s="33"/>
    </row>
    <row r="3014" spans="15:15">
      <c r="O3014" s="33"/>
    </row>
    <row r="3015" spans="15:15">
      <c r="O3015" s="33"/>
    </row>
    <row r="3016" spans="15:15">
      <c r="O3016" s="33"/>
    </row>
    <row r="3017" spans="15:15">
      <c r="O3017" s="33"/>
    </row>
    <row r="3018" spans="15:15">
      <c r="O3018" s="33"/>
    </row>
    <row r="3019" spans="15:15">
      <c r="O3019" s="33"/>
    </row>
    <row r="3020" spans="15:15">
      <c r="O3020" s="33"/>
    </row>
    <row r="3021" spans="15:15">
      <c r="O3021" s="33"/>
    </row>
    <row r="3022" spans="15:15">
      <c r="O3022" s="33"/>
    </row>
    <row r="3023" spans="15:15">
      <c r="O3023" s="33"/>
    </row>
    <row r="3024" spans="15:15">
      <c r="O3024" s="33"/>
    </row>
    <row r="3025" spans="15:15">
      <c r="O3025" s="33"/>
    </row>
    <row r="3026" spans="15:15">
      <c r="O3026" s="33"/>
    </row>
    <row r="3027" spans="15:15">
      <c r="O3027" s="33"/>
    </row>
    <row r="3028" spans="15:15">
      <c r="O3028" s="33"/>
    </row>
    <row r="3029" spans="15:15">
      <c r="O3029" s="33"/>
    </row>
    <row r="3030" spans="15:15">
      <c r="O3030" s="33"/>
    </row>
    <row r="3031" spans="15:15">
      <c r="O3031" s="33"/>
    </row>
    <row r="3032" spans="15:15">
      <c r="O3032" s="33"/>
    </row>
    <row r="3033" spans="15:15">
      <c r="O3033" s="33"/>
    </row>
    <row r="3034" spans="15:15">
      <c r="O3034" s="33"/>
    </row>
    <row r="3035" spans="15:15">
      <c r="O3035" s="33"/>
    </row>
    <row r="3036" spans="15:15">
      <c r="O3036" s="33"/>
    </row>
    <row r="3037" spans="15:15">
      <c r="O3037" s="33"/>
    </row>
    <row r="3038" spans="15:15">
      <c r="O3038" s="33"/>
    </row>
    <row r="3039" spans="15:15">
      <c r="O3039" s="33"/>
    </row>
    <row r="3040" spans="15:15">
      <c r="O3040" s="33"/>
    </row>
    <row r="3041" spans="15:15">
      <c r="O3041" s="33"/>
    </row>
    <row r="3042" spans="15:15">
      <c r="O3042" s="33"/>
    </row>
    <row r="3043" spans="15:15">
      <c r="O3043" s="33"/>
    </row>
    <row r="3044" spans="15:15">
      <c r="O3044" s="33"/>
    </row>
    <row r="3045" spans="15:15">
      <c r="O3045" s="33"/>
    </row>
    <row r="3046" spans="15:15">
      <c r="O3046" s="33"/>
    </row>
    <row r="3047" spans="15:15">
      <c r="O3047" s="33"/>
    </row>
    <row r="3048" spans="15:15">
      <c r="O3048" s="33"/>
    </row>
    <row r="3049" spans="15:15">
      <c r="O3049" s="33"/>
    </row>
    <row r="3050" spans="15:15">
      <c r="O3050" s="33"/>
    </row>
    <row r="3051" spans="15:15">
      <c r="O3051" s="33"/>
    </row>
    <row r="3052" spans="15:15">
      <c r="O3052" s="33"/>
    </row>
    <row r="3053" spans="15:15">
      <c r="O3053" s="33"/>
    </row>
    <row r="3054" spans="15:15">
      <c r="O3054" s="33"/>
    </row>
    <row r="3055" spans="15:15">
      <c r="O3055" s="33"/>
    </row>
    <row r="3056" spans="15:15">
      <c r="O3056" s="33"/>
    </row>
    <row r="3057" spans="15:15">
      <c r="O3057" s="33"/>
    </row>
    <row r="3058" spans="15:15">
      <c r="O3058" s="33"/>
    </row>
    <row r="3059" spans="15:15">
      <c r="O3059" s="33"/>
    </row>
    <row r="3060" spans="15:15">
      <c r="O3060" s="33"/>
    </row>
    <row r="3061" spans="15:15">
      <c r="O3061" s="33"/>
    </row>
    <row r="3062" spans="15:15">
      <c r="O3062" s="33"/>
    </row>
    <row r="3063" spans="15:15">
      <c r="O3063" s="33"/>
    </row>
    <row r="3064" spans="15:15">
      <c r="O3064" s="33"/>
    </row>
    <row r="3065" spans="15:15">
      <c r="O3065" s="33"/>
    </row>
    <row r="3066" spans="15:15">
      <c r="O3066" s="33"/>
    </row>
    <row r="3067" spans="15:15">
      <c r="O3067" s="33"/>
    </row>
    <row r="3068" spans="15:15">
      <c r="O3068" s="33"/>
    </row>
    <row r="3069" spans="15:15">
      <c r="O3069" s="33"/>
    </row>
    <row r="3070" spans="15:15">
      <c r="O3070" s="33"/>
    </row>
    <row r="3071" spans="15:15">
      <c r="O3071" s="33"/>
    </row>
    <row r="3072" spans="15:15">
      <c r="O3072" s="3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5B483-4DC7-411D-846E-BF644F281F94}">
  <dimension ref="A2:AA31"/>
  <sheetViews>
    <sheetView zoomScale="85" zoomScaleNormal="85" workbookViewId="0">
      <selection activeCell="J18" sqref="J18"/>
    </sheetView>
  </sheetViews>
  <sheetFormatPr defaultRowHeight="15.75"/>
  <cols>
    <col min="2" max="2" width="9.5" bestFit="1" customWidth="1"/>
    <col min="12" max="12" width="10.25" bestFit="1" customWidth="1"/>
  </cols>
  <sheetData>
    <row r="2" spans="1:27">
      <c r="B2" s="34" t="s">
        <v>187</v>
      </c>
    </row>
    <row r="3" spans="1:27">
      <c r="A3" t="s">
        <v>194</v>
      </c>
      <c r="B3" s="1" t="s">
        <v>186</v>
      </c>
    </row>
    <row r="4" spans="1:27">
      <c r="C4" t="s">
        <v>16</v>
      </c>
      <c r="D4" t="s">
        <v>184</v>
      </c>
      <c r="E4" t="s">
        <v>185</v>
      </c>
      <c r="F4" t="s">
        <v>17</v>
      </c>
      <c r="G4" t="s">
        <v>20</v>
      </c>
      <c r="H4" t="s">
        <v>24</v>
      </c>
    </row>
    <row r="5" spans="1:27">
      <c r="B5" t="s">
        <v>172</v>
      </c>
      <c r="C5">
        <v>725</v>
      </c>
      <c r="D5">
        <v>504</v>
      </c>
      <c r="E5">
        <v>544</v>
      </c>
      <c r="F5">
        <v>369</v>
      </c>
      <c r="G5">
        <v>618</v>
      </c>
      <c r="H5">
        <v>665</v>
      </c>
    </row>
    <row r="6" spans="1:27">
      <c r="B6" t="s">
        <v>173</v>
      </c>
      <c r="C6">
        <v>713</v>
      </c>
      <c r="D6">
        <v>497</v>
      </c>
      <c r="E6">
        <v>532</v>
      </c>
      <c r="F6">
        <v>359</v>
      </c>
      <c r="G6">
        <v>600</v>
      </c>
      <c r="H6">
        <v>656</v>
      </c>
      <c r="M6" s="32" t="s">
        <v>216</v>
      </c>
    </row>
    <row r="7" spans="1:27">
      <c r="B7" t="s">
        <v>174</v>
      </c>
      <c r="C7">
        <v>720</v>
      </c>
      <c r="D7">
        <v>514</v>
      </c>
      <c r="E7">
        <v>533</v>
      </c>
      <c r="F7">
        <v>393</v>
      </c>
      <c r="G7">
        <v>612</v>
      </c>
      <c r="H7">
        <v>666</v>
      </c>
      <c r="M7" t="s">
        <v>134</v>
      </c>
      <c r="N7" t="s">
        <v>135</v>
      </c>
      <c r="O7" t="s">
        <v>136</v>
      </c>
      <c r="P7" t="s">
        <v>137</v>
      </c>
      <c r="Q7" t="s">
        <v>138</v>
      </c>
      <c r="R7" t="s">
        <v>139</v>
      </c>
      <c r="S7" t="s">
        <v>140</v>
      </c>
      <c r="T7" t="s">
        <v>141</v>
      </c>
      <c r="U7" t="s">
        <v>142</v>
      </c>
      <c r="V7" t="s">
        <v>143</v>
      </c>
      <c r="W7" t="s">
        <v>144</v>
      </c>
      <c r="X7" t="s">
        <v>145</v>
      </c>
      <c r="Y7" t="s">
        <v>146</v>
      </c>
      <c r="Z7" t="s">
        <v>148</v>
      </c>
      <c r="AA7" t="s">
        <v>147</v>
      </c>
    </row>
    <row r="8" spans="1:27">
      <c r="B8" t="s">
        <v>175</v>
      </c>
      <c r="C8">
        <v>700</v>
      </c>
      <c r="D8">
        <v>527</v>
      </c>
      <c r="E8">
        <v>544</v>
      </c>
      <c r="F8">
        <v>371</v>
      </c>
      <c r="G8">
        <v>602</v>
      </c>
      <c r="H8">
        <v>624</v>
      </c>
      <c r="J8" s="2">
        <f t="array" ref="J8:J13">TRANSPOSE(C18:H18)</f>
        <v>717.83333333333337</v>
      </c>
      <c r="K8" t="s">
        <v>3</v>
      </c>
      <c r="L8" t="str">
        <f t="array" ref="L8:L13">TRANSPOSE(C4:H4)</f>
        <v>Teff</v>
      </c>
      <c r="M8" s="2">
        <f>$J8</f>
        <v>717.83333333333337</v>
      </c>
      <c r="N8" s="2">
        <f t="shared" ref="N8:AA23" si="0">$J8</f>
        <v>717.83333333333337</v>
      </c>
      <c r="O8" s="2">
        <f t="shared" si="0"/>
        <v>717.83333333333337</v>
      </c>
      <c r="P8" s="2">
        <f t="shared" si="0"/>
        <v>717.83333333333337</v>
      </c>
      <c r="Q8" s="2">
        <f t="shared" si="0"/>
        <v>717.83333333333337</v>
      </c>
      <c r="R8" s="2">
        <f t="shared" si="0"/>
        <v>717.83333333333337</v>
      </c>
      <c r="S8" s="2">
        <f t="shared" si="0"/>
        <v>717.83333333333337</v>
      </c>
      <c r="T8" s="2">
        <f t="shared" si="0"/>
        <v>717.83333333333337</v>
      </c>
      <c r="U8" s="2">
        <f t="shared" si="0"/>
        <v>717.83333333333337</v>
      </c>
      <c r="V8" s="2">
        <f t="shared" si="0"/>
        <v>717.83333333333337</v>
      </c>
      <c r="W8" s="2">
        <f t="shared" si="0"/>
        <v>717.83333333333337</v>
      </c>
      <c r="X8" s="2">
        <f t="shared" si="0"/>
        <v>717.83333333333337</v>
      </c>
      <c r="Y8" s="2">
        <f t="shared" si="0"/>
        <v>717.83333333333337</v>
      </c>
      <c r="Z8" s="2">
        <f t="shared" si="0"/>
        <v>717.83333333333337</v>
      </c>
      <c r="AA8" s="2">
        <f t="shared" si="0"/>
        <v>717.83333333333337</v>
      </c>
    </row>
    <row r="9" spans="1:27">
      <c r="B9" t="s">
        <v>176</v>
      </c>
      <c r="C9">
        <v>730</v>
      </c>
      <c r="D9">
        <v>523</v>
      </c>
      <c r="E9">
        <v>538</v>
      </c>
      <c r="F9">
        <v>370</v>
      </c>
      <c r="G9">
        <v>595</v>
      </c>
      <c r="H9">
        <v>667</v>
      </c>
      <c r="J9" s="2">
        <v>521</v>
      </c>
      <c r="K9" t="s">
        <v>3</v>
      </c>
      <c r="L9" t="str">
        <v>Wheat</v>
      </c>
      <c r="M9" s="2">
        <f t="shared" ref="M9:AA27" si="1">$J9</f>
        <v>521</v>
      </c>
      <c r="N9" s="2">
        <f t="shared" si="0"/>
        <v>521</v>
      </c>
      <c r="O9" s="2">
        <f t="shared" si="0"/>
        <v>521</v>
      </c>
      <c r="P9" s="2">
        <f t="shared" si="0"/>
        <v>521</v>
      </c>
      <c r="Q9" s="2">
        <f t="shared" si="0"/>
        <v>521</v>
      </c>
      <c r="R9" s="2">
        <f t="shared" si="0"/>
        <v>521</v>
      </c>
      <c r="S9" s="2">
        <f t="shared" si="0"/>
        <v>521</v>
      </c>
      <c r="T9" s="2">
        <f t="shared" si="0"/>
        <v>521</v>
      </c>
      <c r="U9" s="2">
        <f t="shared" si="0"/>
        <v>521</v>
      </c>
      <c r="V9" s="2">
        <f t="shared" si="0"/>
        <v>521</v>
      </c>
      <c r="W9" s="2">
        <f t="shared" si="0"/>
        <v>521</v>
      </c>
      <c r="X9" s="2">
        <f t="shared" si="0"/>
        <v>521</v>
      </c>
      <c r="Y9" s="2">
        <f t="shared" si="0"/>
        <v>521</v>
      </c>
      <c r="Z9" s="2">
        <f t="shared" si="0"/>
        <v>521</v>
      </c>
      <c r="AA9" s="2">
        <f t="shared" si="0"/>
        <v>521</v>
      </c>
    </row>
    <row r="10" spans="1:27">
      <c r="B10" t="s">
        <v>177</v>
      </c>
      <c r="C10">
        <v>719</v>
      </c>
      <c r="D10">
        <v>561</v>
      </c>
      <c r="E10">
        <v>569</v>
      </c>
      <c r="F10">
        <v>380</v>
      </c>
      <c r="G10">
        <v>603</v>
      </c>
      <c r="H10">
        <v>670</v>
      </c>
      <c r="J10" s="2">
        <v>543.33333333333337</v>
      </c>
      <c r="K10" t="s">
        <v>3</v>
      </c>
      <c r="L10" t="str">
        <v>Barley</v>
      </c>
      <c r="M10" s="2">
        <f t="shared" si="1"/>
        <v>543.33333333333337</v>
      </c>
      <c r="N10" s="2">
        <f t="shared" si="0"/>
        <v>543.33333333333337</v>
      </c>
      <c r="O10" s="2">
        <f t="shared" si="0"/>
        <v>543.33333333333337</v>
      </c>
      <c r="P10" s="2">
        <f t="shared" si="0"/>
        <v>543.33333333333337</v>
      </c>
      <c r="Q10" s="2">
        <f t="shared" si="0"/>
        <v>543.33333333333337</v>
      </c>
      <c r="R10" s="2">
        <f t="shared" si="0"/>
        <v>543.33333333333337</v>
      </c>
      <c r="S10" s="2">
        <f t="shared" si="0"/>
        <v>543.33333333333337</v>
      </c>
      <c r="T10" s="2">
        <f t="shared" si="0"/>
        <v>543.33333333333337</v>
      </c>
      <c r="U10" s="2">
        <f t="shared" si="0"/>
        <v>543.33333333333337</v>
      </c>
      <c r="V10" s="2">
        <f t="shared" si="0"/>
        <v>543.33333333333337</v>
      </c>
      <c r="W10" s="2">
        <f t="shared" si="0"/>
        <v>543.33333333333337</v>
      </c>
      <c r="X10" s="2">
        <f t="shared" si="0"/>
        <v>543.33333333333337</v>
      </c>
      <c r="Y10" s="2">
        <f t="shared" si="0"/>
        <v>543.33333333333337</v>
      </c>
      <c r="Z10" s="2">
        <f t="shared" si="0"/>
        <v>543.33333333333337</v>
      </c>
      <c r="AA10" s="2">
        <f t="shared" si="0"/>
        <v>543.33333333333337</v>
      </c>
    </row>
    <row r="11" spans="1:27">
      <c r="B11" t="s">
        <v>178</v>
      </c>
      <c r="C11">
        <v>719</v>
      </c>
      <c r="D11">
        <v>583</v>
      </c>
      <c r="E11">
        <v>592</v>
      </c>
      <c r="F11">
        <v>383</v>
      </c>
      <c r="G11">
        <v>593</v>
      </c>
      <c r="H11">
        <v>666</v>
      </c>
      <c r="J11" s="2">
        <v>373.66666666666669</v>
      </c>
      <c r="K11" t="s">
        <v>3</v>
      </c>
      <c r="L11" t="str">
        <v>Maize</v>
      </c>
      <c r="M11" s="2">
        <f t="shared" si="1"/>
        <v>373.66666666666669</v>
      </c>
      <c r="N11" s="2">
        <f t="shared" si="0"/>
        <v>373.66666666666669</v>
      </c>
      <c r="O11" s="2">
        <f t="shared" si="0"/>
        <v>373.66666666666669</v>
      </c>
      <c r="P11" s="2">
        <f t="shared" si="0"/>
        <v>373.66666666666669</v>
      </c>
      <c r="Q11" s="2">
        <f t="shared" si="0"/>
        <v>373.66666666666669</v>
      </c>
      <c r="R11" s="2">
        <f t="shared" si="0"/>
        <v>373.66666666666669</v>
      </c>
      <c r="S11" s="2">
        <f t="shared" si="0"/>
        <v>373.66666666666669</v>
      </c>
      <c r="T11" s="2">
        <f t="shared" si="0"/>
        <v>373.66666666666669</v>
      </c>
      <c r="U11" s="2">
        <f t="shared" si="0"/>
        <v>373.66666666666669</v>
      </c>
      <c r="V11" s="2">
        <f t="shared" si="0"/>
        <v>373.66666666666669</v>
      </c>
      <c r="W11" s="2">
        <f t="shared" si="0"/>
        <v>373.66666666666669</v>
      </c>
      <c r="X11" s="2">
        <f t="shared" si="0"/>
        <v>373.66666666666669</v>
      </c>
      <c r="Y11" s="2">
        <f t="shared" si="0"/>
        <v>373.66666666666669</v>
      </c>
      <c r="Z11" s="2">
        <f t="shared" si="0"/>
        <v>373.66666666666669</v>
      </c>
      <c r="AA11" s="2">
        <f t="shared" si="0"/>
        <v>373.66666666666669</v>
      </c>
    </row>
    <row r="12" spans="1:27">
      <c r="B12" t="s">
        <v>179</v>
      </c>
      <c r="C12">
        <v>729</v>
      </c>
      <c r="D12">
        <v>590</v>
      </c>
      <c r="E12">
        <v>596</v>
      </c>
      <c r="F12">
        <v>383</v>
      </c>
      <c r="G12">
        <v>595</v>
      </c>
      <c r="H12">
        <v>670</v>
      </c>
      <c r="J12" s="2">
        <v>605</v>
      </c>
      <c r="K12" t="s">
        <v>3</v>
      </c>
      <c r="L12" t="str">
        <v>Sorghum</v>
      </c>
      <c r="M12" s="2">
        <f t="shared" si="1"/>
        <v>605</v>
      </c>
      <c r="N12" s="2">
        <f t="shared" si="0"/>
        <v>605</v>
      </c>
      <c r="O12" s="2">
        <f t="shared" si="0"/>
        <v>605</v>
      </c>
      <c r="P12" s="2">
        <f t="shared" si="0"/>
        <v>605</v>
      </c>
      <c r="Q12" s="2">
        <f t="shared" si="0"/>
        <v>605</v>
      </c>
      <c r="R12" s="2">
        <f t="shared" si="0"/>
        <v>605</v>
      </c>
      <c r="S12" s="2">
        <f t="shared" si="0"/>
        <v>605</v>
      </c>
      <c r="T12" s="2">
        <f t="shared" si="0"/>
        <v>605</v>
      </c>
      <c r="U12" s="2">
        <f t="shared" si="0"/>
        <v>605</v>
      </c>
      <c r="V12" s="2">
        <f t="shared" si="0"/>
        <v>605</v>
      </c>
      <c r="W12" s="2">
        <f t="shared" si="0"/>
        <v>605</v>
      </c>
      <c r="X12" s="2">
        <f t="shared" si="0"/>
        <v>605</v>
      </c>
      <c r="Y12" s="2">
        <f t="shared" si="0"/>
        <v>605</v>
      </c>
      <c r="Z12" s="2">
        <f t="shared" si="0"/>
        <v>605</v>
      </c>
      <c r="AA12" s="2">
        <f t="shared" si="0"/>
        <v>605</v>
      </c>
    </row>
    <row r="13" spans="1:27">
      <c r="B13" t="s">
        <v>180</v>
      </c>
      <c r="C13">
        <v>730</v>
      </c>
      <c r="D13">
        <v>604</v>
      </c>
      <c r="E13">
        <v>631</v>
      </c>
      <c r="F13">
        <v>384</v>
      </c>
      <c r="G13">
        <v>608</v>
      </c>
      <c r="H13">
        <v>670</v>
      </c>
      <c r="J13" s="2">
        <v>658</v>
      </c>
      <c r="K13" t="s">
        <v>3</v>
      </c>
      <c r="L13" t="str">
        <v>Lentils</v>
      </c>
      <c r="M13" s="2">
        <f t="shared" si="1"/>
        <v>658</v>
      </c>
      <c r="N13" s="2">
        <f t="shared" si="0"/>
        <v>658</v>
      </c>
      <c r="O13" s="2">
        <f t="shared" si="0"/>
        <v>658</v>
      </c>
      <c r="P13" s="2">
        <f t="shared" si="0"/>
        <v>658</v>
      </c>
      <c r="Q13" s="2">
        <f t="shared" si="0"/>
        <v>658</v>
      </c>
      <c r="R13" s="2">
        <f t="shared" si="0"/>
        <v>658</v>
      </c>
      <c r="S13" s="2">
        <f t="shared" si="0"/>
        <v>658</v>
      </c>
      <c r="T13" s="2">
        <f t="shared" si="0"/>
        <v>658</v>
      </c>
      <c r="U13" s="2">
        <f t="shared" si="0"/>
        <v>658</v>
      </c>
      <c r="V13" s="2">
        <f t="shared" si="0"/>
        <v>658</v>
      </c>
      <c r="W13" s="2">
        <f t="shared" si="0"/>
        <v>658</v>
      </c>
      <c r="X13" s="2">
        <f t="shared" si="0"/>
        <v>658</v>
      </c>
      <c r="Y13" s="2">
        <f t="shared" si="0"/>
        <v>658</v>
      </c>
      <c r="Z13" s="2">
        <f t="shared" si="0"/>
        <v>658</v>
      </c>
      <c r="AA13" s="2">
        <f t="shared" si="0"/>
        <v>658</v>
      </c>
    </row>
    <row r="14" spans="1:27">
      <c r="B14" t="s">
        <v>181</v>
      </c>
      <c r="C14">
        <v>738</v>
      </c>
      <c r="D14">
        <v>625</v>
      </c>
      <c r="E14">
        <v>680</v>
      </c>
      <c r="F14">
        <v>377</v>
      </c>
      <c r="G14">
        <v>611</v>
      </c>
      <c r="H14">
        <v>672</v>
      </c>
      <c r="J14" s="2">
        <f>AVERAGE(J8:J13)*0.7</f>
        <v>398.86388888888888</v>
      </c>
      <c r="K14" t="s">
        <v>3</v>
      </c>
      <c r="L14" t="s">
        <v>21</v>
      </c>
      <c r="M14" s="2">
        <f t="shared" si="1"/>
        <v>398.86388888888888</v>
      </c>
      <c r="N14" s="2">
        <f t="shared" si="0"/>
        <v>398.86388888888888</v>
      </c>
      <c r="O14" s="2">
        <f t="shared" si="0"/>
        <v>398.86388888888888</v>
      </c>
      <c r="P14" s="2">
        <f t="shared" si="0"/>
        <v>398.86388888888888</v>
      </c>
      <c r="Q14" s="2">
        <f t="shared" si="0"/>
        <v>398.86388888888888</v>
      </c>
      <c r="R14" s="2">
        <f t="shared" si="0"/>
        <v>398.86388888888888</v>
      </c>
      <c r="S14" s="2">
        <f t="shared" si="0"/>
        <v>398.86388888888888</v>
      </c>
      <c r="T14" s="2">
        <f t="shared" si="0"/>
        <v>398.86388888888888</v>
      </c>
      <c r="U14" s="2">
        <f t="shared" si="0"/>
        <v>398.86388888888888</v>
      </c>
      <c r="V14" s="2">
        <f t="shared" si="0"/>
        <v>398.86388888888888</v>
      </c>
      <c r="W14" s="2">
        <f t="shared" si="0"/>
        <v>398.86388888888888</v>
      </c>
      <c r="X14" s="2">
        <f t="shared" si="0"/>
        <v>398.86388888888888</v>
      </c>
      <c r="Y14" s="2">
        <f t="shared" si="0"/>
        <v>398.86388888888888</v>
      </c>
      <c r="Z14" s="2">
        <f t="shared" si="0"/>
        <v>398.86388888888888</v>
      </c>
      <c r="AA14" s="2">
        <f t="shared" si="0"/>
        <v>398.86388888888888</v>
      </c>
    </row>
    <row r="15" spans="1:27">
      <c r="B15" t="s">
        <v>182</v>
      </c>
      <c r="C15">
        <v>753</v>
      </c>
      <c r="D15">
        <v>611</v>
      </c>
      <c r="E15">
        <v>643</v>
      </c>
      <c r="F15">
        <v>378</v>
      </c>
      <c r="G15">
        <v>600</v>
      </c>
      <c r="H15">
        <v>674</v>
      </c>
      <c r="J15" s="2">
        <f>AVERAGE(J8:J13)*1.3</f>
        <v>740.74722222222226</v>
      </c>
      <c r="K15" t="s">
        <v>3</v>
      </c>
      <c r="L15" t="s">
        <v>204</v>
      </c>
      <c r="M15" s="2">
        <f t="shared" si="1"/>
        <v>740.74722222222226</v>
      </c>
      <c r="N15" s="2">
        <f t="shared" si="0"/>
        <v>740.74722222222226</v>
      </c>
      <c r="O15" s="2">
        <f t="shared" si="0"/>
        <v>740.74722222222226</v>
      </c>
      <c r="P15" s="2">
        <f t="shared" si="0"/>
        <v>740.74722222222226</v>
      </c>
      <c r="Q15" s="2">
        <f t="shared" si="0"/>
        <v>740.74722222222226</v>
      </c>
      <c r="R15" s="2">
        <f t="shared" si="0"/>
        <v>740.74722222222226</v>
      </c>
      <c r="S15" s="2">
        <f t="shared" si="0"/>
        <v>740.74722222222226</v>
      </c>
      <c r="T15" s="2">
        <f t="shared" si="0"/>
        <v>740.74722222222226</v>
      </c>
      <c r="U15" s="2">
        <f t="shared" si="0"/>
        <v>740.74722222222226</v>
      </c>
      <c r="V15" s="2">
        <f t="shared" si="0"/>
        <v>740.74722222222226</v>
      </c>
      <c r="W15" s="2">
        <f t="shared" si="0"/>
        <v>740.74722222222226</v>
      </c>
      <c r="X15" s="2">
        <f t="shared" si="0"/>
        <v>740.74722222222226</v>
      </c>
      <c r="Y15" s="2">
        <f t="shared" si="0"/>
        <v>740.74722222222226</v>
      </c>
      <c r="Z15" s="2">
        <f t="shared" si="0"/>
        <v>740.74722222222226</v>
      </c>
      <c r="AA15" s="2">
        <f t="shared" si="0"/>
        <v>740.74722222222226</v>
      </c>
    </row>
    <row r="16" spans="1:27">
      <c r="B16" t="s">
        <v>183</v>
      </c>
      <c r="C16">
        <v>717</v>
      </c>
      <c r="D16">
        <v>616</v>
      </c>
      <c r="E16">
        <v>623</v>
      </c>
      <c r="F16">
        <v>374</v>
      </c>
      <c r="G16">
        <v>587</v>
      </c>
      <c r="H16">
        <v>670</v>
      </c>
      <c r="J16" s="2">
        <f>J15*0.9</f>
        <v>666.67250000000001</v>
      </c>
      <c r="K16" t="s">
        <v>3</v>
      </c>
      <c r="L16" t="s">
        <v>22</v>
      </c>
      <c r="M16" s="2">
        <f t="shared" si="1"/>
        <v>666.67250000000001</v>
      </c>
      <c r="N16" s="2">
        <f t="shared" si="0"/>
        <v>666.67250000000001</v>
      </c>
      <c r="O16" s="2">
        <f t="shared" si="0"/>
        <v>666.67250000000001</v>
      </c>
      <c r="P16" s="2">
        <f t="shared" si="0"/>
        <v>666.67250000000001</v>
      </c>
      <c r="Q16" s="2">
        <f t="shared" si="0"/>
        <v>666.67250000000001</v>
      </c>
      <c r="R16" s="2">
        <f t="shared" si="0"/>
        <v>666.67250000000001</v>
      </c>
      <c r="S16" s="2">
        <f t="shared" si="0"/>
        <v>666.67250000000001</v>
      </c>
      <c r="T16" s="2">
        <f t="shared" si="0"/>
        <v>666.67250000000001</v>
      </c>
      <c r="U16" s="2">
        <f t="shared" si="0"/>
        <v>666.67250000000001</v>
      </c>
      <c r="V16" s="2">
        <f t="shared" si="0"/>
        <v>666.67250000000001</v>
      </c>
      <c r="W16" s="2">
        <f t="shared" si="0"/>
        <v>666.67250000000001</v>
      </c>
      <c r="X16" s="2">
        <f t="shared" si="0"/>
        <v>666.67250000000001</v>
      </c>
      <c r="Y16" s="2">
        <f t="shared" si="0"/>
        <v>666.67250000000001</v>
      </c>
      <c r="Z16" s="2">
        <f t="shared" si="0"/>
        <v>666.67250000000001</v>
      </c>
      <c r="AA16" s="2">
        <f t="shared" si="0"/>
        <v>666.67250000000001</v>
      </c>
    </row>
    <row r="17" spans="1:27">
      <c r="C17" s="2">
        <f>AVERAGE(C5:C16)</f>
        <v>724.41666666666663</v>
      </c>
      <c r="D17" s="2">
        <f t="shared" ref="D17:H17" si="2">AVERAGE(D5:D16)</f>
        <v>562.91666666666663</v>
      </c>
      <c r="E17" s="2">
        <f t="shared" si="2"/>
        <v>585.41666666666663</v>
      </c>
      <c r="F17" s="2">
        <f t="shared" si="2"/>
        <v>376.75</v>
      </c>
      <c r="G17" s="2">
        <f t="shared" si="2"/>
        <v>602</v>
      </c>
      <c r="H17" s="2">
        <f t="shared" si="2"/>
        <v>664.16666666666663</v>
      </c>
      <c r="J17" s="2">
        <f>J14*0.9</f>
        <v>358.97750000000002</v>
      </c>
      <c r="K17" t="s">
        <v>3</v>
      </c>
      <c r="L17" t="s">
        <v>23</v>
      </c>
      <c r="M17" s="2">
        <f t="shared" si="1"/>
        <v>358.97750000000002</v>
      </c>
      <c r="N17" s="2">
        <f t="shared" si="0"/>
        <v>358.97750000000002</v>
      </c>
      <c r="O17" s="2">
        <f t="shared" si="0"/>
        <v>358.97750000000002</v>
      </c>
      <c r="P17" s="2">
        <f t="shared" si="0"/>
        <v>358.97750000000002</v>
      </c>
      <c r="Q17" s="2">
        <f t="shared" si="0"/>
        <v>358.97750000000002</v>
      </c>
      <c r="R17" s="2">
        <f t="shared" si="0"/>
        <v>358.97750000000002</v>
      </c>
      <c r="S17" s="2">
        <f t="shared" si="0"/>
        <v>358.97750000000002</v>
      </c>
      <c r="T17" s="2">
        <f t="shared" si="0"/>
        <v>358.97750000000002</v>
      </c>
      <c r="U17" s="2">
        <f t="shared" si="0"/>
        <v>358.97750000000002</v>
      </c>
      <c r="V17" s="2">
        <f t="shared" si="0"/>
        <v>358.97750000000002</v>
      </c>
      <c r="W17" s="2">
        <f t="shared" si="0"/>
        <v>358.97750000000002</v>
      </c>
      <c r="X17" s="2">
        <f t="shared" si="0"/>
        <v>358.97750000000002</v>
      </c>
      <c r="Y17" s="2">
        <f t="shared" si="0"/>
        <v>358.97750000000002</v>
      </c>
      <c r="Z17" s="2">
        <f t="shared" si="0"/>
        <v>358.97750000000002</v>
      </c>
      <c r="AA17" s="2">
        <f t="shared" si="0"/>
        <v>358.97750000000002</v>
      </c>
    </row>
    <row r="18" spans="1:27">
      <c r="B18" t="s">
        <v>207</v>
      </c>
      <c r="C18" s="3">
        <f>AVERAGE(C5:C10)</f>
        <v>717.83333333333337</v>
      </c>
      <c r="D18" s="3">
        <f t="shared" ref="D18:H18" si="3">AVERAGE(D5:D10)</f>
        <v>521</v>
      </c>
      <c r="E18" s="3">
        <f t="shared" si="3"/>
        <v>543.33333333333337</v>
      </c>
      <c r="F18" s="3">
        <f t="shared" si="3"/>
        <v>373.66666666666669</v>
      </c>
      <c r="G18" s="3">
        <f t="shared" si="3"/>
        <v>605</v>
      </c>
      <c r="H18" s="3">
        <f t="shared" si="3"/>
        <v>658</v>
      </c>
      <c r="J18" s="2">
        <f t="array" ref="J18:J23">TRANSPOSE(C18:H18)</f>
        <v>717.83333333333337</v>
      </c>
      <c r="K18" t="s">
        <v>2</v>
      </c>
      <c r="L18" t="s">
        <v>16</v>
      </c>
      <c r="M18" s="2">
        <f t="shared" si="1"/>
        <v>717.83333333333337</v>
      </c>
      <c r="N18" s="2">
        <f t="shared" si="0"/>
        <v>717.83333333333337</v>
      </c>
      <c r="O18" s="2">
        <f t="shared" si="0"/>
        <v>717.83333333333337</v>
      </c>
      <c r="P18" s="2">
        <f t="shared" si="0"/>
        <v>717.83333333333337</v>
      </c>
      <c r="Q18" s="2">
        <f t="shared" si="0"/>
        <v>717.83333333333337</v>
      </c>
      <c r="R18" s="2">
        <f t="shared" si="0"/>
        <v>717.83333333333337</v>
      </c>
      <c r="S18" s="2">
        <f t="shared" si="0"/>
        <v>717.83333333333337</v>
      </c>
      <c r="T18" s="2">
        <f t="shared" si="0"/>
        <v>717.83333333333337</v>
      </c>
      <c r="U18" s="2">
        <f t="shared" si="0"/>
        <v>717.83333333333337</v>
      </c>
      <c r="V18" s="2">
        <f t="shared" si="0"/>
        <v>717.83333333333337</v>
      </c>
      <c r="W18" s="2">
        <f t="shared" si="0"/>
        <v>717.83333333333337</v>
      </c>
      <c r="X18" s="2">
        <f t="shared" si="0"/>
        <v>717.83333333333337</v>
      </c>
      <c r="Y18" s="2">
        <f t="shared" si="0"/>
        <v>717.83333333333337</v>
      </c>
      <c r="Z18" s="2">
        <f t="shared" si="0"/>
        <v>717.83333333333337</v>
      </c>
      <c r="AA18" s="2">
        <f t="shared" si="0"/>
        <v>717.83333333333337</v>
      </c>
    </row>
    <row r="19" spans="1:27">
      <c r="B19" t="s">
        <v>208</v>
      </c>
      <c r="C19" s="3">
        <f>AVERAGE(C11:C16)</f>
        <v>731</v>
      </c>
      <c r="D19" s="3">
        <f t="shared" ref="D19:H19" si="4">AVERAGE(D11:D16)</f>
        <v>604.83333333333337</v>
      </c>
      <c r="E19" s="3">
        <f t="shared" si="4"/>
        <v>627.5</v>
      </c>
      <c r="F19" s="3">
        <f t="shared" si="4"/>
        <v>379.83333333333331</v>
      </c>
      <c r="G19" s="3">
        <f t="shared" si="4"/>
        <v>599</v>
      </c>
      <c r="H19" s="3">
        <f t="shared" si="4"/>
        <v>670.33333333333337</v>
      </c>
      <c r="J19" s="2">
        <v>521</v>
      </c>
      <c r="K19" t="s">
        <v>2</v>
      </c>
      <c r="L19" t="s">
        <v>184</v>
      </c>
      <c r="M19" s="2">
        <f t="shared" si="1"/>
        <v>521</v>
      </c>
      <c r="N19" s="2">
        <f t="shared" si="0"/>
        <v>521</v>
      </c>
      <c r="O19" s="2">
        <f t="shared" si="0"/>
        <v>521</v>
      </c>
      <c r="P19" s="2">
        <f t="shared" si="0"/>
        <v>521</v>
      </c>
      <c r="Q19" s="2">
        <f t="shared" si="0"/>
        <v>521</v>
      </c>
      <c r="R19" s="2">
        <f t="shared" si="0"/>
        <v>521</v>
      </c>
      <c r="S19" s="2">
        <f t="shared" si="0"/>
        <v>521</v>
      </c>
      <c r="T19" s="2">
        <f t="shared" si="0"/>
        <v>521</v>
      </c>
      <c r="U19" s="2">
        <f t="shared" si="0"/>
        <v>521</v>
      </c>
      <c r="V19" s="2">
        <f t="shared" si="0"/>
        <v>521</v>
      </c>
      <c r="W19" s="2">
        <f t="shared" si="0"/>
        <v>521</v>
      </c>
      <c r="X19" s="2">
        <f t="shared" si="0"/>
        <v>521</v>
      </c>
      <c r="Y19" s="2">
        <f t="shared" si="0"/>
        <v>521</v>
      </c>
      <c r="Z19" s="2">
        <f t="shared" si="0"/>
        <v>521</v>
      </c>
      <c r="AA19" s="2">
        <f t="shared" si="0"/>
        <v>521</v>
      </c>
    </row>
    <row r="20" spans="1:27">
      <c r="J20" s="2">
        <v>543.33333333333337</v>
      </c>
      <c r="K20" t="s">
        <v>2</v>
      </c>
      <c r="L20" t="s">
        <v>185</v>
      </c>
      <c r="M20" s="2">
        <f t="shared" si="1"/>
        <v>543.33333333333337</v>
      </c>
      <c r="N20" s="2">
        <f t="shared" si="0"/>
        <v>543.33333333333337</v>
      </c>
      <c r="O20" s="2">
        <f t="shared" si="0"/>
        <v>543.33333333333337</v>
      </c>
      <c r="P20" s="2">
        <f t="shared" si="0"/>
        <v>543.33333333333337</v>
      </c>
      <c r="Q20" s="2">
        <f t="shared" si="0"/>
        <v>543.33333333333337</v>
      </c>
      <c r="R20" s="2">
        <f t="shared" si="0"/>
        <v>543.33333333333337</v>
      </c>
      <c r="S20" s="2">
        <f t="shared" si="0"/>
        <v>543.33333333333337</v>
      </c>
      <c r="T20" s="2">
        <f t="shared" si="0"/>
        <v>543.33333333333337</v>
      </c>
      <c r="U20" s="2">
        <f t="shared" si="0"/>
        <v>543.33333333333337</v>
      </c>
      <c r="V20" s="2">
        <f t="shared" si="0"/>
        <v>543.33333333333337</v>
      </c>
      <c r="W20" s="2">
        <f t="shared" si="0"/>
        <v>543.33333333333337</v>
      </c>
      <c r="X20" s="2">
        <f t="shared" si="0"/>
        <v>543.33333333333337</v>
      </c>
      <c r="Y20" s="2">
        <f t="shared" si="0"/>
        <v>543.33333333333337</v>
      </c>
      <c r="Z20" s="2">
        <f t="shared" si="0"/>
        <v>543.33333333333337</v>
      </c>
      <c r="AA20" s="2">
        <f t="shared" si="0"/>
        <v>543.33333333333337</v>
      </c>
    </row>
    <row r="21" spans="1:27">
      <c r="A21" t="s">
        <v>193</v>
      </c>
      <c r="B21" s="1" t="s">
        <v>195</v>
      </c>
      <c r="J21" s="2">
        <v>373.66666666666669</v>
      </c>
      <c r="K21" t="s">
        <v>2</v>
      </c>
      <c r="L21" t="s">
        <v>17</v>
      </c>
      <c r="M21" s="2">
        <f t="shared" si="1"/>
        <v>373.66666666666669</v>
      </c>
      <c r="N21" s="2">
        <f t="shared" si="0"/>
        <v>373.66666666666669</v>
      </c>
      <c r="O21" s="2">
        <f t="shared" si="0"/>
        <v>373.66666666666669</v>
      </c>
      <c r="P21" s="2">
        <f t="shared" si="0"/>
        <v>373.66666666666669</v>
      </c>
      <c r="Q21" s="2">
        <f t="shared" si="0"/>
        <v>373.66666666666669</v>
      </c>
      <c r="R21" s="2">
        <f t="shared" si="0"/>
        <v>373.66666666666669</v>
      </c>
      <c r="S21" s="2">
        <f t="shared" si="0"/>
        <v>373.66666666666669</v>
      </c>
      <c r="T21" s="2">
        <f t="shared" si="0"/>
        <v>373.66666666666669</v>
      </c>
      <c r="U21" s="2">
        <f t="shared" si="0"/>
        <v>373.66666666666669</v>
      </c>
      <c r="V21" s="2">
        <f t="shared" si="0"/>
        <v>373.66666666666669</v>
      </c>
      <c r="W21" s="2">
        <f t="shared" si="0"/>
        <v>373.66666666666669</v>
      </c>
      <c r="X21" s="2">
        <f t="shared" si="0"/>
        <v>373.66666666666669</v>
      </c>
      <c r="Y21" s="2">
        <f t="shared" si="0"/>
        <v>373.66666666666669</v>
      </c>
      <c r="Z21" s="2">
        <f t="shared" si="0"/>
        <v>373.66666666666669</v>
      </c>
      <c r="AA21" s="2">
        <f t="shared" si="0"/>
        <v>373.66666666666669</v>
      </c>
    </row>
    <row r="22" spans="1:27">
      <c r="B22" t="s">
        <v>192</v>
      </c>
      <c r="C22" t="s">
        <v>188</v>
      </c>
      <c r="D22" t="s">
        <v>189</v>
      </c>
      <c r="E22" t="s">
        <v>190</v>
      </c>
      <c r="F22" t="s">
        <v>188</v>
      </c>
      <c r="G22" t="s">
        <v>189</v>
      </c>
      <c r="H22" t="s">
        <v>191</v>
      </c>
      <c r="J22" s="2">
        <v>605</v>
      </c>
      <c r="K22" t="s">
        <v>2</v>
      </c>
      <c r="L22" t="s">
        <v>20</v>
      </c>
      <c r="M22" s="2">
        <f t="shared" si="1"/>
        <v>605</v>
      </c>
      <c r="N22" s="2">
        <f t="shared" si="0"/>
        <v>605</v>
      </c>
      <c r="O22" s="2">
        <f t="shared" si="0"/>
        <v>605</v>
      </c>
      <c r="P22" s="2">
        <f t="shared" si="0"/>
        <v>605</v>
      </c>
      <c r="Q22" s="2">
        <f t="shared" si="0"/>
        <v>605</v>
      </c>
      <c r="R22" s="2">
        <f t="shared" si="0"/>
        <v>605</v>
      </c>
      <c r="S22" s="2">
        <f t="shared" si="0"/>
        <v>605</v>
      </c>
      <c r="T22" s="2">
        <f t="shared" si="0"/>
        <v>605</v>
      </c>
      <c r="U22" s="2">
        <f t="shared" si="0"/>
        <v>605</v>
      </c>
      <c r="V22" s="2">
        <f t="shared" si="0"/>
        <v>605</v>
      </c>
      <c r="W22" s="2">
        <f t="shared" si="0"/>
        <v>605</v>
      </c>
      <c r="X22" s="2">
        <f t="shared" si="0"/>
        <v>605</v>
      </c>
      <c r="Y22" s="2">
        <f t="shared" si="0"/>
        <v>605</v>
      </c>
      <c r="Z22" s="2">
        <f t="shared" si="0"/>
        <v>605</v>
      </c>
      <c r="AA22" s="2">
        <f t="shared" si="0"/>
        <v>605</v>
      </c>
    </row>
    <row r="23" spans="1:27">
      <c r="B23" t="s">
        <v>16</v>
      </c>
      <c r="C23" s="3">
        <v>601.70000000000005</v>
      </c>
      <c r="D23" s="3">
        <v>196.69</v>
      </c>
      <c r="E23" s="3">
        <v>254.13</v>
      </c>
      <c r="F23" s="35">
        <f t="shared" ref="F23:F27" si="5">C23/C$28</f>
        <v>0.57688804517693981</v>
      </c>
      <c r="G23" s="35">
        <f t="shared" ref="G23:G27" si="6">D23/D$28</f>
        <v>0.13534398524696198</v>
      </c>
      <c r="H23" s="35">
        <f>E23/E$28</f>
        <v>0.18217073712733242</v>
      </c>
      <c r="J23" s="2">
        <v>658</v>
      </c>
      <c r="K23" t="s">
        <v>2</v>
      </c>
      <c r="L23" t="s">
        <v>24</v>
      </c>
      <c r="M23" s="2">
        <f t="shared" si="1"/>
        <v>658</v>
      </c>
      <c r="N23" s="2">
        <f t="shared" si="0"/>
        <v>658</v>
      </c>
      <c r="O23" s="2">
        <f t="shared" si="0"/>
        <v>658</v>
      </c>
      <c r="P23" s="2">
        <f t="shared" si="0"/>
        <v>658</v>
      </c>
      <c r="Q23" s="2">
        <f t="shared" si="0"/>
        <v>658</v>
      </c>
      <c r="R23" s="2">
        <f t="shared" si="0"/>
        <v>658</v>
      </c>
      <c r="S23" s="2">
        <f t="shared" si="0"/>
        <v>658</v>
      </c>
      <c r="T23" s="2">
        <f t="shared" si="0"/>
        <v>658</v>
      </c>
      <c r="U23" s="2">
        <f t="shared" si="0"/>
        <v>658</v>
      </c>
      <c r="V23" s="2">
        <f t="shared" si="0"/>
        <v>658</v>
      </c>
      <c r="W23" s="2">
        <f t="shared" si="0"/>
        <v>658</v>
      </c>
      <c r="X23" s="2">
        <f t="shared" si="0"/>
        <v>658</v>
      </c>
      <c r="Y23" s="2">
        <f t="shared" si="0"/>
        <v>658</v>
      </c>
      <c r="Z23" s="2">
        <f t="shared" si="0"/>
        <v>658</v>
      </c>
      <c r="AA23" s="2">
        <f t="shared" si="0"/>
        <v>658</v>
      </c>
    </row>
    <row r="24" spans="1:27">
      <c r="B24" t="s">
        <v>184</v>
      </c>
      <c r="C24" s="3">
        <v>200.9</v>
      </c>
      <c r="D24" s="3">
        <v>309.79000000000002</v>
      </c>
      <c r="E24" s="3">
        <v>294.3</v>
      </c>
      <c r="F24" s="35">
        <f t="shared" si="5"/>
        <v>0.19261560291847635</v>
      </c>
      <c r="G24" s="35">
        <f t="shared" si="6"/>
        <v>0.21316901311534067</v>
      </c>
      <c r="H24" s="35">
        <f t="shared" ref="H24:H27" si="7">E24/E$28</f>
        <v>0.21096622963276249</v>
      </c>
      <c r="J24" s="2">
        <f>AVERAGE(J18:J23)*0.7</f>
        <v>398.86388888888888</v>
      </c>
      <c r="K24" t="s">
        <v>2</v>
      </c>
      <c r="L24" t="s">
        <v>21</v>
      </c>
      <c r="M24" s="2">
        <f t="shared" si="1"/>
        <v>398.86388888888888</v>
      </c>
      <c r="N24" s="2">
        <f t="shared" si="1"/>
        <v>398.86388888888888</v>
      </c>
      <c r="O24" s="2">
        <f t="shared" si="1"/>
        <v>398.86388888888888</v>
      </c>
      <c r="P24" s="2">
        <f t="shared" si="1"/>
        <v>398.86388888888888</v>
      </c>
      <c r="Q24" s="2">
        <f t="shared" si="1"/>
        <v>398.86388888888888</v>
      </c>
      <c r="R24" s="2">
        <f t="shared" si="1"/>
        <v>398.86388888888888</v>
      </c>
      <c r="S24" s="2">
        <f t="shared" si="1"/>
        <v>398.86388888888888</v>
      </c>
      <c r="T24" s="2">
        <f t="shared" si="1"/>
        <v>398.86388888888888</v>
      </c>
      <c r="U24" s="2">
        <f t="shared" si="1"/>
        <v>398.86388888888888</v>
      </c>
      <c r="V24" s="2">
        <f t="shared" si="1"/>
        <v>398.86388888888888</v>
      </c>
      <c r="W24" s="2">
        <f t="shared" si="1"/>
        <v>398.86388888888888</v>
      </c>
      <c r="X24" s="2">
        <f t="shared" si="1"/>
        <v>398.86388888888888</v>
      </c>
      <c r="Y24" s="2">
        <f t="shared" si="1"/>
        <v>398.86388888888888</v>
      </c>
      <c r="Z24" s="2">
        <f t="shared" si="1"/>
        <v>398.86388888888888</v>
      </c>
      <c r="AA24" s="2">
        <f t="shared" si="1"/>
        <v>398.86388888888888</v>
      </c>
    </row>
    <row r="25" spans="1:27">
      <c r="B25" t="s">
        <v>185</v>
      </c>
      <c r="C25" s="3">
        <v>38.159999999999997</v>
      </c>
      <c r="D25" s="3">
        <v>144.58000000000001</v>
      </c>
      <c r="E25" s="3">
        <v>129.47999999999999</v>
      </c>
      <c r="F25" s="35">
        <f t="shared" si="5"/>
        <v>3.658641815514712E-2</v>
      </c>
      <c r="G25" s="35">
        <f t="shared" si="6"/>
        <v>9.9486671345801844E-2</v>
      </c>
      <c r="H25" s="35">
        <f t="shared" si="7"/>
        <v>9.2816538949541574E-2</v>
      </c>
      <c r="J25" s="2">
        <f>AVERAGE(J18:J23)*1.3</f>
        <v>740.74722222222226</v>
      </c>
      <c r="K25" t="s">
        <v>2</v>
      </c>
      <c r="L25" t="s">
        <v>204</v>
      </c>
      <c r="M25" s="2">
        <f t="shared" si="1"/>
        <v>740.74722222222226</v>
      </c>
      <c r="N25" s="2">
        <f t="shared" si="1"/>
        <v>740.74722222222226</v>
      </c>
      <c r="O25" s="2">
        <f t="shared" si="1"/>
        <v>740.74722222222226</v>
      </c>
      <c r="P25" s="2">
        <f t="shared" si="1"/>
        <v>740.74722222222226</v>
      </c>
      <c r="Q25" s="2">
        <f t="shared" si="1"/>
        <v>740.74722222222226</v>
      </c>
      <c r="R25" s="2">
        <f t="shared" si="1"/>
        <v>740.74722222222226</v>
      </c>
      <c r="S25" s="2">
        <f t="shared" si="1"/>
        <v>740.74722222222226</v>
      </c>
      <c r="T25" s="2">
        <f t="shared" si="1"/>
        <v>740.74722222222226</v>
      </c>
      <c r="U25" s="2">
        <f t="shared" si="1"/>
        <v>740.74722222222226</v>
      </c>
      <c r="V25" s="2">
        <f t="shared" si="1"/>
        <v>740.74722222222226</v>
      </c>
      <c r="W25" s="2">
        <f t="shared" si="1"/>
        <v>740.74722222222226</v>
      </c>
      <c r="X25" s="2">
        <f t="shared" si="1"/>
        <v>740.74722222222226</v>
      </c>
      <c r="Y25" s="2">
        <f t="shared" si="1"/>
        <v>740.74722222222226</v>
      </c>
      <c r="Z25" s="2">
        <f t="shared" si="1"/>
        <v>740.74722222222226</v>
      </c>
      <c r="AA25" s="2">
        <f t="shared" si="1"/>
        <v>740.74722222222226</v>
      </c>
    </row>
    <row r="26" spans="1:27">
      <c r="B26" t="s">
        <v>17</v>
      </c>
      <c r="C26" s="3">
        <v>107.53</v>
      </c>
      <c r="D26" s="3">
        <v>435.99</v>
      </c>
      <c r="E26" s="3">
        <v>389.4</v>
      </c>
      <c r="F26" s="35">
        <f t="shared" si="5"/>
        <v>0.10309584759494156</v>
      </c>
      <c r="G26" s="35">
        <f t="shared" si="6"/>
        <v>0.3000082572973865</v>
      </c>
      <c r="H26" s="35">
        <f t="shared" si="7"/>
        <v>0.27913778395853794</v>
      </c>
      <c r="J26" s="2">
        <f>J25*0.9</f>
        <v>666.67250000000001</v>
      </c>
      <c r="K26" t="s">
        <v>2</v>
      </c>
      <c r="L26" t="s">
        <v>22</v>
      </c>
      <c r="M26" s="2">
        <f t="shared" si="1"/>
        <v>666.67250000000001</v>
      </c>
      <c r="N26" s="2">
        <f t="shared" si="1"/>
        <v>666.67250000000001</v>
      </c>
      <c r="O26" s="2">
        <f t="shared" si="1"/>
        <v>666.67250000000001</v>
      </c>
      <c r="P26" s="2">
        <f t="shared" si="1"/>
        <v>666.67250000000001</v>
      </c>
      <c r="Q26" s="2">
        <f t="shared" si="1"/>
        <v>666.67250000000001</v>
      </c>
      <c r="R26" s="2">
        <f t="shared" si="1"/>
        <v>666.67250000000001</v>
      </c>
      <c r="S26" s="2">
        <f t="shared" si="1"/>
        <v>666.67250000000001</v>
      </c>
      <c r="T26" s="2">
        <f t="shared" si="1"/>
        <v>666.67250000000001</v>
      </c>
      <c r="U26" s="2">
        <f t="shared" si="1"/>
        <v>666.67250000000001</v>
      </c>
      <c r="V26" s="2">
        <f t="shared" si="1"/>
        <v>666.67250000000001</v>
      </c>
      <c r="W26" s="2">
        <f t="shared" si="1"/>
        <v>666.67250000000001</v>
      </c>
      <c r="X26" s="2">
        <f t="shared" si="1"/>
        <v>666.67250000000001</v>
      </c>
      <c r="Y26" s="2">
        <f t="shared" si="1"/>
        <v>666.67250000000001</v>
      </c>
      <c r="Z26" s="2">
        <f t="shared" si="1"/>
        <v>666.67250000000001</v>
      </c>
      <c r="AA26" s="2">
        <f t="shared" si="1"/>
        <v>666.67250000000001</v>
      </c>
    </row>
    <row r="27" spans="1:27">
      <c r="B27" t="s">
        <v>20</v>
      </c>
      <c r="C27" s="3">
        <v>94.72</v>
      </c>
      <c r="D27" s="3">
        <v>366.21</v>
      </c>
      <c r="E27" s="3">
        <v>327.7</v>
      </c>
      <c r="F27" s="35">
        <f t="shared" si="5"/>
        <v>9.0814086154495169E-2</v>
      </c>
      <c r="G27" s="35">
        <f t="shared" si="6"/>
        <v>0.25199207299450882</v>
      </c>
      <c r="H27" s="35">
        <f t="shared" si="7"/>
        <v>0.23490871033182556</v>
      </c>
      <c r="J27" s="2">
        <f>J24*0.9</f>
        <v>358.97750000000002</v>
      </c>
      <c r="K27" t="s">
        <v>2</v>
      </c>
      <c r="L27" t="s">
        <v>23</v>
      </c>
      <c r="M27" s="2">
        <f t="shared" si="1"/>
        <v>358.97750000000002</v>
      </c>
      <c r="N27" s="2">
        <f t="shared" si="1"/>
        <v>358.97750000000002</v>
      </c>
      <c r="O27" s="2">
        <f t="shared" si="1"/>
        <v>358.97750000000002</v>
      </c>
      <c r="P27" s="2">
        <f t="shared" si="1"/>
        <v>358.97750000000002</v>
      </c>
      <c r="Q27" s="2">
        <f t="shared" si="1"/>
        <v>358.97750000000002</v>
      </c>
      <c r="R27" s="2">
        <f t="shared" si="1"/>
        <v>358.97750000000002</v>
      </c>
      <c r="S27" s="2">
        <f t="shared" si="1"/>
        <v>358.97750000000002</v>
      </c>
      <c r="T27" s="2">
        <f t="shared" si="1"/>
        <v>358.97750000000002</v>
      </c>
      <c r="U27" s="2">
        <f t="shared" si="1"/>
        <v>358.97750000000002</v>
      </c>
      <c r="V27" s="2">
        <f t="shared" si="1"/>
        <v>358.97750000000002</v>
      </c>
      <c r="W27" s="2">
        <f t="shared" si="1"/>
        <v>358.97750000000002</v>
      </c>
      <c r="X27" s="2">
        <f t="shared" si="1"/>
        <v>358.97750000000002</v>
      </c>
      <c r="Y27" s="2">
        <f t="shared" si="1"/>
        <v>358.97750000000002</v>
      </c>
      <c r="Z27" s="2">
        <f t="shared" si="1"/>
        <v>358.97750000000002</v>
      </c>
      <c r="AA27" s="2">
        <f t="shared" si="1"/>
        <v>358.97750000000002</v>
      </c>
    </row>
    <row r="28" spans="1:27" ht="16.5" thickBot="1">
      <c r="C28" s="36">
        <f>SUM(C23:C27)</f>
        <v>1043.01</v>
      </c>
      <c r="D28" s="36">
        <f t="shared" ref="D28:E28" si="8">SUM(D23:D27)</f>
        <v>1453.2600000000002</v>
      </c>
      <c r="E28" s="36">
        <f t="shared" si="8"/>
        <v>1395.01</v>
      </c>
      <c r="F28" s="37">
        <f t="shared" ref="F28" si="9">SUM(F23:F27)</f>
        <v>0.99999999999999989</v>
      </c>
      <c r="G28" s="37">
        <f t="shared" ref="G28" si="10">SUM(G23:G27)</f>
        <v>0.99999999999999978</v>
      </c>
      <c r="H28" s="37">
        <f>SUM(H23:H27)</f>
        <v>1</v>
      </c>
    </row>
    <row r="29" spans="1:27" ht="16.5" thickTop="1"/>
    <row r="31" spans="1:27">
      <c r="B31" t="s">
        <v>196</v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4646B1A9-AF79-4157-B7A5-04F856CC7CF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Prices!C5:C16</xm:f>
              <xm:sqref>C1</xm:sqref>
            </x14:sparkline>
            <x14:sparkline>
              <xm:f>Prices!D5:D16</xm:f>
              <xm:sqref>D1</xm:sqref>
            </x14:sparkline>
            <x14:sparkline>
              <xm:f>Prices!E5:E16</xm:f>
              <xm:sqref>E1</xm:sqref>
            </x14:sparkline>
            <x14:sparkline>
              <xm:f>Prices!F5:F16</xm:f>
              <xm:sqref>F1</xm:sqref>
            </x14:sparkline>
            <x14:sparkline>
              <xm:f>Prices!G5:G16</xm:f>
              <xm:sqref>G1</xm:sqref>
            </x14:sparkline>
            <x14:sparkline>
              <xm:f>Prices!H5:H16</xm:f>
              <xm:sqref>H1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BS76"/>
  <sheetViews>
    <sheetView zoomScale="70" zoomScaleNormal="70" workbookViewId="0">
      <selection activeCell="X33" sqref="X33"/>
    </sheetView>
  </sheetViews>
  <sheetFormatPr defaultRowHeight="15.75"/>
  <cols>
    <col min="1" max="1" width="10.5" bestFit="1" customWidth="1"/>
    <col min="2" max="6" width="10.875" bestFit="1" customWidth="1"/>
    <col min="7" max="7" width="10.5" bestFit="1" customWidth="1"/>
    <col min="8" max="8" width="10.875" bestFit="1" customWidth="1"/>
    <col min="9" max="9" width="11.875" bestFit="1" customWidth="1"/>
    <col min="10" max="10" width="10.5" bestFit="1" customWidth="1"/>
    <col min="11" max="11" width="11.625" bestFit="1" customWidth="1"/>
    <col min="12" max="12" width="12.625" bestFit="1" customWidth="1"/>
    <col min="13" max="13" width="9.75" bestFit="1" customWidth="1"/>
    <col min="14" max="14" width="10.875" bestFit="1" customWidth="1"/>
    <col min="15" max="16" width="11.625" bestFit="1" customWidth="1"/>
    <col min="20" max="20" width="10.5" bestFit="1" customWidth="1"/>
    <col min="23" max="23" width="9.375" bestFit="1" customWidth="1"/>
    <col min="24" max="24" width="10" bestFit="1" customWidth="1"/>
  </cols>
  <sheetData>
    <row r="2" spans="1:71">
      <c r="A2" s="30"/>
      <c r="B2" s="30" t="s">
        <v>5</v>
      </c>
      <c r="C2" s="30" t="s">
        <v>157</v>
      </c>
      <c r="D2" s="30" t="s">
        <v>158</v>
      </c>
      <c r="E2" s="30" t="s">
        <v>159</v>
      </c>
      <c r="F2" s="30" t="s">
        <v>9</v>
      </c>
      <c r="G2" s="30" t="s">
        <v>10</v>
      </c>
      <c r="H2" s="30" t="s">
        <v>160</v>
      </c>
      <c r="I2" s="30" t="s">
        <v>161</v>
      </c>
      <c r="J2" s="30" t="s">
        <v>162</v>
      </c>
      <c r="K2" s="30" t="s">
        <v>163</v>
      </c>
      <c r="L2" s="30" t="s">
        <v>164</v>
      </c>
      <c r="M2" t="s">
        <v>165</v>
      </c>
      <c r="N2" t="s">
        <v>166</v>
      </c>
      <c r="O2" t="s">
        <v>167</v>
      </c>
      <c r="P2" t="s">
        <v>147</v>
      </c>
      <c r="Q2" s="30"/>
      <c r="V2" s="2"/>
      <c r="AE2" t="s">
        <v>5</v>
      </c>
      <c r="AF2" t="s">
        <v>157</v>
      </c>
      <c r="AG2" t="s">
        <v>158</v>
      </c>
      <c r="AH2" t="s">
        <v>159</v>
      </c>
      <c r="AI2" t="s">
        <v>9</v>
      </c>
      <c r="AJ2" t="s">
        <v>10</v>
      </c>
      <c r="AK2" t="s">
        <v>160</v>
      </c>
      <c r="AL2" t="s">
        <v>161</v>
      </c>
      <c r="AM2" t="s">
        <v>162</v>
      </c>
      <c r="AN2" t="s">
        <v>163</v>
      </c>
      <c r="AO2" t="s">
        <v>164</v>
      </c>
      <c r="AP2" t="s">
        <v>165</v>
      </c>
      <c r="AQ2" t="s">
        <v>166</v>
      </c>
      <c r="AR2" t="s">
        <v>167</v>
      </c>
      <c r="AS2" t="s">
        <v>147</v>
      </c>
    </row>
    <row r="3" spans="1:71">
      <c r="A3" s="30" t="s">
        <v>134</v>
      </c>
      <c r="B3" s="38">
        <v>0</v>
      </c>
      <c r="C3" s="38">
        <v>0</v>
      </c>
      <c r="D3" s="38">
        <v>0</v>
      </c>
      <c r="E3" s="38">
        <v>0</v>
      </c>
      <c r="F3" s="38">
        <v>0</v>
      </c>
      <c r="G3" s="38">
        <v>0</v>
      </c>
      <c r="H3" s="38">
        <v>0</v>
      </c>
      <c r="I3" s="38">
        <v>0</v>
      </c>
      <c r="J3" s="38">
        <v>0</v>
      </c>
      <c r="K3" s="38">
        <v>0</v>
      </c>
      <c r="L3" s="38">
        <v>0</v>
      </c>
      <c r="M3" s="38">
        <v>0</v>
      </c>
      <c r="N3" s="38">
        <v>2.3371602872482815</v>
      </c>
      <c r="O3" s="38">
        <v>0</v>
      </c>
      <c r="P3" s="38">
        <v>0</v>
      </c>
      <c r="Q3" s="38"/>
      <c r="V3" s="2"/>
      <c r="AD3" t="s">
        <v>134</v>
      </c>
      <c r="AE3" s="38">
        <f t="array" ref="AE3:AS17">MINVERSE(B29:P43)</f>
        <v>0</v>
      </c>
      <c r="AF3" s="38">
        <v>0</v>
      </c>
      <c r="AG3" s="38">
        <v>0</v>
      </c>
      <c r="AH3" s="38">
        <v>0</v>
      </c>
      <c r="AI3" s="38">
        <v>0</v>
      </c>
      <c r="AJ3" s="38">
        <v>0</v>
      </c>
      <c r="AK3" s="38">
        <v>0</v>
      </c>
      <c r="AL3" s="38">
        <v>0</v>
      </c>
      <c r="AM3" s="38">
        <v>0</v>
      </c>
      <c r="AN3" s="38">
        <v>0</v>
      </c>
      <c r="AO3" s="38">
        <v>0</v>
      </c>
      <c r="AP3" s="38">
        <v>0</v>
      </c>
      <c r="AQ3" s="38">
        <v>2.3371602872482815</v>
      </c>
      <c r="AR3" s="38">
        <v>0</v>
      </c>
      <c r="AS3" s="38">
        <v>0</v>
      </c>
      <c r="BE3">
        <v>3.76128847351807E-2</v>
      </c>
      <c r="BF3">
        <v>0.71210217853755398</v>
      </c>
      <c r="BG3">
        <v>0</v>
      </c>
      <c r="BH3">
        <v>0</v>
      </c>
      <c r="BI3">
        <v>0.79019662693648896</v>
      </c>
      <c r="BJ3">
        <v>0</v>
      </c>
      <c r="BK3">
        <v>8.3027269129258299E-2</v>
      </c>
      <c r="BL3">
        <v>0.82087959806974198</v>
      </c>
      <c r="BM3">
        <v>0</v>
      </c>
      <c r="BN3">
        <v>0.27495391586610801</v>
      </c>
      <c r="BO3">
        <v>0</v>
      </c>
      <c r="BP3">
        <v>0</v>
      </c>
      <c r="BQ3">
        <v>1</v>
      </c>
      <c r="BR3">
        <v>0.231764489583075</v>
      </c>
      <c r="BS3">
        <v>0</v>
      </c>
    </row>
    <row r="4" spans="1:71">
      <c r="A4" s="30" t="s">
        <v>135</v>
      </c>
      <c r="B4" s="38">
        <v>-0.42227597465953437</v>
      </c>
      <c r="C4" s="38">
        <v>-11.232556455449224</v>
      </c>
      <c r="D4" s="38">
        <v>7.673146480548513</v>
      </c>
      <c r="E4" s="38">
        <v>8.8725440810650813</v>
      </c>
      <c r="F4" s="38">
        <v>-39.452938463352773</v>
      </c>
      <c r="G4" s="38">
        <v>-7.6373926839374944</v>
      </c>
      <c r="H4" s="38">
        <v>35.891581623623217</v>
      </c>
      <c r="I4" s="38">
        <v>-124.12749913396071</v>
      </c>
      <c r="J4" s="38">
        <v>0.22773287549155985</v>
      </c>
      <c r="K4" s="38">
        <v>3.0481930275314268</v>
      </c>
      <c r="L4" s="38">
        <v>-3.6161534326435891</v>
      </c>
      <c r="M4" s="38">
        <v>3.6867931464088444</v>
      </c>
      <c r="N4" s="38">
        <v>45.810563636873397</v>
      </c>
      <c r="O4" s="38">
        <v>-1.1788509335386816</v>
      </c>
      <c r="P4" s="38">
        <v>0</v>
      </c>
      <c r="Q4" s="38"/>
      <c r="V4" s="2"/>
      <c r="AD4" t="s">
        <v>135</v>
      </c>
      <c r="AE4" s="38">
        <v>-0.42227597465953437</v>
      </c>
      <c r="AF4" s="38">
        <v>-11.232556455449224</v>
      </c>
      <c r="AG4" s="38">
        <v>7.673146480548513</v>
      </c>
      <c r="AH4" s="38">
        <v>8.8725440810650813</v>
      </c>
      <c r="AI4" s="38">
        <v>-39.452938463352773</v>
      </c>
      <c r="AJ4" s="38">
        <v>-7.6373926839374944</v>
      </c>
      <c r="AK4" s="38">
        <v>35.891581623623217</v>
      </c>
      <c r="AL4" s="38">
        <v>-124.12749913396071</v>
      </c>
      <c r="AM4" s="38">
        <v>0.22773287549155985</v>
      </c>
      <c r="AN4" s="38">
        <v>3.0481930275314268</v>
      </c>
      <c r="AO4" s="38">
        <v>-3.6161534326435891</v>
      </c>
      <c r="AP4" s="38">
        <v>3.6867931464088444</v>
      </c>
      <c r="AQ4" s="38">
        <v>45.810563636873397</v>
      </c>
      <c r="AR4" s="38">
        <v>-1.1788509335386816</v>
      </c>
      <c r="AS4" s="38">
        <v>0</v>
      </c>
      <c r="BE4">
        <v>3.4319449746053599E-4</v>
      </c>
      <c r="BF4">
        <v>0</v>
      </c>
      <c r="BG4">
        <v>0</v>
      </c>
      <c r="BH4">
        <v>0</v>
      </c>
      <c r="BI4">
        <v>0</v>
      </c>
      <c r="BJ4">
        <v>8.3906615266184995E-2</v>
      </c>
      <c r="BK4">
        <v>0</v>
      </c>
      <c r="BL4">
        <v>0</v>
      </c>
      <c r="BM4">
        <v>9.0149364838775906E-2</v>
      </c>
      <c r="BN4">
        <v>0</v>
      </c>
      <c r="BO4">
        <v>0</v>
      </c>
      <c r="BP4">
        <v>0.22028140414612199</v>
      </c>
      <c r="BQ4">
        <v>0</v>
      </c>
      <c r="BR4">
        <v>1.14253340920053E-2</v>
      </c>
      <c r="BS4">
        <v>0</v>
      </c>
    </row>
    <row r="5" spans="1:71">
      <c r="A5" s="30" t="s">
        <v>136</v>
      </c>
      <c r="B5" s="38">
        <v>1.404551868859252</v>
      </c>
      <c r="C5" s="38">
        <v>17.602915877258916</v>
      </c>
      <c r="D5" s="38">
        <v>-11.920415809575013</v>
      </c>
      <c r="E5" s="38">
        <v>-14.207409688015831</v>
      </c>
      <c r="F5" s="38">
        <v>44.760158079416705</v>
      </c>
      <c r="G5" s="38">
        <v>11.095103003847113</v>
      </c>
      <c r="H5" s="38">
        <v>-57.728364636818888</v>
      </c>
      <c r="I5" s="38">
        <v>201.2534148229706</v>
      </c>
      <c r="J5" s="38">
        <v>-0.97580218798885998</v>
      </c>
      <c r="K5" s="38">
        <v>-4.5660366470659453</v>
      </c>
      <c r="L5" s="38">
        <v>5.4056126220359939</v>
      </c>
      <c r="M5" s="38">
        <v>-2.5236864109088053</v>
      </c>
      <c r="N5" s="38">
        <v>-69.319250213700926</v>
      </c>
      <c r="O5" s="38">
        <v>1.8505302225907707</v>
      </c>
      <c r="P5" s="38">
        <v>0</v>
      </c>
      <c r="Q5" s="38"/>
      <c r="V5" s="2"/>
      <c r="AD5" t="s">
        <v>136</v>
      </c>
      <c r="AE5" s="38">
        <v>1.404551868859252</v>
      </c>
      <c r="AF5" s="38">
        <v>17.602915877258916</v>
      </c>
      <c r="AG5" s="38">
        <v>-11.920415809575013</v>
      </c>
      <c r="AH5" s="38">
        <v>-14.207409688015831</v>
      </c>
      <c r="AI5" s="38">
        <v>44.760158079416705</v>
      </c>
      <c r="AJ5" s="38">
        <v>11.095103003847113</v>
      </c>
      <c r="AK5" s="38">
        <v>-57.728364636818888</v>
      </c>
      <c r="AL5" s="38">
        <v>201.2534148229706</v>
      </c>
      <c r="AM5" s="38">
        <v>-0.97580218798885998</v>
      </c>
      <c r="AN5" s="38">
        <v>-4.5660366470659453</v>
      </c>
      <c r="AO5" s="38">
        <v>5.4056126220359939</v>
      </c>
      <c r="AP5" s="38">
        <v>-2.5236864109088053</v>
      </c>
      <c r="AQ5" s="38">
        <v>-69.319250213700926</v>
      </c>
      <c r="AR5" s="38">
        <v>1.8505302225907707</v>
      </c>
      <c r="AS5" s="38">
        <v>0</v>
      </c>
      <c r="BE5">
        <v>3.1216556819612901E-2</v>
      </c>
      <c r="BF5">
        <v>0</v>
      </c>
      <c r="BG5">
        <v>0</v>
      </c>
      <c r="BH5">
        <v>0</v>
      </c>
      <c r="BI5">
        <v>3.9838108211464002E-4</v>
      </c>
      <c r="BJ5">
        <v>6.4528951022464795E-2</v>
      </c>
      <c r="BK5">
        <v>0</v>
      </c>
      <c r="BL5">
        <v>0</v>
      </c>
      <c r="BM5">
        <v>5.2575984102685498E-2</v>
      </c>
      <c r="BN5">
        <v>0</v>
      </c>
      <c r="BO5">
        <v>0</v>
      </c>
      <c r="BP5">
        <v>0.115927229650139</v>
      </c>
      <c r="BQ5">
        <v>0</v>
      </c>
      <c r="BR5">
        <v>4.3824705116168497E-2</v>
      </c>
      <c r="BS5">
        <v>0</v>
      </c>
    </row>
    <row r="6" spans="1:71">
      <c r="A6" s="30" t="s">
        <v>137</v>
      </c>
      <c r="B6" s="38">
        <v>5.7236555672142249</v>
      </c>
      <c r="C6" s="38">
        <v>9.4349568948410454</v>
      </c>
      <c r="D6" s="38">
        <v>-3.7653449060833686</v>
      </c>
      <c r="E6" s="38">
        <v>9.3049137081691633</v>
      </c>
      <c r="F6" s="38">
        <v>-37.972596563489795</v>
      </c>
      <c r="G6" s="38">
        <v>-6.0726641901061607</v>
      </c>
      <c r="H6" s="38">
        <v>81.645855028295983</v>
      </c>
      <c r="I6" s="38">
        <v>-294.88635077249018</v>
      </c>
      <c r="J6" s="38">
        <v>0.66127899629612352</v>
      </c>
      <c r="K6" s="38">
        <v>2.8513843668731722</v>
      </c>
      <c r="L6" s="38">
        <v>-3.6700731933697708</v>
      </c>
      <c r="M6" s="38">
        <v>1.3326344268892538</v>
      </c>
      <c r="N6" s="38">
        <v>81.408608648793575</v>
      </c>
      <c r="O6" s="38">
        <v>-1.1625713511293048</v>
      </c>
      <c r="P6" s="38">
        <v>0</v>
      </c>
      <c r="Q6" s="38"/>
      <c r="V6" s="2"/>
      <c r="AD6" t="s">
        <v>137</v>
      </c>
      <c r="AE6" s="38">
        <v>5.7236555672142249</v>
      </c>
      <c r="AF6" s="38">
        <v>9.4349568948410454</v>
      </c>
      <c r="AG6" s="38">
        <v>-3.7653449060833686</v>
      </c>
      <c r="AH6" s="38">
        <v>9.3049137081691633</v>
      </c>
      <c r="AI6" s="38">
        <v>-37.972596563489795</v>
      </c>
      <c r="AJ6" s="38">
        <v>-6.0726641901061607</v>
      </c>
      <c r="AK6" s="38">
        <v>81.645855028295983</v>
      </c>
      <c r="AL6" s="38">
        <v>-294.88635077249018</v>
      </c>
      <c r="AM6" s="38">
        <v>0.66127899629612352</v>
      </c>
      <c r="AN6" s="38">
        <v>2.8513843668731722</v>
      </c>
      <c r="AO6" s="38">
        <v>-3.6700731933697708</v>
      </c>
      <c r="AP6" s="38">
        <v>1.3326344268892538</v>
      </c>
      <c r="AQ6" s="38">
        <v>81.408608648793575</v>
      </c>
      <c r="AR6" s="38">
        <v>-1.1625713511293048</v>
      </c>
      <c r="AS6" s="38">
        <v>0</v>
      </c>
      <c r="BE6">
        <v>2.9653069402122201E-2</v>
      </c>
      <c r="BF6">
        <v>0</v>
      </c>
      <c r="BG6">
        <v>2.7369271753395902E-3</v>
      </c>
      <c r="BH6">
        <v>0</v>
      </c>
      <c r="BI6">
        <v>0</v>
      </c>
      <c r="BJ6">
        <v>3.5063089309321998E-4</v>
      </c>
      <c r="BK6">
        <v>0</v>
      </c>
      <c r="BL6">
        <v>0</v>
      </c>
      <c r="BM6">
        <v>7.5701739054586506E-2</v>
      </c>
      <c r="BN6">
        <v>0</v>
      </c>
      <c r="BO6">
        <v>0</v>
      </c>
      <c r="BP6">
        <v>8.4251584787767599E-3</v>
      </c>
      <c r="BQ6">
        <v>0</v>
      </c>
      <c r="BR6">
        <v>2.3453414418622202E-2</v>
      </c>
      <c r="BS6">
        <v>0</v>
      </c>
    </row>
    <row r="7" spans="1:71">
      <c r="A7" s="30" t="s">
        <v>138</v>
      </c>
      <c r="B7" s="38">
        <v>-3.367291201141188</v>
      </c>
      <c r="C7" s="38">
        <v>-11.824323380407833</v>
      </c>
      <c r="D7" s="38">
        <v>7.1583092509910857</v>
      </c>
      <c r="E7" s="38">
        <v>-3.1540354732632716</v>
      </c>
      <c r="F7" s="38">
        <v>0.32306486570004483</v>
      </c>
      <c r="G7" s="38">
        <v>1.1416418032860849</v>
      </c>
      <c r="H7" s="38">
        <v>-5.7429525916396065</v>
      </c>
      <c r="I7" s="38">
        <v>15.580439686109004</v>
      </c>
      <c r="J7" s="38">
        <v>0.41185423866377541</v>
      </c>
      <c r="K7" s="38">
        <v>1.3527477899022886</v>
      </c>
      <c r="L7" s="38">
        <v>-1.5062338231274772</v>
      </c>
      <c r="M7" s="38">
        <v>-0.56464867305385202</v>
      </c>
      <c r="N7" s="38">
        <v>-2.4927914081620518E-2</v>
      </c>
      <c r="O7" s="38">
        <v>1.1337354469884495</v>
      </c>
      <c r="P7" s="38">
        <v>0</v>
      </c>
      <c r="Q7" s="38"/>
      <c r="V7" s="2"/>
      <c r="AD7" t="s">
        <v>138</v>
      </c>
      <c r="AE7" s="38">
        <v>-3.367291201141188</v>
      </c>
      <c r="AF7" s="38">
        <v>-11.824323380407833</v>
      </c>
      <c r="AG7" s="38">
        <v>7.1583092509910857</v>
      </c>
      <c r="AH7" s="38">
        <v>-3.1540354732632716</v>
      </c>
      <c r="AI7" s="38">
        <v>0.32306486570004483</v>
      </c>
      <c r="AJ7" s="38">
        <v>1.1416418032860849</v>
      </c>
      <c r="AK7" s="38">
        <v>-5.7429525916396065</v>
      </c>
      <c r="AL7" s="38">
        <v>15.580439686109004</v>
      </c>
      <c r="AM7" s="38">
        <v>0.41185423866377541</v>
      </c>
      <c r="AN7" s="38">
        <v>1.3527477899022886</v>
      </c>
      <c r="AO7" s="38">
        <v>-1.5062338231274772</v>
      </c>
      <c r="AP7" s="38">
        <v>-0.56464867305385202</v>
      </c>
      <c r="AQ7" s="38">
        <v>-2.4927914081620518E-2</v>
      </c>
      <c r="AR7" s="38">
        <v>1.1337354469884495</v>
      </c>
      <c r="AS7" s="38">
        <v>0</v>
      </c>
      <c r="BE7">
        <v>4.1130521620044898E-4</v>
      </c>
      <c r="BF7">
        <v>1.89443554548078E-3</v>
      </c>
      <c r="BG7">
        <v>3.79405787846034E-3</v>
      </c>
      <c r="BH7">
        <v>0</v>
      </c>
      <c r="BI7">
        <v>0</v>
      </c>
      <c r="BJ7">
        <v>0</v>
      </c>
      <c r="BK7">
        <v>0</v>
      </c>
      <c r="BL7">
        <v>0</v>
      </c>
      <c r="BM7">
        <v>2.86622999035974E-3</v>
      </c>
      <c r="BN7">
        <v>7.0723748065278699E-3</v>
      </c>
      <c r="BO7">
        <v>0</v>
      </c>
      <c r="BP7">
        <v>0</v>
      </c>
      <c r="BQ7">
        <v>0</v>
      </c>
      <c r="BR7">
        <v>1.04086301543336E-2</v>
      </c>
      <c r="BS7">
        <v>0</v>
      </c>
    </row>
    <row r="8" spans="1:71">
      <c r="A8" s="30" t="s">
        <v>139</v>
      </c>
      <c r="B8" s="38">
        <v>0.89285784970297066</v>
      </c>
      <c r="C8" s="38">
        <v>4.8817763331836872</v>
      </c>
      <c r="D8" s="38">
        <v>-3.2181209544163001</v>
      </c>
      <c r="E8" s="38">
        <v>7.6737182305229128</v>
      </c>
      <c r="F8" s="38">
        <v>0.16415508077404201</v>
      </c>
      <c r="G8" s="38">
        <v>-4.4194299051496877</v>
      </c>
      <c r="H8" s="38">
        <v>-16.648274513511275</v>
      </c>
      <c r="I8" s="38">
        <v>59.172273217662408</v>
      </c>
      <c r="J8" s="38">
        <v>-0.63875651392666888</v>
      </c>
      <c r="K8" s="38">
        <v>-1.0891014363531044</v>
      </c>
      <c r="L8" s="38">
        <v>1.2795146343256298</v>
      </c>
      <c r="M8" s="38">
        <v>1.316313223733568</v>
      </c>
      <c r="N8" s="38">
        <v>-17.070337701010516</v>
      </c>
      <c r="O8" s="38">
        <v>0.49548915398811699</v>
      </c>
      <c r="P8" s="38">
        <v>0</v>
      </c>
      <c r="Q8" s="38"/>
      <c r="V8" s="2"/>
      <c r="W8">
        <v>2</v>
      </c>
      <c r="AD8" t="s">
        <v>139</v>
      </c>
      <c r="AE8" s="38">
        <v>0.89285784970297066</v>
      </c>
      <c r="AF8" s="38">
        <v>4.8817763331836872</v>
      </c>
      <c r="AG8" s="38">
        <v>-3.2181209544163001</v>
      </c>
      <c r="AH8" s="38">
        <v>7.6737182305229128</v>
      </c>
      <c r="AI8" s="38">
        <v>0.16415508077404201</v>
      </c>
      <c r="AJ8" s="38">
        <v>-4.4194299051496877</v>
      </c>
      <c r="AK8" s="38">
        <v>-16.648274513511275</v>
      </c>
      <c r="AL8" s="38">
        <v>59.172273217662408</v>
      </c>
      <c r="AM8" s="38">
        <v>-0.63875651392666888</v>
      </c>
      <c r="AN8" s="38">
        <v>-1.0891014363531044</v>
      </c>
      <c r="AO8" s="38">
        <v>1.2795146343256298</v>
      </c>
      <c r="AP8" s="38">
        <v>1.316313223733568</v>
      </c>
      <c r="AQ8" s="38">
        <v>-17.070337701010516</v>
      </c>
      <c r="AR8" s="38">
        <v>0.49548915398811699</v>
      </c>
      <c r="AS8" s="38">
        <v>0</v>
      </c>
      <c r="BE8">
        <v>0.15931030354663001</v>
      </c>
      <c r="BF8">
        <v>0.10874909373774699</v>
      </c>
      <c r="BG8">
        <v>0.27156620960653699</v>
      </c>
      <c r="BH8">
        <v>0.34856671313068299</v>
      </c>
      <c r="BI8">
        <v>5.4971906192034001E-2</v>
      </c>
      <c r="BJ8">
        <v>1.6250604374854701E-2</v>
      </c>
      <c r="BK8">
        <v>4.6688704065824798E-3</v>
      </c>
      <c r="BL8">
        <v>1.55153802958352E-3</v>
      </c>
      <c r="BM8">
        <v>0.12646248810135499</v>
      </c>
      <c r="BN8">
        <v>5.8090285264904302E-3</v>
      </c>
      <c r="BO8">
        <v>0.30695585908513101</v>
      </c>
      <c r="BP8">
        <v>0.16192765787010199</v>
      </c>
      <c r="BQ8">
        <v>0</v>
      </c>
      <c r="BR8">
        <v>0.39125770984552399</v>
      </c>
      <c r="BS8">
        <v>0</v>
      </c>
    </row>
    <row r="9" spans="1:71">
      <c r="A9" s="30" t="s">
        <v>140</v>
      </c>
      <c r="B9" s="38">
        <v>-0.2071248629817006</v>
      </c>
      <c r="C9" s="38">
        <v>-16.991458540009333</v>
      </c>
      <c r="D9" s="38">
        <v>9.0532189439496111</v>
      </c>
      <c r="E9" s="38">
        <v>-2.251127280297669</v>
      </c>
      <c r="F9" s="38">
        <v>-11.311273346342883</v>
      </c>
      <c r="G9" s="38">
        <v>3.3266602733210041E-2</v>
      </c>
      <c r="H9" s="38">
        <v>1.3487787255449082</v>
      </c>
      <c r="I9" s="38">
        <v>-4.808360938644701</v>
      </c>
      <c r="J9" s="38">
        <v>-0.27238369293652298</v>
      </c>
      <c r="K9" s="38">
        <v>-0.54651565076797592</v>
      </c>
      <c r="L9" s="38">
        <v>0.92224302345099385</v>
      </c>
      <c r="M9" s="38">
        <v>9.4537978567647035E-2</v>
      </c>
      <c r="N9" s="38">
        <v>10.482483768913637</v>
      </c>
      <c r="O9" s="38">
        <v>0.13004845108309737</v>
      </c>
      <c r="P9" s="38">
        <v>0</v>
      </c>
      <c r="Q9" s="38"/>
      <c r="V9" s="2"/>
      <c r="AD9" t="s">
        <v>140</v>
      </c>
      <c r="AE9" s="38">
        <v>-0.2071248629817006</v>
      </c>
      <c r="AF9" s="38">
        <v>-16.991458540009333</v>
      </c>
      <c r="AG9" s="38">
        <v>9.0532189439496111</v>
      </c>
      <c r="AH9" s="38">
        <v>-2.251127280297669</v>
      </c>
      <c r="AI9" s="38">
        <v>-11.311273346342883</v>
      </c>
      <c r="AJ9" s="38">
        <v>3.3266602733210041E-2</v>
      </c>
      <c r="AK9" s="38">
        <v>1.3487787255449082</v>
      </c>
      <c r="AL9" s="38">
        <v>-4.808360938644701</v>
      </c>
      <c r="AM9" s="38">
        <v>-0.27238369293652298</v>
      </c>
      <c r="AN9" s="38">
        <v>-0.54651565076797592</v>
      </c>
      <c r="AO9" s="38">
        <v>0.92224302345099385</v>
      </c>
      <c r="AP9" s="38">
        <v>9.4537978567647035E-2</v>
      </c>
      <c r="AQ9" s="38">
        <v>10.482483768913637</v>
      </c>
      <c r="AR9" s="38">
        <v>0.13004845108309737</v>
      </c>
      <c r="AS9" s="38">
        <v>0</v>
      </c>
      <c r="BE9">
        <v>0.34956173593616102</v>
      </c>
      <c r="BF9">
        <v>0.115657508582417</v>
      </c>
      <c r="BG9">
        <v>0.39021052126456901</v>
      </c>
      <c r="BH9">
        <v>4.7216190930233798E-4</v>
      </c>
      <c r="BI9">
        <v>1.84671093212402E-2</v>
      </c>
      <c r="BJ9">
        <v>0</v>
      </c>
      <c r="BK9">
        <v>3.3844558253011497E-2</v>
      </c>
      <c r="BL9">
        <v>1.1274886732176101E-2</v>
      </c>
      <c r="BM9">
        <v>0.168038910243717</v>
      </c>
      <c r="BN9">
        <v>5.1167368706700196E-4</v>
      </c>
      <c r="BO9">
        <v>0.231096417366287</v>
      </c>
      <c r="BP9">
        <v>1.5497622192323999E-3</v>
      </c>
      <c r="BQ9">
        <v>0</v>
      </c>
      <c r="BR9">
        <v>4.1564170010400199E-2</v>
      </c>
      <c r="BS9">
        <v>0</v>
      </c>
    </row>
    <row r="10" spans="1:71">
      <c r="A10" s="30" t="s">
        <v>141</v>
      </c>
      <c r="B10" s="38">
        <v>0.2857834824326006</v>
      </c>
      <c r="C10" s="38">
        <v>9.9325041358294559</v>
      </c>
      <c r="D10" s="38">
        <v>-3.2179779117626177</v>
      </c>
      <c r="E10" s="38">
        <v>-0.38304790594584726</v>
      </c>
      <c r="F10" s="38">
        <v>3.7211152842371868</v>
      </c>
      <c r="G10" s="38">
        <v>0.72002950045712277</v>
      </c>
      <c r="H10" s="38">
        <v>3.3879337067055029</v>
      </c>
      <c r="I10" s="38">
        <v>-11.456536077595333</v>
      </c>
      <c r="J10" s="38">
        <v>0.16773904136000437</v>
      </c>
      <c r="K10" s="38">
        <v>-0.1781092643823515</v>
      </c>
      <c r="L10" s="38">
        <v>-0.26246932155646074</v>
      </c>
      <c r="M10" s="38">
        <v>-0.2231514078381541</v>
      </c>
      <c r="N10" s="38">
        <v>-1.6330859160857703</v>
      </c>
      <c r="O10" s="38">
        <v>-0.27197468089017746</v>
      </c>
      <c r="P10" s="38">
        <v>0</v>
      </c>
      <c r="Q10" s="38"/>
      <c r="T10" s="30" t="s">
        <v>134</v>
      </c>
      <c r="U10" s="3">
        <v>7.7783574528293187</v>
      </c>
      <c r="V10" s="3">
        <f t="array" ref="V10">SUMPRODUCT($B3:$P3,TRANSPOSE(V$33:V$47))</f>
        <v>7.7783574528293187</v>
      </c>
      <c r="W10" s="3">
        <v>3180.1802472461382</v>
      </c>
      <c r="X10" s="3">
        <f t="array" ref="X10">SUMPRODUCT($B3:$Q3,TRANSPOSE(X$33:X$48))</f>
        <v>-3172.4018897933092</v>
      </c>
      <c r="AD10" t="s">
        <v>141</v>
      </c>
      <c r="AE10" s="38">
        <v>0.2857834824326006</v>
      </c>
      <c r="AF10" s="38">
        <v>9.9325041358294559</v>
      </c>
      <c r="AG10" s="38">
        <v>-3.2179779117626177</v>
      </c>
      <c r="AH10" s="38">
        <v>-0.38304790594584726</v>
      </c>
      <c r="AI10" s="38">
        <v>3.7211152842371868</v>
      </c>
      <c r="AJ10" s="38">
        <v>0.72002950045712277</v>
      </c>
      <c r="AK10" s="38">
        <v>3.3879337067055029</v>
      </c>
      <c r="AL10" s="38">
        <v>-11.456536077595333</v>
      </c>
      <c r="AM10" s="38">
        <v>0.16773904136000437</v>
      </c>
      <c r="AN10" s="38">
        <v>-0.1781092643823515</v>
      </c>
      <c r="AO10" s="38">
        <v>-0.26246932155646074</v>
      </c>
      <c r="AP10" s="38">
        <v>-0.2231514078381541</v>
      </c>
      <c r="AQ10" s="38">
        <v>-1.6330859160857703</v>
      </c>
      <c r="AR10" s="38">
        <v>-0.27197468089017746</v>
      </c>
      <c r="AS10" s="38">
        <v>0</v>
      </c>
      <c r="BE10">
        <v>0</v>
      </c>
      <c r="BF10">
        <v>3.0885813411768901E-3</v>
      </c>
      <c r="BG10">
        <v>5.6585917180742599E-3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6.6735445607198996E-4</v>
      </c>
      <c r="BO10">
        <v>3.4798394762463399E-3</v>
      </c>
      <c r="BP10">
        <v>0</v>
      </c>
      <c r="BQ10">
        <v>0</v>
      </c>
      <c r="BR10">
        <v>0</v>
      </c>
      <c r="BS10">
        <v>0</v>
      </c>
    </row>
    <row r="11" spans="1:71">
      <c r="A11" s="30" t="s">
        <v>142</v>
      </c>
      <c r="B11" s="38">
        <v>-4.4490679257438606</v>
      </c>
      <c r="C11" s="38">
        <v>-3.3014905913888</v>
      </c>
      <c r="D11" s="38">
        <v>0.60663801078638924</v>
      </c>
      <c r="E11" s="38">
        <v>-6.9146817910148872</v>
      </c>
      <c r="F11" s="38">
        <v>32.163933050281145</v>
      </c>
      <c r="G11" s="38">
        <v>4.8890574981791968</v>
      </c>
      <c r="H11" s="38">
        <v>-62.106802864005225</v>
      </c>
      <c r="I11" s="38">
        <v>224.90533376563369</v>
      </c>
      <c r="J11" s="38">
        <v>1.3487835813255022</v>
      </c>
      <c r="K11" s="38">
        <v>-2.4334519912622401</v>
      </c>
      <c r="L11" s="38">
        <v>3.0636811017826728</v>
      </c>
      <c r="M11" s="38">
        <v>-1.8491321442097886</v>
      </c>
      <c r="N11" s="38">
        <v>-64.274199768534416</v>
      </c>
      <c r="O11" s="38">
        <v>0.72796036701690248</v>
      </c>
      <c r="P11" s="38">
        <v>0</v>
      </c>
      <c r="Q11" s="38"/>
      <c r="T11" s="30" t="s">
        <v>135</v>
      </c>
      <c r="U11" s="3">
        <v>564.92135645304108</v>
      </c>
      <c r="V11" s="3">
        <f t="array" ref="V11">SUMPRODUCT($B4:$P4,TRANSPOSE(V$33:V$47))</f>
        <v>564.92135645301187</v>
      </c>
      <c r="W11" s="3">
        <v>1255.3372483034705</v>
      </c>
      <c r="X11" s="3">
        <f t="array" ref="X11">SUMPRODUCT($B4:$Q4,TRANSPOSE(X$33:X$48))</f>
        <v>-690.41589185041801</v>
      </c>
      <c r="AD11" t="s">
        <v>142</v>
      </c>
      <c r="AE11" s="38">
        <v>-4.4490679257438606</v>
      </c>
      <c r="AF11" s="38">
        <v>-3.3014905913888</v>
      </c>
      <c r="AG11" s="38">
        <v>0.60663801078638924</v>
      </c>
      <c r="AH11" s="38">
        <v>-6.9146817910148872</v>
      </c>
      <c r="AI11" s="38">
        <v>32.163933050281145</v>
      </c>
      <c r="AJ11" s="38">
        <v>4.8890574981791968</v>
      </c>
      <c r="AK11" s="38">
        <v>-62.106802864005225</v>
      </c>
      <c r="AL11" s="38">
        <v>224.90533376563369</v>
      </c>
      <c r="AM11" s="38">
        <v>1.3487835813255022</v>
      </c>
      <c r="AN11" s="38">
        <v>-2.4334519912622401</v>
      </c>
      <c r="AO11" s="38">
        <v>3.0636811017826728</v>
      </c>
      <c r="AP11" s="38">
        <v>-1.8491321442097886</v>
      </c>
      <c r="AQ11" s="38">
        <v>-64.274199768534416</v>
      </c>
      <c r="AR11" s="38">
        <v>0.72796036701690248</v>
      </c>
      <c r="AS11" s="38">
        <v>0</v>
      </c>
      <c r="BE11">
        <v>3.4359633616016399E-3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0.22417188072445801</v>
      </c>
      <c r="BN11">
        <v>2.74632245850507E-2</v>
      </c>
      <c r="BO11">
        <v>0.112129704746078</v>
      </c>
      <c r="BP11">
        <v>4.7903651045228701E-2</v>
      </c>
      <c r="BQ11">
        <v>0</v>
      </c>
      <c r="BR11">
        <v>1.1534140550528999E-2</v>
      </c>
      <c r="BS11">
        <v>0</v>
      </c>
    </row>
    <row r="12" spans="1:71">
      <c r="A12" s="30" t="s">
        <v>143</v>
      </c>
      <c r="B12" s="38">
        <v>-0.10768623747137106</v>
      </c>
      <c r="C12" s="38">
        <v>5.2982493010265435</v>
      </c>
      <c r="D12" s="38">
        <v>-2.6846257371139859</v>
      </c>
      <c r="E12" s="38">
        <v>-0.3406121754483416</v>
      </c>
      <c r="F12" s="38">
        <v>14.449204977914894</v>
      </c>
      <c r="G12" s="38">
        <v>0.78815557400695202</v>
      </c>
      <c r="H12" s="38">
        <v>-34.386385304465875</v>
      </c>
      <c r="I12" s="38">
        <v>127.52365645084372</v>
      </c>
      <c r="J12" s="38">
        <v>0.23467625266602823</v>
      </c>
      <c r="K12" s="38">
        <v>0.44977184676564541</v>
      </c>
      <c r="L12" s="38">
        <v>-0.63381821871969501</v>
      </c>
      <c r="M12" s="38">
        <v>-0.27901335598571547</v>
      </c>
      <c r="N12" s="38">
        <v>-38.351890476729359</v>
      </c>
      <c r="O12" s="38">
        <v>-0.15864941271267399</v>
      </c>
      <c r="P12" s="38">
        <v>0</v>
      </c>
      <c r="Q12" s="38"/>
      <c r="T12" s="30" t="s">
        <v>136</v>
      </c>
      <c r="U12" s="3">
        <v>1417.0180060400132</v>
      </c>
      <c r="V12" s="3">
        <f t="array" ref="V12">SUMPRODUCT($B5:$P5,TRANSPOSE(V$33:V$47))</f>
        <v>1417.0180060400417</v>
      </c>
      <c r="W12" s="3">
        <v>4236.077862770313</v>
      </c>
      <c r="X12" s="3">
        <f t="array" ref="X12">SUMPRODUCT($B5:$Q5,TRANSPOSE(X$33:X$48))</f>
        <v>-2819.0598567303223</v>
      </c>
      <c r="AD12" t="s">
        <v>143</v>
      </c>
      <c r="AE12" s="38">
        <v>-0.10768623747137106</v>
      </c>
      <c r="AF12" s="38">
        <v>5.2982493010265435</v>
      </c>
      <c r="AG12" s="38">
        <v>-2.6846257371139859</v>
      </c>
      <c r="AH12" s="38">
        <v>-0.3406121754483416</v>
      </c>
      <c r="AI12" s="38">
        <v>14.449204977914894</v>
      </c>
      <c r="AJ12" s="38">
        <v>0.78815557400695202</v>
      </c>
      <c r="AK12" s="38">
        <v>-34.386385304465875</v>
      </c>
      <c r="AL12" s="38">
        <v>127.52365645084372</v>
      </c>
      <c r="AM12" s="38">
        <v>0.23467625266602823</v>
      </c>
      <c r="AN12" s="38">
        <v>0.44977184676564541</v>
      </c>
      <c r="AO12" s="38">
        <v>-0.63381821871969501</v>
      </c>
      <c r="AP12" s="38">
        <v>-0.27901335598571547</v>
      </c>
      <c r="AQ12" s="38">
        <v>-38.351890476729359</v>
      </c>
      <c r="AR12" s="38">
        <v>-0.15864941271267399</v>
      </c>
      <c r="AS12" s="38">
        <v>0</v>
      </c>
      <c r="BE12">
        <v>0.24685141520300199</v>
      </c>
      <c r="BF12">
        <v>3.8913610078224303E-2</v>
      </c>
      <c r="BG12">
        <v>0.124792707699869</v>
      </c>
      <c r="BH12">
        <v>0</v>
      </c>
      <c r="BI12">
        <v>2.7375722481596899E-2</v>
      </c>
      <c r="BJ12">
        <v>0</v>
      </c>
      <c r="BK12">
        <v>7.9882855334805894E-2</v>
      </c>
      <c r="BL12">
        <v>2.5457093726887901E-2</v>
      </c>
      <c r="BM12">
        <v>7.6739227733861395E-2</v>
      </c>
      <c r="BN12">
        <v>0.41934908344601801</v>
      </c>
      <c r="BO12">
        <v>8.1444856045045394E-2</v>
      </c>
      <c r="BP12">
        <v>0</v>
      </c>
      <c r="BQ12">
        <v>0</v>
      </c>
      <c r="BR12">
        <v>1.60773508060043E-4</v>
      </c>
      <c r="BS12">
        <v>0</v>
      </c>
    </row>
    <row r="13" spans="1:71">
      <c r="A13" s="30" t="s">
        <v>144</v>
      </c>
      <c r="B13" s="38">
        <v>-0.27704530341908001</v>
      </c>
      <c r="C13" s="38">
        <v>-1.6232265250351949</v>
      </c>
      <c r="D13" s="38">
        <v>1.0514754290685395</v>
      </c>
      <c r="E13" s="38">
        <v>1.5822455483366935</v>
      </c>
      <c r="F13" s="38">
        <v>-3.8366580807252397</v>
      </c>
      <c r="G13" s="38">
        <v>1.4053043123547513</v>
      </c>
      <c r="H13" s="38">
        <v>2.6349118490875734</v>
      </c>
      <c r="I13" s="38">
        <v>-8.6890854486138434</v>
      </c>
      <c r="J13" s="38">
        <v>0.19477598806829916</v>
      </c>
      <c r="K13" s="38">
        <v>0.32462625415084329</v>
      </c>
      <c r="L13" s="38">
        <v>-0.37895938184389411</v>
      </c>
      <c r="M13" s="38">
        <v>-0.41587064825749409</v>
      </c>
      <c r="N13" s="38">
        <v>3.7961532291689553</v>
      </c>
      <c r="O13" s="38">
        <v>-0.14920486666055929</v>
      </c>
      <c r="P13" s="38">
        <v>0</v>
      </c>
      <c r="Q13" s="38"/>
      <c r="T13" s="30" t="s">
        <v>137</v>
      </c>
      <c r="U13" s="3">
        <v>771.86232227187475</v>
      </c>
      <c r="V13" s="3">
        <f t="array" ref="V13">SUMPRODUCT($B6:$P6,TRANSPOSE(V$33:V$47))</f>
        <v>771.86232227183064</v>
      </c>
      <c r="W13" s="3">
        <v>1902.2274639240179</v>
      </c>
      <c r="X13" s="3">
        <f t="array" ref="X13">SUMPRODUCT($B6:$Q6,TRANSPOSE(X$33:X$48))</f>
        <v>-1130.3651416520893</v>
      </c>
      <c r="AD13" t="s">
        <v>144</v>
      </c>
      <c r="AE13" s="38">
        <v>-0.27704530341908001</v>
      </c>
      <c r="AF13" s="38">
        <v>-1.6232265250351949</v>
      </c>
      <c r="AG13" s="38">
        <v>1.0514754290685395</v>
      </c>
      <c r="AH13" s="38">
        <v>1.5822455483366935</v>
      </c>
      <c r="AI13" s="38">
        <v>-3.8366580807252397</v>
      </c>
      <c r="AJ13" s="38">
        <v>1.4053043123547513</v>
      </c>
      <c r="AK13" s="38">
        <v>2.6349118490875734</v>
      </c>
      <c r="AL13" s="38">
        <v>-8.6890854486138434</v>
      </c>
      <c r="AM13" s="38">
        <v>0.19477598806829916</v>
      </c>
      <c r="AN13" s="38">
        <v>0.32462625415084329</v>
      </c>
      <c r="AO13" s="38">
        <v>-0.37895938184389411</v>
      </c>
      <c r="AP13" s="38">
        <v>-0.41587064825749409</v>
      </c>
      <c r="AQ13" s="38">
        <v>3.7961532291689553</v>
      </c>
      <c r="AR13" s="38">
        <v>-0.14920486666055929</v>
      </c>
      <c r="AS13" s="38">
        <v>0</v>
      </c>
      <c r="BE13">
        <v>3.29929809557599E-2</v>
      </c>
      <c r="BF13">
        <v>0</v>
      </c>
      <c r="BG13">
        <v>8.2665664577064896E-2</v>
      </c>
      <c r="BH13">
        <v>0.54483471137118999</v>
      </c>
      <c r="BI13">
        <v>3.1452985984725401E-3</v>
      </c>
      <c r="BJ13">
        <v>0.711657394142165</v>
      </c>
      <c r="BK13">
        <v>6.1373360415542299E-3</v>
      </c>
      <c r="BL13">
        <v>0</v>
      </c>
      <c r="BM13">
        <v>6.3515409730840799E-2</v>
      </c>
      <c r="BN13">
        <v>0</v>
      </c>
      <c r="BO13">
        <v>0</v>
      </c>
      <c r="BP13">
        <v>0.16227791368687999</v>
      </c>
      <c r="BQ13">
        <v>0</v>
      </c>
      <c r="BR13">
        <v>1.07426363232229E-2</v>
      </c>
      <c r="BS13">
        <v>0</v>
      </c>
    </row>
    <row r="14" spans="1:71">
      <c r="A14" s="30" t="s">
        <v>145</v>
      </c>
      <c r="B14" s="38">
        <v>-0.17399853243867527</v>
      </c>
      <c r="C14" s="38">
        <v>-0.48517786576338268</v>
      </c>
      <c r="D14" s="38">
        <v>0.39792883451135469</v>
      </c>
      <c r="E14" s="38">
        <v>-1.4016659710548378</v>
      </c>
      <c r="F14" s="38">
        <v>14.580549616082978</v>
      </c>
      <c r="G14" s="38">
        <v>0.7333693359099337</v>
      </c>
      <c r="H14" s="38">
        <v>12.998016230052579</v>
      </c>
      <c r="I14" s="38">
        <v>-48.80168542402793</v>
      </c>
      <c r="J14" s="38">
        <v>0.13895201522251707</v>
      </c>
      <c r="K14" s="38">
        <v>0.2659475541986614</v>
      </c>
      <c r="L14" s="38">
        <v>-0.32263209472374516</v>
      </c>
      <c r="M14" s="38">
        <v>-0.22912844043826902</v>
      </c>
      <c r="N14" s="38">
        <v>9.0852239911852752</v>
      </c>
      <c r="O14" s="38">
        <v>-0.1147950022699326</v>
      </c>
      <c r="P14" s="38">
        <v>0</v>
      </c>
      <c r="Q14" s="38"/>
      <c r="T14" s="30" t="s">
        <v>138</v>
      </c>
      <c r="U14" s="3">
        <v>142.46788917113687</v>
      </c>
      <c r="V14" s="3">
        <f t="array" ref="V14">SUMPRODUCT($B7:$P7,TRANSPOSE(V$33:V$47))</f>
        <v>142.46788917118556</v>
      </c>
      <c r="W14" s="3">
        <v>105.27702271719014</v>
      </c>
      <c r="X14" s="3">
        <f t="array" ref="X14">SUMPRODUCT($B7:$Q7,TRANSPOSE(X$33:X$48))</f>
        <v>37.190866453898821</v>
      </c>
      <c r="AD14" t="s">
        <v>145</v>
      </c>
      <c r="AE14" s="38">
        <v>-0.17399853243867527</v>
      </c>
      <c r="AF14" s="38">
        <v>-0.48517786576338268</v>
      </c>
      <c r="AG14" s="38">
        <v>0.39792883451135469</v>
      </c>
      <c r="AH14" s="38">
        <v>-1.4016659710548378</v>
      </c>
      <c r="AI14" s="38">
        <v>14.580549616082978</v>
      </c>
      <c r="AJ14" s="38">
        <v>0.7333693359099337</v>
      </c>
      <c r="AK14" s="38">
        <v>12.998016230052579</v>
      </c>
      <c r="AL14" s="38">
        <v>-48.80168542402793</v>
      </c>
      <c r="AM14" s="38">
        <v>0.13895201522251707</v>
      </c>
      <c r="AN14" s="38">
        <v>0.2659475541986614</v>
      </c>
      <c r="AO14" s="38">
        <v>-0.32263209472374516</v>
      </c>
      <c r="AP14" s="38">
        <v>-0.22912844043826902</v>
      </c>
      <c r="AQ14" s="38">
        <v>9.0852239911852752</v>
      </c>
      <c r="AR14" s="38">
        <v>-0.1147950022699326</v>
      </c>
      <c r="AS14" s="38">
        <v>0</v>
      </c>
      <c r="BE14">
        <v>0.102098253481002</v>
      </c>
      <c r="BF14">
        <v>0</v>
      </c>
      <c r="BG14">
        <v>8.7741226281186302E-2</v>
      </c>
      <c r="BH14">
        <v>0.10612641358882501</v>
      </c>
      <c r="BI14">
        <v>9.4533703328044505E-2</v>
      </c>
      <c r="BJ14">
        <v>0.123305804301238</v>
      </c>
      <c r="BK14">
        <v>3.8693344900967298E-2</v>
      </c>
      <c r="BL14">
        <v>0</v>
      </c>
      <c r="BM14">
        <v>0.11977876547936001</v>
      </c>
      <c r="BN14">
        <v>0</v>
      </c>
      <c r="BO14">
        <v>0</v>
      </c>
      <c r="BP14">
        <v>0.28170722290351902</v>
      </c>
      <c r="BQ14">
        <v>0</v>
      </c>
      <c r="BR14">
        <v>2.4350643485177501E-2</v>
      </c>
      <c r="BS14">
        <v>0</v>
      </c>
    </row>
    <row r="15" spans="1:71">
      <c r="A15" s="30" t="s">
        <v>146</v>
      </c>
      <c r="B15" s="38">
        <v>2.2603682276830579E-2</v>
      </c>
      <c r="C15" s="38">
        <v>2.5051985272264165E-2</v>
      </c>
      <c r="D15" s="38">
        <v>-3.1471362763143371E-2</v>
      </c>
      <c r="E15" s="38">
        <v>0.12997341288866557</v>
      </c>
      <c r="F15" s="38">
        <v>-1.6049764806721645</v>
      </c>
      <c r="G15" s="38">
        <v>-0.10112172856446941</v>
      </c>
      <c r="H15" s="38">
        <v>5.1491166483431776</v>
      </c>
      <c r="I15" s="38">
        <v>-8.903049360439466</v>
      </c>
      <c r="J15" s="38">
        <v>-1.9011261813722934E-2</v>
      </c>
      <c r="K15" s="38">
        <v>-3.5793385600560175E-2</v>
      </c>
      <c r="L15" s="38">
        <v>4.4002476915902609E-2</v>
      </c>
      <c r="M15" s="38">
        <v>3.1589649710902154E-2</v>
      </c>
      <c r="N15" s="38">
        <v>2.6260996214367411</v>
      </c>
      <c r="O15" s="38">
        <v>1.5255127229860327E-2</v>
      </c>
      <c r="P15" s="38">
        <v>0</v>
      </c>
      <c r="Q15" s="38"/>
      <c r="T15" s="30" t="s">
        <v>139</v>
      </c>
      <c r="U15" s="3">
        <v>6499.7634837167643</v>
      </c>
      <c r="V15" s="3">
        <f t="array" ref="V15">SUMPRODUCT($B8:$P8,TRANSPOSE(V$33:V$47))</f>
        <v>6499.7634837166897</v>
      </c>
      <c r="W15" s="3">
        <v>3336.1908868612804</v>
      </c>
      <c r="X15" s="3">
        <f t="array" ref="X15">SUMPRODUCT($B8:$Q8,TRANSPOSE(X$33:X$48))</f>
        <v>3163.5725968555662</v>
      </c>
      <c r="AD15" t="s">
        <v>146</v>
      </c>
      <c r="AE15" s="38">
        <v>2.2603682276830579E-2</v>
      </c>
      <c r="AF15" s="38">
        <v>2.5051985272264165E-2</v>
      </c>
      <c r="AG15" s="38">
        <v>-3.1471362763143371E-2</v>
      </c>
      <c r="AH15" s="38">
        <v>0.12997341288866557</v>
      </c>
      <c r="AI15" s="38">
        <v>-1.6049764806721645</v>
      </c>
      <c r="AJ15" s="38">
        <v>-0.10112172856446941</v>
      </c>
      <c r="AK15" s="38">
        <v>5.1491166483431776</v>
      </c>
      <c r="AL15" s="38">
        <v>-8.903049360439466</v>
      </c>
      <c r="AM15" s="38">
        <v>-1.9011261813722934E-2</v>
      </c>
      <c r="AN15" s="38">
        <v>-3.5793385600560175E-2</v>
      </c>
      <c r="AO15" s="38">
        <v>4.4002476915902609E-2</v>
      </c>
      <c r="AP15" s="38">
        <v>3.1589649710902154E-2</v>
      </c>
      <c r="AQ15" s="38">
        <v>2.6260996214367411</v>
      </c>
      <c r="AR15" s="38">
        <v>1.5255127229860327E-2</v>
      </c>
      <c r="AS15" s="38">
        <v>0</v>
      </c>
      <c r="BE15">
        <v>6.5123368452661597E-3</v>
      </c>
      <c r="BF15">
        <v>0</v>
      </c>
      <c r="BG15">
        <v>0</v>
      </c>
      <c r="BH15">
        <v>0</v>
      </c>
      <c r="BI15">
        <v>1.0911252060007801E-2</v>
      </c>
      <c r="BJ15">
        <v>0</v>
      </c>
      <c r="BK15">
        <v>0.75374576593382003</v>
      </c>
      <c r="BL15">
        <v>0.14083688344160999</v>
      </c>
      <c r="BM15">
        <v>0</v>
      </c>
      <c r="BN15">
        <v>1.468400924852E-3</v>
      </c>
      <c r="BO15">
        <v>0</v>
      </c>
      <c r="BP15">
        <v>0</v>
      </c>
      <c r="BQ15">
        <v>0</v>
      </c>
      <c r="BR15">
        <v>0.199513352912882</v>
      </c>
      <c r="BS15">
        <v>0</v>
      </c>
    </row>
    <row r="16" spans="1:71">
      <c r="A16" s="30" t="s">
        <v>148</v>
      </c>
      <c r="B16" s="38">
        <v>1.6750375873695302</v>
      </c>
      <c r="C16" s="38">
        <v>-0.71722116935814761</v>
      </c>
      <c r="D16" s="38">
        <v>-0.10276026814106053</v>
      </c>
      <c r="E16" s="38">
        <v>2.0891853040581676</v>
      </c>
      <c r="F16" s="38">
        <v>-14.983738019824163</v>
      </c>
      <c r="G16" s="38">
        <v>-1.5753191230165535</v>
      </c>
      <c r="H16" s="38">
        <v>34.556586098787925</v>
      </c>
      <c r="I16" s="38">
        <v>-125.76255078744727</v>
      </c>
      <c r="J16" s="38">
        <v>-0.47983933242803545</v>
      </c>
      <c r="K16" s="38">
        <v>1.5563375360101408</v>
      </c>
      <c r="L16" s="38">
        <v>0.67528560747343913</v>
      </c>
      <c r="M16" s="38">
        <v>0.62276265538186437</v>
      </c>
      <c r="N16" s="38">
        <v>36.127398806522748</v>
      </c>
      <c r="O16" s="38">
        <v>-0.31697252169586831</v>
      </c>
      <c r="P16" s="38">
        <v>0</v>
      </c>
      <c r="Q16" s="38"/>
      <c r="T16" s="30" t="s">
        <v>140</v>
      </c>
      <c r="U16" s="3">
        <v>17963.075340760141</v>
      </c>
      <c r="V16" s="3">
        <f t="array" ref="V16">SUMPRODUCT($B9:$P9,TRANSPOSE(V$33:V$47))</f>
        <v>17963.07534076017</v>
      </c>
      <c r="W16" s="3">
        <v>12213.006297177059</v>
      </c>
      <c r="X16" s="3">
        <f t="array" ref="X16">SUMPRODUCT($B9:$Q9,TRANSPOSE(X$33:X$48))</f>
        <v>5750.0690435830302</v>
      </c>
      <c r="AD16" t="s">
        <v>148</v>
      </c>
      <c r="AE16" s="38">
        <v>1.6750375873695302</v>
      </c>
      <c r="AF16" s="38">
        <v>-0.71722116935814761</v>
      </c>
      <c r="AG16" s="38">
        <v>-0.10276026814106053</v>
      </c>
      <c r="AH16" s="38">
        <v>2.0891853040581676</v>
      </c>
      <c r="AI16" s="38">
        <v>-14.983738019824163</v>
      </c>
      <c r="AJ16" s="38">
        <v>-1.5753191230165535</v>
      </c>
      <c r="AK16" s="38">
        <v>34.556586098787925</v>
      </c>
      <c r="AL16" s="38">
        <v>-125.76255078744727</v>
      </c>
      <c r="AM16" s="38">
        <v>-0.47983933242803545</v>
      </c>
      <c r="AN16" s="38">
        <v>1.5563375360101408</v>
      </c>
      <c r="AO16" s="38">
        <v>0.67528560747343913</v>
      </c>
      <c r="AP16" s="38">
        <v>0.62276265538186437</v>
      </c>
      <c r="AQ16" s="38">
        <v>36.127398806522748</v>
      </c>
      <c r="AR16" s="38">
        <v>-0.31697252169586831</v>
      </c>
      <c r="AS16" s="38">
        <v>0</v>
      </c>
      <c r="BE16">
        <v>0</v>
      </c>
      <c r="BF16">
        <v>1.9594592177399499E-2</v>
      </c>
      <c r="BG16">
        <v>3.08340937988998E-2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0.26270494370181302</v>
      </c>
      <c r="BO16">
        <v>0.26489332328121301</v>
      </c>
      <c r="BP16">
        <v>0</v>
      </c>
      <c r="BQ16">
        <v>0</v>
      </c>
      <c r="BR16">
        <v>0</v>
      </c>
      <c r="BS16">
        <v>0</v>
      </c>
    </row>
    <row r="17" spans="1:71">
      <c r="A17" s="30" t="s">
        <v>147</v>
      </c>
      <c r="B17" s="38">
        <v>0</v>
      </c>
      <c r="C17" s="38">
        <v>0</v>
      </c>
      <c r="D17" s="38">
        <v>0</v>
      </c>
      <c r="E17" s="38">
        <v>0</v>
      </c>
      <c r="F17" s="38">
        <v>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1</v>
      </c>
      <c r="Q17" s="38"/>
      <c r="T17" s="30" t="s">
        <v>141</v>
      </c>
      <c r="U17" s="3">
        <v>159.11932518778676</v>
      </c>
      <c r="V17" s="3">
        <f t="array" ref="V17">SUMPRODUCT($B10:$P10,TRANSPOSE(V$33:V$47))</f>
        <v>159.11932518777189</v>
      </c>
      <c r="W17" s="3">
        <v>87.548092196618342</v>
      </c>
      <c r="X17" s="3">
        <f t="array" ref="X17">SUMPRODUCT($B10:$Q10,TRANSPOSE(X$33:X$48))</f>
        <v>71.571232991186022</v>
      </c>
      <c r="AD17" t="s">
        <v>147</v>
      </c>
      <c r="AE17" s="38">
        <v>0</v>
      </c>
      <c r="AF17" s="38">
        <v>0</v>
      </c>
      <c r="AG17" s="38">
        <v>0</v>
      </c>
      <c r="AH17" s="38">
        <v>0</v>
      </c>
      <c r="AI17" s="38">
        <v>0</v>
      </c>
      <c r="AJ17" s="38">
        <v>0</v>
      </c>
      <c r="AK17" s="38">
        <v>0</v>
      </c>
      <c r="AL17" s="38">
        <v>0</v>
      </c>
      <c r="AM17" s="38">
        <v>0</v>
      </c>
      <c r="AN17" s="38">
        <v>0</v>
      </c>
      <c r="AO17" s="38">
        <v>0</v>
      </c>
      <c r="AP17" s="38">
        <v>0</v>
      </c>
      <c r="AQ17" s="38">
        <v>0</v>
      </c>
      <c r="AR17" s="38">
        <v>0</v>
      </c>
      <c r="AS17" s="38">
        <v>1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1</v>
      </c>
    </row>
    <row r="18" spans="1:71">
      <c r="A18" s="30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T18" s="30" t="s">
        <v>142</v>
      </c>
      <c r="U18" s="3">
        <v>365.99103323830894</v>
      </c>
      <c r="V18" s="3">
        <f t="array" ref="V18">SUMPRODUCT($B11:$P11,TRANSPOSE(V$33:V$47))</f>
        <v>365.99103323832333</v>
      </c>
      <c r="W18" s="3">
        <v>313.98709371349605</v>
      </c>
      <c r="X18" s="3">
        <f t="array" ref="X18">SUMPRODUCT($B11:$Q11,TRANSPOSE(X$33:X$48))</f>
        <v>52.003939524803371</v>
      </c>
    </row>
    <row r="19" spans="1:71">
      <c r="T19" s="30" t="s">
        <v>143</v>
      </c>
      <c r="U19" s="3">
        <v>6942.1183787016053</v>
      </c>
      <c r="V19" s="3">
        <f t="array" ref="V19">SUMPRODUCT($B12:$P12,TRANSPOSE(V$33:V$47))</f>
        <v>6942.1183787016034</v>
      </c>
      <c r="W19" s="3">
        <v>6893.7843989862695</v>
      </c>
      <c r="X19" s="3">
        <f t="array" ref="X19">SUMPRODUCT($B12:$Q12,TRANSPOSE(X$33:X$48))</f>
        <v>48.333979715349848</v>
      </c>
    </row>
    <row r="20" spans="1:71">
      <c r="T20" s="30" t="s">
        <v>144</v>
      </c>
      <c r="U20" s="3">
        <v>3966.4348314228605</v>
      </c>
      <c r="V20" s="3">
        <f t="array" ref="V20">SUMPRODUCT($B13:$P13,TRANSPOSE(V$33:V$47))</f>
        <v>3966.434831422861</v>
      </c>
      <c r="W20" s="3">
        <v>3869.7298892635263</v>
      </c>
      <c r="X20" s="3">
        <f t="array" ref="X20">SUMPRODUCT($B13:$Q13,TRANSPOSE(X$33:X$48))</f>
        <v>96.704942159330329</v>
      </c>
    </row>
    <row r="21" spans="1:71">
      <c r="T21" s="30" t="s">
        <v>145</v>
      </c>
      <c r="U21" s="3">
        <v>8415.5388435823425</v>
      </c>
      <c r="V21" s="3">
        <f t="array" ref="V21">SUMPRODUCT($B14:$P14,TRANSPOSE(V$33:V$47))</f>
        <v>8415.5388435823461</v>
      </c>
      <c r="W21" s="3">
        <v>9631.7522221696727</v>
      </c>
      <c r="X21" s="3">
        <f t="array" ref="X21">SUMPRODUCT($B14:$Q14,TRANSPOSE(X$33:X$48))</f>
        <v>-1216.2133785873325</v>
      </c>
    </row>
    <row r="22" spans="1:71">
      <c r="T22" s="30" t="s">
        <v>146</v>
      </c>
      <c r="U22" s="3">
        <v>400.81987644140207</v>
      </c>
      <c r="V22" s="3">
        <f t="array" ref="V22">SUMPRODUCT($B15:$P15,TRANSPOSE(V$33:V$47))</f>
        <v>400.81987644140122</v>
      </c>
      <c r="W22" s="3">
        <v>1162.372330700882</v>
      </c>
      <c r="X22" s="3">
        <f t="array" ref="X22">SUMPRODUCT($B15:$Q15,TRANSPOSE(X$33:X$48))</f>
        <v>-761.55245425948056</v>
      </c>
    </row>
    <row r="23" spans="1:71">
      <c r="T23" s="30" t="s">
        <v>148</v>
      </c>
      <c r="U23" s="3">
        <v>1512.0479720799062</v>
      </c>
      <c r="V23" s="3">
        <f t="array" ref="V23">SUMPRODUCT($B16:$P16,TRANSPOSE(V$33:V$47))</f>
        <v>1512.0479720799071</v>
      </c>
      <c r="W23" s="3">
        <v>941.48596049008881</v>
      </c>
      <c r="X23" s="3">
        <f t="array" ref="X23">SUMPRODUCT($B16:$Q16,TRANSPOSE(X$33:X$48))</f>
        <v>570.5620115898065</v>
      </c>
    </row>
    <row r="24" spans="1:71">
      <c r="T24" s="30" t="s">
        <v>147</v>
      </c>
      <c r="U24" s="3">
        <v>0</v>
      </c>
      <c r="V24" s="3">
        <f t="array" ref="V24">SUMPRODUCT($B17:$P17,TRANSPOSE(V$33:V$47))</f>
        <v>0</v>
      </c>
      <c r="W24" s="3">
        <v>0</v>
      </c>
      <c r="X24" s="3">
        <f t="array" ref="X24">SUMPRODUCT($B17:$Q17,TRANSPOSE(X$33:X$48))</f>
        <v>0</v>
      </c>
    </row>
    <row r="25" spans="1:71">
      <c r="U25" s="2"/>
      <c r="V25" s="2"/>
      <c r="W25" s="2"/>
      <c r="X25" s="2"/>
    </row>
    <row r="26" spans="1:71">
      <c r="U26" s="3">
        <f>SUM(U10:U25)</f>
        <v>49128.957016520013</v>
      </c>
      <c r="V26" s="3">
        <f>SUM(V10:V25)</f>
        <v>49128.957016519977</v>
      </c>
      <c r="W26" s="3">
        <f>SUM(W10:W25)</f>
        <v>49128.957016520028</v>
      </c>
    </row>
    <row r="27" spans="1:71">
      <c r="U27" s="3"/>
      <c r="V27" s="3"/>
      <c r="W27" s="3"/>
    </row>
    <row r="28" spans="1:71">
      <c r="A28" s="38"/>
      <c r="B28" s="38" t="s">
        <v>134</v>
      </c>
      <c r="C28" s="38" t="s">
        <v>135</v>
      </c>
      <c r="D28" s="38" t="s">
        <v>136</v>
      </c>
      <c r="E28" s="38" t="s">
        <v>137</v>
      </c>
      <c r="F28" s="38" t="s">
        <v>138</v>
      </c>
      <c r="G28" s="38" t="s">
        <v>139</v>
      </c>
      <c r="H28" s="38" t="s">
        <v>140</v>
      </c>
      <c r="I28" s="38" t="s">
        <v>141</v>
      </c>
      <c r="J28" s="38" t="s">
        <v>142</v>
      </c>
      <c r="K28" s="38" t="s">
        <v>143</v>
      </c>
      <c r="L28" s="38" t="s">
        <v>144</v>
      </c>
      <c r="M28" s="38" t="s">
        <v>145</v>
      </c>
      <c r="N28" s="38" t="s">
        <v>146</v>
      </c>
      <c r="O28" s="38" t="s">
        <v>148</v>
      </c>
      <c r="P28" s="38" t="s">
        <v>147</v>
      </c>
      <c r="Q28" s="38"/>
      <c r="U28" s="3"/>
      <c r="V28" s="3"/>
      <c r="W28" s="3"/>
      <c r="AE28" t="s">
        <v>134</v>
      </c>
      <c r="AF28" t="s">
        <v>135</v>
      </c>
      <c r="AG28" t="s">
        <v>136</v>
      </c>
      <c r="AH28" t="s">
        <v>137</v>
      </c>
      <c r="AI28" t="s">
        <v>138</v>
      </c>
      <c r="AJ28" t="s">
        <v>139</v>
      </c>
      <c r="AK28" t="s">
        <v>140</v>
      </c>
      <c r="AL28" t="s">
        <v>141</v>
      </c>
      <c r="AM28" t="s">
        <v>142</v>
      </c>
      <c r="AN28" t="s">
        <v>143</v>
      </c>
      <c r="AO28" t="s">
        <v>144</v>
      </c>
      <c r="AP28" t="s">
        <v>145</v>
      </c>
      <c r="AQ28" t="s">
        <v>146</v>
      </c>
      <c r="AR28" t="s">
        <v>148</v>
      </c>
      <c r="AS28" t="s">
        <v>147</v>
      </c>
    </row>
    <row r="29" spans="1:71">
      <c r="A29" s="38" t="s">
        <v>5</v>
      </c>
      <c r="B29" s="43">
        <v>9.5462985056054099E-3</v>
      </c>
      <c r="C29" s="43">
        <v>8.3380344120349305E-4</v>
      </c>
      <c r="D29" s="43">
        <v>9.0891526176947401E-2</v>
      </c>
      <c r="E29" s="43">
        <v>0.17349682307391301</v>
      </c>
      <c r="F29" s="43">
        <v>1.1671130191333499E-2</v>
      </c>
      <c r="G29" s="43">
        <v>7.8334199660574796E-2</v>
      </c>
      <c r="H29" s="43">
        <v>0.27923023557555998</v>
      </c>
      <c r="I29" s="43">
        <v>0</v>
      </c>
      <c r="J29" s="43">
        <v>8.1410728311670805E-3</v>
      </c>
      <c r="K29" s="43">
        <v>0.26489051360404697</v>
      </c>
      <c r="L29" s="43">
        <v>2.8743809349134199E-2</v>
      </c>
      <c r="M29" s="43">
        <v>0.118585556112823</v>
      </c>
      <c r="N29" s="43">
        <v>8.4405284238912703E-3</v>
      </c>
      <c r="O29" s="43">
        <v>0</v>
      </c>
      <c r="P29" s="38">
        <v>0</v>
      </c>
      <c r="Q29" s="38"/>
      <c r="R29" s="30"/>
      <c r="U29" s="3">
        <f>SUM(U33:U47)</f>
        <v>49128.957016519998</v>
      </c>
      <c r="V29" s="3">
        <f>SUM(V33:V47)</f>
        <v>49128.957016519998</v>
      </c>
      <c r="W29" s="3">
        <f>SUM(W33:W47)</f>
        <v>49128.957016520013</v>
      </c>
      <c r="X29" s="2">
        <f>SUM(X33:X47)</f>
        <v>-1.1141310096718371E-11</v>
      </c>
      <c r="AD29" t="s">
        <v>5</v>
      </c>
      <c r="AE29" s="38">
        <f t="array" ref="AE29:AS43">MINVERSE(B3:P17)</f>
        <v>9.5462985056078715E-3</v>
      </c>
      <c r="AF29" s="38">
        <v>8.3380344120340816E-4</v>
      </c>
      <c r="AG29" s="38">
        <v>9.089152617694729E-2</v>
      </c>
      <c r="AH29" s="38">
        <v>0.17349682307391295</v>
      </c>
      <c r="AI29" s="38">
        <v>1.1671130191333522E-2</v>
      </c>
      <c r="AJ29" s="38">
        <v>7.8334199660574852E-2</v>
      </c>
      <c r="AK29" s="38">
        <v>0.27923023557555993</v>
      </c>
      <c r="AL29" s="38">
        <v>3.5685048270605691E-16</v>
      </c>
      <c r="AM29" s="38">
        <v>8.1410728311671239E-3</v>
      </c>
      <c r="AN29" s="38">
        <v>0.26489051360404708</v>
      </c>
      <c r="AO29" s="38">
        <v>2.8743809349134047E-2</v>
      </c>
      <c r="AP29" s="38">
        <v>0.11858555611282291</v>
      </c>
      <c r="AQ29" s="38">
        <v>8.4405284238903752E-3</v>
      </c>
      <c r="AR29" s="38">
        <v>5.1708188910469364E-17</v>
      </c>
      <c r="AS29" s="38">
        <v>0</v>
      </c>
    </row>
    <row r="30" spans="1:71">
      <c r="A30" s="38" t="s">
        <v>157</v>
      </c>
      <c r="B30" s="43">
        <v>0.160898316243968</v>
      </c>
      <c r="C30" s="43">
        <v>0</v>
      </c>
      <c r="D30" s="43">
        <v>0</v>
      </c>
      <c r="E30" s="43">
        <v>0</v>
      </c>
      <c r="F30" s="43">
        <v>4.78563253121655E-2</v>
      </c>
      <c r="G30" s="43">
        <v>4.7604061725557499E-2</v>
      </c>
      <c r="H30" s="43">
        <v>8.2247594661577703E-2</v>
      </c>
      <c r="I30" s="43">
        <v>0.25796779362464201</v>
      </c>
      <c r="J30" s="43">
        <v>0</v>
      </c>
      <c r="K30" s="43">
        <v>3.7174327836022099E-2</v>
      </c>
      <c r="L30" s="43">
        <v>0</v>
      </c>
      <c r="M30" s="43">
        <v>0</v>
      </c>
      <c r="N30" s="43">
        <v>0</v>
      </c>
      <c r="O30" s="43">
        <v>3.93771902810338E-2</v>
      </c>
      <c r="P30" s="38">
        <v>0</v>
      </c>
      <c r="Q30" s="38"/>
      <c r="U30" s="3"/>
      <c r="V30" s="3"/>
      <c r="W30" s="3"/>
      <c r="AD30" t="s">
        <v>157</v>
      </c>
      <c r="AE30" s="38">
        <v>0.16089831624396872</v>
      </c>
      <c r="AF30" s="38">
        <v>-3.7090715373322257E-17</v>
      </c>
      <c r="AG30" s="38">
        <v>-1.9587231714001643E-17</v>
      </c>
      <c r="AH30" s="38">
        <v>5.855332033653683E-17</v>
      </c>
      <c r="AI30" s="38">
        <v>4.7856325312165479E-2</v>
      </c>
      <c r="AJ30" s="38">
        <v>4.7604061725557499E-2</v>
      </c>
      <c r="AK30" s="38">
        <v>8.2247594661577814E-2</v>
      </c>
      <c r="AL30" s="38">
        <v>0.25796779362464195</v>
      </c>
      <c r="AM30" s="38">
        <v>-6.6575750347058779E-17</v>
      </c>
      <c r="AN30" s="38">
        <v>3.7174327836022161E-2</v>
      </c>
      <c r="AO30" s="38">
        <v>-5.1314900531588608E-16</v>
      </c>
      <c r="AP30" s="38">
        <v>3.4850686214540155E-17</v>
      </c>
      <c r="AQ30" s="38">
        <v>-3.5006967318641232E-16</v>
      </c>
      <c r="AR30" s="38">
        <v>3.9377190281033793E-2</v>
      </c>
      <c r="AS30" s="38">
        <v>0</v>
      </c>
    </row>
    <row r="31" spans="1:71">
      <c r="A31" s="38" t="s">
        <v>158</v>
      </c>
      <c r="B31" s="43">
        <v>0</v>
      </c>
      <c r="C31" s="43">
        <v>0</v>
      </c>
      <c r="D31" s="43">
        <v>0</v>
      </c>
      <c r="E31" s="43">
        <v>1.40005913370632E-2</v>
      </c>
      <c r="F31" s="43">
        <v>9.4126934034823806E-2</v>
      </c>
      <c r="G31" s="43">
        <v>0.116746680457104</v>
      </c>
      <c r="H31" s="43">
        <v>0.27252026031292897</v>
      </c>
      <c r="I31" s="43">
        <v>0.46415737174584998</v>
      </c>
      <c r="J31" s="43">
        <v>0</v>
      </c>
      <c r="K31" s="43">
        <v>0.11707960718138299</v>
      </c>
      <c r="L31" s="43">
        <v>6.2966447779590096E-2</v>
      </c>
      <c r="M31" s="43">
        <v>8.9100152243053093E-2</v>
      </c>
      <c r="N31" s="43">
        <v>0</v>
      </c>
      <c r="O31" s="43">
        <v>6.0854140310841097E-2</v>
      </c>
      <c r="P31" s="38">
        <v>0</v>
      </c>
      <c r="Q31" s="38"/>
      <c r="U31" s="3"/>
      <c r="V31" s="3"/>
      <c r="W31" s="3"/>
      <c r="AD31" t="s">
        <v>158</v>
      </c>
      <c r="AE31" s="38">
        <v>1.8575534883181566E-15</v>
      </c>
      <c r="AF31" s="38">
        <v>-7.4104527459500926E-17</v>
      </c>
      <c r="AG31" s="38">
        <v>-3.9522414645067162E-17</v>
      </c>
      <c r="AH31" s="38">
        <v>1.4000591337063282E-2</v>
      </c>
      <c r="AI31" s="38">
        <v>9.4126934034823764E-2</v>
      </c>
      <c r="AJ31" s="38">
        <v>0.11674668045710401</v>
      </c>
      <c r="AK31" s="38">
        <v>0.27252026031292909</v>
      </c>
      <c r="AL31" s="38">
        <v>0.46415737174584992</v>
      </c>
      <c r="AM31" s="38">
        <v>-6.9164225628867541E-17</v>
      </c>
      <c r="AN31" s="38">
        <v>0.11707960718138304</v>
      </c>
      <c r="AO31" s="38">
        <v>6.2966447779589221E-2</v>
      </c>
      <c r="AP31" s="38">
        <v>8.910015224305308E-2</v>
      </c>
      <c r="AQ31" s="38">
        <v>-1.1066276100618806E-15</v>
      </c>
      <c r="AR31" s="38">
        <v>6.0854140310841159E-2</v>
      </c>
      <c r="AS31" s="38">
        <v>0</v>
      </c>
    </row>
    <row r="32" spans="1:71">
      <c r="A32" s="38" t="s">
        <v>159</v>
      </c>
      <c r="B32" s="43">
        <v>0</v>
      </c>
      <c r="C32" s="43">
        <v>0</v>
      </c>
      <c r="D32" s="43">
        <v>0</v>
      </c>
      <c r="E32" s="43">
        <v>0</v>
      </c>
      <c r="F32" s="43">
        <v>0</v>
      </c>
      <c r="G32" s="43">
        <v>9.0557922995889398E-2</v>
      </c>
      <c r="H32" s="43">
        <v>1.99279442756853E-4</v>
      </c>
      <c r="I32" s="43">
        <v>0</v>
      </c>
      <c r="J32" s="43">
        <v>0</v>
      </c>
      <c r="K32" s="43">
        <v>0</v>
      </c>
      <c r="L32" s="43">
        <v>0.25079595775086</v>
      </c>
      <c r="M32" s="43">
        <v>6.5128333568154007E-2</v>
      </c>
      <c r="N32" s="43">
        <v>0</v>
      </c>
      <c r="O32" s="43">
        <v>0</v>
      </c>
      <c r="P32" s="38">
        <v>0</v>
      </c>
      <c r="Q32" s="38"/>
      <c r="U32" s="3"/>
      <c r="V32" s="3"/>
      <c r="W32" s="3"/>
      <c r="AD32" t="s">
        <v>159</v>
      </c>
      <c r="AE32" s="38">
        <v>3.1544939505259763E-15</v>
      </c>
      <c r="AF32" s="38">
        <v>-1.64677758438131E-17</v>
      </c>
      <c r="AG32" s="38">
        <v>-3.6595057430695776E-18</v>
      </c>
      <c r="AH32" s="38">
        <v>3.29355516876262E-17</v>
      </c>
      <c r="AI32" s="38">
        <v>1.4638022972278311E-17</v>
      </c>
      <c r="AJ32" s="38">
        <v>9.0557922995889467E-2</v>
      </c>
      <c r="AK32" s="38">
        <v>1.9927944275702043E-4</v>
      </c>
      <c r="AL32" s="38">
        <v>1.989187146937763E-16</v>
      </c>
      <c r="AM32" s="38">
        <v>-9.1487643576739441E-19</v>
      </c>
      <c r="AN32" s="38">
        <v>2.7040316654650056E-16</v>
      </c>
      <c r="AO32" s="38">
        <v>0.25079595775086</v>
      </c>
      <c r="AP32" s="38">
        <v>6.5128333568154076E-2</v>
      </c>
      <c r="AQ32" s="38">
        <v>1.5589494465476403E-15</v>
      </c>
      <c r="AR32" s="38">
        <v>-1.6950431124611002E-17</v>
      </c>
      <c r="AS32" s="38">
        <v>0</v>
      </c>
    </row>
    <row r="33" spans="1:45">
      <c r="A33" s="38" t="s">
        <v>9</v>
      </c>
      <c r="B33" s="43">
        <v>0.106582574515089</v>
      </c>
      <c r="C33" s="43">
        <v>0</v>
      </c>
      <c r="D33" s="43">
        <v>6.1643852375241402E-4</v>
      </c>
      <c r="E33" s="43">
        <v>0</v>
      </c>
      <c r="F33" s="43">
        <v>0</v>
      </c>
      <c r="G33" s="43">
        <v>1.43648471740101E-2</v>
      </c>
      <c r="H33" s="43">
        <v>7.8395321083219605E-3</v>
      </c>
      <c r="I33" s="43">
        <v>0</v>
      </c>
      <c r="J33" s="43">
        <v>0</v>
      </c>
      <c r="K33" s="43">
        <v>1.5611658453609E-2</v>
      </c>
      <c r="L33" s="43">
        <v>1.45625462091326E-3</v>
      </c>
      <c r="M33" s="43">
        <v>5.8351606987373003E-2</v>
      </c>
      <c r="N33" s="43">
        <v>7.5155373416338203E-3</v>
      </c>
      <c r="O33" s="43">
        <v>0</v>
      </c>
      <c r="P33" s="38">
        <v>0</v>
      </c>
      <c r="Q33" s="38"/>
      <c r="T33" t="s">
        <v>5</v>
      </c>
      <c r="U33" s="3">
        <f t="array" ref="U33">SUMPRODUCT($B29:$P29,TRANSPOSE(U$10:U$24))</f>
        <v>8747.141963068465</v>
      </c>
      <c r="V33" s="3">
        <f>U33</f>
        <v>8747.141963068465</v>
      </c>
      <c r="W33" s="3">
        <f t="array" ref="W33">SUMPRODUCT($B29:$P29,TRANSPOSE(W$10:W$24))</f>
        <v>7511.1496188816836</v>
      </c>
      <c r="X33" s="3">
        <f>U33-W33</f>
        <v>1235.9923441867813</v>
      </c>
      <c r="AB33" s="2"/>
      <c r="AD33" t="s">
        <v>9</v>
      </c>
      <c r="AE33" s="38">
        <v>0.10658257451508976</v>
      </c>
      <c r="AF33" s="38">
        <v>-1.2110279055554878E-17</v>
      </c>
      <c r="AG33" s="38">
        <v>6.1643852375240708E-4</v>
      </c>
      <c r="AH33" s="38">
        <v>0</v>
      </c>
      <c r="AI33" s="38">
        <v>0</v>
      </c>
      <c r="AJ33" s="38">
        <v>1.4364847174010122E-2</v>
      </c>
      <c r="AK33" s="38">
        <v>7.8395321083219831E-3</v>
      </c>
      <c r="AL33" s="38">
        <v>5.004619854786007E-17</v>
      </c>
      <c r="AM33" s="38">
        <v>2.752336148989745E-18</v>
      </c>
      <c r="AN33" s="38">
        <v>1.561165845360904E-2</v>
      </c>
      <c r="AO33" s="38">
        <v>1.4562546209132372E-3</v>
      </c>
      <c r="AP33" s="38">
        <v>5.8351606987373003E-2</v>
      </c>
      <c r="AQ33" s="38">
        <v>7.5155373416341343E-3</v>
      </c>
      <c r="AR33" s="38">
        <v>1.7382502632480167E-17</v>
      </c>
      <c r="AS33" s="38">
        <v>0</v>
      </c>
    </row>
    <row r="34" spans="1:45">
      <c r="A34" s="38" t="s">
        <v>10</v>
      </c>
      <c r="B34" s="43">
        <v>0</v>
      </c>
      <c r="C34" s="43">
        <v>0.13998607067774499</v>
      </c>
      <c r="D34" s="43">
        <v>0.12902036204807099</v>
      </c>
      <c r="E34" s="43">
        <v>1.4087609493011401E-3</v>
      </c>
      <c r="F34" s="43">
        <v>0</v>
      </c>
      <c r="G34" s="43">
        <v>5.4870929463204801E-3</v>
      </c>
      <c r="H34" s="43">
        <v>0</v>
      </c>
      <c r="I34" s="43">
        <v>0</v>
      </c>
      <c r="J34" s="43">
        <v>0</v>
      </c>
      <c r="K34" s="43">
        <v>0</v>
      </c>
      <c r="L34" s="43">
        <v>0.425754245417584</v>
      </c>
      <c r="M34" s="43">
        <v>9.8347257975756899E-2</v>
      </c>
      <c r="N34" s="43">
        <v>0</v>
      </c>
      <c r="O34" s="43">
        <v>0</v>
      </c>
      <c r="P34" s="38">
        <v>0</v>
      </c>
      <c r="Q34" s="38"/>
      <c r="T34" t="s">
        <v>157</v>
      </c>
      <c r="U34" s="3">
        <f t="array" ref="U34">SUMPRODUCT($B30:$P30,TRANSPOSE(U$10:U$24))</f>
        <v>2153.5608422893197</v>
      </c>
      <c r="V34" s="3">
        <f t="shared" ref="V34:V47" si="0">U34</f>
        <v>2153.5608422893197</v>
      </c>
      <c r="W34" s="3">
        <f t="array" ref="W34">SUMPRODUCT($B30:$P30,TRANSPOSE(W$10:W$24))</f>
        <v>1995.9599082890998</v>
      </c>
      <c r="X34" s="3">
        <f t="shared" ref="X34:X47" si="1">U34-W34</f>
        <v>157.60093400021992</v>
      </c>
      <c r="AB34" s="2"/>
      <c r="AD34" t="s">
        <v>10</v>
      </c>
      <c r="AE34" s="38">
        <v>-1.0470377077683324E-15</v>
      </c>
      <c r="AF34" s="38">
        <v>0.13998607067774493</v>
      </c>
      <c r="AG34" s="38">
        <v>0.12902036204807094</v>
      </c>
      <c r="AH34" s="38">
        <v>1.4087609493010646E-3</v>
      </c>
      <c r="AI34" s="38">
        <v>2.9550775588073529E-17</v>
      </c>
      <c r="AJ34" s="38">
        <v>5.4870929463204966E-3</v>
      </c>
      <c r="AK34" s="38">
        <v>7.018309202167462E-17</v>
      </c>
      <c r="AL34" s="38">
        <v>2.4199789701087939E-16</v>
      </c>
      <c r="AM34" s="38">
        <v>-6.5397881202014996E-17</v>
      </c>
      <c r="AN34" s="38">
        <v>7.3319451415810096E-17</v>
      </c>
      <c r="AO34" s="38">
        <v>0.42575424541758405</v>
      </c>
      <c r="AP34" s="38">
        <v>9.8347257975756899E-2</v>
      </c>
      <c r="AQ34" s="38">
        <v>6.2593915563828474E-16</v>
      </c>
      <c r="AR34" s="38">
        <v>2.9390465282678603E-17</v>
      </c>
      <c r="AS34" s="38">
        <v>0</v>
      </c>
    </row>
    <row r="35" spans="1:45">
      <c r="A35" s="38" t="s">
        <v>160</v>
      </c>
      <c r="B35" s="43">
        <v>7.8654815086737096E-3</v>
      </c>
      <c r="C35" s="43">
        <v>0</v>
      </c>
      <c r="D35" s="43">
        <v>0</v>
      </c>
      <c r="E35" s="43">
        <v>0</v>
      </c>
      <c r="F35" s="43">
        <v>0</v>
      </c>
      <c r="G35" s="43">
        <v>8.5689095460004096E-4</v>
      </c>
      <c r="H35" s="43">
        <v>1.00909858870336E-2</v>
      </c>
      <c r="I35" s="43">
        <v>0</v>
      </c>
      <c r="J35" s="43">
        <v>0</v>
      </c>
      <c r="K35" s="43">
        <v>3.1995622006666502E-2</v>
      </c>
      <c r="L35" s="43">
        <v>1.9957625270063599E-3</v>
      </c>
      <c r="M35" s="43">
        <v>1.6774745874017599E-2</v>
      </c>
      <c r="N35" s="43">
        <v>0.36463962382395898</v>
      </c>
      <c r="O35" s="43">
        <v>0</v>
      </c>
      <c r="P35" s="38">
        <v>0</v>
      </c>
      <c r="Q35" s="38"/>
      <c r="T35" t="s">
        <v>158</v>
      </c>
      <c r="U35" s="3">
        <f t="array" ref="U35">SUMPRODUCT($B31:$P31,TRANSPOSE(U$10:U$24))</f>
        <v>7656.5737567759406</v>
      </c>
      <c r="V35" s="3">
        <f t="shared" si="0"/>
        <v>7656.5737567759406</v>
      </c>
      <c r="W35" s="3">
        <f t="array" ref="W35">SUMPRODUCT($B31:$P31,TRANSPOSE(W$10:W$24))</f>
        <v>5761.2272943459202</v>
      </c>
      <c r="X35" s="3">
        <f t="shared" si="1"/>
        <v>1895.3464624300204</v>
      </c>
      <c r="AB35" s="2"/>
      <c r="AD35" t="s">
        <v>160</v>
      </c>
      <c r="AE35" s="38">
        <v>7.8654815086738397E-3</v>
      </c>
      <c r="AF35" s="38">
        <v>-6.3807480039501439E-18</v>
      </c>
      <c r="AG35" s="38">
        <v>-1.8230708582714697E-18</v>
      </c>
      <c r="AH35" s="38">
        <v>-3.6461417165429394E-18</v>
      </c>
      <c r="AI35" s="38">
        <v>9.1153542913573484E-18</v>
      </c>
      <c r="AJ35" s="38">
        <v>8.568909546000441E-4</v>
      </c>
      <c r="AK35" s="38">
        <v>1.00909858870336E-2</v>
      </c>
      <c r="AL35" s="38">
        <v>8.2830024391471135E-18</v>
      </c>
      <c r="AM35" s="38">
        <v>3.4182578592590057E-18</v>
      </c>
      <c r="AN35" s="38">
        <v>3.1995622006666495E-2</v>
      </c>
      <c r="AO35" s="38">
        <v>1.9957625270063516E-3</v>
      </c>
      <c r="AP35" s="38">
        <v>1.6774745874017588E-2</v>
      </c>
      <c r="AQ35" s="38">
        <v>0.36463962382395892</v>
      </c>
      <c r="AR35" s="38">
        <v>1.3958743377088417E-17</v>
      </c>
      <c r="AS35" s="38">
        <v>0</v>
      </c>
    </row>
    <row r="36" spans="1:45">
      <c r="A36" s="38" t="s">
        <v>161</v>
      </c>
      <c r="B36" s="43">
        <v>0.11199257710690699</v>
      </c>
      <c r="C36" s="43">
        <v>0</v>
      </c>
      <c r="D36" s="43">
        <v>0</v>
      </c>
      <c r="E36" s="43">
        <v>0</v>
      </c>
      <c r="F36" s="43">
        <v>0</v>
      </c>
      <c r="G36" s="43">
        <v>4.10092077959473E-4</v>
      </c>
      <c r="H36" s="43">
        <v>4.8413017495402902E-3</v>
      </c>
      <c r="I36" s="43">
        <v>0</v>
      </c>
      <c r="J36" s="43">
        <v>0</v>
      </c>
      <c r="K36" s="43">
        <v>1.4684224475079499E-2</v>
      </c>
      <c r="L36" s="43">
        <v>0</v>
      </c>
      <c r="M36" s="43">
        <v>0</v>
      </c>
      <c r="N36" s="43">
        <v>9.81206905743498E-2</v>
      </c>
      <c r="O36" s="43">
        <v>0</v>
      </c>
      <c r="P36" s="38">
        <v>0</v>
      </c>
      <c r="Q36" s="38"/>
      <c r="T36" t="s">
        <v>159</v>
      </c>
      <c r="U36" s="3">
        <f t="array" ref="U36">SUMPRODUCT($B32:$P32,TRANSPOSE(U$10:U$24))</f>
        <v>2135.0405960576777</v>
      </c>
      <c r="V36" s="3">
        <f t="shared" si="0"/>
        <v>2135.0405960576777</v>
      </c>
      <c r="W36" s="3">
        <f t="array" ref="W36">SUMPRODUCT($B32:$P32,TRANSPOSE(W$10:W$24))</f>
        <v>1902.3649039075094</v>
      </c>
      <c r="X36" s="3">
        <f t="shared" si="1"/>
        <v>232.67569215016829</v>
      </c>
      <c r="AB36" s="2"/>
      <c r="AD36" t="s">
        <v>161</v>
      </c>
      <c r="AE36" s="38">
        <v>0.11199257710690698</v>
      </c>
      <c r="AF36" s="38">
        <v>-1.4664284329172917E-18</v>
      </c>
      <c r="AG36" s="38">
        <v>0</v>
      </c>
      <c r="AH36" s="38">
        <v>7.3321421645864586E-19</v>
      </c>
      <c r="AI36" s="38">
        <v>2.9328568658345834E-18</v>
      </c>
      <c r="AJ36" s="38">
        <v>4.1009207795947479E-4</v>
      </c>
      <c r="AK36" s="38">
        <v>4.8413017495402885E-3</v>
      </c>
      <c r="AL36" s="38">
        <v>7.7241965196713742E-19</v>
      </c>
      <c r="AM36" s="38">
        <v>2.3829462034905991E-18</v>
      </c>
      <c r="AN36" s="38">
        <v>1.4684224475079494E-2</v>
      </c>
      <c r="AO36" s="38">
        <v>-1.8330355411466145E-18</v>
      </c>
      <c r="AP36" s="38">
        <v>-3.6660710822932289E-18</v>
      </c>
      <c r="AQ36" s="38">
        <v>9.8120690574349731E-2</v>
      </c>
      <c r="AR36" s="38">
        <v>2.9925552517712767E-18</v>
      </c>
      <c r="AS36" s="38">
        <v>0</v>
      </c>
    </row>
    <row r="37" spans="1:45">
      <c r="A37" s="38" t="s">
        <v>162</v>
      </c>
      <c r="B37" s="43">
        <v>0</v>
      </c>
      <c r="C37" s="43">
        <v>0.23898963606401899</v>
      </c>
      <c r="D37" s="43">
        <v>0.16703936758672699</v>
      </c>
      <c r="E37" s="43">
        <v>0.48330441089325599</v>
      </c>
      <c r="F37" s="43">
        <v>8.8746812145185303E-2</v>
      </c>
      <c r="G37" s="43">
        <v>6.7851944351290799E-2</v>
      </c>
      <c r="H37" s="43">
        <v>0.14646755818548499</v>
      </c>
      <c r="I37" s="43">
        <v>0</v>
      </c>
      <c r="J37" s="43">
        <v>0.57957184645478399</v>
      </c>
      <c r="K37" s="43">
        <v>8.9854790919788999E-2</v>
      </c>
      <c r="L37" s="43">
        <v>6.0380249173074503E-2</v>
      </c>
      <c r="M37" s="43">
        <v>0.15180509356258901</v>
      </c>
      <c r="N37" s="43">
        <v>0</v>
      </c>
      <c r="O37" s="43">
        <v>0</v>
      </c>
      <c r="P37" s="38">
        <v>0</v>
      </c>
      <c r="Q37" s="38"/>
      <c r="T37" t="s">
        <v>9</v>
      </c>
      <c r="U37" s="3">
        <f t="array" ref="U37">SUMPRODUCT($B33:$P33,TRANSPOSE(U$10:U$24))</f>
        <v>844.11946892046842</v>
      </c>
      <c r="V37" s="3">
        <f t="shared" si="0"/>
        <v>844.11946892046842</v>
      </c>
      <c r="W37" s="3">
        <f t="array" ref="W37">SUMPRODUCT($B33:$P33,TRANSPOSE(W$10:W$24))</f>
        <v>1169.253999443481</v>
      </c>
      <c r="X37" s="3">
        <f t="shared" si="1"/>
        <v>-325.13453052301259</v>
      </c>
      <c r="AB37" s="2"/>
      <c r="AD37" t="s">
        <v>162</v>
      </c>
      <c r="AE37" s="38">
        <v>2.0611384877724277E-15</v>
      </c>
      <c r="AF37" s="38">
        <v>0.23898963606401902</v>
      </c>
      <c r="AG37" s="38">
        <v>0.16703936758672708</v>
      </c>
      <c r="AH37" s="38">
        <v>0.48330441089325621</v>
      </c>
      <c r="AI37" s="38">
        <v>8.8746812145185303E-2</v>
      </c>
      <c r="AJ37" s="38">
        <v>6.7851944351290827E-2</v>
      </c>
      <c r="AK37" s="38">
        <v>0.14646755818548507</v>
      </c>
      <c r="AL37" s="38">
        <v>-1.2879325288613339E-16</v>
      </c>
      <c r="AM37" s="38">
        <v>0.5795718464547841</v>
      </c>
      <c r="AN37" s="38">
        <v>8.9854790919789124E-2</v>
      </c>
      <c r="AO37" s="38">
        <v>6.0380249173074538E-2</v>
      </c>
      <c r="AP37" s="38">
        <v>0.15180509356258917</v>
      </c>
      <c r="AQ37" s="38">
        <v>9.6173160804095846E-16</v>
      </c>
      <c r="AR37" s="38">
        <v>-1.4876163301765139E-16</v>
      </c>
      <c r="AS37" s="38">
        <v>0</v>
      </c>
    </row>
    <row r="38" spans="1:45">
      <c r="A38" s="38" t="s">
        <v>163</v>
      </c>
      <c r="B38" s="43">
        <v>5.7017952773446998E-2</v>
      </c>
      <c r="C38" s="43">
        <v>0</v>
      </c>
      <c r="D38" s="43">
        <v>0</v>
      </c>
      <c r="E38" s="43">
        <v>0</v>
      </c>
      <c r="F38" s="43">
        <v>0.163971099280741</v>
      </c>
      <c r="G38" s="43">
        <v>2.3338040982021102E-3</v>
      </c>
      <c r="H38" s="43">
        <v>3.3395271812732799E-4</v>
      </c>
      <c r="I38" s="43">
        <v>5.1157055124946303E-2</v>
      </c>
      <c r="J38" s="43">
        <v>5.3166489773978802E-2</v>
      </c>
      <c r="K38" s="43">
        <v>0.36767138039678998</v>
      </c>
      <c r="L38" s="43">
        <v>0</v>
      </c>
      <c r="M38" s="43">
        <v>0</v>
      </c>
      <c r="N38" s="43">
        <v>1.5550013613560101E-3</v>
      </c>
      <c r="O38" s="43">
        <v>0.48452843232227299</v>
      </c>
      <c r="P38" s="38">
        <v>0</v>
      </c>
      <c r="Q38" s="38"/>
      <c r="T38" t="s">
        <v>10</v>
      </c>
      <c r="U38" s="3">
        <f t="array" ref="U38">SUMPRODUCT($B34:$P34,TRANSPOSE(U$10:U$24))</f>
        <v>2815.0291112670857</v>
      </c>
      <c r="V38" s="3">
        <f t="shared" si="0"/>
        <v>2815.0291112670857</v>
      </c>
      <c r="W38" s="3">
        <f t="array" ref="W38">SUMPRODUCT($B34:$P34,TRANSPOSE(W$10:W$24))</f>
        <v>3338.066151060154</v>
      </c>
      <c r="X38" s="3">
        <f t="shared" si="1"/>
        <v>-523.03703979306829</v>
      </c>
      <c r="AB38" s="2"/>
      <c r="AD38" t="s">
        <v>163</v>
      </c>
      <c r="AE38" s="38">
        <v>5.7017952773444285E-2</v>
      </c>
      <c r="AF38" s="38">
        <v>4.5301695301198521E-17</v>
      </c>
      <c r="AG38" s="38">
        <v>8.2366718729451857E-17</v>
      </c>
      <c r="AH38" s="38">
        <v>1.6473343745890372E-17</v>
      </c>
      <c r="AI38" s="38">
        <v>0.163971099280741</v>
      </c>
      <c r="AJ38" s="38">
        <v>2.3338040982020828E-3</v>
      </c>
      <c r="AK38" s="38">
        <v>3.3395271812699959E-4</v>
      </c>
      <c r="AL38" s="38">
        <v>5.115705512494597E-2</v>
      </c>
      <c r="AM38" s="38">
        <v>5.3166489773978774E-2</v>
      </c>
      <c r="AN38" s="38">
        <v>0.36767138039678943</v>
      </c>
      <c r="AO38" s="38">
        <v>1.0295839841181482E-17</v>
      </c>
      <c r="AP38" s="38">
        <v>-2.265084765059926E-17</v>
      </c>
      <c r="AQ38" s="38">
        <v>1.5550013613531398E-3</v>
      </c>
      <c r="AR38" s="38">
        <v>0.48452843232227288</v>
      </c>
      <c r="AS38" s="38">
        <v>0</v>
      </c>
    </row>
    <row r="39" spans="1:45">
      <c r="A39" s="38" t="s">
        <v>164</v>
      </c>
      <c r="B39" s="43">
        <v>0</v>
      </c>
      <c r="C39" s="43">
        <v>0</v>
      </c>
      <c r="D39" s="43">
        <v>0</v>
      </c>
      <c r="E39" s="43">
        <v>0</v>
      </c>
      <c r="F39" s="43">
        <v>0</v>
      </c>
      <c r="G39" s="43">
        <v>0.104812773637567</v>
      </c>
      <c r="H39" s="43">
        <v>0.12819246803213999</v>
      </c>
      <c r="I39" s="43">
        <v>0.22671777950456101</v>
      </c>
      <c r="J39" s="43">
        <v>0.18449497212097399</v>
      </c>
      <c r="K39" s="43">
        <v>6.0691124578857301E-2</v>
      </c>
      <c r="L39" s="43">
        <v>0</v>
      </c>
      <c r="M39" s="43">
        <v>0</v>
      </c>
      <c r="N39" s="43">
        <v>0</v>
      </c>
      <c r="O39" s="43">
        <v>0.415240237085852</v>
      </c>
      <c r="P39" s="38">
        <v>0</v>
      </c>
      <c r="Q39" s="38"/>
      <c r="T39" t="s">
        <v>160</v>
      </c>
      <c r="U39" s="3">
        <f t="array" ref="U39">SUMPRODUCT($B35:$P35,TRANSPOSE(U$10:U$24))</f>
        <v>704.25270084789327</v>
      </c>
      <c r="V39" s="3">
        <f t="shared" si="0"/>
        <v>704.25270084789327</v>
      </c>
      <c r="W39" s="3">
        <f t="array" ref="W39">SUMPRODUCT($B35:$P35,TRANSPOSE(W$10:W$24))</f>
        <v>964.82486189239717</v>
      </c>
      <c r="X39" s="3">
        <f t="shared" si="1"/>
        <v>-260.5721610445039</v>
      </c>
      <c r="AB39" s="2"/>
      <c r="AD39" t="s">
        <v>164</v>
      </c>
      <c r="AE39" s="38">
        <v>-6.0830147433952071E-17</v>
      </c>
      <c r="AF39" s="38">
        <v>-6.3431755423488112E-18</v>
      </c>
      <c r="AG39" s="38">
        <v>-4.3863279132501645E-19</v>
      </c>
      <c r="AH39" s="38">
        <v>4.2373875344624312E-17</v>
      </c>
      <c r="AI39" s="38">
        <v>7.52586651712093E-17</v>
      </c>
      <c r="AJ39" s="38">
        <v>0.10481277363756704</v>
      </c>
      <c r="AK39" s="38">
        <v>0.12819246803214004</v>
      </c>
      <c r="AL39" s="38">
        <v>0.22671777950456121</v>
      </c>
      <c r="AM39" s="38">
        <v>0.18449497212097396</v>
      </c>
      <c r="AN39" s="38">
        <v>6.0691124578857288E-2</v>
      </c>
      <c r="AO39" s="38">
        <v>-2.250009766157649E-16</v>
      </c>
      <c r="AP39" s="38">
        <v>8.1121613507102164E-17</v>
      </c>
      <c r="AQ39" s="38">
        <v>-1.1851378797944684E-16</v>
      </c>
      <c r="AR39" s="38">
        <v>0.41524023708585195</v>
      </c>
      <c r="AS39" s="38">
        <v>0</v>
      </c>
    </row>
    <row r="40" spans="1:45">
      <c r="A40" s="38" t="s">
        <v>165</v>
      </c>
      <c r="B40" s="43">
        <v>0</v>
      </c>
      <c r="C40" s="43">
        <v>0.56439948811399099</v>
      </c>
      <c r="D40" s="43">
        <v>0.35596660985390399</v>
      </c>
      <c r="E40" s="43">
        <v>5.1985875148365897E-2</v>
      </c>
      <c r="F40" s="43">
        <v>0</v>
      </c>
      <c r="G40" s="43">
        <v>8.3968034540664593E-2</v>
      </c>
      <c r="H40" s="43">
        <v>1.30553654281096E-3</v>
      </c>
      <c r="I40" s="43">
        <v>0</v>
      </c>
      <c r="J40" s="43">
        <v>0.119698067475946</v>
      </c>
      <c r="K40" s="43">
        <v>0</v>
      </c>
      <c r="L40" s="43">
        <v>0.149096548810281</v>
      </c>
      <c r="M40" s="43">
        <v>0.34506179075562998</v>
      </c>
      <c r="N40" s="43">
        <v>0</v>
      </c>
      <c r="O40" s="43">
        <v>0</v>
      </c>
      <c r="P40" s="38">
        <v>0</v>
      </c>
      <c r="Q40" s="38"/>
      <c r="T40" t="s">
        <v>161</v>
      </c>
      <c r="U40" s="3">
        <f t="array" ref="U40">SUMPRODUCT($B36:$P36,TRANSPOSE(U$10:U$24))</f>
        <v>231.76963556221494</v>
      </c>
      <c r="V40" s="3">
        <f t="shared" si="0"/>
        <v>231.76963556221494</v>
      </c>
      <c r="W40" s="3">
        <f t="array" ref="W40">SUMPRODUCT($B36:$P36,TRANSPOSE(W$10:W$24))</f>
        <v>631.93422915091037</v>
      </c>
      <c r="X40" s="3">
        <f t="shared" si="1"/>
        <v>-400.16459358869542</v>
      </c>
      <c r="AB40" s="2"/>
      <c r="AD40" t="s">
        <v>165</v>
      </c>
      <c r="AE40" s="38">
        <v>-2.7440027328172954E-16</v>
      </c>
      <c r="AF40" s="38">
        <v>0.56439948811399088</v>
      </c>
      <c r="AG40" s="38">
        <v>0.35596660985390399</v>
      </c>
      <c r="AH40" s="38">
        <v>5.198587514836589E-2</v>
      </c>
      <c r="AI40" s="38">
        <v>9.8044720471027121E-17</v>
      </c>
      <c r="AJ40" s="38">
        <v>8.396803454066476E-2</v>
      </c>
      <c r="AK40" s="38">
        <v>1.3055365428113065E-3</v>
      </c>
      <c r="AL40" s="38">
        <v>3.9351107447124829E-16</v>
      </c>
      <c r="AM40" s="38">
        <v>0.11969806747594589</v>
      </c>
      <c r="AN40" s="38">
        <v>4.245441071631765E-16</v>
      </c>
      <c r="AO40" s="38">
        <v>0.14909654881028137</v>
      </c>
      <c r="AP40" s="38">
        <v>0.3450617907556302</v>
      </c>
      <c r="AQ40" s="38">
        <v>3.8627369109758958E-15</v>
      </c>
      <c r="AR40" s="38">
        <v>-1.8092741395745835E-16</v>
      </c>
      <c r="AS40" s="38">
        <v>0</v>
      </c>
    </row>
    <row r="41" spans="1:45">
      <c r="A41" s="38" t="s">
        <v>166</v>
      </c>
      <c r="B41" s="43">
        <v>0.42786966963972201</v>
      </c>
      <c r="C41" s="43">
        <v>0</v>
      </c>
      <c r="D41" s="43">
        <v>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38">
        <v>0</v>
      </c>
      <c r="Q41" s="38"/>
      <c r="T41" t="s">
        <v>162</v>
      </c>
      <c r="U41" s="3">
        <f t="array" ref="U41">SUMPRODUCT($B37:$P37,TRANSPOSE(U$10:U$24))</f>
        <v>6182.3422291396437</v>
      </c>
      <c r="V41" s="3">
        <f t="shared" si="0"/>
        <v>6182.3422291396437</v>
      </c>
      <c r="W41" s="3">
        <f t="array" ref="W41">SUMPRODUCT($B37:$P37,TRANSPOSE(W$10:W$24))</f>
        <v>6448.7004698899518</v>
      </c>
      <c r="X41" s="3">
        <f t="shared" si="1"/>
        <v>-266.35824075030814</v>
      </c>
      <c r="AB41" s="2"/>
      <c r="AD41" t="s">
        <v>166</v>
      </c>
      <c r="AE41" s="38">
        <v>0.42786966963972201</v>
      </c>
      <c r="AF41" s="38">
        <v>0</v>
      </c>
      <c r="AG41" s="38">
        <v>0</v>
      </c>
      <c r="AH41" s="38">
        <v>0</v>
      </c>
      <c r="AI41" s="38">
        <v>0</v>
      </c>
      <c r="AJ41" s="38">
        <v>0</v>
      </c>
      <c r="AK41" s="38">
        <v>0</v>
      </c>
      <c r="AL41" s="38">
        <v>0</v>
      </c>
      <c r="AM41" s="38">
        <v>0</v>
      </c>
      <c r="AN41" s="38">
        <v>0</v>
      </c>
      <c r="AO41" s="38">
        <v>0</v>
      </c>
      <c r="AP41" s="38">
        <v>0</v>
      </c>
      <c r="AQ41" s="38">
        <v>0</v>
      </c>
      <c r="AR41" s="38">
        <v>0</v>
      </c>
      <c r="AS41" s="38">
        <v>0</v>
      </c>
    </row>
    <row r="42" spans="1:45">
      <c r="A42" s="38" t="s">
        <v>167</v>
      </c>
      <c r="B42" s="43">
        <v>0.118227129706588</v>
      </c>
      <c r="C42" s="43">
        <v>5.5791001703040903E-2</v>
      </c>
      <c r="D42" s="43">
        <v>0.25646569581059803</v>
      </c>
      <c r="E42" s="43">
        <v>0.27580353859810097</v>
      </c>
      <c r="F42" s="43">
        <v>0.59362769903575097</v>
      </c>
      <c r="G42" s="43">
        <v>0.38667165538025999</v>
      </c>
      <c r="H42" s="43">
        <v>6.6731294783717005E-2</v>
      </c>
      <c r="I42" s="43">
        <v>0</v>
      </c>
      <c r="J42" s="43">
        <v>5.4927551343150298E-2</v>
      </c>
      <c r="K42" s="43">
        <v>3.4675054775655501E-4</v>
      </c>
      <c r="L42" s="43">
        <v>1.8810724571556699E-2</v>
      </c>
      <c r="M42" s="43">
        <v>5.6845462920603801E-2</v>
      </c>
      <c r="N42" s="43">
        <v>0.51972861847481</v>
      </c>
      <c r="O42" s="43">
        <v>0</v>
      </c>
      <c r="P42" s="38">
        <v>0</v>
      </c>
      <c r="Q42" s="38"/>
      <c r="T42" t="s">
        <v>163</v>
      </c>
      <c r="U42" s="3">
        <f t="array" ref="U42">SUMPRODUCT($B38:$P38,TRANSPOSE(U$10:U$24))</f>
        <v>3358.2424056618411</v>
      </c>
      <c r="V42" s="3">
        <f t="shared" si="0"/>
        <v>3358.2424056618411</v>
      </c>
      <c r="W42" s="3">
        <f t="array" ref="W42">SUMPRODUCT($B38:$P38,TRANSPOSE(W$10:W$24))</f>
        <v>3224.258066271198</v>
      </c>
      <c r="X42" s="3">
        <f t="shared" si="1"/>
        <v>133.98433939064307</v>
      </c>
      <c r="AB42" s="2"/>
      <c r="AD42" t="s">
        <v>167</v>
      </c>
      <c r="AE42" s="38">
        <v>0.11822712970658852</v>
      </c>
      <c r="AF42" s="38">
        <v>5.5791001703040834E-2</v>
      </c>
      <c r="AG42" s="38">
        <v>0.25646569581059803</v>
      </c>
      <c r="AH42" s="38">
        <v>0.27580353859810097</v>
      </c>
      <c r="AI42" s="38">
        <v>0.59362769903575086</v>
      </c>
      <c r="AJ42" s="38">
        <v>0.38667165538025983</v>
      </c>
      <c r="AK42" s="38">
        <v>6.6731294783717018E-2</v>
      </c>
      <c r="AL42" s="38">
        <v>-8.3985900563743874E-17</v>
      </c>
      <c r="AM42" s="38">
        <v>5.4927551343150215E-2</v>
      </c>
      <c r="AN42" s="38">
        <v>3.4675054775672458E-4</v>
      </c>
      <c r="AO42" s="38">
        <v>1.8810724571556334E-2</v>
      </c>
      <c r="AP42" s="38">
        <v>5.6845462920603919E-2</v>
      </c>
      <c r="AQ42" s="38">
        <v>0.51972861847481122</v>
      </c>
      <c r="AR42" s="38">
        <v>-1.4381469321637778E-16</v>
      </c>
      <c r="AS42" s="38">
        <v>0</v>
      </c>
    </row>
    <row r="43" spans="1:45">
      <c r="A43" s="38" t="s">
        <v>147</v>
      </c>
      <c r="B43" s="38">
        <v>0</v>
      </c>
      <c r="C43" s="38">
        <v>0</v>
      </c>
      <c r="D43" s="38">
        <v>0</v>
      </c>
      <c r="E43" s="38">
        <v>0</v>
      </c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1</v>
      </c>
      <c r="Q43" s="38"/>
      <c r="T43" t="s">
        <v>164</v>
      </c>
      <c r="U43" s="3">
        <f t="array" ref="U43">SUMPRODUCT($B39:$P39,TRANSPOSE(U$10:U$24))</f>
        <v>4136.7760154271091</v>
      </c>
      <c r="V43" s="3">
        <f t="shared" si="0"/>
        <v>4136.7760154271091</v>
      </c>
      <c r="W43" s="3">
        <f t="array" ref="W43">SUMPRODUCT($B39:$P39,TRANSPOSE(W$10:W$24))</f>
        <v>2802.4029699527591</v>
      </c>
      <c r="X43" s="3">
        <f t="shared" si="1"/>
        <v>1334.37304547435</v>
      </c>
      <c r="AB43" s="2"/>
      <c r="AD43" t="s">
        <v>147</v>
      </c>
      <c r="AE43" s="38">
        <v>0</v>
      </c>
      <c r="AF43" s="38">
        <v>0</v>
      </c>
      <c r="AG43" s="38">
        <v>0</v>
      </c>
      <c r="AH43" s="38">
        <v>0</v>
      </c>
      <c r="AI43" s="38">
        <v>0</v>
      </c>
      <c r="AJ43" s="38">
        <v>0</v>
      </c>
      <c r="AK43" s="38">
        <v>0</v>
      </c>
      <c r="AL43" s="38">
        <v>0</v>
      </c>
      <c r="AM43" s="38">
        <v>0</v>
      </c>
      <c r="AN43" s="38">
        <v>0</v>
      </c>
      <c r="AO43" s="38">
        <v>0</v>
      </c>
      <c r="AP43" s="38">
        <v>0</v>
      </c>
      <c r="AQ43" s="38">
        <v>0</v>
      </c>
      <c r="AR43" s="38">
        <v>0</v>
      </c>
      <c r="AS43" s="38">
        <v>1</v>
      </c>
    </row>
    <row r="44" spans="1:4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T44" t="s">
        <v>165</v>
      </c>
      <c r="U44" s="3">
        <f t="array" ref="U44">SUMPRODUCT($B40:$P40,TRANSPOSE(U$10:U$24))</f>
        <v>4971.6732417998955</v>
      </c>
      <c r="V44" s="3">
        <f t="shared" si="0"/>
        <v>4971.6732417998955</v>
      </c>
      <c r="W44" s="3">
        <f t="array" ref="W44">SUMPRODUCT($B40:$P40,TRANSPOSE(W$10:W$24))</f>
        <v>6549.4775428679968</v>
      </c>
      <c r="X44" s="3">
        <f t="shared" si="1"/>
        <v>-1577.8043010681013</v>
      </c>
      <c r="AB44" s="2"/>
    </row>
    <row r="45" spans="1:45">
      <c r="B45" s="30"/>
      <c r="T45" t="s">
        <v>166</v>
      </c>
      <c r="U45" s="3">
        <f t="array" ref="U45">SUMPRODUCT($B41:$P41,TRANSPOSE(U$10:U$24))</f>
        <v>3.3281232336817501</v>
      </c>
      <c r="V45" s="3">
        <f t="shared" si="0"/>
        <v>3.3281232336817501</v>
      </c>
      <c r="W45" s="3">
        <f t="array" ref="W45">SUMPRODUCT($B41:$P41,TRANSPOSE(W$10:W$24))</f>
        <v>1360.7026717839747</v>
      </c>
      <c r="X45" s="3">
        <f t="shared" si="1"/>
        <v>-1357.374548550293</v>
      </c>
      <c r="AB45" s="2"/>
    </row>
    <row r="46" spans="1:45">
      <c r="T46" t="s">
        <v>167</v>
      </c>
      <c r="U46" s="3">
        <f t="array" ref="U46">SUMPRODUCT($B42:$P42,TRANSPOSE(U$10:U$24))</f>
        <v>5189.1069264687721</v>
      </c>
      <c r="V46" s="3">
        <f t="shared" si="0"/>
        <v>5189.1069264687721</v>
      </c>
      <c r="W46" s="3">
        <f t="array" ref="W46">SUMPRODUCT($B42:$P42,TRANSPOSE(W$10:W$24))</f>
        <v>5468.6343287829841</v>
      </c>
      <c r="X46" s="3">
        <f t="shared" si="1"/>
        <v>-279.52740231421194</v>
      </c>
      <c r="AB46" s="2"/>
    </row>
    <row r="47" spans="1:45">
      <c r="T47" t="s">
        <v>147</v>
      </c>
      <c r="U47" s="3">
        <f t="array" ref="U47">SUMPRODUCT($B43:$P43,TRANSPOSE(U$10:U$24))</f>
        <v>0</v>
      </c>
      <c r="V47" s="3">
        <f t="shared" si="0"/>
        <v>0</v>
      </c>
      <c r="W47" s="3">
        <f t="array" ref="W47">SUMPRODUCT($B43:$P43,TRANSPOSE(W$10:W$24))</f>
        <v>0</v>
      </c>
      <c r="X47" s="3">
        <f t="shared" si="1"/>
        <v>0</v>
      </c>
    </row>
    <row r="48" spans="1:45">
      <c r="U48" s="2"/>
      <c r="V48" s="2"/>
      <c r="W48" s="2"/>
      <c r="X48" s="2"/>
    </row>
    <row r="49" spans="1:15">
      <c r="F49" t="s">
        <v>217</v>
      </c>
    </row>
    <row r="63" spans="1:1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</row>
    <row r="64" spans="1:1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</row>
    <row r="65" spans="1:1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</row>
    <row r="66" spans="1:1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</row>
    <row r="67" spans="1:1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</row>
    <row r="68" spans="1:1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</row>
    <row r="69" spans="1:1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</row>
    <row r="70" spans="1:1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</row>
    <row r="71" spans="1:1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</row>
    <row r="72" spans="1:1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</row>
    <row r="74" spans="1:1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</row>
    <row r="76" spans="1:1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FF31-D09F-44C4-AF3E-622D6CF5C2DA}">
  <dimension ref="A1:BG108"/>
  <sheetViews>
    <sheetView topLeftCell="A45" zoomScale="85" zoomScaleNormal="85" workbookViewId="0">
      <selection activeCell="I71" sqref="I71:O85"/>
    </sheetView>
  </sheetViews>
  <sheetFormatPr defaultRowHeight="15.75"/>
  <cols>
    <col min="1" max="1" width="12.125" bestFit="1" customWidth="1"/>
    <col min="7" max="7" width="10.25" bestFit="1" customWidth="1"/>
    <col min="23" max="23" width="10.75" bestFit="1" customWidth="1"/>
  </cols>
  <sheetData>
    <row r="1" spans="1:59">
      <c r="A1" t="s">
        <v>201</v>
      </c>
      <c r="W1" t="s">
        <v>88</v>
      </c>
    </row>
    <row r="2" spans="1:59">
      <c r="B2" t="s">
        <v>3</v>
      </c>
      <c r="C2" t="s">
        <v>3</v>
      </c>
      <c r="D2" t="s">
        <v>3</v>
      </c>
      <c r="E2" t="s">
        <v>3</v>
      </c>
      <c r="F2" t="s">
        <v>3</v>
      </c>
      <c r="G2" t="s">
        <v>3</v>
      </c>
      <c r="H2" t="s">
        <v>3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X2" t="s">
        <v>3</v>
      </c>
      <c r="Y2" t="s">
        <v>3</v>
      </c>
      <c r="Z2" t="s">
        <v>3</v>
      </c>
      <c r="AA2" t="s">
        <v>3</v>
      </c>
      <c r="AB2" t="s">
        <v>3</v>
      </c>
      <c r="AC2" t="s">
        <v>3</v>
      </c>
      <c r="AD2" t="s">
        <v>3</v>
      </c>
      <c r="AE2" t="s">
        <v>3</v>
      </c>
      <c r="AF2" t="s">
        <v>3</v>
      </c>
      <c r="AG2" t="s">
        <v>2</v>
      </c>
      <c r="AH2" t="s">
        <v>2</v>
      </c>
      <c r="AI2" t="s">
        <v>2</v>
      </c>
      <c r="AJ2" t="s">
        <v>2</v>
      </c>
      <c r="AK2" t="s">
        <v>2</v>
      </c>
      <c r="AL2" t="s">
        <v>2</v>
      </c>
      <c r="AM2" t="s">
        <v>2</v>
      </c>
      <c r="AN2" t="s">
        <v>2</v>
      </c>
      <c r="AO2" t="s">
        <v>2</v>
      </c>
      <c r="AX2" t="s">
        <v>209</v>
      </c>
    </row>
    <row r="3" spans="1:59">
      <c r="B3" t="str">
        <f t="array" ref="B3:H3">TRANSPOSE(Crops)</f>
        <v>Teff</v>
      </c>
      <c r="C3" t="str">
        <v>Sorghum</v>
      </c>
      <c r="D3" t="str">
        <v>Maize</v>
      </c>
      <c r="E3" t="str">
        <v>Lentils</v>
      </c>
      <c r="F3" t="str">
        <v>Wheat</v>
      </c>
      <c r="G3" t="str">
        <v>Vegetables</v>
      </c>
      <c r="H3" t="str">
        <v>CashCrop</v>
      </c>
      <c r="I3" t="str">
        <f t="array" ref="I3:O3">TRANSPOSE(Crops)</f>
        <v>Teff</v>
      </c>
      <c r="J3" t="str">
        <v>Sorghum</v>
      </c>
      <c r="K3" t="str">
        <v>Maize</v>
      </c>
      <c r="L3" t="str">
        <v>Lentils</v>
      </c>
      <c r="M3" t="str">
        <v>Wheat</v>
      </c>
      <c r="N3" t="str">
        <v>Vegetables</v>
      </c>
      <c r="O3" t="str">
        <v>CashCrop</v>
      </c>
      <c r="X3" t="str">
        <f t="array" ref="X3:AD3">TRANSPOSE(Crops)</f>
        <v>Teff</v>
      </c>
      <c r="Y3" t="str">
        <v>Sorghum</v>
      </c>
      <c r="Z3" t="str">
        <v>Maize</v>
      </c>
      <c r="AA3" t="str">
        <v>Lentils</v>
      </c>
      <c r="AB3" t="str">
        <v>Wheat</v>
      </c>
      <c r="AC3" t="str">
        <v>Vegetables</v>
      </c>
      <c r="AD3" t="str">
        <v>CashCrop</v>
      </c>
      <c r="AE3" t="s">
        <v>22</v>
      </c>
      <c r="AF3" t="s">
        <v>23</v>
      </c>
      <c r="AG3" t="str">
        <f t="array" ref="AG3:AM3">TRANSPOSE(Crops)</f>
        <v>Teff</v>
      </c>
      <c r="AH3" t="str">
        <v>Sorghum</v>
      </c>
      <c r="AI3" t="str">
        <v>Maize</v>
      </c>
      <c r="AJ3" t="str">
        <v>Lentils</v>
      </c>
      <c r="AK3" t="str">
        <v>Wheat</v>
      </c>
      <c r="AL3" t="str">
        <v>Vegetables</v>
      </c>
      <c r="AM3" t="str">
        <v>CashCrop</v>
      </c>
      <c r="AN3" t="s">
        <v>22</v>
      </c>
      <c r="AO3" t="s">
        <v>23</v>
      </c>
      <c r="AY3" t="str">
        <f t="array" ref="AY3:BE3">TRANSPOSE(Crops)</f>
        <v>Teff</v>
      </c>
      <c r="AZ3" t="str">
        <v>Sorghum</v>
      </c>
      <c r="BA3" t="str">
        <v>Maize</v>
      </c>
      <c r="BB3" t="str">
        <v>Lentils</v>
      </c>
      <c r="BC3" t="str">
        <v>Wheat</v>
      </c>
      <c r="BD3" t="str">
        <v>Vegetables</v>
      </c>
      <c r="BE3" t="str">
        <v>CashCrop</v>
      </c>
      <c r="BF3" t="s">
        <v>22</v>
      </c>
      <c r="BG3" t="s">
        <v>23</v>
      </c>
    </row>
    <row r="4" spans="1:59">
      <c r="A4" t="str">
        <f t="array" ref="A4:A18">Adapt</f>
        <v>A1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0.818211701890175</v>
      </c>
      <c r="J4" s="3">
        <v>2.8656320740765677</v>
      </c>
      <c r="K4" s="3">
        <v>33.875971510100975</v>
      </c>
      <c r="L4" s="3">
        <v>3.7568670867664591</v>
      </c>
      <c r="M4" s="3">
        <v>1.6283074530605495</v>
      </c>
      <c r="N4" s="3">
        <v>2.8311879016608259</v>
      </c>
      <c r="O4" s="3">
        <v>0.17483027340036347</v>
      </c>
      <c r="U4" s="3"/>
      <c r="W4" t="str">
        <f t="array" ref="W4:W18">Adapt</f>
        <v>A1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2">
        <f>Cattle!B142*0</f>
        <v>0</v>
      </c>
      <c r="AF4" s="3">
        <f>Cattle!B162*Cattle!G121</f>
        <v>0</v>
      </c>
      <c r="AG4" s="3">
        <v>7.7783574528293187</v>
      </c>
      <c r="AH4" s="3">
        <v>26.025896400895459</v>
      </c>
      <c r="AI4" s="3">
        <v>495.00588239737482</v>
      </c>
      <c r="AJ4" s="3">
        <v>35.361440804613011</v>
      </c>
      <c r="AK4" s="3">
        <v>15.458730384186474</v>
      </c>
      <c r="AL4" s="3">
        <v>0</v>
      </c>
      <c r="AM4" s="3">
        <v>0.28477485815130443</v>
      </c>
      <c r="AN4">
        <v>0</v>
      </c>
      <c r="AO4">
        <v>0</v>
      </c>
      <c r="AX4" t="str">
        <f t="array" ref="AX4:AX18">Adapt</f>
        <v>A1</v>
      </c>
      <c r="AY4" s="35">
        <f t="shared" ref="AY4:AY18" si="0">X4/SUM(X$4:X$18)</f>
        <v>0</v>
      </c>
      <c r="AZ4" s="35">
        <f t="shared" ref="AZ4:BG18" si="1">Y4/SUM(Y$4:Y$18)</f>
        <v>0</v>
      </c>
      <c r="BA4" s="35">
        <f t="shared" si="1"/>
        <v>0</v>
      </c>
      <c r="BB4" s="35">
        <f t="shared" si="1"/>
        <v>0</v>
      </c>
      <c r="BC4" s="35">
        <f t="shared" si="1"/>
        <v>0</v>
      </c>
      <c r="BD4" s="35">
        <f t="shared" si="1"/>
        <v>0</v>
      </c>
      <c r="BE4" s="35">
        <f t="shared" si="1"/>
        <v>0</v>
      </c>
      <c r="BF4" s="35" t="e">
        <f t="shared" si="1"/>
        <v>#DIV/0!</v>
      </c>
      <c r="BG4" s="35" t="e">
        <f t="shared" si="1"/>
        <v>#DIV/0!</v>
      </c>
    </row>
    <row r="5" spans="1:59">
      <c r="A5" t="str">
        <v>H2</v>
      </c>
      <c r="B5" s="3">
        <v>34.013768206025397</v>
      </c>
      <c r="C5" s="3">
        <v>49.519915583200707</v>
      </c>
      <c r="D5" s="3">
        <v>60.652614421575727</v>
      </c>
      <c r="E5" s="3">
        <v>43.897303515534709</v>
      </c>
      <c r="F5" s="3">
        <v>13.380894606994216</v>
      </c>
      <c r="G5" s="3">
        <v>19.681918301319527</v>
      </c>
      <c r="H5" s="3">
        <v>39.863213549117461</v>
      </c>
      <c r="I5" s="3">
        <v>14.249516696176993</v>
      </c>
      <c r="J5" s="3">
        <v>17.689889586193388</v>
      </c>
      <c r="K5" s="3">
        <v>118.07521306838919</v>
      </c>
      <c r="L5" s="3">
        <v>53.5453356897142</v>
      </c>
      <c r="M5" s="3">
        <v>0.90018815473975311</v>
      </c>
      <c r="N5" s="3">
        <v>45.562516058575724</v>
      </c>
      <c r="O5" s="3">
        <v>4.9095006898315861</v>
      </c>
      <c r="U5" s="3"/>
      <c r="W5" t="str">
        <v>H2</v>
      </c>
      <c r="X5" s="3">
        <v>440.43225346579078</v>
      </c>
      <c r="Y5" s="3">
        <v>961.95589462753242</v>
      </c>
      <c r="Z5" s="3">
        <v>1615.4691451014025</v>
      </c>
      <c r="AA5" s="3">
        <v>648.53734348389901</v>
      </c>
      <c r="AB5" s="3">
        <v>345.06081611353488</v>
      </c>
      <c r="AC5" s="3">
        <v>3145.8611368322704</v>
      </c>
      <c r="AD5" s="3">
        <v>351.03698784536221</v>
      </c>
      <c r="AE5" s="2">
        <f>Cattle!B143*0</f>
        <v>0</v>
      </c>
      <c r="AF5" s="3">
        <f>Cattle!B163*Cattle!G122</f>
        <v>0</v>
      </c>
      <c r="AG5" s="3">
        <v>124.48910298725028</v>
      </c>
      <c r="AH5" s="3">
        <v>162.94038462139511</v>
      </c>
      <c r="AI5" s="3">
        <v>1410.7806680304043</v>
      </c>
      <c r="AJ5" s="3">
        <v>468.42538877491427</v>
      </c>
      <c r="AK5" s="3">
        <v>9.5221093515176758</v>
      </c>
      <c r="AL5" s="3">
        <v>6451.1046194449418</v>
      </c>
      <c r="AM5" s="3">
        <v>30.144745785240186</v>
      </c>
      <c r="AN5">
        <v>0</v>
      </c>
      <c r="AO5">
        <v>0</v>
      </c>
      <c r="AX5" t="str">
        <v>H2</v>
      </c>
      <c r="AY5" s="35">
        <f t="shared" si="0"/>
        <v>9.1590408250820758E-3</v>
      </c>
      <c r="AZ5" s="35">
        <f t="shared" si="1"/>
        <v>1.5398988186581431E-2</v>
      </c>
      <c r="BA5" s="35">
        <f t="shared" si="1"/>
        <v>2.2504144344357661E-2</v>
      </c>
      <c r="BB5" s="35">
        <f t="shared" si="1"/>
        <v>2.532556605584655E-2</v>
      </c>
      <c r="BC5" s="35">
        <f t="shared" si="1"/>
        <v>8.6043026990138306E-3</v>
      </c>
      <c r="BD5" s="35">
        <f t="shared" si="1"/>
        <v>6.4136722604687446E-2</v>
      </c>
      <c r="BE5" s="35">
        <f t="shared" si="1"/>
        <v>3.0175853560439767E-2</v>
      </c>
      <c r="BF5" s="35" t="e">
        <f t="shared" si="1"/>
        <v>#DIV/0!</v>
      </c>
      <c r="BG5" s="35" t="e">
        <f t="shared" si="1"/>
        <v>#DIV/0!</v>
      </c>
    </row>
    <row r="6" spans="1:59">
      <c r="A6" t="str">
        <v>H3</v>
      </c>
      <c r="B6" s="3">
        <v>91.682955303620105</v>
      </c>
      <c r="C6" s="3">
        <v>103.01901126654577</v>
      </c>
      <c r="D6" s="3">
        <v>101.40697470789014</v>
      </c>
      <c r="E6" s="3">
        <v>72.62192748548911</v>
      </c>
      <c r="F6" s="3">
        <v>89.065718947648605</v>
      </c>
      <c r="G6" s="3">
        <v>27.315565046487404</v>
      </c>
      <c r="H6" s="3">
        <v>87.07171838305608</v>
      </c>
      <c r="I6" s="3">
        <v>7.4066963493041804</v>
      </c>
      <c r="J6" s="3">
        <v>12.280891288697749</v>
      </c>
      <c r="K6" s="3">
        <v>67.402117319554321</v>
      </c>
      <c r="L6" s="3">
        <v>28.970272125839056</v>
      </c>
      <c r="M6" s="3">
        <v>3.0980024778600033</v>
      </c>
      <c r="N6" s="3">
        <v>24.040893951315653</v>
      </c>
      <c r="O6" s="3">
        <v>2.3360920724073155</v>
      </c>
      <c r="U6" s="3"/>
      <c r="W6" t="str">
        <v>H3</v>
      </c>
      <c r="X6" s="3">
        <v>1351.2591223923232</v>
      </c>
      <c r="Y6" s="3">
        <v>2373.8153754540258</v>
      </c>
      <c r="Z6" s="3">
        <v>3337.5179925218567</v>
      </c>
      <c r="AA6" s="3">
        <v>1167.6569972445147</v>
      </c>
      <c r="AB6" s="3">
        <v>2663.5575594515858</v>
      </c>
      <c r="AC6" s="3">
        <v>2788.3063637082446</v>
      </c>
      <c r="AD6" s="3">
        <v>816.25605100517475</v>
      </c>
      <c r="AE6" s="2">
        <f>Cattle!B144*0</f>
        <v>0</v>
      </c>
      <c r="AF6" s="3">
        <f>Cattle!B164*Cattle!G123</f>
        <v>0</v>
      </c>
      <c r="AG6" s="3">
        <v>65.758883647689984</v>
      </c>
      <c r="AH6" s="3">
        <v>112.5024889880697</v>
      </c>
      <c r="AI6" s="3">
        <v>822.63879736339027</v>
      </c>
      <c r="AJ6" s="3">
        <v>257.60092933358573</v>
      </c>
      <c r="AK6" s="3">
        <v>29.825438392930078</v>
      </c>
      <c r="AL6" s="3">
        <v>2735.2067728903276</v>
      </c>
      <c r="AM6" s="3">
        <v>13.200975823166068</v>
      </c>
      <c r="AN6">
        <v>0</v>
      </c>
      <c r="AO6">
        <v>0</v>
      </c>
      <c r="AX6" t="str">
        <v>H3</v>
      </c>
      <c r="AY6" s="35">
        <f t="shared" si="0"/>
        <v>2.8100206944124614E-2</v>
      </c>
      <c r="AZ6" s="35">
        <f t="shared" si="1"/>
        <v>3.8000032151053756E-2</v>
      </c>
      <c r="BA6" s="35">
        <f t="shared" si="1"/>
        <v>4.6492987429288334E-2</v>
      </c>
      <c r="BB6" s="35">
        <f t="shared" si="1"/>
        <v>4.5597334851114169E-2</v>
      </c>
      <c r="BC6" s="35">
        <f t="shared" si="1"/>
        <v>6.6417438397952652E-2</v>
      </c>
      <c r="BD6" s="35">
        <f t="shared" si="1"/>
        <v>5.6847020261713274E-2</v>
      </c>
      <c r="BE6" s="35">
        <f t="shared" si="1"/>
        <v>7.0167030585977688E-2</v>
      </c>
      <c r="BF6" s="35" t="e">
        <f t="shared" si="1"/>
        <v>#DIV/0!</v>
      </c>
      <c r="BG6" s="35" t="e">
        <f t="shared" si="1"/>
        <v>#DIV/0!</v>
      </c>
    </row>
    <row r="7" spans="1:59">
      <c r="A7" t="str">
        <v>H4</v>
      </c>
      <c r="B7" s="3">
        <v>49.93343736089308</v>
      </c>
      <c r="C7" s="3">
        <v>67.671519268330172</v>
      </c>
      <c r="D7" s="3">
        <v>69.322302504435356</v>
      </c>
      <c r="E7" s="3">
        <v>41.515462467044806</v>
      </c>
      <c r="F7" s="3">
        <v>97.019589360712473</v>
      </c>
      <c r="G7" s="3">
        <v>18.580172177133321</v>
      </c>
      <c r="H7" s="3">
        <v>22.33144869850554</v>
      </c>
      <c r="I7" s="3">
        <v>2.5585609021346918</v>
      </c>
      <c r="J7" s="3">
        <v>5.4985825107024526</v>
      </c>
      <c r="K7" s="3">
        <v>25.391251556860325</v>
      </c>
      <c r="L7" s="3">
        <v>10.452763964441454</v>
      </c>
      <c r="M7" s="3">
        <v>2.099832079164055</v>
      </c>
      <c r="N7" s="3">
        <v>8.4237406463256921</v>
      </c>
      <c r="O7" s="3">
        <v>0.7398089547864426</v>
      </c>
      <c r="U7" s="3"/>
      <c r="W7" t="str">
        <v>H4</v>
      </c>
      <c r="X7" s="3">
        <v>748.6767090607367</v>
      </c>
      <c r="Y7" s="3">
        <v>1672.1575923219671</v>
      </c>
      <c r="Z7" s="3">
        <v>2400.7947136111493</v>
      </c>
      <c r="AA7" s="3">
        <v>783.38115397207866</v>
      </c>
      <c r="AB7" s="3">
        <v>3162.2112464530328</v>
      </c>
      <c r="AC7" s="3">
        <v>1543.9130410346663</v>
      </c>
      <c r="AD7" s="3">
        <v>202.52167765667355</v>
      </c>
      <c r="AE7" s="2">
        <f>Cattle!B145*0</f>
        <v>0</v>
      </c>
      <c r="AF7" s="3">
        <f>Cattle!B165*Cattle!G124</f>
        <v>0</v>
      </c>
      <c r="AG7" s="3">
        <v>23.18561321113809</v>
      </c>
      <c r="AH7" s="3">
        <v>50.18857019331243</v>
      </c>
      <c r="AI7" s="3">
        <v>316.21119864148886</v>
      </c>
      <c r="AJ7" s="3">
        <v>94.628095795335341</v>
      </c>
      <c r="AK7" s="3">
        <v>20.037953047691076</v>
      </c>
      <c r="AL7" s="3">
        <v>699.27445229819102</v>
      </c>
      <c r="AM7" s="3">
        <v>3.7313087082223708</v>
      </c>
      <c r="AN7">
        <v>0</v>
      </c>
      <c r="AO7">
        <v>0</v>
      </c>
      <c r="AX7" t="str">
        <v>H4</v>
      </c>
      <c r="AY7" s="35">
        <f t="shared" si="0"/>
        <v>1.5569160725891281E-2</v>
      </c>
      <c r="AZ7" s="35">
        <f t="shared" si="1"/>
        <v>2.6767895653093943E-2</v>
      </c>
      <c r="BA7" s="35">
        <f t="shared" si="1"/>
        <v>3.3444049946794126E-2</v>
      </c>
      <c r="BB7" s="35">
        <f t="shared" si="1"/>
        <v>3.0591254861668152E-2</v>
      </c>
      <c r="BC7" s="35">
        <f t="shared" si="1"/>
        <v>7.8851673363443564E-2</v>
      </c>
      <c r="BD7" s="35">
        <f t="shared" si="1"/>
        <v>3.1476762047516725E-2</v>
      </c>
      <c r="BE7" s="35">
        <f t="shared" si="1"/>
        <v>1.7409175384317289E-2</v>
      </c>
      <c r="BF7" s="35" t="e">
        <f t="shared" si="1"/>
        <v>#DIV/0!</v>
      </c>
      <c r="BG7" s="35" t="e">
        <f t="shared" si="1"/>
        <v>#DIV/0!</v>
      </c>
    </row>
    <row r="8" spans="1:59">
      <c r="A8" t="str">
        <v>H5</v>
      </c>
      <c r="B8" s="3">
        <v>9.756567792151781</v>
      </c>
      <c r="C8" s="3">
        <v>14.414083470027238</v>
      </c>
      <c r="D8" s="3">
        <v>6.9601244179821071</v>
      </c>
      <c r="E8" s="3">
        <v>8.2821692868982133</v>
      </c>
      <c r="F8" s="3">
        <v>17.498498716039062</v>
      </c>
      <c r="G8" s="3">
        <v>1.7099015684349208</v>
      </c>
      <c r="H8" s="3">
        <v>3.1574893091973482</v>
      </c>
      <c r="I8" s="3">
        <v>0.34678789779008728</v>
      </c>
      <c r="J8" s="3">
        <v>1.2040332143213173</v>
      </c>
      <c r="K8" s="3">
        <v>2.554653874764468</v>
      </c>
      <c r="L8" s="3">
        <v>1.5071177543735499</v>
      </c>
      <c r="M8" s="3">
        <v>0.49619259722771469</v>
      </c>
      <c r="N8" s="3">
        <v>1.0775446524521752</v>
      </c>
      <c r="O8" s="3">
        <v>0.10525584110579848</v>
      </c>
      <c r="U8" s="3"/>
      <c r="W8" t="str">
        <v>H5</v>
      </c>
      <c r="X8" s="3">
        <v>138.98552989538982</v>
      </c>
      <c r="Y8" s="3">
        <v>318.67383563643193</v>
      </c>
      <c r="Z8" s="3">
        <v>224.94983213202588</v>
      </c>
      <c r="AA8" s="3">
        <v>137.783184735795</v>
      </c>
      <c r="AB8" s="3">
        <v>514.64841580006805</v>
      </c>
      <c r="AC8" s="3">
        <v>121.30567696739382</v>
      </c>
      <c r="AD8" s="3">
        <v>26.939899594126743</v>
      </c>
      <c r="AE8" s="2">
        <f>Cattle!B146*0</f>
        <v>0</v>
      </c>
      <c r="AF8" s="3">
        <f>Cattle!B166*Cattle!G125</f>
        <v>0</v>
      </c>
      <c r="AG8" s="3">
        <v>3.4823592757470667</v>
      </c>
      <c r="AH8" s="3">
        <v>10.958586694997404</v>
      </c>
      <c r="AI8" s="3">
        <v>33.285343010681501</v>
      </c>
      <c r="AJ8" s="3">
        <v>14.463660811066696</v>
      </c>
      <c r="AK8" s="3">
        <v>4.7011465700536759</v>
      </c>
      <c r="AL8" s="3">
        <v>29.106245950567615</v>
      </c>
      <c r="AM8" s="3">
        <v>0.82787737128850336</v>
      </c>
      <c r="AN8">
        <v>0</v>
      </c>
      <c r="AO8">
        <v>0</v>
      </c>
      <c r="AX8" t="str">
        <v>H5</v>
      </c>
      <c r="AY8" s="35">
        <f t="shared" si="0"/>
        <v>2.8902836529123887E-3</v>
      </c>
      <c r="AZ8" s="35">
        <f t="shared" si="1"/>
        <v>5.1013301729785528E-3</v>
      </c>
      <c r="BA8" s="35">
        <f t="shared" si="1"/>
        <v>3.1336429469350068E-3</v>
      </c>
      <c r="BB8" s="35">
        <f t="shared" si="1"/>
        <v>5.3804721986651727E-3</v>
      </c>
      <c r="BC8" s="35">
        <f t="shared" si="1"/>
        <v>1.283307332019616E-2</v>
      </c>
      <c r="BD8" s="35">
        <f t="shared" si="1"/>
        <v>2.4731379471713724E-3</v>
      </c>
      <c r="BE8" s="35">
        <f t="shared" si="1"/>
        <v>2.3158085707009053E-3</v>
      </c>
      <c r="BF8" s="35" t="e">
        <f t="shared" si="1"/>
        <v>#DIV/0!</v>
      </c>
      <c r="BG8" s="35" t="e">
        <f t="shared" si="1"/>
        <v>#DIV/0!</v>
      </c>
    </row>
    <row r="9" spans="1:59">
      <c r="A9" t="str">
        <v>M1</v>
      </c>
      <c r="B9" s="3">
        <v>392.63271542446347</v>
      </c>
      <c r="C9" s="3">
        <v>401.78041029077843</v>
      </c>
      <c r="D9" s="3">
        <v>281.29119728448001</v>
      </c>
      <c r="E9" s="3">
        <v>232.22196643766924</v>
      </c>
      <c r="F9" s="3">
        <v>218.74454487987038</v>
      </c>
      <c r="G9" s="3">
        <v>44.018739316291985</v>
      </c>
      <c r="H9" s="3">
        <v>262.53874660742679</v>
      </c>
      <c r="I9" s="3">
        <v>18.556767918820153</v>
      </c>
      <c r="J9" s="3">
        <v>48.168859128651455</v>
      </c>
      <c r="K9" s="3">
        <v>140.20558457319277</v>
      </c>
      <c r="L9" s="3">
        <v>75.842326133093465</v>
      </c>
      <c r="M9" s="3">
        <v>16.979524252758559</v>
      </c>
      <c r="N9" s="3">
        <v>56.337822779498381</v>
      </c>
      <c r="O9" s="3">
        <v>5.6311866920902443</v>
      </c>
      <c r="U9" s="3"/>
      <c r="W9" t="str">
        <v>M1</v>
      </c>
      <c r="X9" s="3">
        <v>6321.0648982822458</v>
      </c>
      <c r="Y9" s="3">
        <v>9158.1851993388555</v>
      </c>
      <c r="Z9" s="3">
        <v>9550.1162524131923</v>
      </c>
      <c r="AA9" s="3">
        <v>3978.4911367561135</v>
      </c>
      <c r="AB9" s="3">
        <v>5668.3845697707884</v>
      </c>
      <c r="AC9" s="3">
        <v>3396.410133181847</v>
      </c>
      <c r="AD9" s="3">
        <v>2135.5191429171959</v>
      </c>
      <c r="AE9" s="2">
        <f>Cattle!B147*0</f>
        <v>0</v>
      </c>
      <c r="AF9" s="3">
        <f>Cattle!B167*Cattle!G126</f>
        <v>0</v>
      </c>
      <c r="AG9" s="3">
        <v>178.69858543451855</v>
      </c>
      <c r="AH9" s="3">
        <v>439.26443952778345</v>
      </c>
      <c r="AI9" s="3">
        <v>1767.1293214972011</v>
      </c>
      <c r="AJ9" s="3">
        <v>709.22137843066707</v>
      </c>
      <c r="AK9" s="3">
        <v>161.29636424103691</v>
      </c>
      <c r="AL9" s="3">
        <v>3820.1324994214579</v>
      </c>
      <c r="AM9" s="3">
        <v>41.205912332037499</v>
      </c>
      <c r="AN9">
        <v>0</v>
      </c>
      <c r="AO9">
        <v>0</v>
      </c>
      <c r="AX9" t="str">
        <v>M1</v>
      </c>
      <c r="AY9" s="35">
        <f t="shared" si="0"/>
        <v>0.13145016289288899</v>
      </c>
      <c r="AZ9" s="35">
        <f t="shared" si="1"/>
        <v>0.14660421177599756</v>
      </c>
      <c r="BA9" s="35">
        <f t="shared" si="1"/>
        <v>0.13303701608996824</v>
      </c>
      <c r="BB9" s="35">
        <f t="shared" si="1"/>
        <v>0.15536120024369646</v>
      </c>
      <c r="BC9" s="35">
        <f t="shared" si="1"/>
        <v>0.14134463948140549</v>
      </c>
      <c r="BD9" s="35">
        <f t="shared" si="1"/>
        <v>6.9244828391561666E-2</v>
      </c>
      <c r="BE9" s="35">
        <f t="shared" si="1"/>
        <v>0.18357356963355828</v>
      </c>
      <c r="BF9" s="35" t="e">
        <f t="shared" si="1"/>
        <v>#DIV/0!</v>
      </c>
      <c r="BG9" s="35" t="e">
        <f t="shared" si="1"/>
        <v>#DIV/0!</v>
      </c>
    </row>
    <row r="10" spans="1:59">
      <c r="A10" t="str">
        <v>M3</v>
      </c>
      <c r="B10" s="3">
        <v>992.81097047933758</v>
      </c>
      <c r="C10" s="3">
        <v>683.09722224105076</v>
      </c>
      <c r="D10" s="3">
        <v>474.36528744266866</v>
      </c>
      <c r="E10" s="3">
        <v>454.54739943613282</v>
      </c>
      <c r="F10" s="3">
        <v>415.13101473063796</v>
      </c>
      <c r="G10" s="3">
        <v>74.329291734508047</v>
      </c>
      <c r="H10" s="3">
        <v>217.18601193836261</v>
      </c>
      <c r="I10" s="3">
        <v>15.730811540170082</v>
      </c>
      <c r="J10" s="3">
        <v>49.563625396850831</v>
      </c>
      <c r="K10" s="3">
        <v>75.219406997179618</v>
      </c>
      <c r="L10" s="3">
        <v>64.884882793707106</v>
      </c>
      <c r="M10" s="3">
        <v>15.35194492366533</v>
      </c>
      <c r="N10" s="3">
        <v>46.060300067788411</v>
      </c>
      <c r="O10" s="3">
        <v>5.4942978632966515</v>
      </c>
      <c r="U10" s="3"/>
      <c r="W10" t="str">
        <v>M3</v>
      </c>
      <c r="X10" s="3">
        <v>17803.598431359609</v>
      </c>
      <c r="Y10" s="3">
        <v>14668.726791711822</v>
      </c>
      <c r="Z10" s="3">
        <v>16423.203663843185</v>
      </c>
      <c r="AA10" s="3">
        <v>7821.1672744498146</v>
      </c>
      <c r="AB10" s="3">
        <v>10086.714150645839</v>
      </c>
      <c r="AC10" s="3">
        <v>6130.9362994051344</v>
      </c>
      <c r="AD10" s="3">
        <v>2104.4054164588842</v>
      </c>
      <c r="AE10" s="2">
        <f>Cattle!B148*0</f>
        <v>0</v>
      </c>
      <c r="AF10" s="3">
        <f>Cattle!B168*Cattle!G127</f>
        <v>0</v>
      </c>
      <c r="AG10" s="3">
        <v>159.47690940053133</v>
      </c>
      <c r="AH10" s="3">
        <v>451.90012374952784</v>
      </c>
      <c r="AI10" s="3">
        <v>968.33108517498806</v>
      </c>
      <c r="AJ10" s="3">
        <v>622.75466916646246</v>
      </c>
      <c r="AK10" s="3">
        <v>145.29785987003893</v>
      </c>
      <c r="AL10" s="3">
        <v>2693.2725303708658</v>
      </c>
      <c r="AM10" s="3">
        <v>52.309853994147169</v>
      </c>
      <c r="AN10">
        <v>0</v>
      </c>
      <c r="AO10">
        <v>0</v>
      </c>
      <c r="AX10" t="str">
        <v>M3</v>
      </c>
      <c r="AY10" s="35">
        <f t="shared" si="0"/>
        <v>0.37023602059801319</v>
      </c>
      <c r="AZ10" s="35">
        <f t="shared" si="1"/>
        <v>0.23481695142085762</v>
      </c>
      <c r="BA10" s="35">
        <f t="shared" si="1"/>
        <v>0.22878192812819806</v>
      </c>
      <c r="BB10" s="35">
        <f t="shared" si="1"/>
        <v>0.30541878649401422</v>
      </c>
      <c r="BC10" s="35">
        <f t="shared" si="1"/>
        <v>0.25151839252019526</v>
      </c>
      <c r="BD10" s="35">
        <f t="shared" si="1"/>
        <v>0.1249953966937993</v>
      </c>
      <c r="BE10" s="35">
        <f t="shared" si="1"/>
        <v>0.18089897041514433</v>
      </c>
      <c r="BF10" s="35" t="e">
        <f t="shared" si="1"/>
        <v>#DIV/0!</v>
      </c>
      <c r="BG10" s="35" t="e">
        <f t="shared" si="1"/>
        <v>#DIV/0!</v>
      </c>
    </row>
    <row r="11" spans="1:59">
      <c r="A11" t="str">
        <v>M5</v>
      </c>
      <c r="B11" s="3">
        <v>9.0637385849186707</v>
      </c>
      <c r="C11" s="3">
        <v>5.6183488769004066</v>
      </c>
      <c r="D11" s="3">
        <v>2.7551947395344678</v>
      </c>
      <c r="E11" s="3">
        <v>5.0916599683583401</v>
      </c>
      <c r="F11" s="3">
        <v>5.1974538574840929</v>
      </c>
      <c r="G11" s="3">
        <v>0.44904917854124643</v>
      </c>
      <c r="H11" s="3">
        <v>1.8831967953884721</v>
      </c>
      <c r="I11" s="3">
        <v>0.15456872969643987</v>
      </c>
      <c r="J11" s="3">
        <v>0.53094242866273467</v>
      </c>
      <c r="K11" s="3">
        <v>0.10815836603838355</v>
      </c>
      <c r="L11" s="3">
        <v>0.62550788615740482</v>
      </c>
      <c r="M11" s="3">
        <v>0.11588253836178052</v>
      </c>
      <c r="N11" s="3">
        <v>0.41382740040182631</v>
      </c>
      <c r="O11" s="3">
        <v>6.3826773562412939E-2</v>
      </c>
      <c r="U11" s="3"/>
      <c r="W11" t="str">
        <v>M5</v>
      </c>
      <c r="X11" s="3">
        <v>157.46643014129222</v>
      </c>
      <c r="Y11" s="3">
        <v>111.15101618841811</v>
      </c>
      <c r="Z11" s="3">
        <v>87.882519391091037</v>
      </c>
      <c r="AA11" s="3">
        <v>84.498130836937065</v>
      </c>
      <c r="AB11" s="3">
        <v>118.94667160839458</v>
      </c>
      <c r="AC11" s="3">
        <v>40.477655556507329</v>
      </c>
      <c r="AD11" s="3">
        <v>16.689928112932897</v>
      </c>
      <c r="AE11" s="2">
        <f>Cattle!B149*0</f>
        <v>0</v>
      </c>
      <c r="AF11" s="3">
        <f>Cattle!B169*Cattle!G128</f>
        <v>0</v>
      </c>
      <c r="AG11" s="3">
        <v>1.6528950464945411</v>
      </c>
      <c r="AH11" s="3">
        <v>4.8452543587141301</v>
      </c>
      <c r="AI11" s="3">
        <v>1.5672846885980538</v>
      </c>
      <c r="AJ11" s="3">
        <v>6.16234065284337</v>
      </c>
      <c r="AK11" s="3">
        <v>1.0906908153506631</v>
      </c>
      <c r="AL11" s="3">
        <v>28.772832612882198</v>
      </c>
      <c r="AM11" s="3">
        <v>0.75287559322955344</v>
      </c>
      <c r="AN11">
        <v>0</v>
      </c>
      <c r="AO11">
        <v>0</v>
      </c>
      <c r="AX11" t="str">
        <v>M5</v>
      </c>
      <c r="AY11" s="35">
        <f t="shared" si="0"/>
        <v>3.274604552448046E-3</v>
      </c>
      <c r="AZ11" s="35">
        <f t="shared" si="1"/>
        <v>1.7793052620928172E-3</v>
      </c>
      <c r="BA11" s="35">
        <f t="shared" si="1"/>
        <v>1.2242393534534408E-3</v>
      </c>
      <c r="BB11" s="35">
        <f t="shared" si="1"/>
        <v>3.2996758253128131E-3</v>
      </c>
      <c r="BC11" s="35">
        <f t="shared" si="1"/>
        <v>2.966008076738785E-3</v>
      </c>
      <c r="BD11" s="35">
        <f t="shared" si="1"/>
        <v>8.2524436178068152E-4</v>
      </c>
      <c r="BE11" s="35">
        <f t="shared" si="1"/>
        <v>1.4347001715157971E-3</v>
      </c>
      <c r="BF11" s="35" t="e">
        <f t="shared" si="1"/>
        <v>#DIV/0!</v>
      </c>
      <c r="BG11" s="35" t="e">
        <f t="shared" si="1"/>
        <v>#DIV/0!</v>
      </c>
    </row>
    <row r="12" spans="1:59">
      <c r="A12" t="str">
        <v>SA1</v>
      </c>
      <c r="B12" s="3">
        <v>21.193744050693663</v>
      </c>
      <c r="C12" s="3">
        <v>53.035584197824178</v>
      </c>
      <c r="D12" s="3">
        <v>27.734825129839887</v>
      </c>
      <c r="E12" s="3">
        <v>13.007618984369447</v>
      </c>
      <c r="F12" s="3">
        <v>3.6187882683562282</v>
      </c>
      <c r="G12" s="3">
        <v>3.5792940951910506</v>
      </c>
      <c r="H12" s="3">
        <v>45.507371815776409</v>
      </c>
      <c r="I12" s="3">
        <v>7.1692884646513493</v>
      </c>
      <c r="J12" s="3">
        <v>10.989558207361046</v>
      </c>
      <c r="K12" s="3">
        <v>58.737635470097928</v>
      </c>
      <c r="L12" s="3">
        <v>25.084270347036405</v>
      </c>
      <c r="M12" s="3">
        <v>3.0204691182544576</v>
      </c>
      <c r="N12" s="3">
        <v>20.734722826632993</v>
      </c>
      <c r="O12" s="3">
        <v>1.9726192478740676</v>
      </c>
      <c r="U12" s="3"/>
      <c r="W12" t="str">
        <v>SA1</v>
      </c>
      <c r="X12" s="3">
        <v>300.87753300127724</v>
      </c>
      <c r="Y12" s="3">
        <v>1535.117441633997</v>
      </c>
      <c r="Z12" s="3">
        <v>718.08963298925664</v>
      </c>
      <c r="AA12" s="3">
        <v>188.13136752255005</v>
      </c>
      <c r="AB12" s="3">
        <v>97.864828969959376</v>
      </c>
      <c r="AC12" s="3">
        <v>403.08496220197168</v>
      </c>
      <c r="AD12" s="3">
        <v>273.11864900880073</v>
      </c>
      <c r="AE12" s="2">
        <f>Cattle!B150*0</f>
        <v>0</v>
      </c>
      <c r="AF12" s="3">
        <f>Cattle!B170*Cattle!G129</f>
        <v>0</v>
      </c>
      <c r="AG12" s="3">
        <v>65.113500237031715</v>
      </c>
      <c r="AH12" s="3">
        <v>100.61049685697435</v>
      </c>
      <c r="AI12" s="3">
        <v>718.90110438000897</v>
      </c>
      <c r="AJ12" s="3">
        <v>223.59848174524865</v>
      </c>
      <c r="AK12" s="3">
        <v>29.018671246480011</v>
      </c>
      <c r="AL12" s="3">
        <v>2270.1546453541509</v>
      </c>
      <c r="AM12" s="3">
        <v>11.026802389048779</v>
      </c>
      <c r="AN12">
        <v>0</v>
      </c>
      <c r="AO12">
        <v>0</v>
      </c>
      <c r="AX12" t="str">
        <v>SA1</v>
      </c>
      <c r="AY12" s="35">
        <f t="shared" si="0"/>
        <v>6.2569205284660704E-3</v>
      </c>
      <c r="AZ12" s="35">
        <f t="shared" si="1"/>
        <v>2.4574157173692573E-2</v>
      </c>
      <c r="BA12" s="35">
        <f t="shared" si="1"/>
        <v>1.0003281586639459E-2</v>
      </c>
      <c r="BB12" s="35">
        <f t="shared" si="1"/>
        <v>7.3465829273212432E-3</v>
      </c>
      <c r="BC12" s="35">
        <f t="shared" si="1"/>
        <v>2.4403194240625887E-3</v>
      </c>
      <c r="BD12" s="35">
        <f t="shared" si="1"/>
        <v>8.2179560007219661E-3</v>
      </c>
      <c r="BE12" s="35">
        <f t="shared" si="1"/>
        <v>2.3477834651274069E-2</v>
      </c>
      <c r="BF12" s="35" t="e">
        <f t="shared" si="1"/>
        <v>#DIV/0!</v>
      </c>
      <c r="BG12" s="35" t="e">
        <f t="shared" si="1"/>
        <v>#DIV/0!</v>
      </c>
    </row>
    <row r="13" spans="1:59">
      <c r="A13" t="str">
        <v>SA3</v>
      </c>
      <c r="B13" s="3">
        <v>480.46960853448849</v>
      </c>
      <c r="C13" s="3">
        <v>558.45983846151239</v>
      </c>
      <c r="D13" s="3">
        <v>151.4101547938568</v>
      </c>
      <c r="E13" s="3">
        <v>300.12520168908799</v>
      </c>
      <c r="F13" s="3">
        <v>335.79081483195716</v>
      </c>
      <c r="G13" s="3">
        <v>32.593470838286699</v>
      </c>
      <c r="H13" s="3">
        <v>64.27189812461657</v>
      </c>
      <c r="I13" s="3">
        <v>10.824354446356061</v>
      </c>
      <c r="J13" s="3">
        <v>27.033843508387022</v>
      </c>
      <c r="K13" s="3">
        <v>34.343497997717762</v>
      </c>
      <c r="L13" s="3">
        <v>34.954673676445402</v>
      </c>
      <c r="M13" s="3">
        <v>7.7523245696046246</v>
      </c>
      <c r="N13" s="3">
        <v>24.55627588053817</v>
      </c>
      <c r="O13" s="3">
        <v>3.0893086625857538</v>
      </c>
      <c r="U13" s="3"/>
      <c r="W13" t="str">
        <v>SA3</v>
      </c>
      <c r="X13" s="3">
        <v>6830.725533338431</v>
      </c>
      <c r="Y13" s="3">
        <v>10888.044846501878</v>
      </c>
      <c r="Z13" s="3">
        <v>4105.2595803195891</v>
      </c>
      <c r="AA13" s="3">
        <v>4629.3404165943984</v>
      </c>
      <c r="AB13" s="3">
        <v>7615.2796554868937</v>
      </c>
      <c r="AC13" s="3">
        <v>2721.0494576906904</v>
      </c>
      <c r="AD13" s="3">
        <v>491.36881572759313</v>
      </c>
      <c r="AE13" s="2">
        <f>Cattle!B151*0</f>
        <v>0</v>
      </c>
      <c r="AF13" s="3">
        <f>Cattle!B171*Cattle!G130</f>
        <v>0</v>
      </c>
      <c r="AG13" s="3">
        <v>111.39284536317471</v>
      </c>
      <c r="AH13" s="3">
        <v>246.55401557682697</v>
      </c>
      <c r="AI13" s="3">
        <v>443.71739748739111</v>
      </c>
      <c r="AJ13" s="3">
        <v>336.77427471155403</v>
      </c>
      <c r="AK13" s="3">
        <v>73.313284728792993</v>
      </c>
      <c r="AL13" s="3">
        <v>1535.7438946497257</v>
      </c>
      <c r="AM13" s="3">
        <v>30.909134714230419</v>
      </c>
      <c r="AN13">
        <v>0</v>
      </c>
      <c r="AO13">
        <v>0</v>
      </c>
      <c r="AX13" t="str">
        <v>SA3</v>
      </c>
      <c r="AY13" s="35">
        <f t="shared" si="0"/>
        <v>0.14204884754117267</v>
      </c>
      <c r="AZ13" s="35">
        <f t="shared" si="1"/>
        <v>0.17429580181653836</v>
      </c>
      <c r="BA13" s="35">
        <f t="shared" si="1"/>
        <v>5.7187941005688588E-2</v>
      </c>
      <c r="BB13" s="35">
        <f t="shared" si="1"/>
        <v>0.18077704806581013</v>
      </c>
      <c r="BC13" s="35">
        <f t="shared" si="1"/>
        <v>0.18989166034978502</v>
      </c>
      <c r="BD13" s="35">
        <f t="shared" si="1"/>
        <v>5.5475809856399251E-2</v>
      </c>
      <c r="BE13" s="35">
        <f t="shared" si="1"/>
        <v>4.2239062950523945E-2</v>
      </c>
      <c r="BF13" s="35" t="e">
        <f t="shared" si="1"/>
        <v>#DIV/0!</v>
      </c>
      <c r="BG13" s="35" t="e">
        <f t="shared" si="1"/>
        <v>#DIV/0!</v>
      </c>
    </row>
    <row r="14" spans="1:59">
      <c r="A14" t="str">
        <v>SH1</v>
      </c>
      <c r="B14" s="3">
        <v>255.25362063252595</v>
      </c>
      <c r="C14" s="3">
        <v>215.22854867633987</v>
      </c>
      <c r="D14" s="3">
        <v>321.22805879391746</v>
      </c>
      <c r="E14" s="3">
        <v>121.52225270944342</v>
      </c>
      <c r="F14" s="3">
        <v>74.22507773305486</v>
      </c>
      <c r="G14" s="3">
        <v>81.323975125129195</v>
      </c>
      <c r="H14" s="3">
        <v>252.40279534203319</v>
      </c>
      <c r="I14" s="3">
        <v>10.594832555792307</v>
      </c>
      <c r="J14" s="3">
        <v>20.260666943552359</v>
      </c>
      <c r="K14" s="3">
        <v>103.6160678681716</v>
      </c>
      <c r="L14" s="3">
        <v>43.930794809070854</v>
      </c>
      <c r="M14" s="3">
        <v>6.1335997269150777</v>
      </c>
      <c r="N14" s="3">
        <v>34.662683518733559</v>
      </c>
      <c r="O14" s="3">
        <v>4.4584212072966256</v>
      </c>
      <c r="U14" s="3"/>
      <c r="W14" t="str">
        <v>SH1</v>
      </c>
      <c r="X14" s="3">
        <v>3870.8459865975592</v>
      </c>
      <c r="Y14" s="3">
        <v>5254.0864733428261</v>
      </c>
      <c r="Z14" s="3">
        <v>12028.801512705099</v>
      </c>
      <c r="AA14" s="3">
        <v>1935.4174947131378</v>
      </c>
      <c r="AB14" s="3">
        <v>1954.6351457004519</v>
      </c>
      <c r="AC14" s="3">
        <v>11742.69048004638</v>
      </c>
      <c r="AD14" s="3">
        <v>1862.8654188997903</v>
      </c>
      <c r="AE14" s="2">
        <f>Cattle!B152*0</f>
        <v>0</v>
      </c>
      <c r="AF14" s="3">
        <f>Cattle!B172*Cattle!G131</f>
        <v>0</v>
      </c>
      <c r="AG14" s="3">
        <v>95.588844825301507</v>
      </c>
      <c r="AH14" s="3">
        <v>185.27377012167969</v>
      </c>
      <c r="AI14" s="3">
        <v>1282.14238844227</v>
      </c>
      <c r="AJ14" s="3">
        <v>397.0281568753403</v>
      </c>
      <c r="AK14" s="3">
        <v>58.709372370303342</v>
      </c>
      <c r="AL14" s="3">
        <v>3483.106768401823</v>
      </c>
      <c r="AM14" s="3">
        <v>20.770742869380118</v>
      </c>
      <c r="AN14">
        <v>0</v>
      </c>
      <c r="AO14">
        <v>0</v>
      </c>
      <c r="AX14" t="str">
        <v>SH1</v>
      </c>
      <c r="AY14" s="35">
        <f t="shared" si="0"/>
        <v>8.0496458058800804E-2</v>
      </c>
      <c r="AZ14" s="35">
        <f t="shared" si="1"/>
        <v>8.4107406572533933E-2</v>
      </c>
      <c r="BA14" s="35">
        <f t="shared" si="1"/>
        <v>0.16756611313337816</v>
      </c>
      <c r="BB14" s="35">
        <f t="shared" si="1"/>
        <v>7.5578598673578926E-2</v>
      </c>
      <c r="BC14" s="35">
        <f t="shared" si="1"/>
        <v>4.8740024002621021E-2</v>
      </c>
      <c r="BD14" s="35">
        <f t="shared" si="1"/>
        <v>0.23940588894200585</v>
      </c>
      <c r="BE14" s="35">
        <f t="shared" si="1"/>
        <v>0.16013570088030263</v>
      </c>
      <c r="BF14" s="35" t="e">
        <f t="shared" si="1"/>
        <v>#DIV/0!</v>
      </c>
      <c r="BG14" s="35" t="e">
        <f t="shared" si="1"/>
        <v>#DIV/0!</v>
      </c>
    </row>
    <row r="15" spans="1:59">
      <c r="A15" t="str">
        <v>SH3</v>
      </c>
      <c r="B15" s="3">
        <v>517.95689565099372</v>
      </c>
      <c r="C15" s="3">
        <v>323.36166198537057</v>
      </c>
      <c r="D15" s="3">
        <v>504.34573501549971</v>
      </c>
      <c r="E15" s="3">
        <v>181.08201175088175</v>
      </c>
      <c r="F15" s="3">
        <v>195.76449840538677</v>
      </c>
      <c r="G15" s="3">
        <v>116.01402687612912</v>
      </c>
      <c r="H15" s="3">
        <v>308.10346774769391</v>
      </c>
      <c r="I15" s="3">
        <v>13.913990193299229</v>
      </c>
      <c r="J15" s="3">
        <v>28.697106252166783</v>
      </c>
      <c r="K15" s="3">
        <v>129.60022976341622</v>
      </c>
      <c r="L15" s="3">
        <v>56.238281044055888</v>
      </c>
      <c r="M15" s="3">
        <v>9.7869382582807756</v>
      </c>
      <c r="N15" s="3">
        <v>45.293361825492759</v>
      </c>
      <c r="O15" s="3">
        <v>4.1881698520161548</v>
      </c>
      <c r="U15" s="3"/>
      <c r="W15" t="str">
        <v>SH3</v>
      </c>
      <c r="X15" s="3">
        <v>8289.242308229037</v>
      </c>
      <c r="Y15" s="3">
        <v>7352.3774086767489</v>
      </c>
      <c r="Z15" s="3">
        <v>18340.93077065183</v>
      </c>
      <c r="AA15" s="3">
        <v>3027.9922035156269</v>
      </c>
      <c r="AB15" s="3">
        <v>5344.4307288561304</v>
      </c>
      <c r="AC15" s="3">
        <v>13959.403149452333</v>
      </c>
      <c r="AD15" s="3">
        <v>2414.6759072262857</v>
      </c>
      <c r="AE15" s="2">
        <f>Cattle!B153*0</f>
        <v>0</v>
      </c>
      <c r="AF15" s="3">
        <f>Cattle!B173*Cattle!G132</f>
        <v>0</v>
      </c>
      <c r="AG15" s="3">
        <v>126.29653535330465</v>
      </c>
      <c r="AH15" s="3">
        <v>262.14858671472075</v>
      </c>
      <c r="AI15" s="3">
        <v>1605.3122186835549</v>
      </c>
      <c r="AJ15" s="3">
        <v>508.59085493438181</v>
      </c>
      <c r="AK15" s="3">
        <v>93.477251202697289</v>
      </c>
      <c r="AL15" s="3">
        <v>4133.7694801159223</v>
      </c>
      <c r="AM15" s="3">
        <v>23.513290951163089</v>
      </c>
      <c r="AN15">
        <v>0</v>
      </c>
      <c r="AO15">
        <v>0</v>
      </c>
      <c r="AX15" t="str">
        <v>SH3</v>
      </c>
      <c r="AY15" s="35">
        <f t="shared" si="0"/>
        <v>0.17237953876591899</v>
      </c>
      <c r="AZ15" s="35">
        <f t="shared" si="1"/>
        <v>0.11769684399443253</v>
      </c>
      <c r="BA15" s="35">
        <f t="shared" si="1"/>
        <v>0.25549664920818516</v>
      </c>
      <c r="BB15" s="35">
        <f t="shared" si="1"/>
        <v>0.11824394899879377</v>
      </c>
      <c r="BC15" s="35">
        <f t="shared" si="1"/>
        <v>0.13326665213084884</v>
      </c>
      <c r="BD15" s="35">
        <f t="shared" si="1"/>
        <v>0.28459945578683704</v>
      </c>
      <c r="BE15" s="35">
        <f t="shared" si="1"/>
        <v>0.2075704529588793</v>
      </c>
      <c r="BF15" s="35" t="e">
        <f t="shared" si="1"/>
        <v>#DIV/0!</v>
      </c>
      <c r="BG15" s="35" t="e">
        <f t="shared" si="1"/>
        <v>#DIV/0!</v>
      </c>
    </row>
    <row r="16" spans="1:59">
      <c r="A16" t="str">
        <v>SM2</v>
      </c>
      <c r="B16" s="3">
        <v>27.230901114947166</v>
      </c>
      <c r="C16" s="3">
        <v>180.16822724205176</v>
      </c>
      <c r="D16" s="3">
        <v>67.202878553740774</v>
      </c>
      <c r="E16" s="3">
        <v>28.21983254098711</v>
      </c>
      <c r="F16" s="3">
        <v>62.11337422608338</v>
      </c>
      <c r="G16" s="3">
        <v>14.176795303260899</v>
      </c>
      <c r="H16" s="3">
        <v>38.684062012622931</v>
      </c>
      <c r="I16" s="3">
        <v>3.4658808090522366</v>
      </c>
      <c r="J16" s="3">
        <v>12.1202843126355</v>
      </c>
      <c r="K16" s="3">
        <v>44.866655619837111</v>
      </c>
      <c r="L16" s="3">
        <v>15.889791864178969</v>
      </c>
      <c r="M16" s="3">
        <v>6.8869794758410858</v>
      </c>
      <c r="N16" s="3">
        <v>11.974601562093717</v>
      </c>
      <c r="O16" s="3">
        <v>0.73945034299318879</v>
      </c>
      <c r="U16" s="3"/>
      <c r="W16" t="str">
        <v>SM2</v>
      </c>
      <c r="X16" s="3">
        <v>367.8660061562432</v>
      </c>
      <c r="Y16" s="3">
        <v>3932.9762617312435</v>
      </c>
      <c r="Z16" s="3">
        <v>1740.3963210416084</v>
      </c>
      <c r="AA16" s="3">
        <v>463.24160188027309</v>
      </c>
      <c r="AB16" s="3">
        <v>1681.4171797844931</v>
      </c>
      <c r="AC16" s="3">
        <v>2752.3276014537482</v>
      </c>
      <c r="AD16" s="3">
        <v>310.28358543150262</v>
      </c>
      <c r="AE16" s="2">
        <f>Cattle!B154*0</f>
        <v>0</v>
      </c>
      <c r="AF16" s="3">
        <f>Cattle!B174*Cattle!G133</f>
        <v>0</v>
      </c>
      <c r="AG16" s="3">
        <v>32.953870285158857</v>
      </c>
      <c r="AH16" s="3">
        <v>110.07737759624948</v>
      </c>
      <c r="AI16" s="3">
        <v>581.05211982538015</v>
      </c>
      <c r="AJ16" s="3">
        <v>149.56236710689757</v>
      </c>
      <c r="AK16" s="3">
        <v>65.383204307236142</v>
      </c>
      <c r="AL16" s="3">
        <v>0</v>
      </c>
      <c r="AM16" s="3">
        <v>1.2044645497613287</v>
      </c>
      <c r="AN16">
        <v>0</v>
      </c>
      <c r="AO16">
        <v>0</v>
      </c>
      <c r="AX16" t="str">
        <v>SM2</v>
      </c>
      <c r="AY16" s="35">
        <f t="shared" si="0"/>
        <v>7.6499841735742135E-3</v>
      </c>
      <c r="AZ16" s="35">
        <f t="shared" si="1"/>
        <v>6.2959076742239661E-2</v>
      </c>
      <c r="BA16" s="35">
        <f t="shared" si="1"/>
        <v>2.4244430878716007E-2</v>
      </c>
      <c r="BB16" s="35">
        <f t="shared" si="1"/>
        <v>1.808971511989161E-2</v>
      </c>
      <c r="BC16" s="35">
        <f t="shared" si="1"/>
        <v>4.1927166756099428E-2</v>
      </c>
      <c r="BD16" s="35">
        <f t="shared" si="1"/>
        <v>5.6113497771683653E-2</v>
      </c>
      <c r="BE16" s="35">
        <f t="shared" si="1"/>
        <v>2.6672608187698493E-2</v>
      </c>
      <c r="BF16" s="35" t="e">
        <f t="shared" si="1"/>
        <v>#DIV/0!</v>
      </c>
      <c r="BG16" s="35" t="e">
        <f t="shared" si="1"/>
        <v>#DIV/0!</v>
      </c>
    </row>
    <row r="17" spans="1:59">
      <c r="A17" t="str">
        <v>SM2N</v>
      </c>
      <c r="B17" s="3">
        <v>108.1155480507614</v>
      </c>
      <c r="C17" s="3">
        <v>197.01106932033113</v>
      </c>
      <c r="D17" s="3">
        <v>48.042020410692359</v>
      </c>
      <c r="E17" s="3">
        <v>52.309585166615882</v>
      </c>
      <c r="F17" s="3">
        <v>42.699446228423255</v>
      </c>
      <c r="G17" s="3">
        <v>5.8649399873935897</v>
      </c>
      <c r="H17" s="3">
        <v>84.324189407460722</v>
      </c>
      <c r="I17" s="3">
        <v>4.3161120542960871</v>
      </c>
      <c r="J17" s="3">
        <v>10.066459375036372</v>
      </c>
      <c r="K17" s="3">
        <v>3.5905698835862632</v>
      </c>
      <c r="L17" s="3">
        <v>11.865401474699352</v>
      </c>
      <c r="M17" s="3">
        <v>2.1970872955718499</v>
      </c>
      <c r="N17" s="3">
        <v>7.8471501203540557</v>
      </c>
      <c r="O17" s="3">
        <v>1.2101304932889634</v>
      </c>
      <c r="U17" s="3"/>
      <c r="W17" t="str">
        <v>SM2N</v>
      </c>
      <c r="X17" s="3">
        <v>1466.1183697268855</v>
      </c>
      <c r="Y17" s="3">
        <v>4241.504679075113</v>
      </c>
      <c r="Z17" s="3">
        <v>1211.9943591835029</v>
      </c>
      <c r="AA17" s="3">
        <v>742.37148384033662</v>
      </c>
      <c r="AB17" s="3">
        <v>850.13551302613894</v>
      </c>
      <c r="AC17" s="3">
        <v>303.53074916324198</v>
      </c>
      <c r="AD17" s="3">
        <v>627.36105003993805</v>
      </c>
      <c r="AE17" s="2">
        <f>Cattle!B155*0</f>
        <v>0</v>
      </c>
      <c r="AF17" s="3">
        <f>Cattle!B175*Cattle!G134</f>
        <v>0</v>
      </c>
      <c r="AG17" s="3">
        <v>45.929602353020726</v>
      </c>
      <c r="AH17" s="3">
        <v>91.864114696127018</v>
      </c>
      <c r="AI17" s="3">
        <v>54.431639926145287</v>
      </c>
      <c r="AJ17" s="3">
        <v>116.89630685994908</v>
      </c>
      <c r="AK17" s="3">
        <v>20.679068371134228</v>
      </c>
      <c r="AL17" s="3">
        <v>545.59613259314676</v>
      </c>
      <c r="AM17" s="3">
        <v>14.274224783259713</v>
      </c>
      <c r="AN17">
        <v>0</v>
      </c>
      <c r="AO17">
        <v>0</v>
      </c>
      <c r="AX17" t="str">
        <v>SM2N</v>
      </c>
      <c r="AY17" s="35">
        <f t="shared" si="0"/>
        <v>3.0488770740706706E-2</v>
      </c>
      <c r="AZ17" s="35">
        <f t="shared" si="1"/>
        <v>6.789799907790714E-2</v>
      </c>
      <c r="BA17" s="35">
        <f t="shared" si="1"/>
        <v>1.688357594839781E-2</v>
      </c>
      <c r="BB17" s="35">
        <f t="shared" si="1"/>
        <v>2.8989815684286852E-2</v>
      </c>
      <c r="BC17" s="35">
        <f t="shared" si="1"/>
        <v>2.1198649477637381E-2</v>
      </c>
      <c r="BD17" s="35">
        <f t="shared" si="1"/>
        <v>6.1882793341217256E-3</v>
      </c>
      <c r="BE17" s="35">
        <f t="shared" si="1"/>
        <v>5.3929232049667632E-2</v>
      </c>
      <c r="BF17" s="35" t="e">
        <f t="shared" si="1"/>
        <v>#DIV/0!</v>
      </c>
      <c r="BG17" s="35" t="e">
        <f t="shared" si="1"/>
        <v>#DIV/0!</v>
      </c>
    </row>
    <row r="18" spans="1:59">
      <c r="A18" t="str">
        <v>External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U18" s="3"/>
      <c r="W18" t="str">
        <v>External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 s="2">
        <f>Cattle!B156*0</f>
        <v>0</v>
      </c>
      <c r="AF18" s="3">
        <f>Cattle!B176*Cattle!G135</f>
        <v>0</v>
      </c>
      <c r="AX18" t="str">
        <v>External</v>
      </c>
      <c r="AY18" s="35">
        <f t="shared" si="0"/>
        <v>0</v>
      </c>
      <c r="AZ18" s="35">
        <f t="shared" si="1"/>
        <v>0</v>
      </c>
      <c r="BA18" s="35">
        <f t="shared" si="1"/>
        <v>0</v>
      </c>
      <c r="BB18" s="35">
        <f t="shared" si="1"/>
        <v>0</v>
      </c>
      <c r="BC18" s="35">
        <f t="shared" si="1"/>
        <v>0</v>
      </c>
      <c r="BD18" s="35">
        <f t="shared" si="1"/>
        <v>0</v>
      </c>
      <c r="BE18" s="35">
        <f t="shared" si="1"/>
        <v>0</v>
      </c>
      <c r="BF18" s="35" t="e">
        <f t="shared" si="1"/>
        <v>#DIV/0!</v>
      </c>
      <c r="BG18" s="35" t="e">
        <f t="shared" si="1"/>
        <v>#DIV/0!</v>
      </c>
    </row>
    <row r="20" spans="1:59">
      <c r="AY20" s="41"/>
      <c r="AZ20" s="41"/>
      <c r="BA20" s="41"/>
      <c r="BB20" s="41"/>
      <c r="BC20" s="41"/>
      <c r="BD20" s="41"/>
      <c r="BE20" s="41"/>
      <c r="BF20" s="41"/>
      <c r="BG20" s="41"/>
    </row>
    <row r="21" spans="1:59">
      <c r="H21">
        <f>H17*0.3</f>
        <v>25.297256822238214</v>
      </c>
      <c r="I21">
        <f>AD60*H60*H21</f>
        <v>188.2083150119814</v>
      </c>
      <c r="J21">
        <f>AD17*0.3</f>
        <v>188.2083150119814</v>
      </c>
      <c r="X21" s="3">
        <f>SUM(X4:X18)</f>
        <v>48087.159111646819</v>
      </c>
      <c r="Y21" s="3">
        <f t="shared" ref="Y21:AO21" si="2">SUM(Y4:Y18)</f>
        <v>62468.772816240868</v>
      </c>
      <c r="Z21" s="3">
        <f t="shared" si="2"/>
        <v>71785.406295904788</v>
      </c>
      <c r="AA21" s="3">
        <f t="shared" si="2"/>
        <v>25608.009789545475</v>
      </c>
      <c r="AB21" s="3">
        <f t="shared" si="2"/>
        <v>40103.28648166731</v>
      </c>
      <c r="AC21" s="3">
        <f t="shared" si="2"/>
        <v>49049.296706694433</v>
      </c>
      <c r="AD21" s="3">
        <f t="shared" si="2"/>
        <v>11633.04252992426</v>
      </c>
      <c r="AE21" s="3">
        <f t="shared" si="2"/>
        <v>0</v>
      </c>
      <c r="AF21" s="3">
        <f t="shared" si="2"/>
        <v>0</v>
      </c>
      <c r="AG21" s="3">
        <f t="shared" si="2"/>
        <v>1041.7979048731913</v>
      </c>
      <c r="AH21" s="3">
        <f t="shared" si="2"/>
        <v>2255.1541060972736</v>
      </c>
      <c r="AI21" s="3">
        <f t="shared" si="2"/>
        <v>10500.50644954888</v>
      </c>
      <c r="AJ21" s="3">
        <f t="shared" si="2"/>
        <v>3941.068346002859</v>
      </c>
      <c r="AK21" s="3">
        <f t="shared" si="2"/>
        <v>727.81114489944957</v>
      </c>
      <c r="AL21" s="3">
        <f t="shared" si="2"/>
        <v>28425.240874104002</v>
      </c>
      <c r="AM21" s="3">
        <f t="shared" si="2"/>
        <v>244.15698472232611</v>
      </c>
      <c r="AN21" s="3">
        <f t="shared" si="2"/>
        <v>0</v>
      </c>
      <c r="AO21" s="3">
        <f t="shared" si="2"/>
        <v>0</v>
      </c>
    </row>
    <row r="23" spans="1:59">
      <c r="W23" t="s">
        <v>206</v>
      </c>
    </row>
    <row r="24" spans="1:59">
      <c r="B24" t="s">
        <v>3</v>
      </c>
      <c r="C24" t="s">
        <v>3</v>
      </c>
      <c r="D24" t="s">
        <v>3</v>
      </c>
      <c r="E24" t="s">
        <v>3</v>
      </c>
      <c r="F24" t="s">
        <v>3</v>
      </c>
      <c r="G24" t="s">
        <v>3</v>
      </c>
      <c r="H24" t="s">
        <v>3</v>
      </c>
      <c r="I24" t="s">
        <v>2</v>
      </c>
      <c r="J24" t="s">
        <v>2</v>
      </c>
      <c r="K24" t="s">
        <v>2</v>
      </c>
      <c r="L24" t="s">
        <v>2</v>
      </c>
      <c r="M24" t="s">
        <v>2</v>
      </c>
      <c r="N24" t="s">
        <v>2</v>
      </c>
      <c r="O24" t="s">
        <v>2</v>
      </c>
      <c r="X24" t="s">
        <v>3</v>
      </c>
      <c r="Y24" t="s">
        <v>3</v>
      </c>
      <c r="Z24" t="s">
        <v>3</v>
      </c>
      <c r="AA24" t="s">
        <v>3</v>
      </c>
      <c r="AB24" t="s">
        <v>3</v>
      </c>
      <c r="AC24" t="s">
        <v>3</v>
      </c>
      <c r="AD24" t="s">
        <v>3</v>
      </c>
      <c r="AE24" t="s">
        <v>3</v>
      </c>
      <c r="AF24" t="s">
        <v>3</v>
      </c>
      <c r="AG24" t="s">
        <v>2</v>
      </c>
      <c r="AH24" t="s">
        <v>2</v>
      </c>
      <c r="AI24" t="s">
        <v>2</v>
      </c>
      <c r="AJ24" t="s">
        <v>2</v>
      </c>
      <c r="AK24" t="s">
        <v>2</v>
      </c>
      <c r="AL24" t="s">
        <v>2</v>
      </c>
      <c r="AM24" t="s">
        <v>2</v>
      </c>
      <c r="AN24" t="s">
        <v>2</v>
      </c>
      <c r="AO24" t="s">
        <v>2</v>
      </c>
    </row>
    <row r="25" spans="1:59">
      <c r="A25" t="s">
        <v>202</v>
      </c>
      <c r="B25" t="str">
        <f t="array" ref="B25:H25">TRANSPOSE(Crops)</f>
        <v>Teff</v>
      </c>
      <c r="C25" t="str">
        <v>Sorghum</v>
      </c>
      <c r="D25" t="str">
        <v>Maize</v>
      </c>
      <c r="E25" t="str">
        <v>Lentils</v>
      </c>
      <c r="F25" t="str">
        <v>Wheat</v>
      </c>
      <c r="G25" t="str">
        <v>Vegetables</v>
      </c>
      <c r="H25" t="str">
        <v>CashCrop</v>
      </c>
      <c r="I25" t="str">
        <f t="array" ref="I25:O25">TRANSPOSE(Crops)</f>
        <v>Teff</v>
      </c>
      <c r="J25" t="str">
        <v>Sorghum</v>
      </c>
      <c r="K25" t="str">
        <v>Maize</v>
      </c>
      <c r="L25" t="str">
        <v>Lentils</v>
      </c>
      <c r="M25" t="str">
        <v>Wheat</v>
      </c>
      <c r="N25" t="str">
        <v>Vegetables</v>
      </c>
      <c r="O25" t="str">
        <v>CashCrop</v>
      </c>
      <c r="X25" t="s">
        <v>16</v>
      </c>
      <c r="Y25" t="s">
        <v>20</v>
      </c>
      <c r="Z25" t="s">
        <v>17</v>
      </c>
      <c r="AA25" t="s">
        <v>24</v>
      </c>
      <c r="AB25" t="s">
        <v>184</v>
      </c>
      <c r="AC25" t="s">
        <v>21</v>
      </c>
      <c r="AD25" t="s">
        <v>204</v>
      </c>
      <c r="AE25" t="s">
        <v>22</v>
      </c>
      <c r="AF25" t="s">
        <v>23</v>
      </c>
      <c r="AG25" t="s">
        <v>16</v>
      </c>
      <c r="AH25" t="s">
        <v>20</v>
      </c>
      <c r="AI25" t="s">
        <v>17</v>
      </c>
      <c r="AJ25" t="s">
        <v>24</v>
      </c>
      <c r="AK25" t="s">
        <v>184</v>
      </c>
      <c r="AL25" t="s">
        <v>21</v>
      </c>
      <c r="AM25" t="s">
        <v>204</v>
      </c>
      <c r="AN25" t="s">
        <v>22</v>
      </c>
      <c r="AO25" t="s">
        <v>23</v>
      </c>
    </row>
    <row r="26" spans="1:59">
      <c r="A26" t="str">
        <f t="array" ref="A26:A40">Adapt</f>
        <v>A1</v>
      </c>
      <c r="B26" s="40">
        <f t="shared" ref="B26:B40" si="3">IFERROR(X4/B4,0)</f>
        <v>0</v>
      </c>
      <c r="C26" s="40">
        <f t="shared" ref="C26:C40" si="4">IFERROR(Y4/C4,0)</f>
        <v>0</v>
      </c>
      <c r="D26" s="40">
        <f t="shared" ref="D26:D40" si="5">IFERROR(Z4/D4,0)</f>
        <v>0</v>
      </c>
      <c r="E26" s="40">
        <f t="shared" ref="E26:E40" si="6">IFERROR(AA4/E4,0)</f>
        <v>0</v>
      </c>
      <c r="F26" s="40">
        <f t="shared" ref="F26:F40" si="7">IFERROR(AB4/F4,0)</f>
        <v>0</v>
      </c>
      <c r="G26" s="40">
        <f t="shared" ref="G26:G40" si="8">IFERROR(AC4/G4,0)</f>
        <v>0</v>
      </c>
      <c r="H26" s="40">
        <f t="shared" ref="H26:H40" si="9">IFERROR(AD4/H4,0)</f>
        <v>0</v>
      </c>
      <c r="I26" s="40">
        <f>IFERROR(AG4/I4,0)</f>
        <v>9.506534109522395</v>
      </c>
      <c r="J26" s="40">
        <f t="shared" ref="J26:O26" si="10">IFERROR(AH4/J4,0)</f>
        <v>9.0820788322178956</v>
      </c>
      <c r="K26" s="40">
        <f t="shared" si="10"/>
        <v>14.612300705524456</v>
      </c>
      <c r="L26" s="40">
        <f t="shared" si="10"/>
        <v>9.4124811945499651</v>
      </c>
      <c r="M26" s="40">
        <f t="shared" si="10"/>
        <v>9.4937417102221122</v>
      </c>
      <c r="N26" s="40">
        <f t="shared" si="10"/>
        <v>0</v>
      </c>
      <c r="O26" s="40">
        <f t="shared" si="10"/>
        <v>1.6288646846599988</v>
      </c>
      <c r="W26" t="s">
        <v>5</v>
      </c>
      <c r="X26" s="3">
        <f t="array" ref="X26">SUMPRODUCT(ConvFactor!$B29:$P29,TRANSPOSE(X$4:X$18))</f>
        <v>8630.3550425983831</v>
      </c>
      <c r="Y26" s="3">
        <f t="array" ref="Y26">SUMPRODUCT(ConvFactor!$B29:$P29,TRANSPOSE(Y$4:Y$18))</f>
        <v>9276.488159831435</v>
      </c>
      <c r="Z26" s="3">
        <f t="array" ref="Z26">SUMPRODUCT(ConvFactor!$B29:$P29,TRANSPOSE(Z$4:Z$18))</f>
        <v>9686.5137591869116</v>
      </c>
      <c r="AA26" s="3">
        <f t="array" ref="AA26">SUMPRODUCT(ConvFactor!$B29:$P29,TRANSPOSE(AA$4:AA$18))</f>
        <v>4386.1687722423112</v>
      </c>
      <c r="AB26" s="3">
        <f t="array" ref="AB26">SUMPRODUCT(ConvFactor!$B29:$P29,TRANSPOSE(AB$4:AB$18))</f>
        <v>6779.7266588978973</v>
      </c>
      <c r="AC26" s="3">
        <f t="array" ref="AC26">SUMPRODUCT(ConvFactor!$B29:$P29,TRANSPOSE(AC$4:AC$18))</f>
        <v>5243.5401631033319</v>
      </c>
      <c r="AD26" s="3">
        <f t="array" ref="AD26">SUMPRODUCT(ConvFactor!$B29:$P29,TRANSPOSE(AD$4:AD$18))</f>
        <v>1339.7254518697155</v>
      </c>
      <c r="AE26" s="3">
        <f t="array" ref="AE26">SUMPRODUCT(ConvFactor!$B29:$P29,TRANSPOSE(AE$4:AE$18))</f>
        <v>0</v>
      </c>
      <c r="AF26" s="3">
        <f t="array" ref="AF26">SUMPRODUCT(ConvFactor!$B29:$P29,TRANSPOSE(AF$4:AF$18))</f>
        <v>0</v>
      </c>
      <c r="AG26" s="3">
        <f t="array" ref="AG26">SUMPRODUCT(ConvFactor!$B29:$P29,TRANSPOSE(AG$4:AG$18))</f>
        <v>116.7869204700831</v>
      </c>
      <c r="AH26" s="3">
        <f t="array" ref="AH26">SUMPRODUCT(ConvFactor!$B29:$P29,TRANSPOSE(AH$4:AH$18))</f>
        <v>283.50941534805111</v>
      </c>
      <c r="AI26" s="3">
        <f t="array" ref="AI26">SUMPRODUCT(ConvFactor!$B29:$P29,TRANSPOSE(AI$4:AI$18))</f>
        <v>900.25081861403658</v>
      </c>
      <c r="AJ26" s="3">
        <f t="array" ref="AJ26">SUMPRODUCT(ConvFactor!$B29:$P29,TRANSPOSE(AJ$4:AJ$18))</f>
        <v>434.19124902967059</v>
      </c>
      <c r="AK26" s="3">
        <f t="array" ref="AK26">SUMPRODUCT(ConvFactor!$B29:$P29,TRANSPOSE(AK$4:AK$18))</f>
        <v>92.585047346684547</v>
      </c>
      <c r="AL26" s="3">
        <f t="array" ref="AL26">SUMPRODUCT(ConvFactor!$B29:$P29,TRANSPOSE(AL$4:AL$18))</f>
        <v>2442.5464078685795</v>
      </c>
      <c r="AM26" s="3">
        <f t="array" ref="AM26">SUMPRODUCT(ConvFactor!$B29:$P29,TRANSPOSE(AM$4:AM$18))</f>
        <v>31.391907511740264</v>
      </c>
      <c r="AN26" s="3">
        <f t="array" ref="AN26">SUMPRODUCT(ConvFactor!$B29:$P29,TRANSPOSE(AN$4:AN$18))</f>
        <v>0</v>
      </c>
      <c r="AO26" s="3">
        <f t="array" ref="AO26">SUMPRODUCT(ConvFactor!$B29:$P29,TRANSPOSE(AO$4:AO$18))</f>
        <v>0</v>
      </c>
    </row>
    <row r="27" spans="1:59">
      <c r="A27" t="str">
        <v>H2</v>
      </c>
      <c r="B27" s="40">
        <f t="shared" si="3"/>
        <v>12.948646289292054</v>
      </c>
      <c r="C27" s="40">
        <f t="shared" si="4"/>
        <v>19.425636802859763</v>
      </c>
      <c r="D27" s="40">
        <f t="shared" si="5"/>
        <v>26.63478170739393</v>
      </c>
      <c r="E27" s="40">
        <f t="shared" si="6"/>
        <v>14.773967682420167</v>
      </c>
      <c r="F27" s="40">
        <f t="shared" si="7"/>
        <v>25.787574467044305</v>
      </c>
      <c r="G27" s="40">
        <f t="shared" si="8"/>
        <v>159.83508765105299</v>
      </c>
      <c r="H27" s="40">
        <f t="shared" si="9"/>
        <v>8.8060383644894049</v>
      </c>
      <c r="I27" s="40">
        <f t="shared" ref="I27:I40" si="11">IFERROR(AG5/I5,0)</f>
        <v>8.7363737059692337</v>
      </c>
      <c r="J27" s="40">
        <f t="shared" ref="J27:J40" si="12">IFERROR(AH5/J5,0)</f>
        <v>9.210932822812353</v>
      </c>
      <c r="K27" s="40">
        <f t="shared" ref="K27:K40" si="13">IFERROR(AI5/K5,0)</f>
        <v>11.948152633976445</v>
      </c>
      <c r="L27" s="40">
        <f t="shared" ref="L27:L40" si="14">IFERROR(AJ5/L5,0)</f>
        <v>8.7482015518467744</v>
      </c>
      <c r="M27" s="40">
        <f t="shared" ref="M27:M40" si="15">IFERROR(AK5/M5,0)</f>
        <v>10.577910075111513</v>
      </c>
      <c r="N27" s="40">
        <f t="shared" ref="N27:N40" si="16">IFERROR(AL5/N5,0)</f>
        <v>141.58798015349555</v>
      </c>
      <c r="O27" s="40">
        <f t="shared" ref="O27:O40" si="17">IFERROR(AM5/O5,0)</f>
        <v>6.1400838271955234</v>
      </c>
      <c r="W27" t="s">
        <v>157</v>
      </c>
      <c r="X27" s="3">
        <f t="array" ref="X27">SUMPRODUCT(ConvFactor!$B30:$P30,TRANSPOSE(X$4:X$18))</f>
        <v>2124.1433675283688</v>
      </c>
      <c r="Y27" s="3">
        <f t="array" ref="Y27">SUMPRODUCT(ConvFactor!$B30:$P30,TRANSPOSE(Y$4:Y$18))</f>
        <v>2258.1325354845162</v>
      </c>
      <c r="Z27" s="3">
        <f t="array" ref="Z27">SUMPRODUCT(ConvFactor!$B30:$P30,TRANSPOSE(Z$4:Z$18))</f>
        <v>2039.1646515172408</v>
      </c>
      <c r="AA27" s="3">
        <f t="array" ref="AA27">SUMPRODUCT(ConvFactor!$B30:$P30,TRANSPOSE(AA$4:AA$18))</f>
        <v>1062.3812481961613</v>
      </c>
      <c r="AB27" s="3">
        <f t="array" ref="AB27">SUMPRODUCT(ConvFactor!$B30:$P30,TRANSPOSE(AB$4:AB$18))</f>
        <v>1471.3285486519701</v>
      </c>
      <c r="AC27" s="3">
        <f t="array" ref="AC27">SUMPRODUCT(ConvFactor!$B30:$P30,TRANSPOSE(AC$4:AC$18))</f>
        <v>795.29022937306843</v>
      </c>
      <c r="AD27" s="3">
        <f t="array" ref="AD27">SUMPRODUCT(ConvFactor!$B30:$P30,TRANSPOSE(AD$4:AD$18))</f>
        <v>323.30639820856686</v>
      </c>
      <c r="AE27" s="3">
        <f t="array" ref="AE27">SUMPRODUCT(ConvFactor!$B30:$P30,TRANSPOSE(AE$4:AE$18))</f>
        <v>0</v>
      </c>
      <c r="AF27" s="3">
        <f t="array" ref="AF27">SUMPRODUCT(ConvFactor!$B30:$P30,TRANSPOSE(AF$4:AF$18))</f>
        <v>0</v>
      </c>
      <c r="AG27" s="3">
        <f t="array" ref="AG27">SUMPRODUCT(ConvFactor!$B30:$P30,TRANSPOSE(AG$4:AG$18))</f>
        <v>29.417474760951013</v>
      </c>
      <c r="AH27" s="3">
        <f t="array" ref="AH27">SUMPRODUCT(ConvFactor!$B30:$P30,TRANSPOSE(AH$4:AH$18))</f>
        <v>76.823180403468811</v>
      </c>
      <c r="AI27" s="3">
        <f t="array" ref="AI27">SUMPRODUCT(ConvFactor!$B30:$P30,TRANSPOSE(AI$4:AI$18))</f>
        <v>264.04653311763951</v>
      </c>
      <c r="AJ27" s="3">
        <f t="array" ref="AJ27">SUMPRODUCT(ConvFactor!$B30:$P30,TRANSPOSE(AJ$4:AJ$18))</f>
        <v>110.07575665652645</v>
      </c>
      <c r="AK27" s="3">
        <f t="array" ref="AK27">SUMPRODUCT(ConvFactor!$B30:$P30,TRANSPOSE(AK$4:AK$18))</f>
        <v>26.162043647396857</v>
      </c>
      <c r="AL27" s="3">
        <f t="array" ref="AL27">SUMPRODUCT(ConvFactor!$B30:$P30,TRANSPOSE(AL$4:AL$18))</f>
        <v>490.75868255526933</v>
      </c>
      <c r="AM27" s="3">
        <f t="array" ref="AM27">SUMPRODUCT(ConvFactor!$B30:$P30,TRANSPOSE(AM$4:AM$18))</f>
        <v>8.2546902542717859</v>
      </c>
      <c r="AN27" s="3">
        <f t="array" ref="AN27">SUMPRODUCT(ConvFactor!$B30:$P30,TRANSPOSE(AN$4:AN$18))</f>
        <v>0</v>
      </c>
      <c r="AO27" s="3">
        <f t="array" ref="AO27">SUMPRODUCT(ConvFactor!$B30:$P30,TRANSPOSE(AO$4:AO$18))</f>
        <v>0</v>
      </c>
    </row>
    <row r="28" spans="1:59">
      <c r="A28" t="str">
        <v>H3</v>
      </c>
      <c r="B28" s="40">
        <f t="shared" si="3"/>
        <v>14.738389681238479</v>
      </c>
      <c r="C28" s="40">
        <f t="shared" si="4"/>
        <v>23.042498139611777</v>
      </c>
      <c r="D28" s="40">
        <f t="shared" si="5"/>
        <v>32.912114794231954</v>
      </c>
      <c r="E28" s="40">
        <f t="shared" si="6"/>
        <v>16.078573478758592</v>
      </c>
      <c r="F28" s="40">
        <f t="shared" si="7"/>
        <v>29.905530331116307</v>
      </c>
      <c r="G28" s="40">
        <f t="shared" si="8"/>
        <v>102.07756489616538</v>
      </c>
      <c r="H28" s="40">
        <f t="shared" si="9"/>
        <v>9.3745255768837108</v>
      </c>
      <c r="I28" s="40">
        <f t="shared" si="11"/>
        <v>8.8783015458528531</v>
      </c>
      <c r="J28" s="40">
        <f t="shared" si="12"/>
        <v>9.1607755775516946</v>
      </c>
      <c r="K28" s="40">
        <f t="shared" si="13"/>
        <v>12.20493999414364</v>
      </c>
      <c r="L28" s="40">
        <f t="shared" si="14"/>
        <v>8.8919057513383617</v>
      </c>
      <c r="M28" s="40">
        <f t="shared" si="15"/>
        <v>9.6273126332463406</v>
      </c>
      <c r="N28" s="40">
        <f t="shared" si="16"/>
        <v>113.77308923824947</v>
      </c>
      <c r="O28" s="40">
        <f t="shared" si="17"/>
        <v>5.6508799370919558</v>
      </c>
      <c r="W28" t="s">
        <v>158</v>
      </c>
      <c r="X28" s="3">
        <f t="array" ref="X28">SUMPRODUCT(ConvFactor!$B31:$P31,TRANSPOSE(X$4:X$18))</f>
        <v>7557.7222341647912</v>
      </c>
      <c r="Y28" s="3">
        <f t="array" ref="Y28">SUMPRODUCT(ConvFactor!$B31:$P31,TRANSPOSE(Y$4:Y$18))</f>
        <v>7690.5217570043951</v>
      </c>
      <c r="Z28" s="3">
        <f t="array" ref="Z28">SUMPRODUCT(ConvFactor!$B31:$P31,TRANSPOSE(Z$4:Z$18))</f>
        <v>8632.1654910704365</v>
      </c>
      <c r="AA28" s="3">
        <f t="array" ref="AA28">SUMPRODUCT(ConvFactor!$B31:$P31,TRANSPOSE(AA$4:AA$18))</f>
        <v>3637.8981803544139</v>
      </c>
      <c r="AB28" s="3">
        <f t="array" ref="AB28">SUMPRODUCT(ConvFactor!$B31:$P31,TRANSPOSE(AB$4:AB$18))</f>
        <v>5101.1183673081168</v>
      </c>
      <c r="AC28" s="3">
        <f t="array" ref="AC28">SUMPRODUCT(ConvFactor!$B31:$P31,TRANSPOSE(AC$4:AC$18))</f>
        <v>4439.3767511825781</v>
      </c>
      <c r="AD28" s="3">
        <f t="array" ref="AD28">SUMPRODUCT(ConvFactor!$B31:$P31,TRANSPOSE(AD$4:AD$18))</f>
        <v>1264.0786238130972</v>
      </c>
      <c r="AE28" s="3">
        <f t="array" ref="AE28">SUMPRODUCT(ConvFactor!$B31:$P31,TRANSPOSE(AE$4:AE$18))</f>
        <v>0</v>
      </c>
      <c r="AF28" s="3">
        <f t="array" ref="AF28">SUMPRODUCT(ConvFactor!$B31:$P31,TRANSPOSE(AF$4:AF$18))</f>
        <v>0</v>
      </c>
      <c r="AG28" s="3">
        <f t="array" ref="AG28">SUMPRODUCT(ConvFactor!$B31:$P31,TRANSPOSE(AG$4:AG$18))</f>
        <v>98.851522611151381</v>
      </c>
      <c r="AH28" s="3">
        <f t="array" ref="AH28">SUMPRODUCT(ConvFactor!$B31:$P31,TRANSPOSE(AH$4:AH$18))</f>
        <v>247.8980020498432</v>
      </c>
      <c r="AI28" s="3">
        <f t="array" ref="AI28">SUMPRODUCT(ConvFactor!$B31:$P31,TRANSPOSE(AI$4:AI$18))</f>
        <v>757.51214350128532</v>
      </c>
      <c r="AJ28" s="3">
        <f t="array" ref="AJ28">SUMPRODUCT(ConvFactor!$B31:$P31,TRANSPOSE(AJ$4:AJ$18))</f>
        <v>374.91707074234927</v>
      </c>
      <c r="AK28" s="3">
        <f t="array" ref="AK28">SUMPRODUCT(ConvFactor!$B31:$P31,TRANSPOSE(AK$4:AK$18))</f>
        <v>81.524181025143548</v>
      </c>
      <c r="AL28" s="3">
        <f t="array" ref="AL28">SUMPRODUCT(ConvFactor!$B31:$P31,TRANSPOSE(AL$4:AL$18))</f>
        <v>2006.4886051610272</v>
      </c>
      <c r="AM28" s="3">
        <f t="array" ref="AM28">SUMPRODUCT(ConvFactor!$B31:$P31,TRANSPOSE(AM$4:AM$18))</f>
        <v>27.436140079245057</v>
      </c>
      <c r="AN28" s="3">
        <f t="array" ref="AN28">SUMPRODUCT(ConvFactor!$B31:$P31,TRANSPOSE(AN$4:AN$18))</f>
        <v>0</v>
      </c>
      <c r="AO28" s="3">
        <f t="array" ref="AO28">SUMPRODUCT(ConvFactor!$B31:$P31,TRANSPOSE(AO$4:AO$18))</f>
        <v>0</v>
      </c>
    </row>
    <row r="29" spans="1:59">
      <c r="A29" t="str">
        <v>H4</v>
      </c>
      <c r="B29" s="40">
        <f t="shared" si="3"/>
        <v>14.993494312231869</v>
      </c>
      <c r="C29" s="40">
        <f t="shared" si="4"/>
        <v>24.709916526205816</v>
      </c>
      <c r="D29" s="40">
        <f t="shared" si="5"/>
        <v>34.632356786728806</v>
      </c>
      <c r="E29" s="40">
        <f t="shared" si="6"/>
        <v>18.869623687654467</v>
      </c>
      <c r="F29" s="40">
        <f t="shared" si="7"/>
        <v>32.593533607899936</v>
      </c>
      <c r="G29" s="40">
        <f t="shared" si="8"/>
        <v>83.094657375391023</v>
      </c>
      <c r="H29" s="40">
        <f t="shared" si="9"/>
        <v>9.0689001144035348</v>
      </c>
      <c r="I29" s="40">
        <f t="shared" si="11"/>
        <v>9.061974327753374</v>
      </c>
      <c r="J29" s="40">
        <f t="shared" si="12"/>
        <v>9.1275469806309708</v>
      </c>
      <c r="K29" s="40">
        <f t="shared" si="13"/>
        <v>12.453549126295567</v>
      </c>
      <c r="L29" s="40">
        <f t="shared" si="14"/>
        <v>9.0529257254104483</v>
      </c>
      <c r="M29" s="40">
        <f t="shared" si="15"/>
        <v>9.5426454555681435</v>
      </c>
      <c r="N29" s="40">
        <f t="shared" si="16"/>
        <v>83.012343524987784</v>
      </c>
      <c r="O29" s="40">
        <f t="shared" si="17"/>
        <v>5.0436111702641817</v>
      </c>
      <c r="W29" t="s">
        <v>159</v>
      </c>
      <c r="X29" s="3">
        <f t="array" ref="X29">SUMPRODUCT(ConvFactor!$B32:$P32,TRANSPOSE(X$4:X$18))</f>
        <v>2086.6274640775341</v>
      </c>
      <c r="Y29" s="3">
        <f t="array" ref="Y29">SUMPRODUCT(ConvFactor!$B32:$P32,TRANSPOSE(Y$4:Y$18))</f>
        <v>2628.8211433439383</v>
      </c>
      <c r="Z29" s="3">
        <f t="array" ref="Z29">SUMPRODUCT(ConvFactor!$B32:$P32,TRANSPOSE(Z$4:Z$18))</f>
        <v>5079.4005522175394</v>
      </c>
      <c r="AA29" s="3">
        <f t="array" ref="AA29">SUMPRODUCT(ConvFactor!$B32:$P32,TRANSPOSE(AA$4:AA$18))</f>
        <v>1044.4454623650358</v>
      </c>
      <c r="AB29" s="3">
        <f t="array" ref="AB29">SUMPRODUCT(ConvFactor!$B32:$P32,TRANSPOSE(AB$4:AB$18))</f>
        <v>1353.6156688158503</v>
      </c>
      <c r="AC29" s="3">
        <f t="array" ref="AC29">SUMPRODUCT(ConvFactor!$B32:$P32,TRANSPOSE(AC$4:AC$18))</f>
        <v>4162.9655871174718</v>
      </c>
      <c r="AD29" s="3">
        <f t="array" ref="AD29">SUMPRODUCT(ConvFactor!$B32:$P32,TRANSPOSE(AD$4:AD$18))</f>
        <v>818.27047767801798</v>
      </c>
      <c r="AE29" s="3">
        <f t="array" ref="AE29">SUMPRODUCT(ConvFactor!$B32:$P32,TRANSPOSE(AE$4:AE$18))</f>
        <v>0</v>
      </c>
      <c r="AF29" s="3">
        <f t="array" ref="AF29">SUMPRODUCT(ConvFactor!$B32:$P32,TRANSPOSE(AF$4:AF$18))</f>
        <v>0</v>
      </c>
      <c r="AG29" s="3">
        <f t="array" ref="AG29">SUMPRODUCT(ConvFactor!$B32:$P32,TRANSPOSE(AG$4:AG$18))</f>
        <v>48.413131980143433</v>
      </c>
      <c r="AH29" s="3">
        <f t="array" ref="AH29">SUMPRODUCT(ConvFactor!$B32:$P32,TRANSPOSE(AH$4:AH$18))</f>
        <v>103.40814291818789</v>
      </c>
      <c r="AI29" s="3">
        <f t="array" ref="AI29">SUMPRODUCT(ConvFactor!$B32:$P32,TRANSPOSE(AI$4:AI$18))</f>
        <v>586.32796744078985</v>
      </c>
      <c r="AJ29" s="3">
        <f t="array" ref="AJ29">SUMPRODUCT(ConvFactor!$B32:$P32,TRANSPOSE(AJ$4:AJ$18))</f>
        <v>197.04644888589732</v>
      </c>
      <c r="AK29" s="3">
        <f t="array" ref="AK29">SUMPRODUCT(ConvFactor!$B32:$P32,TRANSPOSE(AK$4:AK$18))</f>
        <v>35.447709478930918</v>
      </c>
      <c r="AL29" s="3">
        <f t="array" ref="AL29">SUMPRODUCT(ConvFactor!$B32:$P32,TRANSPOSE(AL$4:AL$18))</f>
        <v>1489.2545940904301</v>
      </c>
      <c r="AM29" s="3">
        <f t="array" ref="AM29">SUMPRODUCT(ConvFactor!$B32:$P32,TRANSPOSE(AM$4:AM$18))</f>
        <v>10.482545921970106</v>
      </c>
      <c r="AN29" s="3">
        <f t="array" ref="AN29">SUMPRODUCT(ConvFactor!$B32:$P32,TRANSPOSE(AN$4:AN$18))</f>
        <v>0</v>
      </c>
      <c r="AO29" s="3">
        <f t="array" ref="AO29">SUMPRODUCT(ConvFactor!$B32:$P32,TRANSPOSE(AO$4:AO$18))</f>
        <v>0</v>
      </c>
    </row>
    <row r="30" spans="1:59">
      <c r="A30" t="str">
        <v>H5</v>
      </c>
      <c r="B30" s="40">
        <f t="shared" si="3"/>
        <v>14.245330207943647</v>
      </c>
      <c r="C30" s="40">
        <f t="shared" si="4"/>
        <v>22.108504942342321</v>
      </c>
      <c r="D30" s="40">
        <f t="shared" si="5"/>
        <v>32.319800426390046</v>
      </c>
      <c r="E30" s="40">
        <f t="shared" si="6"/>
        <v>16.636122731004537</v>
      </c>
      <c r="F30" s="40">
        <f t="shared" si="7"/>
        <v>29.411004003923097</v>
      </c>
      <c r="G30" s="40">
        <f t="shared" si="8"/>
        <v>70.943076026548923</v>
      </c>
      <c r="H30" s="40">
        <f t="shared" si="9"/>
        <v>8.5320635973823826</v>
      </c>
      <c r="I30" s="40">
        <f t="shared" si="11"/>
        <v>10.041755487831235</v>
      </c>
      <c r="J30" s="40">
        <f t="shared" si="12"/>
        <v>9.1015651102070958</v>
      </c>
      <c r="K30" s="40">
        <f t="shared" si="13"/>
        <v>13.029296586705046</v>
      </c>
      <c r="L30" s="40">
        <f t="shared" si="14"/>
        <v>9.5969016150822775</v>
      </c>
      <c r="M30" s="40">
        <f t="shared" si="15"/>
        <v>9.4744391518928825</v>
      </c>
      <c r="N30" s="40">
        <f t="shared" si="16"/>
        <v>27.011637879071039</v>
      </c>
      <c r="O30" s="40">
        <f t="shared" si="17"/>
        <v>7.8653817459532522</v>
      </c>
      <c r="W30" t="s">
        <v>9</v>
      </c>
      <c r="X30" s="3">
        <f t="array" ref="X30">SUMPRODUCT(ConvFactor!$B33:$P33,TRANSPOSE(X$4:X$18))</f>
        <v>829.93719243627515</v>
      </c>
      <c r="Y30" s="3">
        <f t="array" ref="Y30">SUMPRODUCT(ConvFactor!$B33:$P33,TRANSPOSE(Y$4:Y$18))</f>
        <v>884.22838870671137</v>
      </c>
      <c r="Z30" s="3">
        <f t="array" ref="Z30">SUMPRODUCT(ConvFactor!$B33:$P33,TRANSPOSE(Z$4:Z$18))</f>
        <v>1432.9032734384652</v>
      </c>
      <c r="AA30" s="3">
        <f t="array" ref="AA30">SUMPRODUCT(ConvFactor!$B33:$P33,TRANSPOSE(AA$4:AA$18))</f>
        <v>374.44436058782719</v>
      </c>
      <c r="AB30" s="3">
        <f t="array" ref="AB30">SUMPRODUCT(ConvFactor!$B33:$P33,TRANSPOSE(AB$4:AB$18))</f>
        <v>608.36898354589744</v>
      </c>
      <c r="AC30" s="3">
        <f t="array" ref="AC30">SUMPRODUCT(ConvFactor!$B33:$P33,TRANSPOSE(AC$4:AC$18))</f>
        <v>993.39067319793469</v>
      </c>
      <c r="AD30" s="3">
        <f t="array" ref="AD30">SUMPRODUCT(ConvFactor!$B33:$P33,TRANSPOSE(AD$4:AD$18))</f>
        <v>201.29318754497916</v>
      </c>
      <c r="AE30" s="3">
        <f t="array" ref="AE30">SUMPRODUCT(ConvFactor!$B33:$P33,TRANSPOSE(AE$4:AE$18))</f>
        <v>0</v>
      </c>
      <c r="AF30" s="3">
        <f t="array" ref="AF30">SUMPRODUCT(ConvFactor!$B33:$P33,TRANSPOSE(AF$4:AF$18))</f>
        <v>0</v>
      </c>
      <c r="AG30" s="3">
        <f t="array" ref="AG30">SUMPRODUCT(ConvFactor!$B33:$P33,TRANSPOSE(AG$4:AG$18))</f>
        <v>14.182276484193164</v>
      </c>
      <c r="AH30" s="3">
        <f t="array" ref="AH30">SUMPRODUCT(ConvFactor!$B33:$P33,TRANSPOSE(AH$4:AH$18))</f>
        <v>32.938914794874933</v>
      </c>
      <c r="AI30" s="3">
        <f t="array" ref="AI30">SUMPRODUCT(ConvFactor!$B33:$P33,TRANSPOSE(AI$4:AI$18))</f>
        <v>193.07566968355769</v>
      </c>
      <c r="AJ30" s="3">
        <f t="array" ref="AJ30">SUMPRODUCT(ConvFactor!$B33:$P33,TRANSPOSE(AJ$4:AJ$18))</f>
        <v>55.634584754588623</v>
      </c>
      <c r="AK30" s="3">
        <f t="array" ref="AK30">SUMPRODUCT(ConvFactor!$B33:$P33,TRANSPOSE(AK$4:AK$18))</f>
        <v>12.298057186091745</v>
      </c>
      <c r="AL30" s="3">
        <f t="array" ref="AL30">SUMPRODUCT(ConvFactor!$B33:$P33,TRANSPOSE(AL$4:AL$18))</f>
        <v>347.93559440442823</v>
      </c>
      <c r="AM30" s="3">
        <f t="array" ref="AM30">SUMPRODUCT(ConvFactor!$B33:$P33,TRANSPOSE(AM$4:AM$18))</f>
        <v>2.9343718962725052</v>
      </c>
      <c r="AN30" s="3">
        <f t="array" ref="AN30">SUMPRODUCT(ConvFactor!$B33:$P33,TRANSPOSE(AN$4:AN$18))</f>
        <v>0</v>
      </c>
      <c r="AO30" s="3">
        <f t="array" ref="AO30">SUMPRODUCT(ConvFactor!$B33:$P33,TRANSPOSE(AO$4:AO$18))</f>
        <v>0</v>
      </c>
    </row>
    <row r="31" spans="1:59">
      <c r="A31" t="str">
        <v>M1</v>
      </c>
      <c r="B31" s="40">
        <f t="shared" si="3"/>
        <v>16.099180353447451</v>
      </c>
      <c r="C31" s="40">
        <f t="shared" si="4"/>
        <v>22.794006289930486</v>
      </c>
      <c r="D31" s="40">
        <f t="shared" si="5"/>
        <v>33.950995781623455</v>
      </c>
      <c r="E31" s="40">
        <f t="shared" si="6"/>
        <v>17.132277354235484</v>
      </c>
      <c r="F31" s="40">
        <f t="shared" si="7"/>
        <v>25.913261393026914</v>
      </c>
      <c r="G31" s="40">
        <f t="shared" si="8"/>
        <v>77.158278177330388</v>
      </c>
      <c r="H31" s="40">
        <f t="shared" si="9"/>
        <v>8.1341103761359452</v>
      </c>
      <c r="I31" s="40">
        <f t="shared" si="11"/>
        <v>9.6298335042108061</v>
      </c>
      <c r="J31" s="40">
        <f t="shared" si="12"/>
        <v>9.1192618524465594</v>
      </c>
      <c r="K31" s="40">
        <f t="shared" si="13"/>
        <v>12.603844039997501</v>
      </c>
      <c r="L31" s="40">
        <f t="shared" si="14"/>
        <v>9.3512608933707462</v>
      </c>
      <c r="M31" s="40">
        <f t="shared" si="15"/>
        <v>9.4994631086222618</v>
      </c>
      <c r="N31" s="40">
        <f t="shared" si="16"/>
        <v>67.807599068447203</v>
      </c>
      <c r="O31" s="40">
        <f t="shared" si="17"/>
        <v>7.3174473845658001</v>
      </c>
      <c r="W31" t="s">
        <v>10</v>
      </c>
      <c r="X31" s="3">
        <f t="array" ref="X31">SUMPRODUCT(ConvFactor!$B34:$P34,TRANSPOSE(X$4:X$18))</f>
        <v>2734.9866627446986</v>
      </c>
      <c r="Y31" s="3">
        <f t="array" ref="Y31">SUMPRODUCT(ConvFactor!$B34:$P34,TRANSPOSE(Y$4:Y$18))</f>
        <v>3453.5742083191581</v>
      </c>
      <c r="Z31" s="3">
        <f t="array" ref="Z31">SUMPRODUCT(ConvFactor!$B34:$P34,TRANSPOSE(Z$4:Z$18))</f>
        <v>7637.6290403624289</v>
      </c>
      <c r="AA31" s="3">
        <f t="array" ref="AA31">SUMPRODUCT(ConvFactor!$B34:$P34,TRANSPOSE(AA$4:AA$18))</f>
        <v>1386.178615783487</v>
      </c>
      <c r="AB31" s="3">
        <f t="array" ref="AB31">SUMPRODUCT(ConvFactor!$B34:$P34,TRANSPOSE(AB$4:AB$18))</f>
        <v>1785.3189403049364</v>
      </c>
      <c r="AC31" s="3">
        <f t="array" ref="AC31">SUMPRODUCT(ConvFactor!$B34:$P34,TRANSPOSE(AC$4:AC$18))</f>
        <v>7193.3058057066464</v>
      </c>
      <c r="AD31" s="3">
        <f t="array" ref="AD31">SUMPRODUCT(ConvFactor!$B34:$P34,TRANSPOSE(AD$4:AD$18))</f>
        <v>1197.0566515863629</v>
      </c>
      <c r="AE31" s="3">
        <f t="array" ref="AE31">SUMPRODUCT(ConvFactor!$B34:$P34,TRANSPOSE(AE$4:AE$18))</f>
        <v>0</v>
      </c>
      <c r="AF31" s="3">
        <f t="array" ref="AF31">SUMPRODUCT(ConvFactor!$B34:$P34,TRANSPOSE(AF$4:AF$18))</f>
        <v>0</v>
      </c>
      <c r="AG31" s="3">
        <f t="array" ref="AG31">SUMPRODUCT(ConvFactor!$B34:$P34,TRANSPOSE(AG$4:AG$18))</f>
        <v>80.042448522387389</v>
      </c>
      <c r="AH31" s="3">
        <f t="array" ref="AH31">SUMPRODUCT(ConvFactor!$B34:$P34,TRANSPOSE(AH$4:AH$18))</f>
        <v>144.46817344335074</v>
      </c>
      <c r="AI31" s="3">
        <f t="array" ref="AI31">SUMPRODUCT(ConvFactor!$B34:$P34,TRANSPOSE(AI$4:AI$18))</f>
        <v>1017.5242866115599</v>
      </c>
      <c r="AJ31" s="3">
        <f t="array" ref="AJ31">SUMPRODUCT(ConvFactor!$B34:$P34,TRANSPOSE(AJ$4:AJ$18))</f>
        <v>321.88860609020099</v>
      </c>
      <c r="AK31" s="3">
        <f t="array" ref="AK31">SUMPRODUCT(ConvFactor!$B34:$P34,TRANSPOSE(AK$4:AK$18))</f>
        <v>40.28332423198745</v>
      </c>
      <c r="AL31" s="3">
        <f t="array" ref="AL31">SUMPRODUCT(ConvFactor!$B34:$P34,TRANSPOSE(AL$4:AL$18))</f>
        <v>3167.4010753176881</v>
      </c>
      <c r="AM31" s="3">
        <f t="array" ref="AM31">SUMPRODUCT(ConvFactor!$B34:$P34,TRANSPOSE(AM$4:AM$18))</f>
        <v>17.310096035198423</v>
      </c>
      <c r="AN31" s="3">
        <f t="array" ref="AN31">SUMPRODUCT(ConvFactor!$B34:$P34,TRANSPOSE(AN$4:AN$18))</f>
        <v>0</v>
      </c>
      <c r="AO31" s="3">
        <f t="array" ref="AO31">SUMPRODUCT(ConvFactor!$B34:$P34,TRANSPOSE(AO$4:AO$18))</f>
        <v>0</v>
      </c>
    </row>
    <row r="32" spans="1:59">
      <c r="A32" t="str">
        <v>M3</v>
      </c>
      <c r="B32" s="40">
        <f t="shared" si="3"/>
        <v>17.93251581694739</v>
      </c>
      <c r="C32" s="40">
        <f t="shared" si="4"/>
        <v>21.473849276663483</v>
      </c>
      <c r="D32" s="40">
        <f t="shared" si="5"/>
        <v>34.621428039942906</v>
      </c>
      <c r="E32" s="40">
        <f t="shared" si="6"/>
        <v>17.20649438133843</v>
      </c>
      <c r="F32" s="40">
        <f t="shared" si="7"/>
        <v>24.297664575099763</v>
      </c>
      <c r="G32" s="40">
        <f t="shared" si="8"/>
        <v>82.483448400178844</v>
      </c>
      <c r="H32" s="40">
        <f t="shared" si="9"/>
        <v>9.6894150671918702</v>
      </c>
      <c r="I32" s="40">
        <f t="shared" si="11"/>
        <v>10.137869174345665</v>
      </c>
      <c r="J32" s="40">
        <f t="shared" si="12"/>
        <v>9.1175760475794529</v>
      </c>
      <c r="K32" s="40">
        <f t="shared" si="13"/>
        <v>12.873420887395403</v>
      </c>
      <c r="L32" s="40">
        <f t="shared" si="14"/>
        <v>9.5978391630363031</v>
      </c>
      <c r="M32" s="40">
        <f t="shared" si="15"/>
        <v>9.464459427942538</v>
      </c>
      <c r="N32" s="40">
        <f t="shared" si="16"/>
        <v>58.472752596207378</v>
      </c>
      <c r="O32" s="40">
        <f t="shared" si="17"/>
        <v>9.5207532055352679</v>
      </c>
      <c r="W32" t="s">
        <v>160</v>
      </c>
      <c r="X32" s="3">
        <f t="array" ref="X32">SUMPRODUCT(ConvFactor!$B35:$P35,TRANSPOSE(X$4:X$18))</f>
        <v>684.53938071901939</v>
      </c>
      <c r="Y32" s="3">
        <f t="array" ref="Y32">SUMPRODUCT(ConvFactor!$B35:$P35,TRANSPOSE(Y$4:Y$18))</f>
        <v>2072.1784044778988</v>
      </c>
      <c r="Z32" s="3">
        <f t="array" ref="Z32">SUMPRODUCT(ConvFactor!$B35:$P35,TRANSPOSE(Z$4:Z$18))</f>
        <v>1271.5486022786463</v>
      </c>
      <c r="AA32" s="3">
        <f t="array" ref="AA32">SUMPRODUCT(ConvFactor!$B35:$P35,TRANSPOSE(AA$4:AA$18))</f>
        <v>454.02372464595646</v>
      </c>
      <c r="AB32" s="3">
        <f t="array" ref="AB32">SUMPRODUCT(ConvFactor!$B35:$P35,TRANSPOSE(AB$4:AB$18))</f>
        <v>1056.9614697611269</v>
      </c>
      <c r="AC32" s="3">
        <f t="array" ref="AC32">SUMPRODUCT(ConvFactor!$B35:$P35,TRANSPOSE(AC$4:AC$18))</f>
        <v>1413.0479779482796</v>
      </c>
      <c r="AD32" s="3">
        <f t="array" ref="AD32">SUMPRODUCT(ConvFactor!$B35:$P35,TRANSPOSE(AD$4:AD$18))</f>
        <v>196.15218486713047</v>
      </c>
      <c r="AE32" s="3">
        <f t="array" ref="AE32">SUMPRODUCT(ConvFactor!$B35:$P35,TRANSPOSE(AE$4:AE$18))</f>
        <v>0</v>
      </c>
      <c r="AF32" s="3">
        <f t="array" ref="AF32">SUMPRODUCT(ConvFactor!$B35:$P35,TRANSPOSE(AF$4:AF$18))</f>
        <v>0</v>
      </c>
      <c r="AG32" s="3">
        <f t="array" ref="AG32">SUMPRODUCT(ConvFactor!$B35:$P35,TRANSPOSE(AG$4:AG$18))</f>
        <v>19.713320128874027</v>
      </c>
      <c r="AH32" s="3">
        <f t="array" ref="AH32">SUMPRODUCT(ConvFactor!$B35:$P35,TRANSPOSE(AH$4:AH$18))</f>
        <v>57.935686718766505</v>
      </c>
      <c r="AI32" s="3">
        <f t="array" ref="AI32">SUMPRODUCT(ConvFactor!$B35:$P35,TRANSPOSE(AI$4:AI$18))</f>
        <v>270.73830883339792</v>
      </c>
      <c r="AJ32" s="3">
        <f t="array" ref="AJ32">SUMPRODUCT(ConvFactor!$B35:$P35,TRANSPOSE(AJ$4:AJ$18))</f>
        <v>81.805592658749944</v>
      </c>
      <c r="AK32" s="3">
        <f t="array" ref="AK32">SUMPRODUCT(ConvFactor!$B35:$P35,TRANSPOSE(AK$4:AK$18))</f>
        <v>29.59824067541004</v>
      </c>
      <c r="AL32" s="3">
        <f t="array" ref="AL32">SUMPRODUCT(ConvFactor!$B35:$P35,TRANSPOSE(AL$4:AL$18))</f>
        <v>155.88267972694706</v>
      </c>
      <c r="AM32" s="3">
        <f t="array" ref="AM32">SUMPRODUCT(ConvFactor!$B35:$P35,TRANSPOSE(AM$4:AM$18))</f>
        <v>2.429442305190324</v>
      </c>
      <c r="AN32" s="3">
        <f t="array" ref="AN32">SUMPRODUCT(ConvFactor!$B35:$P35,TRANSPOSE(AN$4:AN$18))</f>
        <v>0</v>
      </c>
      <c r="AO32" s="3">
        <f t="array" ref="AO32">SUMPRODUCT(ConvFactor!$B35:$P35,TRANSPOSE(AO$4:AO$18))</f>
        <v>0</v>
      </c>
    </row>
    <row r="33" spans="1:41">
      <c r="A33" t="str">
        <v>M5</v>
      </c>
      <c r="B33" s="40">
        <f t="shared" si="3"/>
        <v>17.373231659980092</v>
      </c>
      <c r="C33" s="40">
        <f t="shared" si="4"/>
        <v>19.783573185604514</v>
      </c>
      <c r="D33" s="40">
        <f t="shared" si="5"/>
        <v>31.897026417065579</v>
      </c>
      <c r="E33" s="40">
        <f t="shared" si="6"/>
        <v>16.595399410416849</v>
      </c>
      <c r="F33" s="40">
        <f t="shared" si="7"/>
        <v>22.885565676954858</v>
      </c>
      <c r="G33" s="40">
        <f t="shared" si="8"/>
        <v>90.14080749017414</v>
      </c>
      <c r="H33" s="40">
        <f t="shared" si="9"/>
        <v>8.8625512499823706</v>
      </c>
      <c r="I33" s="40">
        <f t="shared" si="11"/>
        <v>10.693592745057099</v>
      </c>
      <c r="J33" s="40">
        <f t="shared" si="12"/>
        <v>9.1257622241976328</v>
      </c>
      <c r="K33" s="40">
        <f t="shared" si="13"/>
        <v>14.490646872770354</v>
      </c>
      <c r="L33" s="40">
        <f t="shared" si="14"/>
        <v>9.8517393452856616</v>
      </c>
      <c r="M33" s="40">
        <f t="shared" si="15"/>
        <v>9.4120376613219445</v>
      </c>
      <c r="N33" s="40">
        <f t="shared" si="16"/>
        <v>69.528582652921926</v>
      </c>
      <c r="O33" s="40">
        <f t="shared" si="17"/>
        <v>11.795607880654579</v>
      </c>
      <c r="W33" t="s">
        <v>161</v>
      </c>
      <c r="X33" s="3">
        <f t="array" ref="X33">SUMPRODUCT(ConvFactor!$B36:$P36,TRANSPOSE(X$4:X$18))</f>
        <v>225.18398449498457</v>
      </c>
      <c r="Y33" s="3">
        <f t="array" ref="Y33">SUMPRODUCT(ConvFactor!$B36:$P36,TRANSPOSE(Y$4:Y$18))</f>
        <v>620.56027331333803</v>
      </c>
      <c r="Z33" s="3">
        <f t="array" ref="Z33">SUMPRODUCT(ConvFactor!$B36:$P36,TRANSPOSE(Z$4:Z$18))</f>
        <v>314.47755374907109</v>
      </c>
      <c r="AA33" s="3">
        <f t="array" ref="AA33">SUMPRODUCT(ConvFactor!$B36:$P36,TRANSPOSE(AA$4:AA$18))</f>
        <v>152.92803823474742</v>
      </c>
      <c r="AB33" s="3">
        <f t="array" ref="AB33">SUMPRODUCT(ConvFactor!$B36:$P36,TRANSPOSE(AB$4:AB$18))</f>
        <v>327.96367719723094</v>
      </c>
      <c r="AC33" s="3">
        <f t="array" ref="AC33">SUMPRODUCT(ConvFactor!$B36:$P36,TRANSPOSE(AC$4:AC$18))</f>
        <v>341.09133950775833</v>
      </c>
      <c r="AD33" s="3">
        <f t="array" ref="AD33">SUMPRODUCT(ConvFactor!$B36:$P36,TRANSPOSE(AD$4:AD$18))</f>
        <v>48.724430773907855</v>
      </c>
      <c r="AE33" s="3">
        <f t="array" ref="AE33">SUMPRODUCT(ConvFactor!$B36:$P36,TRANSPOSE(AE$4:AE$18))</f>
        <v>0</v>
      </c>
      <c r="AF33" s="3">
        <f t="array" ref="AF33">SUMPRODUCT(ConvFactor!$B36:$P36,TRANSPOSE(AF$4:AF$18))</f>
        <v>0</v>
      </c>
      <c r="AG33" s="3">
        <f t="array" ref="AG33">SUMPRODUCT(ConvFactor!$B36:$P36,TRANSPOSE(AG$4:AG$18))</f>
        <v>6.5856510672304118</v>
      </c>
      <c r="AH33" s="3">
        <f t="array" ref="AH33">SUMPRODUCT(ConvFactor!$B36:$P36,TRANSPOSE(AH$4:AH$18))</f>
        <v>19.703953752279208</v>
      </c>
      <c r="AI33" s="3">
        <f t="array" ref="AI33">SUMPRODUCT(ConvFactor!$B36:$P36,TRANSPOSE(AI$4:AI$18))</f>
        <v>124.37853429018743</v>
      </c>
      <c r="AJ33" s="3">
        <f t="array" ref="AJ33">SUMPRODUCT(ConvFactor!$B36:$P36,TRANSPOSE(AJ$4:AJ$18))</f>
        <v>26.886440015865603</v>
      </c>
      <c r="AK33" s="3">
        <f t="array" ref="AK33">SUMPRODUCT(ConvFactor!$B36:$P36,TRANSPOSE(AK$4:AK$18))</f>
        <v>9.9928340874509107</v>
      </c>
      <c r="AL33" s="3">
        <f t="array" ref="AL33">SUMPRODUCT(ConvFactor!$B36:$P36,TRANSPOSE(AL$4:AL$18))</f>
        <v>37.156759173310952</v>
      </c>
      <c r="AM33" s="3">
        <f t="array" ref="AM33">SUMPRODUCT(ConvFactor!$B36:$P36,TRANSPOSE(AM$4:AM$18))</f>
        <v>0.87409824200127795</v>
      </c>
      <c r="AN33" s="3">
        <f t="array" ref="AN33">SUMPRODUCT(ConvFactor!$B36:$P36,TRANSPOSE(AN$4:AN$18))</f>
        <v>0</v>
      </c>
      <c r="AO33" s="3">
        <f t="array" ref="AO33">SUMPRODUCT(ConvFactor!$B36:$P36,TRANSPOSE(AO$4:AO$18))</f>
        <v>0</v>
      </c>
    </row>
    <row r="34" spans="1:41">
      <c r="A34" t="str">
        <v>SA1</v>
      </c>
      <c r="B34" s="40">
        <f t="shared" si="3"/>
        <v>14.196525742766514</v>
      </c>
      <c r="C34" s="40">
        <f t="shared" si="4"/>
        <v>28.945046327913857</v>
      </c>
      <c r="D34" s="40">
        <f t="shared" si="5"/>
        <v>25.891262325525329</v>
      </c>
      <c r="E34" s="40">
        <f t="shared" si="6"/>
        <v>14.463167144472585</v>
      </c>
      <c r="F34" s="40">
        <f t="shared" si="7"/>
        <v>27.043535491069992</v>
      </c>
      <c r="G34" s="40">
        <f t="shared" si="8"/>
        <v>112.61577045136784</v>
      </c>
      <c r="H34" s="40">
        <f t="shared" si="9"/>
        <v>6.0016352980005863</v>
      </c>
      <c r="I34" s="40">
        <f t="shared" si="11"/>
        <v>9.0822820922994154</v>
      </c>
      <c r="J34" s="40">
        <f t="shared" si="12"/>
        <v>9.1550993186953811</v>
      </c>
      <c r="K34" s="40">
        <f t="shared" si="13"/>
        <v>12.23919040367204</v>
      </c>
      <c r="L34" s="40">
        <f t="shared" si="14"/>
        <v>8.913892198250279</v>
      </c>
      <c r="M34" s="40">
        <f t="shared" si="15"/>
        <v>9.607339161689568</v>
      </c>
      <c r="N34" s="40">
        <f t="shared" si="16"/>
        <v>109.4856518862273</v>
      </c>
      <c r="O34" s="40">
        <f t="shared" si="17"/>
        <v>5.5899294305946734</v>
      </c>
      <c r="W34" t="s">
        <v>162</v>
      </c>
      <c r="X34" s="3">
        <f t="array" ref="X34">SUMPRODUCT(ConvFactor!$B37:$P37,TRANSPOSE(X$4:X$18))</f>
        <v>6021.9170359587333</v>
      </c>
      <c r="Y34" s="3">
        <f t="array" ref="Y34">SUMPRODUCT(ConvFactor!$B37:$P37,TRANSPOSE(Y$4:Y$18))</f>
        <v>7534.1790369806477</v>
      </c>
      <c r="Z34" s="3">
        <f t="array" ref="Z34">SUMPRODUCT(ConvFactor!$B37:$P37,TRANSPOSE(Z$4:Z$18))</f>
        <v>9472.9265478325779</v>
      </c>
      <c r="AA34" s="3">
        <f t="array" ref="AA34">SUMPRODUCT(ConvFactor!$B37:$P37,TRANSPOSE(AA$4:AA$18))</f>
        <v>3257.9030972980327</v>
      </c>
      <c r="AB34" s="3">
        <f t="array" ref="AB34">SUMPRODUCT(ConvFactor!$B37:$P37,TRANSPOSE(AB$4:AB$18))</f>
        <v>5633.6785099805011</v>
      </c>
      <c r="AC34" s="3">
        <f t="array" ref="AC34">SUMPRODUCT(ConvFactor!$B37:$P37,TRANSPOSE(AC$4:AC$18))</f>
        <v>6409.2180194931971</v>
      </c>
      <c r="AD34" s="3">
        <f t="array" ref="AD34">SUMPRODUCT(ConvFactor!$B37:$P37,TRANSPOSE(AD$4:AD$18))</f>
        <v>1455.1218977656167</v>
      </c>
      <c r="AE34" s="3">
        <f t="array" ref="AE34">SUMPRODUCT(ConvFactor!$B37:$P37,TRANSPOSE(AE$4:AE$18))</f>
        <v>0</v>
      </c>
      <c r="AF34" s="3">
        <f t="array" ref="AF34">SUMPRODUCT(ConvFactor!$B37:$P37,TRANSPOSE(AF$4:AF$18))</f>
        <v>0</v>
      </c>
      <c r="AG34" s="3">
        <f t="array" ref="AG34">SUMPRODUCT(ConvFactor!$B37:$P37,TRANSPOSE(AG$4:AG$18))</f>
        <v>160.42519318091038</v>
      </c>
      <c r="AH34" s="3">
        <f t="array" ref="AH34">SUMPRODUCT(ConvFactor!$B37:$P37,TRANSPOSE(AH$4:AH$18))</f>
        <v>310.4033968895323</v>
      </c>
      <c r="AI34" s="3">
        <f t="array" ref="AI34">SUMPRODUCT(ConvFactor!$B37:$P37,TRANSPOSE(AI$4:AI$18))</f>
        <v>1669.7231308942391</v>
      </c>
      <c r="AJ34" s="3">
        <f t="array" ref="AJ34">SUMPRODUCT(ConvFactor!$B37:$P37,TRANSPOSE(AJ$4:AJ$18))</f>
        <v>602.36300296699073</v>
      </c>
      <c r="AK34" s="3">
        <f t="array" ref="AK34">SUMPRODUCT(ConvFactor!$B37:$P37,TRANSPOSE(AK$4:AK$18))</f>
        <v>90.726209499911505</v>
      </c>
      <c r="AL34" s="3">
        <f t="array" ref="AL34">SUMPRODUCT(ConvFactor!$B37:$P37,TRANSPOSE(AL$4:AL$18))</f>
        <v>5284.4101207272661</v>
      </c>
      <c r="AM34" s="3">
        <f t="array" ref="AM34">SUMPRODUCT(ConvFactor!$B37:$P37,TRANSPOSE(AM$4:AM$18))</f>
        <v>35.7355297873236</v>
      </c>
      <c r="AN34" s="3">
        <f t="array" ref="AN34">SUMPRODUCT(ConvFactor!$B37:$P37,TRANSPOSE(AN$4:AN$18))</f>
        <v>0</v>
      </c>
      <c r="AO34" s="3">
        <f t="array" ref="AO34">SUMPRODUCT(ConvFactor!$B37:$P37,TRANSPOSE(AO$4:AO$18))</f>
        <v>0</v>
      </c>
    </row>
    <row r="35" spans="1:41">
      <c r="A35" t="str">
        <v>SA3</v>
      </c>
      <c r="B35" s="40">
        <f t="shared" si="3"/>
        <v>14.216769202475199</v>
      </c>
      <c r="C35" s="40">
        <f t="shared" si="4"/>
        <v>19.496558385464372</v>
      </c>
      <c r="D35" s="40">
        <f t="shared" si="5"/>
        <v>27.113502300482111</v>
      </c>
      <c r="E35" s="40">
        <f t="shared" si="6"/>
        <v>15.424697394756347</v>
      </c>
      <c r="F35" s="40">
        <f t="shared" si="7"/>
        <v>22.678641937534465</v>
      </c>
      <c r="G35" s="40">
        <f t="shared" si="8"/>
        <v>83.484495136809571</v>
      </c>
      <c r="H35" s="40">
        <f t="shared" si="9"/>
        <v>7.6451579938541689</v>
      </c>
      <c r="I35" s="40">
        <f t="shared" si="11"/>
        <v>10.290945840255102</v>
      </c>
      <c r="J35" s="40">
        <f t="shared" si="12"/>
        <v>9.1201983728409051</v>
      </c>
      <c r="K35" s="40">
        <f t="shared" si="13"/>
        <v>12.919982627188343</v>
      </c>
      <c r="L35" s="40">
        <f t="shared" si="14"/>
        <v>9.6345993050563976</v>
      </c>
      <c r="M35" s="40">
        <f t="shared" si="15"/>
        <v>9.4569421172380093</v>
      </c>
      <c r="N35" s="40">
        <f t="shared" si="16"/>
        <v>62.539771996406998</v>
      </c>
      <c r="O35" s="40">
        <f t="shared" si="17"/>
        <v>10.005194718341757</v>
      </c>
      <c r="W35" t="s">
        <v>163</v>
      </c>
      <c r="X35" s="3">
        <f t="array" ref="X35">SUMPRODUCT(ConvFactor!$B38:$P38,TRANSPOSE(X$4:X$18))</f>
        <v>3289.9497718800394</v>
      </c>
      <c r="Y35" s="3">
        <f t="array" ref="Y35">SUMPRODUCT(ConvFactor!$B38:$P38,TRANSPOSE(Y$4:Y$18))</f>
        <v>6230.2962097165455</v>
      </c>
      <c r="Z35" s="3">
        <f t="array" ref="Z35">SUMPRODUCT(ConvFactor!$B38:$P38,TRANSPOSE(Z$4:Z$18))</f>
        <v>2206.6705634983159</v>
      </c>
      <c r="AA35" s="3">
        <f t="array" ref="AA35">SUMPRODUCT(ConvFactor!$B38:$P38,TRANSPOSE(AA$4:AA$18))</f>
        <v>2111.3107531015071</v>
      </c>
      <c r="AB35" s="3">
        <f t="array" ref="AB35">SUMPRODUCT(ConvFactor!$B38:$P38,TRANSPOSE(AB$4:AB$18))</f>
        <v>3326.7227585256664</v>
      </c>
      <c r="AC35" s="3">
        <f t="array" ref="AC35">SUMPRODUCT(ConvFactor!$B38:$P38,TRANSPOSE(AC$4:AC$18))</f>
        <v>1205.1671155666754</v>
      </c>
      <c r="AD35" s="3">
        <f t="array" ref="AD35">SUMPRODUCT(ConvFactor!$B38:$P38,TRANSPOSE(AD$4:AD$18))</f>
        <v>510.59759585563199</v>
      </c>
      <c r="AE35" s="3">
        <f t="array" ref="AE35">SUMPRODUCT(ConvFactor!$B38:$P38,TRANSPOSE(AE$4:AE$18))</f>
        <v>0</v>
      </c>
      <c r="AF35" s="3">
        <f t="array" ref="AF35">SUMPRODUCT(ConvFactor!$B38:$P38,TRANSPOSE(AF$4:AF$18))</f>
        <v>0</v>
      </c>
      <c r="AG35" s="3">
        <f t="array" ref="AG35">SUMPRODUCT(ConvFactor!$B38:$P38,TRANSPOSE(AG$4:AG$18))</f>
        <v>68.292633781801882</v>
      </c>
      <c r="AH35" s="3">
        <f t="array" ref="AH35">SUMPRODUCT(ConvFactor!$B38:$P38,TRANSPOSE(AH$4:AH$18))</f>
        <v>145.38668236116013</v>
      </c>
      <c r="AI35" s="3">
        <f t="array" ref="AI35">SUMPRODUCT(ConvFactor!$B38:$P38,TRANSPOSE(AI$4:AI$18))</f>
        <v>266.85059468250063</v>
      </c>
      <c r="AJ35" s="3">
        <f t="array" ref="AJ35">SUMPRODUCT(ConvFactor!$B38:$P38,TRANSPOSE(AJ$4:AJ$18))</f>
        <v>199.14862374918184</v>
      </c>
      <c r="AK35" s="3">
        <f t="array" ref="AK35">SUMPRODUCT(ConvFactor!$B38:$P38,TRANSPOSE(AK$4:AK$18))</f>
        <v>40.752315628449253</v>
      </c>
      <c r="AL35" s="3">
        <f t="array" ref="AL35">SUMPRODUCT(ConvFactor!$B38:$P38,TRANSPOSE(AL$4:AL$18))</f>
        <v>965.76145331935948</v>
      </c>
      <c r="AM35" s="3">
        <f t="array" ref="AM35">SUMPRODUCT(ConvFactor!$B38:$P38,TRANSPOSE(AM$4:AM$18))</f>
        <v>19.172936989846527</v>
      </c>
      <c r="AN35" s="3">
        <f t="array" ref="AN35">SUMPRODUCT(ConvFactor!$B38:$P38,TRANSPOSE(AN$4:AN$18))</f>
        <v>0</v>
      </c>
      <c r="AO35" s="3">
        <f t="array" ref="AO35">SUMPRODUCT(ConvFactor!$B38:$P38,TRANSPOSE(AO$4:AO$18))</f>
        <v>0</v>
      </c>
    </row>
    <row r="36" spans="1:41">
      <c r="A36" t="str">
        <v>SH1</v>
      </c>
      <c r="B36" s="40">
        <f t="shared" si="3"/>
        <v>15.164705507430176</v>
      </c>
      <c r="C36" s="40">
        <f t="shared" si="4"/>
        <v>24.411661490334666</v>
      </c>
      <c r="D36" s="40">
        <f t="shared" si="5"/>
        <v>37.446297679811735</v>
      </c>
      <c r="E36" s="40">
        <f t="shared" si="6"/>
        <v>15.926445170010725</v>
      </c>
      <c r="F36" s="40">
        <f t="shared" si="7"/>
        <v>26.333891528280457</v>
      </c>
      <c r="G36" s="40">
        <f t="shared" si="8"/>
        <v>144.39395592724631</v>
      </c>
      <c r="H36" s="40">
        <f t="shared" si="9"/>
        <v>7.3805261006535421</v>
      </c>
      <c r="I36" s="40">
        <f t="shared" si="11"/>
        <v>9.0222138313117632</v>
      </c>
      <c r="J36" s="40">
        <f t="shared" si="12"/>
        <v>9.1445049976817359</v>
      </c>
      <c r="K36" s="40">
        <f t="shared" si="13"/>
        <v>12.373972635918891</v>
      </c>
      <c r="L36" s="40">
        <f t="shared" si="14"/>
        <v>9.0375819194912843</v>
      </c>
      <c r="M36" s="40">
        <f t="shared" si="15"/>
        <v>9.5717645402712783</v>
      </c>
      <c r="N36" s="40">
        <f t="shared" si="16"/>
        <v>100.48577936902568</v>
      </c>
      <c r="O36" s="40">
        <f t="shared" si="17"/>
        <v>4.6587663891843247</v>
      </c>
      <c r="W36" t="s">
        <v>164</v>
      </c>
      <c r="X36" s="3">
        <f t="array" ref="X36">SUMPRODUCT(ConvFactor!$B39:$P39,TRANSPOSE(X$4:X$18))</f>
        <v>4059.382152301333</v>
      </c>
      <c r="Y36" s="3">
        <f t="array" ref="Y36">SUMPRODUCT(ConvFactor!$B39:$P39,TRANSPOSE(Y$4:Y$18))</f>
        <v>5570.7875384636627</v>
      </c>
      <c r="Z36" s="3">
        <f t="array" ref="Z36">SUMPRODUCT(ConvFactor!$B39:$P39,TRANSPOSE(Z$4:Z$18))</f>
        <v>4011.1352857832999</v>
      </c>
      <c r="AA36" s="3">
        <f t="array" ref="AA36">SUMPRODUCT(ConvFactor!$B39:$P39,TRANSPOSE(AA$4:AA$18))</f>
        <v>2062.7003336387093</v>
      </c>
      <c r="AB36" s="3">
        <f t="array" ref="AB36">SUMPRODUCT(ConvFactor!$B39:$P39,TRANSPOSE(AB$4:AB$18))</f>
        <v>2747.373142525083</v>
      </c>
      <c r="AC36" s="3">
        <f t="array" ref="AC36">SUMPRODUCT(ConvFactor!$B39:$P39,TRANSPOSE(AC$4:AC$18))</f>
        <v>1516.6529069565938</v>
      </c>
      <c r="AD36" s="3">
        <f t="array" ref="AD36">SUMPRODUCT(ConvFactor!$B39:$P39,TRANSPOSE(AD$4:AD$18))</f>
        <v>838.09880674429246</v>
      </c>
      <c r="AE36" s="3">
        <f t="array" ref="AE36">SUMPRODUCT(ConvFactor!$B39:$P39,TRANSPOSE(AE$4:AE$18))</f>
        <v>0</v>
      </c>
      <c r="AF36" s="3">
        <f t="array" ref="AF36">SUMPRODUCT(ConvFactor!$B39:$P39,TRANSPOSE(AF$4:AF$18))</f>
        <v>0</v>
      </c>
      <c r="AG36" s="3">
        <f t="array" ref="AG36">SUMPRODUCT(ConvFactor!$B39:$P39,TRANSPOSE(AG$4:AG$18))</f>
        <v>77.393863125776306</v>
      </c>
      <c r="AH36" s="3">
        <f t="array" ref="AH36">SUMPRODUCT(ConvFactor!$B39:$P39,TRANSPOSE(AH$4:AH$18))</f>
        <v>176.74066979767946</v>
      </c>
      <c r="AI36" s="3">
        <f t="array" ref="AI36">SUMPRODUCT(ConvFactor!$B39:$P39,TRANSPOSE(AI$4:AI$18))</f>
        <v>491.87136267461108</v>
      </c>
      <c r="AJ36" s="3">
        <f t="array" ref="AJ36">SUMPRODUCT(ConvFactor!$B39:$P39,TRANSPOSE(AJ$4:AJ$18))</f>
        <v>265.79708529706852</v>
      </c>
      <c r="AK36" s="3">
        <f t="array" ref="AK36">SUMPRODUCT(ConvFactor!$B39:$P39,TRANSPOSE(AK$4:AK$18))</f>
        <v>54.169335462580776</v>
      </c>
      <c r="AL36" s="3">
        <f t="array" ref="AL36">SUMPRODUCT(ConvFactor!$B39:$P39,TRANSPOSE(AL$4:AL$18))</f>
        <v>1490.7708578862532</v>
      </c>
      <c r="AM36" s="3">
        <f t="array" ref="AM36">SUMPRODUCT(ConvFactor!$B39:$P39,TRANSPOSE(AM$4:AM$18))</f>
        <v>21.032857758572675</v>
      </c>
      <c r="AN36" s="3">
        <f t="array" ref="AN36">SUMPRODUCT(ConvFactor!$B39:$P39,TRANSPOSE(AN$4:AN$18))</f>
        <v>0</v>
      </c>
      <c r="AO36" s="3">
        <f t="array" ref="AO36">SUMPRODUCT(ConvFactor!$B39:$P39,TRANSPOSE(AO$4:AO$18))</f>
        <v>0</v>
      </c>
    </row>
    <row r="37" spans="1:41">
      <c r="A37" t="str">
        <v>SH3</v>
      </c>
      <c r="B37" s="40">
        <f t="shared" si="3"/>
        <v>16.003729997282321</v>
      </c>
      <c r="C37" s="40">
        <f t="shared" si="4"/>
        <v>22.737319456903901</v>
      </c>
      <c r="D37" s="40">
        <f t="shared" si="5"/>
        <v>36.365789372816188</v>
      </c>
      <c r="E37" s="40">
        <f t="shared" si="6"/>
        <v>16.721662048250813</v>
      </c>
      <c r="F37" s="40">
        <f t="shared" si="7"/>
        <v>27.300306094258968</v>
      </c>
      <c r="G37" s="40">
        <f t="shared" si="8"/>
        <v>120.32513244589909</v>
      </c>
      <c r="H37" s="40">
        <f t="shared" si="9"/>
        <v>7.8372240496938028</v>
      </c>
      <c r="I37" s="40">
        <f t="shared" si="11"/>
        <v>9.0769458364378597</v>
      </c>
      <c r="J37" s="40">
        <f t="shared" si="12"/>
        <v>9.1350181586663339</v>
      </c>
      <c r="K37" s="40">
        <f t="shared" si="13"/>
        <v>12.386646394177189</v>
      </c>
      <c r="L37" s="40">
        <f t="shared" si="14"/>
        <v>9.0434992942967511</v>
      </c>
      <c r="M37" s="40">
        <f t="shared" si="15"/>
        <v>9.5512251876735537</v>
      </c>
      <c r="N37" s="40">
        <f t="shared" si="16"/>
        <v>91.266563432464963</v>
      </c>
      <c r="O37" s="40">
        <f t="shared" si="17"/>
        <v>5.614216180808417</v>
      </c>
      <c r="W37" t="s">
        <v>165</v>
      </c>
      <c r="X37" s="3">
        <f t="array" ref="X37">SUMPRODUCT(ConvFactor!$B40:$P40,TRANSPOSE(X$4:X$18))</f>
        <v>4795.9591569291297</v>
      </c>
      <c r="Y37" s="3">
        <f t="array" ref="Y37">SUMPRODUCT(ConvFactor!$B40:$P40,TRANSPOSE(Y$4:Y$18))</f>
        <v>5767.1416383569176</v>
      </c>
      <c r="Z37" s="3">
        <f t="array" ref="Z37">SUMPRODUCT(ConvFactor!$B40:$P40,TRANSPOSE(Z$4:Z$18))</f>
        <v>11256.129070863104</v>
      </c>
      <c r="AA37" s="3">
        <f t="array" ref="AA37">SUMPRODUCT(ConvFactor!$B40:$P40,TRANSPOSE(AA$4:AA$18))</f>
        <v>2522.6101454375248</v>
      </c>
      <c r="AB37" s="3">
        <f t="array" ref="AB37">SUMPRODUCT(ConvFactor!$B40:$P40,TRANSPOSE(AB$4:AB$18))</f>
        <v>3943.7141300643998</v>
      </c>
      <c r="AC37" s="3">
        <f t="array" ref="AC37">SUMPRODUCT(ConvFactor!$B40:$P40,TRANSPOSE(AC$4:AC$18))</f>
        <v>9757.4218581343303</v>
      </c>
      <c r="AD37" s="3">
        <f t="array" ref="AD37">SUMPRODUCT(ConvFactor!$B40:$P40,TRANSPOSE(AD$4:AD$18))</f>
        <v>1824.9269574502919</v>
      </c>
      <c r="AE37" s="3">
        <f t="array" ref="AE37">SUMPRODUCT(ConvFactor!$B40:$P40,TRANSPOSE(AE$4:AE$18))</f>
        <v>0</v>
      </c>
      <c r="AF37" s="3">
        <f t="array" ref="AF37">SUMPRODUCT(ConvFactor!$B40:$P40,TRANSPOSE(AF$4:AF$18))</f>
        <v>0</v>
      </c>
      <c r="AG37" s="3">
        <f t="array" ref="AG37">SUMPRODUCT(ConvFactor!$B40:$P40,TRANSPOSE(AG$4:AG$18))</f>
        <v>175.71408487076675</v>
      </c>
      <c r="AH37" s="3">
        <f t="array" ref="AH37">SUMPRODUCT(ConvFactor!$B40:$P40,TRANSPOSE(AH$4:AH$18))</f>
        <v>302.21786230620194</v>
      </c>
      <c r="AI37" s="3">
        <f t="array" ref="AI37">SUMPRODUCT(ConvFactor!$B40:$P40,TRANSPOSE(AI$4:AI$18))</f>
        <v>2086.3069011264033</v>
      </c>
      <c r="AJ37" s="3">
        <f t="array" ref="AJ37">SUMPRODUCT(ConvFactor!$B40:$P40,TRANSPOSE(AJ$4:AJ$18))</f>
        <v>682.81576299831795</v>
      </c>
      <c r="AK37" s="3">
        <f t="array" ref="AK37">SUMPRODUCT(ConvFactor!$B40:$P40,TRANSPOSE(AK$4:AK$18))</f>
        <v>75.248526077863403</v>
      </c>
      <c r="AL37" s="3">
        <f t="array" ref="AL37">SUMPRODUCT(ConvFactor!$B40:$P40,TRANSPOSE(AL$4:AL$18))</f>
        <v>7192.73822652748</v>
      </c>
      <c r="AM37" s="3">
        <f t="array" ref="AM37">SUMPRODUCT(ConvFactor!$B40:$P40,TRANSPOSE(AM$4:AM$18))</f>
        <v>37.965304242237075</v>
      </c>
      <c r="AN37" s="3">
        <f t="array" ref="AN37">SUMPRODUCT(ConvFactor!$B40:$P40,TRANSPOSE(AN$4:AN$18))</f>
        <v>0</v>
      </c>
      <c r="AO37" s="3">
        <f t="array" ref="AO37">SUMPRODUCT(ConvFactor!$B40:$P40,TRANSPOSE(AO$4:AO$18))</f>
        <v>0</v>
      </c>
    </row>
    <row r="38" spans="1:41">
      <c r="A38" t="str">
        <v>SM2</v>
      </c>
      <c r="B38" s="40">
        <f t="shared" si="3"/>
        <v>13.509138188391418</v>
      </c>
      <c r="C38" s="40">
        <f t="shared" si="4"/>
        <v>21.829466393357929</v>
      </c>
      <c r="D38" s="40">
        <f t="shared" si="5"/>
        <v>25.897645435676523</v>
      </c>
      <c r="E38" s="40">
        <f t="shared" si="6"/>
        <v>16.415462466244289</v>
      </c>
      <c r="F38" s="40">
        <f t="shared" si="7"/>
        <v>27.070131042380446</v>
      </c>
      <c r="G38" s="40">
        <f t="shared" si="8"/>
        <v>194.14314325471477</v>
      </c>
      <c r="H38" s="40">
        <f t="shared" si="9"/>
        <v>8.0209670155697328</v>
      </c>
      <c r="I38" s="40">
        <f t="shared" si="11"/>
        <v>9.5080795043757629</v>
      </c>
      <c r="J38" s="40">
        <f t="shared" si="12"/>
        <v>9.0820788322178938</v>
      </c>
      <c r="K38" s="40">
        <f t="shared" si="13"/>
        <v>12.95064478950102</v>
      </c>
      <c r="L38" s="40">
        <f t="shared" si="14"/>
        <v>9.4124811945499651</v>
      </c>
      <c r="M38" s="40">
        <f t="shared" si="15"/>
        <v>9.4937417102221122</v>
      </c>
      <c r="N38" s="40">
        <f t="shared" si="16"/>
        <v>0</v>
      </c>
      <c r="O38" s="40">
        <f t="shared" si="17"/>
        <v>1.6288646846599992</v>
      </c>
      <c r="W38" t="s">
        <v>166</v>
      </c>
      <c r="X38" s="3">
        <f t="array" ref="X38">SUMPRODUCT(ConvFactor!$B41:$P41,TRANSPOSE(X$4:X$18))</f>
        <v>0</v>
      </c>
      <c r="Y38" s="3">
        <f t="array" ref="Y38">SUMPRODUCT(ConvFactor!$B41:$P41,TRANSPOSE(Y$4:Y$18))</f>
        <v>0</v>
      </c>
      <c r="Z38" s="3">
        <f t="array" ref="Z38">SUMPRODUCT(ConvFactor!$B41:$P41,TRANSPOSE(Z$4:Z$18))</f>
        <v>0</v>
      </c>
      <c r="AA38" s="3">
        <f t="array" ref="AA38">SUMPRODUCT(ConvFactor!$B41:$P41,TRANSPOSE(AA$4:AA$18))</f>
        <v>0</v>
      </c>
      <c r="AB38" s="3">
        <f t="array" ref="AB38">SUMPRODUCT(ConvFactor!$B41:$P41,TRANSPOSE(AB$4:AB$18))</f>
        <v>0</v>
      </c>
      <c r="AC38" s="3">
        <f t="array" ref="AC38">SUMPRODUCT(ConvFactor!$B41:$P41,TRANSPOSE(AC$4:AC$18))</f>
        <v>0</v>
      </c>
      <c r="AD38" s="3">
        <f t="array" ref="AD38">SUMPRODUCT(ConvFactor!$B41:$P41,TRANSPOSE(AD$4:AD$18))</f>
        <v>0</v>
      </c>
      <c r="AE38" s="3">
        <f t="array" ref="AE38">SUMPRODUCT(ConvFactor!$B41:$P41,TRANSPOSE(AE$4:AE$18))</f>
        <v>0</v>
      </c>
      <c r="AF38" s="3">
        <f t="array" ref="AF38">SUMPRODUCT(ConvFactor!$B41:$P41,TRANSPOSE(AF$4:AF$18))</f>
        <v>0</v>
      </c>
      <c r="AG38" s="3">
        <f t="array" ref="AG38">SUMPRODUCT(ConvFactor!$B41:$P41,TRANSPOSE(AG$4:AG$18))</f>
        <v>3.3281232336817501</v>
      </c>
      <c r="AH38" s="3">
        <f t="array" ref="AH38">SUMPRODUCT(ConvFactor!$B41:$P41,TRANSPOSE(AH$4:AH$18))</f>
        <v>11.13569169512877</v>
      </c>
      <c r="AI38" s="3">
        <f t="array" ref="AI38">SUMPRODUCT(ConvFactor!$B41:$P41,TRANSPOSE(AI$4:AI$18))</f>
        <v>211.79800337108384</v>
      </c>
      <c r="AJ38" s="3">
        <f t="array" ref="AJ38">SUMPRODUCT(ConvFactor!$B41:$P41,TRANSPOSE(AJ$4:AJ$18))</f>
        <v>15.130087995054355</v>
      </c>
      <c r="AK38" s="3">
        <f t="array" ref="AK38">SUMPRODUCT(ConvFactor!$B41:$P41,TRANSPOSE(AK$4:AK$18))</f>
        <v>6.6143218625313995</v>
      </c>
      <c r="AL38" s="3">
        <f t="array" ref="AL38">SUMPRODUCT(ConvFactor!$B41:$P41,TRANSPOSE(AL$4:AL$18))</f>
        <v>0</v>
      </c>
      <c r="AM38" s="3">
        <f t="array" ref="AM38">SUMPRODUCT(ConvFactor!$B41:$P41,TRANSPOSE(AM$4:AM$18))</f>
        <v>0.12184652447889732</v>
      </c>
      <c r="AN38" s="3">
        <f t="array" ref="AN38">SUMPRODUCT(ConvFactor!$B41:$P41,TRANSPOSE(AN$4:AN$18))</f>
        <v>0</v>
      </c>
      <c r="AO38" s="3">
        <f t="array" ref="AO38">SUMPRODUCT(ConvFactor!$B41:$P41,TRANSPOSE(AO$4:AO$18))</f>
        <v>0</v>
      </c>
    </row>
    <row r="39" spans="1:41">
      <c r="A39" t="str">
        <v>SM2N</v>
      </c>
      <c r="B39" s="40">
        <f t="shared" si="3"/>
        <v>13.560661682430053</v>
      </c>
      <c r="C39" s="40">
        <f t="shared" si="4"/>
        <v>21.529270886696306</v>
      </c>
      <c r="D39" s="40">
        <f t="shared" si="5"/>
        <v>25.227797432802351</v>
      </c>
      <c r="E39" s="40">
        <f t="shared" si="6"/>
        <v>14.191882452818993</v>
      </c>
      <c r="F39" s="40">
        <f t="shared" si="7"/>
        <v>19.909754999591513</v>
      </c>
      <c r="G39" s="40">
        <f t="shared" si="8"/>
        <v>51.753427966128712</v>
      </c>
      <c r="H39" s="40">
        <f t="shared" si="9"/>
        <v>7.4398705098543321</v>
      </c>
      <c r="I39" s="40">
        <f t="shared" si="11"/>
        <v>10.641429549379799</v>
      </c>
      <c r="J39" s="40">
        <f t="shared" si="12"/>
        <v>9.1257622241976311</v>
      </c>
      <c r="K39" s="40">
        <f t="shared" si="13"/>
        <v>15.159610226491104</v>
      </c>
      <c r="L39" s="40">
        <f t="shared" si="14"/>
        <v>9.8518627548513713</v>
      </c>
      <c r="M39" s="40">
        <f t="shared" si="15"/>
        <v>9.4120376613219445</v>
      </c>
      <c r="N39" s="40">
        <f t="shared" si="16"/>
        <v>69.527933609677135</v>
      </c>
      <c r="O39" s="40">
        <f t="shared" si="17"/>
        <v>11.795607880654583</v>
      </c>
      <c r="W39" t="s">
        <v>167</v>
      </c>
      <c r="X39" s="3">
        <f t="array" ref="X39">SUMPRODUCT(ConvFactor!$B42:$P42,TRANSPOSE(X$4:X$18))</f>
        <v>5046.4556658135307</v>
      </c>
      <c r="Y39" s="3">
        <f t="array" ref="Y39">SUMPRODUCT(ConvFactor!$B42:$P42,TRANSPOSE(Y$4:Y$18))</f>
        <v>8481.8635222416924</v>
      </c>
      <c r="Z39" s="3">
        <f t="array" ref="Z39">SUMPRODUCT(ConvFactor!$B42:$P42,TRANSPOSE(Z$4:Z$18))</f>
        <v>8744.7419041067551</v>
      </c>
      <c r="AA39" s="3">
        <f t="array" ref="AA39">SUMPRODUCT(ConvFactor!$B42:$P42,TRANSPOSE(AA$4:AA$18))</f>
        <v>3155.0170576597607</v>
      </c>
      <c r="AB39" s="3">
        <f t="array" ref="AB39">SUMPRODUCT(ConvFactor!$B42:$P42,TRANSPOSE(AB$4:AB$18))</f>
        <v>5967.3956260886334</v>
      </c>
      <c r="AC39" s="3">
        <f t="array" ref="AC39">SUMPRODUCT(ConvFactor!$B42:$P42,TRANSPOSE(AC$4:AC$18))</f>
        <v>5578.8282794065635</v>
      </c>
      <c r="AD39" s="3">
        <f t="array" ref="AD39">SUMPRODUCT(ConvFactor!$B42:$P42,TRANSPOSE(AD$4:AD$18))</f>
        <v>1615.6898657666502</v>
      </c>
      <c r="AE39" s="3">
        <f t="array" ref="AE39">SUMPRODUCT(ConvFactor!$B42:$P42,TRANSPOSE(AE$4:AE$18))</f>
        <v>0</v>
      </c>
      <c r="AF39" s="3">
        <f t="array" ref="AF39">SUMPRODUCT(ConvFactor!$B42:$P42,TRANSPOSE(AF$4:AF$18))</f>
        <v>0</v>
      </c>
      <c r="AG39" s="3">
        <f t="array" ref="AG39">SUMPRODUCT(ConvFactor!$B42:$P42,TRANSPOSE(AG$4:AG$18))</f>
        <v>142.65126065524029</v>
      </c>
      <c r="AH39" s="3">
        <f t="array" ref="AH39">SUMPRODUCT(ConvFactor!$B42:$P42,TRANSPOSE(AH$4:AH$18))</f>
        <v>342.58433361874876</v>
      </c>
      <c r="AI39" s="3">
        <f t="array" ref="AI39">SUMPRODUCT(ConvFactor!$B42:$P42,TRANSPOSE(AI$4:AI$18))</f>
        <v>1660.1021947075851</v>
      </c>
      <c r="AJ39" s="3">
        <f t="array" ref="AJ39">SUMPRODUCT(ConvFactor!$B42:$P42,TRANSPOSE(AJ$4:AJ$18))</f>
        <v>573.36803416239707</v>
      </c>
      <c r="AK39" s="3">
        <f t="array" ref="AK39">SUMPRODUCT(ConvFactor!$B42:$P42,TRANSPOSE(AK$4:AK$18))</f>
        <v>132.40899868901715</v>
      </c>
      <c r="AL39" s="3">
        <f t="array" ref="AL39">SUMPRODUCT(ConvFactor!$B42:$P42,TRANSPOSE(AL$4:AL$18))</f>
        <v>3354.1358173459616</v>
      </c>
      <c r="AM39" s="3">
        <f t="array" ref="AM39">SUMPRODUCT(ConvFactor!$B42:$P42,TRANSPOSE(AM$4:AM$18))</f>
        <v>29.015217173977582</v>
      </c>
      <c r="AN39" s="3">
        <f t="array" ref="AN39">SUMPRODUCT(ConvFactor!$B42:$P42,TRANSPOSE(AN$4:AN$18))</f>
        <v>0</v>
      </c>
      <c r="AO39" s="3">
        <f t="array" ref="AO39">SUMPRODUCT(ConvFactor!$B42:$P42,TRANSPOSE(AO$4:AO$18))</f>
        <v>0</v>
      </c>
    </row>
    <row r="40" spans="1:41">
      <c r="A40" t="str">
        <v>External</v>
      </c>
      <c r="B40" s="40">
        <f t="shared" si="3"/>
        <v>0</v>
      </c>
      <c r="C40" s="40">
        <f t="shared" si="4"/>
        <v>0</v>
      </c>
      <c r="D40" s="40">
        <f t="shared" si="5"/>
        <v>0</v>
      </c>
      <c r="E40" s="40">
        <f t="shared" si="6"/>
        <v>0</v>
      </c>
      <c r="F40" s="40">
        <f t="shared" si="7"/>
        <v>0</v>
      </c>
      <c r="G40" s="40">
        <f t="shared" si="8"/>
        <v>0</v>
      </c>
      <c r="H40" s="40">
        <f t="shared" si="9"/>
        <v>0</v>
      </c>
      <c r="I40" s="40">
        <f t="shared" si="11"/>
        <v>0</v>
      </c>
      <c r="J40" s="40">
        <f t="shared" si="12"/>
        <v>0</v>
      </c>
      <c r="K40" s="40">
        <f t="shared" si="13"/>
        <v>0</v>
      </c>
      <c r="L40" s="40">
        <f t="shared" si="14"/>
        <v>0</v>
      </c>
      <c r="M40" s="40">
        <f t="shared" si="15"/>
        <v>0</v>
      </c>
      <c r="N40" s="40">
        <f t="shared" si="16"/>
        <v>0</v>
      </c>
      <c r="O40" s="40">
        <f t="shared" si="17"/>
        <v>0</v>
      </c>
      <c r="W40" t="s">
        <v>147</v>
      </c>
      <c r="X40" s="3">
        <f t="array" ref="X40">SUMPRODUCT(ConvFactor!$B43:$P43,TRANSPOSE(X$4:X$18))</f>
        <v>0</v>
      </c>
      <c r="Y40" s="3">
        <f t="array" ref="Y40">SUMPRODUCT(ConvFactor!$B43:$P43,TRANSPOSE(Y$4:Y$18))</f>
        <v>0</v>
      </c>
      <c r="Z40" s="3">
        <f t="array" ref="Z40">SUMPRODUCT(ConvFactor!$B43:$P43,TRANSPOSE(Z$4:Z$18))</f>
        <v>0</v>
      </c>
      <c r="AA40" s="3">
        <f t="array" ref="AA40">SUMPRODUCT(ConvFactor!$B43:$P43,TRANSPOSE(AA$4:AA$18))</f>
        <v>0</v>
      </c>
      <c r="AB40" s="3">
        <f t="array" ref="AB40">SUMPRODUCT(ConvFactor!$B43:$P43,TRANSPOSE(AB$4:AB$18))</f>
        <v>0</v>
      </c>
      <c r="AC40" s="3">
        <f t="array" ref="AC40">SUMPRODUCT(ConvFactor!$B43:$P43,TRANSPOSE(AC$4:AC$18))</f>
        <v>0</v>
      </c>
      <c r="AD40" s="3">
        <f t="array" ref="AD40">SUMPRODUCT(ConvFactor!$B43:$P43,TRANSPOSE(AD$4:AD$18))</f>
        <v>0</v>
      </c>
      <c r="AE40" s="3">
        <f t="array" ref="AE40">SUMPRODUCT(ConvFactor!$B43:$P43,TRANSPOSE(AE$4:AE$18))</f>
        <v>0</v>
      </c>
      <c r="AF40" s="3">
        <f t="array" ref="AF40">SUMPRODUCT(ConvFactor!$B43:$P43,TRANSPOSE(AF$4:AF$18))</f>
        <v>0</v>
      </c>
      <c r="AG40" s="3">
        <f t="array" ref="AG40">SUMPRODUCT(ConvFactor!$B43:$P43,TRANSPOSE(AG$4:AG$18))</f>
        <v>0</v>
      </c>
      <c r="AH40" s="3">
        <f t="array" ref="AH40">SUMPRODUCT(ConvFactor!$B43:$P43,TRANSPOSE(AH$4:AH$18))</f>
        <v>0</v>
      </c>
      <c r="AI40" s="3">
        <f t="array" ref="AI40">SUMPRODUCT(ConvFactor!$B43:$P43,TRANSPOSE(AI$4:AI$18))</f>
        <v>0</v>
      </c>
      <c r="AJ40" s="3">
        <f t="array" ref="AJ40">SUMPRODUCT(ConvFactor!$B43:$P43,TRANSPOSE(AJ$4:AJ$18))</f>
        <v>0</v>
      </c>
      <c r="AK40" s="3">
        <f t="array" ref="AK40">SUMPRODUCT(ConvFactor!$B43:$P43,TRANSPOSE(AK$4:AK$18))</f>
        <v>0</v>
      </c>
      <c r="AL40" s="3">
        <f t="array" ref="AL40">SUMPRODUCT(ConvFactor!$B43:$P43,TRANSPOSE(AL$4:AL$18))</f>
        <v>0</v>
      </c>
      <c r="AM40" s="3">
        <f t="array" ref="AM40">SUMPRODUCT(ConvFactor!$B43:$P43,TRANSPOSE(AM$4:AM$18))</f>
        <v>0</v>
      </c>
      <c r="AN40" s="3">
        <f t="array" ref="AN40">SUMPRODUCT(ConvFactor!$B43:$P43,TRANSPOSE(AN$4:AN$18))</f>
        <v>0</v>
      </c>
      <c r="AO40" s="3">
        <f t="array" ref="AO40">SUMPRODUCT(ConvFactor!$B43:$P43,TRANSPOSE(AO$4:AO$18))</f>
        <v>0</v>
      </c>
    </row>
    <row r="45" spans="1:41">
      <c r="B45" t="s">
        <v>3</v>
      </c>
      <c r="C45" t="s">
        <v>3</v>
      </c>
      <c r="D45" t="s">
        <v>3</v>
      </c>
      <c r="E45" t="s">
        <v>3</v>
      </c>
      <c r="F45" t="s">
        <v>3</v>
      </c>
      <c r="G45" t="s">
        <v>3</v>
      </c>
      <c r="H45" t="s">
        <v>3</v>
      </c>
      <c r="I45" t="s">
        <v>2</v>
      </c>
      <c r="J45" t="s">
        <v>2</v>
      </c>
      <c r="K45" t="s">
        <v>2</v>
      </c>
      <c r="L45" t="s">
        <v>2</v>
      </c>
      <c r="M45" t="s">
        <v>2</v>
      </c>
      <c r="N45" t="s">
        <v>2</v>
      </c>
      <c r="O45" t="s">
        <v>2</v>
      </c>
      <c r="X45" t="s">
        <v>3</v>
      </c>
      <c r="Y45" t="s">
        <v>3</v>
      </c>
      <c r="Z45" t="s">
        <v>3</v>
      </c>
      <c r="AA45" t="s">
        <v>3</v>
      </c>
      <c r="AB45" t="s">
        <v>3</v>
      </c>
      <c r="AC45" t="s">
        <v>3</v>
      </c>
      <c r="AD45" t="s">
        <v>3</v>
      </c>
      <c r="AE45" t="s">
        <v>2</v>
      </c>
      <c r="AF45" t="s">
        <v>2</v>
      </c>
      <c r="AG45" t="s">
        <v>2</v>
      </c>
      <c r="AH45" t="s">
        <v>2</v>
      </c>
      <c r="AI45" t="s">
        <v>2</v>
      </c>
      <c r="AJ45" t="s">
        <v>2</v>
      </c>
      <c r="AK45" t="s">
        <v>2</v>
      </c>
    </row>
    <row r="46" spans="1:41">
      <c r="A46" t="s">
        <v>30</v>
      </c>
      <c r="B46" t="str">
        <f t="array" ref="B46:H46">TRANSPOSE(Crops)</f>
        <v>Teff</v>
      </c>
      <c r="C46" t="str">
        <v>Sorghum</v>
      </c>
      <c r="D46" t="str">
        <v>Maize</v>
      </c>
      <c r="E46" t="str">
        <v>Lentils</v>
      </c>
      <c r="F46" t="str">
        <v>Wheat</v>
      </c>
      <c r="G46" t="str">
        <v>Vegetables</v>
      </c>
      <c r="H46" t="str">
        <v>CashCrop</v>
      </c>
      <c r="I46" t="str">
        <f t="array" ref="I46:O46">TRANSPOSE(Crops)</f>
        <v>Teff</v>
      </c>
      <c r="J46" t="str">
        <v>Sorghum</v>
      </c>
      <c r="K46" t="str">
        <v>Maize</v>
      </c>
      <c r="L46" t="str">
        <v>Lentils</v>
      </c>
      <c r="M46" t="str">
        <v>Wheat</v>
      </c>
      <c r="N46" t="str">
        <v>Vegetables</v>
      </c>
      <c r="O46" t="str">
        <v>CashCrop</v>
      </c>
      <c r="W46" t="s">
        <v>203</v>
      </c>
      <c r="X46" t="str">
        <f t="array" ref="X46:AD46">TRANSPOSE(Crops)</f>
        <v>Teff</v>
      </c>
      <c r="Y46" t="str">
        <v>Sorghum</v>
      </c>
      <c r="Z46" t="str">
        <v>Maize</v>
      </c>
      <c r="AA46" t="str">
        <v>Lentils</v>
      </c>
      <c r="AB46" t="str">
        <v>Wheat</v>
      </c>
      <c r="AC46" t="str">
        <v>Vegetables</v>
      </c>
      <c r="AD46" t="str">
        <v>CashCrop</v>
      </c>
      <c r="AE46" t="str">
        <f t="array" ref="AE46:AK46">TRANSPOSE(Crops)</f>
        <v>Teff</v>
      </c>
      <c r="AF46" t="str">
        <v>Sorghum</v>
      </c>
      <c r="AG46" t="str">
        <v>Maize</v>
      </c>
      <c r="AH46" t="str">
        <v>Lentils</v>
      </c>
      <c r="AI46" t="str">
        <v>Wheat</v>
      </c>
      <c r="AJ46" t="str">
        <v>Vegetables</v>
      </c>
      <c r="AK46" t="str">
        <v>CashCrop</v>
      </c>
    </row>
    <row r="47" spans="1:41">
      <c r="A47" t="str">
        <f t="array" ref="A47:A61">Adapt</f>
        <v>A1</v>
      </c>
      <c r="B47" s="2">
        <v>0.18614903793722601</v>
      </c>
      <c r="C47" s="2">
        <v>0.17791037101513499</v>
      </c>
      <c r="D47" s="2">
        <v>5.4472072324512396E-3</v>
      </c>
      <c r="E47" s="2">
        <v>0.160685350834222</v>
      </c>
      <c r="F47" s="2">
        <v>2.92756747718463E-2</v>
      </c>
      <c r="G47" s="2">
        <v>0.11189352835817612</v>
      </c>
      <c r="H47" s="2">
        <v>0.11189352835817612</v>
      </c>
      <c r="I47">
        <v>0.5</v>
      </c>
      <c r="J47">
        <v>0.5</v>
      </c>
      <c r="K47">
        <v>0.5</v>
      </c>
      <c r="L47">
        <v>0.5</v>
      </c>
      <c r="M47">
        <v>0.5</v>
      </c>
      <c r="N47">
        <v>0.5</v>
      </c>
      <c r="O47">
        <v>0.5</v>
      </c>
      <c r="W47" t="str">
        <f t="array" ref="W47:W61">Adapt</f>
        <v>A1</v>
      </c>
      <c r="X47" s="2">
        <f>IFERROR(B26/B47,0)</f>
        <v>0</v>
      </c>
      <c r="Y47" s="2">
        <f t="shared" ref="Y47:AE47" si="18">IFERROR(C26/C47,0)</f>
        <v>0</v>
      </c>
      <c r="Z47" s="2">
        <f t="shared" si="18"/>
        <v>0</v>
      </c>
      <c r="AA47" s="2">
        <f t="shared" si="18"/>
        <v>0</v>
      </c>
      <c r="AB47" s="2">
        <f t="shared" si="18"/>
        <v>0</v>
      </c>
      <c r="AC47" s="2">
        <f t="shared" si="18"/>
        <v>0</v>
      </c>
      <c r="AD47" s="2">
        <f t="shared" si="18"/>
        <v>0</v>
      </c>
      <c r="AE47" s="2">
        <f t="shared" si="18"/>
        <v>19.01306821904479</v>
      </c>
      <c r="AF47" s="2">
        <f t="shared" ref="AF47" si="19">IFERROR(J26/J47,0)</f>
        <v>18.164157664435791</v>
      </c>
      <c r="AG47" s="2">
        <f t="shared" ref="AG47" si="20">IFERROR(K26/K47,0)</f>
        <v>29.224601411048912</v>
      </c>
      <c r="AH47" s="2">
        <f t="shared" ref="AH47" si="21">IFERROR(L26/L47,0)</f>
        <v>18.82496238909993</v>
      </c>
      <c r="AI47" s="2">
        <f t="shared" ref="AI47" si="22">IFERROR(M26/M47,0)</f>
        <v>18.987483420444224</v>
      </c>
      <c r="AJ47" s="2">
        <f t="shared" ref="AJ47" si="23">IFERROR(N26/N47,0)</f>
        <v>0</v>
      </c>
      <c r="AK47" s="2">
        <f t="shared" ref="AK47" si="24">IFERROR(O26/O47,0)</f>
        <v>3.2577293693199976</v>
      </c>
    </row>
    <row r="48" spans="1:41">
      <c r="A48" t="str">
        <v>H2</v>
      </c>
      <c r="B48" s="2">
        <v>0.92607615822437805</v>
      </c>
      <c r="C48" s="2">
        <v>0.87963135703974005</v>
      </c>
      <c r="D48" s="2">
        <v>0.69388892415182601</v>
      </c>
      <c r="E48" s="2">
        <v>0.93755634866461801</v>
      </c>
      <c r="F48" s="2">
        <v>0.89356697062900603</v>
      </c>
      <c r="G48" s="2">
        <v>0.8661439517419135</v>
      </c>
      <c r="H48" s="2">
        <v>0.8661439517419135</v>
      </c>
      <c r="I48">
        <v>0.5</v>
      </c>
      <c r="J48">
        <v>0.5</v>
      </c>
      <c r="K48">
        <v>0.5</v>
      </c>
      <c r="L48">
        <v>0.5</v>
      </c>
      <c r="M48">
        <v>0.5</v>
      </c>
      <c r="N48">
        <v>0.5</v>
      </c>
      <c r="O48">
        <v>0.5</v>
      </c>
      <c r="W48" t="str">
        <v>H2</v>
      </c>
      <c r="X48" s="2">
        <f t="shared" ref="X48:X61" si="25">IFERROR(B27/B48,0)</f>
        <v>13.98226935689531</v>
      </c>
      <c r="Y48" s="2">
        <f t="shared" ref="Y48:Y61" si="26">IFERROR(C27/C48,0)</f>
        <v>22.083838470963183</v>
      </c>
      <c r="Z48" s="2">
        <f t="shared" ref="Z48:Z61" si="27">IFERROR(D27/D48,0)</f>
        <v>38.384791542754357</v>
      </c>
      <c r="AA48" s="2">
        <f t="shared" ref="AA48:AA61" si="28">IFERROR(E27/E48,0)</f>
        <v>15.757951725742194</v>
      </c>
      <c r="AB48" s="2">
        <f t="shared" ref="AB48:AB61" si="29">IFERROR(F27/F48,0)</f>
        <v>28.859140181615857</v>
      </c>
      <c r="AC48" s="2">
        <f t="shared" ref="AC48:AC61" si="30">IFERROR(G27/G48,0)</f>
        <v>184.53640105620613</v>
      </c>
      <c r="AD48" s="2">
        <f t="shared" ref="AD48:AD61" si="31">IFERROR(H27/H48,0)</f>
        <v>10.166945513825347</v>
      </c>
      <c r="AE48" s="2">
        <f t="shared" ref="AE48:AE61" si="32">IFERROR(I27/I48,0)</f>
        <v>17.472747411938467</v>
      </c>
      <c r="AF48" s="2">
        <f t="shared" ref="AF48:AF61" si="33">IFERROR(J27/J48,0)</f>
        <v>18.421865645624706</v>
      </c>
      <c r="AG48" s="2">
        <f t="shared" ref="AG48:AG61" si="34">IFERROR(K27/K48,0)</f>
        <v>23.89630526795289</v>
      </c>
      <c r="AH48" s="2">
        <f t="shared" ref="AH48:AH61" si="35">IFERROR(L27/L48,0)</f>
        <v>17.496403103693549</v>
      </c>
      <c r="AI48" s="2">
        <f t="shared" ref="AI48:AI61" si="36">IFERROR(M27/M48,0)</f>
        <v>21.155820150223025</v>
      </c>
      <c r="AJ48" s="2">
        <f t="shared" ref="AJ48:AJ61" si="37">IFERROR(N27/N48,0)</f>
        <v>283.1759603069911</v>
      </c>
      <c r="AK48" s="2">
        <f t="shared" ref="AK48:AK61" si="38">IFERROR(O27/O48,0)</f>
        <v>12.280167654391047</v>
      </c>
    </row>
    <row r="49" spans="1:37">
      <c r="A49" t="str">
        <v>H3</v>
      </c>
      <c r="B49" s="2">
        <v>0.790857270238008</v>
      </c>
      <c r="C49" s="2">
        <v>0.76654706857374599</v>
      </c>
      <c r="D49" s="2">
        <v>0.49983690047959101</v>
      </c>
      <c r="E49" s="2">
        <v>0.78741109585561198</v>
      </c>
      <c r="F49" s="2">
        <v>0.68988988026231401</v>
      </c>
      <c r="G49" s="2">
        <v>0.70690844308185419</v>
      </c>
      <c r="H49" s="2">
        <v>0.70690844308185419</v>
      </c>
      <c r="I49">
        <v>0.5</v>
      </c>
      <c r="J49">
        <v>0.5</v>
      </c>
      <c r="K49">
        <v>0.5</v>
      </c>
      <c r="L49">
        <v>0.5</v>
      </c>
      <c r="M49">
        <v>0.5</v>
      </c>
      <c r="N49">
        <v>0.5</v>
      </c>
      <c r="O49">
        <v>0.5</v>
      </c>
      <c r="W49" t="str">
        <v>H3</v>
      </c>
      <c r="X49" s="2">
        <f t="shared" si="25"/>
        <v>18.635966609756231</v>
      </c>
      <c r="Y49" s="2">
        <f t="shared" si="26"/>
        <v>30.060121660219959</v>
      </c>
      <c r="Z49" s="2">
        <f t="shared" si="27"/>
        <v>65.845708395384463</v>
      </c>
      <c r="AA49" s="2">
        <f t="shared" si="28"/>
        <v>20.419541410306632</v>
      </c>
      <c r="AB49" s="2">
        <f t="shared" si="29"/>
        <v>43.348266421512733</v>
      </c>
      <c r="AC49" s="2">
        <f t="shared" si="30"/>
        <v>144.39997979249716</v>
      </c>
      <c r="AD49" s="2">
        <f t="shared" si="31"/>
        <v>13.261300906259253</v>
      </c>
      <c r="AE49" s="2">
        <f t="shared" si="32"/>
        <v>17.756603091705706</v>
      </c>
      <c r="AF49" s="2">
        <f t="shared" si="33"/>
        <v>18.321551155103389</v>
      </c>
      <c r="AG49" s="2">
        <f t="shared" si="34"/>
        <v>24.40987998828728</v>
      </c>
      <c r="AH49" s="2">
        <f t="shared" si="35"/>
        <v>17.783811502676723</v>
      </c>
      <c r="AI49" s="2">
        <f t="shared" si="36"/>
        <v>19.254625266492681</v>
      </c>
      <c r="AJ49" s="2">
        <f t="shared" si="37"/>
        <v>227.54617847649894</v>
      </c>
      <c r="AK49" s="2">
        <f t="shared" si="38"/>
        <v>11.301759874183912</v>
      </c>
    </row>
    <row r="50" spans="1:37">
      <c r="A50" t="str">
        <v>H4</v>
      </c>
      <c r="B50" s="2">
        <v>0.67483043775946305</v>
      </c>
      <c r="C50" s="2">
        <v>0.65340436824425796</v>
      </c>
      <c r="D50" s="2">
        <v>0.19497882241247599</v>
      </c>
      <c r="E50" s="2">
        <v>0.66509907394740198</v>
      </c>
      <c r="F50" s="2">
        <v>0.52088711298005597</v>
      </c>
      <c r="G50" s="2">
        <v>0.54183996306873095</v>
      </c>
      <c r="H50" s="2">
        <v>0.54183996306873095</v>
      </c>
      <c r="I50">
        <v>0.5</v>
      </c>
      <c r="J50">
        <v>0.5</v>
      </c>
      <c r="K50">
        <v>0.5</v>
      </c>
      <c r="L50">
        <v>0.5</v>
      </c>
      <c r="M50">
        <v>0.5</v>
      </c>
      <c r="N50">
        <v>0.5</v>
      </c>
      <c r="O50">
        <v>0.5</v>
      </c>
      <c r="W50" t="str">
        <v>H4</v>
      </c>
      <c r="X50" s="2">
        <f t="shared" si="25"/>
        <v>22.218165443177828</v>
      </c>
      <c r="Y50" s="2">
        <f t="shared" si="26"/>
        <v>37.817189059514625</v>
      </c>
      <c r="Z50" s="2">
        <f t="shared" si="27"/>
        <v>177.62111986431202</v>
      </c>
      <c r="AA50" s="2">
        <f t="shared" si="28"/>
        <v>28.371147137015459</v>
      </c>
      <c r="AB50" s="2">
        <f t="shared" si="29"/>
        <v>62.573123419062</v>
      </c>
      <c r="AC50" s="2">
        <f t="shared" si="30"/>
        <v>153.35645769791751</v>
      </c>
      <c r="AD50" s="2">
        <f t="shared" si="31"/>
        <v>16.737230054131629</v>
      </c>
      <c r="AE50" s="2">
        <f t="shared" si="32"/>
        <v>18.123948655506748</v>
      </c>
      <c r="AF50" s="2">
        <f t="shared" si="33"/>
        <v>18.255093961261942</v>
      </c>
      <c r="AG50" s="2">
        <f t="shared" si="34"/>
        <v>24.907098252591133</v>
      </c>
      <c r="AH50" s="2">
        <f t="shared" si="35"/>
        <v>18.105851450820897</v>
      </c>
      <c r="AI50" s="2">
        <f t="shared" si="36"/>
        <v>19.085290911136287</v>
      </c>
      <c r="AJ50" s="2">
        <f t="shared" si="37"/>
        <v>166.02468704997557</v>
      </c>
      <c r="AK50" s="2">
        <f t="shared" si="38"/>
        <v>10.087222340528363</v>
      </c>
    </row>
    <row r="51" spans="1:37">
      <c r="A51" t="str">
        <v>H5</v>
      </c>
      <c r="B51" s="2">
        <v>0.57361161506351699</v>
      </c>
      <c r="C51" s="2">
        <v>0.592102442533611</v>
      </c>
      <c r="D51" s="2">
        <v>0.118087364172504</v>
      </c>
      <c r="E51" s="2">
        <v>0.56980205089492297</v>
      </c>
      <c r="F51" s="2">
        <v>0.39366198525608798</v>
      </c>
      <c r="G51" s="2">
        <v>0.44945309158412855</v>
      </c>
      <c r="H51" s="2">
        <v>0.44945309158412855</v>
      </c>
      <c r="I51">
        <v>0.5</v>
      </c>
      <c r="J51">
        <v>0.5</v>
      </c>
      <c r="K51">
        <v>0.5</v>
      </c>
      <c r="L51">
        <v>0.5</v>
      </c>
      <c r="M51">
        <v>0.5</v>
      </c>
      <c r="N51">
        <v>0.5</v>
      </c>
      <c r="O51">
        <v>0.5</v>
      </c>
      <c r="W51" t="str">
        <v>H5</v>
      </c>
      <c r="X51" s="2">
        <f t="shared" si="25"/>
        <v>24.834452151681479</v>
      </c>
      <c r="Y51" s="2">
        <f t="shared" si="26"/>
        <v>37.338986219580271</v>
      </c>
      <c r="Z51" s="2">
        <f t="shared" si="27"/>
        <v>273.69397778391209</v>
      </c>
      <c r="AA51" s="2">
        <f t="shared" si="28"/>
        <v>29.196319502318534</v>
      </c>
      <c r="AB51" s="2">
        <f t="shared" si="29"/>
        <v>74.711313526477355</v>
      </c>
      <c r="AC51" s="2">
        <f t="shared" si="30"/>
        <v>157.84311501007844</v>
      </c>
      <c r="AD51" s="2">
        <f t="shared" si="31"/>
        <v>18.983212613602308</v>
      </c>
      <c r="AE51" s="2">
        <f t="shared" si="32"/>
        <v>20.08351097566247</v>
      </c>
      <c r="AF51" s="2">
        <f t="shared" si="33"/>
        <v>18.203130220414192</v>
      </c>
      <c r="AG51" s="2">
        <f t="shared" si="34"/>
        <v>26.058593173410092</v>
      </c>
      <c r="AH51" s="2">
        <f t="shared" si="35"/>
        <v>19.193803230164555</v>
      </c>
      <c r="AI51" s="2">
        <f t="shared" si="36"/>
        <v>18.948878303785765</v>
      </c>
      <c r="AJ51" s="2">
        <f t="shared" si="37"/>
        <v>54.023275758142077</v>
      </c>
      <c r="AK51" s="2">
        <f t="shared" si="38"/>
        <v>15.730763491906504</v>
      </c>
    </row>
    <row r="52" spans="1:37">
      <c r="A52" t="str">
        <v>M1</v>
      </c>
      <c r="B52" s="2">
        <v>0.60852617739341297</v>
      </c>
      <c r="C52" s="2">
        <v>0.59068950026099198</v>
      </c>
      <c r="D52" s="2">
        <v>0.33345864146585202</v>
      </c>
      <c r="E52" s="2">
        <v>0.584232313562557</v>
      </c>
      <c r="F52" s="2">
        <v>0.44284670120841901</v>
      </c>
      <c r="G52" s="2">
        <v>0.51195066677824663</v>
      </c>
      <c r="H52" s="2">
        <v>0.51195066677824663</v>
      </c>
      <c r="I52">
        <v>0.5</v>
      </c>
      <c r="J52">
        <v>0.5</v>
      </c>
      <c r="K52">
        <v>0.5</v>
      </c>
      <c r="L52">
        <v>0.5</v>
      </c>
      <c r="M52">
        <v>0.5</v>
      </c>
      <c r="N52">
        <v>0.5</v>
      </c>
      <c r="O52">
        <v>0.5</v>
      </c>
      <c r="W52" t="str">
        <v>M1</v>
      </c>
      <c r="X52" s="2">
        <f t="shared" si="25"/>
        <v>26.45601939822436</v>
      </c>
      <c r="Y52" s="2">
        <f t="shared" si="26"/>
        <v>38.588812362263283</v>
      </c>
      <c r="Z52" s="2">
        <f t="shared" si="27"/>
        <v>101.81471271033239</v>
      </c>
      <c r="AA52" s="2">
        <f t="shared" si="28"/>
        <v>29.324426185476707</v>
      </c>
      <c r="AB52" s="2">
        <f t="shared" si="29"/>
        <v>58.515195715167437</v>
      </c>
      <c r="AC52" s="2">
        <f t="shared" si="30"/>
        <v>150.71428398149109</v>
      </c>
      <c r="AD52" s="2">
        <f t="shared" si="31"/>
        <v>15.888465244756222</v>
      </c>
      <c r="AE52" s="2">
        <f t="shared" si="32"/>
        <v>19.259667008421612</v>
      </c>
      <c r="AF52" s="2">
        <f t="shared" si="33"/>
        <v>18.238523704893119</v>
      </c>
      <c r="AG52" s="2">
        <f t="shared" si="34"/>
        <v>25.207688079995002</v>
      </c>
      <c r="AH52" s="2">
        <f t="shared" si="35"/>
        <v>18.702521786741492</v>
      </c>
      <c r="AI52" s="2">
        <f t="shared" si="36"/>
        <v>18.998926217244524</v>
      </c>
      <c r="AJ52" s="2">
        <f t="shared" si="37"/>
        <v>135.61519813689441</v>
      </c>
      <c r="AK52" s="2">
        <f t="shared" si="38"/>
        <v>14.6348947691316</v>
      </c>
    </row>
    <row r="53" spans="1:37">
      <c r="A53" t="str">
        <v>M3</v>
      </c>
      <c r="B53" s="2">
        <v>0.71552874900267405</v>
      </c>
      <c r="C53" s="2">
        <v>0.704422893924185</v>
      </c>
      <c r="D53" s="2">
        <v>0.42363466475878703</v>
      </c>
      <c r="E53" s="2">
        <v>0.683543254897236</v>
      </c>
      <c r="F53" s="2">
        <v>0.54260785428611402</v>
      </c>
      <c r="G53" s="2">
        <v>0.61394748337379923</v>
      </c>
      <c r="H53" s="2">
        <v>0.61394748337379923</v>
      </c>
      <c r="I53">
        <v>0.5</v>
      </c>
      <c r="J53">
        <v>0.5</v>
      </c>
      <c r="K53">
        <v>0.5</v>
      </c>
      <c r="L53">
        <v>0.5</v>
      </c>
      <c r="M53">
        <v>0.5</v>
      </c>
      <c r="N53">
        <v>0.5</v>
      </c>
      <c r="O53">
        <v>0.5</v>
      </c>
      <c r="W53" t="str">
        <v>M3</v>
      </c>
      <c r="X53" s="2">
        <f t="shared" si="25"/>
        <v>25.061908192986351</v>
      </c>
      <c r="Y53" s="2">
        <f t="shared" si="26"/>
        <v>30.484314836840966</v>
      </c>
      <c r="Z53" s="2">
        <f t="shared" si="27"/>
        <v>81.724728687289954</v>
      </c>
      <c r="AA53" s="2">
        <f t="shared" si="28"/>
        <v>25.172502629588902</v>
      </c>
      <c r="AB53" s="2">
        <f t="shared" si="29"/>
        <v>44.779419212549293</v>
      </c>
      <c r="AC53" s="2">
        <f t="shared" si="30"/>
        <v>134.34935500820217</v>
      </c>
      <c r="AD53" s="2">
        <f t="shared" si="31"/>
        <v>15.782156177179917</v>
      </c>
      <c r="AE53" s="2">
        <f t="shared" si="32"/>
        <v>20.275738348691331</v>
      </c>
      <c r="AF53" s="2">
        <f t="shared" si="33"/>
        <v>18.235152095158906</v>
      </c>
      <c r="AG53" s="2">
        <f t="shared" si="34"/>
        <v>25.746841774790806</v>
      </c>
      <c r="AH53" s="2">
        <f t="shared" si="35"/>
        <v>19.195678326072606</v>
      </c>
      <c r="AI53" s="2">
        <f t="shared" si="36"/>
        <v>18.928918855885076</v>
      </c>
      <c r="AJ53" s="2">
        <f t="shared" si="37"/>
        <v>116.94550519241476</v>
      </c>
      <c r="AK53" s="2">
        <f t="shared" si="38"/>
        <v>19.041506411070536</v>
      </c>
    </row>
    <row r="54" spans="1:37">
      <c r="A54" t="str">
        <v>M5</v>
      </c>
      <c r="B54" s="2">
        <v>0.65673346323060799</v>
      </c>
      <c r="C54" s="2">
        <v>0.66892835650981397</v>
      </c>
      <c r="D54" s="2">
        <v>0.41452272438478399</v>
      </c>
      <c r="E54" s="2">
        <v>0.64264847889827603</v>
      </c>
      <c r="F54" s="2">
        <v>0.485424180172849</v>
      </c>
      <c r="G54" s="2">
        <v>0.57365144063926621</v>
      </c>
      <c r="H54" s="2">
        <v>0.57365144063926621</v>
      </c>
      <c r="I54">
        <v>0.5</v>
      </c>
      <c r="J54">
        <v>0.5</v>
      </c>
      <c r="K54">
        <v>0.5</v>
      </c>
      <c r="L54">
        <v>0.5</v>
      </c>
      <c r="M54">
        <v>0.5</v>
      </c>
      <c r="N54">
        <v>0.5</v>
      </c>
      <c r="O54">
        <v>0.5</v>
      </c>
      <c r="W54" t="str">
        <v>M5</v>
      </c>
      <c r="X54" s="2">
        <f t="shared" si="25"/>
        <v>26.454007040417228</v>
      </c>
      <c r="Y54" s="2">
        <f t="shared" si="26"/>
        <v>29.575025476310877</v>
      </c>
      <c r="Z54" s="2">
        <f t="shared" si="27"/>
        <v>76.948800489540616</v>
      </c>
      <c r="AA54" s="2">
        <f t="shared" si="28"/>
        <v>25.823447740617329</v>
      </c>
      <c r="AB54" s="2">
        <f t="shared" si="29"/>
        <v>47.145499980668056</v>
      </c>
      <c r="AC54" s="2">
        <f t="shared" si="30"/>
        <v>157.1351540400961</v>
      </c>
      <c r="AD54" s="2">
        <f t="shared" si="31"/>
        <v>15.449366326189494</v>
      </c>
      <c r="AE54" s="2">
        <f t="shared" si="32"/>
        <v>21.387185490114199</v>
      </c>
      <c r="AF54" s="2">
        <f t="shared" si="33"/>
        <v>18.251524448395266</v>
      </c>
      <c r="AG54" s="2">
        <f t="shared" si="34"/>
        <v>28.981293745540707</v>
      </c>
      <c r="AH54" s="2">
        <f t="shared" si="35"/>
        <v>19.703478690571323</v>
      </c>
      <c r="AI54" s="2">
        <f t="shared" si="36"/>
        <v>18.824075322643889</v>
      </c>
      <c r="AJ54" s="2">
        <f t="shared" si="37"/>
        <v>139.05716530584385</v>
      </c>
      <c r="AK54" s="2">
        <f t="shared" si="38"/>
        <v>23.591215761309158</v>
      </c>
    </row>
    <row r="55" spans="1:37">
      <c r="A55" t="str">
        <v>SA1</v>
      </c>
      <c r="B55" s="2">
        <v>0.69438594906490303</v>
      </c>
      <c r="C55" s="2">
        <v>0.65602772552438104</v>
      </c>
      <c r="D55" s="2">
        <v>0.36111498408857301</v>
      </c>
      <c r="E55" s="2">
        <v>0.71174761154864596</v>
      </c>
      <c r="F55" s="2">
        <v>0.62185879368390096</v>
      </c>
      <c r="G55" s="2">
        <v>0.60902701278208082</v>
      </c>
      <c r="H55" s="2">
        <v>0.60902701278208082</v>
      </c>
      <c r="I55">
        <v>0.5</v>
      </c>
      <c r="J55">
        <v>0.5</v>
      </c>
      <c r="K55">
        <v>0.5</v>
      </c>
      <c r="L55">
        <v>0.5</v>
      </c>
      <c r="M55">
        <v>0.5</v>
      </c>
      <c r="N55">
        <v>0.5</v>
      </c>
      <c r="O55">
        <v>0.5</v>
      </c>
      <c r="W55" t="str">
        <v>SA1</v>
      </c>
      <c r="X55" s="2">
        <f t="shared" si="25"/>
        <v>20.444719196700781</v>
      </c>
      <c r="Y55" s="2">
        <f t="shared" si="26"/>
        <v>44.121681449937626</v>
      </c>
      <c r="Z55" s="2">
        <f t="shared" si="27"/>
        <v>71.698111311755511</v>
      </c>
      <c r="AA55" s="2">
        <f t="shared" si="28"/>
        <v>20.320640223861247</v>
      </c>
      <c r="AB55" s="2">
        <f t="shared" si="29"/>
        <v>43.488225567839407</v>
      </c>
      <c r="AC55" s="2">
        <f t="shared" si="30"/>
        <v>184.91096139879016</v>
      </c>
      <c r="AD55" s="2">
        <f t="shared" si="31"/>
        <v>9.8544648628714651</v>
      </c>
      <c r="AE55" s="2">
        <f t="shared" si="32"/>
        <v>18.164564184598831</v>
      </c>
      <c r="AF55" s="2">
        <f t="shared" si="33"/>
        <v>18.310198637390762</v>
      </c>
      <c r="AG55" s="2">
        <f t="shared" si="34"/>
        <v>24.478380807344081</v>
      </c>
      <c r="AH55" s="2">
        <f t="shared" si="35"/>
        <v>17.827784396500558</v>
      </c>
      <c r="AI55" s="2">
        <f t="shared" si="36"/>
        <v>19.214678323379136</v>
      </c>
      <c r="AJ55" s="2">
        <f t="shared" si="37"/>
        <v>218.9713037724546</v>
      </c>
      <c r="AK55" s="2">
        <f t="shared" si="38"/>
        <v>11.179858861189347</v>
      </c>
    </row>
    <row r="56" spans="1:37">
      <c r="A56" t="str">
        <v>SA3</v>
      </c>
      <c r="B56" s="2">
        <v>0.51513451029802404</v>
      </c>
      <c r="C56" s="2">
        <v>0.55423927635132497</v>
      </c>
      <c r="D56" s="2">
        <v>0.24991379301348199</v>
      </c>
      <c r="E56" s="2">
        <v>0.50111873512189697</v>
      </c>
      <c r="F56" s="2">
        <v>0.32645851528980302</v>
      </c>
      <c r="G56" s="2">
        <v>0.42937296601490627</v>
      </c>
      <c r="H56" s="2">
        <v>0.42937296601490621</v>
      </c>
      <c r="I56">
        <v>0.5</v>
      </c>
      <c r="J56">
        <v>0.5</v>
      </c>
      <c r="K56">
        <v>0.5</v>
      </c>
      <c r="L56">
        <v>0.5</v>
      </c>
      <c r="M56">
        <v>0.5</v>
      </c>
      <c r="N56">
        <v>0.5</v>
      </c>
      <c r="O56">
        <v>0.5</v>
      </c>
      <c r="W56" t="str">
        <v>SA3</v>
      </c>
      <c r="X56" s="2">
        <f t="shared" si="25"/>
        <v>27.598168863216486</v>
      </c>
      <c r="Y56" s="2">
        <f t="shared" si="26"/>
        <v>35.177150406615645</v>
      </c>
      <c r="Z56" s="2">
        <f t="shared" si="27"/>
        <v>108.49142007547951</v>
      </c>
      <c r="AA56" s="2">
        <f t="shared" si="28"/>
        <v>30.780524282342576</v>
      </c>
      <c r="AB56" s="2">
        <f t="shared" si="29"/>
        <v>69.468679404494111</v>
      </c>
      <c r="AC56" s="2">
        <f t="shared" si="30"/>
        <v>194.43351525282404</v>
      </c>
      <c r="AD56" s="2">
        <f t="shared" si="31"/>
        <v>17.805401361921696</v>
      </c>
      <c r="AE56" s="2">
        <f t="shared" si="32"/>
        <v>20.581891680510203</v>
      </c>
      <c r="AF56" s="2">
        <f t="shared" si="33"/>
        <v>18.24039674568181</v>
      </c>
      <c r="AG56" s="2">
        <f t="shared" si="34"/>
        <v>25.839965254376686</v>
      </c>
      <c r="AH56" s="2">
        <f t="shared" si="35"/>
        <v>19.269198610112795</v>
      </c>
      <c r="AI56" s="2">
        <f t="shared" si="36"/>
        <v>18.913884234476019</v>
      </c>
      <c r="AJ56" s="2">
        <f t="shared" si="37"/>
        <v>125.079543992814</v>
      </c>
      <c r="AK56" s="2">
        <f t="shared" si="38"/>
        <v>20.010389436683514</v>
      </c>
    </row>
    <row r="57" spans="1:37">
      <c r="A57" t="str">
        <v>SH1</v>
      </c>
      <c r="B57" s="2">
        <v>0.93157950879231399</v>
      </c>
      <c r="C57" s="2">
        <v>0.91062071142326295</v>
      </c>
      <c r="D57" s="2">
        <v>0.78654163379205999</v>
      </c>
      <c r="E57" s="2">
        <v>0.93067727381444498</v>
      </c>
      <c r="F57" s="2">
        <v>0.88272546543697505</v>
      </c>
      <c r="G57" s="2">
        <v>0.88842891865181139</v>
      </c>
      <c r="H57" s="2">
        <v>0.88842891865181139</v>
      </c>
      <c r="I57">
        <v>0.5</v>
      </c>
      <c r="J57">
        <v>0.5</v>
      </c>
      <c r="K57">
        <v>0.5</v>
      </c>
      <c r="L57">
        <v>0.5</v>
      </c>
      <c r="M57">
        <v>0.5</v>
      </c>
      <c r="N57">
        <v>0.5</v>
      </c>
      <c r="O57">
        <v>0.5</v>
      </c>
      <c r="W57" t="str">
        <v>SH1</v>
      </c>
      <c r="X57" s="2">
        <f t="shared" si="25"/>
        <v>16.278487626986855</v>
      </c>
      <c r="Y57" s="2">
        <f t="shared" si="26"/>
        <v>26.807716082121871</v>
      </c>
      <c r="Z57" s="2">
        <f t="shared" si="27"/>
        <v>47.608792810211888</v>
      </c>
      <c r="AA57" s="2">
        <f t="shared" si="28"/>
        <v>17.112747477689116</v>
      </c>
      <c r="AB57" s="2">
        <f t="shared" si="29"/>
        <v>29.832481965663476</v>
      </c>
      <c r="AC57" s="2">
        <f t="shared" si="30"/>
        <v>162.52730285543132</v>
      </c>
      <c r="AD57" s="2">
        <f t="shared" si="31"/>
        <v>8.3073906597429001</v>
      </c>
      <c r="AE57" s="2">
        <f t="shared" si="32"/>
        <v>18.044427662623526</v>
      </c>
      <c r="AF57" s="2">
        <f t="shared" si="33"/>
        <v>18.289009995363472</v>
      </c>
      <c r="AG57" s="2">
        <f t="shared" si="34"/>
        <v>24.747945271837782</v>
      </c>
      <c r="AH57" s="2">
        <f t="shared" si="35"/>
        <v>18.075163838982569</v>
      </c>
      <c r="AI57" s="2">
        <f t="shared" si="36"/>
        <v>19.143529080542557</v>
      </c>
      <c r="AJ57" s="2">
        <f t="shared" si="37"/>
        <v>200.97155873805136</v>
      </c>
      <c r="AK57" s="2">
        <f t="shared" si="38"/>
        <v>9.3175327783686495</v>
      </c>
    </row>
    <row r="58" spans="1:37">
      <c r="A58" t="str">
        <v>SH3</v>
      </c>
      <c r="B58" s="2">
        <v>0.88903749606413296</v>
      </c>
      <c r="C58" s="2">
        <v>0.87751305505603405</v>
      </c>
      <c r="D58" s="2">
        <v>0.72098471118339502</v>
      </c>
      <c r="E58" s="2">
        <v>0.88122333823997701</v>
      </c>
      <c r="F58" s="2">
        <v>0.81930886670883896</v>
      </c>
      <c r="G58" s="2">
        <v>0.83761349345047553</v>
      </c>
      <c r="H58" s="2">
        <v>0.83761349345047542</v>
      </c>
      <c r="I58">
        <v>0.5</v>
      </c>
      <c r="J58">
        <v>0.5</v>
      </c>
      <c r="K58">
        <v>0.5</v>
      </c>
      <c r="L58">
        <v>0.5</v>
      </c>
      <c r="M58">
        <v>0.5</v>
      </c>
      <c r="N58">
        <v>0.5</v>
      </c>
      <c r="O58">
        <v>0.5</v>
      </c>
      <c r="W58" t="str">
        <v>SH3</v>
      </c>
      <c r="X58" s="2">
        <f t="shared" si="25"/>
        <v>18.001186753238866</v>
      </c>
      <c r="Y58" s="2">
        <f t="shared" si="26"/>
        <v>25.911089670856231</v>
      </c>
      <c r="Z58" s="2">
        <f t="shared" si="27"/>
        <v>50.439057595447288</v>
      </c>
      <c r="AA58" s="2">
        <f t="shared" si="28"/>
        <v>18.975509751759578</v>
      </c>
      <c r="AB58" s="2">
        <f t="shared" si="29"/>
        <v>33.321140785311172</v>
      </c>
      <c r="AC58" s="2">
        <f t="shared" si="30"/>
        <v>143.65233295159828</v>
      </c>
      <c r="AD58" s="2">
        <f t="shared" si="31"/>
        <v>9.356611505157403</v>
      </c>
      <c r="AE58" s="2">
        <f t="shared" si="32"/>
        <v>18.153891672875719</v>
      </c>
      <c r="AF58" s="2">
        <f t="shared" si="33"/>
        <v>18.270036317332668</v>
      </c>
      <c r="AG58" s="2">
        <f t="shared" si="34"/>
        <v>24.773292788354379</v>
      </c>
      <c r="AH58" s="2">
        <f t="shared" si="35"/>
        <v>18.086998588593502</v>
      </c>
      <c r="AI58" s="2">
        <f t="shared" si="36"/>
        <v>19.102450375347107</v>
      </c>
      <c r="AJ58" s="2">
        <f t="shared" si="37"/>
        <v>182.53312686492993</v>
      </c>
      <c r="AK58" s="2">
        <f t="shared" si="38"/>
        <v>11.228432361616834</v>
      </c>
    </row>
    <row r="59" spans="1:37">
      <c r="A59" t="str">
        <v>SM2</v>
      </c>
      <c r="B59" s="2">
        <v>0.305382642344532</v>
      </c>
      <c r="C59" s="2">
        <v>0.27380441657849502</v>
      </c>
      <c r="D59" s="2">
        <v>8.6358133164734403E-3</v>
      </c>
      <c r="E59" s="2">
        <v>0.25554986401883001</v>
      </c>
      <c r="F59" s="2">
        <v>6.0036139721452102E-2</v>
      </c>
      <c r="G59" s="2">
        <v>0.18068177519595655</v>
      </c>
      <c r="H59" s="2">
        <v>0.18068177519595655</v>
      </c>
      <c r="I59">
        <v>0.5</v>
      </c>
      <c r="J59">
        <v>0.5</v>
      </c>
      <c r="K59">
        <v>0.5</v>
      </c>
      <c r="L59">
        <v>0.5</v>
      </c>
      <c r="M59">
        <v>0.5</v>
      </c>
      <c r="N59">
        <v>0.5</v>
      </c>
      <c r="O59">
        <v>0.5</v>
      </c>
      <c r="W59" t="str">
        <v>SM2</v>
      </c>
      <c r="X59" s="2">
        <f t="shared" si="25"/>
        <v>44.236758463666838</v>
      </c>
      <c r="Y59" s="2">
        <f t="shared" si="26"/>
        <v>79.726494795600914</v>
      </c>
      <c r="Z59" s="2">
        <f t="shared" si="27"/>
        <v>2998.8658261376363</v>
      </c>
      <c r="AA59" s="2">
        <f t="shared" si="28"/>
        <v>64.235848957582419</v>
      </c>
      <c r="AB59" s="2">
        <f t="shared" si="29"/>
        <v>450.89726234859421</v>
      </c>
      <c r="AC59" s="2">
        <f t="shared" si="30"/>
        <v>1074.5031868552257</v>
      </c>
      <c r="AD59" s="2">
        <f t="shared" si="31"/>
        <v>44.39278398095589</v>
      </c>
      <c r="AE59" s="2">
        <f t="shared" si="32"/>
        <v>19.016159008751526</v>
      </c>
      <c r="AF59" s="2">
        <f t="shared" si="33"/>
        <v>18.164157664435788</v>
      </c>
      <c r="AG59" s="2">
        <f t="shared" si="34"/>
        <v>25.901289579002039</v>
      </c>
      <c r="AH59" s="2">
        <f t="shared" si="35"/>
        <v>18.82496238909993</v>
      </c>
      <c r="AI59" s="2">
        <f t="shared" si="36"/>
        <v>18.987483420444224</v>
      </c>
      <c r="AJ59" s="2">
        <f t="shared" si="37"/>
        <v>0</v>
      </c>
      <c r="AK59" s="2">
        <f t="shared" si="38"/>
        <v>3.2577293693199985</v>
      </c>
    </row>
    <row r="60" spans="1:37">
      <c r="A60" t="str">
        <v>SM2N</v>
      </c>
      <c r="B60" s="2">
        <v>0.28700874998776099</v>
      </c>
      <c r="C60" s="2">
        <v>0.33822670619724898</v>
      </c>
      <c r="D60" s="2">
        <v>4.9596940108719803E-2</v>
      </c>
      <c r="E60" s="2">
        <v>0.28034260304213698</v>
      </c>
      <c r="F60" s="2">
        <v>8.8751831576456705E-2</v>
      </c>
      <c r="G60" s="2">
        <v>0.20878536618246471</v>
      </c>
      <c r="H60" s="2">
        <v>0.20878536618246471</v>
      </c>
      <c r="I60">
        <v>0.5</v>
      </c>
      <c r="J60">
        <v>0.5</v>
      </c>
      <c r="K60">
        <v>0.5</v>
      </c>
      <c r="L60">
        <v>0.5</v>
      </c>
      <c r="M60">
        <v>0.5</v>
      </c>
      <c r="N60">
        <v>0.5</v>
      </c>
      <c r="O60">
        <v>0.5</v>
      </c>
      <c r="W60" t="str">
        <v>SM2N</v>
      </c>
      <c r="X60" s="2">
        <f t="shared" si="25"/>
        <v>47.248251779809237</v>
      </c>
      <c r="Y60" s="2">
        <f t="shared" si="26"/>
        <v>63.653373587066014</v>
      </c>
      <c r="Z60" s="2">
        <f t="shared" si="27"/>
        <v>508.65632794082325</v>
      </c>
      <c r="AA60" s="2">
        <f t="shared" si="28"/>
        <v>50.623352636437772</v>
      </c>
      <c r="AB60" s="2">
        <f t="shared" si="29"/>
        <v>224.33063798170667</v>
      </c>
      <c r="AC60" s="2">
        <f t="shared" si="30"/>
        <v>247.87861770398032</v>
      </c>
      <c r="AD60" s="2">
        <f t="shared" si="31"/>
        <v>35.634061169557128</v>
      </c>
      <c r="AE60" s="2">
        <f t="shared" si="32"/>
        <v>21.282859098759598</v>
      </c>
      <c r="AF60" s="2">
        <f t="shared" si="33"/>
        <v>18.251524448395262</v>
      </c>
      <c r="AG60" s="2">
        <f t="shared" si="34"/>
        <v>30.319220452982208</v>
      </c>
      <c r="AH60" s="2">
        <f t="shared" si="35"/>
        <v>19.703725509702743</v>
      </c>
      <c r="AI60" s="2">
        <f t="shared" si="36"/>
        <v>18.824075322643889</v>
      </c>
      <c r="AJ60" s="2">
        <f t="shared" si="37"/>
        <v>139.05586721935427</v>
      </c>
      <c r="AK60" s="2">
        <f t="shared" si="38"/>
        <v>23.591215761309165</v>
      </c>
    </row>
    <row r="61" spans="1:37">
      <c r="A61" t="str">
        <v>External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>
        <v>0.5</v>
      </c>
      <c r="J61">
        <v>0.5</v>
      </c>
      <c r="K61">
        <v>0.5</v>
      </c>
      <c r="L61">
        <v>0.5</v>
      </c>
      <c r="M61">
        <v>0.5</v>
      </c>
      <c r="N61">
        <v>0.5</v>
      </c>
      <c r="O61">
        <v>0.5</v>
      </c>
      <c r="W61" t="str">
        <v>External</v>
      </c>
      <c r="X61" s="2">
        <f t="shared" si="25"/>
        <v>0</v>
      </c>
      <c r="Y61" s="2">
        <f t="shared" si="26"/>
        <v>0</v>
      </c>
      <c r="Z61" s="2">
        <f t="shared" si="27"/>
        <v>0</v>
      </c>
      <c r="AA61" s="2">
        <f t="shared" si="28"/>
        <v>0</v>
      </c>
      <c r="AB61" s="2">
        <f t="shared" si="29"/>
        <v>0</v>
      </c>
      <c r="AC61" s="2">
        <f t="shared" si="30"/>
        <v>0</v>
      </c>
      <c r="AD61" s="2">
        <f t="shared" si="31"/>
        <v>0</v>
      </c>
      <c r="AE61" s="2">
        <f t="shared" si="32"/>
        <v>0</v>
      </c>
      <c r="AF61" s="2">
        <f t="shared" si="33"/>
        <v>0</v>
      </c>
      <c r="AG61" s="2">
        <f t="shared" si="34"/>
        <v>0</v>
      </c>
      <c r="AH61" s="2">
        <f t="shared" si="35"/>
        <v>0</v>
      </c>
      <c r="AI61" s="2">
        <f t="shared" si="36"/>
        <v>0</v>
      </c>
      <c r="AJ61" s="2">
        <f t="shared" si="37"/>
        <v>0</v>
      </c>
      <c r="AK61" s="2">
        <f t="shared" si="38"/>
        <v>0</v>
      </c>
    </row>
    <row r="69" spans="1:37">
      <c r="A69" t="s">
        <v>219</v>
      </c>
      <c r="B69" t="s">
        <v>16</v>
      </c>
      <c r="C69" t="s">
        <v>20</v>
      </c>
      <c r="D69" t="s">
        <v>17</v>
      </c>
      <c r="E69" t="s">
        <v>24</v>
      </c>
      <c r="F69" t="s">
        <v>184</v>
      </c>
      <c r="G69" t="s">
        <v>21</v>
      </c>
      <c r="H69" t="s">
        <v>204</v>
      </c>
      <c r="I69" t="s">
        <v>16</v>
      </c>
      <c r="J69" t="s">
        <v>20</v>
      </c>
      <c r="K69" t="s">
        <v>17</v>
      </c>
      <c r="L69" t="s">
        <v>24</v>
      </c>
      <c r="M69" t="s">
        <v>184</v>
      </c>
      <c r="N69" t="s">
        <v>21</v>
      </c>
      <c r="O69" t="s">
        <v>204</v>
      </c>
      <c r="W69" t="s">
        <v>220</v>
      </c>
      <c r="X69" t="s">
        <v>16</v>
      </c>
      <c r="Y69" t="s">
        <v>20</v>
      </c>
      <c r="Z69" t="s">
        <v>17</v>
      </c>
      <c r="AA69" t="s">
        <v>24</v>
      </c>
      <c r="AB69" t="s">
        <v>184</v>
      </c>
      <c r="AC69" t="s">
        <v>21</v>
      </c>
      <c r="AD69" t="s">
        <v>204</v>
      </c>
      <c r="AE69" t="s">
        <v>16</v>
      </c>
      <c r="AF69" t="s">
        <v>20</v>
      </c>
      <c r="AG69" t="s">
        <v>17</v>
      </c>
      <c r="AH69" t="s">
        <v>24</v>
      </c>
      <c r="AI69" t="s">
        <v>184</v>
      </c>
      <c r="AJ69" t="s">
        <v>21</v>
      </c>
      <c r="AK69" t="s">
        <v>204</v>
      </c>
    </row>
    <row r="70" spans="1:37">
      <c r="A70" t="s">
        <v>218</v>
      </c>
      <c r="B70" t="s">
        <v>3</v>
      </c>
      <c r="C70" t="s">
        <v>3</v>
      </c>
      <c r="D70" t="s">
        <v>3</v>
      </c>
      <c r="E70" t="s">
        <v>3</v>
      </c>
      <c r="F70" t="s">
        <v>3</v>
      </c>
      <c r="G70" t="s">
        <v>3</v>
      </c>
      <c r="H70" t="s">
        <v>3</v>
      </c>
      <c r="I70" t="s">
        <v>2</v>
      </c>
      <c r="J70" t="s">
        <v>2</v>
      </c>
      <c r="K70" t="s">
        <v>2</v>
      </c>
      <c r="L70" t="s">
        <v>2</v>
      </c>
      <c r="M70" t="s">
        <v>2</v>
      </c>
      <c r="N70" t="s">
        <v>2</v>
      </c>
      <c r="O70" t="s">
        <v>2</v>
      </c>
      <c r="W70" t="s">
        <v>218</v>
      </c>
      <c r="X70" t="s">
        <v>3</v>
      </c>
      <c r="Y70" t="s">
        <v>3</v>
      </c>
      <c r="Z70" t="s">
        <v>3</v>
      </c>
      <c r="AA70" t="s">
        <v>3</v>
      </c>
      <c r="AB70" t="s">
        <v>3</v>
      </c>
      <c r="AC70" t="s">
        <v>3</v>
      </c>
      <c r="AD70" t="s">
        <v>3</v>
      </c>
      <c r="AE70" t="s">
        <v>2</v>
      </c>
      <c r="AF70" t="s">
        <v>2</v>
      </c>
      <c r="AG70" t="s">
        <v>2</v>
      </c>
      <c r="AH70" t="s">
        <v>2</v>
      </c>
      <c r="AI70" t="s">
        <v>2</v>
      </c>
      <c r="AJ70" t="s">
        <v>2</v>
      </c>
      <c r="AK70" t="s">
        <v>2</v>
      </c>
    </row>
    <row r="71" spans="1:37">
      <c r="A71" t="s">
        <v>134</v>
      </c>
      <c r="B71" s="3">
        <f>TargetConsumption!B47*TargetProduction!B26</f>
        <v>0</v>
      </c>
      <c r="C71" s="3">
        <f>TargetConsumption!C47*TargetProduction!C26</f>
        <v>0</v>
      </c>
      <c r="D71" s="3">
        <f>TargetConsumption!D47*TargetProduction!D26</f>
        <v>0</v>
      </c>
      <c r="E71" s="3">
        <f>TargetConsumption!E47*TargetProduction!E26</f>
        <v>0</v>
      </c>
      <c r="F71" s="3">
        <f>TargetConsumption!F47*TargetProduction!F26</f>
        <v>0</v>
      </c>
      <c r="G71" s="3">
        <f>TargetConsumption!G47*TargetProduction!G26</f>
        <v>0</v>
      </c>
      <c r="H71" s="3">
        <f>TargetConsumption!H47*TargetProduction!H26</f>
        <v>0</v>
      </c>
      <c r="I71" s="45">
        <f>MAX(TargetConsumption!K47*TargetProduction!I26,B71)</f>
        <v>6824.1070682854943</v>
      </c>
      <c r="J71" s="45">
        <f>MAX(TargetConsumption!L47*TargetProduction!J26,C71)</f>
        <v>5494.6576934918266</v>
      </c>
      <c r="K71" s="45">
        <f>MAX(TargetConsumption!M47*TargetProduction!K26,D71)</f>
        <v>5460.1296969642963</v>
      </c>
      <c r="L71" s="45">
        <f>MAX(TargetConsumption!N47*TargetProduction!L26,E71)</f>
        <v>6193.4126260138773</v>
      </c>
      <c r="M71" s="45">
        <f>MAX(TargetConsumption!O47*TargetProduction!M26,F71)</f>
        <v>4946.2394310257205</v>
      </c>
      <c r="N71" s="45">
        <f>MAX(TargetConsumption!P47*TargetProduction!N26,G71)</f>
        <v>0</v>
      </c>
      <c r="O71" s="45">
        <f>MAX(TargetConsumption!Q47*TargetProduction!O26,H71)</f>
        <v>1206.5769905377701</v>
      </c>
      <c r="P71" s="3">
        <f>MAX(B71:O71)</f>
        <v>6824.1070682854943</v>
      </c>
      <c r="W71" t="s">
        <v>134</v>
      </c>
      <c r="X71" s="3">
        <f>IF(B71&gt;0,B71,MAX($P71,B$86))*(1-B94)</f>
        <v>9010.7903227524766</v>
      </c>
      <c r="Y71" s="3">
        <f t="shared" ref="Y71:AK71" si="39">IF(C71&gt;0,C71,MAX($P71,C$86))*(1-C94)</f>
        <v>12258.227119871519</v>
      </c>
      <c r="Z71" s="3">
        <f t="shared" si="39"/>
        <v>9794.7032631161201</v>
      </c>
      <c r="AA71" s="3">
        <f t="shared" si="39"/>
        <v>8691.3486705336472</v>
      </c>
      <c r="AB71" s="3">
        <f t="shared" si="39"/>
        <v>11886.861706801106</v>
      </c>
      <c r="AC71" s="3">
        <f t="shared" si="39"/>
        <v>54205.682383781721</v>
      </c>
      <c r="AD71" s="3">
        <f t="shared" si="39"/>
        <v>5024.1851071863675</v>
      </c>
      <c r="AE71" s="3">
        <f t="shared" si="39"/>
        <v>4776.8749477998454</v>
      </c>
      <c r="AF71" s="3">
        <f t="shared" si="39"/>
        <v>3846.2603854442782</v>
      </c>
      <c r="AG71" s="3">
        <f t="shared" si="39"/>
        <v>3822.0907878750072</v>
      </c>
      <c r="AH71" s="3">
        <f t="shared" si="39"/>
        <v>4335.3888382097139</v>
      </c>
      <c r="AI71" s="3">
        <f t="shared" si="39"/>
        <v>3462.3676017180042</v>
      </c>
      <c r="AJ71" s="3">
        <f t="shared" si="39"/>
        <v>54205.682383781721</v>
      </c>
      <c r="AK71" s="3">
        <f t="shared" si="39"/>
        <v>844.60389337643903</v>
      </c>
    </row>
    <row r="72" spans="1:37">
      <c r="A72" t="s">
        <v>135</v>
      </c>
      <c r="B72" s="3">
        <f>TargetConsumption!B48*TargetProduction!B27</f>
        <v>9294.9699279968117</v>
      </c>
      <c r="C72" s="3">
        <f>TargetConsumption!C48*TargetProduction!C27</f>
        <v>11752.51026573016</v>
      </c>
      <c r="D72" s="3">
        <f>TargetConsumption!D48*TargetProduction!D27</f>
        <v>9952.5300979961939</v>
      </c>
      <c r="E72" s="3">
        <f>TargetConsumption!E48*TargetProduction!E27</f>
        <v>9721.2707350324708</v>
      </c>
      <c r="F72" s="3">
        <f>TargetConsumption!F48*TargetProduction!F27</f>
        <v>13435.326297330083</v>
      </c>
      <c r="G72" s="3">
        <f>TargetConsumption!G48*TargetProduction!G27</f>
        <v>63752.444641395443</v>
      </c>
      <c r="H72" s="3">
        <f>TargetConsumption!H48*TargetProduction!H27</f>
        <v>6523.0484572778478</v>
      </c>
      <c r="I72" s="45">
        <f>MAX(TargetConsumption!K48*TargetProduction!I27,B72)</f>
        <v>9294.9699279968117</v>
      </c>
      <c r="J72" s="45">
        <f>MAX(TargetConsumption!L48*TargetProduction!J27,C72)</f>
        <v>11752.51026573016</v>
      </c>
      <c r="K72" s="45">
        <f>MAX(TargetConsumption!M48*TargetProduction!K27,D72)</f>
        <v>9952.5300979961939</v>
      </c>
      <c r="L72" s="45">
        <f>MAX(TargetConsumption!N48*TargetProduction!L27,E72)</f>
        <v>9721.2707350324708</v>
      </c>
      <c r="M72" s="45">
        <f>MAX(TargetConsumption!O48*TargetProduction!M27,F72)</f>
        <v>13435.326297330083</v>
      </c>
      <c r="N72" s="45">
        <f>MAX(TargetConsumption!P48*TargetProduction!N27,G72)</f>
        <v>63752.444641395443</v>
      </c>
      <c r="O72" s="45">
        <f>MAX(TargetConsumption!Q48*TargetProduction!O27,H72)</f>
        <v>6523.0484572778478</v>
      </c>
      <c r="P72" s="3">
        <f t="shared" ref="P72:P85" si="40">MAX(B72:O72)</f>
        <v>63752.444641395443</v>
      </c>
      <c r="W72" t="s">
        <v>135</v>
      </c>
      <c r="X72" s="3">
        <f t="shared" ref="X72:X85" si="41">IF(B72&gt;0,B72,MAX($P72,B$86))*(1-B95)</f>
        <v>6506.4789495977675</v>
      </c>
      <c r="Y72" s="3">
        <f t="shared" ref="Y72:Y85" si="42">IF(C72&gt;0,C72,MAX($P72,C$86))*(1-C95)</f>
        <v>8226.7571860111111</v>
      </c>
      <c r="Z72" s="3">
        <f t="shared" ref="Z72:Z85" si="43">IF(D72&gt;0,D72,MAX($P72,D$86))*(1-D95)</f>
        <v>6966.7710685973352</v>
      </c>
      <c r="AA72" s="3">
        <f t="shared" ref="AA72:AA85" si="44">IF(E72&gt;0,E72,MAX($P72,E$86))*(1-E95)</f>
        <v>6804.8895145227289</v>
      </c>
      <c r="AB72" s="3">
        <f t="shared" ref="AB72:AB85" si="45">IF(F72&gt;0,F72,MAX($P72,F$86))*(1-F95)</f>
        <v>9404.7284081310572</v>
      </c>
      <c r="AC72" s="3">
        <f t="shared" ref="AC72:AC85" si="46">IF(G72&gt;0,G72,MAX($P72,G$86))*(1-G95)</f>
        <v>44626.711248976804</v>
      </c>
      <c r="AD72" s="3">
        <f t="shared" ref="AD72:AD85" si="47">IF(H72&gt;0,H72,MAX($P72,H$86))*(1-H95)</f>
        <v>4566.1339200944931</v>
      </c>
      <c r="AE72" s="3">
        <f t="shared" ref="AE72:AE85" si="48">IF(I72&gt;0,I72,MAX($P72,I$86))*(1-I95)</f>
        <v>6506.4789495977675</v>
      </c>
      <c r="AF72" s="3">
        <f t="shared" ref="AF72:AF85" si="49">IF(J72&gt;0,J72,MAX($P72,J$86))*(1-J95)</f>
        <v>8226.7571860111111</v>
      </c>
      <c r="AG72" s="3">
        <f t="shared" ref="AG72:AG85" si="50">IF(K72&gt;0,K72,MAX($P72,K$86))*(1-K95)</f>
        <v>6966.7710685973352</v>
      </c>
      <c r="AH72" s="3">
        <f t="shared" ref="AH72:AH85" si="51">IF(L72&gt;0,L72,MAX($P72,L$86))*(1-L95)</f>
        <v>6804.8895145227289</v>
      </c>
      <c r="AI72" s="3">
        <f t="shared" ref="AI72:AI85" si="52">IF(M72&gt;0,M72,MAX($P72,M$86))*(1-M95)</f>
        <v>9404.7284081310572</v>
      </c>
      <c r="AJ72" s="3">
        <f t="shared" ref="AJ72:AJ85" si="53">IF(N72&gt;0,N72,MAX($P72,N$86))*(1-N95)</f>
        <v>44626.711248976804</v>
      </c>
      <c r="AK72" s="3">
        <f t="shared" ref="AK72:AK85" si="54">IF(O72&gt;0,O72,MAX($P72,O$86))*(1-O95)</f>
        <v>4566.1339200944931</v>
      </c>
    </row>
    <row r="73" spans="1:37">
      <c r="A73" t="s">
        <v>136</v>
      </c>
      <c r="B73" s="3">
        <f>TargetConsumption!B49*TargetProduction!B28</f>
        <v>10579.707392849017</v>
      </c>
      <c r="C73" s="3">
        <f>TargetConsumption!C49*TargetProduction!C28</f>
        <v>13940.711374465125</v>
      </c>
      <c r="D73" s="3">
        <f>TargetConsumption!D49*TargetProduction!D28</f>
        <v>12298.160228111379</v>
      </c>
      <c r="E73" s="3">
        <f>TargetConsumption!E49*TargetProduction!E28</f>
        <v>10579.701349023153</v>
      </c>
      <c r="F73" s="3">
        <f>TargetConsumption!F49*TargetProduction!F28</f>
        <v>15580.781302511596</v>
      </c>
      <c r="G73" s="3">
        <f>TargetConsumption!G49*TargetProduction!G28</f>
        <v>40715.054502792475</v>
      </c>
      <c r="H73" s="3">
        <f>TargetConsumption!H49*TargetProduction!H28</f>
        <v>6944.1537807277846</v>
      </c>
      <c r="I73" s="45">
        <f>MAX(TargetConsumption!K49*TargetProduction!I28,B73)</f>
        <v>10579.707392849017</v>
      </c>
      <c r="J73" s="45">
        <f>MAX(TargetConsumption!L49*TargetProduction!J28,C73)</f>
        <v>13940.711374465125</v>
      </c>
      <c r="K73" s="45">
        <f>MAX(TargetConsumption!M49*TargetProduction!K28,D73)</f>
        <v>12298.160228111379</v>
      </c>
      <c r="L73" s="45">
        <f>MAX(TargetConsumption!N49*TargetProduction!L28,E73)</f>
        <v>10579.701349023153</v>
      </c>
      <c r="M73" s="45">
        <f>MAX(TargetConsumption!O49*TargetProduction!M28,F73)</f>
        <v>15580.781302511596</v>
      </c>
      <c r="N73" s="45">
        <f>MAX(TargetConsumption!P49*TargetProduction!N28,G73)</f>
        <v>45379.976824470796</v>
      </c>
      <c r="O73" s="45">
        <f>MAX(TargetConsumption!Q49*TargetProduction!O28,H73)</f>
        <v>6944.1537807277846</v>
      </c>
      <c r="P73" s="3">
        <f t="shared" si="40"/>
        <v>45379.976824470796</v>
      </c>
      <c r="W73" t="s">
        <v>136</v>
      </c>
      <c r="X73" s="3">
        <f t="shared" si="41"/>
        <v>7405.7951749943113</v>
      </c>
      <c r="Y73" s="3">
        <f t="shared" si="42"/>
        <v>9758.4979621255861</v>
      </c>
      <c r="Z73" s="3">
        <f t="shared" si="43"/>
        <v>8608.7121596779652</v>
      </c>
      <c r="AA73" s="3">
        <f t="shared" si="44"/>
        <v>7405.7909443162062</v>
      </c>
      <c r="AB73" s="3">
        <f t="shared" si="45"/>
        <v>10906.546911758116</v>
      </c>
      <c r="AC73" s="3">
        <f t="shared" si="46"/>
        <v>28500.53815195473</v>
      </c>
      <c r="AD73" s="3">
        <f t="shared" si="47"/>
        <v>4860.9076465094486</v>
      </c>
      <c r="AE73" s="3">
        <f t="shared" si="48"/>
        <v>7405.7951749943113</v>
      </c>
      <c r="AF73" s="3">
        <f t="shared" si="49"/>
        <v>9758.4979621255861</v>
      </c>
      <c r="AG73" s="3">
        <f t="shared" si="50"/>
        <v>8608.7121596779652</v>
      </c>
      <c r="AH73" s="3">
        <f t="shared" si="51"/>
        <v>7405.7909443162062</v>
      </c>
      <c r="AI73" s="3">
        <f t="shared" si="52"/>
        <v>10906.546911758116</v>
      </c>
      <c r="AJ73" s="3">
        <f t="shared" si="53"/>
        <v>31765.983777129553</v>
      </c>
      <c r="AK73" s="3">
        <f t="shared" si="54"/>
        <v>4860.9076465094486</v>
      </c>
    </row>
    <row r="74" spans="1:37">
      <c r="A74" t="s">
        <v>137</v>
      </c>
      <c r="B74" s="3">
        <f>TargetConsumption!B50*TargetProduction!B29</f>
        <v>10762.830000463779</v>
      </c>
      <c r="C74" s="3">
        <f>TargetConsumption!C50*TargetProduction!C29</f>
        <v>14949.499498354524</v>
      </c>
      <c r="D74" s="3">
        <f>TargetConsumption!D50*TargetProduction!D29</f>
        <v>12940.957319307674</v>
      </c>
      <c r="E74" s="3">
        <f>TargetConsumption!E50*TargetProduction!E29</f>
        <v>12416.21238647664</v>
      </c>
      <c r="F74" s="3">
        <f>TargetConsumption!F50*TargetProduction!F29</f>
        <v>16981.231009715866</v>
      </c>
      <c r="G74" s="3">
        <f>TargetConsumption!G50*TargetProduction!G29</f>
        <v>33143.458186638272</v>
      </c>
      <c r="H74" s="3">
        <f>TargetConsumption!H50*TargetProduction!H29</f>
        <v>6717.7625683552124</v>
      </c>
      <c r="I74" s="45">
        <f>MAX(TargetConsumption!K50*TargetProduction!I29,B74)</f>
        <v>10762.830000463779</v>
      </c>
      <c r="J74" s="45">
        <f>MAX(TargetConsumption!L50*TargetProduction!J29,C74)</f>
        <v>14949.499498354524</v>
      </c>
      <c r="K74" s="45">
        <f>MAX(TargetConsumption!M50*TargetProduction!K29,D74)</f>
        <v>12940.957319307674</v>
      </c>
      <c r="L74" s="45">
        <f>MAX(TargetConsumption!N50*TargetProduction!L29,E74)</f>
        <v>12416.21238647664</v>
      </c>
      <c r="M74" s="45">
        <f>MAX(TargetConsumption!O50*TargetProduction!M29,F74)</f>
        <v>16981.231009715866</v>
      </c>
      <c r="N74" s="45">
        <f>MAX(TargetConsumption!P50*TargetProduction!N29,G74)</f>
        <v>33143.458186638272</v>
      </c>
      <c r="O74" s="45">
        <f>MAX(TargetConsumption!Q50*TargetProduction!O29,H74)</f>
        <v>6717.7625683552124</v>
      </c>
      <c r="P74" s="3">
        <f t="shared" si="40"/>
        <v>33143.458186638272</v>
      </c>
      <c r="W74" t="s">
        <v>137</v>
      </c>
      <c r="X74" s="3">
        <f t="shared" si="41"/>
        <v>7533.9810003246448</v>
      </c>
      <c r="Y74" s="3">
        <f t="shared" si="42"/>
        <v>10464.649648848166</v>
      </c>
      <c r="Z74" s="3">
        <f t="shared" si="43"/>
        <v>9058.6701235153705</v>
      </c>
      <c r="AA74" s="3">
        <f t="shared" si="44"/>
        <v>8691.3486705336472</v>
      </c>
      <c r="AB74" s="3">
        <f t="shared" si="45"/>
        <v>11886.861706801106</v>
      </c>
      <c r="AC74" s="3">
        <f t="shared" si="46"/>
        <v>23200.420730646791</v>
      </c>
      <c r="AD74" s="3">
        <f t="shared" si="47"/>
        <v>4702.4337978486483</v>
      </c>
      <c r="AE74" s="3">
        <f t="shared" si="48"/>
        <v>7533.9810003246448</v>
      </c>
      <c r="AF74" s="3">
        <f t="shared" si="49"/>
        <v>10464.649648848166</v>
      </c>
      <c r="AG74" s="3">
        <f t="shared" si="50"/>
        <v>9058.6701235153705</v>
      </c>
      <c r="AH74" s="3">
        <f t="shared" si="51"/>
        <v>8691.3486705336472</v>
      </c>
      <c r="AI74" s="3">
        <f t="shared" si="52"/>
        <v>11886.861706801106</v>
      </c>
      <c r="AJ74" s="3">
        <f t="shared" si="53"/>
        <v>23200.420730646791</v>
      </c>
      <c r="AK74" s="3">
        <f t="shared" si="54"/>
        <v>4702.4337978486483</v>
      </c>
    </row>
    <row r="75" spans="1:37">
      <c r="A75" t="s">
        <v>138</v>
      </c>
      <c r="B75" s="3">
        <f>TargetConsumption!B51*TargetProduction!B30</f>
        <v>10225.772867602216</v>
      </c>
      <c r="C75" s="3">
        <f>TargetConsumption!C51*TargetProduction!C30</f>
        <v>13375.645490117104</v>
      </c>
      <c r="D75" s="3">
        <f>TargetConsumption!D51*TargetProduction!D30</f>
        <v>12076.832092661081</v>
      </c>
      <c r="E75" s="3">
        <f>TargetConsumption!E51*TargetProduction!E30</f>
        <v>10946.568757000985</v>
      </c>
      <c r="F75" s="3">
        <f>TargetConsumption!F51*TargetProduction!F30</f>
        <v>15323.133086043934</v>
      </c>
      <c r="G75" s="3">
        <f>TargetConsumption!G51*TargetProduction!G30</f>
        <v>28296.631193689405</v>
      </c>
      <c r="H75" s="3">
        <f>TargetConsumption!H51*TargetProduction!H30</f>
        <v>6320.1024095843413</v>
      </c>
      <c r="I75" s="45">
        <f>MAX(TargetConsumption!K51*TargetProduction!I30,B75)</f>
        <v>10225.772867602216</v>
      </c>
      <c r="J75" s="45">
        <f>MAX(TargetConsumption!L51*TargetProduction!J30,C75)</f>
        <v>13375.645490117104</v>
      </c>
      <c r="K75" s="45">
        <f>MAX(TargetConsumption!M51*TargetProduction!K30,D75)</f>
        <v>12076.832092661081</v>
      </c>
      <c r="L75" s="45">
        <f>MAX(TargetConsumption!N51*TargetProduction!L30,E75)</f>
        <v>10946.568757000985</v>
      </c>
      <c r="M75" s="45">
        <f>MAX(TargetConsumption!O51*TargetProduction!M30,F75)</f>
        <v>15323.133086043934</v>
      </c>
      <c r="N75" s="45">
        <f>MAX(TargetConsumption!P51*TargetProduction!N30,G75)</f>
        <v>28296.631193689405</v>
      </c>
      <c r="O75" s="45">
        <f>MAX(TargetConsumption!Q51*TargetProduction!O30,H75)</f>
        <v>6320.1024095843413</v>
      </c>
      <c r="P75" s="3">
        <f t="shared" si="40"/>
        <v>28296.631193689405</v>
      </c>
      <c r="W75" t="s">
        <v>138</v>
      </c>
      <c r="X75" s="3">
        <f t="shared" si="41"/>
        <v>7158.0410073215508</v>
      </c>
      <c r="Y75" s="3">
        <f t="shared" si="42"/>
        <v>9362.9518430819717</v>
      </c>
      <c r="Z75" s="3">
        <f t="shared" si="43"/>
        <v>8453.7824648627557</v>
      </c>
      <c r="AA75" s="3">
        <f t="shared" si="44"/>
        <v>7662.5981299006889</v>
      </c>
      <c r="AB75" s="3">
        <f t="shared" si="45"/>
        <v>10726.193160230752</v>
      </c>
      <c r="AC75" s="3">
        <f t="shared" si="46"/>
        <v>19807.641835582581</v>
      </c>
      <c r="AD75" s="3">
        <f t="shared" si="47"/>
        <v>4424.0716867090387</v>
      </c>
      <c r="AE75" s="3">
        <f t="shared" si="48"/>
        <v>7158.0410073215508</v>
      </c>
      <c r="AF75" s="3">
        <f t="shared" si="49"/>
        <v>9362.9518430819717</v>
      </c>
      <c r="AG75" s="3">
        <f t="shared" si="50"/>
        <v>8453.7824648627557</v>
      </c>
      <c r="AH75" s="3">
        <f t="shared" si="51"/>
        <v>7662.5981299006889</v>
      </c>
      <c r="AI75" s="3">
        <f t="shared" si="52"/>
        <v>10726.193160230752</v>
      </c>
      <c r="AJ75" s="3">
        <f t="shared" si="53"/>
        <v>19807.641835582581</v>
      </c>
      <c r="AK75" s="3">
        <f t="shared" si="54"/>
        <v>4424.0716867090387</v>
      </c>
    </row>
    <row r="76" spans="1:37">
      <c r="A76" t="s">
        <v>139</v>
      </c>
      <c r="B76" s="3">
        <f>TargetConsumption!B52*TargetProduction!B31</f>
        <v>11556.528297049697</v>
      </c>
      <c r="C76" s="3">
        <f>TargetConsumption!C52*TargetProduction!C31</f>
        <v>13790.373805407944</v>
      </c>
      <c r="D76" s="3">
        <f>TargetConsumption!D52*TargetProduction!D31</f>
        <v>12686.355423733339</v>
      </c>
      <c r="E76" s="3">
        <f>TargetConsumption!E52*TargetProduction!E31</f>
        <v>11273.038499086948</v>
      </c>
      <c r="F76" s="3">
        <f>TargetConsumption!F52*TargetProduction!F31</f>
        <v>13500.809185767022</v>
      </c>
      <c r="G76" s="3">
        <f>TargetConsumption!G52*TargetProduction!G31</f>
        <v>30775.650893780701</v>
      </c>
      <c r="H76" s="3">
        <f>TargetConsumption!H52*TargetProduction!H31</f>
        <v>6025.3196663716571</v>
      </c>
      <c r="I76" s="45">
        <f>MAX(TargetConsumption!K52*TargetProduction!I31,B76)</f>
        <v>11556.528297049697</v>
      </c>
      <c r="J76" s="45">
        <f>MAX(TargetConsumption!L52*TargetProduction!J31,C76)</f>
        <v>13790.373805407944</v>
      </c>
      <c r="K76" s="45">
        <f>MAX(TargetConsumption!M52*TargetProduction!K31,D76)</f>
        <v>12686.355423733339</v>
      </c>
      <c r="L76" s="45">
        <f>MAX(TargetConsumption!N52*TargetProduction!L31,E76)</f>
        <v>11273.038499086948</v>
      </c>
      <c r="M76" s="45">
        <f>MAX(TargetConsumption!O52*TargetProduction!M31,F76)</f>
        <v>13500.809185767022</v>
      </c>
      <c r="N76" s="45">
        <f>MAX(TargetConsumption!P52*TargetProduction!N31,G76)</f>
        <v>30775.650893780701</v>
      </c>
      <c r="O76" s="45">
        <f>MAX(TargetConsumption!Q52*TargetProduction!O31,H76)</f>
        <v>6025.3196663716571</v>
      </c>
      <c r="P76" s="3">
        <f t="shared" si="40"/>
        <v>30775.650893780701</v>
      </c>
      <c r="W76" t="s">
        <v>139</v>
      </c>
      <c r="X76" s="3">
        <f t="shared" si="41"/>
        <v>8089.5698079347876</v>
      </c>
      <c r="Y76" s="3">
        <f t="shared" si="42"/>
        <v>9653.2616637855608</v>
      </c>
      <c r="Z76" s="3">
        <f t="shared" si="43"/>
        <v>8880.4487966133365</v>
      </c>
      <c r="AA76" s="3">
        <f t="shared" si="44"/>
        <v>7891.1269493608634</v>
      </c>
      <c r="AB76" s="3">
        <f t="shared" si="45"/>
        <v>9450.5664300369153</v>
      </c>
      <c r="AC76" s="3">
        <f t="shared" si="46"/>
        <v>21542.955625646489</v>
      </c>
      <c r="AD76" s="3">
        <f t="shared" si="47"/>
        <v>4217.7237664601598</v>
      </c>
      <c r="AE76" s="3">
        <f t="shared" si="48"/>
        <v>8089.5698079347876</v>
      </c>
      <c r="AF76" s="3">
        <f t="shared" si="49"/>
        <v>9653.2616637855608</v>
      </c>
      <c r="AG76" s="3">
        <f t="shared" si="50"/>
        <v>8880.4487966133365</v>
      </c>
      <c r="AH76" s="3">
        <f t="shared" si="51"/>
        <v>7891.1269493608634</v>
      </c>
      <c r="AI76" s="3">
        <f t="shared" si="52"/>
        <v>9450.5664300369153</v>
      </c>
      <c r="AJ76" s="3">
        <f t="shared" si="53"/>
        <v>21542.955625646489</v>
      </c>
      <c r="AK76" s="3">
        <f t="shared" si="54"/>
        <v>4217.7237664601598</v>
      </c>
    </row>
    <row r="77" spans="1:37">
      <c r="A77" t="s">
        <v>140</v>
      </c>
      <c r="B77" s="3">
        <f>TargetConsumption!B53*TargetProduction!B32</f>
        <v>12872.557603932111</v>
      </c>
      <c r="C77" s="3">
        <f>TargetConsumption!C53*TargetProduction!C32</f>
        <v>12991.678812381408</v>
      </c>
      <c r="D77" s="3">
        <f>TargetConsumption!D53*TargetProduction!D32</f>
        <v>12936.873610924997</v>
      </c>
      <c r="E77" s="3">
        <f>TargetConsumption!E53*TargetProduction!E32</f>
        <v>11321.873302920687</v>
      </c>
      <c r="F77" s="3">
        <f>TargetConsumption!F53*TargetProduction!F32</f>
        <v>12659.083243626976</v>
      </c>
      <c r="G77" s="3">
        <f>TargetConsumption!G53*TargetProduction!G32</f>
        <v>32899.668997860746</v>
      </c>
      <c r="H77" s="3">
        <f>TargetConsumption!H53*TargetProduction!H32</f>
        <v>7177.4072959805253</v>
      </c>
      <c r="I77" s="45">
        <f>MAX(TargetConsumption!K53*TargetProduction!I32,B77)</f>
        <v>12872.557603932111</v>
      </c>
      <c r="J77" s="45">
        <f>MAX(TargetConsumption!L53*TargetProduction!J32,C77)</f>
        <v>12991.678812381408</v>
      </c>
      <c r="K77" s="45">
        <f>MAX(TargetConsumption!M53*TargetProduction!K32,D77)</f>
        <v>12936.873610924997</v>
      </c>
      <c r="L77" s="45">
        <f>MAX(TargetConsumption!N53*TargetProduction!L32,E77)</f>
        <v>11321.873302920687</v>
      </c>
      <c r="M77" s="45">
        <f>MAX(TargetConsumption!O53*TargetProduction!M32,F77)</f>
        <v>12659.083243626976</v>
      </c>
      <c r="N77" s="45">
        <f>MAX(TargetConsumption!P53*TargetProduction!N32,G77)</f>
        <v>32899.668997860746</v>
      </c>
      <c r="O77" s="45">
        <f>MAX(TargetConsumption!Q53*TargetProduction!O32,H77)</f>
        <v>7177.4072959805253</v>
      </c>
      <c r="P77" s="3">
        <f t="shared" si="40"/>
        <v>32899.668997860746</v>
      </c>
      <c r="W77" t="s">
        <v>140</v>
      </c>
      <c r="X77" s="3">
        <f t="shared" si="41"/>
        <v>9010.7903227524766</v>
      </c>
      <c r="Y77" s="3">
        <f t="shared" si="42"/>
        <v>9094.175168666985</v>
      </c>
      <c r="Z77" s="3">
        <f t="shared" si="43"/>
        <v>9055.8115276474964</v>
      </c>
      <c r="AA77" s="3">
        <f t="shared" si="44"/>
        <v>7925.3113120444805</v>
      </c>
      <c r="AB77" s="3">
        <f t="shared" si="45"/>
        <v>8861.3582705388817</v>
      </c>
      <c r="AC77" s="3">
        <f t="shared" si="46"/>
        <v>23029.76829850252</v>
      </c>
      <c r="AD77" s="3">
        <f t="shared" si="47"/>
        <v>5024.1851071863675</v>
      </c>
      <c r="AE77" s="3">
        <f t="shared" si="48"/>
        <v>9010.7903227524766</v>
      </c>
      <c r="AF77" s="3">
        <f t="shared" si="49"/>
        <v>9094.175168666985</v>
      </c>
      <c r="AG77" s="3">
        <f t="shared" si="50"/>
        <v>9055.8115276474964</v>
      </c>
      <c r="AH77" s="3">
        <f t="shared" si="51"/>
        <v>7925.3113120444805</v>
      </c>
      <c r="AI77" s="3">
        <f t="shared" si="52"/>
        <v>8861.3582705388817</v>
      </c>
      <c r="AJ77" s="3">
        <f t="shared" si="53"/>
        <v>23029.76829850252</v>
      </c>
      <c r="AK77" s="3">
        <f t="shared" si="54"/>
        <v>5024.1851071863675</v>
      </c>
    </row>
    <row r="78" spans="1:37">
      <c r="A78" t="s">
        <v>141</v>
      </c>
      <c r="B78" s="3">
        <f>TargetConsumption!B54*TargetProduction!B33</f>
        <v>12471.08479325571</v>
      </c>
      <c r="C78" s="3">
        <f>TargetConsumption!C54*TargetProduction!C33</f>
        <v>11969.06177729073</v>
      </c>
      <c r="D78" s="3">
        <f>TargetConsumption!D54*TargetProduction!D33</f>
        <v>11918.855537843505</v>
      </c>
      <c r="E78" s="3">
        <f>TargetConsumption!E54*TargetProduction!E33</f>
        <v>10919.772812054287</v>
      </c>
      <c r="F78" s="3">
        <f>TargetConsumption!F54*TargetProduction!F33</f>
        <v>11923.37971769348</v>
      </c>
      <c r="G78" s="3">
        <f>TargetConsumption!G54*TargetProduction!G33</f>
        <v>35953.913023115543</v>
      </c>
      <c r="H78" s="3">
        <f>TargetConsumption!H54*TargetProduction!H33</f>
        <v>6564.9102202265249</v>
      </c>
      <c r="I78" s="45">
        <f>MAX(TargetConsumption!K54*TargetProduction!I33,B78)</f>
        <v>12471.08479325571</v>
      </c>
      <c r="J78" s="45">
        <f>MAX(TargetConsumption!L54*TargetProduction!J33,C78)</f>
        <v>11969.06177729073</v>
      </c>
      <c r="K78" s="45">
        <f>MAX(TargetConsumption!M54*TargetProduction!K33,D78)</f>
        <v>11918.855537843505</v>
      </c>
      <c r="L78" s="45">
        <f>MAX(TargetConsumption!N54*TargetProduction!L33,E78)</f>
        <v>10919.772812054287</v>
      </c>
      <c r="M78" s="45">
        <f>MAX(TargetConsumption!O54*TargetProduction!M33,F78)</f>
        <v>11923.37971769348</v>
      </c>
      <c r="N78" s="45">
        <f>MAX(TargetConsumption!P54*TargetProduction!N33,G78)</f>
        <v>35953.913023115543</v>
      </c>
      <c r="O78" s="45">
        <f>MAX(TargetConsumption!Q54*TargetProduction!O33,H78)</f>
        <v>8737.5637720174327</v>
      </c>
      <c r="P78" s="3">
        <f t="shared" si="40"/>
        <v>35953.913023115543</v>
      </c>
      <c r="W78" t="s">
        <v>141</v>
      </c>
      <c r="X78" s="3">
        <f t="shared" si="41"/>
        <v>8729.7593552789967</v>
      </c>
      <c r="Y78" s="3">
        <f t="shared" si="42"/>
        <v>8378.3432441035111</v>
      </c>
      <c r="Z78" s="3">
        <f t="shared" si="43"/>
        <v>8343.1988764904527</v>
      </c>
      <c r="AA78" s="3">
        <f t="shared" si="44"/>
        <v>7643.8409684380003</v>
      </c>
      <c r="AB78" s="3">
        <f t="shared" si="45"/>
        <v>8346.365802385435</v>
      </c>
      <c r="AC78" s="3">
        <f t="shared" si="46"/>
        <v>25167.739116180877</v>
      </c>
      <c r="AD78" s="3">
        <f t="shared" si="47"/>
        <v>4595.437154158567</v>
      </c>
      <c r="AE78" s="3">
        <f t="shared" si="48"/>
        <v>8729.7593552789967</v>
      </c>
      <c r="AF78" s="3">
        <f t="shared" si="49"/>
        <v>8378.3432441035111</v>
      </c>
      <c r="AG78" s="3">
        <f t="shared" si="50"/>
        <v>8343.1988764904527</v>
      </c>
      <c r="AH78" s="3">
        <f t="shared" si="51"/>
        <v>7643.8409684380003</v>
      </c>
      <c r="AI78" s="3">
        <f t="shared" si="52"/>
        <v>8346.365802385435</v>
      </c>
      <c r="AJ78" s="3">
        <f t="shared" si="53"/>
        <v>25167.739116180877</v>
      </c>
      <c r="AK78" s="3">
        <f t="shared" si="54"/>
        <v>6116.2946404122022</v>
      </c>
    </row>
    <row r="79" spans="1:37">
      <c r="A79" t="s">
        <v>142</v>
      </c>
      <c r="B79" s="3">
        <f>TargetConsumption!B55*TargetProduction!B34</f>
        <v>10190.739395682564</v>
      </c>
      <c r="C79" s="3">
        <f>TargetConsumption!C55*TargetProduction!C34</f>
        <v>17511.753028387884</v>
      </c>
      <c r="D79" s="3">
        <f>TargetConsumption!D55*TargetProduction!D34</f>
        <v>9674.7016889712995</v>
      </c>
      <c r="E79" s="3">
        <f>TargetConsumption!E55*TargetProduction!E34</f>
        <v>9516.7639810629607</v>
      </c>
      <c r="F79" s="3">
        <f>TargetConsumption!F55*TargetProduction!F34</f>
        <v>14089.681990847466</v>
      </c>
      <c r="G79" s="3">
        <f>TargetConsumption!G55*TargetProduction!G34</f>
        <v>44918.364152451002</v>
      </c>
      <c r="H79" s="3">
        <f>TargetConsumption!H55*TargetProduction!H34</f>
        <v>4445.6946757847736</v>
      </c>
      <c r="I79" s="45">
        <f>MAX(TargetConsumption!K55*TargetProduction!I34,B79)</f>
        <v>10190.739395682564</v>
      </c>
      <c r="J79" s="45">
        <f>MAX(TargetConsumption!L55*TargetProduction!J34,C79)</f>
        <v>17511.753028387884</v>
      </c>
      <c r="K79" s="45">
        <f>MAX(TargetConsumption!M55*TargetProduction!K34,D79)</f>
        <v>9674.7016889712995</v>
      </c>
      <c r="L79" s="45">
        <f>MAX(TargetConsumption!N55*TargetProduction!L34,E79)</f>
        <v>9516.7639810629607</v>
      </c>
      <c r="M79" s="45">
        <f>MAX(TargetConsumption!O55*TargetProduction!M34,F79)</f>
        <v>14089.681990847466</v>
      </c>
      <c r="N79" s="45">
        <f>MAX(TargetConsumption!P55*TargetProduction!N34,G79)</f>
        <v>44918.364152451002</v>
      </c>
      <c r="O79" s="45">
        <f>MAX(TargetConsumption!Q55*TargetProduction!O34,H79)</f>
        <v>4445.6946757847736</v>
      </c>
      <c r="P79" s="3">
        <f t="shared" si="40"/>
        <v>44918.364152451002</v>
      </c>
      <c r="W79" t="s">
        <v>142</v>
      </c>
      <c r="X79" s="3">
        <f t="shared" si="41"/>
        <v>7133.5175769777943</v>
      </c>
      <c r="Y79" s="3">
        <f t="shared" si="42"/>
        <v>12258.227119871519</v>
      </c>
      <c r="Z79" s="3">
        <f t="shared" si="43"/>
        <v>6772.2911822799097</v>
      </c>
      <c r="AA79" s="3">
        <f t="shared" si="44"/>
        <v>6661.7347867440722</v>
      </c>
      <c r="AB79" s="3">
        <f t="shared" si="45"/>
        <v>9862.7773935932255</v>
      </c>
      <c r="AC79" s="3">
        <f t="shared" si="46"/>
        <v>31442.8549067157</v>
      </c>
      <c r="AD79" s="3">
        <f t="shared" si="47"/>
        <v>3111.9862730493414</v>
      </c>
      <c r="AE79" s="3">
        <f t="shared" si="48"/>
        <v>7133.5175769777943</v>
      </c>
      <c r="AF79" s="3">
        <f t="shared" si="49"/>
        <v>12258.227119871519</v>
      </c>
      <c r="AG79" s="3">
        <f t="shared" si="50"/>
        <v>6772.2911822799097</v>
      </c>
      <c r="AH79" s="3">
        <f t="shared" si="51"/>
        <v>6661.7347867440722</v>
      </c>
      <c r="AI79" s="3">
        <f t="shared" si="52"/>
        <v>9862.7773935932255</v>
      </c>
      <c r="AJ79" s="3">
        <f t="shared" si="53"/>
        <v>31442.8549067157</v>
      </c>
      <c r="AK79" s="3">
        <f t="shared" si="54"/>
        <v>3111.9862730493414</v>
      </c>
    </row>
    <row r="80" spans="1:37">
      <c r="A80" t="s">
        <v>143</v>
      </c>
      <c r="B80" s="3">
        <f>TargetConsumption!B56*TargetProduction!B35</f>
        <v>10205.270825843456</v>
      </c>
      <c r="C80" s="3">
        <f>TargetConsumption!C56*TargetProduction!C35</f>
        <v>11795.417823205946</v>
      </c>
      <c r="D80" s="3">
        <f>TargetConsumption!D56*TargetProduction!D35</f>
        <v>10131.412026280281</v>
      </c>
      <c r="E80" s="3">
        <f>TargetConsumption!E56*TargetProduction!E35</f>
        <v>10149.450885749677</v>
      </c>
      <c r="F80" s="3">
        <f>TargetConsumption!F56*TargetProduction!F35</f>
        <v>11815.572449455456</v>
      </c>
      <c r="G80" s="3">
        <f>TargetConsumption!G56*TargetProduction!G35</f>
        <v>33298.950392192804</v>
      </c>
      <c r="H80" s="3">
        <f>TargetConsumption!H56*TargetProduction!H35</f>
        <v>5663.1295473974933</v>
      </c>
      <c r="I80" s="45">
        <f>MAX(TargetConsumption!K56*TargetProduction!I35,B80)</f>
        <v>10205.270825843456</v>
      </c>
      <c r="J80" s="45">
        <f>MAX(TargetConsumption!L56*TargetProduction!J35,C80)</f>
        <v>11795.417823205946</v>
      </c>
      <c r="K80" s="45">
        <f>MAX(TargetConsumption!M56*TargetProduction!K35,D80)</f>
        <v>10131.412026280281</v>
      </c>
      <c r="L80" s="45">
        <f>MAX(TargetConsumption!N56*TargetProduction!L35,E80)</f>
        <v>10149.450885749677</v>
      </c>
      <c r="M80" s="45">
        <f>MAX(TargetConsumption!O56*TargetProduction!M35,F80)</f>
        <v>11815.572449455456</v>
      </c>
      <c r="N80" s="45">
        <f>MAX(TargetConsumption!P56*TargetProduction!N35,G80)</f>
        <v>33298.950392192804</v>
      </c>
      <c r="O80" s="45">
        <f>MAX(TargetConsumption!Q56*TargetProduction!O35,H80)</f>
        <v>7411.320195404106</v>
      </c>
      <c r="P80" s="3">
        <f t="shared" si="40"/>
        <v>33298.950392192804</v>
      </c>
      <c r="W80" t="s">
        <v>143</v>
      </c>
      <c r="X80" s="3">
        <f t="shared" si="41"/>
        <v>7143.6895780904188</v>
      </c>
      <c r="Y80" s="3">
        <f t="shared" si="42"/>
        <v>8256.7924762441617</v>
      </c>
      <c r="Z80" s="3">
        <f t="shared" si="43"/>
        <v>7091.9884183961958</v>
      </c>
      <c r="AA80" s="3">
        <f t="shared" si="44"/>
        <v>7104.6156200247733</v>
      </c>
      <c r="AB80" s="3">
        <f t="shared" si="45"/>
        <v>8270.9007146188196</v>
      </c>
      <c r="AC80" s="3">
        <f t="shared" si="46"/>
        <v>23309.265274534962</v>
      </c>
      <c r="AD80" s="3">
        <f t="shared" si="47"/>
        <v>3964.1906831782449</v>
      </c>
      <c r="AE80" s="3">
        <f t="shared" si="48"/>
        <v>7143.6895780904188</v>
      </c>
      <c r="AF80" s="3">
        <f t="shared" si="49"/>
        <v>8256.7924762441617</v>
      </c>
      <c r="AG80" s="3">
        <f t="shared" si="50"/>
        <v>7091.9884183961958</v>
      </c>
      <c r="AH80" s="3">
        <f t="shared" si="51"/>
        <v>7104.6156200247733</v>
      </c>
      <c r="AI80" s="3">
        <f t="shared" si="52"/>
        <v>8270.9007146188196</v>
      </c>
      <c r="AJ80" s="3">
        <f t="shared" si="53"/>
        <v>23309.265274534962</v>
      </c>
      <c r="AK80" s="3">
        <f t="shared" si="54"/>
        <v>5187.9241367828736</v>
      </c>
    </row>
    <row r="81" spans="1:37">
      <c r="A81" t="s">
        <v>144</v>
      </c>
      <c r="B81" s="3">
        <f>TargetConsumption!B57*TargetProduction!B36</f>
        <v>10885.731103416956</v>
      </c>
      <c r="C81" s="3">
        <f>TargetConsumption!C57*TargetProduction!C36</f>
        <v>14769.055201652473</v>
      </c>
      <c r="D81" s="3">
        <f>TargetConsumption!D57*TargetProduction!D36</f>
        <v>13992.43323302303</v>
      </c>
      <c r="E81" s="3">
        <f>TargetConsumption!E57*TargetProduction!E36</f>
        <v>10479.600921867061</v>
      </c>
      <c r="F81" s="3">
        <f>TargetConsumption!F57*TargetProduction!F36</f>
        <v>13719.957486234118</v>
      </c>
      <c r="G81" s="3">
        <f>TargetConsumption!G57*TargetProduction!G36</f>
        <v>57593.534793192317</v>
      </c>
      <c r="H81" s="3">
        <f>TargetConsumption!H57*TargetProduction!H36</f>
        <v>5467.1042075977211</v>
      </c>
      <c r="I81" s="45">
        <f>MAX(TargetConsumption!K57*TargetProduction!I36,B81)</f>
        <v>10885.731103416956</v>
      </c>
      <c r="J81" s="45">
        <f>MAX(TargetConsumption!L57*TargetProduction!J36,C81)</f>
        <v>14769.055201652473</v>
      </c>
      <c r="K81" s="45">
        <f>MAX(TargetConsumption!M57*TargetProduction!K36,D81)</f>
        <v>13992.43323302303</v>
      </c>
      <c r="L81" s="45">
        <f>MAX(TargetConsumption!N57*TargetProduction!L36,E81)</f>
        <v>10479.600921867061</v>
      </c>
      <c r="M81" s="45">
        <f>MAX(TargetConsumption!O57*TargetProduction!M36,F81)</f>
        <v>13719.957486234118</v>
      </c>
      <c r="N81" s="45">
        <f>MAX(TargetConsumption!P57*TargetProduction!N36,G81)</f>
        <v>57593.534793192317</v>
      </c>
      <c r="O81" s="45">
        <f>MAX(TargetConsumption!Q57*TargetProduction!O36,H81)</f>
        <v>5467.1042075977211</v>
      </c>
      <c r="P81" s="3">
        <f t="shared" si="40"/>
        <v>57593.534793192317</v>
      </c>
      <c r="W81" t="s">
        <v>144</v>
      </c>
      <c r="X81" s="3">
        <f t="shared" si="41"/>
        <v>7620.0117723918684</v>
      </c>
      <c r="Y81" s="3">
        <f t="shared" si="42"/>
        <v>10338.33864115673</v>
      </c>
      <c r="Z81" s="3">
        <f t="shared" si="43"/>
        <v>9794.7032631161201</v>
      </c>
      <c r="AA81" s="3">
        <f t="shared" si="44"/>
        <v>7335.7206453069421</v>
      </c>
      <c r="AB81" s="3">
        <f t="shared" si="45"/>
        <v>9603.9702403638821</v>
      </c>
      <c r="AC81" s="3">
        <f t="shared" si="46"/>
        <v>40315.474355234619</v>
      </c>
      <c r="AD81" s="3">
        <f t="shared" si="47"/>
        <v>3826.9729453184045</v>
      </c>
      <c r="AE81" s="3">
        <f t="shared" si="48"/>
        <v>7620.0117723918684</v>
      </c>
      <c r="AF81" s="3">
        <f t="shared" si="49"/>
        <v>10338.33864115673</v>
      </c>
      <c r="AG81" s="3">
        <f t="shared" si="50"/>
        <v>9794.7032631161201</v>
      </c>
      <c r="AH81" s="3">
        <f t="shared" si="51"/>
        <v>7335.7206453069421</v>
      </c>
      <c r="AI81" s="3">
        <f t="shared" si="52"/>
        <v>9603.9702403638821</v>
      </c>
      <c r="AJ81" s="3">
        <f t="shared" si="53"/>
        <v>40315.474355234619</v>
      </c>
      <c r="AK81" s="3">
        <f t="shared" si="54"/>
        <v>3826.9729453184045</v>
      </c>
    </row>
    <row r="82" spans="1:37">
      <c r="A82" t="s">
        <v>145</v>
      </c>
      <c r="B82" s="3">
        <f>TargetConsumption!B58*TargetProduction!B37</f>
        <v>11488.010849715807</v>
      </c>
      <c r="C82" s="3">
        <f>TargetConsumption!C58*TargetProduction!C37</f>
        <v>13756.078271426861</v>
      </c>
      <c r="D82" s="3">
        <f>TargetConsumption!D58*TargetProduction!D37</f>
        <v>13588.683295641962</v>
      </c>
      <c r="E82" s="3">
        <f>TargetConsumption!E58*TargetProduction!E37</f>
        <v>11002.853627749035</v>
      </c>
      <c r="F82" s="3">
        <f>TargetConsumption!F58*TargetProduction!F37</f>
        <v>14223.459475108923</v>
      </c>
      <c r="G82" s="3">
        <f>TargetConsumption!G58*TargetProduction!G37</f>
        <v>47993.350258441074</v>
      </c>
      <c r="H82" s="3">
        <f>TargetConsumption!H58*TargetProduction!H37</f>
        <v>5805.4019447438804</v>
      </c>
      <c r="I82" s="45">
        <f>MAX(TargetConsumption!K58*TargetProduction!I37,B82)</f>
        <v>11488.010849715807</v>
      </c>
      <c r="J82" s="45">
        <f>MAX(TargetConsumption!L58*TargetProduction!J37,C82)</f>
        <v>13756.078271426861</v>
      </c>
      <c r="K82" s="45">
        <f>MAX(TargetConsumption!M58*TargetProduction!K37,D82)</f>
        <v>13588.683295641962</v>
      </c>
      <c r="L82" s="45">
        <f>MAX(TargetConsumption!N58*TargetProduction!L37,E82)</f>
        <v>11002.853627749035</v>
      </c>
      <c r="M82" s="45">
        <f>MAX(TargetConsumption!O58*TargetProduction!M37,F82)</f>
        <v>14223.459475108923</v>
      </c>
      <c r="N82" s="45">
        <f>MAX(TargetConsumption!P58*TargetProduction!N37,G82)</f>
        <v>47993.350258441074</v>
      </c>
      <c r="O82" s="45">
        <f>MAX(TargetConsumption!Q58*TargetProduction!O37,H82)</f>
        <v>5805.4019447438804</v>
      </c>
      <c r="P82" s="3">
        <f t="shared" si="40"/>
        <v>47993.350258441074</v>
      </c>
      <c r="W82" t="s">
        <v>145</v>
      </c>
      <c r="X82" s="3">
        <f t="shared" si="41"/>
        <v>8041.6075948010648</v>
      </c>
      <c r="Y82" s="3">
        <f t="shared" si="42"/>
        <v>9629.2547899988022</v>
      </c>
      <c r="Z82" s="3">
        <f t="shared" si="43"/>
        <v>9512.0783069493737</v>
      </c>
      <c r="AA82" s="3">
        <f t="shared" si="44"/>
        <v>7701.9975394243238</v>
      </c>
      <c r="AB82" s="3">
        <f t="shared" si="45"/>
        <v>9956.4216325762445</v>
      </c>
      <c r="AC82" s="3">
        <f t="shared" si="46"/>
        <v>33595.345180908749</v>
      </c>
      <c r="AD82" s="3">
        <f t="shared" si="47"/>
        <v>4063.7813613207159</v>
      </c>
      <c r="AE82" s="3">
        <f t="shared" si="48"/>
        <v>8041.6075948010648</v>
      </c>
      <c r="AF82" s="3">
        <f t="shared" si="49"/>
        <v>9629.2547899988022</v>
      </c>
      <c r="AG82" s="3">
        <f t="shared" si="50"/>
        <v>9512.0783069493737</v>
      </c>
      <c r="AH82" s="3">
        <f t="shared" si="51"/>
        <v>7701.9975394243238</v>
      </c>
      <c r="AI82" s="3">
        <f t="shared" si="52"/>
        <v>9956.4216325762445</v>
      </c>
      <c r="AJ82" s="3">
        <f t="shared" si="53"/>
        <v>33595.345180908749</v>
      </c>
      <c r="AK82" s="3">
        <f t="shared" si="54"/>
        <v>4063.7813613207159</v>
      </c>
    </row>
    <row r="83" spans="1:37">
      <c r="A83" t="s">
        <v>146</v>
      </c>
      <c r="B83" s="3">
        <f>TargetConsumption!B59*TargetProduction!B38</f>
        <v>9697.3096962336385</v>
      </c>
      <c r="C83" s="3">
        <f>TargetConsumption!C59*TargetProduction!C38</f>
        <v>13206.827167981544</v>
      </c>
      <c r="D83" s="3">
        <f>TargetConsumption!D59*TargetProduction!D38</f>
        <v>9677.0868444644566</v>
      </c>
      <c r="E83" s="3">
        <f>TargetConsumption!E59*TargetProduction!E38</f>
        <v>10801.374302788743</v>
      </c>
      <c r="F83" s="3">
        <f>TargetConsumption!F59*TargetProduction!F38</f>
        <v>14103.538273080212</v>
      </c>
      <c r="G83" s="3">
        <f>TargetConsumption!G59*TargetProduction!G38</f>
        <v>77436.689119688177</v>
      </c>
      <c r="H83" s="3">
        <f>TargetConsumption!H59*TargetProduction!H38</f>
        <v>5941.5090363193476</v>
      </c>
      <c r="I83" s="45">
        <f>MAX(TargetConsumption!K59*TargetProduction!I38,B83)</f>
        <v>9697.3096962336385</v>
      </c>
      <c r="J83" s="45">
        <f>MAX(TargetConsumption!L59*TargetProduction!J38,C83)</f>
        <v>13206.827167981544</v>
      </c>
      <c r="K83" s="45">
        <f>MAX(TargetConsumption!M59*TargetProduction!K38,D83)</f>
        <v>9677.0868444644566</v>
      </c>
      <c r="L83" s="45">
        <f>MAX(TargetConsumption!N59*TargetProduction!L38,E83)</f>
        <v>10801.374302788743</v>
      </c>
      <c r="M83" s="45">
        <f>MAX(TargetConsumption!O59*TargetProduction!M38,F83)</f>
        <v>14103.538273080212</v>
      </c>
      <c r="N83" s="45">
        <f>MAX(TargetConsumption!P59*TargetProduction!N38,G83)</f>
        <v>77436.689119688177</v>
      </c>
      <c r="O83" s="45">
        <f>MAX(TargetConsumption!Q59*TargetProduction!O38,H83)</f>
        <v>5941.5090363193476</v>
      </c>
      <c r="P83" s="3">
        <f t="shared" si="40"/>
        <v>77436.689119688177</v>
      </c>
      <c r="W83" t="s">
        <v>146</v>
      </c>
      <c r="X83" s="3">
        <f t="shared" si="41"/>
        <v>6788.1167873635468</v>
      </c>
      <c r="Y83" s="3">
        <f t="shared" si="42"/>
        <v>9244.7790175870796</v>
      </c>
      <c r="Z83" s="3">
        <f t="shared" si="43"/>
        <v>6773.9607911251196</v>
      </c>
      <c r="AA83" s="3">
        <f t="shared" si="44"/>
        <v>7560.9620119521196</v>
      </c>
      <c r="AB83" s="3">
        <f t="shared" si="45"/>
        <v>9872.4767911561485</v>
      </c>
      <c r="AC83" s="3">
        <f t="shared" si="46"/>
        <v>54205.682383781721</v>
      </c>
      <c r="AD83" s="3">
        <f t="shared" si="47"/>
        <v>4159.0563254235431</v>
      </c>
      <c r="AE83" s="3">
        <f t="shared" si="48"/>
        <v>6788.1167873635468</v>
      </c>
      <c r="AF83" s="3">
        <f t="shared" si="49"/>
        <v>9244.7790175870796</v>
      </c>
      <c r="AG83" s="3">
        <f t="shared" si="50"/>
        <v>6773.9607911251196</v>
      </c>
      <c r="AH83" s="3">
        <f t="shared" si="51"/>
        <v>7560.9620119521196</v>
      </c>
      <c r="AI83" s="3">
        <f t="shared" si="52"/>
        <v>9872.4767911561485</v>
      </c>
      <c r="AJ83" s="3">
        <f t="shared" si="53"/>
        <v>54205.682383781721</v>
      </c>
      <c r="AK83" s="3">
        <f t="shared" si="54"/>
        <v>4159.0563254235431</v>
      </c>
    </row>
    <row r="84" spans="1:37">
      <c r="A84" t="s">
        <v>148</v>
      </c>
      <c r="B84" s="3">
        <f>TargetConsumption!B60*TargetProduction!B39</f>
        <v>9734.2949777043741</v>
      </c>
      <c r="C84" s="3">
        <f>TargetConsumption!C60*TargetProduction!C39</f>
        <v>13025.208886451264</v>
      </c>
      <c r="D84" s="3">
        <f>TargetConsumption!D60*TargetProduction!D39</f>
        <v>9426.7869740571477</v>
      </c>
      <c r="E84" s="3">
        <f>TargetConsumption!E60*TargetProduction!E39</f>
        <v>9338.2586539548975</v>
      </c>
      <c r="F84" s="3">
        <f>TargetConsumption!F60*TargetProduction!F39</f>
        <v>10372.982354787178</v>
      </c>
      <c r="G84" s="3">
        <f>TargetConsumption!G60*TargetProduction!G39</f>
        <v>20642.573541901074</v>
      </c>
      <c r="H84" s="3">
        <f>TargetConsumption!H60*TargetProduction!H39</f>
        <v>5511.0634138676251</v>
      </c>
      <c r="I84" s="45">
        <f>MAX(TargetConsumption!K60*TargetProduction!I39,B84)</f>
        <v>9734.2949777043741</v>
      </c>
      <c r="J84" s="45">
        <f>MAX(TargetConsumption!L60*TargetProduction!J39,C84)</f>
        <v>13025.208886451264</v>
      </c>
      <c r="K84" s="45">
        <f>MAX(TargetConsumption!M60*TargetProduction!K39,D84)</f>
        <v>9426.7869740571477</v>
      </c>
      <c r="L84" s="45">
        <f>MAX(TargetConsumption!N60*TargetProduction!L39,E84)</f>
        <v>9338.2586539548975</v>
      </c>
      <c r="M84" s="45">
        <f>MAX(TargetConsumption!O60*TargetProduction!M39,F84)</f>
        <v>10372.982354787178</v>
      </c>
      <c r="N84" s="45">
        <f>MAX(TargetConsumption!P60*TargetProduction!N39,G84)</f>
        <v>27732.1819859643</v>
      </c>
      <c r="O84" s="45">
        <f>MAX(TargetConsumption!Q60*TargetProduction!O39,H84)</f>
        <v>8737.5637720174363</v>
      </c>
      <c r="P84" s="3">
        <f t="shared" si="40"/>
        <v>27732.1819859643</v>
      </c>
      <c r="W84" t="s">
        <v>148</v>
      </c>
      <c r="X84" s="3">
        <f t="shared" si="41"/>
        <v>6814.0064843930613</v>
      </c>
      <c r="Y84" s="3">
        <f t="shared" si="42"/>
        <v>9117.6462205158841</v>
      </c>
      <c r="Z84" s="3">
        <f t="shared" si="43"/>
        <v>6598.7508818400029</v>
      </c>
      <c r="AA84" s="3">
        <f t="shared" si="44"/>
        <v>6536.7810577684277</v>
      </c>
      <c r="AB84" s="3">
        <f t="shared" si="45"/>
        <v>7261.0876483510247</v>
      </c>
      <c r="AC84" s="3">
        <f t="shared" si="46"/>
        <v>14449.80147933075</v>
      </c>
      <c r="AD84" s="3">
        <f t="shared" si="47"/>
        <v>3857.7443897073372</v>
      </c>
      <c r="AE84" s="3">
        <f t="shared" si="48"/>
        <v>6814.0064843930613</v>
      </c>
      <c r="AF84" s="3">
        <f t="shared" si="49"/>
        <v>9117.6462205158841</v>
      </c>
      <c r="AG84" s="3">
        <f t="shared" si="50"/>
        <v>6598.7508818400029</v>
      </c>
      <c r="AH84" s="3">
        <f t="shared" si="51"/>
        <v>6536.7810577684277</v>
      </c>
      <c r="AI84" s="3">
        <f t="shared" si="52"/>
        <v>7261.0876483510247</v>
      </c>
      <c r="AJ84" s="3">
        <f t="shared" si="53"/>
        <v>19412.527390175008</v>
      </c>
      <c r="AK84" s="3">
        <f t="shared" si="54"/>
        <v>6116.2946404122049</v>
      </c>
    </row>
    <row r="85" spans="1:37">
      <c r="A85" t="s">
        <v>147</v>
      </c>
      <c r="B85" s="3">
        <f>TargetConsumption!B61*TargetProduction!B40</f>
        <v>0</v>
      </c>
      <c r="C85" s="3">
        <f>TargetConsumption!C61*TargetProduction!C40</f>
        <v>0</v>
      </c>
      <c r="D85" s="3">
        <f>TargetConsumption!D61*TargetProduction!D40</f>
        <v>0</v>
      </c>
      <c r="E85" s="3">
        <f>TargetConsumption!E61*TargetProduction!E40</f>
        <v>0</v>
      </c>
      <c r="F85" s="3">
        <f>TargetConsumption!F61*TargetProduction!F40</f>
        <v>0</v>
      </c>
      <c r="G85" s="3">
        <f>TargetConsumption!G61*TargetProduction!G40</f>
        <v>0</v>
      </c>
      <c r="H85" s="3">
        <f>TargetConsumption!H61*TargetProduction!H40</f>
        <v>0</v>
      </c>
      <c r="I85" s="45">
        <f>MAX(TargetConsumption!K61*TargetProduction!I40,B85)</f>
        <v>0</v>
      </c>
      <c r="J85" s="45">
        <f>MAX(TargetConsumption!L61*TargetProduction!J40,C85)</f>
        <v>0</v>
      </c>
      <c r="K85" s="45">
        <f>MAX(TargetConsumption!M61*TargetProduction!K40,D85)</f>
        <v>0</v>
      </c>
      <c r="L85" s="45">
        <f>MAX(TargetConsumption!N61*TargetProduction!L40,E85)</f>
        <v>0</v>
      </c>
      <c r="M85" s="45">
        <f>MAX(TargetConsumption!O61*TargetProduction!M40,F85)</f>
        <v>0</v>
      </c>
      <c r="N85" s="45">
        <f>MAX(TargetConsumption!P61*TargetProduction!N40,G85)</f>
        <v>0</v>
      </c>
      <c r="O85" s="45">
        <f>MAX(TargetConsumption!Q61*TargetProduction!O40,H85)</f>
        <v>0</v>
      </c>
      <c r="P85" s="3">
        <f t="shared" si="40"/>
        <v>0</v>
      </c>
      <c r="W85" t="s">
        <v>147</v>
      </c>
      <c r="X85" s="3">
        <f t="shared" si="41"/>
        <v>9010.7903227524766</v>
      </c>
      <c r="Y85" s="3">
        <f t="shared" si="42"/>
        <v>12258.227119871519</v>
      </c>
      <c r="Z85" s="3">
        <f t="shared" si="43"/>
        <v>9794.7032631161201</v>
      </c>
      <c r="AA85" s="3">
        <f t="shared" si="44"/>
        <v>8691.3486705336472</v>
      </c>
      <c r="AB85" s="3">
        <f t="shared" si="45"/>
        <v>11886.861706801106</v>
      </c>
      <c r="AC85" s="3">
        <f t="shared" si="46"/>
        <v>54205.682383781721</v>
      </c>
      <c r="AD85" s="3">
        <f t="shared" si="47"/>
        <v>5024.1851071863675</v>
      </c>
      <c r="AE85" s="3">
        <f t="shared" si="48"/>
        <v>9010.7903227524766</v>
      </c>
      <c r="AF85" s="3">
        <f t="shared" si="49"/>
        <v>12258.227119871519</v>
      </c>
      <c r="AG85" s="3">
        <f t="shared" si="50"/>
        <v>9794.7032631161201</v>
      </c>
      <c r="AH85" s="3">
        <f t="shared" si="51"/>
        <v>8691.3486705336472</v>
      </c>
      <c r="AI85" s="3">
        <f t="shared" si="52"/>
        <v>11886.861706801106</v>
      </c>
      <c r="AJ85" s="3">
        <f t="shared" si="53"/>
        <v>54205.682383781721</v>
      </c>
      <c r="AK85" s="3">
        <f t="shared" si="54"/>
        <v>6116.2946404122049</v>
      </c>
    </row>
    <row r="86" spans="1:37">
      <c r="B86" s="3">
        <f>MAX(B71:B85)</f>
        <v>12872.557603932111</v>
      </c>
      <c r="C86" s="3">
        <f t="shared" ref="C86:P86" si="55">MAX(C71:C85)</f>
        <v>17511.753028387884</v>
      </c>
      <c r="D86" s="3">
        <f t="shared" si="55"/>
        <v>13992.43323302303</v>
      </c>
      <c r="E86" s="3">
        <f t="shared" si="55"/>
        <v>12416.21238647664</v>
      </c>
      <c r="F86" s="3">
        <f t="shared" si="55"/>
        <v>16981.231009715866</v>
      </c>
      <c r="G86" s="3">
        <f t="shared" si="55"/>
        <v>77436.689119688177</v>
      </c>
      <c r="H86" s="3">
        <f t="shared" si="55"/>
        <v>7177.4072959805253</v>
      </c>
      <c r="I86" s="3">
        <f t="shared" si="55"/>
        <v>12872.557603932111</v>
      </c>
      <c r="J86" s="3">
        <f t="shared" si="55"/>
        <v>17511.753028387884</v>
      </c>
      <c r="K86" s="3">
        <f t="shared" si="55"/>
        <v>13992.43323302303</v>
      </c>
      <c r="L86" s="3">
        <f t="shared" si="55"/>
        <v>12416.21238647664</v>
      </c>
      <c r="M86" s="3">
        <f t="shared" si="55"/>
        <v>16981.231009715866</v>
      </c>
      <c r="N86" s="3">
        <f t="shared" si="55"/>
        <v>77436.689119688177</v>
      </c>
      <c r="O86" s="3">
        <f t="shared" si="55"/>
        <v>8737.5637720174363</v>
      </c>
      <c r="P86" s="3">
        <f t="shared" si="55"/>
        <v>77436.689119688177</v>
      </c>
    </row>
    <row r="92" spans="1:37">
      <c r="B92" t="s">
        <v>16</v>
      </c>
      <c r="C92" t="s">
        <v>20</v>
      </c>
      <c r="D92" t="s">
        <v>17</v>
      </c>
      <c r="E92" t="s">
        <v>24</v>
      </c>
      <c r="F92" t="s">
        <v>184</v>
      </c>
      <c r="G92" t="s">
        <v>21</v>
      </c>
      <c r="H92" t="s">
        <v>204</v>
      </c>
      <c r="I92" t="s">
        <v>16</v>
      </c>
      <c r="J92" t="s">
        <v>20</v>
      </c>
      <c r="K92" t="s">
        <v>17</v>
      </c>
      <c r="L92" t="s">
        <v>24</v>
      </c>
      <c r="M92" t="s">
        <v>184</v>
      </c>
      <c r="N92" t="s">
        <v>21</v>
      </c>
      <c r="O92" t="s">
        <v>204</v>
      </c>
    </row>
    <row r="93" spans="1:37">
      <c r="A93" t="s">
        <v>221</v>
      </c>
      <c r="B93" t="s">
        <v>3</v>
      </c>
      <c r="C93" t="s">
        <v>3</v>
      </c>
      <c r="D93" t="s">
        <v>3</v>
      </c>
      <c r="E93" t="s">
        <v>3</v>
      </c>
      <c r="F93" t="s">
        <v>3</v>
      </c>
      <c r="G93" t="s">
        <v>3</v>
      </c>
      <c r="H93" t="s">
        <v>3</v>
      </c>
      <c r="I93" t="s">
        <v>2</v>
      </c>
      <c r="J93" t="s">
        <v>2</v>
      </c>
      <c r="K93" t="s">
        <v>2</v>
      </c>
      <c r="L93" t="s">
        <v>2</v>
      </c>
      <c r="M93" t="s">
        <v>2</v>
      </c>
      <c r="N93" t="s">
        <v>2</v>
      </c>
      <c r="O93" t="s">
        <v>2</v>
      </c>
    </row>
    <row r="94" spans="1:37">
      <c r="A94" t="s">
        <v>134</v>
      </c>
      <c r="B94" s="35">
        <v>0.3</v>
      </c>
      <c r="C94" s="35">
        <v>0.3</v>
      </c>
      <c r="D94" s="35">
        <v>0.3</v>
      </c>
      <c r="E94" s="35">
        <v>0.3</v>
      </c>
      <c r="F94" s="35">
        <v>0.3</v>
      </c>
      <c r="G94" s="35">
        <v>0.3</v>
      </c>
      <c r="H94" s="35">
        <v>0.3</v>
      </c>
      <c r="I94" s="35">
        <v>0.3</v>
      </c>
      <c r="J94" s="35">
        <v>0.3</v>
      </c>
      <c r="K94" s="35">
        <v>0.3</v>
      </c>
      <c r="L94" s="35">
        <v>0.3</v>
      </c>
      <c r="M94" s="35">
        <v>0.3</v>
      </c>
      <c r="N94" s="35">
        <v>0.3</v>
      </c>
      <c r="O94" s="35">
        <v>0.3</v>
      </c>
    </row>
    <row r="95" spans="1:37">
      <c r="A95" t="s">
        <v>135</v>
      </c>
      <c r="B95" s="35">
        <v>0.3</v>
      </c>
      <c r="C95" s="35">
        <v>0.3</v>
      </c>
      <c r="D95" s="35">
        <v>0.3</v>
      </c>
      <c r="E95" s="35">
        <v>0.3</v>
      </c>
      <c r="F95" s="35">
        <v>0.3</v>
      </c>
      <c r="G95" s="35">
        <v>0.3</v>
      </c>
      <c r="H95" s="35">
        <v>0.3</v>
      </c>
      <c r="I95" s="35">
        <v>0.3</v>
      </c>
      <c r="J95" s="35">
        <v>0.3</v>
      </c>
      <c r="K95" s="35">
        <v>0.3</v>
      </c>
      <c r="L95" s="35">
        <v>0.3</v>
      </c>
      <c r="M95" s="35">
        <v>0.3</v>
      </c>
      <c r="N95" s="35">
        <v>0.3</v>
      </c>
      <c r="O95" s="35">
        <v>0.3</v>
      </c>
    </row>
    <row r="96" spans="1:37">
      <c r="A96" t="s">
        <v>136</v>
      </c>
      <c r="B96" s="35">
        <v>0.3</v>
      </c>
      <c r="C96" s="35">
        <v>0.3</v>
      </c>
      <c r="D96" s="35">
        <v>0.3</v>
      </c>
      <c r="E96" s="35">
        <v>0.3</v>
      </c>
      <c r="F96" s="35">
        <v>0.3</v>
      </c>
      <c r="G96" s="35">
        <v>0.3</v>
      </c>
      <c r="H96" s="35">
        <v>0.3</v>
      </c>
      <c r="I96" s="35">
        <v>0.3</v>
      </c>
      <c r="J96" s="35">
        <v>0.3</v>
      </c>
      <c r="K96" s="35">
        <v>0.3</v>
      </c>
      <c r="L96" s="35">
        <v>0.3</v>
      </c>
      <c r="M96" s="35">
        <v>0.3</v>
      </c>
      <c r="N96" s="35">
        <v>0.3</v>
      </c>
      <c r="O96" s="35">
        <v>0.3</v>
      </c>
    </row>
    <row r="97" spans="1:15">
      <c r="A97" t="s">
        <v>137</v>
      </c>
      <c r="B97" s="35">
        <v>0.3</v>
      </c>
      <c r="C97" s="35">
        <v>0.3</v>
      </c>
      <c r="D97" s="35">
        <v>0.3</v>
      </c>
      <c r="E97" s="35">
        <v>0.3</v>
      </c>
      <c r="F97" s="35">
        <v>0.3</v>
      </c>
      <c r="G97" s="35">
        <v>0.3</v>
      </c>
      <c r="H97" s="35">
        <v>0.3</v>
      </c>
      <c r="I97" s="35">
        <v>0.3</v>
      </c>
      <c r="J97" s="35">
        <v>0.3</v>
      </c>
      <c r="K97" s="35">
        <v>0.3</v>
      </c>
      <c r="L97" s="35">
        <v>0.3</v>
      </c>
      <c r="M97" s="35">
        <v>0.3</v>
      </c>
      <c r="N97" s="35">
        <v>0.3</v>
      </c>
      <c r="O97" s="35">
        <v>0.3</v>
      </c>
    </row>
    <row r="98" spans="1:15">
      <c r="A98" t="s">
        <v>138</v>
      </c>
      <c r="B98" s="35">
        <v>0.3</v>
      </c>
      <c r="C98" s="35">
        <v>0.3</v>
      </c>
      <c r="D98" s="35">
        <v>0.3</v>
      </c>
      <c r="E98" s="35">
        <v>0.3</v>
      </c>
      <c r="F98" s="35">
        <v>0.3</v>
      </c>
      <c r="G98" s="35">
        <v>0.3</v>
      </c>
      <c r="H98" s="35">
        <v>0.3</v>
      </c>
      <c r="I98" s="35">
        <v>0.3</v>
      </c>
      <c r="J98" s="35">
        <v>0.3</v>
      </c>
      <c r="K98" s="35">
        <v>0.3</v>
      </c>
      <c r="L98" s="35">
        <v>0.3</v>
      </c>
      <c r="M98" s="35">
        <v>0.3</v>
      </c>
      <c r="N98" s="35">
        <v>0.3</v>
      </c>
      <c r="O98" s="35">
        <v>0.3</v>
      </c>
    </row>
    <row r="99" spans="1:15">
      <c r="A99" t="s">
        <v>139</v>
      </c>
      <c r="B99" s="35">
        <v>0.3</v>
      </c>
      <c r="C99" s="35">
        <v>0.3</v>
      </c>
      <c r="D99" s="35">
        <v>0.3</v>
      </c>
      <c r="E99" s="35">
        <v>0.3</v>
      </c>
      <c r="F99" s="35">
        <v>0.3</v>
      </c>
      <c r="G99" s="35">
        <v>0.3</v>
      </c>
      <c r="H99" s="35">
        <v>0.3</v>
      </c>
      <c r="I99" s="35">
        <v>0.3</v>
      </c>
      <c r="J99" s="35">
        <v>0.3</v>
      </c>
      <c r="K99" s="35">
        <v>0.3</v>
      </c>
      <c r="L99" s="35">
        <v>0.3</v>
      </c>
      <c r="M99" s="35">
        <v>0.3</v>
      </c>
      <c r="N99" s="35">
        <v>0.3</v>
      </c>
      <c r="O99" s="35">
        <v>0.3</v>
      </c>
    </row>
    <row r="100" spans="1:15">
      <c r="A100" t="s">
        <v>140</v>
      </c>
      <c r="B100" s="35">
        <v>0.3</v>
      </c>
      <c r="C100" s="35">
        <v>0.3</v>
      </c>
      <c r="D100" s="35">
        <v>0.3</v>
      </c>
      <c r="E100" s="35">
        <v>0.3</v>
      </c>
      <c r="F100" s="35">
        <v>0.3</v>
      </c>
      <c r="G100" s="35">
        <v>0.3</v>
      </c>
      <c r="H100" s="35">
        <v>0.3</v>
      </c>
      <c r="I100" s="35">
        <v>0.3</v>
      </c>
      <c r="J100" s="35">
        <v>0.3</v>
      </c>
      <c r="K100" s="35">
        <v>0.3</v>
      </c>
      <c r="L100" s="35">
        <v>0.3</v>
      </c>
      <c r="M100" s="35">
        <v>0.3</v>
      </c>
      <c r="N100" s="35">
        <v>0.3</v>
      </c>
      <c r="O100" s="35">
        <v>0.3</v>
      </c>
    </row>
    <row r="101" spans="1:15">
      <c r="A101" t="s">
        <v>141</v>
      </c>
      <c r="B101" s="35">
        <v>0.3</v>
      </c>
      <c r="C101" s="35">
        <v>0.3</v>
      </c>
      <c r="D101" s="35">
        <v>0.3</v>
      </c>
      <c r="E101" s="35">
        <v>0.3</v>
      </c>
      <c r="F101" s="35">
        <v>0.3</v>
      </c>
      <c r="G101" s="35">
        <v>0.3</v>
      </c>
      <c r="H101" s="35">
        <v>0.3</v>
      </c>
      <c r="I101" s="35">
        <v>0.3</v>
      </c>
      <c r="J101" s="35">
        <v>0.3</v>
      </c>
      <c r="K101" s="35">
        <v>0.3</v>
      </c>
      <c r="L101" s="35">
        <v>0.3</v>
      </c>
      <c r="M101" s="35">
        <v>0.3</v>
      </c>
      <c r="N101" s="35">
        <v>0.3</v>
      </c>
      <c r="O101" s="35">
        <v>0.3</v>
      </c>
    </row>
    <row r="102" spans="1:15">
      <c r="A102" t="s">
        <v>142</v>
      </c>
      <c r="B102" s="35">
        <v>0.3</v>
      </c>
      <c r="C102" s="35">
        <v>0.3</v>
      </c>
      <c r="D102" s="35">
        <v>0.3</v>
      </c>
      <c r="E102" s="35">
        <v>0.3</v>
      </c>
      <c r="F102" s="35">
        <v>0.3</v>
      </c>
      <c r="G102" s="35">
        <v>0.3</v>
      </c>
      <c r="H102" s="35">
        <v>0.3</v>
      </c>
      <c r="I102" s="35">
        <v>0.3</v>
      </c>
      <c r="J102" s="35">
        <v>0.3</v>
      </c>
      <c r="K102" s="35">
        <v>0.3</v>
      </c>
      <c r="L102" s="35">
        <v>0.3</v>
      </c>
      <c r="M102" s="35">
        <v>0.3</v>
      </c>
      <c r="N102" s="35">
        <v>0.3</v>
      </c>
      <c r="O102" s="35">
        <v>0.3</v>
      </c>
    </row>
    <row r="103" spans="1:15">
      <c r="A103" t="s">
        <v>143</v>
      </c>
      <c r="B103" s="35">
        <v>0.3</v>
      </c>
      <c r="C103" s="35">
        <v>0.3</v>
      </c>
      <c r="D103" s="35">
        <v>0.3</v>
      </c>
      <c r="E103" s="35">
        <v>0.3</v>
      </c>
      <c r="F103" s="35">
        <v>0.3</v>
      </c>
      <c r="G103" s="35">
        <v>0.3</v>
      </c>
      <c r="H103" s="35">
        <v>0.3</v>
      </c>
      <c r="I103" s="35">
        <v>0.3</v>
      </c>
      <c r="J103" s="35">
        <v>0.3</v>
      </c>
      <c r="K103" s="35">
        <v>0.3</v>
      </c>
      <c r="L103" s="35">
        <v>0.3</v>
      </c>
      <c r="M103" s="35">
        <v>0.3</v>
      </c>
      <c r="N103" s="35">
        <v>0.3</v>
      </c>
      <c r="O103" s="35">
        <v>0.3</v>
      </c>
    </row>
    <row r="104" spans="1:15">
      <c r="A104" t="s">
        <v>144</v>
      </c>
      <c r="B104" s="35">
        <v>0.3</v>
      </c>
      <c r="C104" s="35">
        <v>0.3</v>
      </c>
      <c r="D104" s="35">
        <v>0.3</v>
      </c>
      <c r="E104" s="35">
        <v>0.3</v>
      </c>
      <c r="F104" s="35">
        <v>0.3</v>
      </c>
      <c r="G104" s="35">
        <v>0.3</v>
      </c>
      <c r="H104" s="35">
        <v>0.3</v>
      </c>
      <c r="I104" s="35">
        <v>0.3</v>
      </c>
      <c r="J104" s="35">
        <v>0.3</v>
      </c>
      <c r="K104" s="35">
        <v>0.3</v>
      </c>
      <c r="L104" s="35">
        <v>0.3</v>
      </c>
      <c r="M104" s="35">
        <v>0.3</v>
      </c>
      <c r="N104" s="35">
        <v>0.3</v>
      </c>
      <c r="O104" s="35">
        <v>0.3</v>
      </c>
    </row>
    <row r="105" spans="1:15">
      <c r="A105" t="s">
        <v>145</v>
      </c>
      <c r="B105" s="35">
        <v>0.3</v>
      </c>
      <c r="C105" s="35">
        <v>0.3</v>
      </c>
      <c r="D105" s="35">
        <v>0.3</v>
      </c>
      <c r="E105" s="35">
        <v>0.3</v>
      </c>
      <c r="F105" s="35">
        <v>0.3</v>
      </c>
      <c r="G105" s="35">
        <v>0.3</v>
      </c>
      <c r="H105" s="35">
        <v>0.3</v>
      </c>
      <c r="I105" s="35">
        <v>0.3</v>
      </c>
      <c r="J105" s="35">
        <v>0.3</v>
      </c>
      <c r="K105" s="35">
        <v>0.3</v>
      </c>
      <c r="L105" s="35">
        <v>0.3</v>
      </c>
      <c r="M105" s="35">
        <v>0.3</v>
      </c>
      <c r="N105" s="35">
        <v>0.3</v>
      </c>
      <c r="O105" s="35">
        <v>0.3</v>
      </c>
    </row>
    <row r="106" spans="1:15">
      <c r="A106" t="s">
        <v>146</v>
      </c>
      <c r="B106" s="35">
        <v>0.3</v>
      </c>
      <c r="C106" s="35">
        <v>0.3</v>
      </c>
      <c r="D106" s="35">
        <v>0.3</v>
      </c>
      <c r="E106" s="35">
        <v>0.3</v>
      </c>
      <c r="F106" s="35">
        <v>0.3</v>
      </c>
      <c r="G106" s="35">
        <v>0.3</v>
      </c>
      <c r="H106" s="35">
        <v>0.3</v>
      </c>
      <c r="I106" s="35">
        <v>0.3</v>
      </c>
      <c r="J106" s="35">
        <v>0.3</v>
      </c>
      <c r="K106" s="35">
        <v>0.3</v>
      </c>
      <c r="L106" s="35">
        <v>0.3</v>
      </c>
      <c r="M106" s="35">
        <v>0.3</v>
      </c>
      <c r="N106" s="35">
        <v>0.3</v>
      </c>
      <c r="O106" s="35">
        <v>0.3</v>
      </c>
    </row>
    <row r="107" spans="1:15">
      <c r="A107" t="s">
        <v>148</v>
      </c>
      <c r="B107" s="35">
        <v>0.3</v>
      </c>
      <c r="C107" s="35">
        <v>0.3</v>
      </c>
      <c r="D107" s="35">
        <v>0.3</v>
      </c>
      <c r="E107" s="35">
        <v>0.3</v>
      </c>
      <c r="F107" s="35">
        <v>0.3</v>
      </c>
      <c r="G107" s="35">
        <v>0.3</v>
      </c>
      <c r="H107" s="35">
        <v>0.3</v>
      </c>
      <c r="I107" s="35">
        <v>0.3</v>
      </c>
      <c r="J107" s="35">
        <v>0.3</v>
      </c>
      <c r="K107" s="35">
        <v>0.3</v>
      </c>
      <c r="L107" s="35">
        <v>0.3</v>
      </c>
      <c r="M107" s="35">
        <v>0.3</v>
      </c>
      <c r="N107" s="35">
        <v>0.3</v>
      </c>
      <c r="O107" s="35">
        <v>0.3</v>
      </c>
    </row>
    <row r="108" spans="1:15">
      <c r="A108" t="s">
        <v>147</v>
      </c>
      <c r="B108" s="35">
        <v>0.3</v>
      </c>
      <c r="C108" s="35">
        <v>0.3</v>
      </c>
      <c r="D108" s="35">
        <v>0.3</v>
      </c>
      <c r="E108" s="35">
        <v>0.3</v>
      </c>
      <c r="F108" s="35">
        <v>0.3</v>
      </c>
      <c r="G108" s="35">
        <v>0.3</v>
      </c>
      <c r="H108" s="35">
        <v>0.3</v>
      </c>
      <c r="I108" s="35">
        <v>0.3</v>
      </c>
      <c r="J108" s="35">
        <v>0.3</v>
      </c>
      <c r="K108" s="35">
        <v>0.3</v>
      </c>
      <c r="L108" s="35">
        <v>0.3</v>
      </c>
      <c r="M108" s="35">
        <v>0.3</v>
      </c>
      <c r="N108" s="35">
        <v>0.3</v>
      </c>
      <c r="O108" s="35">
        <v>0.3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L64"/>
  <sheetViews>
    <sheetView topLeftCell="A20" zoomScale="85" zoomScaleNormal="85" workbookViewId="0">
      <selection activeCell="F46" sqref="F46"/>
    </sheetView>
  </sheetViews>
  <sheetFormatPr defaultRowHeight="15.75"/>
  <cols>
    <col min="2" max="2" width="10.75" bestFit="1" customWidth="1"/>
  </cols>
  <sheetData>
    <row r="1" spans="2:38">
      <c r="C1" t="str">
        <f t="array" ref="C1:I1">TRANSPOSE(Crops)</f>
        <v>Teff</v>
      </c>
      <c r="D1" t="str">
        <v>Sorghum</v>
      </c>
      <c r="E1" t="str">
        <v>Maize</v>
      </c>
      <c r="F1" t="str">
        <v>Lentils</v>
      </c>
      <c r="G1" t="str">
        <v>Wheat</v>
      </c>
      <c r="H1" t="str">
        <v>Vegetables</v>
      </c>
      <c r="I1" t="str">
        <v>CashCrop</v>
      </c>
      <c r="J1" t="s">
        <v>22</v>
      </c>
      <c r="K1" t="s">
        <v>23</v>
      </c>
    </row>
    <row r="2" spans="2:38">
      <c r="B2" t="str">
        <f t="array" ref="B2:B16">Adapt</f>
        <v>A1</v>
      </c>
      <c r="C2" s="3">
        <f>AF2/2</f>
        <v>1590.0901236230691</v>
      </c>
      <c r="D2" s="3">
        <f t="shared" ref="D2:I2" si="0">AG2/2</f>
        <v>2094.8313013586776</v>
      </c>
      <c r="E2" s="3">
        <f t="shared" si="0"/>
        <v>2663.2362076373574</v>
      </c>
      <c r="F2" s="3">
        <f t="shared" si="0"/>
        <v>956.37481759896627</v>
      </c>
      <c r="G2" s="3">
        <f t="shared" si="0"/>
        <v>1321.5245959905385</v>
      </c>
      <c r="H2" s="3">
        <f t="shared" si="0"/>
        <v>2507.5129724017497</v>
      </c>
      <c r="I2" s="3">
        <f t="shared" si="0"/>
        <v>153.76526424682481</v>
      </c>
      <c r="J2" s="2">
        <f>VLOOKUP($B2,Elec!$Y$41:$Z$54,2,0)/SUM(Elec!$Z$41:$Z$54)*SUM(TargetProduction!$AE$4:$AE$18)</f>
        <v>0</v>
      </c>
      <c r="K2" s="2">
        <f>VLOOKUP($B2,Elec!$Y$41:$Z$54,2,0)/SUM(Elec!$Z$41:$Z$54)*SUM(TargetProduction!$AE$4:$AE$18)</f>
        <v>0</v>
      </c>
      <c r="L2" s="3"/>
      <c r="M2" s="3"/>
      <c r="N2" s="3"/>
      <c r="O2" s="3">
        <v>1590.0901236231387</v>
      </c>
      <c r="P2" s="3"/>
      <c r="Q2" s="3"/>
      <c r="R2" s="3"/>
      <c r="S2" s="3"/>
      <c r="T2" s="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3">
        <v>3180.1802472461382</v>
      </c>
      <c r="AG2" s="3">
        <v>4189.6626027173552</v>
      </c>
      <c r="AH2" s="3">
        <v>5326.4724152747149</v>
      </c>
      <c r="AI2" s="3">
        <v>1912.7496351979325</v>
      </c>
      <c r="AJ2" s="3">
        <v>2643.049191981077</v>
      </c>
      <c r="AK2" s="3">
        <v>5015.0259448034994</v>
      </c>
      <c r="AL2" s="3">
        <v>307.53052849364963</v>
      </c>
    </row>
    <row r="3" spans="2:38">
      <c r="B3" t="str">
        <v>H2</v>
      </c>
      <c r="C3" s="3">
        <f t="shared" ref="C3:C15" si="1">AF3/2</f>
        <v>627.66862415173523</v>
      </c>
      <c r="D3" s="3">
        <f t="shared" ref="D3:D15" si="2">AG3/2</f>
        <v>826.9090293812036</v>
      </c>
      <c r="E3" s="3">
        <f t="shared" ref="E3:E15" si="3">AH3/2</f>
        <v>1051.279912631597</v>
      </c>
      <c r="F3" s="3">
        <f t="shared" ref="F3:F15" si="4">AI3/2</f>
        <v>377.51725956761419</v>
      </c>
      <c r="G3" s="3">
        <f t="shared" ref="G3:G15" si="5">AJ3/2</f>
        <v>521.6556675781776</v>
      </c>
      <c r="H3" s="3">
        <f t="shared" ref="H3:H15" si="6">AK3/2</f>
        <v>989.81007054108613</v>
      </c>
      <c r="I3" s="3">
        <f t="shared" ref="I3:I15" si="7">AL3/2</f>
        <v>60.696956995257146</v>
      </c>
      <c r="J3" s="2">
        <f>VLOOKUP($B3,Elec!$Y$41:$Z$54,2,0)/SUM(Elec!$Z$41:$Z$54)*SUM(TargetProduction!$AE$4:$AE$18)</f>
        <v>0</v>
      </c>
      <c r="K3" s="2">
        <f>VLOOKUP($B3,Elec!$Y$41:$Z$54,2,0)/SUM(Elec!$Z$41:$Z$54)*SUM(TargetProduction!$AE$4:$AE$18)</f>
        <v>0</v>
      </c>
      <c r="L3" s="3"/>
      <c r="M3" s="3"/>
      <c r="N3" s="3"/>
      <c r="O3" s="3">
        <v>627.66862415173682</v>
      </c>
      <c r="P3" s="3"/>
      <c r="Q3" s="3"/>
      <c r="R3" s="3"/>
      <c r="S3" s="3"/>
      <c r="T3" s="3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3">
        <v>1255.3372483034705</v>
      </c>
      <c r="AG3" s="3">
        <v>1653.8180587624072</v>
      </c>
      <c r="AH3" s="3">
        <v>2102.5598252631939</v>
      </c>
      <c r="AI3" s="3">
        <v>755.03451913522838</v>
      </c>
      <c r="AJ3" s="3">
        <v>1043.3113351563552</v>
      </c>
      <c r="AK3" s="3">
        <v>1979.6201410821723</v>
      </c>
      <c r="AL3" s="3">
        <v>121.39391399051429</v>
      </c>
    </row>
    <row r="4" spans="2:38">
      <c r="B4" t="str">
        <v>H3</v>
      </c>
      <c r="C4" s="3">
        <f t="shared" si="1"/>
        <v>2118.0389313851565</v>
      </c>
      <c r="D4" s="3">
        <f t="shared" si="2"/>
        <v>2790.3665239126317</v>
      </c>
      <c r="E4" s="3">
        <f t="shared" si="3"/>
        <v>3547.4957597986099</v>
      </c>
      <c r="F4" s="3">
        <f t="shared" si="4"/>
        <v>1273.9146458286953</v>
      </c>
      <c r="G4" s="3">
        <f t="shared" si="5"/>
        <v>1760.3030806287263</v>
      </c>
      <c r="H4" s="3">
        <f t="shared" si="6"/>
        <v>3340.068602148739</v>
      </c>
      <c r="I4" s="3">
        <f t="shared" si="7"/>
        <v>204.81909240932038</v>
      </c>
      <c r="J4" s="2">
        <f>VLOOKUP($B4,Elec!$Y$41:$Z$54,2,0)/SUM(Elec!$Z$41:$Z$54)*SUM(TargetProduction!$AE$4:$AE$18)</f>
        <v>0</v>
      </c>
      <c r="K4" s="2">
        <f>VLOOKUP($B4,Elec!$Y$41:$Z$54,2,0)/SUM(Elec!$Z$41:$Z$54)*SUM(TargetProduction!$AE$4:$AE$18)</f>
        <v>0</v>
      </c>
      <c r="L4" s="3"/>
      <c r="M4" s="3"/>
      <c r="N4" s="3"/>
      <c r="O4" s="3">
        <v>2118.0389313851579</v>
      </c>
      <c r="P4" s="3"/>
      <c r="Q4" s="3"/>
      <c r="R4" s="3"/>
      <c r="S4" s="3"/>
      <c r="T4" s="3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3">
        <v>4236.077862770313</v>
      </c>
      <c r="AG4" s="3">
        <v>5580.7330478252634</v>
      </c>
      <c r="AH4" s="3">
        <v>7094.9915195972198</v>
      </c>
      <c r="AI4" s="3">
        <v>2547.8292916573905</v>
      </c>
      <c r="AJ4" s="3">
        <v>3520.6061612574526</v>
      </c>
      <c r="AK4" s="3">
        <v>6680.1372042974781</v>
      </c>
      <c r="AL4" s="3">
        <v>409.63818481864075</v>
      </c>
    </row>
    <row r="5" spans="2:38">
      <c r="B5" t="str">
        <v>H4</v>
      </c>
      <c r="C5" s="3">
        <f t="shared" si="1"/>
        <v>951.11373196200896</v>
      </c>
      <c r="D5" s="3">
        <f t="shared" si="2"/>
        <v>1253.0250878650118</v>
      </c>
      <c r="E5" s="3">
        <f t="shared" si="3"/>
        <v>1593.0169560268093</v>
      </c>
      <c r="F5" s="3">
        <f t="shared" si="4"/>
        <v>572.05639379008187</v>
      </c>
      <c r="G5" s="3">
        <f t="shared" si="5"/>
        <v>790.47103789828964</v>
      </c>
      <c r="H5" s="3">
        <f t="shared" si="6"/>
        <v>1499.8709731559379</v>
      </c>
      <c r="I5" s="3">
        <f t="shared" si="7"/>
        <v>91.974820892976112</v>
      </c>
      <c r="J5" s="2">
        <f>VLOOKUP($B5,Elec!$Y$41:$Z$54,2,0)/SUM(Elec!$Z$41:$Z$54)*SUM(TargetProduction!$AE$4:$AE$18)</f>
        <v>0</v>
      </c>
      <c r="K5" s="2">
        <f>VLOOKUP($B5,Elec!$Y$41:$Z$54,2,0)/SUM(Elec!$Z$41:$Z$54)*SUM(TargetProduction!$AE$4:$AE$18)</f>
        <v>0</v>
      </c>
      <c r="L5" s="3"/>
      <c r="M5" s="3"/>
      <c r="N5" s="3"/>
      <c r="O5" s="3">
        <v>951.11373196200998</v>
      </c>
      <c r="P5" s="3"/>
      <c r="Q5" s="3"/>
      <c r="R5" s="3"/>
      <c r="S5" s="3"/>
      <c r="T5" s="3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3">
        <v>1902.2274639240179</v>
      </c>
      <c r="AG5" s="3">
        <v>2506.0501757300235</v>
      </c>
      <c r="AH5" s="3">
        <v>3186.0339120536187</v>
      </c>
      <c r="AI5" s="3">
        <v>1144.1127875801637</v>
      </c>
      <c r="AJ5" s="3">
        <v>1580.9420757965793</v>
      </c>
      <c r="AK5" s="3">
        <v>2999.7419463118758</v>
      </c>
      <c r="AL5" s="3">
        <v>183.94964178595222</v>
      </c>
    </row>
    <row r="6" spans="2:38">
      <c r="B6" t="str">
        <v>H5</v>
      </c>
      <c r="C6" s="3">
        <f t="shared" si="1"/>
        <v>52.638511358595068</v>
      </c>
      <c r="D6" s="3">
        <f t="shared" si="2"/>
        <v>69.347516604693055</v>
      </c>
      <c r="E6" s="3">
        <f t="shared" si="3"/>
        <v>88.164052643076744</v>
      </c>
      <c r="F6" s="3">
        <f t="shared" si="4"/>
        <v>31.659932950562162</v>
      </c>
      <c r="G6" s="3">
        <f t="shared" si="5"/>
        <v>43.747889772567781</v>
      </c>
      <c r="H6" s="3">
        <f t="shared" si="6"/>
        <v>83.008974220182395</v>
      </c>
      <c r="I6" s="3">
        <f t="shared" si="7"/>
        <v>5.0902615445289925</v>
      </c>
      <c r="J6" s="2">
        <f>VLOOKUP($B6,Elec!$Y$41:$Z$54,2,0)/SUM(Elec!$Z$41:$Z$54)*SUM(TargetProduction!$AE$4:$AE$18)</f>
        <v>0</v>
      </c>
      <c r="K6" s="2">
        <f>VLOOKUP($B6,Elec!$Y$41:$Z$54,2,0)/SUM(Elec!$Z$41:$Z$54)*SUM(TargetProduction!$AE$4:$AE$18)</f>
        <v>0</v>
      </c>
      <c r="L6" s="3"/>
      <c r="M6" s="3"/>
      <c r="N6" s="3"/>
      <c r="O6" s="3">
        <v>52.638511358595139</v>
      </c>
      <c r="P6" s="3"/>
      <c r="Q6" s="3"/>
      <c r="R6" s="3"/>
      <c r="S6" s="3"/>
      <c r="T6" s="3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3">
        <v>105.27702271719014</v>
      </c>
      <c r="AG6" s="3">
        <v>138.69503320938611</v>
      </c>
      <c r="AH6" s="3">
        <v>176.32810528615349</v>
      </c>
      <c r="AI6" s="3">
        <v>63.319865901124324</v>
      </c>
      <c r="AJ6" s="3">
        <v>87.495779545135562</v>
      </c>
      <c r="AK6" s="3">
        <v>166.01794844036479</v>
      </c>
      <c r="AL6" s="3">
        <v>10.180523089057985</v>
      </c>
    </row>
    <row r="7" spans="2:38">
      <c r="B7" t="str">
        <v>M1</v>
      </c>
      <c r="C7" s="3">
        <f t="shared" si="1"/>
        <v>1668.0954434306402</v>
      </c>
      <c r="D7" s="3">
        <f t="shared" si="2"/>
        <v>2197.5977943880562</v>
      </c>
      <c r="E7" s="3">
        <f t="shared" si="3"/>
        <v>2793.887036174357</v>
      </c>
      <c r="F7" s="3">
        <f t="shared" si="4"/>
        <v>1003.291858585757</v>
      </c>
      <c r="G7" s="3">
        <f t="shared" si="5"/>
        <v>1386.354851340423</v>
      </c>
      <c r="H7" s="3">
        <f t="shared" si="6"/>
        <v>2630.5244598815616</v>
      </c>
      <c r="I7" s="3">
        <f t="shared" si="7"/>
        <v>161.30855279045741</v>
      </c>
      <c r="J7" s="2">
        <f>VLOOKUP($B7,Elec!$Y$41:$Z$54,2,0)/SUM(Elec!$Z$41:$Z$54)*SUM(TargetProduction!$AE$4:$AE$18)</f>
        <v>0</v>
      </c>
      <c r="K7" s="2">
        <f>VLOOKUP($B7,Elec!$Y$41:$Z$54,2,0)/SUM(Elec!$Z$41:$Z$54)*SUM(TargetProduction!$AE$4:$AE$18)</f>
        <v>0</v>
      </c>
      <c r="L7" s="3"/>
      <c r="M7" s="3"/>
      <c r="N7" s="3"/>
      <c r="O7" s="3">
        <v>1668.0954434306359</v>
      </c>
      <c r="P7" s="3"/>
      <c r="Q7" s="3"/>
      <c r="R7" s="3"/>
      <c r="S7" s="3"/>
      <c r="T7" s="3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3">
        <v>3336.1908868612804</v>
      </c>
      <c r="AG7" s="3">
        <v>4395.1955887761123</v>
      </c>
      <c r="AH7" s="3">
        <v>5587.7740723487141</v>
      </c>
      <c r="AI7" s="3">
        <v>2006.5837171715141</v>
      </c>
      <c r="AJ7" s="3">
        <v>2772.709702680846</v>
      </c>
      <c r="AK7" s="3">
        <v>5261.0489197631232</v>
      </c>
      <c r="AL7" s="3">
        <v>322.61710558091482</v>
      </c>
    </row>
    <row r="8" spans="2:38">
      <c r="B8" t="str">
        <v>M3</v>
      </c>
      <c r="C8" s="3">
        <f t="shared" si="1"/>
        <v>6106.5031485885293</v>
      </c>
      <c r="D8" s="3">
        <f t="shared" si="2"/>
        <v>8044.8861026577479</v>
      </c>
      <c r="E8" s="3">
        <f t="shared" si="3"/>
        <v>10227.760078351166</v>
      </c>
      <c r="F8" s="3">
        <f t="shared" si="4"/>
        <v>3672.8143569573322</v>
      </c>
      <c r="G8" s="3">
        <f t="shared" si="5"/>
        <v>5075.1174329451878</v>
      </c>
      <c r="H8" s="3">
        <f t="shared" si="6"/>
        <v>9629.728298801514</v>
      </c>
      <c r="I8" s="3">
        <f t="shared" si="7"/>
        <v>590.51248499507403</v>
      </c>
      <c r="J8" s="2">
        <f>VLOOKUP($B8,Elec!$Y$41:$Z$54,2,0)/SUM(Elec!$Z$41:$Z$54)*SUM(TargetProduction!$AE$4:$AE$18)</f>
        <v>0</v>
      </c>
      <c r="K8" s="2">
        <f>VLOOKUP($B8,Elec!$Y$41:$Z$54,2,0)/SUM(Elec!$Z$41:$Z$54)*SUM(TargetProduction!$AE$4:$AE$18)</f>
        <v>0</v>
      </c>
      <c r="L8" s="3"/>
      <c r="M8" s="3"/>
      <c r="N8" s="3"/>
      <c r="O8" s="3">
        <v>6106.5031485885274</v>
      </c>
      <c r="P8" s="3"/>
      <c r="Q8" s="3"/>
      <c r="R8" s="3"/>
      <c r="S8" s="3"/>
      <c r="T8" s="3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3">
        <v>12213.006297177059</v>
      </c>
      <c r="AG8" s="3">
        <v>16089.772205315496</v>
      </c>
      <c r="AH8" s="3">
        <v>20455.520156702332</v>
      </c>
      <c r="AI8" s="3">
        <v>7345.6287139146643</v>
      </c>
      <c r="AJ8" s="3">
        <v>10150.234865890376</v>
      </c>
      <c r="AK8" s="3">
        <v>19259.456597603028</v>
      </c>
      <c r="AL8" s="3">
        <v>1181.0249699901481</v>
      </c>
    </row>
    <row r="9" spans="2:38">
      <c r="B9" t="str">
        <v>M5</v>
      </c>
      <c r="C9" s="3">
        <f t="shared" si="1"/>
        <v>43.774046098309171</v>
      </c>
      <c r="D9" s="3">
        <f t="shared" si="2"/>
        <v>57.669210437529294</v>
      </c>
      <c r="E9" s="3">
        <f t="shared" si="3"/>
        <v>73.31699178042264</v>
      </c>
      <c r="F9" s="3">
        <f t="shared" si="4"/>
        <v>26.328316068934424</v>
      </c>
      <c r="G9" s="3">
        <f t="shared" si="5"/>
        <v>36.380628824440279</v>
      </c>
      <c r="H9" s="3">
        <f t="shared" si="6"/>
        <v>69.030042269504719</v>
      </c>
      <c r="I9" s="3">
        <f t="shared" si="7"/>
        <v>4.2330479671948247</v>
      </c>
      <c r="J9" s="2">
        <f>VLOOKUP($B9,Elec!$Y$41:$Z$54,2,0)/SUM(Elec!$Z$41:$Z$54)*SUM(TargetProduction!$AE$4:$AE$18)</f>
        <v>0</v>
      </c>
      <c r="K9" s="2">
        <f>VLOOKUP($B9,Elec!$Y$41:$Z$54,2,0)/SUM(Elec!$Z$41:$Z$54)*SUM(TargetProduction!$AE$4:$AE$18)</f>
        <v>0</v>
      </c>
      <c r="L9" s="3"/>
      <c r="M9" s="3"/>
      <c r="N9" s="3"/>
      <c r="O9" s="3">
        <v>43.774046098308958</v>
      </c>
      <c r="P9" s="3"/>
      <c r="Q9" s="3"/>
      <c r="R9" s="3"/>
      <c r="S9" s="3"/>
      <c r="T9" s="3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3">
        <v>87.548092196618342</v>
      </c>
      <c r="AG9" s="3">
        <v>115.33842087505859</v>
      </c>
      <c r="AH9" s="3">
        <v>146.63398356084528</v>
      </c>
      <c r="AI9" s="3">
        <v>52.656632137868847</v>
      </c>
      <c r="AJ9" s="3">
        <v>72.761257648880559</v>
      </c>
      <c r="AK9" s="3">
        <v>138.06008453900944</v>
      </c>
      <c r="AL9" s="3">
        <v>8.4660959343896494</v>
      </c>
    </row>
    <row r="10" spans="2:38">
      <c r="B10" t="str">
        <v>SA1</v>
      </c>
      <c r="C10" s="3">
        <f t="shared" si="1"/>
        <v>156.99354685674803</v>
      </c>
      <c r="D10" s="3">
        <f t="shared" si="2"/>
        <v>206.82789684743415</v>
      </c>
      <c r="E10" s="3">
        <f t="shared" si="3"/>
        <v>262.947924864551</v>
      </c>
      <c r="F10" s="3">
        <f t="shared" si="4"/>
        <v>94.425260875923115</v>
      </c>
      <c r="G10" s="3">
        <f t="shared" si="5"/>
        <v>130.47740533741378</v>
      </c>
      <c r="H10" s="3">
        <f t="shared" si="6"/>
        <v>247.57298311474545</v>
      </c>
      <c r="I10" s="3">
        <f t="shared" si="7"/>
        <v>15.181626411508081</v>
      </c>
      <c r="J10" s="2">
        <f>VLOOKUP($B10,Elec!$Y$41:$Z$54,2,0)/SUM(Elec!$Z$41:$Z$54)*SUM(TargetProduction!$AE$4:$AE$18)</f>
        <v>0</v>
      </c>
      <c r="K10" s="2">
        <f>VLOOKUP($B10,Elec!$Y$41:$Z$54,2,0)/SUM(Elec!$Z$41:$Z$54)*SUM(TargetProduction!$AE$4:$AE$18)</f>
        <v>0</v>
      </c>
      <c r="L10" s="3"/>
      <c r="M10" s="3"/>
      <c r="N10" s="3"/>
      <c r="O10" s="3">
        <v>156.99354685674774</v>
      </c>
      <c r="P10" s="3"/>
      <c r="Q10" s="3"/>
      <c r="R10" s="3"/>
      <c r="S10" s="3"/>
      <c r="T10" s="3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3">
        <v>313.98709371349605</v>
      </c>
      <c r="AG10" s="3">
        <v>413.65579369486829</v>
      </c>
      <c r="AH10" s="3">
        <v>525.895849729102</v>
      </c>
      <c r="AI10" s="3">
        <v>188.85052175184623</v>
      </c>
      <c r="AJ10" s="3">
        <v>260.95481067482757</v>
      </c>
      <c r="AK10" s="3">
        <v>495.14596622949091</v>
      </c>
      <c r="AL10" s="3">
        <v>30.363252823016161</v>
      </c>
    </row>
    <row r="11" spans="2:38">
      <c r="B11" t="str">
        <v>SA3</v>
      </c>
      <c r="C11" s="3">
        <f t="shared" si="1"/>
        <v>3446.8921994931347</v>
      </c>
      <c r="D11" s="3">
        <f t="shared" si="2"/>
        <v>4541.0367403922919</v>
      </c>
      <c r="E11" s="3">
        <f t="shared" si="3"/>
        <v>5773.1873012305923</v>
      </c>
      <c r="F11" s="3">
        <f t="shared" si="4"/>
        <v>2073.1660737960706</v>
      </c>
      <c r="G11" s="3">
        <f t="shared" si="5"/>
        <v>2864.7136119423521</v>
      </c>
      <c r="H11" s="3">
        <f t="shared" si="6"/>
        <v>5435.6207716112385</v>
      </c>
      <c r="I11" s="3">
        <f t="shared" si="7"/>
        <v>333.32216961245683</v>
      </c>
      <c r="J11" s="2">
        <f>VLOOKUP($B11,Elec!$Y$41:$Z$54,2,0)/SUM(Elec!$Z$41:$Z$54)*SUM(TargetProduction!$AE$4:$AE$18)</f>
        <v>0</v>
      </c>
      <c r="K11" s="2">
        <f>VLOOKUP($B11,Elec!$Y$41:$Z$54,2,0)/SUM(Elec!$Z$41:$Z$54)*SUM(TargetProduction!$AE$4:$AE$18)</f>
        <v>0</v>
      </c>
      <c r="L11" s="3"/>
      <c r="M11" s="3"/>
      <c r="N11" s="3"/>
      <c r="O11" s="3">
        <v>3446.8921994931379</v>
      </c>
      <c r="P11" s="3"/>
      <c r="Q11" s="3"/>
      <c r="R11" s="3"/>
      <c r="S11" s="3"/>
      <c r="T11" s="3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3">
        <v>6893.7843989862695</v>
      </c>
      <c r="AG11" s="3">
        <v>9082.0734807845838</v>
      </c>
      <c r="AH11" s="3">
        <v>11546.374602461185</v>
      </c>
      <c r="AI11" s="3">
        <v>4146.3321475921412</v>
      </c>
      <c r="AJ11" s="3">
        <v>5729.4272238847043</v>
      </c>
      <c r="AK11" s="3">
        <v>10871.241543222477</v>
      </c>
      <c r="AL11" s="3">
        <v>666.64433922491367</v>
      </c>
    </row>
    <row r="12" spans="2:38">
      <c r="B12" t="str">
        <v>SH1</v>
      </c>
      <c r="C12" s="3">
        <f t="shared" si="1"/>
        <v>1934.8649446317631</v>
      </c>
      <c r="D12" s="3">
        <f t="shared" si="2"/>
        <v>2549.0477487407229</v>
      </c>
      <c r="E12" s="3">
        <f t="shared" si="3"/>
        <v>3240.6983106657426</v>
      </c>
      <c r="F12" s="3">
        <f t="shared" si="4"/>
        <v>1163.7429105493186</v>
      </c>
      <c r="G12" s="3">
        <f t="shared" si="5"/>
        <v>1608.0671002625988</v>
      </c>
      <c r="H12" s="3">
        <f t="shared" si="6"/>
        <v>3051.2100392490929</v>
      </c>
      <c r="I12" s="3">
        <f t="shared" si="7"/>
        <v>187.10575902158556</v>
      </c>
      <c r="J12" s="2">
        <f>VLOOKUP($B12,Elec!$Y$41:$Z$54,2,0)/SUM(Elec!$Z$41:$Z$54)*SUM(TargetProduction!$AE$4:$AE$18)</f>
        <v>0</v>
      </c>
      <c r="K12" s="2">
        <f>VLOOKUP($B12,Elec!$Y$41:$Z$54,2,0)/SUM(Elec!$Z$41:$Z$54)*SUM(TargetProduction!$AE$4:$AE$18)</f>
        <v>0</v>
      </c>
      <c r="L12" s="3"/>
      <c r="M12" s="3"/>
      <c r="N12" s="3"/>
      <c r="O12" s="3">
        <v>1934.8649446317688</v>
      </c>
      <c r="P12" s="3"/>
      <c r="Q12" s="3"/>
      <c r="R12" s="3"/>
      <c r="S12" s="3"/>
      <c r="T12" s="3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3">
        <v>3869.7298892635263</v>
      </c>
      <c r="AG12" s="3">
        <v>5098.0954974814458</v>
      </c>
      <c r="AH12" s="3">
        <v>6481.3966213314852</v>
      </c>
      <c r="AI12" s="3">
        <v>2327.4858210986372</v>
      </c>
      <c r="AJ12" s="3">
        <v>3216.1342005251977</v>
      </c>
      <c r="AK12" s="3">
        <v>6102.4200784981858</v>
      </c>
      <c r="AL12" s="3">
        <v>374.21151804317111</v>
      </c>
    </row>
    <row r="13" spans="2:38">
      <c r="B13" t="str">
        <v>SH3</v>
      </c>
      <c r="C13" s="3">
        <f t="shared" si="1"/>
        <v>4815.8761110848363</v>
      </c>
      <c r="D13" s="3">
        <f t="shared" si="2"/>
        <v>6344.5762419926086</v>
      </c>
      <c r="E13" s="3">
        <f t="shared" si="3"/>
        <v>8066.0935125569549</v>
      </c>
      <c r="F13" s="3">
        <f t="shared" si="4"/>
        <v>2896.5544587017257</v>
      </c>
      <c r="G13" s="3">
        <f t="shared" si="5"/>
        <v>4002.4767385766936</v>
      </c>
      <c r="H13" s="3">
        <f t="shared" si="6"/>
        <v>7594.4574729573651</v>
      </c>
      <c r="I13" s="3">
        <f t="shared" si="7"/>
        <v>465.70596961739875</v>
      </c>
      <c r="J13" s="2">
        <f>VLOOKUP($B13,Elec!$Y$41:$Z$54,2,0)/SUM(Elec!$Z$41:$Z$54)*SUM(TargetProduction!$AE$4:$AE$18)</f>
        <v>0</v>
      </c>
      <c r="K13" s="2">
        <f>VLOOKUP($B13,Elec!$Y$41:$Z$54,2,0)/SUM(Elec!$Z$41:$Z$54)*SUM(TargetProduction!$AE$4:$AE$18)</f>
        <v>0</v>
      </c>
      <c r="L13" s="3"/>
      <c r="M13" s="3"/>
      <c r="N13" s="3"/>
      <c r="O13" s="3">
        <v>4815.8761110848391</v>
      </c>
      <c r="P13" s="3"/>
      <c r="Q13" s="3"/>
      <c r="R13" s="3"/>
      <c r="S13" s="3"/>
      <c r="T13" s="3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3">
        <v>9631.7522221696727</v>
      </c>
      <c r="AG13" s="3">
        <v>12689.152483985217</v>
      </c>
      <c r="AH13" s="3">
        <v>16132.18702511391</v>
      </c>
      <c r="AI13" s="3">
        <v>5793.1089174034514</v>
      </c>
      <c r="AJ13" s="3">
        <v>8004.9534771533872</v>
      </c>
      <c r="AK13" s="3">
        <v>15188.91494591473</v>
      </c>
      <c r="AL13" s="3">
        <v>931.4119392347975</v>
      </c>
    </row>
    <row r="14" spans="2:38">
      <c r="B14" t="str">
        <v>SM2</v>
      </c>
      <c r="C14" s="3">
        <f t="shared" si="1"/>
        <v>581.186165350441</v>
      </c>
      <c r="D14" s="3">
        <f t="shared" si="2"/>
        <v>765.67167672146934</v>
      </c>
      <c r="E14" s="3">
        <f t="shared" si="3"/>
        <v>973.42661019264403</v>
      </c>
      <c r="F14" s="3">
        <f t="shared" si="4"/>
        <v>349.5599429368134</v>
      </c>
      <c r="G14" s="3">
        <f t="shared" si="5"/>
        <v>483.02407577376943</v>
      </c>
      <c r="H14" s="3">
        <f t="shared" si="6"/>
        <v>916.50896219396918</v>
      </c>
      <c r="I14" s="3">
        <f t="shared" si="7"/>
        <v>56.201999474146568</v>
      </c>
      <c r="J14" s="2">
        <f>VLOOKUP($B14,Elec!$Y$41:$Z$54,2,0)/SUM(Elec!$Z$41:$Z$54)*SUM(TargetProduction!$AE$4:$AE$18)</f>
        <v>0</v>
      </c>
      <c r="K14" s="2">
        <f>VLOOKUP($B14,Elec!$Y$41:$Z$54,2,0)/SUM(Elec!$Z$41:$Z$54)*SUM(TargetProduction!$AE$4:$AE$18)</f>
        <v>0</v>
      </c>
      <c r="L14" s="3"/>
      <c r="M14" s="3"/>
      <c r="N14" s="3"/>
      <c r="O14" s="3">
        <v>581.18616535044089</v>
      </c>
      <c r="P14" s="3"/>
      <c r="Q14" s="3"/>
      <c r="R14" s="3"/>
      <c r="S14" s="3"/>
      <c r="T14" s="3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3">
        <v>1162.372330700882</v>
      </c>
      <c r="AG14" s="3">
        <v>1531.3433534429387</v>
      </c>
      <c r="AH14" s="3">
        <v>1946.8532203852881</v>
      </c>
      <c r="AI14" s="3">
        <v>699.1198858736268</v>
      </c>
      <c r="AJ14" s="3">
        <v>966.04815154753885</v>
      </c>
      <c r="AK14" s="3">
        <v>1833.0179243879384</v>
      </c>
      <c r="AL14" s="3">
        <v>112.40399894829314</v>
      </c>
    </row>
    <row r="15" spans="2:38">
      <c r="B15" t="str">
        <v>SM2N</v>
      </c>
      <c r="C15" s="3">
        <f t="shared" si="1"/>
        <v>470.74298024504441</v>
      </c>
      <c r="D15" s="3">
        <f t="shared" si="2"/>
        <v>620.17058986899917</v>
      </c>
      <c r="E15" s="3">
        <f t="shared" si="3"/>
        <v>788.44571817295866</v>
      </c>
      <c r="F15" s="3">
        <f t="shared" si="4"/>
        <v>283.13283956637514</v>
      </c>
      <c r="G15" s="3">
        <f t="shared" si="5"/>
        <v>391.23469641220333</v>
      </c>
      <c r="H15" s="3">
        <f t="shared" si="6"/>
        <v>742.34416785253984</v>
      </c>
      <c r="I15" s="3">
        <f t="shared" si="7"/>
        <v>45.521896950588001</v>
      </c>
      <c r="J15" s="2">
        <f>VLOOKUP($B15,Elec!$Y$41:$Z$54,2,0)/SUM(Elec!$Z$41:$Z$54)*SUM(TargetProduction!$AE$4:$AE$18)</f>
        <v>0</v>
      </c>
      <c r="K15" s="2">
        <f>VLOOKUP($B15,Elec!$Y$41:$Z$54,2,0)/SUM(Elec!$Z$41:$Z$54)*SUM(TargetProduction!$AE$4:$AE$18)</f>
        <v>0</v>
      </c>
      <c r="L15" s="3"/>
      <c r="M15" s="3"/>
      <c r="N15" s="3"/>
      <c r="O15" s="3">
        <v>470.74298024504265</v>
      </c>
      <c r="P15" s="3"/>
      <c r="Q15" s="3"/>
      <c r="R15" s="3"/>
      <c r="S15" s="3"/>
      <c r="T15" s="3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3">
        <v>941.48596049008881</v>
      </c>
      <c r="AG15" s="3">
        <v>1240.3411797379983</v>
      </c>
      <c r="AH15" s="3">
        <v>1576.8914363459173</v>
      </c>
      <c r="AI15" s="3">
        <v>566.26567913275028</v>
      </c>
      <c r="AJ15" s="3">
        <v>782.46939282440667</v>
      </c>
      <c r="AK15" s="3">
        <v>1484.6883357050797</v>
      </c>
      <c r="AL15" s="3">
        <v>91.043793901176002</v>
      </c>
    </row>
    <row r="16" spans="2:38">
      <c r="B16" t="str">
        <v>External</v>
      </c>
      <c r="C16" s="3">
        <f t="shared" ref="C16" si="8">AF16/2</f>
        <v>0</v>
      </c>
      <c r="D16" s="3">
        <f t="shared" ref="D16" si="9">AG16/2</f>
        <v>0</v>
      </c>
      <c r="E16" s="3">
        <f t="shared" ref="E16" si="10">AH16/2</f>
        <v>0</v>
      </c>
      <c r="F16" s="3">
        <f t="shared" ref="F16" si="11">AI16/2</f>
        <v>0</v>
      </c>
      <c r="G16" s="3">
        <f t="shared" ref="G16" si="12">AJ16/2</f>
        <v>0</v>
      </c>
      <c r="H16" s="3">
        <f t="shared" ref="H16" si="13">AK16/2</f>
        <v>0</v>
      </c>
      <c r="I16" s="3">
        <f t="shared" ref="I16" si="14">AL16/2</f>
        <v>3563</v>
      </c>
      <c r="J16" s="2">
        <v>0</v>
      </c>
      <c r="K16" s="2">
        <v>0</v>
      </c>
      <c r="L16" s="3"/>
      <c r="M16" s="3"/>
      <c r="N16" s="3"/>
      <c r="O16" s="3">
        <v>0</v>
      </c>
      <c r="P16" s="3"/>
      <c r="Q16" s="3"/>
      <c r="R16" s="3"/>
      <c r="S16" s="3"/>
      <c r="T16" s="3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7126</v>
      </c>
    </row>
    <row r="17" spans="3:38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3:38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3:38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3:38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3:38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3:38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3:38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3:38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3:38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3:38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3:38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3:38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3:38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3:38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3:38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3:38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3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5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5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5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5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5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5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5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5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5">
      <c r="A44" t="s">
        <v>205</v>
      </c>
    </row>
    <row r="45" spans="1:35">
      <c r="B45" t="str">
        <f t="array" ref="B45:J45">TRANSPOSE(Food)</f>
        <v>Teff</v>
      </c>
      <c r="C45" t="str">
        <v>Sorghum</v>
      </c>
      <c r="D45" t="str">
        <v>Maize</v>
      </c>
      <c r="E45" t="str">
        <v>Lentils</v>
      </c>
      <c r="F45" t="str">
        <v>Wheat</v>
      </c>
      <c r="G45" t="str">
        <v>Vegetables</v>
      </c>
      <c r="H45" t="str">
        <v>CashCrop</v>
      </c>
      <c r="I45" t="str">
        <v>Beef</v>
      </c>
      <c r="J45" t="str">
        <v>Milk</v>
      </c>
      <c r="K45" t="str">
        <f t="array" ref="K45:S45">TRANSPOSE(Food)</f>
        <v>Teff</v>
      </c>
      <c r="L45" t="str">
        <v>Sorghum</v>
      </c>
      <c r="M45" t="str">
        <v>Maize</v>
      </c>
      <c r="N45" t="str">
        <v>Lentils</v>
      </c>
      <c r="O45" t="str">
        <v>Wheat</v>
      </c>
      <c r="P45" t="str">
        <v>Vegetables</v>
      </c>
      <c r="Q45" t="str">
        <v>CashCrop</v>
      </c>
      <c r="R45" t="str">
        <v>Beef</v>
      </c>
      <c r="S45" t="str">
        <v>Milk</v>
      </c>
    </row>
    <row r="46" spans="1:35">
      <c r="B46" t="s">
        <v>3</v>
      </c>
      <c r="C46" t="s">
        <v>3</v>
      </c>
      <c r="D46" t="s">
        <v>3</v>
      </c>
      <c r="E46" t="s">
        <v>3</v>
      </c>
      <c r="F46" t="s">
        <v>3</v>
      </c>
      <c r="G46" t="s">
        <v>3</v>
      </c>
      <c r="H46" t="s">
        <v>3</v>
      </c>
      <c r="I46" t="s">
        <v>3</v>
      </c>
      <c r="J46" t="s">
        <v>3</v>
      </c>
      <c r="K46" t="s">
        <v>2</v>
      </c>
      <c r="L46" t="s">
        <v>2</v>
      </c>
      <c r="M46" t="s">
        <v>2</v>
      </c>
      <c r="N46" t="s">
        <v>2</v>
      </c>
      <c r="O46" t="s">
        <v>2</v>
      </c>
      <c r="P46" t="s">
        <v>2</v>
      </c>
      <c r="Q46" t="s">
        <v>2</v>
      </c>
      <c r="R46" t="s">
        <v>2</v>
      </c>
      <c r="S46" t="s">
        <v>2</v>
      </c>
    </row>
    <row r="47" spans="1:35">
      <c r="A47" s="2" t="s">
        <v>134</v>
      </c>
      <c r="B47" s="2">
        <f>INDEX(DemInt!$C$2:$Q$10,MATCH(B$45,DemInt!$B$2:$B$10,0),MATCH($A47,DemInt!$C$1:$Q$1,0))-INDEX(DemSlope!$C$2:$Q$10,MATCH(B$45,DemSlope!$B$2:$B$10,0),MATCH($A47,DemSlope!$C$1:$Q$1,0))*INDEX(TargetConsumption!$C$2:$K$16,MATCH($A47,TargetConsumption!$B$2:$B$16,0),MATCH(B$45,TargetConsumption!$C$1:$K$1,0))</f>
        <v>717.83333333333348</v>
      </c>
      <c r="C47" s="2">
        <f>INDEX(DemInt!$C$2:$Q$10,MATCH(C$45,DemInt!$B$2:$B$10,0),MATCH($A47,DemInt!$C$1:$Q$1,0))-INDEX(DemSlope!$C$2:$Q$10,MATCH(C$45,DemSlope!$B$2:$B$10,0),MATCH($A47,DemSlope!$C$1:$Q$1,0))*INDEX(TargetConsumption!$C$2:$K$16,MATCH($A47,TargetConsumption!$B$2:$B$16,0),MATCH(C$45,TargetConsumption!$C$1:$K$1,0))</f>
        <v>605</v>
      </c>
      <c r="D47" s="2">
        <f>INDEX(DemInt!$C$2:$Q$10,MATCH(D$45,DemInt!$B$2:$B$10,0),MATCH($A47,DemInt!$C$1:$Q$1,0))-INDEX(DemSlope!$C$2:$Q$10,MATCH(D$45,DemSlope!$B$2:$B$10,0),MATCH($A47,DemSlope!$C$1:$Q$1,0))*INDEX(TargetConsumption!$C$2:$K$16,MATCH($A47,TargetConsumption!$B$2:$B$16,0),MATCH(D$45,TargetConsumption!$C$1:$K$1,0))</f>
        <v>373.66666666666606</v>
      </c>
      <c r="E47" s="2">
        <f>INDEX(DemInt!$C$2:$Q$10,MATCH(E$45,DemInt!$B$2:$B$10,0),MATCH($A47,DemInt!$C$1:$Q$1,0))-INDEX(DemSlope!$C$2:$Q$10,MATCH(E$45,DemSlope!$B$2:$B$10,0),MATCH($A47,DemSlope!$C$1:$Q$1,0))*INDEX(TargetConsumption!$C$2:$K$16,MATCH($A47,TargetConsumption!$B$2:$B$16,0),MATCH(E$45,TargetConsumption!$C$1:$K$1,0))</f>
        <v>658</v>
      </c>
      <c r="F47" s="2">
        <f>INDEX(DemInt!$C$2:$Q$10,MATCH(F$45,DemInt!$B$2:$B$10,0),MATCH($A47,DemInt!$C$1:$Q$1,0))-INDEX(DemSlope!$C$2:$Q$10,MATCH(F$45,DemSlope!$B$2:$B$10,0),MATCH($A47,DemSlope!$C$1:$Q$1,0))*INDEX(TargetConsumption!$C$2:$K$16,MATCH($A47,TargetConsumption!$B$2:$B$16,0),MATCH(F$45,TargetConsumption!$C$1:$K$1,0))</f>
        <v>521</v>
      </c>
      <c r="G47" s="2">
        <f>INDEX(DemInt!$C$2:$Q$10,MATCH(G$45,DemInt!$B$2:$B$10,0),MATCH($A47,DemInt!$C$1:$Q$1,0))-INDEX(DemSlope!$C$2:$Q$10,MATCH(G$45,DemSlope!$B$2:$B$10,0),MATCH($A47,DemSlope!$C$1:$Q$1,0))*INDEX(TargetConsumption!$C$2:$K$16,MATCH($A47,TargetConsumption!$B$2:$B$16,0),MATCH(G$45,TargetConsumption!$C$1:$K$1,0))</f>
        <v>398.86388888888905</v>
      </c>
      <c r="H47" s="2">
        <f>INDEX(DemInt!$C$2:$Q$10,MATCH(H$45,DemInt!$B$2:$B$10,0),MATCH($A47,DemInt!$C$1:$Q$1,0))-INDEX(DemSlope!$C$2:$Q$10,MATCH(H$45,DemSlope!$B$2:$B$10,0),MATCH($A47,DemSlope!$C$1:$Q$1,0))*INDEX(TargetConsumption!$C$2:$K$16,MATCH($A47,TargetConsumption!$B$2:$B$16,0),MATCH(H$45,TargetConsumption!$C$1:$K$1,0))</f>
        <v>740.74722222222226</v>
      </c>
      <c r="I47" s="2">
        <f>INDEX(DemInt!$C$2:$Q$10,MATCH(I$45,DemInt!$B$2:$B$10,0),MATCH($A47,DemInt!$C$1:$Q$1,0))-INDEX(DemSlope!$C$2:$Q$10,MATCH(I$45,DemSlope!$B$2:$B$10,0),MATCH($A47,DemSlope!$C$1:$Q$1,0))*INDEX(TargetConsumption!$C$2:$K$16,MATCH($A47,TargetConsumption!$B$2:$B$16,0),MATCH(I$45,TargetConsumption!$C$1:$K$1,0))</f>
        <v>666.67250000000001</v>
      </c>
      <c r="J47" s="2">
        <f>INDEX(DemInt!$C$2:$Q$10,MATCH(J$45,DemInt!$B$2:$B$10,0),MATCH($A47,DemInt!$C$1:$Q$1,0))-INDEX(DemSlope!$C$2:$Q$10,MATCH(J$45,DemSlope!$B$2:$B$10,0),MATCH($A47,DemSlope!$C$1:$Q$1,0))*INDEX(TargetConsumption!$C$2:$K$16,MATCH($A47,TargetConsumption!$B$2:$B$16,0),MATCH(J$45,TargetConsumption!$C$1:$K$1,0))</f>
        <v>358.97750000000002</v>
      </c>
      <c r="K47" s="46">
        <f>INDEX(DemInt!$C$11:$Q$19,MATCH(K$45,DemInt!$B$2:$B$10,0),MATCH($A47,DemInt!$C$1:$Q$1,0))-INDEX(DemSlope!$C$11:$Q$19,MATCH(K$45,DemSlope!$B$2:$B$10,0),MATCH($A47,DemSlope!$C$1:$Q$1,0))*INDEX(TargetConsumption!$C$2:$K$16,MATCH($A47,TargetConsumption!$B$2:$B$16,0),MATCH(K$45,TargetConsumption!$C$1:$K$1,0))</f>
        <v>717.83333333333348</v>
      </c>
      <c r="L47" s="46">
        <f>INDEX(DemInt!$C$11:$Q$19,MATCH(L$45,DemInt!$B$2:$B$10,0),MATCH($A47,DemInt!$C$1:$Q$1,0))-INDEX(DemSlope!$C$11:$Q$19,MATCH(L$45,DemSlope!$B$2:$B$10,0),MATCH($A47,DemSlope!$C$1:$Q$1,0))*INDEX(TargetConsumption!$C$2:$K$16,MATCH($A47,TargetConsumption!$B$2:$B$16,0),MATCH(L$45,TargetConsumption!$C$1:$K$1,0))</f>
        <v>605</v>
      </c>
      <c r="M47" s="46">
        <f>INDEX(DemInt!$C$11:$Q$19,MATCH(M$45,DemInt!$B$2:$B$10,0),MATCH($A47,DemInt!$C$1:$Q$1,0))-INDEX(DemSlope!$C$11:$Q$19,MATCH(M$45,DemSlope!$B$2:$B$10,0),MATCH($A47,DemSlope!$C$1:$Q$1,0))*INDEX(TargetConsumption!$C$2:$K$16,MATCH($A47,TargetConsumption!$B$2:$B$16,0),MATCH(M$45,TargetConsumption!$C$1:$K$1,0))</f>
        <v>373.66666666666606</v>
      </c>
      <c r="N47" s="46">
        <f>INDEX(DemInt!$C$11:$Q$19,MATCH(N$45,DemInt!$B$2:$B$10,0),MATCH($A47,DemInt!$C$1:$Q$1,0))-INDEX(DemSlope!$C$11:$Q$19,MATCH(N$45,DemSlope!$B$2:$B$10,0),MATCH($A47,DemSlope!$C$1:$Q$1,0))*INDEX(TargetConsumption!$C$2:$K$16,MATCH($A47,TargetConsumption!$B$2:$B$16,0),MATCH(N$45,TargetConsumption!$C$1:$K$1,0))</f>
        <v>658</v>
      </c>
      <c r="O47" s="46">
        <f>INDEX(DemInt!$C$11:$Q$19,MATCH(O$45,DemInt!$B$2:$B$10,0),MATCH($A47,DemInt!$C$1:$Q$1,0))-INDEX(DemSlope!$C$11:$Q$19,MATCH(O$45,DemSlope!$B$2:$B$10,0),MATCH($A47,DemSlope!$C$1:$Q$1,0))*INDEX(TargetConsumption!$C$2:$K$16,MATCH($A47,TargetConsumption!$B$2:$B$16,0),MATCH(O$45,TargetConsumption!$C$1:$K$1,0))</f>
        <v>521</v>
      </c>
      <c r="P47" s="46">
        <f>INDEX(DemInt!$C$11:$Q$19,MATCH(P$45,DemInt!$B$2:$B$10,0),MATCH($A47,DemInt!$C$1:$Q$1,0))-INDEX(DemSlope!$C$11:$Q$19,MATCH(P$45,DemSlope!$B$2:$B$10,0),MATCH($A47,DemSlope!$C$1:$Q$1,0))*INDEX(TargetConsumption!$C$2:$K$16,MATCH($A47,TargetConsumption!$B$2:$B$16,0),MATCH(P$45,TargetConsumption!$C$1:$K$1,0))</f>
        <v>398.86388888888905</v>
      </c>
      <c r="Q47" s="46">
        <f>INDEX(DemInt!$C$11:$Q$19,MATCH(Q$45,DemInt!$B$2:$B$10,0),MATCH($A47,DemInt!$C$1:$Q$1,0))-INDEX(DemSlope!$C$11:$Q$19,MATCH(Q$45,DemSlope!$B$2:$B$10,0),MATCH($A47,DemSlope!$C$1:$Q$1,0))*INDEX(TargetConsumption!$C$2:$K$16,MATCH($A47,TargetConsumption!$B$2:$B$16,0),MATCH(Q$45,TargetConsumption!$C$1:$K$1,0))</f>
        <v>740.74722222222226</v>
      </c>
      <c r="R47" s="46">
        <f>INDEX(DemInt!$C$11:$Q$19,MATCH(R$45,DemInt!$B$2:$B$10,0),MATCH($A47,DemInt!$C$1:$Q$1,0))-INDEX(DemSlope!$C$11:$Q$19,MATCH(R$45,DemSlope!$B$2:$B$10,0),MATCH($A47,DemSlope!$C$1:$Q$1,0))*INDEX(TargetConsumption!$C$2:$K$16,MATCH($A47,TargetConsumption!$B$2:$B$16,0),MATCH(R$45,TargetConsumption!$C$1:$K$1,0))</f>
        <v>666.67250000000001</v>
      </c>
      <c r="S47" s="46">
        <f>INDEX(DemInt!$C$11:$Q$19,MATCH(S$45,DemInt!$B$2:$B$10,0),MATCH($A47,DemInt!$C$1:$Q$1,0))-INDEX(DemSlope!$C$11:$Q$19,MATCH(S$45,DemSlope!$B$2:$B$10,0),MATCH($A47,DemSlope!$C$1:$Q$1,0))*INDEX(TargetConsumption!$C$2:$K$16,MATCH($A47,TargetConsumption!$B$2:$B$16,0),MATCH(S$45,TargetConsumption!$C$1:$K$1,0))</f>
        <v>358.97750000000002</v>
      </c>
    </row>
    <row r="48" spans="1:35">
      <c r="A48" s="2" t="s">
        <v>135</v>
      </c>
      <c r="B48" s="2">
        <f>INDEX(DemInt!$C$2:$Q$10,MATCH(B$45,DemInt!$B$2:$B$10,0),MATCH($A48,DemInt!$C$1:$Q$1,0))-INDEX(DemSlope!$C$2:$Q$10,MATCH(B$45,DemSlope!$B$2:$B$10,0),MATCH($A48,DemSlope!$C$1:$Q$1,0))*INDEX(TargetConsumption!$C$2:$K$16,MATCH($A48,TargetConsumption!$B$2:$B$16,0),MATCH(B$45,TargetConsumption!$C$1:$K$1,0))</f>
        <v>717.83333333333326</v>
      </c>
      <c r="C48" s="2">
        <f>INDEX(DemInt!$C$2:$Q$10,MATCH(C$45,DemInt!$B$2:$B$10,0),MATCH($A48,DemInt!$C$1:$Q$1,0))-INDEX(DemSlope!$C$2:$Q$10,MATCH(C$45,DemSlope!$B$2:$B$10,0),MATCH($A48,DemSlope!$C$1:$Q$1,0))*INDEX(TargetConsumption!$C$2:$K$16,MATCH($A48,TargetConsumption!$B$2:$B$16,0),MATCH(C$45,TargetConsumption!$C$1:$K$1,0))</f>
        <v>605.00000000000011</v>
      </c>
      <c r="D48" s="2">
        <f>INDEX(DemInt!$C$2:$Q$10,MATCH(D$45,DemInt!$B$2:$B$10,0),MATCH($A48,DemInt!$C$1:$Q$1,0))-INDEX(DemSlope!$C$2:$Q$10,MATCH(D$45,DemSlope!$B$2:$B$10,0),MATCH($A48,DemSlope!$C$1:$Q$1,0))*INDEX(TargetConsumption!$C$2:$K$16,MATCH($A48,TargetConsumption!$B$2:$B$16,0),MATCH(D$45,TargetConsumption!$C$1:$K$1,0))</f>
        <v>373.66666666666652</v>
      </c>
      <c r="E48" s="2">
        <f>INDEX(DemInt!$C$2:$Q$10,MATCH(E$45,DemInt!$B$2:$B$10,0),MATCH($A48,DemInt!$C$1:$Q$1,0))-INDEX(DemSlope!$C$2:$Q$10,MATCH(E$45,DemSlope!$B$2:$B$10,0),MATCH($A48,DemSlope!$C$1:$Q$1,0))*INDEX(TargetConsumption!$C$2:$K$16,MATCH($A48,TargetConsumption!$B$2:$B$16,0),MATCH(E$45,TargetConsumption!$C$1:$K$1,0))</f>
        <v>658</v>
      </c>
      <c r="F48" s="2">
        <f>INDEX(DemInt!$C$2:$Q$10,MATCH(F$45,DemInt!$B$2:$B$10,0),MATCH($A48,DemInt!$C$1:$Q$1,0))-INDEX(DemSlope!$C$2:$Q$10,MATCH(F$45,DemSlope!$B$2:$B$10,0),MATCH($A48,DemSlope!$C$1:$Q$1,0))*INDEX(TargetConsumption!$C$2:$K$16,MATCH($A48,TargetConsumption!$B$2:$B$16,0),MATCH(F$45,TargetConsumption!$C$1:$K$1,0))</f>
        <v>521</v>
      </c>
      <c r="G48" s="2">
        <f>INDEX(DemInt!$C$2:$Q$10,MATCH(G$45,DemInt!$B$2:$B$10,0),MATCH($A48,DemInt!$C$1:$Q$1,0))-INDEX(DemSlope!$C$2:$Q$10,MATCH(G$45,DemSlope!$B$2:$B$10,0),MATCH($A48,DemSlope!$C$1:$Q$1,0))*INDEX(TargetConsumption!$C$2:$K$16,MATCH($A48,TargetConsumption!$B$2:$B$16,0),MATCH(G$45,TargetConsumption!$C$1:$K$1,0))</f>
        <v>398.86388888888905</v>
      </c>
      <c r="H48" s="2">
        <f>INDEX(DemInt!$C$2:$Q$10,MATCH(H$45,DemInt!$B$2:$B$10,0),MATCH($A48,DemInt!$C$1:$Q$1,0))-INDEX(DemSlope!$C$2:$Q$10,MATCH(H$45,DemSlope!$B$2:$B$10,0),MATCH($A48,DemSlope!$C$1:$Q$1,0))*INDEX(TargetConsumption!$C$2:$K$16,MATCH($A48,TargetConsumption!$B$2:$B$16,0),MATCH(H$45,TargetConsumption!$C$1:$K$1,0))</f>
        <v>740.74722222222226</v>
      </c>
      <c r="I48" s="2">
        <f>INDEX(DemInt!$C$2:$Q$10,MATCH(I$45,DemInt!$B$2:$B$10,0),MATCH($A48,DemInt!$C$1:$Q$1,0))-INDEX(DemSlope!$C$2:$Q$10,MATCH(I$45,DemSlope!$B$2:$B$10,0),MATCH($A48,DemSlope!$C$1:$Q$1,0))*INDEX(TargetConsumption!$C$2:$K$16,MATCH($A48,TargetConsumption!$B$2:$B$16,0),MATCH(I$45,TargetConsumption!$C$1:$K$1,0))</f>
        <v>666.67250000000001</v>
      </c>
      <c r="J48" s="2">
        <f>INDEX(DemInt!$C$2:$Q$10,MATCH(J$45,DemInt!$B$2:$B$10,0),MATCH($A48,DemInt!$C$1:$Q$1,0))-INDEX(DemSlope!$C$2:$Q$10,MATCH(J$45,DemSlope!$B$2:$B$10,0),MATCH($A48,DemSlope!$C$1:$Q$1,0))*INDEX(TargetConsumption!$C$2:$K$16,MATCH($A48,TargetConsumption!$B$2:$B$16,0),MATCH(J$45,TargetConsumption!$C$1:$K$1,0))</f>
        <v>358.97750000000002</v>
      </c>
      <c r="K48" s="46">
        <f>INDEX(DemInt!$C$11:$Q$19,MATCH(K$45,DemInt!$B$2:$B$10,0),MATCH($A48,DemInt!$C$1:$Q$1,0))-INDEX(DemSlope!$C$11:$Q$19,MATCH(K$45,DemSlope!$B$2:$B$10,0),MATCH($A48,DemSlope!$C$1:$Q$1,0))*INDEX(TargetConsumption!$C$2:$K$16,MATCH($A48,TargetConsumption!$B$2:$B$16,0),MATCH(K$45,TargetConsumption!$C$1:$K$1,0))</f>
        <v>717.83333333333326</v>
      </c>
      <c r="L48" s="46">
        <f>INDEX(DemInt!$C$11:$Q$19,MATCH(L$45,DemInt!$B$2:$B$10,0),MATCH($A48,DemInt!$C$1:$Q$1,0))-INDEX(DemSlope!$C$11:$Q$19,MATCH(L$45,DemSlope!$B$2:$B$10,0),MATCH($A48,DemSlope!$C$1:$Q$1,0))*INDEX(TargetConsumption!$C$2:$K$16,MATCH($A48,TargetConsumption!$B$2:$B$16,0),MATCH(L$45,TargetConsumption!$C$1:$K$1,0))</f>
        <v>605.00000000000011</v>
      </c>
      <c r="M48" s="46">
        <f>INDEX(DemInt!$C$11:$Q$19,MATCH(M$45,DemInt!$B$2:$B$10,0),MATCH($A48,DemInt!$C$1:$Q$1,0))-INDEX(DemSlope!$C$11:$Q$19,MATCH(M$45,DemSlope!$B$2:$B$10,0),MATCH($A48,DemSlope!$C$1:$Q$1,0))*INDEX(TargetConsumption!$C$2:$K$16,MATCH($A48,TargetConsumption!$B$2:$B$16,0),MATCH(M$45,TargetConsumption!$C$1:$K$1,0))</f>
        <v>373.66666666666652</v>
      </c>
      <c r="N48" s="46">
        <f>INDEX(DemInt!$C$11:$Q$19,MATCH(N$45,DemInt!$B$2:$B$10,0),MATCH($A48,DemInt!$C$1:$Q$1,0))-INDEX(DemSlope!$C$11:$Q$19,MATCH(N$45,DemSlope!$B$2:$B$10,0),MATCH($A48,DemSlope!$C$1:$Q$1,0))*INDEX(TargetConsumption!$C$2:$K$16,MATCH($A48,TargetConsumption!$B$2:$B$16,0),MATCH(N$45,TargetConsumption!$C$1:$K$1,0))</f>
        <v>658</v>
      </c>
      <c r="O48" s="46">
        <f>INDEX(DemInt!$C$11:$Q$19,MATCH(O$45,DemInt!$B$2:$B$10,0),MATCH($A48,DemInt!$C$1:$Q$1,0))-INDEX(DemSlope!$C$11:$Q$19,MATCH(O$45,DemSlope!$B$2:$B$10,0),MATCH($A48,DemSlope!$C$1:$Q$1,0))*INDEX(TargetConsumption!$C$2:$K$16,MATCH($A48,TargetConsumption!$B$2:$B$16,0),MATCH(O$45,TargetConsumption!$C$1:$K$1,0))</f>
        <v>521</v>
      </c>
      <c r="P48" s="46">
        <f>INDEX(DemInt!$C$11:$Q$19,MATCH(P$45,DemInt!$B$2:$B$10,0),MATCH($A48,DemInt!$C$1:$Q$1,0))-INDEX(DemSlope!$C$11:$Q$19,MATCH(P$45,DemSlope!$B$2:$B$10,0),MATCH($A48,DemSlope!$C$1:$Q$1,0))*INDEX(TargetConsumption!$C$2:$K$16,MATCH($A48,TargetConsumption!$B$2:$B$16,0),MATCH(P$45,TargetConsumption!$C$1:$K$1,0))</f>
        <v>398.86388888888905</v>
      </c>
      <c r="Q48" s="46">
        <f>INDEX(DemInt!$C$11:$Q$19,MATCH(Q$45,DemInt!$B$2:$B$10,0),MATCH($A48,DemInt!$C$1:$Q$1,0))-INDEX(DemSlope!$C$11:$Q$19,MATCH(Q$45,DemSlope!$B$2:$B$10,0),MATCH($A48,DemSlope!$C$1:$Q$1,0))*INDEX(TargetConsumption!$C$2:$K$16,MATCH($A48,TargetConsumption!$B$2:$B$16,0),MATCH(Q$45,TargetConsumption!$C$1:$K$1,0))</f>
        <v>740.74722222222226</v>
      </c>
      <c r="R48" s="46">
        <f>INDEX(DemInt!$C$11:$Q$19,MATCH(R$45,DemInt!$B$2:$B$10,0),MATCH($A48,DemInt!$C$1:$Q$1,0))-INDEX(DemSlope!$C$11:$Q$19,MATCH(R$45,DemSlope!$B$2:$B$10,0),MATCH($A48,DemSlope!$C$1:$Q$1,0))*INDEX(TargetConsumption!$C$2:$K$16,MATCH($A48,TargetConsumption!$B$2:$B$16,0),MATCH(R$45,TargetConsumption!$C$1:$K$1,0))</f>
        <v>666.67250000000001</v>
      </c>
      <c r="S48" s="46">
        <f>INDEX(DemInt!$C$11:$Q$19,MATCH(S$45,DemInt!$B$2:$B$10,0),MATCH($A48,DemInt!$C$1:$Q$1,0))-INDEX(DemSlope!$C$11:$Q$19,MATCH(S$45,DemSlope!$B$2:$B$10,0),MATCH($A48,DemSlope!$C$1:$Q$1,0))*INDEX(TargetConsumption!$C$2:$K$16,MATCH($A48,TargetConsumption!$B$2:$B$16,0),MATCH(S$45,TargetConsumption!$C$1:$K$1,0))</f>
        <v>358.97750000000002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</row>
    <row r="49" spans="1:35">
      <c r="A49" s="2" t="s">
        <v>136</v>
      </c>
      <c r="B49" s="2">
        <f>INDEX(DemInt!$C$2:$Q$10,MATCH(B$45,DemInt!$B$2:$B$10,0),MATCH($A49,DemInt!$C$1:$Q$1,0))-INDEX(DemSlope!$C$2:$Q$10,MATCH(B$45,DemSlope!$B$2:$B$10,0),MATCH($A49,DemSlope!$C$1:$Q$1,0))*INDEX(TargetConsumption!$C$2:$K$16,MATCH($A49,TargetConsumption!$B$2:$B$16,0),MATCH(B$45,TargetConsumption!$C$1:$K$1,0))</f>
        <v>717.83333333333303</v>
      </c>
      <c r="C49" s="2">
        <f>INDEX(DemInt!$C$2:$Q$10,MATCH(C$45,DemInt!$B$2:$B$10,0),MATCH($A49,DemInt!$C$1:$Q$1,0))-INDEX(DemSlope!$C$2:$Q$10,MATCH(C$45,DemSlope!$B$2:$B$10,0),MATCH($A49,DemSlope!$C$1:$Q$1,0))*INDEX(TargetConsumption!$C$2:$K$16,MATCH($A49,TargetConsumption!$B$2:$B$16,0),MATCH(C$45,TargetConsumption!$C$1:$K$1,0))</f>
        <v>605</v>
      </c>
      <c r="D49" s="2">
        <f>INDEX(DemInt!$C$2:$Q$10,MATCH(D$45,DemInt!$B$2:$B$10,0),MATCH($A49,DemInt!$C$1:$Q$1,0))-INDEX(DemSlope!$C$2:$Q$10,MATCH(D$45,DemSlope!$B$2:$B$10,0),MATCH($A49,DemSlope!$C$1:$Q$1,0))*INDEX(TargetConsumption!$C$2:$K$16,MATCH($A49,TargetConsumption!$B$2:$B$16,0),MATCH(D$45,TargetConsumption!$C$1:$K$1,0))</f>
        <v>373.66666666666788</v>
      </c>
      <c r="E49" s="2">
        <f>INDEX(DemInt!$C$2:$Q$10,MATCH(E$45,DemInt!$B$2:$B$10,0),MATCH($A49,DemInt!$C$1:$Q$1,0))-INDEX(DemSlope!$C$2:$Q$10,MATCH(E$45,DemSlope!$B$2:$B$10,0),MATCH($A49,DemSlope!$C$1:$Q$1,0))*INDEX(TargetConsumption!$C$2:$K$16,MATCH($A49,TargetConsumption!$B$2:$B$16,0),MATCH(E$45,TargetConsumption!$C$1:$K$1,0))</f>
        <v>658</v>
      </c>
      <c r="F49" s="2">
        <f>INDEX(DemInt!$C$2:$Q$10,MATCH(F$45,DemInt!$B$2:$B$10,0),MATCH($A49,DemInt!$C$1:$Q$1,0))-INDEX(DemSlope!$C$2:$Q$10,MATCH(F$45,DemSlope!$B$2:$B$10,0),MATCH($A49,DemSlope!$C$1:$Q$1,0))*INDEX(TargetConsumption!$C$2:$K$16,MATCH($A49,TargetConsumption!$B$2:$B$16,0),MATCH(F$45,TargetConsumption!$C$1:$K$1,0))</f>
        <v>521</v>
      </c>
      <c r="G49" s="2">
        <f>INDEX(DemInt!$C$2:$Q$10,MATCH(G$45,DemInt!$B$2:$B$10,0),MATCH($A49,DemInt!$C$1:$Q$1,0))-INDEX(DemSlope!$C$2:$Q$10,MATCH(G$45,DemSlope!$B$2:$B$10,0),MATCH($A49,DemSlope!$C$1:$Q$1,0))*INDEX(TargetConsumption!$C$2:$K$16,MATCH($A49,TargetConsumption!$B$2:$B$16,0),MATCH(G$45,TargetConsumption!$C$1:$K$1,0))</f>
        <v>398.86388888888905</v>
      </c>
      <c r="H49" s="2">
        <f>INDEX(DemInt!$C$2:$Q$10,MATCH(H$45,DemInt!$B$2:$B$10,0),MATCH($A49,DemInt!$C$1:$Q$1,0))-INDEX(DemSlope!$C$2:$Q$10,MATCH(H$45,DemSlope!$B$2:$B$10,0),MATCH($A49,DemSlope!$C$1:$Q$1,0))*INDEX(TargetConsumption!$C$2:$K$16,MATCH($A49,TargetConsumption!$B$2:$B$16,0),MATCH(H$45,TargetConsumption!$C$1:$K$1,0))</f>
        <v>740.74722222222226</v>
      </c>
      <c r="I49" s="2">
        <f>INDEX(DemInt!$C$2:$Q$10,MATCH(I$45,DemInt!$B$2:$B$10,0),MATCH($A49,DemInt!$C$1:$Q$1,0))-INDEX(DemSlope!$C$2:$Q$10,MATCH(I$45,DemSlope!$B$2:$B$10,0),MATCH($A49,DemSlope!$C$1:$Q$1,0))*INDEX(TargetConsumption!$C$2:$K$16,MATCH($A49,TargetConsumption!$B$2:$B$16,0),MATCH(I$45,TargetConsumption!$C$1:$K$1,0))</f>
        <v>666.67250000000001</v>
      </c>
      <c r="J49" s="2">
        <f>INDEX(DemInt!$C$2:$Q$10,MATCH(J$45,DemInt!$B$2:$B$10,0),MATCH($A49,DemInt!$C$1:$Q$1,0))-INDEX(DemSlope!$C$2:$Q$10,MATCH(J$45,DemSlope!$B$2:$B$10,0),MATCH($A49,DemSlope!$C$1:$Q$1,0))*INDEX(TargetConsumption!$C$2:$K$16,MATCH($A49,TargetConsumption!$B$2:$B$16,0),MATCH(J$45,TargetConsumption!$C$1:$K$1,0))</f>
        <v>358.97750000000002</v>
      </c>
      <c r="K49" s="46">
        <f>INDEX(DemInt!$C$11:$Q$19,MATCH(K$45,DemInt!$B$2:$B$10,0),MATCH($A49,DemInt!$C$1:$Q$1,0))-INDEX(DemSlope!$C$11:$Q$19,MATCH(K$45,DemSlope!$B$2:$B$10,0),MATCH($A49,DemSlope!$C$1:$Q$1,0))*INDEX(TargetConsumption!$C$2:$K$16,MATCH($A49,TargetConsumption!$B$2:$B$16,0),MATCH(K$45,TargetConsumption!$C$1:$K$1,0))</f>
        <v>717.83333333333303</v>
      </c>
      <c r="L49" s="46">
        <f>INDEX(DemInt!$C$11:$Q$19,MATCH(L$45,DemInt!$B$2:$B$10,0),MATCH($A49,DemInt!$C$1:$Q$1,0))-INDEX(DemSlope!$C$11:$Q$19,MATCH(L$45,DemSlope!$B$2:$B$10,0),MATCH($A49,DemSlope!$C$1:$Q$1,0))*INDEX(TargetConsumption!$C$2:$K$16,MATCH($A49,TargetConsumption!$B$2:$B$16,0),MATCH(L$45,TargetConsumption!$C$1:$K$1,0))</f>
        <v>605</v>
      </c>
      <c r="M49" s="46">
        <f>INDEX(DemInt!$C$11:$Q$19,MATCH(M$45,DemInt!$B$2:$B$10,0),MATCH($A49,DemInt!$C$1:$Q$1,0))-INDEX(DemSlope!$C$11:$Q$19,MATCH(M$45,DemSlope!$B$2:$B$10,0),MATCH($A49,DemSlope!$C$1:$Q$1,0))*INDEX(TargetConsumption!$C$2:$K$16,MATCH($A49,TargetConsumption!$B$2:$B$16,0),MATCH(M$45,TargetConsumption!$C$1:$K$1,0))</f>
        <v>373.66666666666788</v>
      </c>
      <c r="N49" s="46">
        <f>INDEX(DemInt!$C$11:$Q$19,MATCH(N$45,DemInt!$B$2:$B$10,0),MATCH($A49,DemInt!$C$1:$Q$1,0))-INDEX(DemSlope!$C$11:$Q$19,MATCH(N$45,DemSlope!$B$2:$B$10,0),MATCH($A49,DemSlope!$C$1:$Q$1,0))*INDEX(TargetConsumption!$C$2:$K$16,MATCH($A49,TargetConsumption!$B$2:$B$16,0),MATCH(N$45,TargetConsumption!$C$1:$K$1,0))</f>
        <v>658</v>
      </c>
      <c r="O49" s="46">
        <f>INDEX(DemInt!$C$11:$Q$19,MATCH(O$45,DemInt!$B$2:$B$10,0),MATCH($A49,DemInt!$C$1:$Q$1,0))-INDEX(DemSlope!$C$11:$Q$19,MATCH(O$45,DemSlope!$B$2:$B$10,0),MATCH($A49,DemSlope!$C$1:$Q$1,0))*INDEX(TargetConsumption!$C$2:$K$16,MATCH($A49,TargetConsumption!$B$2:$B$16,0),MATCH(O$45,TargetConsumption!$C$1:$K$1,0))</f>
        <v>521</v>
      </c>
      <c r="P49" s="46">
        <f>INDEX(DemInt!$C$11:$Q$19,MATCH(P$45,DemInt!$B$2:$B$10,0),MATCH($A49,DemInt!$C$1:$Q$1,0))-INDEX(DemSlope!$C$11:$Q$19,MATCH(P$45,DemSlope!$B$2:$B$10,0),MATCH($A49,DemSlope!$C$1:$Q$1,0))*INDEX(TargetConsumption!$C$2:$K$16,MATCH($A49,TargetConsumption!$B$2:$B$16,0),MATCH(P$45,TargetConsumption!$C$1:$K$1,0))</f>
        <v>398.86388888888905</v>
      </c>
      <c r="Q49" s="46">
        <f>INDEX(DemInt!$C$11:$Q$19,MATCH(Q$45,DemInt!$B$2:$B$10,0),MATCH($A49,DemInt!$C$1:$Q$1,0))-INDEX(DemSlope!$C$11:$Q$19,MATCH(Q$45,DemSlope!$B$2:$B$10,0),MATCH($A49,DemSlope!$C$1:$Q$1,0))*INDEX(TargetConsumption!$C$2:$K$16,MATCH($A49,TargetConsumption!$B$2:$B$16,0),MATCH(Q$45,TargetConsumption!$C$1:$K$1,0))</f>
        <v>740.74722222222226</v>
      </c>
      <c r="R49" s="46">
        <f>INDEX(DemInt!$C$11:$Q$19,MATCH(R$45,DemInt!$B$2:$B$10,0),MATCH($A49,DemInt!$C$1:$Q$1,0))-INDEX(DemSlope!$C$11:$Q$19,MATCH(R$45,DemSlope!$B$2:$B$10,0),MATCH($A49,DemSlope!$C$1:$Q$1,0))*INDEX(TargetConsumption!$C$2:$K$16,MATCH($A49,TargetConsumption!$B$2:$B$16,0),MATCH(R$45,TargetConsumption!$C$1:$K$1,0))</f>
        <v>666.67250000000001</v>
      </c>
      <c r="S49" s="46">
        <f>INDEX(DemInt!$C$11:$Q$19,MATCH(S$45,DemInt!$B$2:$B$10,0),MATCH($A49,DemInt!$C$1:$Q$1,0))-INDEX(DemSlope!$C$11:$Q$19,MATCH(S$45,DemSlope!$B$2:$B$10,0),MATCH($A49,DemSlope!$C$1:$Q$1,0))*INDEX(TargetConsumption!$C$2:$K$16,MATCH($A49,TargetConsumption!$B$2:$B$16,0),MATCH(S$45,TargetConsumption!$C$1:$K$1,0))</f>
        <v>358.97750000000002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</row>
    <row r="50" spans="1:35">
      <c r="A50" s="2" t="s">
        <v>137</v>
      </c>
      <c r="B50" s="2">
        <f>INDEX(DemInt!$C$2:$Q$10,MATCH(B$45,DemInt!$B$2:$B$10,0),MATCH($A50,DemInt!$C$1:$Q$1,0))-INDEX(DemSlope!$C$2:$Q$10,MATCH(B$45,DemSlope!$B$2:$B$10,0),MATCH($A50,DemSlope!$C$1:$Q$1,0))*INDEX(TargetConsumption!$C$2:$K$16,MATCH($A50,TargetConsumption!$B$2:$B$16,0),MATCH(B$45,TargetConsumption!$C$1:$K$1,0))</f>
        <v>717.83333333333348</v>
      </c>
      <c r="C50" s="2">
        <f>INDEX(DemInt!$C$2:$Q$10,MATCH(C$45,DemInt!$B$2:$B$10,0),MATCH($A50,DemInt!$C$1:$Q$1,0))-INDEX(DemSlope!$C$2:$Q$10,MATCH(C$45,DemSlope!$B$2:$B$10,0),MATCH($A50,DemSlope!$C$1:$Q$1,0))*INDEX(TargetConsumption!$C$2:$K$16,MATCH($A50,TargetConsumption!$B$2:$B$16,0),MATCH(C$45,TargetConsumption!$C$1:$K$1,0))</f>
        <v>605.00000000000023</v>
      </c>
      <c r="D50" s="2">
        <f>INDEX(DemInt!$C$2:$Q$10,MATCH(D$45,DemInt!$B$2:$B$10,0),MATCH($A50,DemInt!$C$1:$Q$1,0))-INDEX(DemSlope!$C$2:$Q$10,MATCH(D$45,DemSlope!$B$2:$B$10,0),MATCH($A50,DemSlope!$C$1:$Q$1,0))*INDEX(TargetConsumption!$C$2:$K$16,MATCH($A50,TargetConsumption!$B$2:$B$16,0),MATCH(D$45,TargetConsumption!$C$1:$K$1,0))</f>
        <v>373.66666666666697</v>
      </c>
      <c r="E50" s="2">
        <f>INDEX(DemInt!$C$2:$Q$10,MATCH(E$45,DemInt!$B$2:$B$10,0),MATCH($A50,DemInt!$C$1:$Q$1,0))-INDEX(DemSlope!$C$2:$Q$10,MATCH(E$45,DemSlope!$B$2:$B$10,0),MATCH($A50,DemSlope!$C$1:$Q$1,0))*INDEX(TargetConsumption!$C$2:$K$16,MATCH($A50,TargetConsumption!$B$2:$B$16,0),MATCH(E$45,TargetConsumption!$C$1:$K$1,0))</f>
        <v>658</v>
      </c>
      <c r="F50" s="2">
        <f>INDEX(DemInt!$C$2:$Q$10,MATCH(F$45,DemInt!$B$2:$B$10,0),MATCH($A50,DemInt!$C$1:$Q$1,0))-INDEX(DemSlope!$C$2:$Q$10,MATCH(F$45,DemSlope!$B$2:$B$10,0),MATCH($A50,DemSlope!$C$1:$Q$1,0))*INDEX(TargetConsumption!$C$2:$K$16,MATCH($A50,TargetConsumption!$B$2:$B$16,0),MATCH(F$45,TargetConsumption!$C$1:$K$1,0))</f>
        <v>521</v>
      </c>
      <c r="G50" s="2">
        <f>INDEX(DemInt!$C$2:$Q$10,MATCH(G$45,DemInt!$B$2:$B$10,0),MATCH($A50,DemInt!$C$1:$Q$1,0))-INDEX(DemSlope!$C$2:$Q$10,MATCH(G$45,DemSlope!$B$2:$B$10,0),MATCH($A50,DemSlope!$C$1:$Q$1,0))*INDEX(TargetConsumption!$C$2:$K$16,MATCH($A50,TargetConsumption!$B$2:$B$16,0),MATCH(G$45,TargetConsumption!$C$1:$K$1,0))</f>
        <v>398.86388888888905</v>
      </c>
      <c r="H50" s="2">
        <f>INDEX(DemInt!$C$2:$Q$10,MATCH(H$45,DemInt!$B$2:$B$10,0),MATCH($A50,DemInt!$C$1:$Q$1,0))-INDEX(DemSlope!$C$2:$Q$10,MATCH(H$45,DemSlope!$B$2:$B$10,0),MATCH($A50,DemSlope!$C$1:$Q$1,0))*INDEX(TargetConsumption!$C$2:$K$16,MATCH($A50,TargetConsumption!$B$2:$B$16,0),MATCH(H$45,TargetConsumption!$C$1:$K$1,0))</f>
        <v>740.74722222222226</v>
      </c>
      <c r="I50" s="2">
        <f>INDEX(DemInt!$C$2:$Q$10,MATCH(I$45,DemInt!$B$2:$B$10,0),MATCH($A50,DemInt!$C$1:$Q$1,0))-INDEX(DemSlope!$C$2:$Q$10,MATCH(I$45,DemSlope!$B$2:$B$10,0),MATCH($A50,DemSlope!$C$1:$Q$1,0))*INDEX(TargetConsumption!$C$2:$K$16,MATCH($A50,TargetConsumption!$B$2:$B$16,0),MATCH(I$45,TargetConsumption!$C$1:$K$1,0))</f>
        <v>666.67250000000001</v>
      </c>
      <c r="J50" s="2">
        <f>INDEX(DemInt!$C$2:$Q$10,MATCH(J$45,DemInt!$B$2:$B$10,0),MATCH($A50,DemInt!$C$1:$Q$1,0))-INDEX(DemSlope!$C$2:$Q$10,MATCH(J$45,DemSlope!$B$2:$B$10,0),MATCH($A50,DemSlope!$C$1:$Q$1,0))*INDEX(TargetConsumption!$C$2:$K$16,MATCH($A50,TargetConsumption!$B$2:$B$16,0),MATCH(J$45,TargetConsumption!$C$1:$K$1,0))</f>
        <v>358.97750000000002</v>
      </c>
      <c r="K50" s="46">
        <f>INDEX(DemInt!$C$11:$Q$19,MATCH(K$45,DemInt!$B$2:$B$10,0),MATCH($A50,DemInt!$C$1:$Q$1,0))-INDEX(DemSlope!$C$11:$Q$19,MATCH(K$45,DemSlope!$B$2:$B$10,0),MATCH($A50,DemSlope!$C$1:$Q$1,0))*INDEX(TargetConsumption!$C$2:$K$16,MATCH($A50,TargetConsumption!$B$2:$B$16,0),MATCH(K$45,TargetConsumption!$C$1:$K$1,0))</f>
        <v>717.83333333333348</v>
      </c>
      <c r="L50" s="46">
        <f>INDEX(DemInt!$C$11:$Q$19,MATCH(L$45,DemInt!$B$2:$B$10,0),MATCH($A50,DemInt!$C$1:$Q$1,0))-INDEX(DemSlope!$C$11:$Q$19,MATCH(L$45,DemSlope!$B$2:$B$10,0),MATCH($A50,DemSlope!$C$1:$Q$1,0))*INDEX(TargetConsumption!$C$2:$K$16,MATCH($A50,TargetConsumption!$B$2:$B$16,0),MATCH(L$45,TargetConsumption!$C$1:$K$1,0))</f>
        <v>605.00000000000023</v>
      </c>
      <c r="M50" s="46">
        <f>INDEX(DemInt!$C$11:$Q$19,MATCH(M$45,DemInt!$B$2:$B$10,0),MATCH($A50,DemInt!$C$1:$Q$1,0))-INDEX(DemSlope!$C$11:$Q$19,MATCH(M$45,DemSlope!$B$2:$B$10,0),MATCH($A50,DemSlope!$C$1:$Q$1,0))*INDEX(TargetConsumption!$C$2:$K$16,MATCH($A50,TargetConsumption!$B$2:$B$16,0),MATCH(M$45,TargetConsumption!$C$1:$K$1,0))</f>
        <v>373.66666666666697</v>
      </c>
      <c r="N50" s="46">
        <f>INDEX(DemInt!$C$11:$Q$19,MATCH(N$45,DemInt!$B$2:$B$10,0),MATCH($A50,DemInt!$C$1:$Q$1,0))-INDEX(DemSlope!$C$11:$Q$19,MATCH(N$45,DemSlope!$B$2:$B$10,0),MATCH($A50,DemSlope!$C$1:$Q$1,0))*INDEX(TargetConsumption!$C$2:$K$16,MATCH($A50,TargetConsumption!$B$2:$B$16,0),MATCH(N$45,TargetConsumption!$C$1:$K$1,0))</f>
        <v>658</v>
      </c>
      <c r="O50" s="46">
        <f>INDEX(DemInt!$C$11:$Q$19,MATCH(O$45,DemInt!$B$2:$B$10,0),MATCH($A50,DemInt!$C$1:$Q$1,0))-INDEX(DemSlope!$C$11:$Q$19,MATCH(O$45,DemSlope!$B$2:$B$10,0),MATCH($A50,DemSlope!$C$1:$Q$1,0))*INDEX(TargetConsumption!$C$2:$K$16,MATCH($A50,TargetConsumption!$B$2:$B$16,0),MATCH(O$45,TargetConsumption!$C$1:$K$1,0))</f>
        <v>521</v>
      </c>
      <c r="P50" s="46">
        <f>INDEX(DemInt!$C$11:$Q$19,MATCH(P$45,DemInt!$B$2:$B$10,0),MATCH($A50,DemInt!$C$1:$Q$1,0))-INDEX(DemSlope!$C$11:$Q$19,MATCH(P$45,DemSlope!$B$2:$B$10,0),MATCH($A50,DemSlope!$C$1:$Q$1,0))*INDEX(TargetConsumption!$C$2:$K$16,MATCH($A50,TargetConsumption!$B$2:$B$16,0),MATCH(P$45,TargetConsumption!$C$1:$K$1,0))</f>
        <v>398.86388888888905</v>
      </c>
      <c r="Q50" s="46">
        <f>INDEX(DemInt!$C$11:$Q$19,MATCH(Q$45,DemInt!$B$2:$B$10,0),MATCH($A50,DemInt!$C$1:$Q$1,0))-INDEX(DemSlope!$C$11:$Q$19,MATCH(Q$45,DemSlope!$B$2:$B$10,0),MATCH($A50,DemSlope!$C$1:$Q$1,0))*INDEX(TargetConsumption!$C$2:$K$16,MATCH($A50,TargetConsumption!$B$2:$B$16,0),MATCH(Q$45,TargetConsumption!$C$1:$K$1,0))</f>
        <v>740.74722222222226</v>
      </c>
      <c r="R50" s="46">
        <f>INDEX(DemInt!$C$11:$Q$19,MATCH(R$45,DemInt!$B$2:$B$10,0),MATCH($A50,DemInt!$C$1:$Q$1,0))-INDEX(DemSlope!$C$11:$Q$19,MATCH(R$45,DemSlope!$B$2:$B$10,0),MATCH($A50,DemSlope!$C$1:$Q$1,0))*INDEX(TargetConsumption!$C$2:$K$16,MATCH($A50,TargetConsumption!$B$2:$B$16,0),MATCH(R$45,TargetConsumption!$C$1:$K$1,0))</f>
        <v>666.67250000000001</v>
      </c>
      <c r="S50" s="46">
        <f>INDEX(DemInt!$C$11:$Q$19,MATCH(S$45,DemInt!$B$2:$B$10,0),MATCH($A50,DemInt!$C$1:$Q$1,0))-INDEX(DemSlope!$C$11:$Q$19,MATCH(S$45,DemSlope!$B$2:$B$10,0),MATCH($A50,DemSlope!$C$1:$Q$1,0))*INDEX(TargetConsumption!$C$2:$K$16,MATCH($A50,TargetConsumption!$B$2:$B$16,0),MATCH(S$45,TargetConsumption!$C$1:$K$1,0))</f>
        <v>358.97750000000002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</row>
    <row r="51" spans="1:35">
      <c r="A51" s="2" t="s">
        <v>138</v>
      </c>
      <c r="B51" s="2">
        <f>INDEX(DemInt!$C$2:$Q$10,MATCH(B$45,DemInt!$B$2:$B$10,0),MATCH($A51,DemInt!$C$1:$Q$1,0))-INDEX(DemSlope!$C$2:$Q$10,MATCH(B$45,DemSlope!$B$2:$B$10,0),MATCH($A51,DemSlope!$C$1:$Q$1,0))*INDEX(TargetConsumption!$C$2:$K$16,MATCH($A51,TargetConsumption!$B$2:$B$16,0),MATCH(B$45,TargetConsumption!$C$1:$K$1,0))</f>
        <v>717.83333333333337</v>
      </c>
      <c r="C51" s="2">
        <f>INDEX(DemInt!$C$2:$Q$10,MATCH(C$45,DemInt!$B$2:$B$10,0),MATCH($A51,DemInt!$C$1:$Q$1,0))-INDEX(DemSlope!$C$2:$Q$10,MATCH(C$45,DemSlope!$B$2:$B$10,0),MATCH($A51,DemSlope!$C$1:$Q$1,0))*INDEX(TargetConsumption!$C$2:$K$16,MATCH($A51,TargetConsumption!$B$2:$B$16,0),MATCH(C$45,TargetConsumption!$C$1:$K$1,0))</f>
        <v>605</v>
      </c>
      <c r="D51" s="2">
        <f>INDEX(DemInt!$C$2:$Q$10,MATCH(D$45,DemInt!$B$2:$B$10,0),MATCH($A51,DemInt!$C$1:$Q$1,0))-INDEX(DemSlope!$C$2:$Q$10,MATCH(D$45,DemSlope!$B$2:$B$10,0),MATCH($A51,DemSlope!$C$1:$Q$1,0))*INDEX(TargetConsumption!$C$2:$K$16,MATCH($A51,TargetConsumption!$B$2:$B$16,0),MATCH(D$45,TargetConsumption!$C$1:$K$1,0))</f>
        <v>373.66666666666669</v>
      </c>
      <c r="E51" s="2">
        <f>INDEX(DemInt!$C$2:$Q$10,MATCH(E$45,DemInt!$B$2:$B$10,0),MATCH($A51,DemInt!$C$1:$Q$1,0))-INDEX(DemSlope!$C$2:$Q$10,MATCH(E$45,DemSlope!$B$2:$B$10,0),MATCH($A51,DemSlope!$C$1:$Q$1,0))*INDEX(TargetConsumption!$C$2:$K$16,MATCH($A51,TargetConsumption!$B$2:$B$16,0),MATCH(E$45,TargetConsumption!$C$1:$K$1,0))</f>
        <v>658</v>
      </c>
      <c r="F51" s="2">
        <f>INDEX(DemInt!$C$2:$Q$10,MATCH(F$45,DemInt!$B$2:$B$10,0),MATCH($A51,DemInt!$C$1:$Q$1,0))-INDEX(DemSlope!$C$2:$Q$10,MATCH(F$45,DemSlope!$B$2:$B$10,0),MATCH($A51,DemSlope!$C$1:$Q$1,0))*INDEX(TargetConsumption!$C$2:$K$16,MATCH($A51,TargetConsumption!$B$2:$B$16,0),MATCH(F$45,TargetConsumption!$C$1:$K$1,0))</f>
        <v>521</v>
      </c>
      <c r="G51" s="2">
        <f>INDEX(DemInt!$C$2:$Q$10,MATCH(G$45,DemInt!$B$2:$B$10,0),MATCH($A51,DemInt!$C$1:$Q$1,0))-INDEX(DemSlope!$C$2:$Q$10,MATCH(G$45,DemSlope!$B$2:$B$10,0),MATCH($A51,DemSlope!$C$1:$Q$1,0))*INDEX(TargetConsumption!$C$2:$K$16,MATCH($A51,TargetConsumption!$B$2:$B$16,0),MATCH(G$45,TargetConsumption!$C$1:$K$1,0))</f>
        <v>398.86388888888888</v>
      </c>
      <c r="H51" s="2">
        <f>INDEX(DemInt!$C$2:$Q$10,MATCH(H$45,DemInt!$B$2:$B$10,0),MATCH($A51,DemInt!$C$1:$Q$1,0))-INDEX(DemSlope!$C$2:$Q$10,MATCH(H$45,DemSlope!$B$2:$B$10,0),MATCH($A51,DemSlope!$C$1:$Q$1,0))*INDEX(TargetConsumption!$C$2:$K$16,MATCH($A51,TargetConsumption!$B$2:$B$16,0),MATCH(H$45,TargetConsumption!$C$1:$K$1,0))</f>
        <v>740.74722222222226</v>
      </c>
      <c r="I51" s="2">
        <f>INDEX(DemInt!$C$2:$Q$10,MATCH(I$45,DemInt!$B$2:$B$10,0),MATCH($A51,DemInt!$C$1:$Q$1,0))-INDEX(DemSlope!$C$2:$Q$10,MATCH(I$45,DemSlope!$B$2:$B$10,0),MATCH($A51,DemSlope!$C$1:$Q$1,0))*INDEX(TargetConsumption!$C$2:$K$16,MATCH($A51,TargetConsumption!$B$2:$B$16,0),MATCH(I$45,TargetConsumption!$C$1:$K$1,0))</f>
        <v>666.67250000000001</v>
      </c>
      <c r="J51" s="2">
        <f>INDEX(DemInt!$C$2:$Q$10,MATCH(J$45,DemInt!$B$2:$B$10,0),MATCH($A51,DemInt!$C$1:$Q$1,0))-INDEX(DemSlope!$C$2:$Q$10,MATCH(J$45,DemSlope!$B$2:$B$10,0),MATCH($A51,DemSlope!$C$1:$Q$1,0))*INDEX(TargetConsumption!$C$2:$K$16,MATCH($A51,TargetConsumption!$B$2:$B$16,0),MATCH(J$45,TargetConsumption!$C$1:$K$1,0))</f>
        <v>358.97750000000002</v>
      </c>
      <c r="K51" s="46">
        <f>INDEX(DemInt!$C$11:$Q$19,MATCH(K$45,DemInt!$B$2:$B$10,0),MATCH($A51,DemInt!$C$1:$Q$1,0))-INDEX(DemSlope!$C$11:$Q$19,MATCH(K$45,DemSlope!$B$2:$B$10,0),MATCH($A51,DemSlope!$C$1:$Q$1,0))*INDEX(TargetConsumption!$C$2:$K$16,MATCH($A51,TargetConsumption!$B$2:$B$16,0),MATCH(K$45,TargetConsumption!$C$1:$K$1,0))</f>
        <v>717.83333333333337</v>
      </c>
      <c r="L51" s="46">
        <f>INDEX(DemInt!$C$11:$Q$19,MATCH(L$45,DemInt!$B$2:$B$10,0),MATCH($A51,DemInt!$C$1:$Q$1,0))-INDEX(DemSlope!$C$11:$Q$19,MATCH(L$45,DemSlope!$B$2:$B$10,0),MATCH($A51,DemSlope!$C$1:$Q$1,0))*INDEX(TargetConsumption!$C$2:$K$16,MATCH($A51,TargetConsumption!$B$2:$B$16,0),MATCH(L$45,TargetConsumption!$C$1:$K$1,0))</f>
        <v>605</v>
      </c>
      <c r="M51" s="46">
        <f>INDEX(DemInt!$C$11:$Q$19,MATCH(M$45,DemInt!$B$2:$B$10,0),MATCH($A51,DemInt!$C$1:$Q$1,0))-INDEX(DemSlope!$C$11:$Q$19,MATCH(M$45,DemSlope!$B$2:$B$10,0),MATCH($A51,DemSlope!$C$1:$Q$1,0))*INDEX(TargetConsumption!$C$2:$K$16,MATCH($A51,TargetConsumption!$B$2:$B$16,0),MATCH(M$45,TargetConsumption!$C$1:$K$1,0))</f>
        <v>373.66666666666669</v>
      </c>
      <c r="N51" s="46">
        <f>INDEX(DemInt!$C$11:$Q$19,MATCH(N$45,DemInt!$B$2:$B$10,0),MATCH($A51,DemInt!$C$1:$Q$1,0))-INDEX(DemSlope!$C$11:$Q$19,MATCH(N$45,DemSlope!$B$2:$B$10,0),MATCH($A51,DemSlope!$C$1:$Q$1,0))*INDEX(TargetConsumption!$C$2:$K$16,MATCH($A51,TargetConsumption!$B$2:$B$16,0),MATCH(N$45,TargetConsumption!$C$1:$K$1,0))</f>
        <v>658</v>
      </c>
      <c r="O51" s="46">
        <f>INDEX(DemInt!$C$11:$Q$19,MATCH(O$45,DemInt!$B$2:$B$10,0),MATCH($A51,DemInt!$C$1:$Q$1,0))-INDEX(DemSlope!$C$11:$Q$19,MATCH(O$45,DemSlope!$B$2:$B$10,0),MATCH($A51,DemSlope!$C$1:$Q$1,0))*INDEX(TargetConsumption!$C$2:$K$16,MATCH($A51,TargetConsumption!$B$2:$B$16,0),MATCH(O$45,TargetConsumption!$C$1:$K$1,0))</f>
        <v>521</v>
      </c>
      <c r="P51" s="46">
        <f>INDEX(DemInt!$C$11:$Q$19,MATCH(P$45,DemInt!$B$2:$B$10,0),MATCH($A51,DemInt!$C$1:$Q$1,0))-INDEX(DemSlope!$C$11:$Q$19,MATCH(P$45,DemSlope!$B$2:$B$10,0),MATCH($A51,DemSlope!$C$1:$Q$1,0))*INDEX(TargetConsumption!$C$2:$K$16,MATCH($A51,TargetConsumption!$B$2:$B$16,0),MATCH(P$45,TargetConsumption!$C$1:$K$1,0))</f>
        <v>398.86388888888888</v>
      </c>
      <c r="Q51" s="46">
        <f>INDEX(DemInt!$C$11:$Q$19,MATCH(Q$45,DemInt!$B$2:$B$10,0),MATCH($A51,DemInt!$C$1:$Q$1,0))-INDEX(DemSlope!$C$11:$Q$19,MATCH(Q$45,DemSlope!$B$2:$B$10,0),MATCH($A51,DemSlope!$C$1:$Q$1,0))*INDEX(TargetConsumption!$C$2:$K$16,MATCH($A51,TargetConsumption!$B$2:$B$16,0),MATCH(Q$45,TargetConsumption!$C$1:$K$1,0))</f>
        <v>740.74722222222226</v>
      </c>
      <c r="R51" s="46">
        <f>INDEX(DemInt!$C$11:$Q$19,MATCH(R$45,DemInt!$B$2:$B$10,0),MATCH($A51,DemInt!$C$1:$Q$1,0))-INDEX(DemSlope!$C$11:$Q$19,MATCH(R$45,DemSlope!$B$2:$B$10,0),MATCH($A51,DemSlope!$C$1:$Q$1,0))*INDEX(TargetConsumption!$C$2:$K$16,MATCH($A51,TargetConsumption!$B$2:$B$16,0),MATCH(R$45,TargetConsumption!$C$1:$K$1,0))</f>
        <v>666.67250000000001</v>
      </c>
      <c r="S51" s="46">
        <f>INDEX(DemInt!$C$11:$Q$19,MATCH(S$45,DemInt!$B$2:$B$10,0),MATCH($A51,DemInt!$C$1:$Q$1,0))-INDEX(DemSlope!$C$11:$Q$19,MATCH(S$45,DemSlope!$B$2:$B$10,0),MATCH($A51,DemSlope!$C$1:$Q$1,0))*INDEX(TargetConsumption!$C$2:$K$16,MATCH($A51,TargetConsumption!$B$2:$B$16,0),MATCH(S$45,TargetConsumption!$C$1:$K$1,0))</f>
        <v>358.97750000000002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</row>
    <row r="52" spans="1:35">
      <c r="A52" s="2" t="s">
        <v>139</v>
      </c>
      <c r="B52" s="2">
        <f>INDEX(DemInt!$C$2:$Q$10,MATCH(B$45,DemInt!$B$2:$B$10,0),MATCH($A52,DemInt!$C$1:$Q$1,0))-INDEX(DemSlope!$C$2:$Q$10,MATCH(B$45,DemSlope!$B$2:$B$10,0),MATCH($A52,DemSlope!$C$1:$Q$1,0))*INDEX(TargetConsumption!$C$2:$K$16,MATCH($A52,TargetConsumption!$B$2:$B$16,0),MATCH(B$45,TargetConsumption!$C$1:$K$1,0))</f>
        <v>717.83333333333348</v>
      </c>
      <c r="C52" s="2">
        <f>INDEX(DemInt!$C$2:$Q$10,MATCH(C$45,DemInt!$B$2:$B$10,0),MATCH($A52,DemInt!$C$1:$Q$1,0))-INDEX(DemSlope!$C$2:$Q$10,MATCH(C$45,DemSlope!$B$2:$B$10,0),MATCH($A52,DemSlope!$C$1:$Q$1,0))*INDEX(TargetConsumption!$C$2:$K$16,MATCH($A52,TargetConsumption!$B$2:$B$16,0),MATCH(C$45,TargetConsumption!$C$1:$K$1,0))</f>
        <v>605</v>
      </c>
      <c r="D52" s="2">
        <f>INDEX(DemInt!$C$2:$Q$10,MATCH(D$45,DemInt!$B$2:$B$10,0),MATCH($A52,DemInt!$C$1:$Q$1,0))-INDEX(DemSlope!$C$2:$Q$10,MATCH(D$45,DemSlope!$B$2:$B$10,0),MATCH($A52,DemSlope!$C$1:$Q$1,0))*INDEX(TargetConsumption!$C$2:$K$16,MATCH($A52,TargetConsumption!$B$2:$B$16,0),MATCH(D$45,TargetConsumption!$C$1:$K$1,0))</f>
        <v>373.66666666666788</v>
      </c>
      <c r="E52" s="2">
        <f>INDEX(DemInt!$C$2:$Q$10,MATCH(E$45,DemInt!$B$2:$B$10,0),MATCH($A52,DemInt!$C$1:$Q$1,0))-INDEX(DemSlope!$C$2:$Q$10,MATCH(E$45,DemSlope!$B$2:$B$10,0),MATCH($A52,DemSlope!$C$1:$Q$1,0))*INDEX(TargetConsumption!$C$2:$K$16,MATCH($A52,TargetConsumption!$B$2:$B$16,0),MATCH(E$45,TargetConsumption!$C$1:$K$1,0))</f>
        <v>658</v>
      </c>
      <c r="F52" s="2">
        <f>INDEX(DemInt!$C$2:$Q$10,MATCH(F$45,DemInt!$B$2:$B$10,0),MATCH($A52,DemInt!$C$1:$Q$1,0))-INDEX(DemSlope!$C$2:$Q$10,MATCH(F$45,DemSlope!$B$2:$B$10,0),MATCH($A52,DemSlope!$C$1:$Q$1,0))*INDEX(TargetConsumption!$C$2:$K$16,MATCH($A52,TargetConsumption!$B$2:$B$16,0),MATCH(F$45,TargetConsumption!$C$1:$K$1,0))</f>
        <v>521</v>
      </c>
      <c r="G52" s="2">
        <f>INDEX(DemInt!$C$2:$Q$10,MATCH(G$45,DemInt!$B$2:$B$10,0),MATCH($A52,DemInt!$C$1:$Q$1,0))-INDEX(DemSlope!$C$2:$Q$10,MATCH(G$45,DemSlope!$B$2:$B$10,0),MATCH($A52,DemSlope!$C$1:$Q$1,0))*INDEX(TargetConsumption!$C$2:$K$16,MATCH($A52,TargetConsumption!$B$2:$B$16,0),MATCH(G$45,TargetConsumption!$C$1:$K$1,0))</f>
        <v>398.86388888888905</v>
      </c>
      <c r="H52" s="2">
        <f>INDEX(DemInt!$C$2:$Q$10,MATCH(H$45,DemInt!$B$2:$B$10,0),MATCH($A52,DemInt!$C$1:$Q$1,0))-INDEX(DemSlope!$C$2:$Q$10,MATCH(H$45,DemSlope!$B$2:$B$10,0),MATCH($A52,DemSlope!$C$1:$Q$1,0))*INDEX(TargetConsumption!$C$2:$K$16,MATCH($A52,TargetConsumption!$B$2:$B$16,0),MATCH(H$45,TargetConsumption!$C$1:$K$1,0))</f>
        <v>740.74722222222226</v>
      </c>
      <c r="I52" s="2">
        <f>INDEX(DemInt!$C$2:$Q$10,MATCH(I$45,DemInt!$B$2:$B$10,0),MATCH($A52,DemInt!$C$1:$Q$1,0))-INDEX(DemSlope!$C$2:$Q$10,MATCH(I$45,DemSlope!$B$2:$B$10,0),MATCH($A52,DemSlope!$C$1:$Q$1,0))*INDEX(TargetConsumption!$C$2:$K$16,MATCH($A52,TargetConsumption!$B$2:$B$16,0),MATCH(I$45,TargetConsumption!$C$1:$K$1,0))</f>
        <v>666.67250000000001</v>
      </c>
      <c r="J52" s="2">
        <f>INDEX(DemInt!$C$2:$Q$10,MATCH(J$45,DemInt!$B$2:$B$10,0),MATCH($A52,DemInt!$C$1:$Q$1,0))-INDEX(DemSlope!$C$2:$Q$10,MATCH(J$45,DemSlope!$B$2:$B$10,0),MATCH($A52,DemSlope!$C$1:$Q$1,0))*INDEX(TargetConsumption!$C$2:$K$16,MATCH($A52,TargetConsumption!$B$2:$B$16,0),MATCH(J$45,TargetConsumption!$C$1:$K$1,0))</f>
        <v>358.97750000000002</v>
      </c>
      <c r="K52" s="46">
        <f>INDEX(DemInt!$C$11:$Q$19,MATCH(K$45,DemInt!$B$2:$B$10,0),MATCH($A52,DemInt!$C$1:$Q$1,0))-INDEX(DemSlope!$C$11:$Q$19,MATCH(K$45,DemSlope!$B$2:$B$10,0),MATCH($A52,DemSlope!$C$1:$Q$1,0))*INDEX(TargetConsumption!$C$2:$K$16,MATCH($A52,TargetConsumption!$B$2:$B$16,0),MATCH(K$45,TargetConsumption!$C$1:$K$1,0))</f>
        <v>717.83333333333348</v>
      </c>
      <c r="L52" s="46">
        <f>INDEX(DemInt!$C$11:$Q$19,MATCH(L$45,DemInt!$B$2:$B$10,0),MATCH($A52,DemInt!$C$1:$Q$1,0))-INDEX(DemSlope!$C$11:$Q$19,MATCH(L$45,DemSlope!$B$2:$B$10,0),MATCH($A52,DemSlope!$C$1:$Q$1,0))*INDEX(TargetConsumption!$C$2:$K$16,MATCH($A52,TargetConsumption!$B$2:$B$16,0),MATCH(L$45,TargetConsumption!$C$1:$K$1,0))</f>
        <v>605</v>
      </c>
      <c r="M52" s="46">
        <f>INDEX(DemInt!$C$11:$Q$19,MATCH(M$45,DemInt!$B$2:$B$10,0),MATCH($A52,DemInt!$C$1:$Q$1,0))-INDEX(DemSlope!$C$11:$Q$19,MATCH(M$45,DemSlope!$B$2:$B$10,0),MATCH($A52,DemSlope!$C$1:$Q$1,0))*INDEX(TargetConsumption!$C$2:$K$16,MATCH($A52,TargetConsumption!$B$2:$B$16,0),MATCH(M$45,TargetConsumption!$C$1:$K$1,0))</f>
        <v>373.66666666666788</v>
      </c>
      <c r="N52" s="46">
        <f>INDEX(DemInt!$C$11:$Q$19,MATCH(N$45,DemInt!$B$2:$B$10,0),MATCH($A52,DemInt!$C$1:$Q$1,0))-INDEX(DemSlope!$C$11:$Q$19,MATCH(N$45,DemSlope!$B$2:$B$10,0),MATCH($A52,DemSlope!$C$1:$Q$1,0))*INDEX(TargetConsumption!$C$2:$K$16,MATCH($A52,TargetConsumption!$B$2:$B$16,0),MATCH(N$45,TargetConsumption!$C$1:$K$1,0))</f>
        <v>658</v>
      </c>
      <c r="O52" s="46">
        <f>INDEX(DemInt!$C$11:$Q$19,MATCH(O$45,DemInt!$B$2:$B$10,0),MATCH($A52,DemInt!$C$1:$Q$1,0))-INDEX(DemSlope!$C$11:$Q$19,MATCH(O$45,DemSlope!$B$2:$B$10,0),MATCH($A52,DemSlope!$C$1:$Q$1,0))*INDEX(TargetConsumption!$C$2:$K$16,MATCH($A52,TargetConsumption!$B$2:$B$16,0),MATCH(O$45,TargetConsumption!$C$1:$K$1,0))</f>
        <v>521</v>
      </c>
      <c r="P52" s="46">
        <f>INDEX(DemInt!$C$11:$Q$19,MATCH(P$45,DemInt!$B$2:$B$10,0),MATCH($A52,DemInt!$C$1:$Q$1,0))-INDEX(DemSlope!$C$11:$Q$19,MATCH(P$45,DemSlope!$B$2:$B$10,0),MATCH($A52,DemSlope!$C$1:$Q$1,0))*INDEX(TargetConsumption!$C$2:$K$16,MATCH($A52,TargetConsumption!$B$2:$B$16,0),MATCH(P$45,TargetConsumption!$C$1:$K$1,0))</f>
        <v>398.86388888888905</v>
      </c>
      <c r="Q52" s="46">
        <f>INDEX(DemInt!$C$11:$Q$19,MATCH(Q$45,DemInt!$B$2:$B$10,0),MATCH($A52,DemInt!$C$1:$Q$1,0))-INDEX(DemSlope!$C$11:$Q$19,MATCH(Q$45,DemSlope!$B$2:$B$10,0),MATCH($A52,DemSlope!$C$1:$Q$1,0))*INDEX(TargetConsumption!$C$2:$K$16,MATCH($A52,TargetConsumption!$B$2:$B$16,0),MATCH(Q$45,TargetConsumption!$C$1:$K$1,0))</f>
        <v>740.74722222222226</v>
      </c>
      <c r="R52" s="46">
        <f>INDEX(DemInt!$C$11:$Q$19,MATCH(R$45,DemInt!$B$2:$B$10,0),MATCH($A52,DemInt!$C$1:$Q$1,0))-INDEX(DemSlope!$C$11:$Q$19,MATCH(R$45,DemSlope!$B$2:$B$10,0),MATCH($A52,DemSlope!$C$1:$Q$1,0))*INDEX(TargetConsumption!$C$2:$K$16,MATCH($A52,TargetConsumption!$B$2:$B$16,0),MATCH(R$45,TargetConsumption!$C$1:$K$1,0))</f>
        <v>666.67250000000001</v>
      </c>
      <c r="S52" s="46">
        <f>INDEX(DemInt!$C$11:$Q$19,MATCH(S$45,DemInt!$B$2:$B$10,0),MATCH($A52,DemInt!$C$1:$Q$1,0))-INDEX(DemSlope!$C$11:$Q$19,MATCH(S$45,DemSlope!$B$2:$B$10,0),MATCH($A52,DemSlope!$C$1:$Q$1,0))*INDEX(TargetConsumption!$C$2:$K$16,MATCH($A52,TargetConsumption!$B$2:$B$16,0),MATCH(S$45,TargetConsumption!$C$1:$K$1,0))</f>
        <v>358.97750000000002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</row>
    <row r="53" spans="1:35">
      <c r="A53" s="2" t="s">
        <v>140</v>
      </c>
      <c r="B53" s="2">
        <f>INDEX(DemInt!$C$2:$Q$10,MATCH(B$45,DemInt!$B$2:$B$10,0),MATCH($A53,DemInt!$C$1:$Q$1,0))-INDEX(DemSlope!$C$2:$Q$10,MATCH(B$45,DemSlope!$B$2:$B$10,0),MATCH($A53,DemSlope!$C$1:$Q$1,0))*INDEX(TargetConsumption!$C$2:$K$16,MATCH($A53,TargetConsumption!$B$2:$B$16,0),MATCH(B$45,TargetConsumption!$C$1:$K$1,0))</f>
        <v>717.83333333333576</v>
      </c>
      <c r="C53" s="2">
        <f>INDEX(DemInt!$C$2:$Q$10,MATCH(C$45,DemInt!$B$2:$B$10,0),MATCH($A53,DemInt!$C$1:$Q$1,0))-INDEX(DemSlope!$C$2:$Q$10,MATCH(C$45,DemSlope!$B$2:$B$10,0),MATCH($A53,DemSlope!$C$1:$Q$1,0))*INDEX(TargetConsumption!$C$2:$K$16,MATCH($A53,TargetConsumption!$B$2:$B$16,0),MATCH(C$45,TargetConsumption!$C$1:$K$1,0))</f>
        <v>605</v>
      </c>
      <c r="D53" s="2">
        <f>INDEX(DemInt!$C$2:$Q$10,MATCH(D$45,DemInt!$B$2:$B$10,0),MATCH($A53,DemInt!$C$1:$Q$1,0))-INDEX(DemSlope!$C$2:$Q$10,MATCH(D$45,DemSlope!$B$2:$B$10,0),MATCH($A53,DemSlope!$C$1:$Q$1,0))*INDEX(TargetConsumption!$C$2:$K$16,MATCH($A53,TargetConsumption!$B$2:$B$16,0),MATCH(D$45,TargetConsumption!$C$1:$K$1,0))</f>
        <v>373.66666666665697</v>
      </c>
      <c r="E53" s="2">
        <f>INDEX(DemInt!$C$2:$Q$10,MATCH(E$45,DemInt!$B$2:$B$10,0),MATCH($A53,DemInt!$C$1:$Q$1,0))-INDEX(DemSlope!$C$2:$Q$10,MATCH(E$45,DemSlope!$B$2:$B$10,0),MATCH($A53,DemSlope!$C$1:$Q$1,0))*INDEX(TargetConsumption!$C$2:$K$16,MATCH($A53,TargetConsumption!$B$2:$B$16,0),MATCH(E$45,TargetConsumption!$C$1:$K$1,0))</f>
        <v>658</v>
      </c>
      <c r="F53" s="2">
        <f>INDEX(DemInt!$C$2:$Q$10,MATCH(F$45,DemInt!$B$2:$B$10,0),MATCH($A53,DemInt!$C$1:$Q$1,0))-INDEX(DemSlope!$C$2:$Q$10,MATCH(F$45,DemSlope!$B$2:$B$10,0),MATCH($A53,DemSlope!$C$1:$Q$1,0))*INDEX(TargetConsumption!$C$2:$K$16,MATCH($A53,TargetConsumption!$B$2:$B$16,0),MATCH(F$45,TargetConsumption!$C$1:$K$1,0))</f>
        <v>521</v>
      </c>
      <c r="G53" s="2">
        <f>INDEX(DemInt!$C$2:$Q$10,MATCH(G$45,DemInt!$B$2:$B$10,0),MATCH($A53,DemInt!$C$1:$Q$1,0))-INDEX(DemSlope!$C$2:$Q$10,MATCH(G$45,DemSlope!$B$2:$B$10,0),MATCH($A53,DemSlope!$C$1:$Q$1,0))*INDEX(TargetConsumption!$C$2:$K$16,MATCH($A53,TargetConsumption!$B$2:$B$16,0),MATCH(G$45,TargetConsumption!$C$1:$K$1,0))</f>
        <v>398.86388888888177</v>
      </c>
      <c r="H53" s="2">
        <f>INDEX(DemInt!$C$2:$Q$10,MATCH(H$45,DemInt!$B$2:$B$10,0),MATCH($A53,DemInt!$C$1:$Q$1,0))-INDEX(DemSlope!$C$2:$Q$10,MATCH(H$45,DemSlope!$B$2:$B$10,0),MATCH($A53,DemSlope!$C$1:$Q$1,0))*INDEX(TargetConsumption!$C$2:$K$16,MATCH($A53,TargetConsumption!$B$2:$B$16,0),MATCH(H$45,TargetConsumption!$C$1:$K$1,0))</f>
        <v>740.74722222222226</v>
      </c>
      <c r="I53" s="2">
        <f>INDEX(DemInt!$C$2:$Q$10,MATCH(I$45,DemInt!$B$2:$B$10,0),MATCH($A53,DemInt!$C$1:$Q$1,0))-INDEX(DemSlope!$C$2:$Q$10,MATCH(I$45,DemSlope!$B$2:$B$10,0),MATCH($A53,DemSlope!$C$1:$Q$1,0))*INDEX(TargetConsumption!$C$2:$K$16,MATCH($A53,TargetConsumption!$B$2:$B$16,0),MATCH(I$45,TargetConsumption!$C$1:$K$1,0))</f>
        <v>666.67250000000001</v>
      </c>
      <c r="J53" s="2">
        <f>INDEX(DemInt!$C$2:$Q$10,MATCH(J$45,DemInt!$B$2:$B$10,0),MATCH($A53,DemInt!$C$1:$Q$1,0))-INDEX(DemSlope!$C$2:$Q$10,MATCH(J$45,DemSlope!$B$2:$B$10,0),MATCH($A53,DemSlope!$C$1:$Q$1,0))*INDEX(TargetConsumption!$C$2:$K$16,MATCH($A53,TargetConsumption!$B$2:$B$16,0),MATCH(J$45,TargetConsumption!$C$1:$K$1,0))</f>
        <v>358.97750000000002</v>
      </c>
      <c r="K53" s="46">
        <f>INDEX(DemInt!$C$11:$Q$19,MATCH(K$45,DemInt!$B$2:$B$10,0),MATCH($A53,DemInt!$C$1:$Q$1,0))-INDEX(DemSlope!$C$11:$Q$19,MATCH(K$45,DemSlope!$B$2:$B$10,0),MATCH($A53,DemSlope!$C$1:$Q$1,0))*INDEX(TargetConsumption!$C$2:$K$16,MATCH($A53,TargetConsumption!$B$2:$B$16,0),MATCH(K$45,TargetConsumption!$C$1:$K$1,0))</f>
        <v>717.83333333333576</v>
      </c>
      <c r="L53" s="46">
        <f>INDEX(DemInt!$C$11:$Q$19,MATCH(L$45,DemInt!$B$2:$B$10,0),MATCH($A53,DemInt!$C$1:$Q$1,0))-INDEX(DemSlope!$C$11:$Q$19,MATCH(L$45,DemSlope!$B$2:$B$10,0),MATCH($A53,DemSlope!$C$1:$Q$1,0))*INDEX(TargetConsumption!$C$2:$K$16,MATCH($A53,TargetConsumption!$B$2:$B$16,0),MATCH(L$45,TargetConsumption!$C$1:$K$1,0))</f>
        <v>605</v>
      </c>
      <c r="M53" s="46">
        <f>INDEX(DemInt!$C$11:$Q$19,MATCH(M$45,DemInt!$B$2:$B$10,0),MATCH($A53,DemInt!$C$1:$Q$1,0))-INDEX(DemSlope!$C$11:$Q$19,MATCH(M$45,DemSlope!$B$2:$B$10,0),MATCH($A53,DemSlope!$C$1:$Q$1,0))*INDEX(TargetConsumption!$C$2:$K$16,MATCH($A53,TargetConsumption!$B$2:$B$16,0),MATCH(M$45,TargetConsumption!$C$1:$K$1,0))</f>
        <v>373.66666666665697</v>
      </c>
      <c r="N53" s="46">
        <f>INDEX(DemInt!$C$11:$Q$19,MATCH(N$45,DemInt!$B$2:$B$10,0),MATCH($A53,DemInt!$C$1:$Q$1,0))-INDEX(DemSlope!$C$11:$Q$19,MATCH(N$45,DemSlope!$B$2:$B$10,0),MATCH($A53,DemSlope!$C$1:$Q$1,0))*INDEX(TargetConsumption!$C$2:$K$16,MATCH($A53,TargetConsumption!$B$2:$B$16,0),MATCH(N$45,TargetConsumption!$C$1:$K$1,0))</f>
        <v>658</v>
      </c>
      <c r="O53" s="46">
        <f>INDEX(DemInt!$C$11:$Q$19,MATCH(O$45,DemInt!$B$2:$B$10,0),MATCH($A53,DemInt!$C$1:$Q$1,0))-INDEX(DemSlope!$C$11:$Q$19,MATCH(O$45,DemSlope!$B$2:$B$10,0),MATCH($A53,DemSlope!$C$1:$Q$1,0))*INDEX(TargetConsumption!$C$2:$K$16,MATCH($A53,TargetConsumption!$B$2:$B$16,0),MATCH(O$45,TargetConsumption!$C$1:$K$1,0))</f>
        <v>521</v>
      </c>
      <c r="P53" s="46">
        <f>INDEX(DemInt!$C$11:$Q$19,MATCH(P$45,DemInt!$B$2:$B$10,0),MATCH($A53,DemInt!$C$1:$Q$1,0))-INDEX(DemSlope!$C$11:$Q$19,MATCH(P$45,DemSlope!$B$2:$B$10,0),MATCH($A53,DemSlope!$C$1:$Q$1,0))*INDEX(TargetConsumption!$C$2:$K$16,MATCH($A53,TargetConsumption!$B$2:$B$16,0),MATCH(P$45,TargetConsumption!$C$1:$K$1,0))</f>
        <v>398.86388888888177</v>
      </c>
      <c r="Q53" s="46">
        <f>INDEX(DemInt!$C$11:$Q$19,MATCH(Q$45,DemInt!$B$2:$B$10,0),MATCH($A53,DemInt!$C$1:$Q$1,0))-INDEX(DemSlope!$C$11:$Q$19,MATCH(Q$45,DemSlope!$B$2:$B$10,0),MATCH($A53,DemSlope!$C$1:$Q$1,0))*INDEX(TargetConsumption!$C$2:$K$16,MATCH($A53,TargetConsumption!$B$2:$B$16,0),MATCH(Q$45,TargetConsumption!$C$1:$K$1,0))</f>
        <v>740.74722222222226</v>
      </c>
      <c r="R53" s="46">
        <f>INDEX(DemInt!$C$11:$Q$19,MATCH(R$45,DemInt!$B$2:$B$10,0),MATCH($A53,DemInt!$C$1:$Q$1,0))-INDEX(DemSlope!$C$11:$Q$19,MATCH(R$45,DemSlope!$B$2:$B$10,0),MATCH($A53,DemSlope!$C$1:$Q$1,0))*INDEX(TargetConsumption!$C$2:$K$16,MATCH($A53,TargetConsumption!$B$2:$B$16,0),MATCH(R$45,TargetConsumption!$C$1:$K$1,0))</f>
        <v>666.67250000000001</v>
      </c>
      <c r="S53" s="46">
        <f>INDEX(DemInt!$C$11:$Q$19,MATCH(S$45,DemInt!$B$2:$B$10,0),MATCH($A53,DemInt!$C$1:$Q$1,0))-INDEX(DemSlope!$C$11:$Q$19,MATCH(S$45,DemSlope!$B$2:$B$10,0),MATCH($A53,DemSlope!$C$1:$Q$1,0))*INDEX(TargetConsumption!$C$2:$K$16,MATCH($A53,TargetConsumption!$B$2:$B$16,0),MATCH(S$45,TargetConsumption!$C$1:$K$1,0))</f>
        <v>358.97750000000002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>
      <c r="A54" s="2" t="s">
        <v>141</v>
      </c>
      <c r="B54" s="2">
        <f>INDEX(DemInt!$C$2:$Q$10,MATCH(B$45,DemInt!$B$2:$B$10,0),MATCH($A54,DemInt!$C$1:$Q$1,0))-INDEX(DemSlope!$C$2:$Q$10,MATCH(B$45,DemSlope!$B$2:$B$10,0),MATCH($A54,DemSlope!$C$1:$Q$1,0))*INDEX(TargetConsumption!$C$2:$K$16,MATCH($A54,TargetConsumption!$B$2:$B$16,0),MATCH(B$45,TargetConsumption!$C$1:$K$1,0))</f>
        <v>717.83333333333337</v>
      </c>
      <c r="C54" s="2">
        <f>INDEX(DemInt!$C$2:$Q$10,MATCH(C$45,DemInt!$B$2:$B$10,0),MATCH($A54,DemInt!$C$1:$Q$1,0))-INDEX(DemSlope!$C$2:$Q$10,MATCH(C$45,DemSlope!$B$2:$B$10,0),MATCH($A54,DemSlope!$C$1:$Q$1,0))*INDEX(TargetConsumption!$C$2:$K$16,MATCH($A54,TargetConsumption!$B$2:$B$16,0),MATCH(C$45,TargetConsumption!$C$1:$K$1,0))</f>
        <v>605</v>
      </c>
      <c r="D54" s="2">
        <f>INDEX(DemInt!$C$2:$Q$10,MATCH(D$45,DemInt!$B$2:$B$10,0),MATCH($A54,DemInt!$C$1:$Q$1,0))-INDEX(DemSlope!$C$2:$Q$10,MATCH(D$45,DemSlope!$B$2:$B$10,0),MATCH($A54,DemSlope!$C$1:$Q$1,0))*INDEX(TargetConsumption!$C$2:$K$16,MATCH($A54,TargetConsumption!$B$2:$B$16,0),MATCH(D$45,TargetConsumption!$C$1:$K$1,0))</f>
        <v>373.66666666666669</v>
      </c>
      <c r="E54" s="2">
        <f>INDEX(DemInt!$C$2:$Q$10,MATCH(E$45,DemInt!$B$2:$B$10,0),MATCH($A54,DemInt!$C$1:$Q$1,0))-INDEX(DemSlope!$C$2:$Q$10,MATCH(E$45,DemSlope!$B$2:$B$10,0),MATCH($A54,DemSlope!$C$1:$Q$1,0))*INDEX(TargetConsumption!$C$2:$K$16,MATCH($A54,TargetConsumption!$B$2:$B$16,0),MATCH(E$45,TargetConsumption!$C$1:$K$1,0))</f>
        <v>658</v>
      </c>
      <c r="F54" s="2">
        <f>INDEX(DemInt!$C$2:$Q$10,MATCH(F$45,DemInt!$B$2:$B$10,0),MATCH($A54,DemInt!$C$1:$Q$1,0))-INDEX(DemSlope!$C$2:$Q$10,MATCH(F$45,DemSlope!$B$2:$B$10,0),MATCH($A54,DemSlope!$C$1:$Q$1,0))*INDEX(TargetConsumption!$C$2:$K$16,MATCH($A54,TargetConsumption!$B$2:$B$16,0),MATCH(F$45,TargetConsumption!$C$1:$K$1,0))</f>
        <v>521</v>
      </c>
      <c r="G54" s="2">
        <f>INDEX(DemInt!$C$2:$Q$10,MATCH(G$45,DemInt!$B$2:$B$10,0),MATCH($A54,DemInt!$C$1:$Q$1,0))-INDEX(DemSlope!$C$2:$Q$10,MATCH(G$45,DemSlope!$B$2:$B$10,0),MATCH($A54,DemSlope!$C$1:$Q$1,0))*INDEX(TargetConsumption!$C$2:$K$16,MATCH($A54,TargetConsumption!$B$2:$B$16,0),MATCH(G$45,TargetConsumption!$C$1:$K$1,0))</f>
        <v>398.86388888888888</v>
      </c>
      <c r="H54" s="2">
        <f>INDEX(DemInt!$C$2:$Q$10,MATCH(H$45,DemInt!$B$2:$B$10,0),MATCH($A54,DemInt!$C$1:$Q$1,0))-INDEX(DemSlope!$C$2:$Q$10,MATCH(H$45,DemSlope!$B$2:$B$10,0),MATCH($A54,DemSlope!$C$1:$Q$1,0))*INDEX(TargetConsumption!$C$2:$K$16,MATCH($A54,TargetConsumption!$B$2:$B$16,0),MATCH(H$45,TargetConsumption!$C$1:$K$1,0))</f>
        <v>740.74722222222226</v>
      </c>
      <c r="I54" s="2">
        <f>INDEX(DemInt!$C$2:$Q$10,MATCH(I$45,DemInt!$B$2:$B$10,0),MATCH($A54,DemInt!$C$1:$Q$1,0))-INDEX(DemSlope!$C$2:$Q$10,MATCH(I$45,DemSlope!$B$2:$B$10,0),MATCH($A54,DemSlope!$C$1:$Q$1,0))*INDEX(TargetConsumption!$C$2:$K$16,MATCH($A54,TargetConsumption!$B$2:$B$16,0),MATCH(I$45,TargetConsumption!$C$1:$K$1,0))</f>
        <v>666.67250000000001</v>
      </c>
      <c r="J54" s="2">
        <f>INDEX(DemInt!$C$2:$Q$10,MATCH(J$45,DemInt!$B$2:$B$10,0),MATCH($A54,DemInt!$C$1:$Q$1,0))-INDEX(DemSlope!$C$2:$Q$10,MATCH(J$45,DemSlope!$B$2:$B$10,0),MATCH($A54,DemSlope!$C$1:$Q$1,0))*INDEX(TargetConsumption!$C$2:$K$16,MATCH($A54,TargetConsumption!$B$2:$B$16,0),MATCH(J$45,TargetConsumption!$C$1:$K$1,0))</f>
        <v>358.97750000000002</v>
      </c>
      <c r="K54" s="46">
        <f>INDEX(DemInt!$C$11:$Q$19,MATCH(K$45,DemInt!$B$2:$B$10,0),MATCH($A54,DemInt!$C$1:$Q$1,0))-INDEX(DemSlope!$C$11:$Q$19,MATCH(K$45,DemSlope!$B$2:$B$10,0),MATCH($A54,DemSlope!$C$1:$Q$1,0))*INDEX(TargetConsumption!$C$2:$K$16,MATCH($A54,TargetConsumption!$B$2:$B$16,0),MATCH(K$45,TargetConsumption!$C$1:$K$1,0))</f>
        <v>717.83333333333337</v>
      </c>
      <c r="L54" s="46">
        <f>INDEX(DemInt!$C$11:$Q$19,MATCH(L$45,DemInt!$B$2:$B$10,0),MATCH($A54,DemInt!$C$1:$Q$1,0))-INDEX(DemSlope!$C$11:$Q$19,MATCH(L$45,DemSlope!$B$2:$B$10,0),MATCH($A54,DemSlope!$C$1:$Q$1,0))*INDEX(TargetConsumption!$C$2:$K$16,MATCH($A54,TargetConsumption!$B$2:$B$16,0),MATCH(L$45,TargetConsumption!$C$1:$K$1,0))</f>
        <v>605</v>
      </c>
      <c r="M54" s="46">
        <f>INDEX(DemInt!$C$11:$Q$19,MATCH(M$45,DemInt!$B$2:$B$10,0),MATCH($A54,DemInt!$C$1:$Q$1,0))-INDEX(DemSlope!$C$11:$Q$19,MATCH(M$45,DemSlope!$B$2:$B$10,0),MATCH($A54,DemSlope!$C$1:$Q$1,0))*INDEX(TargetConsumption!$C$2:$K$16,MATCH($A54,TargetConsumption!$B$2:$B$16,0),MATCH(M$45,TargetConsumption!$C$1:$K$1,0))</f>
        <v>373.66666666666669</v>
      </c>
      <c r="N54" s="46">
        <f>INDEX(DemInt!$C$11:$Q$19,MATCH(N$45,DemInt!$B$2:$B$10,0),MATCH($A54,DemInt!$C$1:$Q$1,0))-INDEX(DemSlope!$C$11:$Q$19,MATCH(N$45,DemSlope!$B$2:$B$10,0),MATCH($A54,DemSlope!$C$1:$Q$1,0))*INDEX(TargetConsumption!$C$2:$K$16,MATCH($A54,TargetConsumption!$B$2:$B$16,0),MATCH(N$45,TargetConsumption!$C$1:$K$1,0))</f>
        <v>658</v>
      </c>
      <c r="O54" s="46">
        <f>INDEX(DemInt!$C$11:$Q$19,MATCH(O$45,DemInt!$B$2:$B$10,0),MATCH($A54,DemInt!$C$1:$Q$1,0))-INDEX(DemSlope!$C$11:$Q$19,MATCH(O$45,DemSlope!$B$2:$B$10,0),MATCH($A54,DemSlope!$C$1:$Q$1,0))*INDEX(TargetConsumption!$C$2:$K$16,MATCH($A54,TargetConsumption!$B$2:$B$16,0),MATCH(O$45,TargetConsumption!$C$1:$K$1,0))</f>
        <v>521</v>
      </c>
      <c r="P54" s="46">
        <f>INDEX(DemInt!$C$11:$Q$19,MATCH(P$45,DemInt!$B$2:$B$10,0),MATCH($A54,DemInt!$C$1:$Q$1,0))-INDEX(DemSlope!$C$11:$Q$19,MATCH(P$45,DemSlope!$B$2:$B$10,0),MATCH($A54,DemSlope!$C$1:$Q$1,0))*INDEX(TargetConsumption!$C$2:$K$16,MATCH($A54,TargetConsumption!$B$2:$B$16,0),MATCH(P$45,TargetConsumption!$C$1:$K$1,0))</f>
        <v>398.86388888888888</v>
      </c>
      <c r="Q54" s="46">
        <f>INDEX(DemInt!$C$11:$Q$19,MATCH(Q$45,DemInt!$B$2:$B$10,0),MATCH($A54,DemInt!$C$1:$Q$1,0))-INDEX(DemSlope!$C$11:$Q$19,MATCH(Q$45,DemSlope!$B$2:$B$10,0),MATCH($A54,DemSlope!$C$1:$Q$1,0))*INDEX(TargetConsumption!$C$2:$K$16,MATCH($A54,TargetConsumption!$B$2:$B$16,0),MATCH(Q$45,TargetConsumption!$C$1:$K$1,0))</f>
        <v>740.74722222222226</v>
      </c>
      <c r="R54" s="46">
        <f>INDEX(DemInt!$C$11:$Q$19,MATCH(R$45,DemInt!$B$2:$B$10,0),MATCH($A54,DemInt!$C$1:$Q$1,0))-INDEX(DemSlope!$C$11:$Q$19,MATCH(R$45,DemSlope!$B$2:$B$10,0),MATCH($A54,DemSlope!$C$1:$Q$1,0))*INDEX(TargetConsumption!$C$2:$K$16,MATCH($A54,TargetConsumption!$B$2:$B$16,0),MATCH(R$45,TargetConsumption!$C$1:$K$1,0))</f>
        <v>666.67250000000001</v>
      </c>
      <c r="S54" s="46">
        <f>INDEX(DemInt!$C$11:$Q$19,MATCH(S$45,DemInt!$B$2:$B$10,0),MATCH($A54,DemInt!$C$1:$Q$1,0))-INDEX(DemSlope!$C$11:$Q$19,MATCH(S$45,DemSlope!$B$2:$B$10,0),MATCH($A54,DemSlope!$C$1:$Q$1,0))*INDEX(TargetConsumption!$C$2:$K$16,MATCH($A54,TargetConsumption!$B$2:$B$16,0),MATCH(S$45,TargetConsumption!$C$1:$K$1,0))</f>
        <v>358.97750000000002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>
      <c r="A55" s="2" t="s">
        <v>142</v>
      </c>
      <c r="B55" s="2">
        <f>INDEX(DemInt!$C$2:$Q$10,MATCH(B$45,DemInt!$B$2:$B$10,0),MATCH($A55,DemInt!$C$1:$Q$1,0))-INDEX(DemSlope!$C$2:$Q$10,MATCH(B$45,DemSlope!$B$2:$B$10,0),MATCH($A55,DemSlope!$C$1:$Q$1,0))*INDEX(TargetConsumption!$C$2:$K$16,MATCH($A55,TargetConsumption!$B$2:$B$16,0),MATCH(B$45,TargetConsumption!$C$1:$K$1,0))</f>
        <v>717.83333333333337</v>
      </c>
      <c r="C55" s="2">
        <f>INDEX(DemInt!$C$2:$Q$10,MATCH(C$45,DemInt!$B$2:$B$10,0),MATCH($A55,DemInt!$C$1:$Q$1,0))-INDEX(DemSlope!$C$2:$Q$10,MATCH(C$45,DemSlope!$B$2:$B$10,0),MATCH($A55,DemSlope!$C$1:$Q$1,0))*INDEX(TargetConsumption!$C$2:$K$16,MATCH($A55,TargetConsumption!$B$2:$B$16,0),MATCH(C$45,TargetConsumption!$C$1:$K$1,0))</f>
        <v>605</v>
      </c>
      <c r="D55" s="2">
        <f>INDEX(DemInt!$C$2:$Q$10,MATCH(D$45,DemInt!$B$2:$B$10,0),MATCH($A55,DemInt!$C$1:$Q$1,0))-INDEX(DemSlope!$C$2:$Q$10,MATCH(D$45,DemSlope!$B$2:$B$10,0),MATCH($A55,DemSlope!$C$1:$Q$1,0))*INDEX(TargetConsumption!$C$2:$K$16,MATCH($A55,TargetConsumption!$B$2:$B$16,0),MATCH(D$45,TargetConsumption!$C$1:$K$1,0))</f>
        <v>373.66666666666674</v>
      </c>
      <c r="E55" s="2">
        <f>INDEX(DemInt!$C$2:$Q$10,MATCH(E$45,DemInt!$B$2:$B$10,0),MATCH($A55,DemInt!$C$1:$Q$1,0))-INDEX(DemSlope!$C$2:$Q$10,MATCH(E$45,DemSlope!$B$2:$B$10,0),MATCH($A55,DemSlope!$C$1:$Q$1,0))*INDEX(TargetConsumption!$C$2:$K$16,MATCH($A55,TargetConsumption!$B$2:$B$16,0),MATCH(E$45,TargetConsumption!$C$1:$K$1,0))</f>
        <v>658</v>
      </c>
      <c r="F55" s="2">
        <f>INDEX(DemInt!$C$2:$Q$10,MATCH(F$45,DemInt!$B$2:$B$10,0),MATCH($A55,DemInt!$C$1:$Q$1,0))-INDEX(DemSlope!$C$2:$Q$10,MATCH(F$45,DemSlope!$B$2:$B$10,0),MATCH($A55,DemSlope!$C$1:$Q$1,0))*INDEX(TargetConsumption!$C$2:$K$16,MATCH($A55,TargetConsumption!$B$2:$B$16,0),MATCH(F$45,TargetConsumption!$C$1:$K$1,0))</f>
        <v>521</v>
      </c>
      <c r="G55" s="2">
        <f>INDEX(DemInt!$C$2:$Q$10,MATCH(G$45,DemInt!$B$2:$B$10,0),MATCH($A55,DemInt!$C$1:$Q$1,0))-INDEX(DemSlope!$C$2:$Q$10,MATCH(G$45,DemSlope!$B$2:$B$10,0),MATCH($A55,DemSlope!$C$1:$Q$1,0))*INDEX(TargetConsumption!$C$2:$K$16,MATCH($A55,TargetConsumption!$B$2:$B$16,0),MATCH(G$45,TargetConsumption!$C$1:$K$1,0))</f>
        <v>398.86388888888894</v>
      </c>
      <c r="H55" s="2">
        <f>INDEX(DemInt!$C$2:$Q$10,MATCH(H$45,DemInt!$B$2:$B$10,0),MATCH($A55,DemInt!$C$1:$Q$1,0))-INDEX(DemSlope!$C$2:$Q$10,MATCH(H$45,DemSlope!$B$2:$B$10,0),MATCH($A55,DemSlope!$C$1:$Q$1,0))*INDEX(TargetConsumption!$C$2:$K$16,MATCH($A55,TargetConsumption!$B$2:$B$16,0),MATCH(H$45,TargetConsumption!$C$1:$K$1,0))</f>
        <v>740.74722222222226</v>
      </c>
      <c r="I55" s="2">
        <f>INDEX(DemInt!$C$2:$Q$10,MATCH(I$45,DemInt!$B$2:$B$10,0),MATCH($A55,DemInt!$C$1:$Q$1,0))-INDEX(DemSlope!$C$2:$Q$10,MATCH(I$45,DemSlope!$B$2:$B$10,0),MATCH($A55,DemSlope!$C$1:$Q$1,0))*INDEX(TargetConsumption!$C$2:$K$16,MATCH($A55,TargetConsumption!$B$2:$B$16,0),MATCH(I$45,TargetConsumption!$C$1:$K$1,0))</f>
        <v>666.67250000000001</v>
      </c>
      <c r="J55" s="2">
        <f>INDEX(DemInt!$C$2:$Q$10,MATCH(J$45,DemInt!$B$2:$B$10,0),MATCH($A55,DemInt!$C$1:$Q$1,0))-INDEX(DemSlope!$C$2:$Q$10,MATCH(J$45,DemSlope!$B$2:$B$10,0),MATCH($A55,DemSlope!$C$1:$Q$1,0))*INDEX(TargetConsumption!$C$2:$K$16,MATCH($A55,TargetConsumption!$B$2:$B$16,0),MATCH(J$45,TargetConsumption!$C$1:$K$1,0))</f>
        <v>358.97750000000002</v>
      </c>
      <c r="K55" s="46">
        <f>INDEX(DemInt!$C$11:$Q$19,MATCH(K$45,DemInt!$B$2:$B$10,0),MATCH($A55,DemInt!$C$1:$Q$1,0))-INDEX(DemSlope!$C$11:$Q$19,MATCH(K$45,DemSlope!$B$2:$B$10,0),MATCH($A55,DemSlope!$C$1:$Q$1,0))*INDEX(TargetConsumption!$C$2:$K$16,MATCH($A55,TargetConsumption!$B$2:$B$16,0),MATCH(K$45,TargetConsumption!$C$1:$K$1,0))</f>
        <v>717.83333333333337</v>
      </c>
      <c r="L55" s="46">
        <f>INDEX(DemInt!$C$11:$Q$19,MATCH(L$45,DemInt!$B$2:$B$10,0),MATCH($A55,DemInt!$C$1:$Q$1,0))-INDEX(DemSlope!$C$11:$Q$19,MATCH(L$45,DemSlope!$B$2:$B$10,0),MATCH($A55,DemSlope!$C$1:$Q$1,0))*INDEX(TargetConsumption!$C$2:$K$16,MATCH($A55,TargetConsumption!$B$2:$B$16,0),MATCH(L$45,TargetConsumption!$C$1:$K$1,0))</f>
        <v>605</v>
      </c>
      <c r="M55" s="46">
        <f>INDEX(DemInt!$C$11:$Q$19,MATCH(M$45,DemInt!$B$2:$B$10,0),MATCH($A55,DemInt!$C$1:$Q$1,0))-INDEX(DemSlope!$C$11:$Q$19,MATCH(M$45,DemSlope!$B$2:$B$10,0),MATCH($A55,DemSlope!$C$1:$Q$1,0))*INDEX(TargetConsumption!$C$2:$K$16,MATCH($A55,TargetConsumption!$B$2:$B$16,0),MATCH(M$45,TargetConsumption!$C$1:$K$1,0))</f>
        <v>373.66666666666674</v>
      </c>
      <c r="N55" s="46">
        <f>INDEX(DemInt!$C$11:$Q$19,MATCH(N$45,DemInt!$B$2:$B$10,0),MATCH($A55,DemInt!$C$1:$Q$1,0))-INDEX(DemSlope!$C$11:$Q$19,MATCH(N$45,DemSlope!$B$2:$B$10,0),MATCH($A55,DemSlope!$C$1:$Q$1,0))*INDEX(TargetConsumption!$C$2:$K$16,MATCH($A55,TargetConsumption!$B$2:$B$16,0),MATCH(N$45,TargetConsumption!$C$1:$K$1,0))</f>
        <v>658</v>
      </c>
      <c r="O55" s="46">
        <f>INDEX(DemInt!$C$11:$Q$19,MATCH(O$45,DemInt!$B$2:$B$10,0),MATCH($A55,DemInt!$C$1:$Q$1,0))-INDEX(DemSlope!$C$11:$Q$19,MATCH(O$45,DemSlope!$B$2:$B$10,0),MATCH($A55,DemSlope!$C$1:$Q$1,0))*INDEX(TargetConsumption!$C$2:$K$16,MATCH($A55,TargetConsumption!$B$2:$B$16,0),MATCH(O$45,TargetConsumption!$C$1:$K$1,0))</f>
        <v>521</v>
      </c>
      <c r="P55" s="46">
        <f>INDEX(DemInt!$C$11:$Q$19,MATCH(P$45,DemInt!$B$2:$B$10,0),MATCH($A55,DemInt!$C$1:$Q$1,0))-INDEX(DemSlope!$C$11:$Q$19,MATCH(P$45,DemSlope!$B$2:$B$10,0),MATCH($A55,DemSlope!$C$1:$Q$1,0))*INDEX(TargetConsumption!$C$2:$K$16,MATCH($A55,TargetConsumption!$B$2:$B$16,0),MATCH(P$45,TargetConsumption!$C$1:$K$1,0))</f>
        <v>398.86388888888894</v>
      </c>
      <c r="Q55" s="46">
        <f>INDEX(DemInt!$C$11:$Q$19,MATCH(Q$45,DemInt!$B$2:$B$10,0),MATCH($A55,DemInt!$C$1:$Q$1,0))-INDEX(DemSlope!$C$11:$Q$19,MATCH(Q$45,DemSlope!$B$2:$B$10,0),MATCH($A55,DemSlope!$C$1:$Q$1,0))*INDEX(TargetConsumption!$C$2:$K$16,MATCH($A55,TargetConsumption!$B$2:$B$16,0),MATCH(Q$45,TargetConsumption!$C$1:$K$1,0))</f>
        <v>740.74722222222226</v>
      </c>
      <c r="R55" s="46">
        <f>INDEX(DemInt!$C$11:$Q$19,MATCH(R$45,DemInt!$B$2:$B$10,0),MATCH($A55,DemInt!$C$1:$Q$1,0))-INDEX(DemSlope!$C$11:$Q$19,MATCH(R$45,DemSlope!$B$2:$B$10,0),MATCH($A55,DemSlope!$C$1:$Q$1,0))*INDEX(TargetConsumption!$C$2:$K$16,MATCH($A55,TargetConsumption!$B$2:$B$16,0),MATCH(R$45,TargetConsumption!$C$1:$K$1,0))</f>
        <v>666.67250000000001</v>
      </c>
      <c r="S55" s="46">
        <f>INDEX(DemInt!$C$11:$Q$19,MATCH(S$45,DemInt!$B$2:$B$10,0),MATCH($A55,DemInt!$C$1:$Q$1,0))-INDEX(DemSlope!$C$11:$Q$19,MATCH(S$45,DemSlope!$B$2:$B$10,0),MATCH($A55,DemSlope!$C$1:$Q$1,0))*INDEX(TargetConsumption!$C$2:$K$16,MATCH($A55,TargetConsumption!$B$2:$B$16,0),MATCH(S$45,TargetConsumption!$C$1:$K$1,0))</f>
        <v>358.97750000000002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>
      <c r="A56" s="2" t="s">
        <v>143</v>
      </c>
      <c r="B56" s="2">
        <f>INDEX(DemInt!$C$2:$Q$10,MATCH(B$45,DemInt!$B$2:$B$10,0),MATCH($A56,DemInt!$C$1:$Q$1,0))-INDEX(DemSlope!$C$2:$Q$10,MATCH(B$45,DemSlope!$B$2:$B$10,0),MATCH($A56,DemSlope!$C$1:$Q$1,0))*INDEX(TargetConsumption!$C$2:$K$16,MATCH($A56,TargetConsumption!$B$2:$B$16,0),MATCH(B$45,TargetConsumption!$C$1:$K$1,0))</f>
        <v>717.83333333333394</v>
      </c>
      <c r="C56" s="2">
        <f>INDEX(DemInt!$C$2:$Q$10,MATCH(C$45,DemInt!$B$2:$B$10,0),MATCH($A56,DemInt!$C$1:$Q$1,0))-INDEX(DemSlope!$C$2:$Q$10,MATCH(C$45,DemSlope!$B$2:$B$10,0),MATCH($A56,DemSlope!$C$1:$Q$1,0))*INDEX(TargetConsumption!$C$2:$K$16,MATCH($A56,TargetConsumption!$B$2:$B$16,0),MATCH(C$45,TargetConsumption!$C$1:$K$1,0))</f>
        <v>605</v>
      </c>
      <c r="D56" s="2">
        <f>INDEX(DemInt!$C$2:$Q$10,MATCH(D$45,DemInt!$B$2:$B$10,0),MATCH($A56,DemInt!$C$1:$Q$1,0))-INDEX(DemSlope!$C$2:$Q$10,MATCH(D$45,DemSlope!$B$2:$B$10,0),MATCH($A56,DemSlope!$C$1:$Q$1,0))*INDEX(TargetConsumption!$C$2:$K$16,MATCH($A56,TargetConsumption!$B$2:$B$16,0),MATCH(D$45,TargetConsumption!$C$1:$K$1,0))</f>
        <v>373.66666666667152</v>
      </c>
      <c r="E56" s="2">
        <f>INDEX(DemInt!$C$2:$Q$10,MATCH(E$45,DemInt!$B$2:$B$10,0),MATCH($A56,DemInt!$C$1:$Q$1,0))-INDEX(DemSlope!$C$2:$Q$10,MATCH(E$45,DemSlope!$B$2:$B$10,0),MATCH($A56,DemSlope!$C$1:$Q$1,0))*INDEX(TargetConsumption!$C$2:$K$16,MATCH($A56,TargetConsumption!$B$2:$B$16,0),MATCH(E$45,TargetConsumption!$C$1:$K$1,0))</f>
        <v>658</v>
      </c>
      <c r="F56" s="2">
        <f>INDEX(DemInt!$C$2:$Q$10,MATCH(F$45,DemInt!$B$2:$B$10,0),MATCH($A56,DemInt!$C$1:$Q$1,0))-INDEX(DemSlope!$C$2:$Q$10,MATCH(F$45,DemSlope!$B$2:$B$10,0),MATCH($A56,DemSlope!$C$1:$Q$1,0))*INDEX(TargetConsumption!$C$2:$K$16,MATCH($A56,TargetConsumption!$B$2:$B$16,0),MATCH(F$45,TargetConsumption!$C$1:$K$1,0))</f>
        <v>521</v>
      </c>
      <c r="G56" s="2">
        <f>INDEX(DemInt!$C$2:$Q$10,MATCH(G$45,DemInt!$B$2:$B$10,0),MATCH($A56,DemInt!$C$1:$Q$1,0))-INDEX(DemSlope!$C$2:$Q$10,MATCH(G$45,DemSlope!$B$2:$B$10,0),MATCH($A56,DemSlope!$C$1:$Q$1,0))*INDEX(TargetConsumption!$C$2:$K$16,MATCH($A56,TargetConsumption!$B$2:$B$16,0),MATCH(G$45,TargetConsumption!$C$1:$K$1,0))</f>
        <v>398.86388888888177</v>
      </c>
      <c r="H56" s="2">
        <f>INDEX(DemInt!$C$2:$Q$10,MATCH(H$45,DemInt!$B$2:$B$10,0),MATCH($A56,DemInt!$C$1:$Q$1,0))-INDEX(DemSlope!$C$2:$Q$10,MATCH(H$45,DemSlope!$B$2:$B$10,0),MATCH($A56,DemSlope!$C$1:$Q$1,0))*INDEX(TargetConsumption!$C$2:$K$16,MATCH($A56,TargetConsumption!$B$2:$B$16,0),MATCH(H$45,TargetConsumption!$C$1:$K$1,0))</f>
        <v>740.74722222222226</v>
      </c>
      <c r="I56" s="2">
        <f>INDEX(DemInt!$C$2:$Q$10,MATCH(I$45,DemInt!$B$2:$B$10,0),MATCH($A56,DemInt!$C$1:$Q$1,0))-INDEX(DemSlope!$C$2:$Q$10,MATCH(I$45,DemSlope!$B$2:$B$10,0),MATCH($A56,DemSlope!$C$1:$Q$1,0))*INDEX(TargetConsumption!$C$2:$K$16,MATCH($A56,TargetConsumption!$B$2:$B$16,0),MATCH(I$45,TargetConsumption!$C$1:$K$1,0))</f>
        <v>666.67250000000001</v>
      </c>
      <c r="J56" s="2">
        <f>INDEX(DemInt!$C$2:$Q$10,MATCH(J$45,DemInt!$B$2:$B$10,0),MATCH($A56,DemInt!$C$1:$Q$1,0))-INDEX(DemSlope!$C$2:$Q$10,MATCH(J$45,DemSlope!$B$2:$B$10,0),MATCH($A56,DemSlope!$C$1:$Q$1,0))*INDEX(TargetConsumption!$C$2:$K$16,MATCH($A56,TargetConsumption!$B$2:$B$16,0),MATCH(J$45,TargetConsumption!$C$1:$K$1,0))</f>
        <v>358.97750000000002</v>
      </c>
      <c r="K56" s="46">
        <f>INDEX(DemInt!$C$11:$Q$19,MATCH(K$45,DemInt!$B$2:$B$10,0),MATCH($A56,DemInt!$C$1:$Q$1,0))-INDEX(DemSlope!$C$11:$Q$19,MATCH(K$45,DemSlope!$B$2:$B$10,0),MATCH($A56,DemSlope!$C$1:$Q$1,0))*INDEX(TargetConsumption!$C$2:$K$16,MATCH($A56,TargetConsumption!$B$2:$B$16,0),MATCH(K$45,TargetConsumption!$C$1:$K$1,0))</f>
        <v>717.83333333333394</v>
      </c>
      <c r="L56" s="46">
        <f>INDEX(DemInt!$C$11:$Q$19,MATCH(L$45,DemInt!$B$2:$B$10,0),MATCH($A56,DemInt!$C$1:$Q$1,0))-INDEX(DemSlope!$C$11:$Q$19,MATCH(L$45,DemSlope!$B$2:$B$10,0),MATCH($A56,DemSlope!$C$1:$Q$1,0))*INDEX(TargetConsumption!$C$2:$K$16,MATCH($A56,TargetConsumption!$B$2:$B$16,0),MATCH(L$45,TargetConsumption!$C$1:$K$1,0))</f>
        <v>605</v>
      </c>
      <c r="M56" s="46">
        <f>INDEX(DemInt!$C$11:$Q$19,MATCH(M$45,DemInt!$B$2:$B$10,0),MATCH($A56,DemInt!$C$1:$Q$1,0))-INDEX(DemSlope!$C$11:$Q$19,MATCH(M$45,DemSlope!$B$2:$B$10,0),MATCH($A56,DemSlope!$C$1:$Q$1,0))*INDEX(TargetConsumption!$C$2:$K$16,MATCH($A56,TargetConsumption!$B$2:$B$16,0),MATCH(M$45,TargetConsumption!$C$1:$K$1,0))</f>
        <v>373.66666666667152</v>
      </c>
      <c r="N56" s="46">
        <f>INDEX(DemInt!$C$11:$Q$19,MATCH(N$45,DemInt!$B$2:$B$10,0),MATCH($A56,DemInt!$C$1:$Q$1,0))-INDEX(DemSlope!$C$11:$Q$19,MATCH(N$45,DemSlope!$B$2:$B$10,0),MATCH($A56,DemSlope!$C$1:$Q$1,0))*INDEX(TargetConsumption!$C$2:$K$16,MATCH($A56,TargetConsumption!$B$2:$B$16,0),MATCH(N$45,TargetConsumption!$C$1:$K$1,0))</f>
        <v>658</v>
      </c>
      <c r="O56" s="46">
        <f>INDEX(DemInt!$C$11:$Q$19,MATCH(O$45,DemInt!$B$2:$B$10,0),MATCH($A56,DemInt!$C$1:$Q$1,0))-INDEX(DemSlope!$C$11:$Q$19,MATCH(O$45,DemSlope!$B$2:$B$10,0),MATCH($A56,DemSlope!$C$1:$Q$1,0))*INDEX(TargetConsumption!$C$2:$K$16,MATCH($A56,TargetConsumption!$B$2:$B$16,0),MATCH(O$45,TargetConsumption!$C$1:$K$1,0))</f>
        <v>521</v>
      </c>
      <c r="P56" s="46">
        <f>INDEX(DemInt!$C$11:$Q$19,MATCH(P$45,DemInt!$B$2:$B$10,0),MATCH($A56,DemInt!$C$1:$Q$1,0))-INDEX(DemSlope!$C$11:$Q$19,MATCH(P$45,DemSlope!$B$2:$B$10,0),MATCH($A56,DemSlope!$C$1:$Q$1,0))*INDEX(TargetConsumption!$C$2:$K$16,MATCH($A56,TargetConsumption!$B$2:$B$16,0),MATCH(P$45,TargetConsumption!$C$1:$K$1,0))</f>
        <v>398.86388888888177</v>
      </c>
      <c r="Q56" s="46">
        <f>INDEX(DemInt!$C$11:$Q$19,MATCH(Q$45,DemInt!$B$2:$B$10,0),MATCH($A56,DemInt!$C$1:$Q$1,0))-INDEX(DemSlope!$C$11:$Q$19,MATCH(Q$45,DemSlope!$B$2:$B$10,0),MATCH($A56,DemSlope!$C$1:$Q$1,0))*INDEX(TargetConsumption!$C$2:$K$16,MATCH($A56,TargetConsumption!$B$2:$B$16,0),MATCH(Q$45,TargetConsumption!$C$1:$K$1,0))</f>
        <v>740.74722222222226</v>
      </c>
      <c r="R56" s="46">
        <f>INDEX(DemInt!$C$11:$Q$19,MATCH(R$45,DemInt!$B$2:$B$10,0),MATCH($A56,DemInt!$C$1:$Q$1,0))-INDEX(DemSlope!$C$11:$Q$19,MATCH(R$45,DemSlope!$B$2:$B$10,0),MATCH($A56,DemSlope!$C$1:$Q$1,0))*INDEX(TargetConsumption!$C$2:$K$16,MATCH($A56,TargetConsumption!$B$2:$B$16,0),MATCH(R$45,TargetConsumption!$C$1:$K$1,0))</f>
        <v>666.67250000000001</v>
      </c>
      <c r="S56" s="46">
        <f>INDEX(DemInt!$C$11:$Q$19,MATCH(S$45,DemInt!$B$2:$B$10,0),MATCH($A56,DemInt!$C$1:$Q$1,0))-INDEX(DemSlope!$C$11:$Q$19,MATCH(S$45,DemSlope!$B$2:$B$10,0),MATCH($A56,DemSlope!$C$1:$Q$1,0))*INDEX(TargetConsumption!$C$2:$K$16,MATCH($A56,TargetConsumption!$B$2:$B$16,0),MATCH(S$45,TargetConsumption!$C$1:$K$1,0))</f>
        <v>358.97750000000002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>
      <c r="A57" s="2" t="s">
        <v>144</v>
      </c>
      <c r="B57" s="2">
        <f>INDEX(DemInt!$C$2:$Q$10,MATCH(B$45,DemInt!$B$2:$B$10,0),MATCH($A57,DemInt!$C$1:$Q$1,0))-INDEX(DemSlope!$C$2:$Q$10,MATCH(B$45,DemSlope!$B$2:$B$10,0),MATCH($A57,DemSlope!$C$1:$Q$1,0))*INDEX(TargetConsumption!$C$2:$K$16,MATCH($A57,TargetConsumption!$B$2:$B$16,0),MATCH(B$45,TargetConsumption!$C$1:$K$1,0))</f>
        <v>717.83333333333303</v>
      </c>
      <c r="C57" s="2">
        <f>INDEX(DemInt!$C$2:$Q$10,MATCH(C$45,DemInt!$B$2:$B$10,0),MATCH($A57,DemInt!$C$1:$Q$1,0))-INDEX(DemSlope!$C$2:$Q$10,MATCH(C$45,DemSlope!$B$2:$B$10,0),MATCH($A57,DemSlope!$C$1:$Q$1,0))*INDEX(TargetConsumption!$C$2:$K$16,MATCH($A57,TargetConsumption!$B$2:$B$16,0),MATCH(C$45,TargetConsumption!$C$1:$K$1,0))</f>
        <v>605</v>
      </c>
      <c r="D57" s="2">
        <f>INDEX(DemInt!$C$2:$Q$10,MATCH(D$45,DemInt!$B$2:$B$10,0),MATCH($A57,DemInt!$C$1:$Q$1,0))-INDEX(DemSlope!$C$2:$Q$10,MATCH(D$45,DemSlope!$B$2:$B$10,0),MATCH($A57,DemSlope!$C$1:$Q$1,0))*INDEX(TargetConsumption!$C$2:$K$16,MATCH($A57,TargetConsumption!$B$2:$B$16,0),MATCH(D$45,TargetConsumption!$C$1:$K$1,0))</f>
        <v>373.66666666666788</v>
      </c>
      <c r="E57" s="2">
        <f>INDEX(DemInt!$C$2:$Q$10,MATCH(E$45,DemInt!$B$2:$B$10,0),MATCH($A57,DemInt!$C$1:$Q$1,0))-INDEX(DemSlope!$C$2:$Q$10,MATCH(E$45,DemSlope!$B$2:$B$10,0),MATCH($A57,DemSlope!$C$1:$Q$1,0))*INDEX(TargetConsumption!$C$2:$K$16,MATCH($A57,TargetConsumption!$B$2:$B$16,0),MATCH(E$45,TargetConsumption!$C$1:$K$1,0))</f>
        <v>658.00000000000023</v>
      </c>
      <c r="F57" s="2">
        <f>INDEX(DemInt!$C$2:$Q$10,MATCH(F$45,DemInt!$B$2:$B$10,0),MATCH($A57,DemInt!$C$1:$Q$1,0))-INDEX(DemSlope!$C$2:$Q$10,MATCH(F$45,DemSlope!$B$2:$B$10,0),MATCH($A57,DemSlope!$C$1:$Q$1,0))*INDEX(TargetConsumption!$C$2:$K$16,MATCH($A57,TargetConsumption!$B$2:$B$16,0),MATCH(F$45,TargetConsumption!$C$1:$K$1,0))</f>
        <v>521</v>
      </c>
      <c r="G57" s="2">
        <f>INDEX(DemInt!$C$2:$Q$10,MATCH(G$45,DemInt!$B$2:$B$10,0),MATCH($A57,DemInt!$C$1:$Q$1,0))-INDEX(DemSlope!$C$2:$Q$10,MATCH(G$45,DemSlope!$B$2:$B$10,0),MATCH($A57,DemSlope!$C$1:$Q$1,0))*INDEX(TargetConsumption!$C$2:$K$16,MATCH($A57,TargetConsumption!$B$2:$B$16,0),MATCH(G$45,TargetConsumption!$C$1:$K$1,0))</f>
        <v>398.86388888888905</v>
      </c>
      <c r="H57" s="2">
        <f>INDEX(DemInt!$C$2:$Q$10,MATCH(H$45,DemInt!$B$2:$B$10,0),MATCH($A57,DemInt!$C$1:$Q$1,0))-INDEX(DemSlope!$C$2:$Q$10,MATCH(H$45,DemSlope!$B$2:$B$10,0),MATCH($A57,DemSlope!$C$1:$Q$1,0))*INDEX(TargetConsumption!$C$2:$K$16,MATCH($A57,TargetConsumption!$B$2:$B$16,0),MATCH(H$45,TargetConsumption!$C$1:$K$1,0))</f>
        <v>740.74722222222226</v>
      </c>
      <c r="I57" s="2">
        <f>INDEX(DemInt!$C$2:$Q$10,MATCH(I$45,DemInt!$B$2:$B$10,0),MATCH($A57,DemInt!$C$1:$Q$1,0))-INDEX(DemSlope!$C$2:$Q$10,MATCH(I$45,DemSlope!$B$2:$B$10,0),MATCH($A57,DemSlope!$C$1:$Q$1,0))*INDEX(TargetConsumption!$C$2:$K$16,MATCH($A57,TargetConsumption!$B$2:$B$16,0),MATCH(I$45,TargetConsumption!$C$1:$K$1,0))</f>
        <v>666.67250000000001</v>
      </c>
      <c r="J57" s="2">
        <f>INDEX(DemInt!$C$2:$Q$10,MATCH(J$45,DemInt!$B$2:$B$10,0),MATCH($A57,DemInt!$C$1:$Q$1,0))-INDEX(DemSlope!$C$2:$Q$10,MATCH(J$45,DemSlope!$B$2:$B$10,0),MATCH($A57,DemSlope!$C$1:$Q$1,0))*INDEX(TargetConsumption!$C$2:$K$16,MATCH($A57,TargetConsumption!$B$2:$B$16,0),MATCH(J$45,TargetConsumption!$C$1:$K$1,0))</f>
        <v>358.97750000000002</v>
      </c>
      <c r="K57" s="46">
        <f>INDEX(DemInt!$C$11:$Q$19,MATCH(K$45,DemInt!$B$2:$B$10,0),MATCH($A57,DemInt!$C$1:$Q$1,0))-INDEX(DemSlope!$C$11:$Q$19,MATCH(K$45,DemSlope!$B$2:$B$10,0),MATCH($A57,DemSlope!$C$1:$Q$1,0))*INDEX(TargetConsumption!$C$2:$K$16,MATCH($A57,TargetConsumption!$B$2:$B$16,0),MATCH(K$45,TargetConsumption!$C$1:$K$1,0))</f>
        <v>717.83333333333303</v>
      </c>
      <c r="L57" s="46">
        <f>INDEX(DemInt!$C$11:$Q$19,MATCH(L$45,DemInt!$B$2:$B$10,0),MATCH($A57,DemInt!$C$1:$Q$1,0))-INDEX(DemSlope!$C$11:$Q$19,MATCH(L$45,DemSlope!$B$2:$B$10,0),MATCH($A57,DemSlope!$C$1:$Q$1,0))*INDEX(TargetConsumption!$C$2:$K$16,MATCH($A57,TargetConsumption!$B$2:$B$16,0),MATCH(L$45,TargetConsumption!$C$1:$K$1,0))</f>
        <v>605</v>
      </c>
      <c r="M57" s="46">
        <f>INDEX(DemInt!$C$11:$Q$19,MATCH(M$45,DemInt!$B$2:$B$10,0),MATCH($A57,DemInt!$C$1:$Q$1,0))-INDEX(DemSlope!$C$11:$Q$19,MATCH(M$45,DemSlope!$B$2:$B$10,0),MATCH($A57,DemSlope!$C$1:$Q$1,0))*INDEX(TargetConsumption!$C$2:$K$16,MATCH($A57,TargetConsumption!$B$2:$B$16,0),MATCH(M$45,TargetConsumption!$C$1:$K$1,0))</f>
        <v>373.66666666666788</v>
      </c>
      <c r="N57" s="46">
        <f>INDEX(DemInt!$C$11:$Q$19,MATCH(N$45,DemInt!$B$2:$B$10,0),MATCH($A57,DemInt!$C$1:$Q$1,0))-INDEX(DemSlope!$C$11:$Q$19,MATCH(N$45,DemSlope!$B$2:$B$10,0),MATCH($A57,DemSlope!$C$1:$Q$1,0))*INDEX(TargetConsumption!$C$2:$K$16,MATCH($A57,TargetConsumption!$B$2:$B$16,0),MATCH(N$45,TargetConsumption!$C$1:$K$1,0))</f>
        <v>658.00000000000023</v>
      </c>
      <c r="O57" s="46">
        <f>INDEX(DemInt!$C$11:$Q$19,MATCH(O$45,DemInt!$B$2:$B$10,0),MATCH($A57,DemInt!$C$1:$Q$1,0))-INDEX(DemSlope!$C$11:$Q$19,MATCH(O$45,DemSlope!$B$2:$B$10,0),MATCH($A57,DemSlope!$C$1:$Q$1,0))*INDEX(TargetConsumption!$C$2:$K$16,MATCH($A57,TargetConsumption!$B$2:$B$16,0),MATCH(O$45,TargetConsumption!$C$1:$K$1,0))</f>
        <v>521</v>
      </c>
      <c r="P57" s="46">
        <f>INDEX(DemInt!$C$11:$Q$19,MATCH(P$45,DemInt!$B$2:$B$10,0),MATCH($A57,DemInt!$C$1:$Q$1,0))-INDEX(DemSlope!$C$11:$Q$19,MATCH(P$45,DemSlope!$B$2:$B$10,0),MATCH($A57,DemSlope!$C$1:$Q$1,0))*INDEX(TargetConsumption!$C$2:$K$16,MATCH($A57,TargetConsumption!$B$2:$B$16,0),MATCH(P$45,TargetConsumption!$C$1:$K$1,0))</f>
        <v>398.86388888888905</v>
      </c>
      <c r="Q57" s="46">
        <f>INDEX(DemInt!$C$11:$Q$19,MATCH(Q$45,DemInt!$B$2:$B$10,0),MATCH($A57,DemInt!$C$1:$Q$1,0))-INDEX(DemSlope!$C$11:$Q$19,MATCH(Q$45,DemSlope!$B$2:$B$10,0),MATCH($A57,DemSlope!$C$1:$Q$1,0))*INDEX(TargetConsumption!$C$2:$K$16,MATCH($A57,TargetConsumption!$B$2:$B$16,0),MATCH(Q$45,TargetConsumption!$C$1:$K$1,0))</f>
        <v>740.74722222222226</v>
      </c>
      <c r="R57" s="46">
        <f>INDEX(DemInt!$C$11:$Q$19,MATCH(R$45,DemInt!$B$2:$B$10,0),MATCH($A57,DemInt!$C$1:$Q$1,0))-INDEX(DemSlope!$C$11:$Q$19,MATCH(R$45,DemSlope!$B$2:$B$10,0),MATCH($A57,DemSlope!$C$1:$Q$1,0))*INDEX(TargetConsumption!$C$2:$K$16,MATCH($A57,TargetConsumption!$B$2:$B$16,0),MATCH(R$45,TargetConsumption!$C$1:$K$1,0))</f>
        <v>666.67250000000001</v>
      </c>
      <c r="S57" s="46">
        <f>INDEX(DemInt!$C$11:$Q$19,MATCH(S$45,DemInt!$B$2:$B$10,0),MATCH($A57,DemInt!$C$1:$Q$1,0))-INDEX(DemSlope!$C$11:$Q$19,MATCH(S$45,DemSlope!$B$2:$B$10,0),MATCH($A57,DemSlope!$C$1:$Q$1,0))*INDEX(TargetConsumption!$C$2:$K$16,MATCH($A57,TargetConsumption!$B$2:$B$16,0),MATCH(S$45,TargetConsumption!$C$1:$K$1,0))</f>
        <v>358.97750000000002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>
      <c r="A58" s="2" t="s">
        <v>145</v>
      </c>
      <c r="B58" s="2">
        <f>INDEX(DemInt!$C$2:$Q$10,MATCH(B$45,DemInt!$B$2:$B$10,0),MATCH($A58,DemInt!$C$1:$Q$1,0))-INDEX(DemSlope!$C$2:$Q$10,MATCH(B$45,DemSlope!$B$2:$B$10,0),MATCH($A58,DemSlope!$C$1:$Q$1,0))*INDEX(TargetConsumption!$C$2:$K$16,MATCH($A58,TargetConsumption!$B$2:$B$16,0),MATCH(B$45,TargetConsumption!$C$1:$K$1,0))</f>
        <v>717.83333333333212</v>
      </c>
      <c r="C58" s="2">
        <f>INDEX(DemInt!$C$2:$Q$10,MATCH(C$45,DemInt!$B$2:$B$10,0),MATCH($A58,DemInt!$C$1:$Q$1,0))-INDEX(DemSlope!$C$2:$Q$10,MATCH(C$45,DemSlope!$B$2:$B$10,0),MATCH($A58,DemSlope!$C$1:$Q$1,0))*INDEX(TargetConsumption!$C$2:$K$16,MATCH($A58,TargetConsumption!$B$2:$B$16,0),MATCH(C$45,TargetConsumption!$C$1:$K$1,0))</f>
        <v>605</v>
      </c>
      <c r="D58" s="2">
        <f>INDEX(DemInt!$C$2:$Q$10,MATCH(D$45,DemInt!$B$2:$B$10,0),MATCH($A58,DemInt!$C$1:$Q$1,0))-INDEX(DemSlope!$C$2:$Q$10,MATCH(D$45,DemSlope!$B$2:$B$10,0),MATCH($A58,DemSlope!$C$1:$Q$1,0))*INDEX(TargetConsumption!$C$2:$K$16,MATCH($A58,TargetConsumption!$B$2:$B$16,0),MATCH(D$45,TargetConsumption!$C$1:$K$1,0))</f>
        <v>373.66666666665697</v>
      </c>
      <c r="E58" s="2">
        <f>INDEX(DemInt!$C$2:$Q$10,MATCH(E$45,DemInt!$B$2:$B$10,0),MATCH($A58,DemInt!$C$1:$Q$1,0))-INDEX(DemSlope!$C$2:$Q$10,MATCH(E$45,DemSlope!$B$2:$B$10,0),MATCH($A58,DemSlope!$C$1:$Q$1,0))*INDEX(TargetConsumption!$C$2:$K$16,MATCH($A58,TargetConsumption!$B$2:$B$16,0),MATCH(E$45,TargetConsumption!$C$1:$K$1,0))</f>
        <v>658</v>
      </c>
      <c r="F58" s="2">
        <f>INDEX(DemInt!$C$2:$Q$10,MATCH(F$45,DemInt!$B$2:$B$10,0),MATCH($A58,DemInt!$C$1:$Q$1,0))-INDEX(DemSlope!$C$2:$Q$10,MATCH(F$45,DemSlope!$B$2:$B$10,0),MATCH($A58,DemSlope!$C$1:$Q$1,0))*INDEX(TargetConsumption!$C$2:$K$16,MATCH($A58,TargetConsumption!$B$2:$B$16,0),MATCH(F$45,TargetConsumption!$C$1:$K$1,0))</f>
        <v>521</v>
      </c>
      <c r="G58" s="2">
        <f>INDEX(DemInt!$C$2:$Q$10,MATCH(G$45,DemInt!$B$2:$B$10,0),MATCH($A58,DemInt!$C$1:$Q$1,0))-INDEX(DemSlope!$C$2:$Q$10,MATCH(G$45,DemSlope!$B$2:$B$10,0),MATCH($A58,DemSlope!$C$1:$Q$1,0))*INDEX(TargetConsumption!$C$2:$K$16,MATCH($A58,TargetConsumption!$B$2:$B$16,0),MATCH(G$45,TargetConsumption!$C$1:$K$1,0))</f>
        <v>398.86388888888177</v>
      </c>
      <c r="H58" s="2">
        <f>INDEX(DemInt!$C$2:$Q$10,MATCH(H$45,DemInt!$B$2:$B$10,0),MATCH($A58,DemInt!$C$1:$Q$1,0))-INDEX(DemSlope!$C$2:$Q$10,MATCH(H$45,DemSlope!$B$2:$B$10,0),MATCH($A58,DemSlope!$C$1:$Q$1,0))*INDEX(TargetConsumption!$C$2:$K$16,MATCH($A58,TargetConsumption!$B$2:$B$16,0),MATCH(H$45,TargetConsumption!$C$1:$K$1,0))</f>
        <v>740.74722222222226</v>
      </c>
      <c r="I58" s="2">
        <f>INDEX(DemInt!$C$2:$Q$10,MATCH(I$45,DemInt!$B$2:$B$10,0),MATCH($A58,DemInt!$C$1:$Q$1,0))-INDEX(DemSlope!$C$2:$Q$10,MATCH(I$45,DemSlope!$B$2:$B$10,0),MATCH($A58,DemSlope!$C$1:$Q$1,0))*INDEX(TargetConsumption!$C$2:$K$16,MATCH($A58,TargetConsumption!$B$2:$B$16,0),MATCH(I$45,TargetConsumption!$C$1:$K$1,0))</f>
        <v>666.67250000000001</v>
      </c>
      <c r="J58" s="2">
        <f>INDEX(DemInt!$C$2:$Q$10,MATCH(J$45,DemInt!$B$2:$B$10,0),MATCH($A58,DemInt!$C$1:$Q$1,0))-INDEX(DemSlope!$C$2:$Q$10,MATCH(J$45,DemSlope!$B$2:$B$10,0),MATCH($A58,DemSlope!$C$1:$Q$1,0))*INDEX(TargetConsumption!$C$2:$K$16,MATCH($A58,TargetConsumption!$B$2:$B$16,0),MATCH(J$45,TargetConsumption!$C$1:$K$1,0))</f>
        <v>358.97750000000002</v>
      </c>
      <c r="K58" s="46">
        <f>INDEX(DemInt!$C$11:$Q$19,MATCH(K$45,DemInt!$B$2:$B$10,0),MATCH($A58,DemInt!$C$1:$Q$1,0))-INDEX(DemSlope!$C$11:$Q$19,MATCH(K$45,DemSlope!$B$2:$B$10,0),MATCH($A58,DemSlope!$C$1:$Q$1,0))*INDEX(TargetConsumption!$C$2:$K$16,MATCH($A58,TargetConsumption!$B$2:$B$16,0),MATCH(K$45,TargetConsumption!$C$1:$K$1,0))</f>
        <v>717.83333333333212</v>
      </c>
      <c r="L58" s="46">
        <f>INDEX(DemInt!$C$11:$Q$19,MATCH(L$45,DemInt!$B$2:$B$10,0),MATCH($A58,DemInt!$C$1:$Q$1,0))-INDEX(DemSlope!$C$11:$Q$19,MATCH(L$45,DemSlope!$B$2:$B$10,0),MATCH($A58,DemSlope!$C$1:$Q$1,0))*INDEX(TargetConsumption!$C$2:$K$16,MATCH($A58,TargetConsumption!$B$2:$B$16,0),MATCH(L$45,TargetConsumption!$C$1:$K$1,0))</f>
        <v>605</v>
      </c>
      <c r="M58" s="46">
        <f>INDEX(DemInt!$C$11:$Q$19,MATCH(M$45,DemInt!$B$2:$B$10,0),MATCH($A58,DemInt!$C$1:$Q$1,0))-INDEX(DemSlope!$C$11:$Q$19,MATCH(M$45,DemSlope!$B$2:$B$10,0),MATCH($A58,DemSlope!$C$1:$Q$1,0))*INDEX(TargetConsumption!$C$2:$K$16,MATCH($A58,TargetConsumption!$B$2:$B$16,0),MATCH(M$45,TargetConsumption!$C$1:$K$1,0))</f>
        <v>373.66666666665697</v>
      </c>
      <c r="N58" s="46">
        <f>INDEX(DemInt!$C$11:$Q$19,MATCH(N$45,DemInt!$B$2:$B$10,0),MATCH($A58,DemInt!$C$1:$Q$1,0))-INDEX(DemSlope!$C$11:$Q$19,MATCH(N$45,DemSlope!$B$2:$B$10,0),MATCH($A58,DemSlope!$C$1:$Q$1,0))*INDEX(TargetConsumption!$C$2:$K$16,MATCH($A58,TargetConsumption!$B$2:$B$16,0),MATCH(N$45,TargetConsumption!$C$1:$K$1,0))</f>
        <v>658</v>
      </c>
      <c r="O58" s="46">
        <f>INDEX(DemInt!$C$11:$Q$19,MATCH(O$45,DemInt!$B$2:$B$10,0),MATCH($A58,DemInt!$C$1:$Q$1,0))-INDEX(DemSlope!$C$11:$Q$19,MATCH(O$45,DemSlope!$B$2:$B$10,0),MATCH($A58,DemSlope!$C$1:$Q$1,0))*INDEX(TargetConsumption!$C$2:$K$16,MATCH($A58,TargetConsumption!$B$2:$B$16,0),MATCH(O$45,TargetConsumption!$C$1:$K$1,0))</f>
        <v>521</v>
      </c>
      <c r="P58" s="46">
        <f>INDEX(DemInt!$C$11:$Q$19,MATCH(P$45,DemInt!$B$2:$B$10,0),MATCH($A58,DemInt!$C$1:$Q$1,0))-INDEX(DemSlope!$C$11:$Q$19,MATCH(P$45,DemSlope!$B$2:$B$10,0),MATCH($A58,DemSlope!$C$1:$Q$1,0))*INDEX(TargetConsumption!$C$2:$K$16,MATCH($A58,TargetConsumption!$B$2:$B$16,0),MATCH(P$45,TargetConsumption!$C$1:$K$1,0))</f>
        <v>398.86388888888177</v>
      </c>
      <c r="Q58" s="46">
        <f>INDEX(DemInt!$C$11:$Q$19,MATCH(Q$45,DemInt!$B$2:$B$10,0),MATCH($A58,DemInt!$C$1:$Q$1,0))-INDEX(DemSlope!$C$11:$Q$19,MATCH(Q$45,DemSlope!$B$2:$B$10,0),MATCH($A58,DemSlope!$C$1:$Q$1,0))*INDEX(TargetConsumption!$C$2:$K$16,MATCH($A58,TargetConsumption!$B$2:$B$16,0),MATCH(Q$45,TargetConsumption!$C$1:$K$1,0))</f>
        <v>740.74722222222226</v>
      </c>
      <c r="R58" s="46">
        <f>INDEX(DemInt!$C$11:$Q$19,MATCH(R$45,DemInt!$B$2:$B$10,0),MATCH($A58,DemInt!$C$1:$Q$1,0))-INDEX(DemSlope!$C$11:$Q$19,MATCH(R$45,DemSlope!$B$2:$B$10,0),MATCH($A58,DemSlope!$C$1:$Q$1,0))*INDEX(TargetConsumption!$C$2:$K$16,MATCH($A58,TargetConsumption!$B$2:$B$16,0),MATCH(R$45,TargetConsumption!$C$1:$K$1,0))</f>
        <v>666.67250000000001</v>
      </c>
      <c r="S58" s="46">
        <f>INDEX(DemInt!$C$11:$Q$19,MATCH(S$45,DemInt!$B$2:$B$10,0),MATCH($A58,DemInt!$C$1:$Q$1,0))-INDEX(DemSlope!$C$11:$Q$19,MATCH(S$45,DemSlope!$B$2:$B$10,0),MATCH($A58,DemSlope!$C$1:$Q$1,0))*INDEX(TargetConsumption!$C$2:$K$16,MATCH($A58,TargetConsumption!$B$2:$B$16,0),MATCH(S$45,TargetConsumption!$C$1:$K$1,0))</f>
        <v>358.97750000000002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>
      <c r="A59" s="2" t="s">
        <v>146</v>
      </c>
      <c r="B59" s="2">
        <f>INDEX(DemInt!$C$2:$Q$10,MATCH(B$45,DemInt!$B$2:$B$10,0),MATCH($A59,DemInt!$C$1:$Q$1,0))-INDEX(DemSlope!$C$2:$Q$10,MATCH(B$45,DemSlope!$B$2:$B$10,0),MATCH($A59,DemSlope!$C$1:$Q$1,0))*INDEX(TargetConsumption!$C$2:$K$16,MATCH($A59,TargetConsumption!$B$2:$B$16,0),MATCH(B$45,TargetConsumption!$C$1:$K$1,0))</f>
        <v>717.83333333333326</v>
      </c>
      <c r="C59" s="2">
        <f>INDEX(DemInt!$C$2:$Q$10,MATCH(C$45,DemInt!$B$2:$B$10,0),MATCH($A59,DemInt!$C$1:$Q$1,0))-INDEX(DemSlope!$C$2:$Q$10,MATCH(C$45,DemSlope!$B$2:$B$10,0),MATCH($A59,DemSlope!$C$1:$Q$1,0))*INDEX(TargetConsumption!$C$2:$K$16,MATCH($A59,TargetConsumption!$B$2:$B$16,0),MATCH(C$45,TargetConsumption!$C$1:$K$1,0))</f>
        <v>604.99999999999989</v>
      </c>
      <c r="D59" s="2">
        <f>INDEX(DemInt!$C$2:$Q$10,MATCH(D$45,DemInt!$B$2:$B$10,0),MATCH($A59,DemInt!$C$1:$Q$1,0))-INDEX(DemSlope!$C$2:$Q$10,MATCH(D$45,DemSlope!$B$2:$B$10,0),MATCH($A59,DemSlope!$C$1:$Q$1,0))*INDEX(TargetConsumption!$C$2:$K$16,MATCH($A59,TargetConsumption!$B$2:$B$16,0),MATCH(D$45,TargetConsumption!$C$1:$K$1,0))</f>
        <v>373.66666666666652</v>
      </c>
      <c r="E59" s="2">
        <f>INDEX(DemInt!$C$2:$Q$10,MATCH(E$45,DemInt!$B$2:$B$10,0),MATCH($A59,DemInt!$C$1:$Q$1,0))-INDEX(DemSlope!$C$2:$Q$10,MATCH(E$45,DemSlope!$B$2:$B$10,0),MATCH($A59,DemSlope!$C$1:$Q$1,0))*INDEX(TargetConsumption!$C$2:$K$16,MATCH($A59,TargetConsumption!$B$2:$B$16,0),MATCH(E$45,TargetConsumption!$C$1:$K$1,0))</f>
        <v>658</v>
      </c>
      <c r="F59" s="2">
        <f>INDEX(DemInt!$C$2:$Q$10,MATCH(F$45,DemInt!$B$2:$B$10,0),MATCH($A59,DemInt!$C$1:$Q$1,0))-INDEX(DemSlope!$C$2:$Q$10,MATCH(F$45,DemSlope!$B$2:$B$10,0),MATCH($A59,DemSlope!$C$1:$Q$1,0))*INDEX(TargetConsumption!$C$2:$K$16,MATCH($A59,TargetConsumption!$B$2:$B$16,0),MATCH(F$45,TargetConsumption!$C$1:$K$1,0))</f>
        <v>521</v>
      </c>
      <c r="G59" s="2">
        <f>INDEX(DemInt!$C$2:$Q$10,MATCH(G$45,DemInt!$B$2:$B$10,0),MATCH($A59,DemInt!$C$1:$Q$1,0))-INDEX(DemSlope!$C$2:$Q$10,MATCH(G$45,DemSlope!$B$2:$B$10,0),MATCH($A59,DemSlope!$C$1:$Q$1,0))*INDEX(TargetConsumption!$C$2:$K$16,MATCH($A59,TargetConsumption!$B$2:$B$16,0),MATCH(G$45,TargetConsumption!$C$1:$K$1,0))</f>
        <v>398.86388888888882</v>
      </c>
      <c r="H59" s="2">
        <f>INDEX(DemInt!$C$2:$Q$10,MATCH(H$45,DemInt!$B$2:$B$10,0),MATCH($A59,DemInt!$C$1:$Q$1,0))-INDEX(DemSlope!$C$2:$Q$10,MATCH(H$45,DemSlope!$B$2:$B$10,0),MATCH($A59,DemSlope!$C$1:$Q$1,0))*INDEX(TargetConsumption!$C$2:$K$16,MATCH($A59,TargetConsumption!$B$2:$B$16,0),MATCH(H$45,TargetConsumption!$C$1:$K$1,0))</f>
        <v>740.74722222222226</v>
      </c>
      <c r="I59" s="2">
        <f>INDEX(DemInt!$C$2:$Q$10,MATCH(I$45,DemInt!$B$2:$B$10,0),MATCH($A59,DemInt!$C$1:$Q$1,0))-INDEX(DemSlope!$C$2:$Q$10,MATCH(I$45,DemSlope!$B$2:$B$10,0),MATCH($A59,DemSlope!$C$1:$Q$1,0))*INDEX(TargetConsumption!$C$2:$K$16,MATCH($A59,TargetConsumption!$B$2:$B$16,0),MATCH(I$45,TargetConsumption!$C$1:$K$1,0))</f>
        <v>666.67250000000001</v>
      </c>
      <c r="J59" s="2">
        <f>INDEX(DemInt!$C$2:$Q$10,MATCH(J$45,DemInt!$B$2:$B$10,0),MATCH($A59,DemInt!$C$1:$Q$1,0))-INDEX(DemSlope!$C$2:$Q$10,MATCH(J$45,DemSlope!$B$2:$B$10,0),MATCH($A59,DemSlope!$C$1:$Q$1,0))*INDEX(TargetConsumption!$C$2:$K$16,MATCH($A59,TargetConsumption!$B$2:$B$16,0),MATCH(J$45,TargetConsumption!$C$1:$K$1,0))</f>
        <v>358.97750000000002</v>
      </c>
      <c r="K59" s="46">
        <f>INDEX(DemInt!$C$11:$Q$19,MATCH(K$45,DemInt!$B$2:$B$10,0),MATCH($A59,DemInt!$C$1:$Q$1,0))-INDEX(DemSlope!$C$11:$Q$19,MATCH(K$45,DemSlope!$B$2:$B$10,0),MATCH($A59,DemSlope!$C$1:$Q$1,0))*INDEX(TargetConsumption!$C$2:$K$16,MATCH($A59,TargetConsumption!$B$2:$B$16,0),MATCH(K$45,TargetConsumption!$C$1:$K$1,0))</f>
        <v>717.83333333333326</v>
      </c>
      <c r="L59" s="46">
        <f>INDEX(DemInt!$C$11:$Q$19,MATCH(L$45,DemInt!$B$2:$B$10,0),MATCH($A59,DemInt!$C$1:$Q$1,0))-INDEX(DemSlope!$C$11:$Q$19,MATCH(L$45,DemSlope!$B$2:$B$10,0),MATCH($A59,DemSlope!$C$1:$Q$1,0))*INDEX(TargetConsumption!$C$2:$K$16,MATCH($A59,TargetConsumption!$B$2:$B$16,0),MATCH(L$45,TargetConsumption!$C$1:$K$1,0))</f>
        <v>604.99999999999989</v>
      </c>
      <c r="M59" s="46">
        <f>INDEX(DemInt!$C$11:$Q$19,MATCH(M$45,DemInt!$B$2:$B$10,0),MATCH($A59,DemInt!$C$1:$Q$1,0))-INDEX(DemSlope!$C$11:$Q$19,MATCH(M$45,DemSlope!$B$2:$B$10,0),MATCH($A59,DemSlope!$C$1:$Q$1,0))*INDEX(TargetConsumption!$C$2:$K$16,MATCH($A59,TargetConsumption!$B$2:$B$16,0),MATCH(M$45,TargetConsumption!$C$1:$K$1,0))</f>
        <v>373.66666666666652</v>
      </c>
      <c r="N59" s="46">
        <f>INDEX(DemInt!$C$11:$Q$19,MATCH(N$45,DemInt!$B$2:$B$10,0),MATCH($A59,DemInt!$C$1:$Q$1,0))-INDEX(DemSlope!$C$11:$Q$19,MATCH(N$45,DemSlope!$B$2:$B$10,0),MATCH($A59,DemSlope!$C$1:$Q$1,0))*INDEX(TargetConsumption!$C$2:$K$16,MATCH($A59,TargetConsumption!$B$2:$B$16,0),MATCH(N$45,TargetConsumption!$C$1:$K$1,0))</f>
        <v>658</v>
      </c>
      <c r="O59" s="46">
        <f>INDEX(DemInt!$C$11:$Q$19,MATCH(O$45,DemInt!$B$2:$B$10,0),MATCH($A59,DemInt!$C$1:$Q$1,0))-INDEX(DemSlope!$C$11:$Q$19,MATCH(O$45,DemSlope!$B$2:$B$10,0),MATCH($A59,DemSlope!$C$1:$Q$1,0))*INDEX(TargetConsumption!$C$2:$K$16,MATCH($A59,TargetConsumption!$B$2:$B$16,0),MATCH(O$45,TargetConsumption!$C$1:$K$1,0))</f>
        <v>521</v>
      </c>
      <c r="P59" s="46">
        <f>INDEX(DemInt!$C$11:$Q$19,MATCH(P$45,DemInt!$B$2:$B$10,0),MATCH($A59,DemInt!$C$1:$Q$1,0))-INDEX(DemSlope!$C$11:$Q$19,MATCH(P$45,DemSlope!$B$2:$B$10,0),MATCH($A59,DemSlope!$C$1:$Q$1,0))*INDEX(TargetConsumption!$C$2:$K$16,MATCH($A59,TargetConsumption!$B$2:$B$16,0),MATCH(P$45,TargetConsumption!$C$1:$K$1,0))</f>
        <v>398.86388888888882</v>
      </c>
      <c r="Q59" s="46">
        <f>INDEX(DemInt!$C$11:$Q$19,MATCH(Q$45,DemInt!$B$2:$B$10,0),MATCH($A59,DemInt!$C$1:$Q$1,0))-INDEX(DemSlope!$C$11:$Q$19,MATCH(Q$45,DemSlope!$B$2:$B$10,0),MATCH($A59,DemSlope!$C$1:$Q$1,0))*INDEX(TargetConsumption!$C$2:$K$16,MATCH($A59,TargetConsumption!$B$2:$B$16,0),MATCH(Q$45,TargetConsumption!$C$1:$K$1,0))</f>
        <v>740.74722222222226</v>
      </c>
      <c r="R59" s="46">
        <f>INDEX(DemInt!$C$11:$Q$19,MATCH(R$45,DemInt!$B$2:$B$10,0),MATCH($A59,DemInt!$C$1:$Q$1,0))-INDEX(DemSlope!$C$11:$Q$19,MATCH(R$45,DemSlope!$B$2:$B$10,0),MATCH($A59,DemSlope!$C$1:$Q$1,0))*INDEX(TargetConsumption!$C$2:$K$16,MATCH($A59,TargetConsumption!$B$2:$B$16,0),MATCH(R$45,TargetConsumption!$C$1:$K$1,0))</f>
        <v>666.67250000000001</v>
      </c>
      <c r="S59" s="46">
        <f>INDEX(DemInt!$C$11:$Q$19,MATCH(S$45,DemInt!$B$2:$B$10,0),MATCH($A59,DemInt!$C$1:$Q$1,0))-INDEX(DemSlope!$C$11:$Q$19,MATCH(S$45,DemSlope!$B$2:$B$10,0),MATCH($A59,DemSlope!$C$1:$Q$1,0))*INDEX(TargetConsumption!$C$2:$K$16,MATCH($A59,TargetConsumption!$B$2:$B$16,0),MATCH(S$45,TargetConsumption!$C$1:$K$1,0))</f>
        <v>358.97750000000002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>
      <c r="A60" t="s">
        <v>148</v>
      </c>
      <c r="B60" s="2">
        <f>INDEX(DemInt!$C$2:$Q$10,MATCH(B$45,DemInt!$B$2:$B$10,0),MATCH($A60,DemInt!$C$1:$Q$1,0))-INDEX(DemSlope!$C$2:$Q$10,MATCH(B$45,DemSlope!$B$2:$B$10,0),MATCH($A60,DemSlope!$C$1:$Q$1,0))*INDEX(TargetConsumption!$C$2:$K$16,MATCH($A60,TargetConsumption!$B$2:$B$16,0),MATCH(B$45,TargetConsumption!$C$1:$K$1,0))</f>
        <v>717.83333333333337</v>
      </c>
      <c r="C60" s="2">
        <f>INDEX(DemInt!$C$2:$Q$10,MATCH(C$45,DemInt!$B$2:$B$10,0),MATCH($A60,DemInt!$C$1:$Q$1,0))-INDEX(DemSlope!$C$2:$Q$10,MATCH(C$45,DemSlope!$B$2:$B$10,0),MATCH($A60,DemSlope!$C$1:$Q$1,0))*INDEX(TargetConsumption!$C$2:$K$16,MATCH($A60,TargetConsumption!$B$2:$B$16,0),MATCH(C$45,TargetConsumption!$C$1:$K$1,0))</f>
        <v>605</v>
      </c>
      <c r="D60" s="2">
        <f>INDEX(DemInt!$C$2:$Q$10,MATCH(D$45,DemInt!$B$2:$B$10,0),MATCH($A60,DemInt!$C$1:$Q$1,0))-INDEX(DemSlope!$C$2:$Q$10,MATCH(D$45,DemSlope!$B$2:$B$10,0),MATCH($A60,DemSlope!$C$1:$Q$1,0))*INDEX(TargetConsumption!$C$2:$K$16,MATCH($A60,TargetConsumption!$B$2:$B$16,0),MATCH(D$45,TargetConsumption!$C$1:$K$1,0))</f>
        <v>373.66666666666674</v>
      </c>
      <c r="E60" s="2">
        <f>INDEX(DemInt!$C$2:$Q$10,MATCH(E$45,DemInt!$B$2:$B$10,0),MATCH($A60,DemInt!$C$1:$Q$1,0))-INDEX(DemSlope!$C$2:$Q$10,MATCH(E$45,DemSlope!$B$2:$B$10,0),MATCH($A60,DemSlope!$C$1:$Q$1,0))*INDEX(TargetConsumption!$C$2:$K$16,MATCH($A60,TargetConsumption!$B$2:$B$16,0),MATCH(E$45,TargetConsumption!$C$1:$K$1,0))</f>
        <v>658</v>
      </c>
      <c r="F60" s="2">
        <f>INDEX(DemInt!$C$2:$Q$10,MATCH(F$45,DemInt!$B$2:$B$10,0),MATCH($A60,DemInt!$C$1:$Q$1,0))-INDEX(DemSlope!$C$2:$Q$10,MATCH(F$45,DemSlope!$B$2:$B$10,0),MATCH($A60,DemSlope!$C$1:$Q$1,0))*INDEX(TargetConsumption!$C$2:$K$16,MATCH($A60,TargetConsumption!$B$2:$B$16,0),MATCH(F$45,TargetConsumption!$C$1:$K$1,0))</f>
        <v>521</v>
      </c>
      <c r="G60" s="2">
        <f>INDEX(DemInt!$C$2:$Q$10,MATCH(G$45,DemInt!$B$2:$B$10,0),MATCH($A60,DemInt!$C$1:$Q$1,0))-INDEX(DemSlope!$C$2:$Q$10,MATCH(G$45,DemSlope!$B$2:$B$10,0),MATCH($A60,DemSlope!$C$1:$Q$1,0))*INDEX(TargetConsumption!$C$2:$K$16,MATCH($A60,TargetConsumption!$B$2:$B$16,0),MATCH(G$45,TargetConsumption!$C$1:$K$1,0))</f>
        <v>398.86388888888882</v>
      </c>
      <c r="H60" s="2">
        <f>INDEX(DemInt!$C$2:$Q$10,MATCH(H$45,DemInt!$B$2:$B$10,0),MATCH($A60,DemInt!$C$1:$Q$1,0))-INDEX(DemSlope!$C$2:$Q$10,MATCH(H$45,DemSlope!$B$2:$B$10,0),MATCH($A60,DemSlope!$C$1:$Q$1,0))*INDEX(TargetConsumption!$C$2:$K$16,MATCH($A60,TargetConsumption!$B$2:$B$16,0),MATCH(H$45,TargetConsumption!$C$1:$K$1,0))</f>
        <v>740.74722222222226</v>
      </c>
      <c r="I60" s="2">
        <f>INDEX(DemInt!$C$2:$Q$10,MATCH(I$45,DemInt!$B$2:$B$10,0),MATCH($A60,DemInt!$C$1:$Q$1,0))-INDEX(DemSlope!$C$2:$Q$10,MATCH(I$45,DemSlope!$B$2:$B$10,0),MATCH($A60,DemSlope!$C$1:$Q$1,0))*INDEX(TargetConsumption!$C$2:$K$16,MATCH($A60,TargetConsumption!$B$2:$B$16,0),MATCH(I$45,TargetConsumption!$C$1:$K$1,0))</f>
        <v>666.67250000000001</v>
      </c>
      <c r="J60" s="2">
        <f>INDEX(DemInt!$C$2:$Q$10,MATCH(J$45,DemInt!$B$2:$B$10,0),MATCH($A60,DemInt!$C$1:$Q$1,0))-INDEX(DemSlope!$C$2:$Q$10,MATCH(J$45,DemSlope!$B$2:$B$10,0),MATCH($A60,DemSlope!$C$1:$Q$1,0))*INDEX(TargetConsumption!$C$2:$K$16,MATCH($A60,TargetConsumption!$B$2:$B$16,0),MATCH(J$45,TargetConsumption!$C$1:$K$1,0))</f>
        <v>358.97750000000002</v>
      </c>
      <c r="K60" s="46">
        <f>INDEX(DemInt!$C$11:$Q$19,MATCH(K$45,DemInt!$B$2:$B$10,0),MATCH($A60,DemInt!$C$1:$Q$1,0))-INDEX(DemSlope!$C$11:$Q$19,MATCH(K$45,DemSlope!$B$2:$B$10,0),MATCH($A60,DemSlope!$C$1:$Q$1,0))*INDEX(TargetConsumption!$C$2:$K$16,MATCH($A60,TargetConsumption!$B$2:$B$16,0),MATCH(K$45,TargetConsumption!$C$1:$K$1,0))</f>
        <v>717.83333333333337</v>
      </c>
      <c r="L60" s="46">
        <f>INDEX(DemInt!$C$11:$Q$19,MATCH(L$45,DemInt!$B$2:$B$10,0),MATCH($A60,DemInt!$C$1:$Q$1,0))-INDEX(DemSlope!$C$11:$Q$19,MATCH(L$45,DemSlope!$B$2:$B$10,0),MATCH($A60,DemSlope!$C$1:$Q$1,0))*INDEX(TargetConsumption!$C$2:$K$16,MATCH($A60,TargetConsumption!$B$2:$B$16,0),MATCH(L$45,TargetConsumption!$C$1:$K$1,0))</f>
        <v>605</v>
      </c>
      <c r="M60" s="46">
        <f>INDEX(DemInt!$C$11:$Q$19,MATCH(M$45,DemInt!$B$2:$B$10,0),MATCH($A60,DemInt!$C$1:$Q$1,0))-INDEX(DemSlope!$C$11:$Q$19,MATCH(M$45,DemSlope!$B$2:$B$10,0),MATCH($A60,DemSlope!$C$1:$Q$1,0))*INDEX(TargetConsumption!$C$2:$K$16,MATCH($A60,TargetConsumption!$B$2:$B$16,0),MATCH(M$45,TargetConsumption!$C$1:$K$1,0))</f>
        <v>373.66666666666674</v>
      </c>
      <c r="N60" s="46">
        <f>INDEX(DemInt!$C$11:$Q$19,MATCH(N$45,DemInt!$B$2:$B$10,0),MATCH($A60,DemInt!$C$1:$Q$1,0))-INDEX(DemSlope!$C$11:$Q$19,MATCH(N$45,DemSlope!$B$2:$B$10,0),MATCH($A60,DemSlope!$C$1:$Q$1,0))*INDEX(TargetConsumption!$C$2:$K$16,MATCH($A60,TargetConsumption!$B$2:$B$16,0),MATCH(N$45,TargetConsumption!$C$1:$K$1,0))</f>
        <v>658</v>
      </c>
      <c r="O60" s="46">
        <f>INDEX(DemInt!$C$11:$Q$19,MATCH(O$45,DemInt!$B$2:$B$10,0),MATCH($A60,DemInt!$C$1:$Q$1,0))-INDEX(DemSlope!$C$11:$Q$19,MATCH(O$45,DemSlope!$B$2:$B$10,0),MATCH($A60,DemSlope!$C$1:$Q$1,0))*INDEX(TargetConsumption!$C$2:$K$16,MATCH($A60,TargetConsumption!$B$2:$B$16,0),MATCH(O$45,TargetConsumption!$C$1:$K$1,0))</f>
        <v>521</v>
      </c>
      <c r="P60" s="46">
        <f>INDEX(DemInt!$C$11:$Q$19,MATCH(P$45,DemInt!$B$2:$B$10,0),MATCH($A60,DemInt!$C$1:$Q$1,0))-INDEX(DemSlope!$C$11:$Q$19,MATCH(P$45,DemSlope!$B$2:$B$10,0),MATCH($A60,DemSlope!$C$1:$Q$1,0))*INDEX(TargetConsumption!$C$2:$K$16,MATCH($A60,TargetConsumption!$B$2:$B$16,0),MATCH(P$45,TargetConsumption!$C$1:$K$1,0))</f>
        <v>398.86388888888882</v>
      </c>
      <c r="Q60" s="46">
        <f>INDEX(DemInt!$C$11:$Q$19,MATCH(Q$45,DemInt!$B$2:$B$10,0),MATCH($A60,DemInt!$C$1:$Q$1,0))-INDEX(DemSlope!$C$11:$Q$19,MATCH(Q$45,DemSlope!$B$2:$B$10,0),MATCH($A60,DemSlope!$C$1:$Q$1,0))*INDEX(TargetConsumption!$C$2:$K$16,MATCH($A60,TargetConsumption!$B$2:$B$16,0),MATCH(Q$45,TargetConsumption!$C$1:$K$1,0))</f>
        <v>740.74722222222226</v>
      </c>
      <c r="R60" s="46">
        <f>INDEX(DemInt!$C$11:$Q$19,MATCH(R$45,DemInt!$B$2:$B$10,0),MATCH($A60,DemInt!$C$1:$Q$1,0))-INDEX(DemSlope!$C$11:$Q$19,MATCH(R$45,DemSlope!$B$2:$B$10,0),MATCH($A60,DemSlope!$C$1:$Q$1,0))*INDEX(TargetConsumption!$C$2:$K$16,MATCH($A60,TargetConsumption!$B$2:$B$16,0),MATCH(R$45,TargetConsumption!$C$1:$K$1,0))</f>
        <v>666.67250000000001</v>
      </c>
      <c r="S60" s="46">
        <f>INDEX(DemInt!$C$11:$Q$19,MATCH(S$45,DemInt!$B$2:$B$10,0),MATCH($A60,DemInt!$C$1:$Q$1,0))-INDEX(DemSlope!$C$11:$Q$19,MATCH(S$45,DemSlope!$B$2:$B$10,0),MATCH($A60,DemSlope!$C$1:$Q$1,0))*INDEX(TargetConsumption!$C$2:$K$16,MATCH($A60,TargetConsumption!$B$2:$B$16,0),MATCH(S$45,TargetConsumption!$C$1:$K$1,0))</f>
        <v>358.97750000000002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>
      <c r="A61" t="s">
        <v>147</v>
      </c>
      <c r="B61" s="2">
        <f>INDEX(DemInt!$C$2:$Q$10,MATCH(B$45,DemInt!$B$2:$B$10,0),MATCH($A61,DemInt!$C$1:$Q$1,0))-INDEX(DemSlope!$C$2:$Q$10,MATCH(B$45,DemSlope!$B$2:$B$10,0),MATCH($A61,DemSlope!$C$1:$Q$1,0))*INDEX(TargetConsumption!$C$2:$K$16,MATCH($A61,TargetConsumption!$B$2:$B$16,0),MATCH(B$45,TargetConsumption!$C$1:$K$1,0))</f>
        <v>717.83333333333337</v>
      </c>
      <c r="C61" s="2">
        <f>INDEX(DemInt!$C$2:$Q$10,MATCH(C$45,DemInt!$B$2:$B$10,0),MATCH($A61,DemInt!$C$1:$Q$1,0))-INDEX(DemSlope!$C$2:$Q$10,MATCH(C$45,DemSlope!$B$2:$B$10,0),MATCH($A61,DemSlope!$C$1:$Q$1,0))*INDEX(TargetConsumption!$C$2:$K$16,MATCH($A61,TargetConsumption!$B$2:$B$16,0),MATCH(C$45,TargetConsumption!$C$1:$K$1,0))</f>
        <v>605</v>
      </c>
      <c r="D61" s="2">
        <f>INDEX(DemInt!$C$2:$Q$10,MATCH(D$45,DemInt!$B$2:$B$10,0),MATCH($A61,DemInt!$C$1:$Q$1,0))-INDEX(DemSlope!$C$2:$Q$10,MATCH(D$45,DemSlope!$B$2:$B$10,0),MATCH($A61,DemSlope!$C$1:$Q$1,0))*INDEX(TargetConsumption!$C$2:$K$16,MATCH($A61,TargetConsumption!$B$2:$B$16,0),MATCH(D$45,TargetConsumption!$C$1:$K$1,0))</f>
        <v>373.66666666666669</v>
      </c>
      <c r="E61" s="2">
        <f>INDEX(DemInt!$C$2:$Q$10,MATCH(E$45,DemInt!$B$2:$B$10,0),MATCH($A61,DemInt!$C$1:$Q$1,0))-INDEX(DemSlope!$C$2:$Q$10,MATCH(E$45,DemSlope!$B$2:$B$10,0),MATCH($A61,DemSlope!$C$1:$Q$1,0))*INDEX(TargetConsumption!$C$2:$K$16,MATCH($A61,TargetConsumption!$B$2:$B$16,0),MATCH(E$45,TargetConsumption!$C$1:$K$1,0))</f>
        <v>658</v>
      </c>
      <c r="F61" s="2">
        <f>INDEX(DemInt!$C$2:$Q$10,MATCH(F$45,DemInt!$B$2:$B$10,0),MATCH($A61,DemInt!$C$1:$Q$1,0))-INDEX(DemSlope!$C$2:$Q$10,MATCH(F$45,DemSlope!$B$2:$B$10,0),MATCH($A61,DemSlope!$C$1:$Q$1,0))*INDEX(TargetConsumption!$C$2:$K$16,MATCH($A61,TargetConsumption!$B$2:$B$16,0),MATCH(F$45,TargetConsumption!$C$1:$K$1,0))</f>
        <v>521</v>
      </c>
      <c r="G61" s="2">
        <f>INDEX(DemInt!$C$2:$Q$10,MATCH(G$45,DemInt!$B$2:$B$10,0),MATCH($A61,DemInt!$C$1:$Q$1,0))-INDEX(DemSlope!$C$2:$Q$10,MATCH(G$45,DemSlope!$B$2:$B$10,0),MATCH($A61,DemSlope!$C$1:$Q$1,0))*INDEX(TargetConsumption!$C$2:$K$16,MATCH($A61,TargetConsumption!$B$2:$B$16,0),MATCH(G$45,TargetConsumption!$C$1:$K$1,0))</f>
        <v>398.86388888888888</v>
      </c>
      <c r="H61" s="2">
        <f>INDEX(DemInt!$C$2:$Q$10,MATCH(H$45,DemInt!$B$2:$B$10,0),MATCH($A61,DemInt!$C$1:$Q$1,0))-INDEX(DemSlope!$C$2:$Q$10,MATCH(H$45,DemSlope!$B$2:$B$10,0),MATCH($A61,DemSlope!$C$1:$Q$1,0))*INDEX(TargetConsumption!$C$2:$K$16,MATCH($A61,TargetConsumption!$B$2:$B$16,0),MATCH(H$45,TargetConsumption!$C$1:$K$1,0))</f>
        <v>740.74722222222226</v>
      </c>
      <c r="I61" s="2">
        <f>INDEX(DemInt!$C$2:$Q$10,MATCH(I$45,DemInt!$B$2:$B$10,0),MATCH($A61,DemInt!$C$1:$Q$1,0))-INDEX(DemSlope!$C$2:$Q$10,MATCH(I$45,DemSlope!$B$2:$B$10,0),MATCH($A61,DemSlope!$C$1:$Q$1,0))*INDEX(TargetConsumption!$C$2:$K$16,MATCH($A61,TargetConsumption!$B$2:$B$16,0),MATCH(I$45,TargetConsumption!$C$1:$K$1,0))</f>
        <v>666.67250000000001</v>
      </c>
      <c r="J61" s="2">
        <f>INDEX(DemInt!$C$2:$Q$10,MATCH(J$45,DemInt!$B$2:$B$10,0),MATCH($A61,DemInt!$C$1:$Q$1,0))-INDEX(DemSlope!$C$2:$Q$10,MATCH(J$45,DemSlope!$B$2:$B$10,0),MATCH($A61,DemSlope!$C$1:$Q$1,0))*INDEX(TargetConsumption!$C$2:$K$16,MATCH($A61,TargetConsumption!$B$2:$B$16,0),MATCH(J$45,TargetConsumption!$C$1:$K$1,0))</f>
        <v>358.97750000000002</v>
      </c>
      <c r="K61" s="46">
        <f>INDEX(DemInt!$C$11:$Q$19,MATCH(K$45,DemInt!$B$2:$B$10,0),MATCH($A61,DemInt!$C$1:$Q$1,0))-INDEX(DemSlope!$C$11:$Q$19,MATCH(K$45,DemSlope!$B$2:$B$10,0),MATCH($A61,DemSlope!$C$1:$Q$1,0))*INDEX(TargetConsumption!$C$2:$K$16,MATCH($A61,TargetConsumption!$B$2:$B$16,0),MATCH(K$45,TargetConsumption!$C$1:$K$1,0))</f>
        <v>717.83333333333337</v>
      </c>
      <c r="L61" s="46">
        <f>INDEX(DemInt!$C$11:$Q$19,MATCH(L$45,DemInt!$B$2:$B$10,0),MATCH($A61,DemInt!$C$1:$Q$1,0))-INDEX(DemSlope!$C$11:$Q$19,MATCH(L$45,DemSlope!$B$2:$B$10,0),MATCH($A61,DemSlope!$C$1:$Q$1,0))*INDEX(TargetConsumption!$C$2:$K$16,MATCH($A61,TargetConsumption!$B$2:$B$16,0),MATCH(L$45,TargetConsumption!$C$1:$K$1,0))</f>
        <v>605</v>
      </c>
      <c r="M61" s="46">
        <f>INDEX(DemInt!$C$11:$Q$19,MATCH(M$45,DemInt!$B$2:$B$10,0),MATCH($A61,DemInt!$C$1:$Q$1,0))-INDEX(DemSlope!$C$11:$Q$19,MATCH(M$45,DemSlope!$B$2:$B$10,0),MATCH($A61,DemSlope!$C$1:$Q$1,0))*INDEX(TargetConsumption!$C$2:$K$16,MATCH($A61,TargetConsumption!$B$2:$B$16,0),MATCH(M$45,TargetConsumption!$C$1:$K$1,0))</f>
        <v>373.66666666666669</v>
      </c>
      <c r="N61" s="46">
        <f>INDEX(DemInt!$C$11:$Q$19,MATCH(N$45,DemInt!$B$2:$B$10,0),MATCH($A61,DemInt!$C$1:$Q$1,0))-INDEX(DemSlope!$C$11:$Q$19,MATCH(N$45,DemSlope!$B$2:$B$10,0),MATCH($A61,DemSlope!$C$1:$Q$1,0))*INDEX(TargetConsumption!$C$2:$K$16,MATCH($A61,TargetConsumption!$B$2:$B$16,0),MATCH(N$45,TargetConsumption!$C$1:$K$1,0))</f>
        <v>658</v>
      </c>
      <c r="O61" s="46">
        <f>INDEX(DemInt!$C$11:$Q$19,MATCH(O$45,DemInt!$B$2:$B$10,0),MATCH($A61,DemInt!$C$1:$Q$1,0))-INDEX(DemSlope!$C$11:$Q$19,MATCH(O$45,DemSlope!$B$2:$B$10,0),MATCH($A61,DemSlope!$C$1:$Q$1,0))*INDEX(TargetConsumption!$C$2:$K$16,MATCH($A61,TargetConsumption!$B$2:$B$16,0),MATCH(O$45,TargetConsumption!$C$1:$K$1,0))</f>
        <v>521</v>
      </c>
      <c r="P61" s="46">
        <f>INDEX(DemInt!$C$11:$Q$19,MATCH(P$45,DemInt!$B$2:$B$10,0),MATCH($A61,DemInt!$C$1:$Q$1,0))-INDEX(DemSlope!$C$11:$Q$19,MATCH(P$45,DemSlope!$B$2:$B$10,0),MATCH($A61,DemSlope!$C$1:$Q$1,0))*INDEX(TargetConsumption!$C$2:$K$16,MATCH($A61,TargetConsumption!$B$2:$B$16,0),MATCH(P$45,TargetConsumption!$C$1:$K$1,0))</f>
        <v>398.86388888888888</v>
      </c>
      <c r="Q61" s="46">
        <f>INDEX(DemInt!$C$11:$Q$19,MATCH(Q$45,DemInt!$B$2:$B$10,0),MATCH($A61,DemInt!$C$1:$Q$1,0))-INDEX(DemSlope!$C$11:$Q$19,MATCH(Q$45,DemSlope!$B$2:$B$10,0),MATCH($A61,DemSlope!$C$1:$Q$1,0))*INDEX(TargetConsumption!$C$2:$K$16,MATCH($A61,TargetConsumption!$B$2:$B$16,0),MATCH(Q$45,TargetConsumption!$C$1:$K$1,0))</f>
        <v>740.74722222222226</v>
      </c>
      <c r="R61" s="46">
        <f>INDEX(DemInt!$C$11:$Q$19,MATCH(R$45,DemInt!$B$2:$B$10,0),MATCH($A61,DemInt!$C$1:$Q$1,0))-INDEX(DemSlope!$C$11:$Q$19,MATCH(R$45,DemSlope!$B$2:$B$10,0),MATCH($A61,DemSlope!$C$1:$Q$1,0))*INDEX(TargetConsumption!$C$2:$K$16,MATCH($A61,TargetConsumption!$B$2:$B$16,0),MATCH(R$45,TargetConsumption!$C$1:$K$1,0))</f>
        <v>666.67250000000001</v>
      </c>
      <c r="S61" s="46">
        <f>INDEX(DemInt!$C$11:$Q$19,MATCH(S$45,DemInt!$B$2:$B$10,0),MATCH($A61,DemInt!$C$1:$Q$1,0))-INDEX(DemSlope!$C$11:$Q$19,MATCH(S$45,DemSlope!$B$2:$B$10,0),MATCH($A61,DemSlope!$C$1:$Q$1,0))*INDEX(TargetConsumption!$C$2:$K$16,MATCH($A61,TargetConsumption!$B$2:$B$16,0),MATCH(S$45,TargetConsumption!$C$1:$K$1,0))</f>
        <v>358.97750000000002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5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5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S30"/>
  <sheetViews>
    <sheetView zoomScale="85" zoomScaleNormal="85" workbookViewId="0">
      <selection activeCell="B12" sqref="B12"/>
    </sheetView>
  </sheetViews>
  <sheetFormatPr defaultRowHeight="15.75" outlineLevelRow="1"/>
  <cols>
    <col min="1" max="1" width="12.75" bestFit="1" customWidth="1"/>
    <col min="2" max="2" width="12" bestFit="1" customWidth="1"/>
    <col min="3" max="3" width="14.875" customWidth="1"/>
    <col min="4" max="4" width="10.75" bestFit="1" customWidth="1"/>
    <col min="6" max="7" width="11.5" bestFit="1" customWidth="1"/>
    <col min="8" max="8" width="10.25" bestFit="1" customWidth="1"/>
    <col min="9" max="9" width="11.75" bestFit="1" customWidth="1"/>
    <col min="11" max="11" width="11.75" bestFit="1" customWidth="1"/>
    <col min="15" max="15" width="13.375" bestFit="1" customWidth="1"/>
    <col min="19" max="19" width="11.5" bestFit="1" customWidth="1"/>
    <col min="20" max="20" width="10.625" bestFit="1" customWidth="1"/>
    <col min="23" max="23" width="12.125" bestFit="1" customWidth="1"/>
    <col min="28" max="28" width="10.25" bestFit="1" customWidth="1"/>
  </cols>
  <sheetData>
    <row r="1" spans="1:19">
      <c r="B1" t="s">
        <v>89</v>
      </c>
      <c r="C1" s="28">
        <v>0.5</v>
      </c>
    </row>
    <row r="2" spans="1:19">
      <c r="B2" t="s">
        <v>26</v>
      </c>
      <c r="C2" s="5" t="s">
        <v>17</v>
      </c>
      <c r="D2" t="str">
        <f t="array" aca="1" ref="D2:S2" ca="1">IFERROR(IF(TRANSPOSE(INDIRECT(B2))=0,"",TRANSPOSE(INDIRECT(B2))),"")</f>
        <v>Teff</v>
      </c>
      <c r="E2" t="str">
        <f ca="1"/>
        <v>Sorghum</v>
      </c>
      <c r="F2" t="str">
        <f ca="1"/>
        <v>Maize</v>
      </c>
      <c r="G2" t="str">
        <f ca="1"/>
        <v>Lentils</v>
      </c>
      <c r="H2" t="str">
        <f ca="1"/>
        <v>Wheat</v>
      </c>
      <c r="I2" t="str">
        <f ca="1"/>
        <v>Vegetables</v>
      </c>
      <c r="J2" t="str">
        <f ca="1"/>
        <v>CashCrop</v>
      </c>
      <c r="K2" t="str">
        <f ca="1"/>
        <v>Beef</v>
      </c>
      <c r="L2" t="str">
        <f ca="1"/>
        <v>Milk</v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S2" t="str">
        <f ca="1"/>
        <v/>
      </c>
    </row>
    <row r="3" spans="1:19">
      <c r="B3" t="s">
        <v>4</v>
      </c>
      <c r="C3" s="5" t="s">
        <v>7</v>
      </c>
      <c r="D3" t="str">
        <f t="array" aca="1" ref="D3:S3" ca="1">IFERROR(IF(TRANSPOSE(INDIRECT(B3))=0,"",TRANSPOSE(INDIRECT(B3))),"")</f>
        <v>AddisAbaba</v>
      </c>
      <c r="E3" t="str">
        <f ca="1"/>
        <v>Semera</v>
      </c>
      <c r="F3" t="str">
        <f ca="1"/>
        <v>BahirDar</v>
      </c>
      <c r="G3" t="str">
        <f ca="1"/>
        <v>Asosa</v>
      </c>
      <c r="H3" t="str">
        <f ca="1"/>
        <v>DireDawa</v>
      </c>
      <c r="I3" t="str">
        <f ca="1"/>
        <v>Gambela</v>
      </c>
      <c r="J3" t="str">
        <f ca="1"/>
        <v>Harar</v>
      </c>
      <c r="K3" t="str">
        <f ca="1"/>
        <v>Jijiga</v>
      </c>
      <c r="L3" t="str">
        <f ca="1"/>
        <v>Awasa</v>
      </c>
      <c r="M3" t="str">
        <f ca="1"/>
        <v>Mekelle</v>
      </c>
      <c r="N3" t="str">
        <f ca="1"/>
        <v>Gondar</v>
      </c>
      <c r="O3" t="str">
        <f ca="1"/>
        <v>Jimma</v>
      </c>
      <c r="P3" t="str">
        <f ca="1"/>
        <v>Werder</v>
      </c>
      <c r="Q3" t="str">
        <f ca="1"/>
        <v>Goba</v>
      </c>
      <c r="R3" t="str">
        <f ca="1"/>
        <v>External</v>
      </c>
      <c r="S3" t="str">
        <f ca="1"/>
        <v/>
      </c>
    </row>
    <row r="4" spans="1:19">
      <c r="B4" t="s">
        <v>1</v>
      </c>
      <c r="C4" s="5" t="s">
        <v>3</v>
      </c>
      <c r="D4" t="str">
        <f t="array" aca="1" ref="D4:S4" ca="1">IFERROR(IF(TRANSPOSE(INDIRECT(B4))=0,"",TRANSPOSE(INDIRECT(B4))),"")</f>
        <v>Kremt</v>
      </c>
      <c r="E4" t="str">
        <f ca="1"/>
        <v>Belg</v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</row>
    <row r="5" spans="1:19">
      <c r="B5" t="s">
        <v>0</v>
      </c>
      <c r="C5" s="5">
        <v>2019</v>
      </c>
      <c r="D5">
        <f t="array" aca="1" ref="D5:S5" ca="1">IFERROR(IF(TRANSPOSE(INDIRECT(B5))=0,"",TRANSPOSE(INDIRECT(B5))),"")</f>
        <v>2015</v>
      </c>
      <c r="E5">
        <f ca="1"/>
        <v>2016</v>
      </c>
      <c r="F5">
        <f ca="1"/>
        <v>2017</v>
      </c>
      <c r="G5">
        <f ca="1"/>
        <v>2018</v>
      </c>
      <c r="H5">
        <f ca="1"/>
        <v>2019</v>
      </c>
      <c r="I5">
        <f ca="1"/>
        <v>2020</v>
      </c>
      <c r="J5">
        <f ca="1"/>
        <v>2021</v>
      </c>
      <c r="K5">
        <f ca="1"/>
        <v>2022</v>
      </c>
      <c r="L5">
        <f ca="1"/>
        <v>2023</v>
      </c>
      <c r="M5">
        <f ca="1"/>
        <v>2024</v>
      </c>
      <c r="N5">
        <f ca="1"/>
        <v>2025</v>
      </c>
      <c r="O5">
        <f ca="1"/>
        <v>2026</v>
      </c>
      <c r="P5">
        <f ca="1"/>
        <v>2027</v>
      </c>
      <c r="Q5">
        <f ca="1"/>
        <v>2028</v>
      </c>
      <c r="R5">
        <f ca="1"/>
        <v>2029</v>
      </c>
      <c r="S5">
        <f ca="1"/>
        <v>2030</v>
      </c>
    </row>
    <row r="7" spans="1:19">
      <c r="B7" t="s">
        <v>86</v>
      </c>
      <c r="C7" s="27">
        <f>VLOOKUP($C$2,DemElas!$A$21:$B$28,2,0)</f>
        <v>-0.8</v>
      </c>
    </row>
    <row r="9" spans="1:19">
      <c r="A9" s="1" t="s">
        <v>88</v>
      </c>
    </row>
    <row r="10" spans="1:19">
      <c r="A10" s="1"/>
      <c r="B10" t="s">
        <v>3</v>
      </c>
      <c r="C10" t="s">
        <v>3</v>
      </c>
      <c r="D10" t="s">
        <v>3</v>
      </c>
      <c r="E10" t="s">
        <v>3</v>
      </c>
      <c r="F10" t="s">
        <v>2</v>
      </c>
      <c r="G10" t="s">
        <v>2</v>
      </c>
      <c r="H10" t="s">
        <v>2</v>
      </c>
      <c r="I10" t="s">
        <v>2</v>
      </c>
    </row>
    <row r="11" spans="1:19">
      <c r="B11" t="s">
        <v>201</v>
      </c>
      <c r="C11" t="s">
        <v>203</v>
      </c>
      <c r="D11" t="s">
        <v>30</v>
      </c>
      <c r="E11" t="s">
        <v>82</v>
      </c>
      <c r="F11" t="s">
        <v>201</v>
      </c>
      <c r="G11" t="s">
        <v>203</v>
      </c>
      <c r="H11" t="s">
        <v>30</v>
      </c>
      <c r="I11" t="s">
        <v>82</v>
      </c>
    </row>
    <row r="12" spans="1:19" outlineLevel="1">
      <c r="A12" t="str">
        <f t="array" ref="A12:A26">Adapt</f>
        <v>A1</v>
      </c>
    </row>
    <row r="13" spans="1:19" outlineLevel="1">
      <c r="A13" t="str">
        <v>H2</v>
      </c>
    </row>
    <row r="14" spans="1:19" outlineLevel="1">
      <c r="A14" t="str">
        <v>H3</v>
      </c>
    </row>
    <row r="15" spans="1:19" outlineLevel="1">
      <c r="A15" t="str">
        <v>H4</v>
      </c>
    </row>
    <row r="16" spans="1:19" outlineLevel="1">
      <c r="A16" t="str">
        <v>H5</v>
      </c>
    </row>
    <row r="17" spans="1:1" outlineLevel="1">
      <c r="A17" t="str">
        <v>M1</v>
      </c>
    </row>
    <row r="18" spans="1:1" outlineLevel="1">
      <c r="A18" t="str">
        <v>M3</v>
      </c>
    </row>
    <row r="19" spans="1:1" outlineLevel="1">
      <c r="A19" t="str">
        <v>M5</v>
      </c>
    </row>
    <row r="20" spans="1:1" outlineLevel="1">
      <c r="A20" t="str">
        <v>SA1</v>
      </c>
    </row>
    <row r="21" spans="1:1" outlineLevel="1">
      <c r="A21" t="str">
        <v>SA3</v>
      </c>
    </row>
    <row r="22" spans="1:1" outlineLevel="1">
      <c r="A22" t="str">
        <v>SH1</v>
      </c>
    </row>
    <row r="23" spans="1:1" outlineLevel="1">
      <c r="A23" t="str">
        <v>SH3</v>
      </c>
    </row>
    <row r="24" spans="1:1" outlineLevel="1">
      <c r="A24" t="str">
        <v>SM2</v>
      </c>
    </row>
    <row r="25" spans="1:1" outlineLevel="1">
      <c r="A25" t="str">
        <v>SM2N</v>
      </c>
    </row>
    <row r="26" spans="1:1" outlineLevel="1">
      <c r="A26" t="str">
        <v>External</v>
      </c>
    </row>
    <row r="27" spans="1:1" outlineLevel="1"/>
    <row r="28" spans="1:1" outlineLevel="1"/>
    <row r="29" spans="1:1" outlineLevel="1"/>
    <row r="30" spans="1:1" outlineLevel="1"/>
  </sheetData>
  <dataValidations count="1">
    <dataValidation type="list" allowBlank="1" showInputMessage="1" showErrorMessage="1" sqref="C2:C5" xr:uid="{00000000-0002-0000-1100-000000000000}">
      <formula1>$D2:$S2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index</vt:lpstr>
      <vt:lpstr>Explained</vt:lpstr>
      <vt:lpstr>sets</vt:lpstr>
      <vt:lpstr>DiscFact</vt:lpstr>
      <vt:lpstr>Crop</vt:lpstr>
      <vt:lpstr>aFAO</vt:lpstr>
      <vt:lpstr>CYF</vt:lpstr>
      <vt:lpstr>Cattle</vt:lpstr>
      <vt:lpstr>Roads</vt:lpstr>
      <vt:lpstr>DemInt</vt:lpstr>
      <vt:lpstr>DemSlope</vt:lpstr>
      <vt:lpstr>Elec</vt:lpstr>
      <vt:lpstr>ElecLine</vt:lpstr>
      <vt:lpstr>DemElas</vt:lpstr>
      <vt:lpstr>Prices</vt:lpstr>
      <vt:lpstr>ConvFactor</vt:lpstr>
      <vt:lpstr>TargetProduction</vt:lpstr>
      <vt:lpstr>TargetConsumption</vt:lpstr>
      <vt:lpstr>Basic Feasibility</vt:lpstr>
      <vt:lpstr>Adapt</vt:lpstr>
      <vt:lpstr>Crops</vt:lpstr>
      <vt:lpstr>Food</vt:lpstr>
      <vt:lpstr>Nodes</vt:lpstr>
      <vt:lpstr>Profit_Margin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 Sankaranarayanan</cp:lastModifiedBy>
  <dcterms:created xsi:type="dcterms:W3CDTF">2017-04-05T21:54:55Z</dcterms:created>
  <dcterms:modified xsi:type="dcterms:W3CDTF">2018-04-01T21:59:38Z</dcterms:modified>
</cp:coreProperties>
</file>